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3f2cafda7f273516/Escritorio/Proyectos en Excel/Proyecto Supply Chain Portafolio/Github/apex-drp-control-tower/apex-drp-control-tower/"/>
    </mc:Choice>
  </mc:AlternateContent>
  <xr:revisionPtr revIDLastSave="0" documentId="8_{105EF0B1-2230-4A29-80CF-C3FBE655B135}" xr6:coauthVersionLast="47" xr6:coauthVersionMax="47" xr10:uidLastSave="{00000000-0000-0000-0000-000000000000}"/>
  <bookViews>
    <workbookView xWindow="-98" yWindow="-98" windowWidth="19396" windowHeight="11475" tabRatio="848" xr2:uid="{75606E0A-F33D-49D7-8D38-ACA2969EB38E}"/>
  </bookViews>
  <sheets>
    <sheet name="Dashboard" sheetId="16" r:id="rId1"/>
    <sheet name="Transit_Enriched" sheetId="8" r:id="rId2"/>
    <sheet name="Analisis_Transito" sheetId="12" r:id="rId3"/>
    <sheet name="Excepciones" sheetId="13" r:id="rId4"/>
    <sheet name="Fair_Share" sheetId="14" r:id="rId5"/>
    <sheet name="Supply_Clean" sheetId="15" r:id="rId6"/>
    <sheet name="Transit_Clean" sheetId="6" r:id="rId7"/>
    <sheet name="Inventory_Clean" sheetId="5" r:id="rId8"/>
    <sheet name="Master_Clean" sheetId="4" r:id="rId9"/>
    <sheet name="DRP_Engine" sheetId="7" r:id="rId10"/>
  </sheets>
  <definedNames>
    <definedName name="_xlnm._FilterDatabase" localSheetId="2" hidden="1">Analisis_Transito!$A$1:$V$1106</definedName>
    <definedName name="_xlnm._FilterDatabase" localSheetId="4" hidden="1">Fair_Share!$A$1:$H$1501</definedName>
    <definedName name="ExternalData_1" localSheetId="8" hidden="1">Master_Clean!$A$1:$F$101</definedName>
    <definedName name="ExternalData_1" localSheetId="5" hidden="1">Supply_Clean!$A$1:$C$101</definedName>
    <definedName name="ExternalData_2" localSheetId="7" hidden="1">Inventory_Clean!$A$1:$H$1501</definedName>
    <definedName name="ExternalData_3" localSheetId="6" hidden="1">Transit_Clean!$A$1:$H$1106</definedName>
    <definedName name="ExternalData_4" localSheetId="1" hidden="1">Transit_Enriched!$A$1:$M$1106</definedName>
    <definedName name="Slicer_Destination">#N/A</definedName>
  </definedNames>
  <calcPr calcId="191029"/>
  <pivotCaches>
    <pivotCache cacheId="6"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3" i="16" l="1"/>
  <c r="H3" i="16"/>
  <c r="F3" i="16"/>
  <c r="D3" i="16"/>
  <c r="B6" i="13"/>
  <c r="B5" i="13"/>
  <c r="B4" i="13"/>
  <c r="B3" i="13"/>
  <c r="B2" i="13"/>
  <c r="O3" i="14"/>
  <c r="O4" i="14"/>
  <c r="O5" i="14"/>
  <c r="O6" i="14"/>
  <c r="O7" i="14"/>
  <c r="O8" i="14"/>
  <c r="O9" i="14"/>
  <c r="O10" i="14"/>
  <c r="O11" i="14"/>
  <c r="O12" i="14"/>
  <c r="O13" i="14"/>
  <c r="O14" i="14"/>
  <c r="O15" i="14"/>
  <c r="O16" i="14"/>
  <c r="O17" i="14"/>
  <c r="O18" i="14"/>
  <c r="O19" i="14"/>
  <c r="O20" i="14"/>
  <c r="O21" i="14"/>
  <c r="O22" i="14"/>
  <c r="O23" i="14"/>
  <c r="O24" i="14"/>
  <c r="O25" i="14"/>
  <c r="O26" i="14"/>
  <c r="O27" i="14"/>
  <c r="O28" i="14"/>
  <c r="O29" i="14"/>
  <c r="O30" i="14"/>
  <c r="O31" i="14"/>
  <c r="O32" i="14"/>
  <c r="O33" i="14"/>
  <c r="O34" i="14"/>
  <c r="O35" i="14"/>
  <c r="O36" i="14"/>
  <c r="O37" i="14"/>
  <c r="O38" i="14"/>
  <c r="O39" i="14"/>
  <c r="O40" i="14"/>
  <c r="O41" i="14"/>
  <c r="O42" i="14"/>
  <c r="O43" i="14"/>
  <c r="O44" i="14"/>
  <c r="O45" i="14"/>
  <c r="O46" i="14"/>
  <c r="O47" i="14"/>
  <c r="O48" i="14"/>
  <c r="O49" i="14"/>
  <c r="O50" i="14"/>
  <c r="O51" i="14"/>
  <c r="O52" i="14"/>
  <c r="O53" i="14"/>
  <c r="O54" i="14"/>
  <c r="O55" i="14"/>
  <c r="O56" i="14"/>
  <c r="O57" i="14"/>
  <c r="O58" i="14"/>
  <c r="O59" i="14"/>
  <c r="O60" i="14"/>
  <c r="O61" i="14"/>
  <c r="O62" i="14"/>
  <c r="O63" i="14"/>
  <c r="O64" i="14"/>
  <c r="O65" i="14"/>
  <c r="O66" i="14"/>
  <c r="O67" i="14"/>
  <c r="O68" i="14"/>
  <c r="O69" i="14"/>
  <c r="O70" i="14"/>
  <c r="O71" i="14"/>
  <c r="O72" i="14"/>
  <c r="O73" i="14"/>
  <c r="O74" i="14"/>
  <c r="O75" i="14"/>
  <c r="O76" i="14"/>
  <c r="O77" i="14"/>
  <c r="O78" i="14"/>
  <c r="O79" i="14"/>
  <c r="O80" i="14"/>
  <c r="O81" i="14"/>
  <c r="O82" i="14"/>
  <c r="O83" i="14"/>
  <c r="O84" i="14"/>
  <c r="O85" i="14"/>
  <c r="O86" i="14"/>
  <c r="O87" i="14"/>
  <c r="O88" i="14"/>
  <c r="O89" i="14"/>
  <c r="O90" i="14"/>
  <c r="O91" i="14"/>
  <c r="O92" i="14"/>
  <c r="O93" i="14"/>
  <c r="O94" i="14"/>
  <c r="O95" i="14"/>
  <c r="O96" i="14"/>
  <c r="O97" i="14"/>
  <c r="O98" i="14"/>
  <c r="O99" i="14"/>
  <c r="O100" i="14"/>
  <c r="O101" i="14"/>
  <c r="O102" i="14"/>
  <c r="O103" i="14"/>
  <c r="O104" i="14"/>
  <c r="O105" i="14"/>
  <c r="O106" i="14"/>
  <c r="O107" i="14"/>
  <c r="O108" i="14"/>
  <c r="O109" i="14"/>
  <c r="O110" i="14"/>
  <c r="O111" i="14"/>
  <c r="O112" i="14"/>
  <c r="O113" i="14"/>
  <c r="O114" i="14"/>
  <c r="O115" i="14"/>
  <c r="O116" i="14"/>
  <c r="O117" i="14"/>
  <c r="O118" i="14"/>
  <c r="O119" i="14"/>
  <c r="O120" i="14"/>
  <c r="O121" i="14"/>
  <c r="O122" i="14"/>
  <c r="O123" i="14"/>
  <c r="O124" i="14"/>
  <c r="O125" i="14"/>
  <c r="O126" i="14"/>
  <c r="O127" i="14"/>
  <c r="O128" i="14"/>
  <c r="O129" i="14"/>
  <c r="O130" i="14"/>
  <c r="O131" i="14"/>
  <c r="O132" i="14"/>
  <c r="O133" i="14"/>
  <c r="O134" i="14"/>
  <c r="O135" i="14"/>
  <c r="O136" i="14"/>
  <c r="O137" i="14"/>
  <c r="O138" i="14"/>
  <c r="O139" i="14"/>
  <c r="O140" i="14"/>
  <c r="O141" i="14"/>
  <c r="O142" i="14"/>
  <c r="O143" i="14"/>
  <c r="O144" i="14"/>
  <c r="O145" i="14"/>
  <c r="O146" i="14"/>
  <c r="O147" i="14"/>
  <c r="O148" i="14"/>
  <c r="O149" i="14"/>
  <c r="O150" i="14"/>
  <c r="O151" i="14"/>
  <c r="O152" i="14"/>
  <c r="O153" i="14"/>
  <c r="O154" i="14"/>
  <c r="O155" i="14"/>
  <c r="O156" i="14"/>
  <c r="O157" i="14"/>
  <c r="O158" i="14"/>
  <c r="O159" i="14"/>
  <c r="O160" i="14"/>
  <c r="O161" i="14"/>
  <c r="O162" i="14"/>
  <c r="O163" i="14"/>
  <c r="O164" i="14"/>
  <c r="O165" i="14"/>
  <c r="O166" i="14"/>
  <c r="O167" i="14"/>
  <c r="O168" i="14"/>
  <c r="O169" i="14"/>
  <c r="O170" i="14"/>
  <c r="O171" i="14"/>
  <c r="O172" i="14"/>
  <c r="O173" i="14"/>
  <c r="O174" i="14"/>
  <c r="O175" i="14"/>
  <c r="O176" i="14"/>
  <c r="O177" i="14"/>
  <c r="O178" i="14"/>
  <c r="O179" i="14"/>
  <c r="O180" i="14"/>
  <c r="O181" i="14"/>
  <c r="O182" i="14"/>
  <c r="O183" i="14"/>
  <c r="O184" i="14"/>
  <c r="O185" i="14"/>
  <c r="O186" i="14"/>
  <c r="O187" i="14"/>
  <c r="O188" i="14"/>
  <c r="O189" i="14"/>
  <c r="O190" i="14"/>
  <c r="O191" i="14"/>
  <c r="O192" i="14"/>
  <c r="O193" i="14"/>
  <c r="O194" i="14"/>
  <c r="O195" i="14"/>
  <c r="O196" i="14"/>
  <c r="O197" i="14"/>
  <c r="O198" i="14"/>
  <c r="O199" i="14"/>
  <c r="O200" i="14"/>
  <c r="O201" i="14"/>
  <c r="O202" i="14"/>
  <c r="O203" i="14"/>
  <c r="O204" i="14"/>
  <c r="O205" i="14"/>
  <c r="O206" i="14"/>
  <c r="O207" i="14"/>
  <c r="O208" i="14"/>
  <c r="O209" i="14"/>
  <c r="O210" i="14"/>
  <c r="O211" i="14"/>
  <c r="O212" i="14"/>
  <c r="O213" i="14"/>
  <c r="O214" i="14"/>
  <c r="O215" i="14"/>
  <c r="O216" i="14"/>
  <c r="O217" i="14"/>
  <c r="O218" i="14"/>
  <c r="O219" i="14"/>
  <c r="O220" i="14"/>
  <c r="O221" i="14"/>
  <c r="O222" i="14"/>
  <c r="O223" i="14"/>
  <c r="O224" i="14"/>
  <c r="O225" i="14"/>
  <c r="O226" i="14"/>
  <c r="O227" i="14"/>
  <c r="O228" i="14"/>
  <c r="O229" i="14"/>
  <c r="O230" i="14"/>
  <c r="O231" i="14"/>
  <c r="O232" i="14"/>
  <c r="O233" i="14"/>
  <c r="O234" i="14"/>
  <c r="O235" i="14"/>
  <c r="O236" i="14"/>
  <c r="O237" i="14"/>
  <c r="O238" i="14"/>
  <c r="O239" i="14"/>
  <c r="O240" i="14"/>
  <c r="O241" i="14"/>
  <c r="O242" i="14"/>
  <c r="O243" i="14"/>
  <c r="O244" i="14"/>
  <c r="O245" i="14"/>
  <c r="O246" i="14"/>
  <c r="O247" i="14"/>
  <c r="O248" i="14"/>
  <c r="O249" i="14"/>
  <c r="O250" i="14"/>
  <c r="O251" i="14"/>
  <c r="O252" i="14"/>
  <c r="O253" i="14"/>
  <c r="O254" i="14"/>
  <c r="O255" i="14"/>
  <c r="O256" i="14"/>
  <c r="O257" i="14"/>
  <c r="O258" i="14"/>
  <c r="O259" i="14"/>
  <c r="O260" i="14"/>
  <c r="O261" i="14"/>
  <c r="O262" i="14"/>
  <c r="O263" i="14"/>
  <c r="O264" i="14"/>
  <c r="O265" i="14"/>
  <c r="O266" i="14"/>
  <c r="O267" i="14"/>
  <c r="O268" i="14"/>
  <c r="O269" i="14"/>
  <c r="O270" i="14"/>
  <c r="O271" i="14"/>
  <c r="O272" i="14"/>
  <c r="O273" i="14"/>
  <c r="O274" i="14"/>
  <c r="O275" i="14"/>
  <c r="O276" i="14"/>
  <c r="O277" i="14"/>
  <c r="O278" i="14"/>
  <c r="O279" i="14"/>
  <c r="O280" i="14"/>
  <c r="O281" i="14"/>
  <c r="O282" i="14"/>
  <c r="O283" i="14"/>
  <c r="O284" i="14"/>
  <c r="O285" i="14"/>
  <c r="O286" i="14"/>
  <c r="O287" i="14"/>
  <c r="O288" i="14"/>
  <c r="O289" i="14"/>
  <c r="O290" i="14"/>
  <c r="O291" i="14"/>
  <c r="O292" i="14"/>
  <c r="O293" i="14"/>
  <c r="O294" i="14"/>
  <c r="O295" i="14"/>
  <c r="O296" i="14"/>
  <c r="O297" i="14"/>
  <c r="O298" i="14"/>
  <c r="O299" i="14"/>
  <c r="O300" i="14"/>
  <c r="O301" i="14"/>
  <c r="O302" i="14"/>
  <c r="O303" i="14"/>
  <c r="O304" i="14"/>
  <c r="O305" i="14"/>
  <c r="O306" i="14"/>
  <c r="O307" i="14"/>
  <c r="O308" i="14"/>
  <c r="O309" i="14"/>
  <c r="O310" i="14"/>
  <c r="O311" i="14"/>
  <c r="O312" i="14"/>
  <c r="O313" i="14"/>
  <c r="O314" i="14"/>
  <c r="O315" i="14"/>
  <c r="O316" i="14"/>
  <c r="O317" i="14"/>
  <c r="O318" i="14"/>
  <c r="O319" i="14"/>
  <c r="O320" i="14"/>
  <c r="O321" i="14"/>
  <c r="O322" i="14"/>
  <c r="O323" i="14"/>
  <c r="O324" i="14"/>
  <c r="O325" i="14"/>
  <c r="O326" i="14"/>
  <c r="O327" i="14"/>
  <c r="O328" i="14"/>
  <c r="O329" i="14"/>
  <c r="O330" i="14"/>
  <c r="O331" i="14"/>
  <c r="O332" i="14"/>
  <c r="O333" i="14"/>
  <c r="O334" i="14"/>
  <c r="O335" i="14"/>
  <c r="O336" i="14"/>
  <c r="O337" i="14"/>
  <c r="O338" i="14"/>
  <c r="O339" i="14"/>
  <c r="O340" i="14"/>
  <c r="O341" i="14"/>
  <c r="O342" i="14"/>
  <c r="O343" i="14"/>
  <c r="O344" i="14"/>
  <c r="O345" i="14"/>
  <c r="O346" i="14"/>
  <c r="O347" i="14"/>
  <c r="O348" i="14"/>
  <c r="O349" i="14"/>
  <c r="O350" i="14"/>
  <c r="O351" i="14"/>
  <c r="O352" i="14"/>
  <c r="O353" i="14"/>
  <c r="O354" i="14"/>
  <c r="O355" i="14"/>
  <c r="O356" i="14"/>
  <c r="O357" i="14"/>
  <c r="O358" i="14"/>
  <c r="O359" i="14"/>
  <c r="O360" i="14"/>
  <c r="O361" i="14"/>
  <c r="O362" i="14"/>
  <c r="O363" i="14"/>
  <c r="O364" i="14"/>
  <c r="O365" i="14"/>
  <c r="O366" i="14"/>
  <c r="O367" i="14"/>
  <c r="O368" i="14"/>
  <c r="O369" i="14"/>
  <c r="O370" i="14"/>
  <c r="O371" i="14"/>
  <c r="O372" i="14"/>
  <c r="O373" i="14"/>
  <c r="O374" i="14"/>
  <c r="O375" i="14"/>
  <c r="O376" i="14"/>
  <c r="O377" i="14"/>
  <c r="O378" i="14"/>
  <c r="O379" i="14"/>
  <c r="O380" i="14"/>
  <c r="O381" i="14"/>
  <c r="O382" i="14"/>
  <c r="O383" i="14"/>
  <c r="O384" i="14"/>
  <c r="O385" i="14"/>
  <c r="O386" i="14"/>
  <c r="O387" i="14"/>
  <c r="O388" i="14"/>
  <c r="O389" i="14"/>
  <c r="O390" i="14"/>
  <c r="O391" i="14"/>
  <c r="O392" i="14"/>
  <c r="O393" i="14"/>
  <c r="O394" i="14"/>
  <c r="O395" i="14"/>
  <c r="O396" i="14"/>
  <c r="O397" i="14"/>
  <c r="O398" i="14"/>
  <c r="O399" i="14"/>
  <c r="O400" i="14"/>
  <c r="O401" i="14"/>
  <c r="O402" i="14"/>
  <c r="O403" i="14"/>
  <c r="O404" i="14"/>
  <c r="O405" i="14"/>
  <c r="O406" i="14"/>
  <c r="O407" i="14"/>
  <c r="O408" i="14"/>
  <c r="O409" i="14"/>
  <c r="O410" i="14"/>
  <c r="O411" i="14"/>
  <c r="O412" i="14"/>
  <c r="O413" i="14"/>
  <c r="O414" i="14"/>
  <c r="O415" i="14"/>
  <c r="O416" i="14"/>
  <c r="O417" i="14"/>
  <c r="O418" i="14"/>
  <c r="O419" i="14"/>
  <c r="O420" i="14"/>
  <c r="O421" i="14"/>
  <c r="O422" i="14"/>
  <c r="O423" i="14"/>
  <c r="O424" i="14"/>
  <c r="O425" i="14"/>
  <c r="O426" i="14"/>
  <c r="O427" i="14"/>
  <c r="O428" i="14"/>
  <c r="O429" i="14"/>
  <c r="O430" i="14"/>
  <c r="O431" i="14"/>
  <c r="O432" i="14"/>
  <c r="O433" i="14"/>
  <c r="O434" i="14"/>
  <c r="O435" i="14"/>
  <c r="O436" i="14"/>
  <c r="O437" i="14"/>
  <c r="O438" i="14"/>
  <c r="O439" i="14"/>
  <c r="O440" i="14"/>
  <c r="O441" i="14"/>
  <c r="O442" i="14"/>
  <c r="O443" i="14"/>
  <c r="O444" i="14"/>
  <c r="O445" i="14"/>
  <c r="O446" i="14"/>
  <c r="O447" i="14"/>
  <c r="O448" i="14"/>
  <c r="O449" i="14"/>
  <c r="O450" i="14"/>
  <c r="O451" i="14"/>
  <c r="O452" i="14"/>
  <c r="O453" i="14"/>
  <c r="O454" i="14"/>
  <c r="O455" i="14"/>
  <c r="O456" i="14"/>
  <c r="O457" i="14"/>
  <c r="O458" i="14"/>
  <c r="O459" i="14"/>
  <c r="O460" i="14"/>
  <c r="O461" i="14"/>
  <c r="O462" i="14"/>
  <c r="O463" i="14"/>
  <c r="O464" i="14"/>
  <c r="O465" i="14"/>
  <c r="O466" i="14"/>
  <c r="O467" i="14"/>
  <c r="O468" i="14"/>
  <c r="O469" i="14"/>
  <c r="O470" i="14"/>
  <c r="O471" i="14"/>
  <c r="O472" i="14"/>
  <c r="O473" i="14"/>
  <c r="O474" i="14"/>
  <c r="O475" i="14"/>
  <c r="O476" i="14"/>
  <c r="O477" i="14"/>
  <c r="O478" i="14"/>
  <c r="O479" i="14"/>
  <c r="O480" i="14"/>
  <c r="O481" i="14"/>
  <c r="O482" i="14"/>
  <c r="O483" i="14"/>
  <c r="O484" i="14"/>
  <c r="O485" i="14"/>
  <c r="O486" i="14"/>
  <c r="O487" i="14"/>
  <c r="O488" i="14"/>
  <c r="O489" i="14"/>
  <c r="O490" i="14"/>
  <c r="O491" i="14"/>
  <c r="O492" i="14"/>
  <c r="O493" i="14"/>
  <c r="O494" i="14"/>
  <c r="O495" i="14"/>
  <c r="O496" i="14"/>
  <c r="O497" i="14"/>
  <c r="O498" i="14"/>
  <c r="O499" i="14"/>
  <c r="O500" i="14"/>
  <c r="O501" i="14"/>
  <c r="O502" i="14"/>
  <c r="O503" i="14"/>
  <c r="O504" i="14"/>
  <c r="O505" i="14"/>
  <c r="O506" i="14"/>
  <c r="O507" i="14"/>
  <c r="O508" i="14"/>
  <c r="O509" i="14"/>
  <c r="O510" i="14"/>
  <c r="O511" i="14"/>
  <c r="O512" i="14"/>
  <c r="O513" i="14"/>
  <c r="O514" i="14"/>
  <c r="O515" i="14"/>
  <c r="O516" i="14"/>
  <c r="O517" i="14"/>
  <c r="O518" i="14"/>
  <c r="O519" i="14"/>
  <c r="O520" i="14"/>
  <c r="O521" i="14"/>
  <c r="O522" i="14"/>
  <c r="O523" i="14"/>
  <c r="O524" i="14"/>
  <c r="O525" i="14"/>
  <c r="O526" i="14"/>
  <c r="O527" i="14"/>
  <c r="O528" i="14"/>
  <c r="O529" i="14"/>
  <c r="O530" i="14"/>
  <c r="O531" i="14"/>
  <c r="O532" i="14"/>
  <c r="O533" i="14"/>
  <c r="O534" i="14"/>
  <c r="O535" i="14"/>
  <c r="O536" i="14"/>
  <c r="O537" i="14"/>
  <c r="O538" i="14"/>
  <c r="O539" i="14"/>
  <c r="O540" i="14"/>
  <c r="O541" i="14"/>
  <c r="O542" i="14"/>
  <c r="O543" i="14"/>
  <c r="O544" i="14"/>
  <c r="O545" i="14"/>
  <c r="O546" i="14"/>
  <c r="O547" i="14"/>
  <c r="O548" i="14"/>
  <c r="O549" i="14"/>
  <c r="O550" i="14"/>
  <c r="O551" i="14"/>
  <c r="O552" i="14"/>
  <c r="O553" i="14"/>
  <c r="O554" i="14"/>
  <c r="O555" i="14"/>
  <c r="O556" i="14"/>
  <c r="O557" i="14"/>
  <c r="O558" i="14"/>
  <c r="O559" i="14"/>
  <c r="O560" i="14"/>
  <c r="O561" i="14"/>
  <c r="O562" i="14"/>
  <c r="O563" i="14"/>
  <c r="O564" i="14"/>
  <c r="O565" i="14"/>
  <c r="O566" i="14"/>
  <c r="O567" i="14"/>
  <c r="O568" i="14"/>
  <c r="O569" i="14"/>
  <c r="O570" i="14"/>
  <c r="O571" i="14"/>
  <c r="O572" i="14"/>
  <c r="O573" i="14"/>
  <c r="O574" i="14"/>
  <c r="O575" i="14"/>
  <c r="O576" i="14"/>
  <c r="O577" i="14"/>
  <c r="O578" i="14"/>
  <c r="O579" i="14"/>
  <c r="O580" i="14"/>
  <c r="O581" i="14"/>
  <c r="O582" i="14"/>
  <c r="O583" i="14"/>
  <c r="O584" i="14"/>
  <c r="O585" i="14"/>
  <c r="O586" i="14"/>
  <c r="O587" i="14"/>
  <c r="O588" i="14"/>
  <c r="O589" i="14"/>
  <c r="O590" i="14"/>
  <c r="O591" i="14"/>
  <c r="O592" i="14"/>
  <c r="O593" i="14"/>
  <c r="O594" i="14"/>
  <c r="O595" i="14"/>
  <c r="O596" i="14"/>
  <c r="O597" i="14"/>
  <c r="O598" i="14"/>
  <c r="O599" i="14"/>
  <c r="O600" i="14"/>
  <c r="O601" i="14"/>
  <c r="O602" i="14"/>
  <c r="O603" i="14"/>
  <c r="O604" i="14"/>
  <c r="O605" i="14"/>
  <c r="O606" i="14"/>
  <c r="O607" i="14"/>
  <c r="O608" i="14"/>
  <c r="O609" i="14"/>
  <c r="O610" i="14"/>
  <c r="O611" i="14"/>
  <c r="O612" i="14"/>
  <c r="O613" i="14"/>
  <c r="O614" i="14"/>
  <c r="O615" i="14"/>
  <c r="O616" i="14"/>
  <c r="O617" i="14"/>
  <c r="O618" i="14"/>
  <c r="O619" i="14"/>
  <c r="O620" i="14"/>
  <c r="O621" i="14"/>
  <c r="O622" i="14"/>
  <c r="O623" i="14"/>
  <c r="O624" i="14"/>
  <c r="O625" i="14"/>
  <c r="O626" i="14"/>
  <c r="O627" i="14"/>
  <c r="O628" i="14"/>
  <c r="O629" i="14"/>
  <c r="O630" i="14"/>
  <c r="O631" i="14"/>
  <c r="O632" i="14"/>
  <c r="O633" i="14"/>
  <c r="O634" i="14"/>
  <c r="O635" i="14"/>
  <c r="O636" i="14"/>
  <c r="O637" i="14"/>
  <c r="O638" i="14"/>
  <c r="O639" i="14"/>
  <c r="O640" i="14"/>
  <c r="O641" i="14"/>
  <c r="O642" i="14"/>
  <c r="O643" i="14"/>
  <c r="O644" i="14"/>
  <c r="O645" i="14"/>
  <c r="O646" i="14"/>
  <c r="O647" i="14"/>
  <c r="O648" i="14"/>
  <c r="O649" i="14"/>
  <c r="O650" i="14"/>
  <c r="O651" i="14"/>
  <c r="O652" i="14"/>
  <c r="O653" i="14"/>
  <c r="O654" i="14"/>
  <c r="O655" i="14"/>
  <c r="O656" i="14"/>
  <c r="O657" i="14"/>
  <c r="O658" i="14"/>
  <c r="O659" i="14"/>
  <c r="O660" i="14"/>
  <c r="O661" i="14"/>
  <c r="O662" i="14"/>
  <c r="O663" i="14"/>
  <c r="O664" i="14"/>
  <c r="O665" i="14"/>
  <c r="O666" i="14"/>
  <c r="O667" i="14"/>
  <c r="O668" i="14"/>
  <c r="O669" i="14"/>
  <c r="O670" i="14"/>
  <c r="O671" i="14"/>
  <c r="O672" i="14"/>
  <c r="O673" i="14"/>
  <c r="O674" i="14"/>
  <c r="O675" i="14"/>
  <c r="O676" i="14"/>
  <c r="O677" i="14"/>
  <c r="O678" i="14"/>
  <c r="O679" i="14"/>
  <c r="O680" i="14"/>
  <c r="O681" i="14"/>
  <c r="O682" i="14"/>
  <c r="O683" i="14"/>
  <c r="O684" i="14"/>
  <c r="O685" i="14"/>
  <c r="O686" i="14"/>
  <c r="O687" i="14"/>
  <c r="O688" i="14"/>
  <c r="O689" i="14"/>
  <c r="O690" i="14"/>
  <c r="O691" i="14"/>
  <c r="O692" i="14"/>
  <c r="O693" i="14"/>
  <c r="O694" i="14"/>
  <c r="O695" i="14"/>
  <c r="O696" i="14"/>
  <c r="O697" i="14"/>
  <c r="O698" i="14"/>
  <c r="O699" i="14"/>
  <c r="O700" i="14"/>
  <c r="O701" i="14"/>
  <c r="O702" i="14"/>
  <c r="O703" i="14"/>
  <c r="O704" i="14"/>
  <c r="O705" i="14"/>
  <c r="O706" i="14"/>
  <c r="O707" i="14"/>
  <c r="O708" i="14"/>
  <c r="O709" i="14"/>
  <c r="O710" i="14"/>
  <c r="O711" i="14"/>
  <c r="O712" i="14"/>
  <c r="O713" i="14"/>
  <c r="O714" i="14"/>
  <c r="O715" i="14"/>
  <c r="O716" i="14"/>
  <c r="O717" i="14"/>
  <c r="O718" i="14"/>
  <c r="O719" i="14"/>
  <c r="O720" i="14"/>
  <c r="O721" i="14"/>
  <c r="O722" i="14"/>
  <c r="O723" i="14"/>
  <c r="O724" i="14"/>
  <c r="O725" i="14"/>
  <c r="O726" i="14"/>
  <c r="O727" i="14"/>
  <c r="O728" i="14"/>
  <c r="O729" i="14"/>
  <c r="O730" i="14"/>
  <c r="O731" i="14"/>
  <c r="O732" i="14"/>
  <c r="O733" i="14"/>
  <c r="O734" i="14"/>
  <c r="O735" i="14"/>
  <c r="O736" i="14"/>
  <c r="O737" i="14"/>
  <c r="O738" i="14"/>
  <c r="O739" i="14"/>
  <c r="O740" i="14"/>
  <c r="O741" i="14"/>
  <c r="O742" i="14"/>
  <c r="O743" i="14"/>
  <c r="O744" i="14"/>
  <c r="O745" i="14"/>
  <c r="O746" i="14"/>
  <c r="O747" i="14"/>
  <c r="O748" i="14"/>
  <c r="O749" i="14"/>
  <c r="O750" i="14"/>
  <c r="O751" i="14"/>
  <c r="O752" i="14"/>
  <c r="O753" i="14"/>
  <c r="O754" i="14"/>
  <c r="O755" i="14"/>
  <c r="O756" i="14"/>
  <c r="O757" i="14"/>
  <c r="O758" i="14"/>
  <c r="O759" i="14"/>
  <c r="O760" i="14"/>
  <c r="O761" i="14"/>
  <c r="O762" i="14"/>
  <c r="O763" i="14"/>
  <c r="O764" i="14"/>
  <c r="O765" i="14"/>
  <c r="O766" i="14"/>
  <c r="O767" i="14"/>
  <c r="O768" i="14"/>
  <c r="O769" i="14"/>
  <c r="O770" i="14"/>
  <c r="O771" i="14"/>
  <c r="O772" i="14"/>
  <c r="O773" i="14"/>
  <c r="O774" i="14"/>
  <c r="O775" i="14"/>
  <c r="O776" i="14"/>
  <c r="O777" i="14"/>
  <c r="O778" i="14"/>
  <c r="O779" i="14"/>
  <c r="O780" i="14"/>
  <c r="O781" i="14"/>
  <c r="O782" i="14"/>
  <c r="O783" i="14"/>
  <c r="O784" i="14"/>
  <c r="O785" i="14"/>
  <c r="O786" i="14"/>
  <c r="O787" i="14"/>
  <c r="O788" i="14"/>
  <c r="O789" i="14"/>
  <c r="O790" i="14"/>
  <c r="O791" i="14"/>
  <c r="O792" i="14"/>
  <c r="O793" i="14"/>
  <c r="O794" i="14"/>
  <c r="O795" i="14"/>
  <c r="O796" i="14"/>
  <c r="O797" i="14"/>
  <c r="O798" i="14"/>
  <c r="O799" i="14"/>
  <c r="O800" i="14"/>
  <c r="O801" i="14"/>
  <c r="O802" i="14"/>
  <c r="O803" i="14"/>
  <c r="O804" i="14"/>
  <c r="O805" i="14"/>
  <c r="O806" i="14"/>
  <c r="O807" i="14"/>
  <c r="O808" i="14"/>
  <c r="O809" i="14"/>
  <c r="O810" i="14"/>
  <c r="O811" i="14"/>
  <c r="O812" i="14"/>
  <c r="O813" i="14"/>
  <c r="O814" i="14"/>
  <c r="O815" i="14"/>
  <c r="O816" i="14"/>
  <c r="O817" i="14"/>
  <c r="O818" i="14"/>
  <c r="O819" i="14"/>
  <c r="O820" i="14"/>
  <c r="O821" i="14"/>
  <c r="O822" i="14"/>
  <c r="O823" i="14"/>
  <c r="O824" i="14"/>
  <c r="O825" i="14"/>
  <c r="O826" i="14"/>
  <c r="O827" i="14"/>
  <c r="O828" i="14"/>
  <c r="O829" i="14"/>
  <c r="O830" i="14"/>
  <c r="O831" i="14"/>
  <c r="O832" i="14"/>
  <c r="O833" i="14"/>
  <c r="O834" i="14"/>
  <c r="O835" i="14"/>
  <c r="O836" i="14"/>
  <c r="O837" i="14"/>
  <c r="O838" i="14"/>
  <c r="O839" i="14"/>
  <c r="O840" i="14"/>
  <c r="O841" i="14"/>
  <c r="O842" i="14"/>
  <c r="O843" i="14"/>
  <c r="O844" i="14"/>
  <c r="O845" i="14"/>
  <c r="O846" i="14"/>
  <c r="O847" i="14"/>
  <c r="O848" i="14"/>
  <c r="O849" i="14"/>
  <c r="O850" i="14"/>
  <c r="O851" i="14"/>
  <c r="O852" i="14"/>
  <c r="O853" i="14"/>
  <c r="O854" i="14"/>
  <c r="O855" i="14"/>
  <c r="O856" i="14"/>
  <c r="O857" i="14"/>
  <c r="O858" i="14"/>
  <c r="O859" i="14"/>
  <c r="O860" i="14"/>
  <c r="O861" i="14"/>
  <c r="O862" i="14"/>
  <c r="O863" i="14"/>
  <c r="O864" i="14"/>
  <c r="O865" i="14"/>
  <c r="O866" i="14"/>
  <c r="O867" i="14"/>
  <c r="O868" i="14"/>
  <c r="O869" i="14"/>
  <c r="O870" i="14"/>
  <c r="O871" i="14"/>
  <c r="O872" i="14"/>
  <c r="O873" i="14"/>
  <c r="O874" i="14"/>
  <c r="O875" i="14"/>
  <c r="O876" i="14"/>
  <c r="O877" i="14"/>
  <c r="O878" i="14"/>
  <c r="O879" i="14"/>
  <c r="O880" i="14"/>
  <c r="O881" i="14"/>
  <c r="O882" i="14"/>
  <c r="O883" i="14"/>
  <c r="O884" i="14"/>
  <c r="O885" i="14"/>
  <c r="O886" i="14"/>
  <c r="O887" i="14"/>
  <c r="O888" i="14"/>
  <c r="O889" i="14"/>
  <c r="O890" i="14"/>
  <c r="O891" i="14"/>
  <c r="O892" i="14"/>
  <c r="O893" i="14"/>
  <c r="O894" i="14"/>
  <c r="O895" i="14"/>
  <c r="O896" i="14"/>
  <c r="O897" i="14"/>
  <c r="O898" i="14"/>
  <c r="O899" i="14"/>
  <c r="O900" i="14"/>
  <c r="O901" i="14"/>
  <c r="O902" i="14"/>
  <c r="O903" i="14"/>
  <c r="O904" i="14"/>
  <c r="O905" i="14"/>
  <c r="O906" i="14"/>
  <c r="O907" i="14"/>
  <c r="O908" i="14"/>
  <c r="O909" i="14"/>
  <c r="O910" i="14"/>
  <c r="O911" i="14"/>
  <c r="O912" i="14"/>
  <c r="O913" i="14"/>
  <c r="O914" i="14"/>
  <c r="O915" i="14"/>
  <c r="O916" i="14"/>
  <c r="O917" i="14"/>
  <c r="O918" i="14"/>
  <c r="O919" i="14"/>
  <c r="O920" i="14"/>
  <c r="O921" i="14"/>
  <c r="O922" i="14"/>
  <c r="O923" i="14"/>
  <c r="O924" i="14"/>
  <c r="O925" i="14"/>
  <c r="O926" i="14"/>
  <c r="O927" i="14"/>
  <c r="O928" i="14"/>
  <c r="O929" i="14"/>
  <c r="O930" i="14"/>
  <c r="O931" i="14"/>
  <c r="O932" i="14"/>
  <c r="O933" i="14"/>
  <c r="O934" i="14"/>
  <c r="O935" i="14"/>
  <c r="O936" i="14"/>
  <c r="O937" i="14"/>
  <c r="O938" i="14"/>
  <c r="O939" i="14"/>
  <c r="O940" i="14"/>
  <c r="O941" i="14"/>
  <c r="O942" i="14"/>
  <c r="O943" i="14"/>
  <c r="O944" i="14"/>
  <c r="O945" i="14"/>
  <c r="O946" i="14"/>
  <c r="O947" i="14"/>
  <c r="O948" i="14"/>
  <c r="O949" i="14"/>
  <c r="O950" i="14"/>
  <c r="O951" i="14"/>
  <c r="O952" i="14"/>
  <c r="O953" i="14"/>
  <c r="O954" i="14"/>
  <c r="O955" i="14"/>
  <c r="O956" i="14"/>
  <c r="O957" i="14"/>
  <c r="O958" i="14"/>
  <c r="O959" i="14"/>
  <c r="O960" i="14"/>
  <c r="O961" i="14"/>
  <c r="O962" i="14"/>
  <c r="O963" i="14"/>
  <c r="O964" i="14"/>
  <c r="O965" i="14"/>
  <c r="O966" i="14"/>
  <c r="O967" i="14"/>
  <c r="O968" i="14"/>
  <c r="O969" i="14"/>
  <c r="O970" i="14"/>
  <c r="O971" i="14"/>
  <c r="O972" i="14"/>
  <c r="O973" i="14"/>
  <c r="O974" i="14"/>
  <c r="O975" i="14"/>
  <c r="O976" i="14"/>
  <c r="O977" i="14"/>
  <c r="O978" i="14"/>
  <c r="O979" i="14"/>
  <c r="O980" i="14"/>
  <c r="O981" i="14"/>
  <c r="O982" i="14"/>
  <c r="O983" i="14"/>
  <c r="O984" i="14"/>
  <c r="O985" i="14"/>
  <c r="O986" i="14"/>
  <c r="O987" i="14"/>
  <c r="O988" i="14"/>
  <c r="O989" i="14"/>
  <c r="O990" i="14"/>
  <c r="O991" i="14"/>
  <c r="O992" i="14"/>
  <c r="O993" i="14"/>
  <c r="O994" i="14"/>
  <c r="O995" i="14"/>
  <c r="O996" i="14"/>
  <c r="O997" i="14"/>
  <c r="O998" i="14"/>
  <c r="O999" i="14"/>
  <c r="O1000" i="14"/>
  <c r="O1001" i="14"/>
  <c r="O1002" i="14"/>
  <c r="O1003" i="14"/>
  <c r="O1004" i="14"/>
  <c r="O1005" i="14"/>
  <c r="O1006" i="14"/>
  <c r="O1007" i="14"/>
  <c r="O1008" i="14"/>
  <c r="O1009" i="14"/>
  <c r="O1010" i="14"/>
  <c r="O1011" i="14"/>
  <c r="O1012" i="14"/>
  <c r="O1013" i="14"/>
  <c r="O1014" i="14"/>
  <c r="O1015" i="14"/>
  <c r="O1016" i="14"/>
  <c r="O1017" i="14"/>
  <c r="O1018" i="14"/>
  <c r="O1019" i="14"/>
  <c r="O1020" i="14"/>
  <c r="O1021" i="14"/>
  <c r="O1022" i="14"/>
  <c r="O1023" i="14"/>
  <c r="O1024" i="14"/>
  <c r="O1025" i="14"/>
  <c r="O1026" i="14"/>
  <c r="O1027" i="14"/>
  <c r="O1028" i="14"/>
  <c r="O1029" i="14"/>
  <c r="O1030" i="14"/>
  <c r="O1031" i="14"/>
  <c r="O1032" i="14"/>
  <c r="O1033" i="14"/>
  <c r="O1034" i="14"/>
  <c r="O1035" i="14"/>
  <c r="O1036" i="14"/>
  <c r="O1037" i="14"/>
  <c r="O1038" i="14"/>
  <c r="O1039" i="14"/>
  <c r="O1040" i="14"/>
  <c r="O1041" i="14"/>
  <c r="O1042" i="14"/>
  <c r="O1043" i="14"/>
  <c r="O1044" i="14"/>
  <c r="O1045" i="14"/>
  <c r="O1046" i="14"/>
  <c r="O1047" i="14"/>
  <c r="O1048" i="14"/>
  <c r="O1049" i="14"/>
  <c r="O1050" i="14"/>
  <c r="O1051" i="14"/>
  <c r="O1052" i="14"/>
  <c r="O1053" i="14"/>
  <c r="O1054" i="14"/>
  <c r="O1055" i="14"/>
  <c r="O1056" i="14"/>
  <c r="O1057" i="14"/>
  <c r="O1058" i="14"/>
  <c r="O1059" i="14"/>
  <c r="O1060" i="14"/>
  <c r="O1061" i="14"/>
  <c r="O1062" i="14"/>
  <c r="O1063" i="14"/>
  <c r="O1064" i="14"/>
  <c r="O1065" i="14"/>
  <c r="O1066" i="14"/>
  <c r="O1067" i="14"/>
  <c r="O1068" i="14"/>
  <c r="O1069" i="14"/>
  <c r="O1070" i="14"/>
  <c r="O1071" i="14"/>
  <c r="O1072" i="14"/>
  <c r="O1073" i="14"/>
  <c r="O1074" i="14"/>
  <c r="O1075" i="14"/>
  <c r="O1076" i="14"/>
  <c r="O1077" i="14"/>
  <c r="O1078" i="14"/>
  <c r="O1079" i="14"/>
  <c r="O1080" i="14"/>
  <c r="O1081" i="14"/>
  <c r="O1082" i="14"/>
  <c r="O1083" i="14"/>
  <c r="O1084" i="14"/>
  <c r="O1085" i="14"/>
  <c r="O1086" i="14"/>
  <c r="O1087" i="14"/>
  <c r="O1088" i="14"/>
  <c r="O1089" i="14"/>
  <c r="O1090" i="14"/>
  <c r="O1091" i="14"/>
  <c r="O1092" i="14"/>
  <c r="O1093" i="14"/>
  <c r="O1094" i="14"/>
  <c r="O1095" i="14"/>
  <c r="O1096" i="14"/>
  <c r="O1097" i="14"/>
  <c r="O1098" i="14"/>
  <c r="O1099" i="14"/>
  <c r="O1100" i="14"/>
  <c r="O1101" i="14"/>
  <c r="O1102" i="14"/>
  <c r="O1103" i="14"/>
  <c r="O1104" i="14"/>
  <c r="O1105" i="14"/>
  <c r="O1106" i="14"/>
  <c r="O1107" i="14"/>
  <c r="O1108" i="14"/>
  <c r="O1109" i="14"/>
  <c r="O1110" i="14"/>
  <c r="O1111" i="14"/>
  <c r="O1112" i="14"/>
  <c r="O1113" i="14"/>
  <c r="O1114" i="14"/>
  <c r="O1115" i="14"/>
  <c r="O1116" i="14"/>
  <c r="O1117" i="14"/>
  <c r="O1118" i="14"/>
  <c r="O1119" i="14"/>
  <c r="O1120" i="14"/>
  <c r="O1121" i="14"/>
  <c r="O1122" i="14"/>
  <c r="O1123" i="14"/>
  <c r="O1124" i="14"/>
  <c r="O1125" i="14"/>
  <c r="O1126" i="14"/>
  <c r="O1127" i="14"/>
  <c r="O1128" i="14"/>
  <c r="O1129" i="14"/>
  <c r="O1130" i="14"/>
  <c r="O1131" i="14"/>
  <c r="O1132" i="14"/>
  <c r="O1133" i="14"/>
  <c r="O1134" i="14"/>
  <c r="O1135" i="14"/>
  <c r="O1136" i="14"/>
  <c r="O1137" i="14"/>
  <c r="O1138" i="14"/>
  <c r="O1139" i="14"/>
  <c r="O1140" i="14"/>
  <c r="O1141" i="14"/>
  <c r="O1142" i="14"/>
  <c r="O1143" i="14"/>
  <c r="O1144" i="14"/>
  <c r="O1145" i="14"/>
  <c r="O1146" i="14"/>
  <c r="O1147" i="14"/>
  <c r="O1148" i="14"/>
  <c r="O1149" i="14"/>
  <c r="O1150" i="14"/>
  <c r="O1151" i="14"/>
  <c r="O1152" i="14"/>
  <c r="O1153" i="14"/>
  <c r="O1154" i="14"/>
  <c r="O1155" i="14"/>
  <c r="O1156" i="14"/>
  <c r="O1157" i="14"/>
  <c r="O1158" i="14"/>
  <c r="O1159" i="14"/>
  <c r="O1160" i="14"/>
  <c r="O1161" i="14"/>
  <c r="O1162" i="14"/>
  <c r="O1163" i="14"/>
  <c r="O1164" i="14"/>
  <c r="O1165" i="14"/>
  <c r="O1166" i="14"/>
  <c r="O1167" i="14"/>
  <c r="O1168" i="14"/>
  <c r="O1169" i="14"/>
  <c r="O1170" i="14"/>
  <c r="O1171" i="14"/>
  <c r="O1172" i="14"/>
  <c r="O1173" i="14"/>
  <c r="O1174" i="14"/>
  <c r="O1175" i="14"/>
  <c r="O1176" i="14"/>
  <c r="O1177" i="14"/>
  <c r="O1178" i="14"/>
  <c r="O1179" i="14"/>
  <c r="O1180" i="14"/>
  <c r="O1181" i="14"/>
  <c r="O1182" i="14"/>
  <c r="O1183" i="14"/>
  <c r="O1184" i="14"/>
  <c r="O1185" i="14"/>
  <c r="O1186" i="14"/>
  <c r="O1187" i="14"/>
  <c r="O1188" i="14"/>
  <c r="O1189" i="14"/>
  <c r="O1190" i="14"/>
  <c r="O1191" i="14"/>
  <c r="O1192" i="14"/>
  <c r="O1193" i="14"/>
  <c r="O1194" i="14"/>
  <c r="O1195" i="14"/>
  <c r="O1196" i="14"/>
  <c r="O1197" i="14"/>
  <c r="O1198" i="14"/>
  <c r="O1199" i="14"/>
  <c r="O1200" i="14"/>
  <c r="O1201" i="14"/>
  <c r="O1202" i="14"/>
  <c r="O1203" i="14"/>
  <c r="O1204" i="14"/>
  <c r="O1205" i="14"/>
  <c r="O1206" i="14"/>
  <c r="O1207" i="14"/>
  <c r="O1208" i="14"/>
  <c r="O1209" i="14"/>
  <c r="O1210" i="14"/>
  <c r="O1211" i="14"/>
  <c r="O1212" i="14"/>
  <c r="O1213" i="14"/>
  <c r="O1214" i="14"/>
  <c r="O1215" i="14"/>
  <c r="O1216" i="14"/>
  <c r="O1217" i="14"/>
  <c r="O1218" i="14"/>
  <c r="O1219" i="14"/>
  <c r="O1220" i="14"/>
  <c r="O1221" i="14"/>
  <c r="O1222" i="14"/>
  <c r="O1223" i="14"/>
  <c r="O1224" i="14"/>
  <c r="O1225" i="14"/>
  <c r="O1226" i="14"/>
  <c r="O1227" i="14"/>
  <c r="O1228" i="14"/>
  <c r="O1229" i="14"/>
  <c r="O1230" i="14"/>
  <c r="O1231" i="14"/>
  <c r="O1232" i="14"/>
  <c r="O1233" i="14"/>
  <c r="O1234" i="14"/>
  <c r="O1235" i="14"/>
  <c r="O1236" i="14"/>
  <c r="O1237" i="14"/>
  <c r="O1238" i="14"/>
  <c r="O1239" i="14"/>
  <c r="O1240" i="14"/>
  <c r="O1241" i="14"/>
  <c r="O1242" i="14"/>
  <c r="O1243" i="14"/>
  <c r="O1244" i="14"/>
  <c r="O1245" i="14"/>
  <c r="O1246" i="14"/>
  <c r="O1247" i="14"/>
  <c r="O1248" i="14"/>
  <c r="O1249" i="14"/>
  <c r="O1250" i="14"/>
  <c r="O1251" i="14"/>
  <c r="O1252" i="14"/>
  <c r="O1253" i="14"/>
  <c r="O1254" i="14"/>
  <c r="O1255" i="14"/>
  <c r="O1256" i="14"/>
  <c r="O1257" i="14"/>
  <c r="O1258" i="14"/>
  <c r="O1259" i="14"/>
  <c r="O1260" i="14"/>
  <c r="O1261" i="14"/>
  <c r="O1262" i="14"/>
  <c r="O1263" i="14"/>
  <c r="O1264" i="14"/>
  <c r="O1265" i="14"/>
  <c r="O1266" i="14"/>
  <c r="O1267" i="14"/>
  <c r="O1268" i="14"/>
  <c r="O1269" i="14"/>
  <c r="O1270" i="14"/>
  <c r="O1271" i="14"/>
  <c r="O1272" i="14"/>
  <c r="O1273" i="14"/>
  <c r="O1274" i="14"/>
  <c r="O1275" i="14"/>
  <c r="O1276" i="14"/>
  <c r="O1277" i="14"/>
  <c r="O1278" i="14"/>
  <c r="O1279" i="14"/>
  <c r="O1280" i="14"/>
  <c r="O1281" i="14"/>
  <c r="O1282" i="14"/>
  <c r="O1283" i="14"/>
  <c r="O1284" i="14"/>
  <c r="O1285" i="14"/>
  <c r="O1286" i="14"/>
  <c r="O1287" i="14"/>
  <c r="O1288" i="14"/>
  <c r="O1289" i="14"/>
  <c r="O1290" i="14"/>
  <c r="O1291" i="14"/>
  <c r="O1292" i="14"/>
  <c r="O1293" i="14"/>
  <c r="O1294" i="14"/>
  <c r="O1295" i="14"/>
  <c r="O1296" i="14"/>
  <c r="O1297" i="14"/>
  <c r="O1298" i="14"/>
  <c r="O1299" i="14"/>
  <c r="O1300" i="14"/>
  <c r="O1301" i="14"/>
  <c r="O1302" i="14"/>
  <c r="O1303" i="14"/>
  <c r="O1304" i="14"/>
  <c r="O1305" i="14"/>
  <c r="O1306" i="14"/>
  <c r="O1307" i="14"/>
  <c r="O1308" i="14"/>
  <c r="O1309" i="14"/>
  <c r="O1310" i="14"/>
  <c r="O1311" i="14"/>
  <c r="O1312" i="14"/>
  <c r="O1313" i="14"/>
  <c r="O1314" i="14"/>
  <c r="O1315" i="14"/>
  <c r="O1316" i="14"/>
  <c r="O1317" i="14"/>
  <c r="O1318" i="14"/>
  <c r="O1319" i="14"/>
  <c r="O1320" i="14"/>
  <c r="O1321" i="14"/>
  <c r="O1322" i="14"/>
  <c r="O1323" i="14"/>
  <c r="O1324" i="14"/>
  <c r="O1325" i="14"/>
  <c r="O1326" i="14"/>
  <c r="O1327" i="14"/>
  <c r="O1328" i="14"/>
  <c r="O1329" i="14"/>
  <c r="O1330" i="14"/>
  <c r="O1331" i="14"/>
  <c r="O1332" i="14"/>
  <c r="O1333" i="14"/>
  <c r="O1334" i="14"/>
  <c r="O1335" i="14"/>
  <c r="O1336" i="14"/>
  <c r="O1337" i="14"/>
  <c r="O1338" i="14"/>
  <c r="O1339" i="14"/>
  <c r="O1340" i="14"/>
  <c r="O1341" i="14"/>
  <c r="O1342" i="14"/>
  <c r="O1343" i="14"/>
  <c r="O1344" i="14"/>
  <c r="O1345" i="14"/>
  <c r="O1346" i="14"/>
  <c r="O1347" i="14"/>
  <c r="O1348" i="14"/>
  <c r="O1349" i="14"/>
  <c r="O1350" i="14"/>
  <c r="O1351" i="14"/>
  <c r="O1352" i="14"/>
  <c r="O1353" i="14"/>
  <c r="O1354" i="14"/>
  <c r="O1355" i="14"/>
  <c r="O1356" i="14"/>
  <c r="O1357" i="14"/>
  <c r="O1358" i="14"/>
  <c r="O1359" i="14"/>
  <c r="O1360" i="14"/>
  <c r="O1361" i="14"/>
  <c r="O1362" i="14"/>
  <c r="O1363" i="14"/>
  <c r="O1364" i="14"/>
  <c r="O1365" i="14"/>
  <c r="O1366" i="14"/>
  <c r="O1367" i="14"/>
  <c r="O1368" i="14"/>
  <c r="O1369" i="14"/>
  <c r="O1370" i="14"/>
  <c r="O1371" i="14"/>
  <c r="O1372" i="14"/>
  <c r="O1373" i="14"/>
  <c r="O1374" i="14"/>
  <c r="O1375" i="14"/>
  <c r="O1376" i="14"/>
  <c r="O1377" i="14"/>
  <c r="O1378" i="14"/>
  <c r="O1379" i="14"/>
  <c r="O1380" i="14"/>
  <c r="O1381" i="14"/>
  <c r="O1382" i="14"/>
  <c r="O1383" i="14"/>
  <c r="O1384" i="14"/>
  <c r="O1385" i="14"/>
  <c r="O1386" i="14"/>
  <c r="O1387" i="14"/>
  <c r="O1388" i="14"/>
  <c r="O1389" i="14"/>
  <c r="O1390" i="14"/>
  <c r="O1391" i="14"/>
  <c r="O1392" i="14"/>
  <c r="O1393" i="14"/>
  <c r="O1394" i="14"/>
  <c r="O1395" i="14"/>
  <c r="O1396" i="14"/>
  <c r="O1397" i="14"/>
  <c r="O1398" i="14"/>
  <c r="O1399" i="14"/>
  <c r="O1400" i="14"/>
  <c r="O1401" i="14"/>
  <c r="O1402" i="14"/>
  <c r="O1403" i="14"/>
  <c r="O1404" i="14"/>
  <c r="O1405" i="14"/>
  <c r="O1406" i="14"/>
  <c r="O1407" i="14"/>
  <c r="O1408" i="14"/>
  <c r="O1409" i="14"/>
  <c r="O1410" i="14"/>
  <c r="O1411" i="14"/>
  <c r="O1412" i="14"/>
  <c r="O1413" i="14"/>
  <c r="O1414" i="14"/>
  <c r="O1415" i="14"/>
  <c r="O1416" i="14"/>
  <c r="O1417" i="14"/>
  <c r="O1418" i="14"/>
  <c r="O1419" i="14"/>
  <c r="O1420" i="14"/>
  <c r="O1421" i="14"/>
  <c r="O1422" i="14"/>
  <c r="O1423" i="14"/>
  <c r="O1424" i="14"/>
  <c r="O1425" i="14"/>
  <c r="O1426" i="14"/>
  <c r="O1427" i="14"/>
  <c r="O1428" i="14"/>
  <c r="O1429" i="14"/>
  <c r="O1430" i="14"/>
  <c r="O1431" i="14"/>
  <c r="O1432" i="14"/>
  <c r="O1433" i="14"/>
  <c r="O1434" i="14"/>
  <c r="O1435" i="14"/>
  <c r="O1436" i="14"/>
  <c r="O1437" i="14"/>
  <c r="O1438" i="14"/>
  <c r="O1439" i="14"/>
  <c r="O1440" i="14"/>
  <c r="O1441" i="14"/>
  <c r="O1442" i="14"/>
  <c r="O1443" i="14"/>
  <c r="O1444" i="14"/>
  <c r="O1445" i="14"/>
  <c r="O1446" i="14"/>
  <c r="O1447" i="14"/>
  <c r="O1448" i="14"/>
  <c r="O1449" i="14"/>
  <c r="O1450" i="14"/>
  <c r="O1451" i="14"/>
  <c r="O1452" i="14"/>
  <c r="O1453" i="14"/>
  <c r="O1454" i="14"/>
  <c r="O1455" i="14"/>
  <c r="O1456" i="14"/>
  <c r="O1457" i="14"/>
  <c r="O1458" i="14"/>
  <c r="O1459" i="14"/>
  <c r="O1460" i="14"/>
  <c r="O1461" i="14"/>
  <c r="O1462" i="14"/>
  <c r="O1463" i="14"/>
  <c r="O1464" i="14"/>
  <c r="O1465" i="14"/>
  <c r="O1466" i="14"/>
  <c r="O1467" i="14"/>
  <c r="O1468" i="14"/>
  <c r="O1469" i="14"/>
  <c r="O1470" i="14"/>
  <c r="O1471" i="14"/>
  <c r="O1472" i="14"/>
  <c r="O1473" i="14"/>
  <c r="O1474" i="14"/>
  <c r="O1475" i="14"/>
  <c r="O1476" i="14"/>
  <c r="O1477" i="14"/>
  <c r="O1478" i="14"/>
  <c r="O1479" i="14"/>
  <c r="O1480" i="14"/>
  <c r="O1481" i="14"/>
  <c r="O1482" i="14"/>
  <c r="O1483" i="14"/>
  <c r="O1484" i="14"/>
  <c r="O1485" i="14"/>
  <c r="O1486" i="14"/>
  <c r="O1487" i="14"/>
  <c r="O1488" i="14"/>
  <c r="O1489" i="14"/>
  <c r="O1490" i="14"/>
  <c r="O1491" i="14"/>
  <c r="O1492" i="14"/>
  <c r="O1493" i="14"/>
  <c r="O1494" i="14"/>
  <c r="O1495" i="14"/>
  <c r="O1496" i="14"/>
  <c r="O1497" i="14"/>
  <c r="O1498" i="14"/>
  <c r="O1499" i="14"/>
  <c r="O1500" i="14"/>
  <c r="O1501" i="14"/>
  <c r="O2" i="14"/>
  <c r="J3" i="14"/>
  <c r="K3" i="14"/>
  <c r="L3" i="14"/>
  <c r="M3" i="14"/>
  <c r="N3" i="14"/>
  <c r="J4" i="14"/>
  <c r="K4" i="14"/>
  <c r="L4" i="14"/>
  <c r="M4" i="14" s="1"/>
  <c r="N4" i="14"/>
  <c r="J5" i="14"/>
  <c r="K5" i="14"/>
  <c r="L5" i="14" s="1"/>
  <c r="J6" i="14"/>
  <c r="K6" i="14"/>
  <c r="L6" i="14"/>
  <c r="M6" i="14"/>
  <c r="N6" i="14"/>
  <c r="J7" i="14"/>
  <c r="K7" i="14"/>
  <c r="L7" i="14" s="1"/>
  <c r="J8" i="14"/>
  <c r="K8" i="14"/>
  <c r="L8" i="14"/>
  <c r="M8" i="14"/>
  <c r="N8" i="14"/>
  <c r="J9" i="14"/>
  <c r="K9" i="14"/>
  <c r="J10" i="14"/>
  <c r="K10" i="14"/>
  <c r="L10" i="14" s="1"/>
  <c r="M10" i="14"/>
  <c r="N10" i="14"/>
  <c r="J11" i="14"/>
  <c r="K11" i="14"/>
  <c r="L11" i="14"/>
  <c r="J12" i="14"/>
  <c r="L12" i="14" s="1"/>
  <c r="K12" i="14"/>
  <c r="J13" i="14"/>
  <c r="K13" i="14"/>
  <c r="L13" i="14"/>
  <c r="M13" i="14" s="1"/>
  <c r="N13" i="14"/>
  <c r="J14" i="14"/>
  <c r="L14" i="14" s="1"/>
  <c r="N14" i="14" s="1"/>
  <c r="K14" i="14"/>
  <c r="M14" i="14"/>
  <c r="J15" i="14"/>
  <c r="L15" i="14" s="1"/>
  <c r="M15" i="14" s="1"/>
  <c r="K15" i="14"/>
  <c r="N15" i="14"/>
  <c r="J16" i="14"/>
  <c r="L16" i="14" s="1"/>
  <c r="K16" i="14"/>
  <c r="J17" i="14"/>
  <c r="K17" i="14"/>
  <c r="L17" i="14" s="1"/>
  <c r="J18" i="14"/>
  <c r="K18" i="14"/>
  <c r="L18" i="14"/>
  <c r="M18" i="14"/>
  <c r="N18" i="14"/>
  <c r="J19" i="14"/>
  <c r="K19" i="14"/>
  <c r="L19" i="14" s="1"/>
  <c r="J20" i="14"/>
  <c r="K20" i="14"/>
  <c r="L20" i="14"/>
  <c r="J21" i="14"/>
  <c r="K21" i="14"/>
  <c r="L21" i="14"/>
  <c r="N21" i="14" s="1"/>
  <c r="M21" i="14"/>
  <c r="J22" i="14"/>
  <c r="K22" i="14"/>
  <c r="L22" i="14"/>
  <c r="M22" i="14"/>
  <c r="N22" i="14"/>
  <c r="J23" i="14"/>
  <c r="K23" i="14"/>
  <c r="L23" i="14" s="1"/>
  <c r="M23" i="14"/>
  <c r="N23" i="14"/>
  <c r="J24" i="14"/>
  <c r="K24" i="14"/>
  <c r="J25" i="14"/>
  <c r="K25" i="14"/>
  <c r="L25" i="14" s="1"/>
  <c r="J26" i="14"/>
  <c r="K26" i="14"/>
  <c r="L26" i="14"/>
  <c r="J27" i="14"/>
  <c r="K27" i="14"/>
  <c r="L27" i="14"/>
  <c r="M27" i="14"/>
  <c r="N27" i="14"/>
  <c r="J28" i="14"/>
  <c r="K28" i="14"/>
  <c r="L28" i="14" s="1"/>
  <c r="J29" i="14"/>
  <c r="L29" i="14" s="1"/>
  <c r="K29" i="14"/>
  <c r="J30" i="14"/>
  <c r="K30" i="14"/>
  <c r="L30" i="14"/>
  <c r="M30" i="14" s="1"/>
  <c r="N30" i="14"/>
  <c r="J31" i="14"/>
  <c r="K31" i="14"/>
  <c r="J32" i="14"/>
  <c r="K32" i="14"/>
  <c r="L32" i="14"/>
  <c r="M32" i="14"/>
  <c r="N32" i="14"/>
  <c r="J33" i="14"/>
  <c r="K33" i="14"/>
  <c r="L33" i="14"/>
  <c r="N33" i="14" s="1"/>
  <c r="M33" i="14"/>
  <c r="J34" i="14"/>
  <c r="K34" i="14"/>
  <c r="L34" i="14"/>
  <c r="N34" i="14" s="1"/>
  <c r="J35" i="14"/>
  <c r="K35" i="14"/>
  <c r="J36" i="14"/>
  <c r="L36" i="14" s="1"/>
  <c r="K36" i="14"/>
  <c r="J37" i="14"/>
  <c r="K37" i="14"/>
  <c r="L37" i="14"/>
  <c r="M37" i="14"/>
  <c r="N37" i="14"/>
  <c r="J38" i="14"/>
  <c r="K38" i="14"/>
  <c r="L38" i="14" s="1"/>
  <c r="N38" i="14" s="1"/>
  <c r="J39" i="14"/>
  <c r="K39" i="14"/>
  <c r="L39" i="14" s="1"/>
  <c r="J40" i="14"/>
  <c r="K40" i="14"/>
  <c r="L40" i="14"/>
  <c r="M40" i="14"/>
  <c r="N40" i="14"/>
  <c r="J41" i="14"/>
  <c r="K41" i="14"/>
  <c r="L41" i="14" s="1"/>
  <c r="J42" i="14"/>
  <c r="K42" i="14"/>
  <c r="L42" i="14"/>
  <c r="J43" i="14"/>
  <c r="K43" i="14"/>
  <c r="L43" i="14"/>
  <c r="M43" i="14" s="1"/>
  <c r="N43" i="14"/>
  <c r="J44" i="14"/>
  <c r="K44" i="14"/>
  <c r="L44" i="14"/>
  <c r="N44" i="14" s="1"/>
  <c r="M44" i="14"/>
  <c r="J45" i="14"/>
  <c r="K45" i="14"/>
  <c r="L45" i="14" s="1"/>
  <c r="N45" i="14" s="1"/>
  <c r="M45" i="14"/>
  <c r="J46" i="14"/>
  <c r="K46" i="14"/>
  <c r="L46" i="14"/>
  <c r="M46" i="14"/>
  <c r="N46" i="14"/>
  <c r="J47" i="14"/>
  <c r="K47" i="14"/>
  <c r="L47" i="14" s="1"/>
  <c r="J48" i="14"/>
  <c r="K48" i="14"/>
  <c r="L48" i="14" s="1"/>
  <c r="M48" i="14"/>
  <c r="N48" i="14"/>
  <c r="J49" i="14"/>
  <c r="K49" i="14"/>
  <c r="L49" i="14" s="1"/>
  <c r="M49" i="14" s="1"/>
  <c r="N49" i="14"/>
  <c r="J50" i="14"/>
  <c r="L50" i="14" s="1"/>
  <c r="K50" i="14"/>
  <c r="J51" i="14"/>
  <c r="K51" i="14"/>
  <c r="L51" i="14"/>
  <c r="M51" i="14"/>
  <c r="N51" i="14"/>
  <c r="J52" i="14"/>
  <c r="L52" i="14" s="1"/>
  <c r="N52" i="14" s="1"/>
  <c r="K52" i="14"/>
  <c r="M52" i="14"/>
  <c r="J53" i="14"/>
  <c r="L53" i="14" s="1"/>
  <c r="K53" i="14"/>
  <c r="J54" i="14"/>
  <c r="K54" i="14"/>
  <c r="L54" i="14"/>
  <c r="J55" i="14"/>
  <c r="K55" i="14"/>
  <c r="L55" i="14" s="1"/>
  <c r="J56" i="14"/>
  <c r="K56" i="14"/>
  <c r="L56" i="14"/>
  <c r="M56" i="14"/>
  <c r="N56" i="14"/>
  <c r="J57" i="14"/>
  <c r="K57" i="14"/>
  <c r="L57" i="14" s="1"/>
  <c r="J58" i="14"/>
  <c r="K58" i="14"/>
  <c r="L58" i="14"/>
  <c r="J59" i="14"/>
  <c r="K59" i="14"/>
  <c r="L59" i="14"/>
  <c r="J60" i="14"/>
  <c r="L60" i="14" s="1"/>
  <c r="K60" i="14"/>
  <c r="J61" i="14"/>
  <c r="K61" i="14"/>
  <c r="L61" i="14" s="1"/>
  <c r="J62" i="14"/>
  <c r="K62" i="14"/>
  <c r="L62" i="14"/>
  <c r="N62" i="14" s="1"/>
  <c r="M62" i="14"/>
  <c r="J63" i="14"/>
  <c r="L63" i="14" s="1"/>
  <c r="N63" i="14" s="1"/>
  <c r="K63" i="14"/>
  <c r="J64" i="14"/>
  <c r="K64" i="14"/>
  <c r="J65" i="14"/>
  <c r="K65" i="14"/>
  <c r="L65" i="14" s="1"/>
  <c r="J66" i="14"/>
  <c r="K66" i="14"/>
  <c r="L66" i="14"/>
  <c r="J67" i="14"/>
  <c r="K67" i="14"/>
  <c r="L67" i="14" s="1"/>
  <c r="M67" i="14" s="1"/>
  <c r="J68" i="14"/>
  <c r="K68" i="14"/>
  <c r="L68" i="14" s="1"/>
  <c r="J69" i="14"/>
  <c r="K69" i="14"/>
  <c r="L69" i="14" s="1"/>
  <c r="N69" i="14" s="1"/>
  <c r="M69" i="14"/>
  <c r="J70" i="14"/>
  <c r="K70" i="14"/>
  <c r="L70" i="14"/>
  <c r="M70" i="14"/>
  <c r="N70" i="14"/>
  <c r="J71" i="14"/>
  <c r="K71" i="14"/>
  <c r="L71" i="14" s="1"/>
  <c r="M71" i="14"/>
  <c r="N71" i="14"/>
  <c r="J72" i="14"/>
  <c r="K72" i="14"/>
  <c r="J73" i="14"/>
  <c r="K73" i="14"/>
  <c r="J74" i="14"/>
  <c r="K74" i="14"/>
  <c r="J75" i="14"/>
  <c r="K75" i="14"/>
  <c r="L75" i="14"/>
  <c r="M75" i="14"/>
  <c r="N75" i="14"/>
  <c r="J76" i="14"/>
  <c r="K76" i="14"/>
  <c r="L76" i="14"/>
  <c r="J77" i="14"/>
  <c r="K77" i="14"/>
  <c r="L77" i="14"/>
  <c r="J78" i="14"/>
  <c r="K78" i="14"/>
  <c r="L78" i="14"/>
  <c r="M78" i="14" s="1"/>
  <c r="J79" i="14"/>
  <c r="K79" i="14"/>
  <c r="L79" i="14" s="1"/>
  <c r="J80" i="14"/>
  <c r="K80" i="14"/>
  <c r="L80" i="14"/>
  <c r="N80" i="14" s="1"/>
  <c r="M80" i="14"/>
  <c r="J81" i="14"/>
  <c r="K81" i="14"/>
  <c r="L81" i="14"/>
  <c r="M81" i="14"/>
  <c r="N81" i="14"/>
  <c r="J82" i="14"/>
  <c r="K82" i="14"/>
  <c r="L82" i="14"/>
  <c r="N82" i="14" s="1"/>
  <c r="J83" i="14"/>
  <c r="L83" i="14" s="1"/>
  <c r="K83" i="14"/>
  <c r="M83" i="14"/>
  <c r="N83" i="14"/>
  <c r="J84" i="14"/>
  <c r="L84" i="14" s="1"/>
  <c r="K84" i="14"/>
  <c r="J85" i="14"/>
  <c r="K85" i="14"/>
  <c r="L85" i="14" s="1"/>
  <c r="J86" i="14"/>
  <c r="K86" i="14"/>
  <c r="L86" i="14" s="1"/>
  <c r="J87" i="14"/>
  <c r="K87" i="14"/>
  <c r="L87" i="14"/>
  <c r="M87" i="14"/>
  <c r="N87" i="14"/>
  <c r="J88" i="14"/>
  <c r="K88" i="14"/>
  <c r="L88" i="14"/>
  <c r="J89" i="14"/>
  <c r="K89" i="14"/>
  <c r="L89" i="14" s="1"/>
  <c r="J90" i="14"/>
  <c r="L90" i="14" s="1"/>
  <c r="K90" i="14"/>
  <c r="J91" i="14"/>
  <c r="K91" i="14"/>
  <c r="L91" i="14" s="1"/>
  <c r="J92" i="14"/>
  <c r="K92" i="14"/>
  <c r="L92" i="14"/>
  <c r="M92" i="14"/>
  <c r="N92" i="14"/>
  <c r="J93" i="14"/>
  <c r="K93" i="14"/>
  <c r="J94" i="14"/>
  <c r="K94" i="14"/>
  <c r="L94" i="14"/>
  <c r="M94" i="14"/>
  <c r="N94" i="14"/>
  <c r="J95" i="14"/>
  <c r="K95" i="14"/>
  <c r="L95" i="14" s="1"/>
  <c r="J96" i="14"/>
  <c r="K96" i="14"/>
  <c r="L96" i="14" s="1"/>
  <c r="M96" i="14" s="1"/>
  <c r="N96" i="14"/>
  <c r="J97" i="14"/>
  <c r="K97" i="14"/>
  <c r="L97" i="14"/>
  <c r="M97" i="14"/>
  <c r="N97" i="14"/>
  <c r="J98" i="14"/>
  <c r="K98" i="14"/>
  <c r="L98" i="14" s="1"/>
  <c r="J99" i="14"/>
  <c r="K99" i="14"/>
  <c r="L99" i="14" s="1"/>
  <c r="J100" i="14"/>
  <c r="K100" i="14"/>
  <c r="L100" i="14"/>
  <c r="M100" i="14" s="1"/>
  <c r="N100" i="14"/>
  <c r="J101" i="14"/>
  <c r="L101" i="14" s="1"/>
  <c r="K101" i="14"/>
  <c r="J102" i="14"/>
  <c r="K102" i="14"/>
  <c r="L102" i="14" s="1"/>
  <c r="J103" i="14"/>
  <c r="L103" i="14" s="1"/>
  <c r="K103" i="14"/>
  <c r="J104" i="14"/>
  <c r="K104" i="14"/>
  <c r="L104" i="14"/>
  <c r="N104" i="14" s="1"/>
  <c r="M104" i="14"/>
  <c r="J105" i="14"/>
  <c r="K105" i="14"/>
  <c r="L105" i="14"/>
  <c r="M105" i="14" s="1"/>
  <c r="N105" i="14"/>
  <c r="J106" i="14"/>
  <c r="K106" i="14"/>
  <c r="L106" i="14"/>
  <c r="M106" i="14"/>
  <c r="N106" i="14"/>
  <c r="J107" i="14"/>
  <c r="K107" i="14"/>
  <c r="L107" i="14" s="1"/>
  <c r="J108" i="14"/>
  <c r="K108" i="14"/>
  <c r="L108" i="14" s="1"/>
  <c r="J109" i="14"/>
  <c r="K109" i="14"/>
  <c r="L109" i="14"/>
  <c r="N109" i="14" s="1"/>
  <c r="M109" i="14"/>
  <c r="J110" i="14"/>
  <c r="K110" i="14"/>
  <c r="J111" i="14"/>
  <c r="L111" i="14" s="1"/>
  <c r="K111" i="14"/>
  <c r="J112" i="14"/>
  <c r="K112" i="14"/>
  <c r="L112" i="14"/>
  <c r="M112" i="14" s="1"/>
  <c r="N112" i="14"/>
  <c r="J113" i="14"/>
  <c r="K113" i="14"/>
  <c r="J114" i="14"/>
  <c r="K114" i="14"/>
  <c r="L114" i="14"/>
  <c r="N114" i="14" s="1"/>
  <c r="M114" i="14"/>
  <c r="J115" i="14"/>
  <c r="K115" i="14"/>
  <c r="L115" i="14" s="1"/>
  <c r="M115" i="14" s="1"/>
  <c r="J116" i="14"/>
  <c r="L116" i="14" s="1"/>
  <c r="K116" i="14"/>
  <c r="J117" i="14"/>
  <c r="K117" i="14"/>
  <c r="L117" i="14"/>
  <c r="J118" i="14"/>
  <c r="K118" i="14"/>
  <c r="L118" i="14"/>
  <c r="M118" i="14" s="1"/>
  <c r="N118" i="14"/>
  <c r="J119" i="14"/>
  <c r="K119" i="14"/>
  <c r="L119" i="14"/>
  <c r="M119" i="14"/>
  <c r="N119" i="14"/>
  <c r="J120" i="14"/>
  <c r="K120" i="14"/>
  <c r="L120" i="14" s="1"/>
  <c r="J121" i="14"/>
  <c r="K121" i="14"/>
  <c r="L121" i="14" s="1"/>
  <c r="M121" i="14" s="1"/>
  <c r="N121" i="14"/>
  <c r="J122" i="14"/>
  <c r="K122" i="14"/>
  <c r="L122" i="14"/>
  <c r="N122" i="14" s="1"/>
  <c r="J123" i="14"/>
  <c r="K123" i="14"/>
  <c r="L123" i="14" s="1"/>
  <c r="J124" i="14"/>
  <c r="K124" i="14"/>
  <c r="J125" i="14"/>
  <c r="K125" i="14"/>
  <c r="L125" i="14"/>
  <c r="J126" i="14"/>
  <c r="K126" i="14"/>
  <c r="L126" i="14" s="1"/>
  <c r="J127" i="14"/>
  <c r="L127" i="14" s="1"/>
  <c r="K127" i="14"/>
  <c r="J128" i="14"/>
  <c r="K128" i="14"/>
  <c r="L128" i="14"/>
  <c r="M128" i="14"/>
  <c r="N128" i="14"/>
  <c r="J129" i="14"/>
  <c r="K129" i="14"/>
  <c r="L129" i="14" s="1"/>
  <c r="J130" i="14"/>
  <c r="K130" i="14"/>
  <c r="L130" i="14"/>
  <c r="N130" i="14" s="1"/>
  <c r="J131" i="14"/>
  <c r="K131" i="14"/>
  <c r="J132" i="14"/>
  <c r="K132" i="14"/>
  <c r="L132" i="14" s="1"/>
  <c r="J133" i="14"/>
  <c r="K133" i="14"/>
  <c r="L133" i="14"/>
  <c r="J134" i="14"/>
  <c r="K134" i="14"/>
  <c r="L134" i="14" s="1"/>
  <c r="J135" i="14"/>
  <c r="K135" i="14"/>
  <c r="L135" i="14"/>
  <c r="M135" i="14"/>
  <c r="N135" i="14"/>
  <c r="J136" i="14"/>
  <c r="K136" i="14"/>
  <c r="L136" i="14" s="1"/>
  <c r="J137" i="14"/>
  <c r="K137" i="14"/>
  <c r="J138" i="14"/>
  <c r="K138" i="14"/>
  <c r="L138" i="14"/>
  <c r="M138" i="14"/>
  <c r="N138" i="14"/>
  <c r="J139" i="14"/>
  <c r="L139" i="14" s="1"/>
  <c r="K139" i="14"/>
  <c r="J140" i="14"/>
  <c r="L140" i="14" s="1"/>
  <c r="K140" i="14"/>
  <c r="J141" i="14"/>
  <c r="K141" i="14"/>
  <c r="L141" i="14"/>
  <c r="M141" i="14"/>
  <c r="N141" i="14"/>
  <c r="J142" i="14"/>
  <c r="K142" i="14"/>
  <c r="L142" i="14"/>
  <c r="M142" i="14" s="1"/>
  <c r="N142" i="14"/>
  <c r="J143" i="14"/>
  <c r="K143" i="14"/>
  <c r="L143" i="14"/>
  <c r="M143" i="14"/>
  <c r="N143" i="14"/>
  <c r="J144" i="14"/>
  <c r="K144" i="14"/>
  <c r="L144" i="14" s="1"/>
  <c r="M144" i="14" s="1"/>
  <c r="N144" i="14"/>
  <c r="J145" i="14"/>
  <c r="K145" i="14"/>
  <c r="L145" i="14" s="1"/>
  <c r="J146" i="14"/>
  <c r="K146" i="14"/>
  <c r="L146" i="14"/>
  <c r="N146" i="14" s="1"/>
  <c r="M146" i="14"/>
  <c r="J147" i="14"/>
  <c r="K147" i="14"/>
  <c r="L147" i="14" s="1"/>
  <c r="M147" i="14"/>
  <c r="N147" i="14"/>
  <c r="J148" i="14"/>
  <c r="K148" i="14"/>
  <c r="L148" i="14" s="1"/>
  <c r="J149" i="14"/>
  <c r="K149" i="14"/>
  <c r="L149" i="14"/>
  <c r="M149" i="14" s="1"/>
  <c r="J150" i="14"/>
  <c r="K150" i="14"/>
  <c r="L150" i="14"/>
  <c r="M150" i="14" s="1"/>
  <c r="N150" i="14"/>
  <c r="J151" i="14"/>
  <c r="K151" i="14"/>
  <c r="L151" i="14"/>
  <c r="J152" i="14"/>
  <c r="K152" i="14"/>
  <c r="L152" i="14"/>
  <c r="N152" i="14" s="1"/>
  <c r="M152" i="14"/>
  <c r="J153" i="14"/>
  <c r="K153" i="14"/>
  <c r="L153" i="14"/>
  <c r="J154" i="14"/>
  <c r="K154" i="14"/>
  <c r="L154" i="14"/>
  <c r="J155" i="14"/>
  <c r="K155" i="14"/>
  <c r="L155" i="14" s="1"/>
  <c r="N155" i="14" s="1"/>
  <c r="M155" i="14"/>
  <c r="J156" i="14"/>
  <c r="K156" i="14"/>
  <c r="J157" i="14"/>
  <c r="K157" i="14"/>
  <c r="L157" i="14" s="1"/>
  <c r="J158" i="14"/>
  <c r="K158" i="14"/>
  <c r="L158" i="14" s="1"/>
  <c r="N158" i="14" s="1"/>
  <c r="J159" i="14"/>
  <c r="K159" i="14"/>
  <c r="L159" i="14" s="1"/>
  <c r="M159" i="14" s="1"/>
  <c r="N159" i="14"/>
  <c r="J160" i="14"/>
  <c r="K160" i="14"/>
  <c r="L160" i="14" s="1"/>
  <c r="J161" i="14"/>
  <c r="K161" i="14"/>
  <c r="J162" i="14"/>
  <c r="K162" i="14"/>
  <c r="L162" i="14" s="1"/>
  <c r="M162" i="14" s="1"/>
  <c r="N162" i="14"/>
  <c r="J163" i="14"/>
  <c r="L163" i="14" s="1"/>
  <c r="M163" i="14" s="1"/>
  <c r="K163" i="14"/>
  <c r="N163" i="14"/>
  <c r="J164" i="14"/>
  <c r="K164" i="14"/>
  <c r="L164" i="14" s="1"/>
  <c r="J165" i="14"/>
  <c r="K165" i="14"/>
  <c r="L165" i="14"/>
  <c r="J166" i="14"/>
  <c r="K166" i="14"/>
  <c r="L166" i="14"/>
  <c r="M166" i="14" s="1"/>
  <c r="N166" i="14"/>
  <c r="J167" i="14"/>
  <c r="L167" i="14" s="1"/>
  <c r="K167" i="14"/>
  <c r="J168" i="14"/>
  <c r="K168" i="14"/>
  <c r="L168" i="14" s="1"/>
  <c r="M168" i="14" s="1"/>
  <c r="N168" i="14"/>
  <c r="J169" i="14"/>
  <c r="L169" i="14" s="1"/>
  <c r="N169" i="14" s="1"/>
  <c r="K169" i="14"/>
  <c r="M169" i="14"/>
  <c r="J170" i="14"/>
  <c r="L170" i="14" s="1"/>
  <c r="K170" i="14"/>
  <c r="J171" i="14"/>
  <c r="K171" i="14"/>
  <c r="L171" i="14" s="1"/>
  <c r="J172" i="14"/>
  <c r="K172" i="14"/>
  <c r="L172" i="14"/>
  <c r="M172" i="14" s="1"/>
  <c r="N172" i="14"/>
  <c r="J173" i="14"/>
  <c r="K173" i="14"/>
  <c r="L173" i="14"/>
  <c r="N173" i="14" s="1"/>
  <c r="M173" i="14"/>
  <c r="J174" i="14"/>
  <c r="L174" i="14" s="1"/>
  <c r="K174" i="14"/>
  <c r="J175" i="14"/>
  <c r="K175" i="14"/>
  <c r="L175" i="14" s="1"/>
  <c r="J176" i="14"/>
  <c r="K176" i="14"/>
  <c r="L176" i="14"/>
  <c r="M176" i="14" s="1"/>
  <c r="N176" i="14"/>
  <c r="J177" i="14"/>
  <c r="K177" i="14"/>
  <c r="L177" i="14" s="1"/>
  <c r="J178" i="14"/>
  <c r="K178" i="14"/>
  <c r="L178" i="14" s="1"/>
  <c r="J179" i="14"/>
  <c r="K179" i="14"/>
  <c r="L179" i="14"/>
  <c r="M179" i="14"/>
  <c r="N179" i="14"/>
  <c r="J180" i="14"/>
  <c r="K180" i="14"/>
  <c r="L180" i="14" s="1"/>
  <c r="J181" i="14"/>
  <c r="K181" i="14"/>
  <c r="L181" i="14"/>
  <c r="M181" i="14"/>
  <c r="N181" i="14"/>
  <c r="J182" i="14"/>
  <c r="K182" i="14"/>
  <c r="L182" i="14" s="1"/>
  <c r="J183" i="14"/>
  <c r="K183" i="14"/>
  <c r="L183" i="14" s="1"/>
  <c r="J184" i="14"/>
  <c r="K184" i="14"/>
  <c r="L184" i="14"/>
  <c r="N184" i="14" s="1"/>
  <c r="M184" i="14"/>
  <c r="J185" i="14"/>
  <c r="K185" i="14"/>
  <c r="L185" i="14" s="1"/>
  <c r="J186" i="14"/>
  <c r="K186" i="14"/>
  <c r="L186" i="14"/>
  <c r="J187" i="14"/>
  <c r="K187" i="14"/>
  <c r="L187" i="14" s="1"/>
  <c r="J188" i="14"/>
  <c r="K188" i="14"/>
  <c r="L188" i="14"/>
  <c r="J189" i="14"/>
  <c r="K189" i="14"/>
  <c r="L189" i="14" s="1"/>
  <c r="J190" i="14"/>
  <c r="K190" i="14"/>
  <c r="L190" i="14"/>
  <c r="M190" i="14" s="1"/>
  <c r="N190" i="14"/>
  <c r="J191" i="14"/>
  <c r="K191" i="14"/>
  <c r="L191" i="14"/>
  <c r="N191" i="14" s="1"/>
  <c r="M191" i="14"/>
  <c r="J192" i="14"/>
  <c r="K192" i="14"/>
  <c r="L192" i="14" s="1"/>
  <c r="M192" i="14"/>
  <c r="N192" i="14"/>
  <c r="J193" i="14"/>
  <c r="K193" i="14"/>
  <c r="L193" i="14" s="1"/>
  <c r="M193" i="14" s="1"/>
  <c r="N193" i="14"/>
  <c r="J194" i="14"/>
  <c r="K194" i="14"/>
  <c r="L194" i="14"/>
  <c r="J195" i="14"/>
  <c r="K195" i="14"/>
  <c r="L195" i="14" s="1"/>
  <c r="M195" i="14"/>
  <c r="N195" i="14"/>
  <c r="J196" i="14"/>
  <c r="L196" i="14" s="1"/>
  <c r="K196" i="14"/>
  <c r="J197" i="14"/>
  <c r="L197" i="14" s="1"/>
  <c r="K197" i="14"/>
  <c r="J198" i="14"/>
  <c r="K198" i="14"/>
  <c r="L198" i="14"/>
  <c r="N198" i="14" s="1"/>
  <c r="M198" i="14"/>
  <c r="J199" i="14"/>
  <c r="K199" i="14"/>
  <c r="J200" i="14"/>
  <c r="K200" i="14"/>
  <c r="L200" i="14"/>
  <c r="M200" i="14"/>
  <c r="N200" i="14"/>
  <c r="J201" i="14"/>
  <c r="K201" i="14"/>
  <c r="L201" i="14"/>
  <c r="N201" i="14" s="1"/>
  <c r="M201" i="14"/>
  <c r="J202" i="14"/>
  <c r="K202" i="14"/>
  <c r="L202" i="14" s="1"/>
  <c r="J203" i="14"/>
  <c r="K203" i="14"/>
  <c r="L203" i="14" s="1"/>
  <c r="M203" i="14" s="1"/>
  <c r="N203" i="14"/>
  <c r="J204" i="14"/>
  <c r="K204" i="14"/>
  <c r="L204" i="14" s="1"/>
  <c r="J205" i="14"/>
  <c r="K205" i="14"/>
  <c r="L205" i="14"/>
  <c r="J206" i="14"/>
  <c r="K206" i="14"/>
  <c r="J207" i="14"/>
  <c r="K207" i="14"/>
  <c r="L207" i="14"/>
  <c r="J208" i="14"/>
  <c r="K208" i="14"/>
  <c r="L208" i="14"/>
  <c r="M208" i="14"/>
  <c r="N208" i="14"/>
  <c r="J209" i="14"/>
  <c r="K209" i="14"/>
  <c r="L209" i="14" s="1"/>
  <c r="J210" i="14"/>
  <c r="K210" i="14"/>
  <c r="L210" i="14" s="1"/>
  <c r="J211" i="14"/>
  <c r="K211" i="14"/>
  <c r="L211" i="14" s="1"/>
  <c r="M211" i="14" s="1"/>
  <c r="J212" i="14"/>
  <c r="K212" i="14"/>
  <c r="L212" i="14" s="1"/>
  <c r="J213" i="14"/>
  <c r="K213" i="14"/>
  <c r="L213" i="14" s="1"/>
  <c r="J214" i="14"/>
  <c r="K214" i="14"/>
  <c r="L214" i="14"/>
  <c r="M214" i="14" s="1"/>
  <c r="N214" i="14"/>
  <c r="J215" i="14"/>
  <c r="L215" i="14" s="1"/>
  <c r="K215" i="14"/>
  <c r="J216" i="14"/>
  <c r="K216" i="14"/>
  <c r="L216" i="14" s="1"/>
  <c r="J217" i="14"/>
  <c r="K217" i="14"/>
  <c r="L217" i="14" s="1"/>
  <c r="J218" i="14"/>
  <c r="K218" i="14"/>
  <c r="L218" i="14" s="1"/>
  <c r="J219" i="14"/>
  <c r="K219" i="14"/>
  <c r="L219" i="14" s="1"/>
  <c r="M219" i="14"/>
  <c r="N219" i="14"/>
  <c r="J220" i="14"/>
  <c r="K220" i="14"/>
  <c r="L220" i="14"/>
  <c r="N220" i="14" s="1"/>
  <c r="J221" i="14"/>
  <c r="L221" i="14" s="1"/>
  <c r="N221" i="14" s="1"/>
  <c r="K221" i="14"/>
  <c r="M221" i="14"/>
  <c r="J222" i="14"/>
  <c r="K222" i="14"/>
  <c r="L222" i="14"/>
  <c r="M222" i="14"/>
  <c r="N222" i="14"/>
  <c r="J223" i="14"/>
  <c r="K223" i="14"/>
  <c r="L223" i="14" s="1"/>
  <c r="J224" i="14"/>
  <c r="K224" i="14"/>
  <c r="L224" i="14"/>
  <c r="M224" i="14" s="1"/>
  <c r="N224" i="14"/>
  <c r="J225" i="14"/>
  <c r="K225" i="14"/>
  <c r="L225" i="14" s="1"/>
  <c r="J226" i="14"/>
  <c r="K226" i="14"/>
  <c r="L226" i="14"/>
  <c r="M226" i="14" s="1"/>
  <c r="N226" i="14"/>
  <c r="J227" i="14"/>
  <c r="K227" i="14"/>
  <c r="L227" i="14"/>
  <c r="M227" i="14"/>
  <c r="N227" i="14"/>
  <c r="J228" i="14"/>
  <c r="K228" i="14"/>
  <c r="L228" i="14" s="1"/>
  <c r="J229" i="14"/>
  <c r="K229" i="14"/>
  <c r="L229" i="14"/>
  <c r="N229" i="14" s="1"/>
  <c r="M229" i="14"/>
  <c r="J230" i="14"/>
  <c r="K230" i="14"/>
  <c r="L230" i="14"/>
  <c r="J231" i="14"/>
  <c r="K231" i="14"/>
  <c r="L231" i="14" s="1"/>
  <c r="J232" i="14"/>
  <c r="K232" i="14"/>
  <c r="L232" i="14"/>
  <c r="J233" i="14"/>
  <c r="K233" i="14"/>
  <c r="J234" i="14"/>
  <c r="K234" i="14"/>
  <c r="L234" i="14"/>
  <c r="N234" i="14" s="1"/>
  <c r="M234" i="14"/>
  <c r="J235" i="14"/>
  <c r="K235" i="14"/>
  <c r="L235" i="14" s="1"/>
  <c r="J236" i="14"/>
  <c r="K236" i="14"/>
  <c r="L236" i="14"/>
  <c r="M236" i="14" s="1"/>
  <c r="N236" i="14"/>
  <c r="J237" i="14"/>
  <c r="K237" i="14"/>
  <c r="L237" i="14"/>
  <c r="N237" i="14" s="1"/>
  <c r="M237" i="14"/>
  <c r="J238" i="14"/>
  <c r="K238" i="14"/>
  <c r="L238" i="14"/>
  <c r="M238" i="14" s="1"/>
  <c r="N238" i="14"/>
  <c r="J239" i="14"/>
  <c r="K239" i="14"/>
  <c r="L239" i="14"/>
  <c r="J240" i="14"/>
  <c r="K240" i="14"/>
  <c r="L240" i="14" s="1"/>
  <c r="N240" i="14" s="1"/>
  <c r="M240" i="14"/>
  <c r="J241" i="14"/>
  <c r="K241" i="14"/>
  <c r="L241" i="14"/>
  <c r="J242" i="14"/>
  <c r="L242" i="14" s="1"/>
  <c r="K242" i="14"/>
  <c r="J243" i="14"/>
  <c r="K243" i="14"/>
  <c r="L243" i="14" s="1"/>
  <c r="M243" i="14"/>
  <c r="N243" i="14"/>
  <c r="J244" i="14"/>
  <c r="K244" i="14"/>
  <c r="L244" i="14"/>
  <c r="J245" i="14"/>
  <c r="L245" i="14" s="1"/>
  <c r="M245" i="14" s="1"/>
  <c r="K245" i="14"/>
  <c r="N245" i="14"/>
  <c r="J246" i="14"/>
  <c r="K246" i="14"/>
  <c r="L246" i="14"/>
  <c r="M246" i="14"/>
  <c r="N246" i="14"/>
  <c r="J247" i="14"/>
  <c r="K247" i="14"/>
  <c r="J248" i="14"/>
  <c r="K248" i="14"/>
  <c r="L248" i="14"/>
  <c r="M248" i="14" s="1"/>
  <c r="N248" i="14"/>
  <c r="J249" i="14"/>
  <c r="K249" i="14"/>
  <c r="L249" i="14"/>
  <c r="J250" i="14"/>
  <c r="K250" i="14"/>
  <c r="L250" i="14"/>
  <c r="J251" i="14"/>
  <c r="L251" i="14" s="1"/>
  <c r="M251" i="14" s="1"/>
  <c r="K251" i="14"/>
  <c r="N251" i="14"/>
  <c r="J252" i="14"/>
  <c r="K252" i="14"/>
  <c r="J253" i="14"/>
  <c r="K253" i="14"/>
  <c r="L253" i="14" s="1"/>
  <c r="N253" i="14" s="1"/>
  <c r="M253" i="14"/>
  <c r="J254" i="14"/>
  <c r="K254" i="14"/>
  <c r="L254" i="14" s="1"/>
  <c r="J255" i="14"/>
  <c r="K255" i="14"/>
  <c r="L255" i="14"/>
  <c r="M255" i="14" s="1"/>
  <c r="J256" i="14"/>
  <c r="K256" i="14"/>
  <c r="L256" i="14"/>
  <c r="J257" i="14"/>
  <c r="K257" i="14"/>
  <c r="L257" i="14" s="1"/>
  <c r="J258" i="14"/>
  <c r="K258" i="14"/>
  <c r="L258" i="14" s="1"/>
  <c r="J259" i="14"/>
  <c r="K259" i="14"/>
  <c r="L259" i="14"/>
  <c r="J260" i="14"/>
  <c r="K260" i="14"/>
  <c r="J261" i="14"/>
  <c r="K261" i="14"/>
  <c r="L261" i="14"/>
  <c r="M261" i="14"/>
  <c r="N261" i="14"/>
  <c r="J262" i="14"/>
  <c r="K262" i="14"/>
  <c r="L262" i="14"/>
  <c r="M262" i="14" s="1"/>
  <c r="N262" i="14"/>
  <c r="J263" i="14"/>
  <c r="K263" i="14"/>
  <c r="L263" i="14"/>
  <c r="M263" i="14"/>
  <c r="N263" i="14"/>
  <c r="J264" i="14"/>
  <c r="K264" i="14"/>
  <c r="J265" i="14"/>
  <c r="K265" i="14"/>
  <c r="L265" i="14"/>
  <c r="J266" i="14"/>
  <c r="K266" i="14"/>
  <c r="L266" i="14" s="1"/>
  <c r="N266" i="14" s="1"/>
  <c r="M266" i="14"/>
  <c r="J267" i="14"/>
  <c r="K267" i="14"/>
  <c r="L267" i="14" s="1"/>
  <c r="M267" i="14"/>
  <c r="N267" i="14"/>
  <c r="J268" i="14"/>
  <c r="K268" i="14"/>
  <c r="L268" i="14"/>
  <c r="M268" i="14"/>
  <c r="N268" i="14"/>
  <c r="J269" i="14"/>
  <c r="K269" i="14"/>
  <c r="L269" i="14"/>
  <c r="N269" i="14" s="1"/>
  <c r="M269" i="14"/>
  <c r="J270" i="14"/>
  <c r="K270" i="14"/>
  <c r="L270" i="14"/>
  <c r="N270" i="14" s="1"/>
  <c r="M270" i="14"/>
  <c r="J271" i="14"/>
  <c r="L271" i="14" s="1"/>
  <c r="K271" i="14"/>
  <c r="J272" i="14"/>
  <c r="K272" i="14"/>
  <c r="L272" i="14"/>
  <c r="J273" i="14"/>
  <c r="L273" i="14" s="1"/>
  <c r="M273" i="14" s="1"/>
  <c r="K273" i="14"/>
  <c r="N273" i="14"/>
  <c r="J274" i="14"/>
  <c r="K274" i="14"/>
  <c r="L274" i="14"/>
  <c r="J275" i="14"/>
  <c r="K275" i="14"/>
  <c r="L275" i="14" s="1"/>
  <c r="N275" i="14" s="1"/>
  <c r="M275" i="14"/>
  <c r="J276" i="14"/>
  <c r="K276" i="14"/>
  <c r="L276" i="14" s="1"/>
  <c r="J277" i="14"/>
  <c r="K277" i="14"/>
  <c r="L277" i="14"/>
  <c r="M277" i="14" s="1"/>
  <c r="N277" i="14"/>
  <c r="J278" i="14"/>
  <c r="L278" i="14" s="1"/>
  <c r="K278" i="14"/>
  <c r="J279" i="14"/>
  <c r="K279" i="14"/>
  <c r="L279" i="14"/>
  <c r="N279" i="14" s="1"/>
  <c r="M279" i="14"/>
  <c r="J280" i="14"/>
  <c r="K280" i="14"/>
  <c r="L280" i="14"/>
  <c r="J281" i="14"/>
  <c r="K281" i="14"/>
  <c r="L281" i="14" s="1"/>
  <c r="J282" i="14"/>
  <c r="K282" i="14"/>
  <c r="L282" i="14"/>
  <c r="M282" i="14"/>
  <c r="N282" i="14"/>
  <c r="J283" i="14"/>
  <c r="K283" i="14"/>
  <c r="J284" i="14"/>
  <c r="K284" i="14"/>
  <c r="J285" i="14"/>
  <c r="K285" i="14"/>
  <c r="L285" i="14"/>
  <c r="N285" i="14" s="1"/>
  <c r="M285" i="14"/>
  <c r="J286" i="14"/>
  <c r="K286" i="14"/>
  <c r="L286" i="14"/>
  <c r="M286" i="14" s="1"/>
  <c r="N286" i="14"/>
  <c r="J287" i="14"/>
  <c r="K287" i="14"/>
  <c r="L287" i="14" s="1"/>
  <c r="M287" i="14"/>
  <c r="N287" i="14"/>
  <c r="J288" i="14"/>
  <c r="K288" i="14"/>
  <c r="L288" i="14" s="1"/>
  <c r="J289" i="14"/>
  <c r="K289" i="14"/>
  <c r="L289" i="14"/>
  <c r="J290" i="14"/>
  <c r="K290" i="14"/>
  <c r="L290" i="14" s="1"/>
  <c r="J291" i="14"/>
  <c r="K291" i="14"/>
  <c r="L291" i="14" s="1"/>
  <c r="M291" i="14"/>
  <c r="N291" i="14"/>
  <c r="J292" i="14"/>
  <c r="L292" i="14" s="1"/>
  <c r="K292" i="14"/>
  <c r="J293" i="14"/>
  <c r="L293" i="14" s="1"/>
  <c r="K293" i="14"/>
  <c r="J294" i="14"/>
  <c r="K294" i="14"/>
  <c r="L294" i="14" s="1"/>
  <c r="J295" i="14"/>
  <c r="K295" i="14"/>
  <c r="L295" i="14"/>
  <c r="J296" i="14"/>
  <c r="K296" i="14"/>
  <c r="L296" i="14"/>
  <c r="M296" i="14" s="1"/>
  <c r="N296" i="14"/>
  <c r="J297" i="14"/>
  <c r="K297" i="14"/>
  <c r="J298" i="14"/>
  <c r="K298" i="14"/>
  <c r="L298" i="14"/>
  <c r="N298" i="14" s="1"/>
  <c r="M298" i="14"/>
  <c r="J299" i="14"/>
  <c r="K299" i="14"/>
  <c r="L299" i="14"/>
  <c r="J300" i="14"/>
  <c r="K300" i="14"/>
  <c r="L300" i="14" s="1"/>
  <c r="M300" i="14" s="1"/>
  <c r="J301" i="14"/>
  <c r="K301" i="14"/>
  <c r="L301" i="14" s="1"/>
  <c r="J302" i="14"/>
  <c r="K302" i="14"/>
  <c r="L302" i="14"/>
  <c r="J303" i="14"/>
  <c r="K303" i="14"/>
  <c r="L303" i="14" s="1"/>
  <c r="J304" i="14"/>
  <c r="K304" i="14"/>
  <c r="L304" i="14" s="1"/>
  <c r="J305" i="14"/>
  <c r="K305" i="14"/>
  <c r="L305" i="14" s="1"/>
  <c r="J306" i="14"/>
  <c r="K306" i="14"/>
  <c r="L306" i="14"/>
  <c r="J307" i="14"/>
  <c r="K307" i="14"/>
  <c r="L307" i="14"/>
  <c r="J308" i="14"/>
  <c r="L308" i="14" s="1"/>
  <c r="N308" i="14" s="1"/>
  <c r="K308" i="14"/>
  <c r="M308" i="14"/>
  <c r="J309" i="14"/>
  <c r="K309" i="14"/>
  <c r="L309" i="14"/>
  <c r="J310" i="14"/>
  <c r="K310" i="14"/>
  <c r="L310" i="14"/>
  <c r="J311" i="14"/>
  <c r="K311" i="14"/>
  <c r="L311" i="14" s="1"/>
  <c r="M311" i="14"/>
  <c r="N311" i="14"/>
  <c r="J312" i="14"/>
  <c r="K312" i="14"/>
  <c r="J313" i="14"/>
  <c r="K313" i="14"/>
  <c r="L313" i="14" s="1"/>
  <c r="M313" i="14" s="1"/>
  <c r="N313" i="14"/>
  <c r="J314" i="14"/>
  <c r="K314" i="14"/>
  <c r="L314" i="14"/>
  <c r="N314" i="14" s="1"/>
  <c r="M314" i="14"/>
  <c r="J315" i="14"/>
  <c r="K315" i="14"/>
  <c r="L315" i="14" s="1"/>
  <c r="N315" i="14" s="1"/>
  <c r="M315" i="14"/>
  <c r="J316" i="14"/>
  <c r="K316" i="14"/>
  <c r="L316" i="14" s="1"/>
  <c r="J317" i="14"/>
  <c r="L317" i="14" s="1"/>
  <c r="M317" i="14" s="1"/>
  <c r="K317" i="14"/>
  <c r="N317" i="14"/>
  <c r="J318" i="14"/>
  <c r="K318" i="14"/>
  <c r="L318" i="14" s="1"/>
  <c r="J319" i="14"/>
  <c r="L319" i="14" s="1"/>
  <c r="K319" i="14"/>
  <c r="J320" i="14"/>
  <c r="K320" i="14"/>
  <c r="L320" i="14"/>
  <c r="M320" i="14" s="1"/>
  <c r="N320" i="14"/>
  <c r="J321" i="14"/>
  <c r="K321" i="14"/>
  <c r="L321" i="14" s="1"/>
  <c r="J322" i="14"/>
  <c r="K322" i="14"/>
  <c r="L322" i="14"/>
  <c r="N322" i="14" s="1"/>
  <c r="M322" i="14"/>
  <c r="J323" i="14"/>
  <c r="K323" i="14"/>
  <c r="L323" i="14"/>
  <c r="N323" i="14" s="1"/>
  <c r="M323" i="14"/>
  <c r="J324" i="14"/>
  <c r="K324" i="14"/>
  <c r="L324" i="14" s="1"/>
  <c r="J325" i="14"/>
  <c r="K325" i="14"/>
  <c r="L325" i="14" s="1"/>
  <c r="N325" i="14" s="1"/>
  <c r="J326" i="14"/>
  <c r="K326" i="14"/>
  <c r="L326" i="14" s="1"/>
  <c r="J327" i="14"/>
  <c r="K327" i="14"/>
  <c r="L327" i="14" s="1"/>
  <c r="M327" i="14"/>
  <c r="N327" i="14"/>
  <c r="J328" i="14"/>
  <c r="K328" i="14"/>
  <c r="L328" i="14"/>
  <c r="N328" i="14" s="1"/>
  <c r="M328" i="14"/>
  <c r="J329" i="14"/>
  <c r="K329" i="14"/>
  <c r="J330" i="14"/>
  <c r="L330" i="14" s="1"/>
  <c r="M330" i="14" s="1"/>
  <c r="K330" i="14"/>
  <c r="N330" i="14"/>
  <c r="J331" i="14"/>
  <c r="K331" i="14"/>
  <c r="L331" i="14"/>
  <c r="J332" i="14"/>
  <c r="K332" i="14"/>
  <c r="L332" i="14" s="1"/>
  <c r="J333" i="14"/>
  <c r="K333" i="14"/>
  <c r="L333" i="14" s="1"/>
  <c r="J334" i="14"/>
  <c r="K334" i="14"/>
  <c r="L334" i="14"/>
  <c r="J335" i="14"/>
  <c r="K335" i="14"/>
  <c r="L335" i="14" s="1"/>
  <c r="J336" i="14"/>
  <c r="K336" i="14"/>
  <c r="L336" i="14" s="1"/>
  <c r="M336" i="14"/>
  <c r="N336" i="14"/>
  <c r="J337" i="14"/>
  <c r="K337" i="14"/>
  <c r="L337" i="14" s="1"/>
  <c r="J338" i="14"/>
  <c r="K338" i="14"/>
  <c r="L338" i="14" s="1"/>
  <c r="J339" i="14"/>
  <c r="K339" i="14"/>
  <c r="L339" i="14" s="1"/>
  <c r="M339" i="14"/>
  <c r="N339" i="14"/>
  <c r="J340" i="14"/>
  <c r="L340" i="14" s="1"/>
  <c r="K340" i="14"/>
  <c r="J341" i="14"/>
  <c r="L341" i="14" s="1"/>
  <c r="K341" i="14"/>
  <c r="J342" i="14"/>
  <c r="K342" i="14"/>
  <c r="L342" i="14"/>
  <c r="J343" i="14"/>
  <c r="K343" i="14"/>
  <c r="L343" i="14"/>
  <c r="J344" i="14"/>
  <c r="L344" i="14" s="1"/>
  <c r="K344" i="14"/>
  <c r="J345" i="14"/>
  <c r="K345" i="14"/>
  <c r="L345" i="14" s="1"/>
  <c r="M345" i="14"/>
  <c r="N345" i="14"/>
  <c r="J346" i="14"/>
  <c r="K346" i="14"/>
  <c r="L346" i="14" s="1"/>
  <c r="J347" i="14"/>
  <c r="L347" i="14" s="1"/>
  <c r="M347" i="14" s="1"/>
  <c r="K347" i="14"/>
  <c r="N347" i="14"/>
  <c r="J348" i="14"/>
  <c r="K348" i="14"/>
  <c r="L348" i="14" s="1"/>
  <c r="M348" i="14" s="1"/>
  <c r="J349" i="14"/>
  <c r="K349" i="14"/>
  <c r="L349" i="14"/>
  <c r="M349" i="14" s="1"/>
  <c r="N349" i="14"/>
  <c r="J350" i="14"/>
  <c r="K350" i="14"/>
  <c r="L350" i="14" s="1"/>
  <c r="J351" i="14"/>
  <c r="K351" i="14"/>
  <c r="L351" i="14" s="1"/>
  <c r="M351" i="14"/>
  <c r="N351" i="14"/>
  <c r="J352" i="14"/>
  <c r="K352" i="14"/>
  <c r="L352" i="14"/>
  <c r="M352" i="14"/>
  <c r="N352" i="14"/>
  <c r="J353" i="14"/>
  <c r="K353" i="14"/>
  <c r="J354" i="14"/>
  <c r="K354" i="14"/>
  <c r="L354" i="14"/>
  <c r="M354" i="14" s="1"/>
  <c r="N354" i="14"/>
  <c r="J355" i="14"/>
  <c r="K355" i="14"/>
  <c r="L355" i="14"/>
  <c r="M355" i="14" s="1"/>
  <c r="N355" i="14"/>
  <c r="J356" i="14"/>
  <c r="L356" i="14" s="1"/>
  <c r="K356" i="14"/>
  <c r="J357" i="14"/>
  <c r="K357" i="14"/>
  <c r="L357" i="14"/>
  <c r="M357" i="14"/>
  <c r="N357" i="14"/>
  <c r="J358" i="14"/>
  <c r="K358" i="14"/>
  <c r="L358" i="14"/>
  <c r="M358" i="14" s="1"/>
  <c r="N358" i="14"/>
  <c r="J359" i="14"/>
  <c r="K359" i="14"/>
  <c r="L359" i="14" s="1"/>
  <c r="M359" i="14"/>
  <c r="N359" i="14"/>
  <c r="J360" i="14"/>
  <c r="K360" i="14"/>
  <c r="L360" i="14" s="1"/>
  <c r="N360" i="14" s="1"/>
  <c r="M360" i="14"/>
  <c r="J361" i="14"/>
  <c r="K361" i="14"/>
  <c r="L361" i="14" s="1"/>
  <c r="M361" i="14"/>
  <c r="N361" i="14"/>
  <c r="J362" i="14"/>
  <c r="K362" i="14"/>
  <c r="L362" i="14" s="1"/>
  <c r="J363" i="14"/>
  <c r="K363" i="14"/>
  <c r="L363" i="14" s="1"/>
  <c r="M363" i="14"/>
  <c r="N363" i="14"/>
  <c r="J364" i="14"/>
  <c r="K364" i="14"/>
  <c r="J365" i="14"/>
  <c r="L365" i="14" s="1"/>
  <c r="K365" i="14"/>
  <c r="J366" i="14"/>
  <c r="K366" i="14"/>
  <c r="L366" i="14"/>
  <c r="M366" i="14" s="1"/>
  <c r="N366" i="14"/>
  <c r="J367" i="14"/>
  <c r="L367" i="14" s="1"/>
  <c r="K367" i="14"/>
  <c r="J368" i="14"/>
  <c r="L368" i="14" s="1"/>
  <c r="K368" i="14"/>
  <c r="M368" i="14"/>
  <c r="N368" i="14"/>
  <c r="J369" i="14"/>
  <c r="K369" i="14"/>
  <c r="L369" i="14"/>
  <c r="J370" i="14"/>
  <c r="K370" i="14"/>
  <c r="L370" i="14"/>
  <c r="M370" i="14"/>
  <c r="N370" i="14"/>
  <c r="J371" i="14"/>
  <c r="K371" i="14"/>
  <c r="L371" i="14" s="1"/>
  <c r="J372" i="14"/>
  <c r="K372" i="14"/>
  <c r="L372" i="14" s="1"/>
  <c r="J373" i="14"/>
  <c r="K373" i="14"/>
  <c r="L373" i="14" s="1"/>
  <c r="M373" i="14" s="1"/>
  <c r="J374" i="14"/>
  <c r="K374" i="14"/>
  <c r="J375" i="14"/>
  <c r="K375" i="14"/>
  <c r="L375" i="14" s="1"/>
  <c r="M375" i="14"/>
  <c r="N375" i="14"/>
  <c r="J376" i="14"/>
  <c r="K376" i="14"/>
  <c r="L376" i="14"/>
  <c r="J377" i="14"/>
  <c r="K377" i="14"/>
  <c r="J378" i="14"/>
  <c r="K378" i="14"/>
  <c r="L378" i="14"/>
  <c r="M378" i="14"/>
  <c r="N378" i="14"/>
  <c r="J379" i="14"/>
  <c r="K379" i="14"/>
  <c r="L379" i="14" s="1"/>
  <c r="J380" i="14"/>
  <c r="K380" i="14"/>
  <c r="J381" i="14"/>
  <c r="K381" i="14"/>
  <c r="L381" i="14" s="1"/>
  <c r="N381" i="14" s="1"/>
  <c r="J382" i="14"/>
  <c r="K382" i="14"/>
  <c r="L382" i="14"/>
  <c r="J383" i="14"/>
  <c r="K383" i="14"/>
  <c r="L383" i="14" s="1"/>
  <c r="J384" i="14"/>
  <c r="K384" i="14"/>
  <c r="L384" i="14" s="1"/>
  <c r="M384" i="14"/>
  <c r="N384" i="14"/>
  <c r="J385" i="14"/>
  <c r="K385" i="14"/>
  <c r="L385" i="14"/>
  <c r="J386" i="14"/>
  <c r="K386" i="14"/>
  <c r="L386" i="14" s="1"/>
  <c r="J387" i="14"/>
  <c r="K387" i="14"/>
  <c r="L387" i="14" s="1"/>
  <c r="N387" i="14" s="1"/>
  <c r="M387" i="14"/>
  <c r="J388" i="14"/>
  <c r="L388" i="14" s="1"/>
  <c r="K388" i="14"/>
  <c r="J389" i="14"/>
  <c r="L389" i="14" s="1"/>
  <c r="K389" i="14"/>
  <c r="J390" i="14"/>
  <c r="K390" i="14"/>
  <c r="L390" i="14"/>
  <c r="N390" i="14" s="1"/>
  <c r="M390" i="14"/>
  <c r="J391" i="14"/>
  <c r="K391" i="14"/>
  <c r="L391" i="14"/>
  <c r="J392" i="14"/>
  <c r="K392" i="14"/>
  <c r="L392" i="14"/>
  <c r="J393" i="14"/>
  <c r="K393" i="14"/>
  <c r="L393" i="14" s="1"/>
  <c r="M393" i="14" s="1"/>
  <c r="N393" i="14"/>
  <c r="J394" i="14"/>
  <c r="K394" i="14"/>
  <c r="L394" i="14" s="1"/>
  <c r="J395" i="14"/>
  <c r="K395" i="14"/>
  <c r="L395" i="14"/>
  <c r="J396" i="14"/>
  <c r="K396" i="14"/>
  <c r="L396" i="14" s="1"/>
  <c r="M396" i="14" s="1"/>
  <c r="J397" i="14"/>
  <c r="K397" i="14"/>
  <c r="L397" i="14"/>
  <c r="N397" i="14" s="1"/>
  <c r="M397" i="14"/>
  <c r="J398" i="14"/>
  <c r="K398" i="14"/>
  <c r="J399" i="14"/>
  <c r="K399" i="14"/>
  <c r="J400" i="14"/>
  <c r="K400" i="14"/>
  <c r="L400" i="14"/>
  <c r="M400" i="14"/>
  <c r="N400" i="14"/>
  <c r="J401" i="14"/>
  <c r="K401" i="14"/>
  <c r="J402" i="14"/>
  <c r="K402" i="14"/>
  <c r="L402" i="14"/>
  <c r="M402" i="14"/>
  <c r="N402" i="14"/>
  <c r="J403" i="14"/>
  <c r="K403" i="14"/>
  <c r="J404" i="14"/>
  <c r="K404" i="14"/>
  <c r="L404" i="14"/>
  <c r="J405" i="14"/>
  <c r="K405" i="14"/>
  <c r="L405" i="14" s="1"/>
  <c r="J406" i="14"/>
  <c r="K406" i="14"/>
  <c r="L406" i="14"/>
  <c r="M406" i="14" s="1"/>
  <c r="N406" i="14"/>
  <c r="J407" i="14"/>
  <c r="K407" i="14"/>
  <c r="L407" i="14" s="1"/>
  <c r="N407" i="14" s="1"/>
  <c r="M407" i="14"/>
  <c r="J408" i="14"/>
  <c r="K408" i="14"/>
  <c r="L408" i="14" s="1"/>
  <c r="M408" i="14"/>
  <c r="N408" i="14"/>
  <c r="J409" i="14"/>
  <c r="K409" i="14"/>
  <c r="L409" i="14" s="1"/>
  <c r="N409" i="14" s="1"/>
  <c r="M409" i="14"/>
  <c r="J410" i="14"/>
  <c r="K410" i="14"/>
  <c r="L410" i="14" s="1"/>
  <c r="N410" i="14" s="1"/>
  <c r="M410" i="14"/>
  <c r="J411" i="14"/>
  <c r="K411" i="14"/>
  <c r="L411" i="14" s="1"/>
  <c r="M411" i="14"/>
  <c r="N411" i="14"/>
  <c r="J412" i="14"/>
  <c r="K412" i="14"/>
  <c r="J413" i="14"/>
  <c r="L413" i="14" s="1"/>
  <c r="M413" i="14" s="1"/>
  <c r="K413" i="14"/>
  <c r="N413" i="14"/>
  <c r="J414" i="14"/>
  <c r="K414" i="14"/>
  <c r="L414" i="14"/>
  <c r="M414" i="14" s="1"/>
  <c r="N414" i="14"/>
  <c r="J415" i="14"/>
  <c r="K415" i="14"/>
  <c r="L415" i="14"/>
  <c r="J416" i="14"/>
  <c r="L416" i="14" s="1"/>
  <c r="K416" i="14"/>
  <c r="J417" i="14"/>
  <c r="K417" i="14"/>
  <c r="L417" i="14" s="1"/>
  <c r="J418" i="14"/>
  <c r="K418" i="14"/>
  <c r="L418" i="14" s="1"/>
  <c r="M418" i="14" s="1"/>
  <c r="N418" i="14"/>
  <c r="J419" i="14"/>
  <c r="K419" i="14"/>
  <c r="L419" i="14" s="1"/>
  <c r="J420" i="14"/>
  <c r="K420" i="14"/>
  <c r="L420" i="14" s="1"/>
  <c r="J421" i="14"/>
  <c r="K421" i="14"/>
  <c r="L421" i="14"/>
  <c r="M421" i="14"/>
  <c r="N421" i="14"/>
  <c r="J422" i="14"/>
  <c r="L422" i="14" s="1"/>
  <c r="K422" i="14"/>
  <c r="J423" i="14"/>
  <c r="K423" i="14"/>
  <c r="L423" i="14" s="1"/>
  <c r="N423" i="14" s="1"/>
  <c r="M423" i="14"/>
  <c r="J424" i="14"/>
  <c r="K424" i="14"/>
  <c r="L424" i="14" s="1"/>
  <c r="J425" i="14"/>
  <c r="K425" i="14"/>
  <c r="J426" i="14"/>
  <c r="L426" i="14" s="1"/>
  <c r="M426" i="14" s="1"/>
  <c r="K426" i="14"/>
  <c r="N426" i="14"/>
  <c r="J427" i="14"/>
  <c r="K427" i="14"/>
  <c r="L427" i="14"/>
  <c r="M427" i="14" s="1"/>
  <c r="N427" i="14"/>
  <c r="J428" i="14"/>
  <c r="K428" i="14"/>
  <c r="J429" i="14"/>
  <c r="L429" i="14" s="1"/>
  <c r="K429" i="14"/>
  <c r="J430" i="14"/>
  <c r="K430" i="14"/>
  <c r="L430" i="14"/>
  <c r="J431" i="14"/>
  <c r="K431" i="14"/>
  <c r="J432" i="14"/>
  <c r="K432" i="14"/>
  <c r="J433" i="14"/>
  <c r="K433" i="14"/>
  <c r="L433" i="14" s="1"/>
  <c r="J434" i="14"/>
  <c r="K434" i="14"/>
  <c r="L434" i="14"/>
  <c r="N434" i="14" s="1"/>
  <c r="M434" i="14"/>
  <c r="J435" i="14"/>
  <c r="K435" i="14"/>
  <c r="L435" i="14" s="1"/>
  <c r="M435" i="14" s="1"/>
  <c r="N435" i="14"/>
  <c r="J436" i="14"/>
  <c r="L436" i="14" s="1"/>
  <c r="K436" i="14"/>
  <c r="J437" i="14"/>
  <c r="L437" i="14" s="1"/>
  <c r="M437" i="14" s="1"/>
  <c r="K437" i="14"/>
  <c r="N437" i="14"/>
  <c r="J438" i="14"/>
  <c r="K438" i="14"/>
  <c r="L438" i="14" s="1"/>
  <c r="J439" i="14"/>
  <c r="K439" i="14"/>
  <c r="L439" i="14"/>
  <c r="J440" i="14"/>
  <c r="L440" i="14" s="1"/>
  <c r="K440" i="14"/>
  <c r="J441" i="14"/>
  <c r="K441" i="14"/>
  <c r="J442" i="14"/>
  <c r="K442" i="14"/>
  <c r="L442" i="14"/>
  <c r="M442" i="14" s="1"/>
  <c r="J443" i="14"/>
  <c r="K443" i="14"/>
  <c r="L443" i="14" s="1"/>
  <c r="M443" i="14" s="1"/>
  <c r="N443" i="14"/>
  <c r="J444" i="14"/>
  <c r="K444" i="14"/>
  <c r="L444" i="14" s="1"/>
  <c r="M444" i="14" s="1"/>
  <c r="J445" i="14"/>
  <c r="K445" i="14"/>
  <c r="L445" i="14" s="1"/>
  <c r="J446" i="14"/>
  <c r="K446" i="14"/>
  <c r="L446" i="14"/>
  <c r="J447" i="14"/>
  <c r="K447" i="14"/>
  <c r="L447" i="14"/>
  <c r="M447" i="14" s="1"/>
  <c r="N447" i="14"/>
  <c r="J448" i="14"/>
  <c r="K448" i="14"/>
  <c r="L448" i="14"/>
  <c r="M448" i="14"/>
  <c r="N448" i="14"/>
  <c r="J449" i="14"/>
  <c r="K449" i="14"/>
  <c r="J450" i="14"/>
  <c r="K450" i="14"/>
  <c r="L450" i="14"/>
  <c r="M450" i="14"/>
  <c r="N450" i="14"/>
  <c r="J451" i="14"/>
  <c r="K451" i="14"/>
  <c r="L451" i="14"/>
  <c r="N451" i="14" s="1"/>
  <c r="M451" i="14"/>
  <c r="J452" i="14"/>
  <c r="K452" i="14"/>
  <c r="L452" i="14" s="1"/>
  <c r="N452" i="14" s="1"/>
  <c r="M452" i="14"/>
  <c r="J453" i="14"/>
  <c r="K453" i="14"/>
  <c r="J454" i="14"/>
  <c r="K454" i="14"/>
  <c r="L454" i="14"/>
  <c r="M454" i="14" s="1"/>
  <c r="N454" i="14"/>
  <c r="J455" i="14"/>
  <c r="K455" i="14"/>
  <c r="L455" i="14" s="1"/>
  <c r="J456" i="14"/>
  <c r="K456" i="14"/>
  <c r="L456" i="14"/>
  <c r="N456" i="14" s="1"/>
  <c r="M456" i="14"/>
  <c r="J457" i="14"/>
  <c r="K457" i="14"/>
  <c r="L457" i="14" s="1"/>
  <c r="M457" i="14"/>
  <c r="N457" i="14"/>
  <c r="J458" i="14"/>
  <c r="L458" i="14" s="1"/>
  <c r="K458" i="14"/>
  <c r="J459" i="14"/>
  <c r="K459" i="14"/>
  <c r="L459" i="14" s="1"/>
  <c r="N459" i="14" s="1"/>
  <c r="M459" i="14"/>
  <c r="J460" i="14"/>
  <c r="K460" i="14"/>
  <c r="L460" i="14"/>
  <c r="M460" i="14" s="1"/>
  <c r="N460" i="14"/>
  <c r="J461" i="14"/>
  <c r="K461" i="14"/>
  <c r="L461" i="14" s="1"/>
  <c r="J462" i="14"/>
  <c r="K462" i="14"/>
  <c r="L462" i="14" s="1"/>
  <c r="J463" i="14"/>
  <c r="K463" i="14"/>
  <c r="L463" i="14"/>
  <c r="J464" i="14"/>
  <c r="K464" i="14"/>
  <c r="L464" i="14"/>
  <c r="J465" i="14"/>
  <c r="K465" i="14"/>
  <c r="L465" i="14" s="1"/>
  <c r="M465" i="14"/>
  <c r="N465" i="14"/>
  <c r="J466" i="14"/>
  <c r="K466" i="14"/>
  <c r="L466" i="14" s="1"/>
  <c r="J467" i="14"/>
  <c r="K467" i="14"/>
  <c r="L467" i="14"/>
  <c r="N467" i="14" s="1"/>
  <c r="M467" i="14"/>
  <c r="J468" i="14"/>
  <c r="K468" i="14"/>
  <c r="J469" i="14"/>
  <c r="K469" i="14"/>
  <c r="L469" i="14"/>
  <c r="N469" i="14" s="1"/>
  <c r="J470" i="14"/>
  <c r="L470" i="14" s="1"/>
  <c r="K470" i="14"/>
  <c r="J471" i="14"/>
  <c r="K471" i="14"/>
  <c r="J472" i="14"/>
  <c r="K472" i="14"/>
  <c r="L472" i="14" s="1"/>
  <c r="M472" i="14"/>
  <c r="N472" i="14"/>
  <c r="J473" i="14"/>
  <c r="K473" i="14"/>
  <c r="L473" i="14" s="1"/>
  <c r="N473" i="14" s="1"/>
  <c r="M473" i="14"/>
  <c r="J474" i="14"/>
  <c r="K474" i="14"/>
  <c r="L474" i="14"/>
  <c r="J475" i="14"/>
  <c r="K475" i="14"/>
  <c r="L475" i="14" s="1"/>
  <c r="J476" i="14"/>
  <c r="K476" i="14"/>
  <c r="L476" i="14"/>
  <c r="J477" i="14"/>
  <c r="K477" i="14"/>
  <c r="L477" i="14"/>
  <c r="M477" i="14" s="1"/>
  <c r="N477" i="14"/>
  <c r="J478" i="14"/>
  <c r="K478" i="14"/>
  <c r="L478" i="14"/>
  <c r="M478" i="14" s="1"/>
  <c r="N478" i="14"/>
  <c r="J479" i="14"/>
  <c r="K479" i="14"/>
  <c r="L479" i="14" s="1"/>
  <c r="M479" i="14" s="1"/>
  <c r="N479" i="14"/>
  <c r="J480" i="14"/>
  <c r="K480" i="14"/>
  <c r="J481" i="14"/>
  <c r="K481" i="14"/>
  <c r="L481" i="14" s="1"/>
  <c r="J482" i="14"/>
  <c r="K482" i="14"/>
  <c r="L482" i="14"/>
  <c r="J483" i="14"/>
  <c r="K483" i="14"/>
  <c r="L483" i="14" s="1"/>
  <c r="M483" i="14" s="1"/>
  <c r="N483" i="14"/>
  <c r="J484" i="14"/>
  <c r="K484" i="14"/>
  <c r="L484" i="14"/>
  <c r="N484" i="14" s="1"/>
  <c r="M484" i="14"/>
  <c r="J485" i="14"/>
  <c r="K485" i="14"/>
  <c r="L485" i="14" s="1"/>
  <c r="J486" i="14"/>
  <c r="K486" i="14"/>
  <c r="L486" i="14"/>
  <c r="M486" i="14"/>
  <c r="N486" i="14"/>
  <c r="J487" i="14"/>
  <c r="K487" i="14"/>
  <c r="L487" i="14" s="1"/>
  <c r="J488" i="14"/>
  <c r="L488" i="14" s="1"/>
  <c r="K488" i="14"/>
  <c r="J489" i="14"/>
  <c r="K489" i="14"/>
  <c r="L489" i="14"/>
  <c r="M489" i="14" s="1"/>
  <c r="N489" i="14"/>
  <c r="J490" i="14"/>
  <c r="K490" i="14"/>
  <c r="L490" i="14" s="1"/>
  <c r="N490" i="14" s="1"/>
  <c r="M490" i="14"/>
  <c r="J491" i="14"/>
  <c r="K491" i="14"/>
  <c r="L491" i="14"/>
  <c r="M491" i="14" s="1"/>
  <c r="N491" i="14"/>
  <c r="J492" i="14"/>
  <c r="K492" i="14"/>
  <c r="L492" i="14" s="1"/>
  <c r="J493" i="14"/>
  <c r="K493" i="14"/>
  <c r="L493" i="14" s="1"/>
  <c r="M493" i="14"/>
  <c r="N493" i="14"/>
  <c r="J494" i="14"/>
  <c r="K494" i="14"/>
  <c r="L494" i="14"/>
  <c r="J495" i="14"/>
  <c r="K495" i="14"/>
  <c r="L495" i="14"/>
  <c r="J496" i="14"/>
  <c r="K496" i="14"/>
  <c r="L496" i="14"/>
  <c r="M496" i="14"/>
  <c r="N496" i="14"/>
  <c r="J497" i="14"/>
  <c r="K497" i="14"/>
  <c r="L497" i="14" s="1"/>
  <c r="N497" i="14" s="1"/>
  <c r="M497" i="14"/>
  <c r="J498" i="14"/>
  <c r="K498" i="14"/>
  <c r="L498" i="14"/>
  <c r="J499" i="14"/>
  <c r="K499" i="14"/>
  <c r="L499" i="14"/>
  <c r="M499" i="14" s="1"/>
  <c r="N499" i="14"/>
  <c r="J500" i="14"/>
  <c r="L500" i="14" s="1"/>
  <c r="M500" i="14" s="1"/>
  <c r="K500" i="14"/>
  <c r="J501" i="14"/>
  <c r="L501" i="14" s="1"/>
  <c r="M501" i="14" s="1"/>
  <c r="K501" i="14"/>
  <c r="J502" i="14"/>
  <c r="K502" i="14"/>
  <c r="L502" i="14"/>
  <c r="J503" i="14"/>
  <c r="K503" i="14"/>
  <c r="L503" i="14"/>
  <c r="M503" i="14" s="1"/>
  <c r="N503" i="14"/>
  <c r="J504" i="14"/>
  <c r="L504" i="14" s="1"/>
  <c r="N504" i="14" s="1"/>
  <c r="K504" i="14"/>
  <c r="M504" i="14"/>
  <c r="J505" i="14"/>
  <c r="L505" i="14" s="1"/>
  <c r="K505" i="14"/>
  <c r="J506" i="14"/>
  <c r="L506" i="14" s="1"/>
  <c r="K506" i="14"/>
  <c r="J507" i="14"/>
  <c r="K507" i="14"/>
  <c r="L507" i="14" s="1"/>
  <c r="M507" i="14"/>
  <c r="N507" i="14"/>
  <c r="J508" i="14"/>
  <c r="K508" i="14"/>
  <c r="L508" i="14" s="1"/>
  <c r="J509" i="14"/>
  <c r="K509" i="14"/>
  <c r="L509" i="14" s="1"/>
  <c r="M509" i="14"/>
  <c r="N509" i="14"/>
  <c r="J510" i="14"/>
  <c r="K510" i="14"/>
  <c r="L510" i="14"/>
  <c r="M510" i="14"/>
  <c r="N510" i="14"/>
  <c r="J511" i="14"/>
  <c r="K511" i="14"/>
  <c r="J512" i="14"/>
  <c r="K512" i="14"/>
  <c r="L512" i="14"/>
  <c r="M512" i="14"/>
  <c r="N512" i="14"/>
  <c r="J513" i="14"/>
  <c r="K513" i="14"/>
  <c r="L513" i="14" s="1"/>
  <c r="M513" i="14"/>
  <c r="N513" i="14"/>
  <c r="J514" i="14"/>
  <c r="K514" i="14"/>
  <c r="L514" i="14" s="1"/>
  <c r="J515" i="14"/>
  <c r="K515" i="14"/>
  <c r="L515" i="14" s="1"/>
  <c r="M515" i="14" s="1"/>
  <c r="J516" i="14"/>
  <c r="K516" i="14"/>
  <c r="L516" i="14" s="1"/>
  <c r="M516" i="14" s="1"/>
  <c r="N516" i="14"/>
  <c r="J517" i="14"/>
  <c r="K517" i="14"/>
  <c r="L517" i="14" s="1"/>
  <c r="M517" i="14"/>
  <c r="N517" i="14"/>
  <c r="J518" i="14"/>
  <c r="K518" i="14"/>
  <c r="L518" i="14" s="1"/>
  <c r="J519" i="14"/>
  <c r="L519" i="14" s="1"/>
  <c r="N519" i="14" s="1"/>
  <c r="K519" i="14"/>
  <c r="J520" i="14"/>
  <c r="L520" i="14" s="1"/>
  <c r="M520" i="14" s="1"/>
  <c r="K520" i="14"/>
  <c r="N520" i="14"/>
  <c r="J521" i="14"/>
  <c r="K521" i="14"/>
  <c r="L521" i="14" s="1"/>
  <c r="J522" i="14"/>
  <c r="L522" i="14" s="1"/>
  <c r="K522" i="14"/>
  <c r="J523" i="14"/>
  <c r="K523" i="14"/>
  <c r="L523" i="14"/>
  <c r="N523" i="14" s="1"/>
  <c r="M523" i="14"/>
  <c r="J524" i="14"/>
  <c r="K524" i="14"/>
  <c r="J525" i="14"/>
  <c r="K525" i="14"/>
  <c r="L525" i="14" s="1"/>
  <c r="J526" i="14"/>
  <c r="K526" i="14"/>
  <c r="L526" i="14"/>
  <c r="M526" i="14" s="1"/>
  <c r="N526" i="14"/>
  <c r="J527" i="14"/>
  <c r="L527" i="14" s="1"/>
  <c r="M527" i="14" s="1"/>
  <c r="K527" i="14"/>
  <c r="J528" i="14"/>
  <c r="K528" i="14"/>
  <c r="L528" i="14" s="1"/>
  <c r="J529" i="14"/>
  <c r="K529" i="14"/>
  <c r="L529" i="14" s="1"/>
  <c r="M529" i="14" s="1"/>
  <c r="N529" i="14"/>
  <c r="J530" i="14"/>
  <c r="K530" i="14"/>
  <c r="L530" i="14"/>
  <c r="N530" i="14" s="1"/>
  <c r="M530" i="14"/>
  <c r="J531" i="14"/>
  <c r="K531" i="14"/>
  <c r="L531" i="14" s="1"/>
  <c r="N531" i="14" s="1"/>
  <c r="M531" i="14"/>
  <c r="J532" i="14"/>
  <c r="K532" i="14"/>
  <c r="L532" i="14" s="1"/>
  <c r="J533" i="14"/>
  <c r="K533" i="14"/>
  <c r="L533" i="14"/>
  <c r="M533" i="14"/>
  <c r="N533" i="14"/>
  <c r="J534" i="14"/>
  <c r="K534" i="14"/>
  <c r="L534" i="14"/>
  <c r="J535" i="14"/>
  <c r="K535" i="14"/>
  <c r="L535" i="14"/>
  <c r="J536" i="14"/>
  <c r="K536" i="14"/>
  <c r="L536" i="14"/>
  <c r="M536" i="14"/>
  <c r="N536" i="14"/>
  <c r="J537" i="14"/>
  <c r="K537" i="14"/>
  <c r="L537" i="14"/>
  <c r="J538" i="14"/>
  <c r="K538" i="14"/>
  <c r="L538" i="14" s="1"/>
  <c r="J539" i="14"/>
  <c r="K539" i="14"/>
  <c r="J540" i="14"/>
  <c r="K540" i="14"/>
  <c r="L540" i="14" s="1"/>
  <c r="J541" i="14"/>
  <c r="K541" i="14"/>
  <c r="L541" i="14" s="1"/>
  <c r="M541" i="14"/>
  <c r="N541" i="14"/>
  <c r="J542" i="14"/>
  <c r="K542" i="14"/>
  <c r="L542" i="14" s="1"/>
  <c r="J543" i="14"/>
  <c r="K543" i="14"/>
  <c r="L543" i="14"/>
  <c r="M543" i="14"/>
  <c r="N543" i="14"/>
  <c r="J544" i="14"/>
  <c r="L544" i="14" s="1"/>
  <c r="M544" i="14" s="1"/>
  <c r="K544" i="14"/>
  <c r="N544" i="14"/>
  <c r="J545" i="14"/>
  <c r="K545" i="14"/>
  <c r="L545" i="14" s="1"/>
  <c r="N545" i="14" s="1"/>
  <c r="M545" i="14"/>
  <c r="J546" i="14"/>
  <c r="K546" i="14"/>
  <c r="L546" i="14"/>
  <c r="J547" i="14"/>
  <c r="K547" i="14"/>
  <c r="L547" i="14" s="1"/>
  <c r="M547" i="14"/>
  <c r="N547" i="14"/>
  <c r="J548" i="14"/>
  <c r="K548" i="14"/>
  <c r="L548" i="14"/>
  <c r="M548" i="14"/>
  <c r="N548" i="14"/>
  <c r="J549" i="14"/>
  <c r="K549" i="14"/>
  <c r="J550" i="14"/>
  <c r="K550" i="14"/>
  <c r="L550" i="14"/>
  <c r="M550" i="14" s="1"/>
  <c r="J551" i="14"/>
  <c r="K551" i="14"/>
  <c r="L551" i="14"/>
  <c r="N551" i="14" s="1"/>
  <c r="M551" i="14"/>
  <c r="J552" i="14"/>
  <c r="K552" i="14"/>
  <c r="J553" i="14"/>
  <c r="K553" i="14"/>
  <c r="L553" i="14" s="1"/>
  <c r="M553" i="14"/>
  <c r="N553" i="14"/>
  <c r="J554" i="14"/>
  <c r="K554" i="14"/>
  <c r="L554" i="14"/>
  <c r="J555" i="14"/>
  <c r="K555" i="14"/>
  <c r="L555" i="14" s="1"/>
  <c r="M555" i="14" s="1"/>
  <c r="N555" i="14"/>
  <c r="J556" i="14"/>
  <c r="L556" i="14" s="1"/>
  <c r="M556" i="14" s="1"/>
  <c r="K556" i="14"/>
  <c r="J557" i="14"/>
  <c r="K557" i="14"/>
  <c r="L557" i="14" s="1"/>
  <c r="M557" i="14"/>
  <c r="N557" i="14"/>
  <c r="J558" i="14"/>
  <c r="L558" i="14" s="1"/>
  <c r="M558" i="14" s="1"/>
  <c r="K558" i="14"/>
  <c r="N558" i="14"/>
  <c r="J559" i="14"/>
  <c r="K559" i="14"/>
  <c r="L559" i="14"/>
  <c r="J560" i="14"/>
  <c r="K560" i="14"/>
  <c r="L560" i="14"/>
  <c r="N560" i="14" s="1"/>
  <c r="M560" i="14"/>
  <c r="J561" i="14"/>
  <c r="K561" i="14"/>
  <c r="L561" i="14" s="1"/>
  <c r="M561" i="14"/>
  <c r="N561" i="14"/>
  <c r="J562" i="14"/>
  <c r="K562" i="14"/>
  <c r="L562" i="14"/>
  <c r="J563" i="14"/>
  <c r="K563" i="14"/>
  <c r="L563" i="14" s="1"/>
  <c r="J564" i="14"/>
  <c r="K564" i="14"/>
  <c r="L564" i="14" s="1"/>
  <c r="M564" i="14" s="1"/>
  <c r="N564" i="14"/>
  <c r="J565" i="14"/>
  <c r="K565" i="14"/>
  <c r="L565" i="14" s="1"/>
  <c r="M565" i="14" s="1"/>
  <c r="J566" i="14"/>
  <c r="K566" i="14"/>
  <c r="L566" i="14"/>
  <c r="J567" i="14"/>
  <c r="L567" i="14" s="1"/>
  <c r="M567" i="14" s="1"/>
  <c r="K567" i="14"/>
  <c r="N567" i="14"/>
  <c r="J568" i="14"/>
  <c r="L568" i="14" s="1"/>
  <c r="K568" i="14"/>
  <c r="J569" i="14"/>
  <c r="K569" i="14"/>
  <c r="L569" i="14" s="1"/>
  <c r="N569" i="14" s="1"/>
  <c r="J570" i="14"/>
  <c r="L570" i="14" s="1"/>
  <c r="K570" i="14"/>
  <c r="J571" i="14"/>
  <c r="L571" i="14" s="1"/>
  <c r="K571" i="14"/>
  <c r="J572" i="14"/>
  <c r="K572" i="14"/>
  <c r="L572" i="14"/>
  <c r="M572" i="14"/>
  <c r="N572" i="14"/>
  <c r="J573" i="14"/>
  <c r="K573" i="14"/>
  <c r="L573" i="14"/>
  <c r="N573" i="14" s="1"/>
  <c r="M573" i="14"/>
  <c r="J574" i="14"/>
  <c r="K574" i="14"/>
  <c r="L574" i="14"/>
  <c r="M574" i="14" s="1"/>
  <c r="N574" i="14"/>
  <c r="J575" i="14"/>
  <c r="L575" i="14" s="1"/>
  <c r="K575" i="14"/>
  <c r="J576" i="14"/>
  <c r="L576" i="14" s="1"/>
  <c r="N576" i="14" s="1"/>
  <c r="K576" i="14"/>
  <c r="M576" i="14"/>
  <c r="J577" i="14"/>
  <c r="K577" i="14"/>
  <c r="L577" i="14"/>
  <c r="J578" i="14"/>
  <c r="K578" i="14"/>
  <c r="L578" i="14" s="1"/>
  <c r="J579" i="14"/>
  <c r="K579" i="14"/>
  <c r="L579" i="14" s="1"/>
  <c r="M579" i="14"/>
  <c r="N579" i="14"/>
  <c r="J580" i="14"/>
  <c r="L580" i="14" s="1"/>
  <c r="K580" i="14"/>
  <c r="J581" i="14"/>
  <c r="K581" i="14"/>
  <c r="L581" i="14"/>
  <c r="J582" i="14"/>
  <c r="K582" i="14"/>
  <c r="L582" i="14" s="1"/>
  <c r="J583" i="14"/>
  <c r="L583" i="14" s="1"/>
  <c r="K583" i="14"/>
  <c r="J584" i="14"/>
  <c r="K584" i="14"/>
  <c r="L584" i="14"/>
  <c r="M584" i="14"/>
  <c r="N584" i="14"/>
  <c r="J585" i="14"/>
  <c r="L585" i="14" s="1"/>
  <c r="K585" i="14"/>
  <c r="J586" i="14"/>
  <c r="K586" i="14"/>
  <c r="L586" i="14"/>
  <c r="N586" i="14" s="1"/>
  <c r="M586" i="14"/>
  <c r="J587" i="14"/>
  <c r="K587" i="14"/>
  <c r="L587" i="14"/>
  <c r="M587" i="14"/>
  <c r="N587" i="14"/>
  <c r="J588" i="14"/>
  <c r="K588" i="14"/>
  <c r="J589" i="14"/>
  <c r="K589" i="14"/>
  <c r="L589" i="14"/>
  <c r="M589" i="14"/>
  <c r="N589" i="14"/>
  <c r="J590" i="14"/>
  <c r="K590" i="14"/>
  <c r="L590" i="14"/>
  <c r="M590" i="14" s="1"/>
  <c r="N590" i="14"/>
  <c r="J591" i="14"/>
  <c r="K591" i="14"/>
  <c r="J592" i="14"/>
  <c r="K592" i="14"/>
  <c r="L592" i="14"/>
  <c r="M592" i="14"/>
  <c r="N592" i="14"/>
  <c r="J593" i="14"/>
  <c r="K593" i="14"/>
  <c r="L593" i="14" s="1"/>
  <c r="N593" i="14" s="1"/>
  <c r="M593" i="14"/>
  <c r="J594" i="14"/>
  <c r="L594" i="14" s="1"/>
  <c r="M594" i="14" s="1"/>
  <c r="K594" i="14"/>
  <c r="N594" i="14"/>
  <c r="J595" i="14"/>
  <c r="K595" i="14"/>
  <c r="L595" i="14"/>
  <c r="M595" i="14"/>
  <c r="N595" i="14"/>
  <c r="J596" i="14"/>
  <c r="K596" i="14"/>
  <c r="L596" i="14"/>
  <c r="N596" i="14" s="1"/>
  <c r="M596" i="14"/>
  <c r="J597" i="14"/>
  <c r="K597" i="14"/>
  <c r="L597" i="14"/>
  <c r="N597" i="14" s="1"/>
  <c r="M597" i="14"/>
  <c r="J598" i="14"/>
  <c r="K598" i="14"/>
  <c r="L598" i="14"/>
  <c r="M598" i="14" s="1"/>
  <c r="J599" i="14"/>
  <c r="L599" i="14" s="1"/>
  <c r="M599" i="14" s="1"/>
  <c r="K599" i="14"/>
  <c r="N599" i="14"/>
  <c r="J600" i="14"/>
  <c r="K600" i="14"/>
  <c r="L600" i="14" s="1"/>
  <c r="J601" i="14"/>
  <c r="K601" i="14"/>
  <c r="J602" i="14"/>
  <c r="K602" i="14"/>
  <c r="L602" i="14"/>
  <c r="M602" i="14" s="1"/>
  <c r="N602" i="14"/>
  <c r="J603" i="14"/>
  <c r="K603" i="14"/>
  <c r="L603" i="14" s="1"/>
  <c r="M603" i="14"/>
  <c r="N603" i="14"/>
  <c r="J604" i="14"/>
  <c r="L604" i="14" s="1"/>
  <c r="M604" i="14" s="1"/>
  <c r="K604" i="14"/>
  <c r="N604" i="14"/>
  <c r="J605" i="14"/>
  <c r="K605" i="14"/>
  <c r="L605" i="14"/>
  <c r="N605" i="14" s="1"/>
  <c r="J606" i="14"/>
  <c r="K606" i="14"/>
  <c r="L606" i="14"/>
  <c r="M606" i="14"/>
  <c r="N606" i="14"/>
  <c r="J607" i="14"/>
  <c r="K607" i="14"/>
  <c r="L607" i="14"/>
  <c r="N607" i="14" s="1"/>
  <c r="M607" i="14"/>
  <c r="J608" i="14"/>
  <c r="K608" i="14"/>
  <c r="L608" i="14"/>
  <c r="N608" i="14" s="1"/>
  <c r="M608" i="14"/>
  <c r="J609" i="14"/>
  <c r="L609" i="14" s="1"/>
  <c r="M609" i="14" s="1"/>
  <c r="K609" i="14"/>
  <c r="N609" i="14"/>
  <c r="J610" i="14"/>
  <c r="K610" i="14"/>
  <c r="L610" i="14"/>
  <c r="J611" i="14"/>
  <c r="K611" i="14"/>
  <c r="L611" i="14" s="1"/>
  <c r="M611" i="14" s="1"/>
  <c r="N611" i="14"/>
  <c r="J612" i="14"/>
  <c r="K612" i="14"/>
  <c r="L612" i="14"/>
  <c r="M612" i="14" s="1"/>
  <c r="J613" i="14"/>
  <c r="K613" i="14"/>
  <c r="L613" i="14" s="1"/>
  <c r="J614" i="14"/>
  <c r="L614" i="14" s="1"/>
  <c r="M614" i="14" s="1"/>
  <c r="K614" i="14"/>
  <c r="N614" i="14"/>
  <c r="J615" i="14"/>
  <c r="K615" i="14"/>
  <c r="L615" i="14"/>
  <c r="M615" i="14" s="1"/>
  <c r="N615" i="14"/>
  <c r="J616" i="14"/>
  <c r="K616" i="14"/>
  <c r="L616" i="14"/>
  <c r="J617" i="14"/>
  <c r="K617" i="14"/>
  <c r="L617" i="14" s="1"/>
  <c r="N617" i="14" s="1"/>
  <c r="M617" i="14"/>
  <c r="J618" i="14"/>
  <c r="K618" i="14"/>
  <c r="L618" i="14"/>
  <c r="M618" i="14"/>
  <c r="N618" i="14"/>
  <c r="J619" i="14"/>
  <c r="K619" i="14"/>
  <c r="J620" i="14"/>
  <c r="K620" i="14"/>
  <c r="J621" i="14"/>
  <c r="K621" i="14"/>
  <c r="L621" i="14"/>
  <c r="N621" i="14" s="1"/>
  <c r="M621" i="14"/>
  <c r="J622" i="14"/>
  <c r="L622" i="14" s="1"/>
  <c r="K622" i="14"/>
  <c r="J623" i="14"/>
  <c r="K623" i="14"/>
  <c r="L623" i="14"/>
  <c r="N623" i="14" s="1"/>
  <c r="M623" i="14"/>
  <c r="J624" i="14"/>
  <c r="K624" i="14"/>
  <c r="L624" i="14" s="1"/>
  <c r="J625" i="14"/>
  <c r="K625" i="14"/>
  <c r="L625" i="14" s="1"/>
  <c r="J626" i="14"/>
  <c r="K626" i="14"/>
  <c r="L626" i="14"/>
  <c r="M626" i="14" s="1"/>
  <c r="N626" i="14"/>
  <c r="J627" i="14"/>
  <c r="K627" i="14"/>
  <c r="L627" i="14" s="1"/>
  <c r="M627" i="14"/>
  <c r="N627" i="14"/>
  <c r="J628" i="14"/>
  <c r="K628" i="14"/>
  <c r="J629" i="14"/>
  <c r="K629" i="14"/>
  <c r="J630" i="14"/>
  <c r="K630" i="14"/>
  <c r="L630" i="14"/>
  <c r="N630" i="14" s="1"/>
  <c r="M630" i="14"/>
  <c r="J631" i="14"/>
  <c r="K631" i="14"/>
  <c r="L631" i="14"/>
  <c r="J632" i="14"/>
  <c r="L632" i="14" s="1"/>
  <c r="K632" i="14"/>
  <c r="J633" i="14"/>
  <c r="K633" i="14"/>
  <c r="L633" i="14" s="1"/>
  <c r="J634" i="14"/>
  <c r="L634" i="14" s="1"/>
  <c r="M634" i="14" s="1"/>
  <c r="K634" i="14"/>
  <c r="N634" i="14"/>
  <c r="J635" i="14"/>
  <c r="K635" i="14"/>
  <c r="L635" i="14" s="1"/>
  <c r="J636" i="14"/>
  <c r="L636" i="14" s="1"/>
  <c r="K636" i="14"/>
  <c r="J637" i="14"/>
  <c r="K637" i="14"/>
  <c r="L637" i="14" s="1"/>
  <c r="J638" i="14"/>
  <c r="K638" i="14"/>
  <c r="L638" i="14"/>
  <c r="J639" i="14"/>
  <c r="K639" i="14"/>
  <c r="L639" i="14"/>
  <c r="M639" i="14"/>
  <c r="N639" i="14"/>
  <c r="J640" i="14"/>
  <c r="K640" i="14"/>
  <c r="L640" i="14"/>
  <c r="N640" i="14" s="1"/>
  <c r="M640" i="14"/>
  <c r="J641" i="14"/>
  <c r="K641" i="14"/>
  <c r="L641" i="14"/>
  <c r="J642" i="14"/>
  <c r="K642" i="14"/>
  <c r="L642" i="14"/>
  <c r="M642" i="14"/>
  <c r="N642" i="14"/>
  <c r="J643" i="14"/>
  <c r="L643" i="14" s="1"/>
  <c r="K643" i="14"/>
  <c r="J644" i="14"/>
  <c r="K644" i="14"/>
  <c r="L644" i="14"/>
  <c r="M644" i="14"/>
  <c r="N644" i="14"/>
  <c r="J645" i="14"/>
  <c r="K645" i="14"/>
  <c r="L645" i="14" s="1"/>
  <c r="J646" i="14"/>
  <c r="K646" i="14"/>
  <c r="L646" i="14"/>
  <c r="J647" i="14"/>
  <c r="K647" i="14"/>
  <c r="L647" i="14" s="1"/>
  <c r="J648" i="14"/>
  <c r="K648" i="14"/>
  <c r="L648" i="14"/>
  <c r="J649" i="14"/>
  <c r="K649" i="14"/>
  <c r="L649" i="14"/>
  <c r="M649" i="14"/>
  <c r="N649" i="14"/>
  <c r="J650" i="14"/>
  <c r="K650" i="14"/>
  <c r="L650" i="14"/>
  <c r="M650" i="14"/>
  <c r="N650" i="14"/>
  <c r="J651" i="14"/>
  <c r="K651" i="14"/>
  <c r="L651" i="14" s="1"/>
  <c r="N651" i="14" s="1"/>
  <c r="M651" i="14"/>
  <c r="J652" i="14"/>
  <c r="K652" i="14"/>
  <c r="L652" i="14"/>
  <c r="M652" i="14"/>
  <c r="N652" i="14"/>
  <c r="J653" i="14"/>
  <c r="K653" i="14"/>
  <c r="L653" i="14"/>
  <c r="N653" i="14" s="1"/>
  <c r="M653" i="14"/>
  <c r="J654" i="14"/>
  <c r="K654" i="14"/>
  <c r="L654" i="14"/>
  <c r="M654" i="14"/>
  <c r="N654" i="14"/>
  <c r="J655" i="14"/>
  <c r="K655" i="14"/>
  <c r="L655" i="14"/>
  <c r="M655" i="14" s="1"/>
  <c r="N655" i="14"/>
  <c r="J656" i="14"/>
  <c r="K656" i="14"/>
  <c r="L656" i="14"/>
  <c r="M656" i="14" s="1"/>
  <c r="N656" i="14"/>
  <c r="J657" i="14"/>
  <c r="L657" i="14" s="1"/>
  <c r="M657" i="14" s="1"/>
  <c r="K657" i="14"/>
  <c r="J658" i="14"/>
  <c r="K658" i="14"/>
  <c r="L658" i="14"/>
  <c r="J659" i="14"/>
  <c r="K659" i="14"/>
  <c r="L659" i="14"/>
  <c r="N659" i="14" s="1"/>
  <c r="M659" i="14"/>
  <c r="J660" i="14"/>
  <c r="K660" i="14"/>
  <c r="L660" i="14" s="1"/>
  <c r="M660" i="14"/>
  <c r="N660" i="14"/>
  <c r="J661" i="14"/>
  <c r="K661" i="14"/>
  <c r="L661" i="14"/>
  <c r="M661" i="14" s="1"/>
  <c r="J662" i="14"/>
  <c r="K662" i="14"/>
  <c r="J663" i="14"/>
  <c r="K663" i="14"/>
  <c r="L663" i="14" s="1"/>
  <c r="J664" i="14"/>
  <c r="K664" i="14"/>
  <c r="L664" i="14"/>
  <c r="M664" i="14"/>
  <c r="N664" i="14"/>
  <c r="J665" i="14"/>
  <c r="K665" i="14"/>
  <c r="L665" i="14"/>
  <c r="N665" i="14" s="1"/>
  <c r="J666" i="14"/>
  <c r="K666" i="14"/>
  <c r="L666" i="14" s="1"/>
  <c r="M666" i="14"/>
  <c r="N666" i="14"/>
  <c r="J667" i="14"/>
  <c r="K667" i="14"/>
  <c r="L667" i="14" s="1"/>
  <c r="J668" i="14"/>
  <c r="L668" i="14" s="1"/>
  <c r="K668" i="14"/>
  <c r="J669" i="14"/>
  <c r="K669" i="14"/>
  <c r="L669" i="14" s="1"/>
  <c r="J670" i="14"/>
  <c r="K670" i="14"/>
  <c r="L670" i="14" s="1"/>
  <c r="M670" i="14" s="1"/>
  <c r="J671" i="14"/>
  <c r="K671" i="14"/>
  <c r="L671" i="14"/>
  <c r="N671" i="14" s="1"/>
  <c r="M671" i="14"/>
  <c r="J672" i="14"/>
  <c r="K672" i="14"/>
  <c r="L672" i="14" s="1"/>
  <c r="M672" i="14" s="1"/>
  <c r="N672" i="14"/>
  <c r="J673" i="14"/>
  <c r="K673" i="14"/>
  <c r="L673" i="14"/>
  <c r="J674" i="14"/>
  <c r="K674" i="14"/>
  <c r="L674" i="14"/>
  <c r="J675" i="14"/>
  <c r="K675" i="14"/>
  <c r="L675" i="14" s="1"/>
  <c r="M675" i="14"/>
  <c r="N675" i="14"/>
  <c r="J676" i="14"/>
  <c r="K676" i="14"/>
  <c r="L676" i="14"/>
  <c r="N676" i="14" s="1"/>
  <c r="M676" i="14"/>
  <c r="J677" i="14"/>
  <c r="L677" i="14" s="1"/>
  <c r="K677" i="14"/>
  <c r="J678" i="14"/>
  <c r="K678" i="14"/>
  <c r="L678" i="14" s="1"/>
  <c r="J679" i="14"/>
  <c r="K679" i="14"/>
  <c r="L679" i="14" s="1"/>
  <c r="J680" i="14"/>
  <c r="L680" i="14" s="1"/>
  <c r="M680" i="14" s="1"/>
  <c r="K680" i="14"/>
  <c r="N680" i="14"/>
  <c r="J681" i="14"/>
  <c r="L681" i="14" s="1"/>
  <c r="N681" i="14" s="1"/>
  <c r="K681" i="14"/>
  <c r="M681" i="14"/>
  <c r="J682" i="14"/>
  <c r="K682" i="14"/>
  <c r="J683" i="14"/>
  <c r="K683" i="14"/>
  <c r="L683" i="14" s="1"/>
  <c r="M683" i="14" s="1"/>
  <c r="N683" i="14"/>
  <c r="J684" i="14"/>
  <c r="K684" i="14"/>
  <c r="L684" i="14" s="1"/>
  <c r="M684" i="14" s="1"/>
  <c r="N684" i="14"/>
  <c r="J685" i="14"/>
  <c r="K685" i="14"/>
  <c r="L685" i="14" s="1"/>
  <c r="J686" i="14"/>
  <c r="L686" i="14" s="1"/>
  <c r="M686" i="14" s="1"/>
  <c r="K686" i="14"/>
  <c r="N686" i="14"/>
  <c r="J687" i="14"/>
  <c r="L687" i="14" s="1"/>
  <c r="M687" i="14" s="1"/>
  <c r="K687" i="14"/>
  <c r="J688" i="14"/>
  <c r="L688" i="14" s="1"/>
  <c r="K688" i="14"/>
  <c r="M688" i="14"/>
  <c r="N688" i="14"/>
  <c r="J689" i="14"/>
  <c r="K689" i="14"/>
  <c r="L689" i="14"/>
  <c r="N689" i="14" s="1"/>
  <c r="M689" i="14"/>
  <c r="J690" i="14"/>
  <c r="K690" i="14"/>
  <c r="L690" i="14" s="1"/>
  <c r="J691" i="14"/>
  <c r="K691" i="14"/>
  <c r="L691" i="14"/>
  <c r="M691" i="14" s="1"/>
  <c r="N691" i="14"/>
  <c r="J692" i="14"/>
  <c r="L692" i="14" s="1"/>
  <c r="K692" i="14"/>
  <c r="J693" i="14"/>
  <c r="L693" i="14" s="1"/>
  <c r="K693" i="14"/>
  <c r="J694" i="14"/>
  <c r="K694" i="14"/>
  <c r="L694" i="14" s="1"/>
  <c r="J695" i="14"/>
  <c r="K695" i="14"/>
  <c r="L695" i="14" s="1"/>
  <c r="J696" i="14"/>
  <c r="K696" i="14"/>
  <c r="L696" i="14"/>
  <c r="J697" i="14"/>
  <c r="K697" i="14"/>
  <c r="L697" i="14" s="1"/>
  <c r="J698" i="14"/>
  <c r="L698" i="14" s="1"/>
  <c r="N698" i="14" s="1"/>
  <c r="K698" i="14"/>
  <c r="M698" i="14"/>
  <c r="J699" i="14"/>
  <c r="K699" i="14"/>
  <c r="J700" i="14"/>
  <c r="K700" i="14"/>
  <c r="L700" i="14"/>
  <c r="M700" i="14"/>
  <c r="N700" i="14"/>
  <c r="J701" i="14"/>
  <c r="K701" i="14"/>
  <c r="L701" i="14"/>
  <c r="M701" i="14"/>
  <c r="N701" i="14"/>
  <c r="J702" i="14"/>
  <c r="L702" i="14" s="1"/>
  <c r="K702" i="14"/>
  <c r="J703" i="14"/>
  <c r="L703" i="14" s="1"/>
  <c r="K703" i="14"/>
  <c r="M703" i="14"/>
  <c r="N703" i="14"/>
  <c r="J704" i="14"/>
  <c r="K704" i="14"/>
  <c r="L704" i="14"/>
  <c r="M704" i="14"/>
  <c r="N704" i="14"/>
  <c r="J705" i="14"/>
  <c r="K705" i="14"/>
  <c r="L705" i="14" s="1"/>
  <c r="J706" i="14"/>
  <c r="K706" i="14"/>
  <c r="L706" i="14"/>
  <c r="M706" i="14"/>
  <c r="N706" i="14"/>
  <c r="J707" i="14"/>
  <c r="L707" i="14" s="1"/>
  <c r="K707" i="14"/>
  <c r="J708" i="14"/>
  <c r="K708" i="14"/>
  <c r="L708" i="14"/>
  <c r="N708" i="14" s="1"/>
  <c r="M708" i="14"/>
  <c r="J709" i="14"/>
  <c r="K709" i="14"/>
  <c r="L709" i="14" s="1"/>
  <c r="M709" i="14" s="1"/>
  <c r="N709" i="14"/>
  <c r="J710" i="14"/>
  <c r="K710" i="14"/>
  <c r="L710" i="14"/>
  <c r="N710" i="14" s="1"/>
  <c r="M710" i="14"/>
  <c r="J711" i="14"/>
  <c r="K711" i="14"/>
  <c r="L711" i="14"/>
  <c r="M711" i="14" s="1"/>
  <c r="J712" i="14"/>
  <c r="K712" i="14"/>
  <c r="L712" i="14" s="1"/>
  <c r="N712" i="14" s="1"/>
  <c r="M712" i="14"/>
  <c r="J713" i="14"/>
  <c r="K713" i="14"/>
  <c r="L713" i="14"/>
  <c r="N713" i="14" s="1"/>
  <c r="M713" i="14"/>
  <c r="J714" i="14"/>
  <c r="K714" i="14"/>
  <c r="L714" i="14"/>
  <c r="N714" i="14" s="1"/>
  <c r="J715" i="14"/>
  <c r="K715" i="14"/>
  <c r="L715" i="14" s="1"/>
  <c r="J716" i="14"/>
  <c r="K716" i="14"/>
  <c r="L716" i="14"/>
  <c r="J717" i="14"/>
  <c r="K717" i="14"/>
  <c r="L717" i="14"/>
  <c r="J718" i="14"/>
  <c r="K718" i="14"/>
  <c r="L718" i="14" s="1"/>
  <c r="M718" i="14" s="1"/>
  <c r="N718" i="14"/>
  <c r="J719" i="14"/>
  <c r="L719" i="14" s="1"/>
  <c r="K719" i="14"/>
  <c r="J720" i="14"/>
  <c r="L720" i="14" s="1"/>
  <c r="K720" i="14"/>
  <c r="M720" i="14"/>
  <c r="N720" i="14"/>
  <c r="J721" i="14"/>
  <c r="L721" i="14" s="1"/>
  <c r="K721" i="14"/>
  <c r="J722" i="14"/>
  <c r="K722" i="14"/>
  <c r="L722" i="14"/>
  <c r="J723" i="14"/>
  <c r="K723" i="14"/>
  <c r="J724" i="14"/>
  <c r="K724" i="14"/>
  <c r="L724" i="14" s="1"/>
  <c r="J725" i="14"/>
  <c r="K725" i="14"/>
  <c r="L725" i="14"/>
  <c r="M725" i="14"/>
  <c r="N725" i="14"/>
  <c r="J726" i="14"/>
  <c r="K726" i="14"/>
  <c r="L726" i="14" s="1"/>
  <c r="M726" i="14" s="1"/>
  <c r="N726" i="14"/>
  <c r="J727" i="14"/>
  <c r="K727" i="14"/>
  <c r="L727" i="14" s="1"/>
  <c r="J728" i="14"/>
  <c r="K728" i="14"/>
  <c r="L728" i="14"/>
  <c r="N728" i="14" s="1"/>
  <c r="M728" i="14"/>
  <c r="J729" i="14"/>
  <c r="K729" i="14"/>
  <c r="L729" i="14" s="1"/>
  <c r="N729" i="14" s="1"/>
  <c r="M729" i="14"/>
  <c r="J730" i="14"/>
  <c r="K730" i="14"/>
  <c r="L730" i="14"/>
  <c r="J731" i="14"/>
  <c r="K731" i="14"/>
  <c r="L731" i="14" s="1"/>
  <c r="M731" i="14" s="1"/>
  <c r="N731" i="14"/>
  <c r="J732" i="14"/>
  <c r="L732" i="14" s="1"/>
  <c r="M732" i="14" s="1"/>
  <c r="K732" i="14"/>
  <c r="N732" i="14"/>
  <c r="J733" i="14"/>
  <c r="K733" i="14"/>
  <c r="L733" i="14"/>
  <c r="N733" i="14" s="1"/>
  <c r="M733" i="14"/>
  <c r="J734" i="14"/>
  <c r="K734" i="14"/>
  <c r="J735" i="14"/>
  <c r="L735" i="14" s="1"/>
  <c r="K735" i="14"/>
  <c r="J736" i="14"/>
  <c r="K736" i="14"/>
  <c r="L736" i="14" s="1"/>
  <c r="M736" i="14" s="1"/>
  <c r="J737" i="14"/>
  <c r="K737" i="14"/>
  <c r="J738" i="14"/>
  <c r="K738" i="14"/>
  <c r="J739" i="14"/>
  <c r="K739" i="14"/>
  <c r="L739" i="14"/>
  <c r="M739" i="14" s="1"/>
  <c r="J740" i="14"/>
  <c r="L740" i="14" s="1"/>
  <c r="K740" i="14"/>
  <c r="J741" i="14"/>
  <c r="K741" i="14"/>
  <c r="L741" i="14" s="1"/>
  <c r="J742" i="14"/>
  <c r="K742" i="14"/>
  <c r="L742" i="14" s="1"/>
  <c r="M742" i="14" s="1"/>
  <c r="N742" i="14"/>
  <c r="J743" i="14"/>
  <c r="K743" i="14"/>
  <c r="L743" i="14"/>
  <c r="M743" i="14"/>
  <c r="N743" i="14"/>
  <c r="J744" i="14"/>
  <c r="L744" i="14" s="1"/>
  <c r="N744" i="14" s="1"/>
  <c r="K744" i="14"/>
  <c r="M744" i="14"/>
  <c r="J745" i="14"/>
  <c r="K745" i="14"/>
  <c r="L745" i="14"/>
  <c r="J746" i="14"/>
  <c r="L746" i="14" s="1"/>
  <c r="K746" i="14"/>
  <c r="J747" i="14"/>
  <c r="K747" i="14"/>
  <c r="L747" i="14" s="1"/>
  <c r="M747" i="14" s="1"/>
  <c r="N747" i="14"/>
  <c r="J748" i="14"/>
  <c r="K748" i="14"/>
  <c r="L748" i="14"/>
  <c r="N748" i="14" s="1"/>
  <c r="M748" i="14"/>
  <c r="J749" i="14"/>
  <c r="K749" i="14"/>
  <c r="L749" i="14"/>
  <c r="J750" i="14"/>
  <c r="K750" i="14"/>
  <c r="L750" i="14"/>
  <c r="M750" i="14"/>
  <c r="N750" i="14"/>
  <c r="J751" i="14"/>
  <c r="K751" i="14"/>
  <c r="L751" i="14" s="1"/>
  <c r="J752" i="14"/>
  <c r="K752" i="14"/>
  <c r="L752" i="14"/>
  <c r="N752" i="14" s="1"/>
  <c r="M752" i="14"/>
  <c r="J753" i="14"/>
  <c r="L753" i="14" s="1"/>
  <c r="M753" i="14" s="1"/>
  <c r="K753" i="14"/>
  <c r="J754" i="14"/>
  <c r="K754" i="14"/>
  <c r="L754" i="14"/>
  <c r="M754" i="14" s="1"/>
  <c r="N754" i="14"/>
  <c r="J755" i="14"/>
  <c r="K755" i="14"/>
  <c r="L755" i="14"/>
  <c r="J756" i="14"/>
  <c r="K756" i="14"/>
  <c r="L756" i="14" s="1"/>
  <c r="J757" i="14"/>
  <c r="K757" i="14"/>
  <c r="L757" i="14"/>
  <c r="M757" i="14" s="1"/>
  <c r="J758" i="14"/>
  <c r="K758" i="14"/>
  <c r="L758" i="14"/>
  <c r="J759" i="14"/>
  <c r="K759" i="14"/>
  <c r="L759" i="14" s="1"/>
  <c r="M759" i="14"/>
  <c r="N759" i="14"/>
  <c r="J760" i="14"/>
  <c r="K760" i="14"/>
  <c r="L760" i="14"/>
  <c r="J761" i="14"/>
  <c r="K761" i="14"/>
  <c r="L761" i="14" s="1"/>
  <c r="J762" i="14"/>
  <c r="L762" i="14" s="1"/>
  <c r="K762" i="14"/>
  <c r="J763" i="14"/>
  <c r="K763" i="14"/>
  <c r="L763" i="14" s="1"/>
  <c r="N763" i="14" s="1"/>
  <c r="M763" i="14"/>
  <c r="J764" i="14"/>
  <c r="K764" i="14"/>
  <c r="J765" i="14"/>
  <c r="L765" i="14" s="1"/>
  <c r="M765" i="14" s="1"/>
  <c r="K765" i="14"/>
  <c r="N765" i="14"/>
  <c r="J766" i="14"/>
  <c r="K766" i="14"/>
  <c r="L766" i="14" s="1"/>
  <c r="J767" i="14"/>
  <c r="K767" i="14"/>
  <c r="L767" i="14"/>
  <c r="M767" i="14"/>
  <c r="N767" i="14"/>
  <c r="J768" i="14"/>
  <c r="K768" i="14"/>
  <c r="L768" i="14"/>
  <c r="J769" i="14"/>
  <c r="K769" i="14"/>
  <c r="J770" i="14"/>
  <c r="K770" i="14"/>
  <c r="L770" i="14"/>
  <c r="N770" i="14" s="1"/>
  <c r="M770" i="14"/>
  <c r="J771" i="14"/>
  <c r="K771" i="14"/>
  <c r="L771" i="14" s="1"/>
  <c r="J772" i="14"/>
  <c r="K772" i="14"/>
  <c r="L772" i="14"/>
  <c r="N772" i="14" s="1"/>
  <c r="M772" i="14"/>
  <c r="J773" i="14"/>
  <c r="K773" i="14"/>
  <c r="L773" i="14" s="1"/>
  <c r="J774" i="14"/>
  <c r="K774" i="14"/>
  <c r="J775" i="14"/>
  <c r="L775" i="14" s="1"/>
  <c r="K775" i="14"/>
  <c r="J776" i="14"/>
  <c r="L776" i="14" s="1"/>
  <c r="M776" i="14" s="1"/>
  <c r="K776" i="14"/>
  <c r="N776" i="14"/>
  <c r="J777" i="14"/>
  <c r="K777" i="14"/>
  <c r="J778" i="14"/>
  <c r="K778" i="14"/>
  <c r="L778" i="14" s="1"/>
  <c r="J779" i="14"/>
  <c r="K779" i="14"/>
  <c r="L779" i="14"/>
  <c r="M779" i="14"/>
  <c r="N779" i="14"/>
  <c r="J780" i="14"/>
  <c r="L780" i="14" s="1"/>
  <c r="N780" i="14" s="1"/>
  <c r="K780" i="14"/>
  <c r="M780" i="14"/>
  <c r="J781" i="14"/>
  <c r="K781" i="14"/>
  <c r="L781" i="14"/>
  <c r="M781" i="14"/>
  <c r="N781" i="14"/>
  <c r="J782" i="14"/>
  <c r="K782" i="14"/>
  <c r="L782" i="14"/>
  <c r="N782" i="14" s="1"/>
  <c r="M782" i="14"/>
  <c r="J783" i="14"/>
  <c r="K783" i="14"/>
  <c r="L783" i="14" s="1"/>
  <c r="J784" i="14"/>
  <c r="K784" i="14"/>
  <c r="L784" i="14" s="1"/>
  <c r="N784" i="14" s="1"/>
  <c r="M784" i="14"/>
  <c r="J785" i="14"/>
  <c r="K785" i="14"/>
  <c r="L785" i="14"/>
  <c r="J786" i="14"/>
  <c r="L786" i="14" s="1"/>
  <c r="N786" i="14" s="1"/>
  <c r="K786" i="14"/>
  <c r="M786" i="14"/>
  <c r="J787" i="14"/>
  <c r="K787" i="14"/>
  <c r="L787" i="14"/>
  <c r="M787" i="14" s="1"/>
  <c r="J788" i="14"/>
  <c r="K788" i="14"/>
  <c r="J789" i="14"/>
  <c r="K789" i="14"/>
  <c r="L789" i="14"/>
  <c r="M789" i="14"/>
  <c r="N789" i="14"/>
  <c r="J790" i="14"/>
  <c r="K790" i="14"/>
  <c r="L790" i="14"/>
  <c r="J791" i="14"/>
  <c r="L791" i="14" s="1"/>
  <c r="K791" i="14"/>
  <c r="J792" i="14"/>
  <c r="L792" i="14" s="1"/>
  <c r="K792" i="14"/>
  <c r="J793" i="14"/>
  <c r="K793" i="14"/>
  <c r="L793" i="14" s="1"/>
  <c r="M793" i="14"/>
  <c r="N793" i="14"/>
  <c r="J794" i="14"/>
  <c r="K794" i="14"/>
  <c r="L794" i="14" s="1"/>
  <c r="J795" i="14"/>
  <c r="K795" i="14"/>
  <c r="L795" i="14" s="1"/>
  <c r="M795" i="14"/>
  <c r="N795" i="14"/>
  <c r="J796" i="14"/>
  <c r="L796" i="14" s="1"/>
  <c r="K796" i="14"/>
  <c r="M796" i="14"/>
  <c r="N796" i="14"/>
  <c r="J797" i="14"/>
  <c r="K797" i="14"/>
  <c r="L797" i="14" s="1"/>
  <c r="J798" i="14"/>
  <c r="K798" i="14"/>
  <c r="L798" i="14" s="1"/>
  <c r="M798" i="14"/>
  <c r="N798" i="14"/>
  <c r="J799" i="14"/>
  <c r="K799" i="14"/>
  <c r="L799" i="14"/>
  <c r="N799" i="14" s="1"/>
  <c r="M799" i="14"/>
  <c r="J800" i="14"/>
  <c r="K800" i="14"/>
  <c r="L800" i="14"/>
  <c r="J801" i="14"/>
  <c r="K801" i="14"/>
  <c r="L801" i="14"/>
  <c r="M801" i="14"/>
  <c r="N801" i="14"/>
  <c r="J802" i="14"/>
  <c r="K802" i="14"/>
  <c r="L802" i="14"/>
  <c r="M802" i="14" s="1"/>
  <c r="N802" i="14"/>
  <c r="J803" i="14"/>
  <c r="K803" i="14"/>
  <c r="L803" i="14"/>
  <c r="N803" i="14" s="1"/>
  <c r="M803" i="14"/>
  <c r="J804" i="14"/>
  <c r="K804" i="14"/>
  <c r="L804" i="14"/>
  <c r="N804" i="14" s="1"/>
  <c r="M804" i="14"/>
  <c r="J805" i="14"/>
  <c r="K805" i="14"/>
  <c r="L805" i="14"/>
  <c r="N805" i="14" s="1"/>
  <c r="M805" i="14"/>
  <c r="J806" i="14"/>
  <c r="K806" i="14"/>
  <c r="L806" i="14"/>
  <c r="M806" i="14"/>
  <c r="N806" i="14"/>
  <c r="J807" i="14"/>
  <c r="K807" i="14"/>
  <c r="L807" i="14" s="1"/>
  <c r="J808" i="14"/>
  <c r="K808" i="14"/>
  <c r="L808" i="14"/>
  <c r="J809" i="14"/>
  <c r="K809" i="14"/>
  <c r="L809" i="14" s="1"/>
  <c r="N809" i="14" s="1"/>
  <c r="M809" i="14"/>
  <c r="J810" i="14"/>
  <c r="L810" i="14" s="1"/>
  <c r="N810" i="14" s="1"/>
  <c r="K810" i="14"/>
  <c r="M810" i="14"/>
  <c r="J811" i="14"/>
  <c r="K811" i="14"/>
  <c r="L811" i="14" s="1"/>
  <c r="J812" i="14"/>
  <c r="K812" i="14"/>
  <c r="L812" i="14"/>
  <c r="M812" i="14"/>
  <c r="N812" i="14"/>
  <c r="J813" i="14"/>
  <c r="K813" i="14"/>
  <c r="L813" i="14"/>
  <c r="M813" i="14" s="1"/>
  <c r="N813" i="14"/>
  <c r="J814" i="14"/>
  <c r="K814" i="14"/>
  <c r="J815" i="14"/>
  <c r="K815" i="14"/>
  <c r="L815" i="14" s="1"/>
  <c r="J816" i="14"/>
  <c r="K816" i="14"/>
  <c r="L816" i="14" s="1"/>
  <c r="M816" i="14" s="1"/>
  <c r="N816" i="14"/>
  <c r="J817" i="14"/>
  <c r="K817" i="14"/>
  <c r="L817" i="14" s="1"/>
  <c r="J818" i="14"/>
  <c r="K818" i="14"/>
  <c r="L818" i="14" s="1"/>
  <c r="N818" i="14" s="1"/>
  <c r="M818" i="14"/>
  <c r="J819" i="14"/>
  <c r="K819" i="14"/>
  <c r="L819" i="14"/>
  <c r="N819" i="14" s="1"/>
  <c r="M819" i="14"/>
  <c r="J820" i="14"/>
  <c r="K820" i="14"/>
  <c r="J821" i="14"/>
  <c r="K821" i="14"/>
  <c r="L821" i="14"/>
  <c r="M821" i="14"/>
  <c r="N821" i="14"/>
  <c r="J822" i="14"/>
  <c r="K822" i="14"/>
  <c r="L822" i="14"/>
  <c r="J823" i="14"/>
  <c r="L823" i="14" s="1"/>
  <c r="M823" i="14" s="1"/>
  <c r="K823" i="14"/>
  <c r="N823" i="14"/>
  <c r="J824" i="14"/>
  <c r="K824" i="14"/>
  <c r="L824" i="14"/>
  <c r="M824" i="14" s="1"/>
  <c r="N824" i="14"/>
  <c r="J825" i="14"/>
  <c r="L825" i="14" s="1"/>
  <c r="K825" i="14"/>
  <c r="J826" i="14"/>
  <c r="L826" i="14" s="1"/>
  <c r="K826" i="14"/>
  <c r="J827" i="14"/>
  <c r="K827" i="14"/>
  <c r="L827" i="14"/>
  <c r="M827" i="14"/>
  <c r="N827" i="14"/>
  <c r="J828" i="14"/>
  <c r="K828" i="14"/>
  <c r="L828" i="14" s="1"/>
  <c r="J829" i="14"/>
  <c r="K829" i="14"/>
  <c r="L829" i="14" s="1"/>
  <c r="J830" i="14"/>
  <c r="K830" i="14"/>
  <c r="L830" i="14"/>
  <c r="M830" i="14"/>
  <c r="N830" i="14"/>
  <c r="J831" i="14"/>
  <c r="K831" i="14"/>
  <c r="L831" i="14" s="1"/>
  <c r="J832" i="14"/>
  <c r="K832" i="14"/>
  <c r="L832" i="14" s="1"/>
  <c r="N832" i="14" s="1"/>
  <c r="M832" i="14"/>
  <c r="J833" i="14"/>
  <c r="K833" i="14"/>
  <c r="L833" i="14"/>
  <c r="N833" i="14" s="1"/>
  <c r="M833" i="14"/>
  <c r="J834" i="14"/>
  <c r="K834" i="14"/>
  <c r="L834" i="14"/>
  <c r="N834" i="14" s="1"/>
  <c r="M834" i="14"/>
  <c r="J835" i="14"/>
  <c r="K835" i="14"/>
  <c r="L835" i="14" s="1"/>
  <c r="J836" i="14"/>
  <c r="K836" i="14"/>
  <c r="L836" i="14"/>
  <c r="M836" i="14"/>
  <c r="N836" i="14"/>
  <c r="J837" i="14"/>
  <c r="K837" i="14"/>
  <c r="L837" i="14" s="1"/>
  <c r="J838" i="14"/>
  <c r="K838" i="14"/>
  <c r="L838" i="14" s="1"/>
  <c r="J839" i="14"/>
  <c r="K839" i="14"/>
  <c r="J840" i="14"/>
  <c r="L840" i="14" s="1"/>
  <c r="M840" i="14" s="1"/>
  <c r="K840" i="14"/>
  <c r="J841" i="14"/>
  <c r="K841" i="14"/>
  <c r="L841" i="14"/>
  <c r="M841" i="14"/>
  <c r="N841" i="14"/>
  <c r="J842" i="14"/>
  <c r="L842" i="14" s="1"/>
  <c r="K842" i="14"/>
  <c r="J843" i="14"/>
  <c r="K843" i="14"/>
  <c r="L843" i="14"/>
  <c r="J844" i="14"/>
  <c r="K844" i="14"/>
  <c r="L844" i="14" s="1"/>
  <c r="M844" i="14" s="1"/>
  <c r="N844" i="14"/>
  <c r="J845" i="14"/>
  <c r="K845" i="14"/>
  <c r="L845" i="14" s="1"/>
  <c r="N845" i="14" s="1"/>
  <c r="J846" i="14"/>
  <c r="K846" i="14"/>
  <c r="J847" i="14"/>
  <c r="K847" i="14"/>
  <c r="L847" i="14"/>
  <c r="M847" i="14"/>
  <c r="N847" i="14"/>
  <c r="J848" i="14"/>
  <c r="K848" i="14"/>
  <c r="L848" i="14"/>
  <c r="N848" i="14" s="1"/>
  <c r="M848" i="14"/>
  <c r="J849" i="14"/>
  <c r="L849" i="14" s="1"/>
  <c r="K849" i="14"/>
  <c r="M849" i="14"/>
  <c r="N849" i="14"/>
  <c r="J850" i="14"/>
  <c r="K850" i="14"/>
  <c r="L850" i="14"/>
  <c r="N850" i="14" s="1"/>
  <c r="M850" i="14"/>
  <c r="J851" i="14"/>
  <c r="K851" i="14"/>
  <c r="J852" i="14"/>
  <c r="K852" i="14"/>
  <c r="L852" i="14"/>
  <c r="M852" i="14" s="1"/>
  <c r="J853" i="14"/>
  <c r="K853" i="14"/>
  <c r="L853" i="14"/>
  <c r="M853" i="14"/>
  <c r="N853" i="14"/>
  <c r="J854" i="14"/>
  <c r="K854" i="14"/>
  <c r="L854" i="14"/>
  <c r="M854" i="14"/>
  <c r="N854" i="14"/>
  <c r="J855" i="14"/>
  <c r="K855" i="14"/>
  <c r="L855" i="14"/>
  <c r="M855" i="14"/>
  <c r="N855" i="14"/>
  <c r="J856" i="14"/>
  <c r="L856" i="14" s="1"/>
  <c r="M856" i="14" s="1"/>
  <c r="K856" i="14"/>
  <c r="N856" i="14"/>
  <c r="J857" i="14"/>
  <c r="K857" i="14"/>
  <c r="L857" i="14"/>
  <c r="N857" i="14" s="1"/>
  <c r="M857" i="14"/>
  <c r="J858" i="14"/>
  <c r="L858" i="14" s="1"/>
  <c r="K858" i="14"/>
  <c r="J859" i="14"/>
  <c r="K859" i="14"/>
  <c r="L859" i="14"/>
  <c r="M859" i="14"/>
  <c r="N859" i="14"/>
  <c r="J860" i="14"/>
  <c r="K860" i="14"/>
  <c r="L860" i="14"/>
  <c r="M860" i="14"/>
  <c r="N860" i="14"/>
  <c r="J861" i="14"/>
  <c r="L861" i="14" s="1"/>
  <c r="M861" i="14" s="1"/>
  <c r="K861" i="14"/>
  <c r="N861" i="14"/>
  <c r="J862" i="14"/>
  <c r="K862" i="14"/>
  <c r="L862" i="14" s="1"/>
  <c r="M862" i="14" s="1"/>
  <c r="N862" i="14"/>
  <c r="J863" i="14"/>
  <c r="K863" i="14"/>
  <c r="L863" i="14"/>
  <c r="J864" i="14"/>
  <c r="K864" i="14"/>
  <c r="L864" i="14" s="1"/>
  <c r="J865" i="14"/>
  <c r="K865" i="14"/>
  <c r="L865" i="14"/>
  <c r="M865" i="14"/>
  <c r="N865" i="14"/>
  <c r="J866" i="14"/>
  <c r="K866" i="14"/>
  <c r="L866" i="14" s="1"/>
  <c r="M866" i="14" s="1"/>
  <c r="N866" i="14"/>
  <c r="J867" i="14"/>
  <c r="K867" i="14"/>
  <c r="L867" i="14"/>
  <c r="M867" i="14" s="1"/>
  <c r="N867" i="14"/>
  <c r="J868" i="14"/>
  <c r="K868" i="14"/>
  <c r="L868" i="14" s="1"/>
  <c r="J869" i="14"/>
  <c r="K869" i="14"/>
  <c r="L869" i="14"/>
  <c r="M869" i="14" s="1"/>
  <c r="N869" i="14"/>
  <c r="J870" i="14"/>
  <c r="K870" i="14"/>
  <c r="J871" i="14"/>
  <c r="K871" i="14"/>
  <c r="L871" i="14" s="1"/>
  <c r="J872" i="14"/>
  <c r="L872" i="14" s="1"/>
  <c r="K872" i="14"/>
  <c r="J873" i="14"/>
  <c r="L873" i="14" s="1"/>
  <c r="K873" i="14"/>
  <c r="M873" i="14"/>
  <c r="N873" i="14"/>
  <c r="J874" i="14"/>
  <c r="L874" i="14" s="1"/>
  <c r="K874" i="14"/>
  <c r="J875" i="14"/>
  <c r="L875" i="14" s="1"/>
  <c r="K875" i="14"/>
  <c r="J876" i="14"/>
  <c r="K876" i="14"/>
  <c r="L876" i="14"/>
  <c r="M876" i="14" s="1"/>
  <c r="N876" i="14"/>
  <c r="J877" i="14"/>
  <c r="K877" i="14"/>
  <c r="L877" i="14"/>
  <c r="M877" i="14" s="1"/>
  <c r="N877" i="14"/>
  <c r="J878" i="14"/>
  <c r="K878" i="14"/>
  <c r="L878" i="14"/>
  <c r="M878" i="14"/>
  <c r="N878" i="14"/>
  <c r="J879" i="14"/>
  <c r="K879" i="14"/>
  <c r="L879" i="14" s="1"/>
  <c r="M879" i="14"/>
  <c r="N879" i="14"/>
  <c r="J880" i="14"/>
  <c r="K880" i="14"/>
  <c r="L880" i="14" s="1"/>
  <c r="N880" i="14" s="1"/>
  <c r="J881" i="14"/>
  <c r="K881" i="14"/>
  <c r="L881" i="14" s="1"/>
  <c r="M881" i="14"/>
  <c r="N881" i="14"/>
  <c r="J882" i="14"/>
  <c r="K882" i="14"/>
  <c r="L882" i="14"/>
  <c r="N882" i="14" s="1"/>
  <c r="M882" i="14"/>
  <c r="J883" i="14"/>
  <c r="K883" i="14"/>
  <c r="L883" i="14" s="1"/>
  <c r="M883" i="14" s="1"/>
  <c r="J884" i="14"/>
  <c r="K884" i="14"/>
  <c r="J885" i="14"/>
  <c r="K885" i="14"/>
  <c r="L885" i="14"/>
  <c r="M885" i="14"/>
  <c r="N885" i="14"/>
  <c r="J886" i="14"/>
  <c r="K886" i="14"/>
  <c r="J887" i="14"/>
  <c r="K887" i="14"/>
  <c r="L887" i="14" s="1"/>
  <c r="J888" i="14"/>
  <c r="K888" i="14"/>
  <c r="L888" i="14"/>
  <c r="M888" i="14"/>
  <c r="N888" i="14"/>
  <c r="J889" i="14"/>
  <c r="K889" i="14"/>
  <c r="L889" i="14"/>
  <c r="M889" i="14" s="1"/>
  <c r="N889" i="14"/>
  <c r="J890" i="14"/>
  <c r="K890" i="14"/>
  <c r="L890" i="14"/>
  <c r="J891" i="14"/>
  <c r="K891" i="14"/>
  <c r="L891" i="14"/>
  <c r="M891" i="14" s="1"/>
  <c r="N891" i="14"/>
  <c r="J892" i="14"/>
  <c r="K892" i="14"/>
  <c r="J893" i="14"/>
  <c r="K893" i="14"/>
  <c r="L893" i="14"/>
  <c r="J894" i="14"/>
  <c r="K894" i="14"/>
  <c r="L894" i="14"/>
  <c r="J895" i="14"/>
  <c r="K895" i="14"/>
  <c r="L895" i="14"/>
  <c r="M895" i="14"/>
  <c r="N895" i="14"/>
  <c r="J896" i="14"/>
  <c r="K896" i="14"/>
  <c r="L896" i="14"/>
  <c r="J897" i="14"/>
  <c r="L897" i="14" s="1"/>
  <c r="N897" i="14" s="1"/>
  <c r="K897" i="14"/>
  <c r="M897" i="14"/>
  <c r="J898" i="14"/>
  <c r="K898" i="14"/>
  <c r="L898" i="14"/>
  <c r="M898" i="14" s="1"/>
  <c r="J899" i="14"/>
  <c r="K899" i="14"/>
  <c r="L899" i="14" s="1"/>
  <c r="J900" i="14"/>
  <c r="L900" i="14" s="1"/>
  <c r="K900" i="14"/>
  <c r="M900" i="14"/>
  <c r="N900" i="14"/>
  <c r="J901" i="14"/>
  <c r="K901" i="14"/>
  <c r="L901" i="14"/>
  <c r="N901" i="14" s="1"/>
  <c r="J902" i="14"/>
  <c r="K902" i="14"/>
  <c r="L902" i="14"/>
  <c r="J903" i="14"/>
  <c r="K903" i="14"/>
  <c r="L903" i="14"/>
  <c r="M903" i="14"/>
  <c r="N903" i="14"/>
  <c r="J904" i="14"/>
  <c r="K904" i="14"/>
  <c r="J905" i="14"/>
  <c r="K905" i="14"/>
  <c r="L905" i="14" s="1"/>
  <c r="M905" i="14" s="1"/>
  <c r="N905" i="14"/>
  <c r="J906" i="14"/>
  <c r="K906" i="14"/>
  <c r="L906" i="14"/>
  <c r="J907" i="14"/>
  <c r="K907" i="14"/>
  <c r="L907" i="14"/>
  <c r="M907" i="14"/>
  <c r="N907" i="14"/>
  <c r="J908" i="14"/>
  <c r="K908" i="14"/>
  <c r="J909" i="14"/>
  <c r="K909" i="14"/>
  <c r="L909" i="14" s="1"/>
  <c r="J910" i="14"/>
  <c r="K910" i="14"/>
  <c r="L910" i="14"/>
  <c r="N910" i="14" s="1"/>
  <c r="M910" i="14"/>
  <c r="J911" i="14"/>
  <c r="K911" i="14"/>
  <c r="L911" i="14"/>
  <c r="J912" i="14"/>
  <c r="K912" i="14"/>
  <c r="L912" i="14"/>
  <c r="M912" i="14" s="1"/>
  <c r="J913" i="14"/>
  <c r="K913" i="14"/>
  <c r="L913" i="14"/>
  <c r="N913" i="14" s="1"/>
  <c r="M913" i="14"/>
  <c r="J914" i="14"/>
  <c r="K914" i="14"/>
  <c r="L914" i="14"/>
  <c r="N914" i="14" s="1"/>
  <c r="M914" i="14"/>
  <c r="J915" i="14"/>
  <c r="K915" i="14"/>
  <c r="L915" i="14" s="1"/>
  <c r="J916" i="14"/>
  <c r="K916" i="14"/>
  <c r="J917" i="14"/>
  <c r="L917" i="14" s="1"/>
  <c r="N917" i="14" s="1"/>
  <c r="K917" i="14"/>
  <c r="M917" i="14"/>
  <c r="J918" i="14"/>
  <c r="K918" i="14"/>
  <c r="L918" i="14"/>
  <c r="M918" i="14"/>
  <c r="N918" i="14"/>
  <c r="J919" i="14"/>
  <c r="K919" i="14"/>
  <c r="L919" i="14" s="1"/>
  <c r="M919" i="14" s="1"/>
  <c r="J920" i="14"/>
  <c r="K920" i="14"/>
  <c r="L920" i="14"/>
  <c r="N920" i="14" s="1"/>
  <c r="M920" i="14"/>
  <c r="J921" i="14"/>
  <c r="L921" i="14" s="1"/>
  <c r="K921" i="14"/>
  <c r="J922" i="14"/>
  <c r="K922" i="14"/>
  <c r="L922" i="14"/>
  <c r="M922" i="14"/>
  <c r="N922" i="14"/>
  <c r="J923" i="14"/>
  <c r="K923" i="14"/>
  <c r="L923" i="14"/>
  <c r="J924" i="14"/>
  <c r="K924" i="14"/>
  <c r="L924" i="14" s="1"/>
  <c r="M924" i="14" s="1"/>
  <c r="N924" i="14"/>
  <c r="J925" i="14"/>
  <c r="K925" i="14"/>
  <c r="L925" i="14"/>
  <c r="M925" i="14"/>
  <c r="N925" i="14"/>
  <c r="J926" i="14"/>
  <c r="K926" i="14"/>
  <c r="L926" i="14"/>
  <c r="M926" i="14"/>
  <c r="N926" i="14"/>
  <c r="J927" i="14"/>
  <c r="K927" i="14"/>
  <c r="L927" i="14"/>
  <c r="M927" i="14"/>
  <c r="N927" i="14"/>
  <c r="J928" i="14"/>
  <c r="K928" i="14"/>
  <c r="L928" i="14" s="1"/>
  <c r="N928" i="14" s="1"/>
  <c r="J929" i="14"/>
  <c r="K929" i="14"/>
  <c r="L929" i="14"/>
  <c r="N929" i="14" s="1"/>
  <c r="M929" i="14"/>
  <c r="J930" i="14"/>
  <c r="K930" i="14"/>
  <c r="L930" i="14"/>
  <c r="N930" i="14" s="1"/>
  <c r="M930" i="14"/>
  <c r="J931" i="14"/>
  <c r="K931" i="14"/>
  <c r="L931" i="14" s="1"/>
  <c r="J932" i="14"/>
  <c r="K932" i="14"/>
  <c r="L932" i="14"/>
  <c r="M932" i="14" s="1"/>
  <c r="N932" i="14"/>
  <c r="J933" i="14"/>
  <c r="K933" i="14"/>
  <c r="L933" i="14"/>
  <c r="M933" i="14"/>
  <c r="N933" i="14"/>
  <c r="J934" i="14"/>
  <c r="K934" i="14"/>
  <c r="L934" i="14" s="1"/>
  <c r="J935" i="14"/>
  <c r="K935" i="14"/>
  <c r="L935" i="14"/>
  <c r="J936" i="14"/>
  <c r="K936" i="14"/>
  <c r="L936" i="14"/>
  <c r="M936" i="14"/>
  <c r="N936" i="14"/>
  <c r="J937" i="14"/>
  <c r="K937" i="14"/>
  <c r="L937" i="14"/>
  <c r="M937" i="14"/>
  <c r="N937" i="14"/>
  <c r="J938" i="14"/>
  <c r="K938" i="14"/>
  <c r="L938" i="14" s="1"/>
  <c r="J939" i="14"/>
  <c r="K939" i="14"/>
  <c r="L939" i="14"/>
  <c r="J940" i="14"/>
  <c r="K940" i="14"/>
  <c r="L940" i="14" s="1"/>
  <c r="M940" i="14" s="1"/>
  <c r="N940" i="14"/>
  <c r="J941" i="14"/>
  <c r="K941" i="14"/>
  <c r="L941" i="14"/>
  <c r="N941" i="14" s="1"/>
  <c r="M941" i="14"/>
  <c r="J942" i="14"/>
  <c r="K942" i="14"/>
  <c r="J943" i="14"/>
  <c r="K943" i="14"/>
  <c r="L943" i="14"/>
  <c r="M943" i="14"/>
  <c r="N943" i="14"/>
  <c r="J944" i="14"/>
  <c r="K944" i="14"/>
  <c r="L944" i="14" s="1"/>
  <c r="J945" i="14"/>
  <c r="L945" i="14" s="1"/>
  <c r="M945" i="14" s="1"/>
  <c r="K945" i="14"/>
  <c r="N945" i="14"/>
  <c r="J946" i="14"/>
  <c r="L946" i="14" s="1"/>
  <c r="K946" i="14"/>
  <c r="J947" i="14"/>
  <c r="K947" i="14"/>
  <c r="L947" i="14" s="1"/>
  <c r="J948" i="14"/>
  <c r="K948" i="14"/>
  <c r="L948" i="14"/>
  <c r="M948" i="14"/>
  <c r="N948" i="14"/>
  <c r="J949" i="14"/>
  <c r="K949" i="14"/>
  <c r="L949" i="14" s="1"/>
  <c r="J950" i="14"/>
  <c r="K950" i="14"/>
  <c r="L950" i="14"/>
  <c r="M950" i="14"/>
  <c r="N950" i="14"/>
  <c r="J951" i="14"/>
  <c r="K951" i="14"/>
  <c r="L951" i="14" s="1"/>
  <c r="J952" i="14"/>
  <c r="L952" i="14" s="1"/>
  <c r="M952" i="14" s="1"/>
  <c r="K952" i="14"/>
  <c r="N952" i="14"/>
  <c r="J953" i="14"/>
  <c r="K953" i="14"/>
  <c r="L953" i="14"/>
  <c r="M953" i="14"/>
  <c r="N953" i="14"/>
  <c r="J954" i="14"/>
  <c r="K954" i="14"/>
  <c r="L954" i="14"/>
  <c r="N954" i="14" s="1"/>
  <c r="J955" i="14"/>
  <c r="K955" i="14"/>
  <c r="L955" i="14"/>
  <c r="M955" i="14"/>
  <c r="N955" i="14"/>
  <c r="J956" i="14"/>
  <c r="K956" i="14"/>
  <c r="L956" i="14"/>
  <c r="M956" i="14"/>
  <c r="N956" i="14"/>
  <c r="J957" i="14"/>
  <c r="L957" i="14" s="1"/>
  <c r="M957" i="14" s="1"/>
  <c r="K957" i="14"/>
  <c r="J958" i="14"/>
  <c r="K958" i="14"/>
  <c r="L958" i="14" s="1"/>
  <c r="J959" i="14"/>
  <c r="K959" i="14"/>
  <c r="L959" i="14"/>
  <c r="J960" i="14"/>
  <c r="K960" i="14"/>
  <c r="L960" i="14" s="1"/>
  <c r="J961" i="14"/>
  <c r="K961" i="14"/>
  <c r="L961" i="14" s="1"/>
  <c r="J962" i="14"/>
  <c r="K962" i="14"/>
  <c r="L962" i="14" s="1"/>
  <c r="M962" i="14"/>
  <c r="N962" i="14"/>
  <c r="J963" i="14"/>
  <c r="K963" i="14"/>
  <c r="L963" i="14"/>
  <c r="N963" i="14" s="1"/>
  <c r="M963" i="14"/>
  <c r="J964" i="14"/>
  <c r="K964" i="14"/>
  <c r="L964" i="14" s="1"/>
  <c r="M964" i="14" s="1"/>
  <c r="J965" i="14"/>
  <c r="L965" i="14" s="1"/>
  <c r="K965" i="14"/>
  <c r="J966" i="14"/>
  <c r="K966" i="14"/>
  <c r="L966" i="14" s="1"/>
  <c r="M966" i="14" s="1"/>
  <c r="N966" i="14"/>
  <c r="J967" i="14"/>
  <c r="K967" i="14"/>
  <c r="L967" i="14" s="1"/>
  <c r="J968" i="14"/>
  <c r="K968" i="14"/>
  <c r="L968" i="14"/>
  <c r="J969" i="14"/>
  <c r="L969" i="14" s="1"/>
  <c r="K969" i="14"/>
  <c r="M969" i="14"/>
  <c r="N969" i="14"/>
  <c r="J970" i="14"/>
  <c r="K970" i="14"/>
  <c r="L970" i="14" s="1"/>
  <c r="J971" i="14"/>
  <c r="K971" i="14"/>
  <c r="L971" i="14"/>
  <c r="J972" i="14"/>
  <c r="K972" i="14"/>
  <c r="L972" i="14" s="1"/>
  <c r="J973" i="14"/>
  <c r="K973" i="14"/>
  <c r="L973" i="14" s="1"/>
  <c r="J974" i="14"/>
  <c r="K974" i="14"/>
  <c r="L974" i="14"/>
  <c r="M974" i="14"/>
  <c r="N974" i="14"/>
  <c r="J975" i="14"/>
  <c r="K975" i="14"/>
  <c r="L975" i="14" s="1"/>
  <c r="N975" i="14" s="1"/>
  <c r="J976" i="14"/>
  <c r="L976" i="14" s="1"/>
  <c r="N976" i="14" s="1"/>
  <c r="K976" i="14"/>
  <c r="M976" i="14"/>
  <c r="J977" i="14"/>
  <c r="K977" i="14"/>
  <c r="L977" i="14" s="1"/>
  <c r="M977" i="14"/>
  <c r="N977" i="14"/>
  <c r="J978" i="14"/>
  <c r="K978" i="14"/>
  <c r="L978" i="14"/>
  <c r="N978" i="14" s="1"/>
  <c r="J979" i="14"/>
  <c r="K979" i="14"/>
  <c r="L979" i="14" s="1"/>
  <c r="J980" i="14"/>
  <c r="K980" i="14"/>
  <c r="J981" i="14"/>
  <c r="K981" i="14"/>
  <c r="L981" i="14"/>
  <c r="N981" i="14" s="1"/>
  <c r="M981" i="14"/>
  <c r="J982" i="14"/>
  <c r="K982" i="14"/>
  <c r="J983" i="14"/>
  <c r="K983" i="14"/>
  <c r="L983" i="14" s="1"/>
  <c r="J984" i="14"/>
  <c r="K984" i="14"/>
  <c r="L984" i="14"/>
  <c r="M984" i="14"/>
  <c r="N984" i="14"/>
  <c r="J985" i="14"/>
  <c r="K985" i="14"/>
  <c r="L985" i="14"/>
  <c r="M985" i="14" s="1"/>
  <c r="N985" i="14"/>
  <c r="J986" i="14"/>
  <c r="K986" i="14"/>
  <c r="L986" i="14" s="1"/>
  <c r="J987" i="14"/>
  <c r="K987" i="14"/>
  <c r="L987" i="14"/>
  <c r="M987" i="14" s="1"/>
  <c r="J988" i="14"/>
  <c r="K988" i="14"/>
  <c r="J989" i="14"/>
  <c r="K989" i="14"/>
  <c r="L989" i="14"/>
  <c r="M989" i="14"/>
  <c r="N989" i="14"/>
  <c r="J990" i="14"/>
  <c r="L990" i="14" s="1"/>
  <c r="K990" i="14"/>
  <c r="J991" i="14"/>
  <c r="K991" i="14"/>
  <c r="L991" i="14"/>
  <c r="M991" i="14"/>
  <c r="N991" i="14"/>
  <c r="J992" i="14"/>
  <c r="K992" i="14"/>
  <c r="L992" i="14" s="1"/>
  <c r="J993" i="14"/>
  <c r="L993" i="14" s="1"/>
  <c r="N993" i="14" s="1"/>
  <c r="K993" i="14"/>
  <c r="M993" i="14"/>
  <c r="J994" i="14"/>
  <c r="K994" i="14"/>
  <c r="L994" i="14"/>
  <c r="N994" i="14" s="1"/>
  <c r="M994" i="14"/>
  <c r="J995" i="14"/>
  <c r="K995" i="14"/>
  <c r="L995" i="14"/>
  <c r="N995" i="14" s="1"/>
  <c r="M995" i="14"/>
  <c r="J996" i="14"/>
  <c r="L996" i="14" s="1"/>
  <c r="K996" i="14"/>
  <c r="M996" i="14"/>
  <c r="N996" i="14"/>
  <c r="J997" i="14"/>
  <c r="K997" i="14"/>
  <c r="L997" i="14" s="1"/>
  <c r="J998" i="14"/>
  <c r="K998" i="14"/>
  <c r="L998" i="14" s="1"/>
  <c r="J999" i="14"/>
  <c r="L999" i="14" s="1"/>
  <c r="K999" i="14"/>
  <c r="M999" i="14"/>
  <c r="N999" i="14"/>
  <c r="J1000" i="14"/>
  <c r="K1000" i="14"/>
  <c r="L1000" i="14" s="1"/>
  <c r="M1000" i="14" s="1"/>
  <c r="N1000" i="14"/>
  <c r="J1001" i="14"/>
  <c r="L1001" i="14" s="1"/>
  <c r="K1001" i="14"/>
  <c r="M1001" i="14"/>
  <c r="N1001" i="14"/>
  <c r="J1002" i="14"/>
  <c r="K1002" i="14"/>
  <c r="L1002" i="14"/>
  <c r="J1003" i="14"/>
  <c r="K1003" i="14"/>
  <c r="L1003" i="14"/>
  <c r="J1004" i="14"/>
  <c r="K1004" i="14"/>
  <c r="L1004" i="14" s="1"/>
  <c r="M1004" i="14" s="1"/>
  <c r="N1004" i="14"/>
  <c r="J1005" i="14"/>
  <c r="K1005" i="14"/>
  <c r="L1005" i="14"/>
  <c r="N1005" i="14" s="1"/>
  <c r="M1005" i="14"/>
  <c r="J1006" i="14"/>
  <c r="K1006" i="14"/>
  <c r="J1007" i="14"/>
  <c r="K1007" i="14"/>
  <c r="L1007" i="14"/>
  <c r="J1008" i="14"/>
  <c r="K1008" i="14"/>
  <c r="L1008" i="14" s="1"/>
  <c r="J1009" i="14"/>
  <c r="K1009" i="14"/>
  <c r="L1009" i="14" s="1"/>
  <c r="J1010" i="14"/>
  <c r="L1010" i="14" s="1"/>
  <c r="K1010" i="14"/>
  <c r="J1011" i="14"/>
  <c r="K1011" i="14"/>
  <c r="L1011" i="14"/>
  <c r="J1012" i="14"/>
  <c r="K1012" i="14"/>
  <c r="J1013" i="14"/>
  <c r="L1013" i="14" s="1"/>
  <c r="K1013" i="14"/>
  <c r="M1013" i="14"/>
  <c r="N1013" i="14"/>
  <c r="J1014" i="14"/>
  <c r="K1014" i="14"/>
  <c r="L1014" i="14"/>
  <c r="J1015" i="14"/>
  <c r="K1015" i="14"/>
  <c r="L1015" i="14"/>
  <c r="M1015" i="14" s="1"/>
  <c r="N1015" i="14"/>
  <c r="J1016" i="14"/>
  <c r="L1016" i="14" s="1"/>
  <c r="K1016" i="14"/>
  <c r="J1017" i="14"/>
  <c r="K1017" i="14"/>
  <c r="L1017" i="14"/>
  <c r="M1017" i="14" s="1"/>
  <c r="N1017" i="14"/>
  <c r="J1018" i="14"/>
  <c r="K1018" i="14"/>
  <c r="L1018" i="14" s="1"/>
  <c r="N1018" i="14" s="1"/>
  <c r="M1018" i="14"/>
  <c r="J1019" i="14"/>
  <c r="K1019" i="14"/>
  <c r="L1019" i="14" s="1"/>
  <c r="J1020" i="14"/>
  <c r="K1020" i="14"/>
  <c r="L1020" i="14"/>
  <c r="M1020" i="14"/>
  <c r="N1020" i="14"/>
  <c r="J1021" i="14"/>
  <c r="K1021" i="14"/>
  <c r="L1021" i="14"/>
  <c r="N1021" i="14" s="1"/>
  <c r="M1021" i="14"/>
  <c r="J1022" i="14"/>
  <c r="K1022" i="14"/>
  <c r="L1022" i="14" s="1"/>
  <c r="M1022" i="14" s="1"/>
  <c r="N1022" i="14"/>
  <c r="J1023" i="14"/>
  <c r="K1023" i="14"/>
  <c r="L1023" i="14"/>
  <c r="M1023" i="14"/>
  <c r="N1023" i="14"/>
  <c r="J1024" i="14"/>
  <c r="K1024" i="14"/>
  <c r="L1024" i="14" s="1"/>
  <c r="J1025" i="14"/>
  <c r="K1025" i="14"/>
  <c r="L1025" i="14"/>
  <c r="N1025" i="14" s="1"/>
  <c r="M1025" i="14"/>
  <c r="J1026" i="14"/>
  <c r="K1026" i="14"/>
  <c r="L1026" i="14"/>
  <c r="N1026" i="14" s="1"/>
  <c r="M1026" i="14"/>
  <c r="J1027" i="14"/>
  <c r="K1027" i="14"/>
  <c r="L1027" i="14"/>
  <c r="J1028" i="14"/>
  <c r="K1028" i="14"/>
  <c r="L1028" i="14"/>
  <c r="M1028" i="14"/>
  <c r="N1028" i="14"/>
  <c r="J1029" i="14"/>
  <c r="K1029" i="14"/>
  <c r="L1029" i="14" s="1"/>
  <c r="J1030" i="14"/>
  <c r="K1030" i="14"/>
  <c r="L1030" i="14" s="1"/>
  <c r="M1030" i="14" s="1"/>
  <c r="N1030" i="14"/>
  <c r="J1031" i="14"/>
  <c r="K1031" i="14"/>
  <c r="L1031" i="14"/>
  <c r="J1032" i="14"/>
  <c r="K1032" i="14"/>
  <c r="L1032" i="14"/>
  <c r="M1032" i="14" s="1"/>
  <c r="J1033" i="14"/>
  <c r="K1033" i="14"/>
  <c r="L1033" i="14" s="1"/>
  <c r="J1034" i="14"/>
  <c r="K1034" i="14"/>
  <c r="L1034" i="14" s="1"/>
  <c r="M1034" i="14" s="1"/>
  <c r="N1034" i="14"/>
  <c r="J1035" i="14"/>
  <c r="K1035" i="14"/>
  <c r="L1035" i="14"/>
  <c r="M1035" i="14" s="1"/>
  <c r="N1035" i="14"/>
  <c r="J1036" i="14"/>
  <c r="K1036" i="14"/>
  <c r="L1036" i="14" s="1"/>
  <c r="J1037" i="14"/>
  <c r="K1037" i="14"/>
  <c r="L1037" i="14" s="1"/>
  <c r="J1038" i="14"/>
  <c r="K1038" i="14"/>
  <c r="L1038" i="14"/>
  <c r="M1038" i="14"/>
  <c r="N1038" i="14"/>
  <c r="J1039" i="14"/>
  <c r="K1039" i="14"/>
  <c r="J1040" i="14"/>
  <c r="K1040" i="14"/>
  <c r="L1040" i="14"/>
  <c r="M1040" i="14"/>
  <c r="N1040" i="14"/>
  <c r="J1041" i="14"/>
  <c r="K1041" i="14"/>
  <c r="L1041" i="14" s="1"/>
  <c r="J1042" i="14"/>
  <c r="K1042" i="14"/>
  <c r="L1042" i="14" s="1"/>
  <c r="M1042" i="14" s="1"/>
  <c r="N1042" i="14"/>
  <c r="J1043" i="14"/>
  <c r="K1043" i="14"/>
  <c r="L1043" i="14" s="1"/>
  <c r="J1044" i="14"/>
  <c r="K1044" i="14"/>
  <c r="L1044" i="14" s="1"/>
  <c r="M1044" i="14" s="1"/>
  <c r="N1044" i="14"/>
  <c r="J1045" i="14"/>
  <c r="K1045" i="14"/>
  <c r="L1045" i="14" s="1"/>
  <c r="J1046" i="14"/>
  <c r="K1046" i="14"/>
  <c r="L1046" i="14" s="1"/>
  <c r="J1047" i="14"/>
  <c r="K1047" i="14"/>
  <c r="L1047" i="14"/>
  <c r="N1047" i="14" s="1"/>
  <c r="J1048" i="14"/>
  <c r="L1048" i="14" s="1"/>
  <c r="K1048" i="14"/>
  <c r="M1048" i="14"/>
  <c r="N1048" i="14"/>
  <c r="J1049" i="14"/>
  <c r="K1049" i="14"/>
  <c r="L1049" i="14" s="1"/>
  <c r="M1049" i="14" s="1"/>
  <c r="N1049" i="14"/>
  <c r="J1050" i="14"/>
  <c r="K1050" i="14"/>
  <c r="L1050" i="14"/>
  <c r="M1050" i="14" s="1"/>
  <c r="J1051" i="14"/>
  <c r="L1051" i="14" s="1"/>
  <c r="K1051" i="14"/>
  <c r="J1052" i="14"/>
  <c r="K1052" i="14"/>
  <c r="L1052" i="14"/>
  <c r="M1052" i="14"/>
  <c r="N1052" i="14"/>
  <c r="J1053" i="14"/>
  <c r="K1053" i="14"/>
  <c r="L1053" i="14" s="1"/>
  <c r="N1053" i="14" s="1"/>
  <c r="J1054" i="14"/>
  <c r="K1054" i="14"/>
  <c r="L1054" i="14"/>
  <c r="M1054" i="14"/>
  <c r="N1054" i="14"/>
  <c r="J1055" i="14"/>
  <c r="K1055" i="14"/>
  <c r="L1055" i="14"/>
  <c r="M1055" i="14"/>
  <c r="N1055" i="14"/>
  <c r="J1056" i="14"/>
  <c r="K1056" i="14"/>
  <c r="L1056" i="14"/>
  <c r="M1056" i="14"/>
  <c r="N1056" i="14"/>
  <c r="J1057" i="14"/>
  <c r="K1057" i="14"/>
  <c r="L1057" i="14"/>
  <c r="M1057" i="14"/>
  <c r="N1057" i="14"/>
  <c r="J1058" i="14"/>
  <c r="K1058" i="14"/>
  <c r="L1058" i="14"/>
  <c r="J1059" i="14"/>
  <c r="K1059" i="14"/>
  <c r="L1059" i="14"/>
  <c r="M1059" i="14"/>
  <c r="N1059" i="14"/>
  <c r="J1060" i="14"/>
  <c r="K1060" i="14"/>
  <c r="L1060" i="14"/>
  <c r="N1060" i="14" s="1"/>
  <c r="M1060" i="14"/>
  <c r="J1061" i="14"/>
  <c r="L1061" i="14" s="1"/>
  <c r="N1061" i="14" s="1"/>
  <c r="K1061" i="14"/>
  <c r="M1061" i="14"/>
  <c r="J1062" i="14"/>
  <c r="K1062" i="14"/>
  <c r="L1062" i="14"/>
  <c r="M1062" i="14"/>
  <c r="N1062" i="14"/>
  <c r="J1063" i="14"/>
  <c r="K1063" i="14"/>
  <c r="L1063" i="14"/>
  <c r="J1064" i="14"/>
  <c r="K1064" i="14"/>
  <c r="L1064" i="14"/>
  <c r="M1064" i="14"/>
  <c r="N1064" i="14"/>
  <c r="J1065" i="14"/>
  <c r="K1065" i="14"/>
  <c r="L1065" i="14"/>
  <c r="M1065" i="14" s="1"/>
  <c r="N1065" i="14"/>
  <c r="J1066" i="14"/>
  <c r="L1066" i="14" s="1"/>
  <c r="K1066" i="14"/>
  <c r="M1066" i="14"/>
  <c r="N1066" i="14"/>
  <c r="J1067" i="14"/>
  <c r="L1067" i="14" s="1"/>
  <c r="K1067" i="14"/>
  <c r="J1068" i="14"/>
  <c r="K1068" i="14"/>
  <c r="L1068" i="14"/>
  <c r="N1068" i="14" s="1"/>
  <c r="M1068" i="14"/>
  <c r="J1069" i="14"/>
  <c r="K1069" i="14"/>
  <c r="L1069" i="14"/>
  <c r="J1070" i="14"/>
  <c r="K1070" i="14"/>
  <c r="L1070" i="14" s="1"/>
  <c r="M1070" i="14"/>
  <c r="N1070" i="14"/>
  <c r="J1071" i="14"/>
  <c r="L1071" i="14" s="1"/>
  <c r="M1071" i="14" s="1"/>
  <c r="K1071" i="14"/>
  <c r="J1072" i="14"/>
  <c r="K1072" i="14"/>
  <c r="L1072" i="14"/>
  <c r="J1073" i="14"/>
  <c r="K1073" i="14"/>
  <c r="L1073" i="14"/>
  <c r="N1073" i="14" s="1"/>
  <c r="M1073" i="14"/>
  <c r="J1074" i="14"/>
  <c r="K1074" i="14"/>
  <c r="L1074" i="14"/>
  <c r="M1074" i="14" s="1"/>
  <c r="N1074" i="14"/>
  <c r="J1075" i="14"/>
  <c r="K1075" i="14"/>
  <c r="L1075" i="14"/>
  <c r="M1075" i="14"/>
  <c r="N1075" i="14"/>
  <c r="J1076" i="14"/>
  <c r="K1076" i="14"/>
  <c r="L1076" i="14"/>
  <c r="M1076" i="14"/>
  <c r="N1076" i="14"/>
  <c r="J1077" i="14"/>
  <c r="L1077" i="14" s="1"/>
  <c r="K1077" i="14"/>
  <c r="J1078" i="14"/>
  <c r="K1078" i="14"/>
  <c r="L1078" i="14"/>
  <c r="J1079" i="14"/>
  <c r="K1079" i="14"/>
  <c r="L1079" i="14"/>
  <c r="N1079" i="14" s="1"/>
  <c r="M1079" i="14"/>
  <c r="J1080" i="14"/>
  <c r="K1080" i="14"/>
  <c r="L1080" i="14"/>
  <c r="N1080" i="14" s="1"/>
  <c r="M1080" i="14"/>
  <c r="J1081" i="14"/>
  <c r="K1081" i="14"/>
  <c r="L1081" i="14" s="1"/>
  <c r="J1082" i="14"/>
  <c r="K1082" i="14"/>
  <c r="L1082" i="14"/>
  <c r="M1082" i="14"/>
  <c r="N1082" i="14"/>
  <c r="J1083" i="14"/>
  <c r="K1083" i="14"/>
  <c r="L1083" i="14" s="1"/>
  <c r="J1084" i="14"/>
  <c r="K1084" i="14"/>
  <c r="L1084" i="14"/>
  <c r="N1084" i="14" s="1"/>
  <c r="M1084" i="14"/>
  <c r="J1085" i="14"/>
  <c r="K1085" i="14"/>
  <c r="L1085" i="14"/>
  <c r="J1086" i="14"/>
  <c r="K1086" i="14"/>
  <c r="L1086" i="14"/>
  <c r="M1086" i="14"/>
  <c r="N1086" i="14"/>
  <c r="J1087" i="14"/>
  <c r="K1087" i="14"/>
  <c r="L1087" i="14" s="1"/>
  <c r="J1088" i="14"/>
  <c r="K1088" i="14"/>
  <c r="L1088" i="14" s="1"/>
  <c r="J1089" i="14"/>
  <c r="K1089" i="14"/>
  <c r="L1089" i="14" s="1"/>
  <c r="J1090" i="14"/>
  <c r="K1090" i="14"/>
  <c r="L1090" i="14"/>
  <c r="N1090" i="14" s="1"/>
  <c r="M1090" i="14"/>
  <c r="J1091" i="14"/>
  <c r="K1091" i="14"/>
  <c r="L1091" i="14"/>
  <c r="M1091" i="14" s="1"/>
  <c r="N1091" i="14"/>
  <c r="J1092" i="14"/>
  <c r="K1092" i="14"/>
  <c r="L1092" i="14"/>
  <c r="M1092" i="14"/>
  <c r="N1092" i="14"/>
  <c r="J1093" i="14"/>
  <c r="K1093" i="14"/>
  <c r="L1093" i="14" s="1"/>
  <c r="J1094" i="14"/>
  <c r="K1094" i="14"/>
  <c r="L1094" i="14" s="1"/>
  <c r="M1094" i="14" s="1"/>
  <c r="J1095" i="14"/>
  <c r="K1095" i="14"/>
  <c r="L1095" i="14" s="1"/>
  <c r="J1096" i="14"/>
  <c r="K1096" i="14"/>
  <c r="L1096" i="14"/>
  <c r="M1096" i="14"/>
  <c r="N1096" i="14"/>
  <c r="J1097" i="14"/>
  <c r="K1097" i="14"/>
  <c r="L1097" i="14" s="1"/>
  <c r="N1097" i="14" s="1"/>
  <c r="J1098" i="14"/>
  <c r="K1098" i="14"/>
  <c r="L1098" i="14" s="1"/>
  <c r="J1099" i="14"/>
  <c r="K1099" i="14"/>
  <c r="L1099" i="14"/>
  <c r="M1099" i="14"/>
  <c r="N1099" i="14"/>
  <c r="J1100" i="14"/>
  <c r="K1100" i="14"/>
  <c r="L1100" i="14"/>
  <c r="J1101" i="14"/>
  <c r="K1101" i="14"/>
  <c r="L1101" i="14" s="1"/>
  <c r="J1102" i="14"/>
  <c r="K1102" i="14"/>
  <c r="L1102" i="14"/>
  <c r="M1102" i="14"/>
  <c r="N1102" i="14"/>
  <c r="J1103" i="14"/>
  <c r="K1103" i="14"/>
  <c r="J1104" i="14"/>
  <c r="K1104" i="14"/>
  <c r="L1104" i="14"/>
  <c r="M1104" i="14" s="1"/>
  <c r="N1104" i="14"/>
  <c r="J1105" i="14"/>
  <c r="K1105" i="14"/>
  <c r="L1105" i="14" s="1"/>
  <c r="M1105" i="14" s="1"/>
  <c r="N1105" i="14"/>
  <c r="J1106" i="14"/>
  <c r="K1106" i="14"/>
  <c r="L1106" i="14"/>
  <c r="M1106" i="14"/>
  <c r="N1106" i="14"/>
  <c r="J1107" i="14"/>
  <c r="K1107" i="14"/>
  <c r="L1107" i="14"/>
  <c r="M1107" i="14"/>
  <c r="N1107" i="14"/>
  <c r="J1108" i="14"/>
  <c r="K1108" i="14"/>
  <c r="L1108" i="14"/>
  <c r="N1108" i="14" s="1"/>
  <c r="M1108" i="14"/>
  <c r="J1109" i="14"/>
  <c r="K1109" i="14"/>
  <c r="L1109" i="14" s="1"/>
  <c r="M1109" i="14" s="1"/>
  <c r="N1109" i="14"/>
  <c r="J1110" i="14"/>
  <c r="K1110" i="14"/>
  <c r="L1110" i="14" s="1"/>
  <c r="M1110" i="14" s="1"/>
  <c r="J1111" i="14"/>
  <c r="K1111" i="14"/>
  <c r="L1111" i="14"/>
  <c r="M1111" i="14"/>
  <c r="N1111" i="14"/>
  <c r="J1112" i="14"/>
  <c r="K1112" i="14"/>
  <c r="L1112" i="14" s="1"/>
  <c r="J1113" i="14"/>
  <c r="K1113" i="14"/>
  <c r="L1113" i="14"/>
  <c r="M1113" i="14" s="1"/>
  <c r="N1113" i="14"/>
  <c r="J1114" i="14"/>
  <c r="K1114" i="14"/>
  <c r="J1115" i="14"/>
  <c r="K1115" i="14"/>
  <c r="L1115" i="14" s="1"/>
  <c r="M1115" i="14" s="1"/>
  <c r="N1115" i="14"/>
  <c r="J1116" i="14"/>
  <c r="K1116" i="14"/>
  <c r="L1116" i="14"/>
  <c r="N1116" i="14" s="1"/>
  <c r="M1116" i="14"/>
  <c r="J1117" i="14"/>
  <c r="K1117" i="14"/>
  <c r="L1117" i="14"/>
  <c r="N1117" i="14" s="1"/>
  <c r="M1117" i="14"/>
  <c r="J1118" i="14"/>
  <c r="K1118" i="14"/>
  <c r="J1119" i="14"/>
  <c r="K1119" i="14"/>
  <c r="L1119" i="14"/>
  <c r="M1119" i="14"/>
  <c r="N1119" i="14"/>
  <c r="J1120" i="14"/>
  <c r="K1120" i="14"/>
  <c r="L1120" i="14" s="1"/>
  <c r="J1121" i="14"/>
  <c r="K1121" i="14"/>
  <c r="L1121" i="14"/>
  <c r="M1121" i="14"/>
  <c r="N1121" i="14"/>
  <c r="J1122" i="14"/>
  <c r="K1122" i="14"/>
  <c r="L1122" i="14"/>
  <c r="M1122" i="14"/>
  <c r="N1122" i="14"/>
  <c r="J1123" i="14"/>
  <c r="L1123" i="14" s="1"/>
  <c r="K1123" i="14"/>
  <c r="J1124" i="14"/>
  <c r="K1124" i="14"/>
  <c r="L1124" i="14"/>
  <c r="M1124" i="14"/>
  <c r="N1124" i="14"/>
  <c r="J1125" i="14"/>
  <c r="L1125" i="14" s="1"/>
  <c r="M1125" i="14" s="1"/>
  <c r="K1125" i="14"/>
  <c r="N1125" i="14"/>
  <c r="J1126" i="14"/>
  <c r="K1126" i="14"/>
  <c r="L1126" i="14"/>
  <c r="M1126" i="14" s="1"/>
  <c r="J1127" i="14"/>
  <c r="K1127" i="14"/>
  <c r="L1127" i="14"/>
  <c r="N1127" i="14" s="1"/>
  <c r="M1127" i="14"/>
  <c r="J1128" i="14"/>
  <c r="K1128" i="14"/>
  <c r="L1128" i="14"/>
  <c r="N1128" i="14" s="1"/>
  <c r="M1128" i="14"/>
  <c r="J1129" i="14"/>
  <c r="K1129" i="14"/>
  <c r="L1129" i="14"/>
  <c r="M1129" i="14"/>
  <c r="N1129" i="14"/>
  <c r="J1130" i="14"/>
  <c r="K1130" i="14"/>
  <c r="L1130" i="14"/>
  <c r="M1130" i="14" s="1"/>
  <c r="N1130" i="14"/>
  <c r="J1131" i="14"/>
  <c r="K1131" i="14"/>
  <c r="L1131" i="14"/>
  <c r="M1131" i="14" s="1"/>
  <c r="N1131" i="14"/>
  <c r="J1132" i="14"/>
  <c r="K1132" i="14"/>
  <c r="L1132" i="14" s="1"/>
  <c r="J1133" i="14"/>
  <c r="K1133" i="14"/>
  <c r="L1133" i="14"/>
  <c r="M1133" i="14"/>
  <c r="N1133" i="14"/>
  <c r="J1134" i="14"/>
  <c r="K1134" i="14"/>
  <c r="L1134" i="14"/>
  <c r="M1134" i="14"/>
  <c r="N1134" i="14"/>
  <c r="J1135" i="14"/>
  <c r="K1135" i="14"/>
  <c r="L1135" i="14"/>
  <c r="N1135" i="14" s="1"/>
  <c r="M1135" i="14"/>
  <c r="J1136" i="14"/>
  <c r="L1136" i="14" s="1"/>
  <c r="K1136" i="14"/>
  <c r="M1136" i="14"/>
  <c r="N1136" i="14"/>
  <c r="J1137" i="14"/>
  <c r="K1137" i="14"/>
  <c r="L1137" i="14"/>
  <c r="J1138" i="14"/>
  <c r="K1138" i="14"/>
  <c r="L1138" i="14"/>
  <c r="M1138" i="14"/>
  <c r="N1138" i="14"/>
  <c r="J1139" i="14"/>
  <c r="L1139" i="14" s="1"/>
  <c r="K1139" i="14"/>
  <c r="J1140" i="14"/>
  <c r="K1140" i="14"/>
  <c r="L1140" i="14"/>
  <c r="N1140" i="14" s="1"/>
  <c r="M1140" i="14"/>
  <c r="J1141" i="14"/>
  <c r="K1141" i="14"/>
  <c r="L1141" i="14" s="1"/>
  <c r="M1141" i="14" s="1"/>
  <c r="N1141" i="14"/>
  <c r="J1142" i="14"/>
  <c r="K1142" i="14"/>
  <c r="L1142" i="14" s="1"/>
  <c r="N1142" i="14" s="1"/>
  <c r="M1142" i="14"/>
  <c r="J1143" i="14"/>
  <c r="K1143" i="14"/>
  <c r="L1143" i="14"/>
  <c r="M1143" i="14"/>
  <c r="N1143" i="14"/>
  <c r="J1144" i="14"/>
  <c r="K1144" i="14"/>
  <c r="J1145" i="14"/>
  <c r="K1145" i="14"/>
  <c r="L1145" i="14"/>
  <c r="M1145" i="14"/>
  <c r="N1145" i="14"/>
  <c r="J1146" i="14"/>
  <c r="K1146" i="14"/>
  <c r="L1146" i="14"/>
  <c r="J1147" i="14"/>
  <c r="L1147" i="14" s="1"/>
  <c r="K1147" i="14"/>
  <c r="J1148" i="14"/>
  <c r="K1148" i="14"/>
  <c r="L1148" i="14"/>
  <c r="M1148" i="14"/>
  <c r="N1148" i="14"/>
  <c r="J1149" i="14"/>
  <c r="K1149" i="14"/>
  <c r="L1149" i="14"/>
  <c r="J1150" i="14"/>
  <c r="K1150" i="14"/>
  <c r="L1150" i="14"/>
  <c r="M1150" i="14"/>
  <c r="N1150" i="14"/>
  <c r="J1151" i="14"/>
  <c r="L1151" i="14" s="1"/>
  <c r="K1151" i="14"/>
  <c r="J1152" i="14"/>
  <c r="K1152" i="14"/>
  <c r="L1152" i="14" s="1"/>
  <c r="J1153" i="14"/>
  <c r="K1153" i="14"/>
  <c r="L1153" i="14"/>
  <c r="N1153" i="14" s="1"/>
  <c r="M1153" i="14"/>
  <c r="J1154" i="14"/>
  <c r="K1154" i="14"/>
  <c r="L1154" i="14"/>
  <c r="J1155" i="14"/>
  <c r="K1155" i="14"/>
  <c r="L1155" i="14"/>
  <c r="J1156" i="14"/>
  <c r="K1156" i="14"/>
  <c r="L1156" i="14"/>
  <c r="N1156" i="14" s="1"/>
  <c r="M1156" i="14"/>
  <c r="J1157" i="14"/>
  <c r="K1157" i="14"/>
  <c r="L1157" i="14" s="1"/>
  <c r="J1158" i="14"/>
  <c r="L1158" i="14" s="1"/>
  <c r="K1158" i="14"/>
  <c r="J1159" i="14"/>
  <c r="K1159" i="14"/>
  <c r="L1159" i="14"/>
  <c r="J1160" i="14"/>
  <c r="K1160" i="14"/>
  <c r="L1160" i="14"/>
  <c r="M1160" i="14"/>
  <c r="N1160" i="14"/>
  <c r="J1161" i="14"/>
  <c r="K1161" i="14"/>
  <c r="L1161" i="14" s="1"/>
  <c r="J1162" i="14"/>
  <c r="K1162" i="14"/>
  <c r="L1162" i="14" s="1"/>
  <c r="J1163" i="14"/>
  <c r="K1163" i="14"/>
  <c r="L1163" i="14" s="1"/>
  <c r="M1163" i="14"/>
  <c r="N1163" i="14"/>
  <c r="J1164" i="14"/>
  <c r="K1164" i="14"/>
  <c r="L1164" i="14"/>
  <c r="J1165" i="14"/>
  <c r="K1165" i="14"/>
  <c r="L1165" i="14"/>
  <c r="M1165" i="14" s="1"/>
  <c r="J1166" i="14"/>
  <c r="K1166" i="14"/>
  <c r="L1166" i="14" s="1"/>
  <c r="M1166" i="14"/>
  <c r="N1166" i="14"/>
  <c r="J1167" i="14"/>
  <c r="K1167" i="14"/>
  <c r="L1167" i="14" s="1"/>
  <c r="J1168" i="14"/>
  <c r="K1168" i="14"/>
  <c r="J1169" i="14"/>
  <c r="K1169" i="14"/>
  <c r="L1169" i="14" s="1"/>
  <c r="J1170" i="14"/>
  <c r="K1170" i="14"/>
  <c r="L1170" i="14"/>
  <c r="M1170" i="14" s="1"/>
  <c r="N1170" i="14"/>
  <c r="J1171" i="14"/>
  <c r="K1171" i="14"/>
  <c r="L1171" i="14"/>
  <c r="M1171" i="14"/>
  <c r="N1171" i="14"/>
  <c r="J1172" i="14"/>
  <c r="K1172" i="14"/>
  <c r="J1173" i="14"/>
  <c r="K1173" i="14"/>
  <c r="L1173" i="14"/>
  <c r="M1173" i="14"/>
  <c r="N1173" i="14"/>
  <c r="J1174" i="14"/>
  <c r="K1174" i="14"/>
  <c r="L1174" i="14" s="1"/>
  <c r="M1174" i="14" s="1"/>
  <c r="N1174" i="14"/>
  <c r="J1175" i="14"/>
  <c r="K1175" i="14"/>
  <c r="L1175" i="14" s="1"/>
  <c r="M1175" i="14"/>
  <c r="N1175" i="14"/>
  <c r="J1176" i="14"/>
  <c r="K1176" i="14"/>
  <c r="L1176" i="14"/>
  <c r="J1177" i="14"/>
  <c r="L1177" i="14" s="1"/>
  <c r="K1177" i="14"/>
  <c r="M1177" i="14"/>
  <c r="N1177" i="14"/>
  <c r="J1178" i="14"/>
  <c r="K1178" i="14"/>
  <c r="L1178" i="14"/>
  <c r="M1178" i="14" s="1"/>
  <c r="J1179" i="14"/>
  <c r="L1179" i="14" s="1"/>
  <c r="K1179" i="14"/>
  <c r="J1180" i="14"/>
  <c r="K1180" i="14"/>
  <c r="L1180" i="14"/>
  <c r="M1180" i="14" s="1"/>
  <c r="N1180" i="14"/>
  <c r="J1181" i="14"/>
  <c r="K1181" i="14"/>
  <c r="L1181" i="14" s="1"/>
  <c r="N1181" i="14" s="1"/>
  <c r="M1181" i="14"/>
  <c r="J1182" i="14"/>
  <c r="K1182" i="14"/>
  <c r="L1182" i="14"/>
  <c r="M1182" i="14"/>
  <c r="N1182" i="14"/>
  <c r="J1183" i="14"/>
  <c r="K1183" i="14"/>
  <c r="L1183" i="14"/>
  <c r="M1183" i="14"/>
  <c r="N1183" i="14"/>
  <c r="J1184" i="14"/>
  <c r="K1184" i="14"/>
  <c r="L1184" i="14"/>
  <c r="J1185" i="14"/>
  <c r="K1185" i="14"/>
  <c r="L1185" i="14"/>
  <c r="M1185" i="14" s="1"/>
  <c r="N1185" i="14"/>
  <c r="J1186" i="14"/>
  <c r="K1186" i="14"/>
  <c r="L1186" i="14" s="1"/>
  <c r="J1187" i="14"/>
  <c r="K1187" i="14"/>
  <c r="L1187" i="14"/>
  <c r="M1187" i="14"/>
  <c r="N1187" i="14"/>
  <c r="J1188" i="14"/>
  <c r="K1188" i="14"/>
  <c r="L1188" i="14" s="1"/>
  <c r="J1189" i="14"/>
  <c r="K1189" i="14"/>
  <c r="L1189" i="14"/>
  <c r="M1189" i="14"/>
  <c r="N1189" i="14"/>
  <c r="J1190" i="14"/>
  <c r="K1190" i="14"/>
  <c r="L1190" i="14"/>
  <c r="M1190" i="14"/>
  <c r="N1190" i="14"/>
  <c r="J1191" i="14"/>
  <c r="K1191" i="14"/>
  <c r="L1191" i="14" s="1"/>
  <c r="J1192" i="14"/>
  <c r="K1192" i="14"/>
  <c r="L1192" i="14" s="1"/>
  <c r="N1192" i="14" s="1"/>
  <c r="M1192" i="14"/>
  <c r="J1193" i="14"/>
  <c r="K1193" i="14"/>
  <c r="L1193" i="14"/>
  <c r="J1194" i="14"/>
  <c r="K1194" i="14"/>
  <c r="L1194" i="14" s="1"/>
  <c r="J1195" i="14"/>
  <c r="K1195" i="14"/>
  <c r="L1195" i="14"/>
  <c r="N1195" i="14" s="1"/>
  <c r="M1195" i="14"/>
  <c r="J1196" i="14"/>
  <c r="K1196" i="14"/>
  <c r="L1196" i="14" s="1"/>
  <c r="M1196" i="14" s="1"/>
  <c r="N1196" i="14"/>
  <c r="J1197" i="14"/>
  <c r="K1197" i="14"/>
  <c r="L1197" i="14"/>
  <c r="M1197" i="14" s="1"/>
  <c r="J1198" i="14"/>
  <c r="K1198" i="14"/>
  <c r="L1198" i="14" s="1"/>
  <c r="J1199" i="14"/>
  <c r="K1199" i="14"/>
  <c r="L1199" i="14"/>
  <c r="M1199" i="14"/>
  <c r="N1199" i="14"/>
  <c r="J1200" i="14"/>
  <c r="K1200" i="14"/>
  <c r="L1200" i="14" s="1"/>
  <c r="J1201" i="14"/>
  <c r="L1201" i="14" s="1"/>
  <c r="K1201" i="14"/>
  <c r="J1202" i="14"/>
  <c r="K1202" i="14"/>
  <c r="L1202" i="14"/>
  <c r="M1202" i="14" s="1"/>
  <c r="N1202" i="14"/>
  <c r="J1203" i="14"/>
  <c r="L1203" i="14" s="1"/>
  <c r="M1203" i="14" s="1"/>
  <c r="K1203" i="14"/>
  <c r="N1203" i="14"/>
  <c r="J1204" i="14"/>
  <c r="K1204" i="14"/>
  <c r="L1204" i="14"/>
  <c r="M1204" i="14" s="1"/>
  <c r="J1205" i="14"/>
  <c r="K1205" i="14"/>
  <c r="L1205" i="14"/>
  <c r="N1205" i="14" s="1"/>
  <c r="M1205" i="14"/>
  <c r="J1206" i="14"/>
  <c r="K1206" i="14"/>
  <c r="L1206" i="14"/>
  <c r="N1206" i="14" s="1"/>
  <c r="J1207" i="14"/>
  <c r="K1207" i="14"/>
  <c r="L1207" i="14"/>
  <c r="M1207" i="14"/>
  <c r="N1207" i="14"/>
  <c r="J1208" i="14"/>
  <c r="K1208" i="14"/>
  <c r="L1208" i="14"/>
  <c r="M1208" i="14" s="1"/>
  <c r="N1208" i="14"/>
  <c r="J1209" i="14"/>
  <c r="K1209" i="14"/>
  <c r="L1209" i="14"/>
  <c r="M1209" i="14" s="1"/>
  <c r="J1210" i="14"/>
  <c r="K1210" i="14"/>
  <c r="L1210" i="14"/>
  <c r="J1211" i="14"/>
  <c r="K1211" i="14"/>
  <c r="L1211" i="14"/>
  <c r="M1211" i="14"/>
  <c r="N1211" i="14"/>
  <c r="J1212" i="14"/>
  <c r="K1212" i="14"/>
  <c r="L1212" i="14"/>
  <c r="N1212" i="14" s="1"/>
  <c r="M1212" i="14"/>
  <c r="J1213" i="14"/>
  <c r="K1213" i="14"/>
  <c r="L1213" i="14"/>
  <c r="M1213" i="14"/>
  <c r="N1213" i="14"/>
  <c r="J1214" i="14"/>
  <c r="K1214" i="14"/>
  <c r="L1214" i="14" s="1"/>
  <c r="M1214" i="14" s="1"/>
  <c r="N1214" i="14"/>
  <c r="J1215" i="14"/>
  <c r="K1215" i="14"/>
  <c r="L1215" i="14" s="1"/>
  <c r="J1216" i="14"/>
  <c r="K1216" i="14"/>
  <c r="L1216" i="14" s="1"/>
  <c r="J1217" i="14"/>
  <c r="K1217" i="14"/>
  <c r="L1217" i="14"/>
  <c r="J1218" i="14"/>
  <c r="K1218" i="14"/>
  <c r="L1218" i="14"/>
  <c r="M1218" i="14"/>
  <c r="N1218" i="14"/>
  <c r="J1219" i="14"/>
  <c r="K1219" i="14"/>
  <c r="L1219" i="14"/>
  <c r="N1219" i="14" s="1"/>
  <c r="M1219" i="14"/>
  <c r="J1220" i="14"/>
  <c r="K1220" i="14"/>
  <c r="J1221" i="14"/>
  <c r="K1221" i="14"/>
  <c r="L1221" i="14"/>
  <c r="M1221" i="14"/>
  <c r="N1221" i="14"/>
  <c r="J1222" i="14"/>
  <c r="K1222" i="14"/>
  <c r="L1222" i="14" s="1"/>
  <c r="M1222" i="14" s="1"/>
  <c r="J1223" i="14"/>
  <c r="K1223" i="14"/>
  <c r="L1223" i="14"/>
  <c r="J1224" i="14"/>
  <c r="K1224" i="14"/>
  <c r="L1224" i="14"/>
  <c r="M1224" i="14"/>
  <c r="N1224" i="14"/>
  <c r="J1225" i="14"/>
  <c r="L1225" i="14" s="1"/>
  <c r="M1225" i="14" s="1"/>
  <c r="K1225" i="14"/>
  <c r="N1225" i="14"/>
  <c r="J1226" i="14"/>
  <c r="K1226" i="14"/>
  <c r="L1226" i="14"/>
  <c r="M1226" i="14"/>
  <c r="N1226" i="14"/>
  <c r="J1227" i="14"/>
  <c r="L1227" i="14" s="1"/>
  <c r="K1227" i="14"/>
  <c r="M1227" i="14"/>
  <c r="N1227" i="14"/>
  <c r="J1228" i="14"/>
  <c r="L1228" i="14" s="1"/>
  <c r="K1228" i="14"/>
  <c r="J1229" i="14"/>
  <c r="K1229" i="14"/>
  <c r="L1229" i="14" s="1"/>
  <c r="J1230" i="14"/>
  <c r="K1230" i="14"/>
  <c r="L1230" i="14"/>
  <c r="N1230" i="14" s="1"/>
  <c r="M1230" i="14"/>
  <c r="J1231" i="14"/>
  <c r="L1231" i="14" s="1"/>
  <c r="M1231" i="14" s="1"/>
  <c r="K1231" i="14"/>
  <c r="J1232" i="14"/>
  <c r="K1232" i="14"/>
  <c r="L1232" i="14"/>
  <c r="M1232" i="14"/>
  <c r="N1232" i="14"/>
  <c r="J1233" i="14"/>
  <c r="K1233" i="14"/>
  <c r="L1233" i="14"/>
  <c r="N1233" i="14" s="1"/>
  <c r="M1233" i="14"/>
  <c r="J1234" i="14"/>
  <c r="K1234" i="14"/>
  <c r="L1234" i="14" s="1"/>
  <c r="J1235" i="14"/>
  <c r="K1235" i="14"/>
  <c r="L1235" i="14"/>
  <c r="M1235" i="14"/>
  <c r="N1235" i="14"/>
  <c r="J1236" i="14"/>
  <c r="K1236" i="14"/>
  <c r="L1236" i="14" s="1"/>
  <c r="J1237" i="14"/>
  <c r="K1237" i="14"/>
  <c r="L1237" i="14"/>
  <c r="N1237" i="14" s="1"/>
  <c r="M1237" i="14"/>
  <c r="J1238" i="14"/>
  <c r="K1238" i="14"/>
  <c r="L1238" i="14"/>
  <c r="M1238" i="14"/>
  <c r="N1238" i="14"/>
  <c r="J1239" i="14"/>
  <c r="K1239" i="14"/>
  <c r="J1240" i="14"/>
  <c r="K1240" i="14"/>
  <c r="L1240" i="14" s="1"/>
  <c r="J1241" i="14"/>
  <c r="K1241" i="14"/>
  <c r="L1241" i="14"/>
  <c r="J1242" i="14"/>
  <c r="K1242" i="14"/>
  <c r="L1242" i="14" s="1"/>
  <c r="M1242" i="14" s="1"/>
  <c r="J1243" i="14"/>
  <c r="K1243" i="14"/>
  <c r="L1243" i="14"/>
  <c r="M1243" i="14"/>
  <c r="N1243" i="14"/>
  <c r="J1244" i="14"/>
  <c r="K1244" i="14"/>
  <c r="L1244" i="14" s="1"/>
  <c r="M1244" i="14" s="1"/>
  <c r="N1244" i="14"/>
  <c r="J1245" i="14"/>
  <c r="K1245" i="14"/>
  <c r="L1245" i="14" s="1"/>
  <c r="J1246" i="14"/>
  <c r="K1246" i="14"/>
  <c r="L1246" i="14" s="1"/>
  <c r="M1246" i="14" s="1"/>
  <c r="N1246" i="14"/>
  <c r="J1247" i="14"/>
  <c r="K1247" i="14"/>
  <c r="L1247" i="14"/>
  <c r="M1247" i="14" s="1"/>
  <c r="N1247" i="14"/>
  <c r="J1248" i="14"/>
  <c r="K1248" i="14"/>
  <c r="L1248" i="14"/>
  <c r="N1248" i="14" s="1"/>
  <c r="M1248" i="14"/>
  <c r="J1249" i="14"/>
  <c r="L1249" i="14" s="1"/>
  <c r="M1249" i="14" s="1"/>
  <c r="K1249" i="14"/>
  <c r="N1249" i="14"/>
  <c r="J1250" i="14"/>
  <c r="K1250" i="14"/>
  <c r="L1250" i="14"/>
  <c r="N1250" i="14" s="1"/>
  <c r="M1250" i="14"/>
  <c r="J1251" i="14"/>
  <c r="L1251" i="14" s="1"/>
  <c r="K1251" i="14"/>
  <c r="M1251" i="14"/>
  <c r="N1251" i="14"/>
  <c r="J1252" i="14"/>
  <c r="K1252" i="14"/>
  <c r="L1252" i="14"/>
  <c r="N1252" i="14" s="1"/>
  <c r="M1252" i="14"/>
  <c r="J1253" i="14"/>
  <c r="K1253" i="14"/>
  <c r="L1253" i="14" s="1"/>
  <c r="N1253" i="14" s="1"/>
  <c r="M1253" i="14"/>
  <c r="J1254" i="14"/>
  <c r="K1254" i="14"/>
  <c r="L1254" i="14"/>
  <c r="N1254" i="14" s="1"/>
  <c r="M1254" i="14"/>
  <c r="J1255" i="14"/>
  <c r="L1255" i="14" s="1"/>
  <c r="K1255" i="14"/>
  <c r="J1256" i="14"/>
  <c r="K1256" i="14"/>
  <c r="L1256" i="14"/>
  <c r="M1256" i="14"/>
  <c r="N1256" i="14"/>
  <c r="J1257" i="14"/>
  <c r="K1257" i="14"/>
  <c r="L1257" i="14" s="1"/>
  <c r="J1258" i="14"/>
  <c r="K1258" i="14"/>
  <c r="L1258" i="14" s="1"/>
  <c r="N1258" i="14" s="1"/>
  <c r="M1258" i="14"/>
  <c r="J1259" i="14"/>
  <c r="K1259" i="14"/>
  <c r="L1259" i="14"/>
  <c r="M1259" i="14"/>
  <c r="N1259" i="14"/>
  <c r="J1260" i="14"/>
  <c r="L1260" i="14" s="1"/>
  <c r="K1260" i="14"/>
  <c r="J1261" i="14"/>
  <c r="K1261" i="14"/>
  <c r="L1261" i="14"/>
  <c r="M1261" i="14"/>
  <c r="N1261" i="14"/>
  <c r="J1262" i="14"/>
  <c r="K1262" i="14"/>
  <c r="L1262" i="14"/>
  <c r="M1262" i="14" s="1"/>
  <c r="J1263" i="14"/>
  <c r="K1263" i="14"/>
  <c r="L1263" i="14" s="1"/>
  <c r="J1264" i="14"/>
  <c r="K1264" i="14"/>
  <c r="L1264" i="14"/>
  <c r="M1264" i="14"/>
  <c r="N1264" i="14"/>
  <c r="J1265" i="14"/>
  <c r="K1265" i="14"/>
  <c r="L1265" i="14" s="1"/>
  <c r="J1266" i="14"/>
  <c r="L1266" i="14" s="1"/>
  <c r="K1266" i="14"/>
  <c r="J1267" i="14"/>
  <c r="K1267" i="14"/>
  <c r="L1267" i="14"/>
  <c r="M1267" i="14"/>
  <c r="N1267" i="14"/>
  <c r="J1268" i="14"/>
  <c r="K1268" i="14"/>
  <c r="L1268" i="14" s="1"/>
  <c r="M1268" i="14" s="1"/>
  <c r="N1268" i="14"/>
  <c r="J1269" i="14"/>
  <c r="K1269" i="14"/>
  <c r="L1269" i="14"/>
  <c r="M1269" i="14" s="1"/>
  <c r="N1269" i="14"/>
  <c r="J1270" i="14"/>
  <c r="K1270" i="14"/>
  <c r="L1270" i="14" s="1"/>
  <c r="M1270" i="14" s="1"/>
  <c r="N1270" i="14"/>
  <c r="J1271" i="14"/>
  <c r="K1271" i="14"/>
  <c r="L1271" i="14"/>
  <c r="M1271" i="14"/>
  <c r="N1271" i="14"/>
  <c r="J1272" i="14"/>
  <c r="K1272" i="14"/>
  <c r="L1272" i="14"/>
  <c r="M1272" i="14" s="1"/>
  <c r="N1272" i="14"/>
  <c r="J1273" i="14"/>
  <c r="K1273" i="14"/>
  <c r="L1273" i="14"/>
  <c r="N1273" i="14" s="1"/>
  <c r="M1273" i="14"/>
  <c r="J1274" i="14"/>
  <c r="K1274" i="14"/>
  <c r="L1274" i="14" s="1"/>
  <c r="M1274" i="14"/>
  <c r="N1274" i="14"/>
  <c r="J1275" i="14"/>
  <c r="L1275" i="14" s="1"/>
  <c r="K1275" i="14"/>
  <c r="M1275" i="14"/>
  <c r="N1275" i="14"/>
  <c r="J1276" i="14"/>
  <c r="K1276" i="14"/>
  <c r="L1276" i="14"/>
  <c r="M1276" i="14"/>
  <c r="N1276" i="14"/>
  <c r="J1277" i="14"/>
  <c r="K1277" i="14"/>
  <c r="L1277" i="14"/>
  <c r="M1277" i="14" s="1"/>
  <c r="N1277" i="14"/>
  <c r="J1278" i="14"/>
  <c r="K1278" i="14"/>
  <c r="L1278" i="14" s="1"/>
  <c r="J1279" i="14"/>
  <c r="K1279" i="14"/>
  <c r="L1279" i="14" s="1"/>
  <c r="M1279" i="14"/>
  <c r="N1279" i="14"/>
  <c r="J1280" i="14"/>
  <c r="K1280" i="14"/>
  <c r="L1280" i="14"/>
  <c r="M1280" i="14" s="1"/>
  <c r="J1281" i="14"/>
  <c r="K1281" i="14"/>
  <c r="L1281" i="14"/>
  <c r="N1281" i="14" s="1"/>
  <c r="M1281" i="14"/>
  <c r="J1282" i="14"/>
  <c r="K1282" i="14"/>
  <c r="L1282" i="14" s="1"/>
  <c r="J1283" i="14"/>
  <c r="K1283" i="14"/>
  <c r="L1283" i="14"/>
  <c r="N1283" i="14" s="1"/>
  <c r="M1283" i="14"/>
  <c r="J1284" i="14"/>
  <c r="K1284" i="14"/>
  <c r="J1285" i="14"/>
  <c r="K1285" i="14"/>
  <c r="L1285" i="14"/>
  <c r="M1285" i="14"/>
  <c r="N1285" i="14"/>
  <c r="J1286" i="14"/>
  <c r="K1286" i="14"/>
  <c r="L1286" i="14"/>
  <c r="N1286" i="14" s="1"/>
  <c r="M1286" i="14"/>
  <c r="J1287" i="14"/>
  <c r="K1287" i="14"/>
  <c r="L1287" i="14"/>
  <c r="M1287" i="14" s="1"/>
  <c r="J1288" i="14"/>
  <c r="K1288" i="14"/>
  <c r="L1288" i="14"/>
  <c r="M1288" i="14"/>
  <c r="N1288" i="14"/>
  <c r="J1289" i="14"/>
  <c r="K1289" i="14"/>
  <c r="L1289" i="14" s="1"/>
  <c r="J1290" i="14"/>
  <c r="K1290" i="14"/>
  <c r="L1290" i="14" s="1"/>
  <c r="J1291" i="14"/>
  <c r="K1291" i="14"/>
  <c r="L1291" i="14"/>
  <c r="M1291" i="14"/>
  <c r="N1291" i="14"/>
  <c r="J1292" i="14"/>
  <c r="K1292" i="14"/>
  <c r="L1292" i="14" s="1"/>
  <c r="J1293" i="14"/>
  <c r="K1293" i="14"/>
  <c r="L1293" i="14"/>
  <c r="M1293" i="14"/>
  <c r="N1293" i="14"/>
  <c r="J1294" i="14"/>
  <c r="K1294" i="14"/>
  <c r="L1294" i="14" s="1"/>
  <c r="J1295" i="14"/>
  <c r="K1295" i="14"/>
  <c r="L1295" i="14" s="1"/>
  <c r="M1295" i="14"/>
  <c r="N1295" i="14"/>
  <c r="J1296" i="14"/>
  <c r="K1296" i="14"/>
  <c r="L1296" i="14"/>
  <c r="M1296" i="14" s="1"/>
  <c r="J1297" i="14"/>
  <c r="K1297" i="14"/>
  <c r="L1297" i="14"/>
  <c r="N1297" i="14" s="1"/>
  <c r="M1297" i="14"/>
  <c r="J1298" i="14"/>
  <c r="K1298" i="14"/>
  <c r="L1298" i="14" s="1"/>
  <c r="M1298" i="14" s="1"/>
  <c r="N1298" i="14"/>
  <c r="J1299" i="14"/>
  <c r="L1299" i="14" s="1"/>
  <c r="N1299" i="14" s="1"/>
  <c r="K1299" i="14"/>
  <c r="J1300" i="14"/>
  <c r="K1300" i="14"/>
  <c r="J1301" i="14"/>
  <c r="K1301" i="14"/>
  <c r="L1301" i="14"/>
  <c r="M1301" i="14"/>
  <c r="N1301" i="14"/>
  <c r="J1302" i="14"/>
  <c r="K1302" i="14"/>
  <c r="L1302" i="14"/>
  <c r="N1302" i="14" s="1"/>
  <c r="J1303" i="14"/>
  <c r="K1303" i="14"/>
  <c r="L1303" i="14" s="1"/>
  <c r="M1303" i="14" s="1"/>
  <c r="N1303" i="14"/>
  <c r="J1304" i="14"/>
  <c r="K1304" i="14"/>
  <c r="L1304" i="14"/>
  <c r="M1304" i="14" s="1"/>
  <c r="N1304" i="14"/>
  <c r="J1305" i="14"/>
  <c r="K1305" i="14"/>
  <c r="L1305" i="14"/>
  <c r="M1305" i="14" s="1"/>
  <c r="J1306" i="14"/>
  <c r="K1306" i="14"/>
  <c r="L1306" i="14"/>
  <c r="N1306" i="14" s="1"/>
  <c r="M1306" i="14"/>
  <c r="J1307" i="14"/>
  <c r="K1307" i="14"/>
  <c r="L1307" i="14"/>
  <c r="N1307" i="14" s="1"/>
  <c r="M1307" i="14"/>
  <c r="J1308" i="14"/>
  <c r="K1308" i="14"/>
  <c r="L1308" i="14" s="1"/>
  <c r="J1309" i="14"/>
  <c r="K1309" i="14"/>
  <c r="L1309" i="14"/>
  <c r="N1309" i="14" s="1"/>
  <c r="J1310" i="14"/>
  <c r="K1310" i="14"/>
  <c r="L1310" i="14" s="1"/>
  <c r="M1310" i="14"/>
  <c r="N1310" i="14"/>
  <c r="J1311" i="14"/>
  <c r="K1311" i="14"/>
  <c r="L1311" i="14"/>
  <c r="M1311" i="14" s="1"/>
  <c r="N1311" i="14"/>
  <c r="J1312" i="14"/>
  <c r="K1312" i="14"/>
  <c r="L1312" i="14" s="1"/>
  <c r="J1313" i="14"/>
  <c r="K1313" i="14"/>
  <c r="L1313" i="14"/>
  <c r="J1314" i="14"/>
  <c r="K1314" i="14"/>
  <c r="L1314" i="14"/>
  <c r="M1314" i="14"/>
  <c r="N1314" i="14"/>
  <c r="J1315" i="14"/>
  <c r="K1315" i="14"/>
  <c r="L1315" i="14"/>
  <c r="J1316" i="14"/>
  <c r="K1316" i="14"/>
  <c r="L1316" i="14" s="1"/>
  <c r="M1316" i="14"/>
  <c r="N1316" i="14"/>
  <c r="J1317" i="14"/>
  <c r="K1317" i="14"/>
  <c r="L1317" i="14"/>
  <c r="N1317" i="14" s="1"/>
  <c r="M1317" i="14"/>
  <c r="J1318" i="14"/>
  <c r="K1318" i="14"/>
  <c r="J1319" i="14"/>
  <c r="K1319" i="14"/>
  <c r="L1319" i="14" s="1"/>
  <c r="M1319" i="14" s="1"/>
  <c r="N1319" i="14"/>
  <c r="J1320" i="14"/>
  <c r="K1320" i="14"/>
  <c r="L1320" i="14"/>
  <c r="M1320" i="14" s="1"/>
  <c r="N1320" i="14"/>
  <c r="J1321" i="14"/>
  <c r="K1321" i="14"/>
  <c r="L1321" i="14"/>
  <c r="M1321" i="14" s="1"/>
  <c r="J1322" i="14"/>
  <c r="K1322" i="14"/>
  <c r="L1322" i="14"/>
  <c r="M1322" i="14"/>
  <c r="N1322" i="14"/>
  <c r="J1323" i="14"/>
  <c r="L1323" i="14" s="1"/>
  <c r="N1323" i="14" s="1"/>
  <c r="K1323" i="14"/>
  <c r="M1323" i="14"/>
  <c r="J1324" i="14"/>
  <c r="K1324" i="14"/>
  <c r="L1324" i="14" s="1"/>
  <c r="M1324" i="14" s="1"/>
  <c r="N1324" i="14"/>
  <c r="J1325" i="14"/>
  <c r="K1325" i="14"/>
  <c r="L1325" i="14"/>
  <c r="M1325" i="14" s="1"/>
  <c r="N1325" i="14"/>
  <c r="J1326" i="14"/>
  <c r="K1326" i="14"/>
  <c r="L1326" i="14"/>
  <c r="M1326" i="14"/>
  <c r="N1326" i="14"/>
  <c r="J1327" i="14"/>
  <c r="K1327" i="14"/>
  <c r="L1327" i="14" s="1"/>
  <c r="J1328" i="14"/>
  <c r="K1328" i="14"/>
  <c r="L1328" i="14"/>
  <c r="J1329" i="14"/>
  <c r="K1329" i="14"/>
  <c r="L1329" i="14"/>
  <c r="M1329" i="14"/>
  <c r="N1329" i="14"/>
  <c r="J1330" i="14"/>
  <c r="K1330" i="14"/>
  <c r="L1330" i="14" s="1"/>
  <c r="N1330" i="14" s="1"/>
  <c r="J1331" i="14"/>
  <c r="K1331" i="14"/>
  <c r="L1331" i="14"/>
  <c r="M1331" i="14"/>
  <c r="N1331" i="14"/>
  <c r="J1332" i="14"/>
  <c r="K1332" i="14"/>
  <c r="L1332" i="14"/>
  <c r="N1332" i="14" s="1"/>
  <c r="M1332" i="14"/>
  <c r="J1333" i="14"/>
  <c r="K1333" i="14"/>
  <c r="L1333" i="14"/>
  <c r="N1333" i="14" s="1"/>
  <c r="J1334" i="14"/>
  <c r="K1334" i="14"/>
  <c r="L1334" i="14" s="1"/>
  <c r="M1334" i="14" s="1"/>
  <c r="N1334" i="14"/>
  <c r="J1335" i="14"/>
  <c r="K1335" i="14"/>
  <c r="L1335" i="14"/>
  <c r="J1336" i="14"/>
  <c r="K1336" i="14"/>
  <c r="L1336" i="14" s="1"/>
  <c r="M1336" i="14" s="1"/>
  <c r="J1337" i="14"/>
  <c r="K1337" i="14"/>
  <c r="L1337" i="14"/>
  <c r="J1338" i="14"/>
  <c r="K1338" i="14"/>
  <c r="L1338" i="14"/>
  <c r="M1338" i="14"/>
  <c r="N1338" i="14"/>
  <c r="J1339" i="14"/>
  <c r="L1339" i="14" s="1"/>
  <c r="K1339" i="14"/>
  <c r="J1340" i="14"/>
  <c r="K1340" i="14"/>
  <c r="L1340" i="14" s="1"/>
  <c r="M1340" i="14"/>
  <c r="N1340" i="14"/>
  <c r="J1341" i="14"/>
  <c r="K1341" i="14"/>
  <c r="L1341" i="14"/>
  <c r="J1342" i="14"/>
  <c r="K1342" i="14"/>
  <c r="L1342" i="14" s="1"/>
  <c r="M1342" i="14" s="1"/>
  <c r="N1342" i="14"/>
  <c r="J1343" i="14"/>
  <c r="K1343" i="14"/>
  <c r="L1343" i="14" s="1"/>
  <c r="J1344" i="14"/>
  <c r="K1344" i="14"/>
  <c r="L1344" i="14"/>
  <c r="J1345" i="14"/>
  <c r="K1345" i="14"/>
  <c r="L1345" i="14"/>
  <c r="M1345" i="14"/>
  <c r="N1345" i="14"/>
  <c r="J1346" i="14"/>
  <c r="K1346" i="14"/>
  <c r="L1346" i="14" s="1"/>
  <c r="N1346" i="14" s="1"/>
  <c r="J1347" i="14"/>
  <c r="L1347" i="14" s="1"/>
  <c r="K1347" i="14"/>
  <c r="M1347" i="14"/>
  <c r="N1347" i="14"/>
  <c r="J1348" i="14"/>
  <c r="K1348" i="14"/>
  <c r="L1348" i="14"/>
  <c r="M1348" i="14"/>
  <c r="N1348" i="14"/>
  <c r="J1349" i="14"/>
  <c r="L1349" i="14" s="1"/>
  <c r="K1349" i="14"/>
  <c r="J1350" i="14"/>
  <c r="K1350" i="14"/>
  <c r="L1350" i="14"/>
  <c r="M1350" i="14"/>
  <c r="N1350" i="14"/>
  <c r="J1351" i="14"/>
  <c r="K1351" i="14"/>
  <c r="L1351" i="14" s="1"/>
  <c r="N1351" i="14" s="1"/>
  <c r="M1351" i="14"/>
  <c r="J1352" i="14"/>
  <c r="K1352" i="14"/>
  <c r="L1352" i="14"/>
  <c r="M1352" i="14" s="1"/>
  <c r="J1353" i="14"/>
  <c r="K1353" i="14"/>
  <c r="L1353" i="14"/>
  <c r="M1353" i="14"/>
  <c r="N1353" i="14"/>
  <c r="J1354" i="14"/>
  <c r="K1354" i="14"/>
  <c r="L1354" i="14" s="1"/>
  <c r="J1355" i="14"/>
  <c r="K1355" i="14"/>
  <c r="L1355" i="14"/>
  <c r="M1355" i="14"/>
  <c r="N1355" i="14"/>
  <c r="J1356" i="14"/>
  <c r="K1356" i="14"/>
  <c r="L1356" i="14"/>
  <c r="N1356" i="14" s="1"/>
  <c r="M1356" i="14"/>
  <c r="J1357" i="14"/>
  <c r="K1357" i="14"/>
  <c r="L1357" i="14"/>
  <c r="M1357" i="14"/>
  <c r="N1357" i="14"/>
  <c r="J1358" i="14"/>
  <c r="L1358" i="14" s="1"/>
  <c r="K1358" i="14"/>
  <c r="J1359" i="14"/>
  <c r="K1359" i="14"/>
  <c r="L1359" i="14"/>
  <c r="J1360" i="14"/>
  <c r="K1360" i="14"/>
  <c r="L1360" i="14" s="1"/>
  <c r="M1360" i="14" s="1"/>
  <c r="N1360" i="14"/>
  <c r="J1361" i="14"/>
  <c r="L1361" i="14" s="1"/>
  <c r="K1361" i="14"/>
  <c r="J1362" i="14"/>
  <c r="K1362" i="14"/>
  <c r="L1362" i="14" s="1"/>
  <c r="M1362" i="14" s="1"/>
  <c r="N1362" i="14"/>
  <c r="J1363" i="14"/>
  <c r="K1363" i="14"/>
  <c r="L1363" i="14"/>
  <c r="M1363" i="14"/>
  <c r="N1363" i="14"/>
  <c r="J1364" i="14"/>
  <c r="K1364" i="14"/>
  <c r="L1364" i="14" s="1"/>
  <c r="N1364" i="14" s="1"/>
  <c r="M1364" i="14"/>
  <c r="J1365" i="14"/>
  <c r="L1365" i="14" s="1"/>
  <c r="K1365" i="14"/>
  <c r="J1366" i="14"/>
  <c r="K1366" i="14"/>
  <c r="L1366" i="14" s="1"/>
  <c r="M1366" i="14" s="1"/>
  <c r="N1366" i="14"/>
  <c r="J1367" i="14"/>
  <c r="K1367" i="14"/>
  <c r="L1367" i="14"/>
  <c r="N1367" i="14" s="1"/>
  <c r="M1367" i="14"/>
  <c r="J1368" i="14"/>
  <c r="K1368" i="14"/>
  <c r="L1368" i="14"/>
  <c r="M1368" i="14" s="1"/>
  <c r="N1368" i="14"/>
  <c r="J1369" i="14"/>
  <c r="K1369" i="14"/>
  <c r="L1369" i="14"/>
  <c r="M1369" i="14"/>
  <c r="N1369" i="14"/>
  <c r="J1370" i="14"/>
  <c r="K1370" i="14"/>
  <c r="L1370" i="14" s="1"/>
  <c r="J1371" i="14"/>
  <c r="L1371" i="14" s="1"/>
  <c r="K1371" i="14"/>
  <c r="M1371" i="14"/>
  <c r="N1371" i="14"/>
  <c r="J1372" i="14"/>
  <c r="K1372" i="14"/>
  <c r="L1372" i="14"/>
  <c r="N1372" i="14" s="1"/>
  <c r="M1372" i="14"/>
  <c r="J1373" i="14"/>
  <c r="K1373" i="14"/>
  <c r="L1373" i="14"/>
  <c r="M1373" i="14"/>
  <c r="N1373" i="14"/>
  <c r="J1374" i="14"/>
  <c r="K1374" i="14"/>
  <c r="L1374" i="14" s="1"/>
  <c r="J1375" i="14"/>
  <c r="K1375" i="14"/>
  <c r="L1375" i="14" s="1"/>
  <c r="J1376" i="14"/>
  <c r="K1376" i="14"/>
  <c r="L1376" i="14"/>
  <c r="M1376" i="14"/>
  <c r="N1376" i="14"/>
  <c r="J1377" i="14"/>
  <c r="L1377" i="14" s="1"/>
  <c r="K1377" i="14"/>
  <c r="J1378" i="14"/>
  <c r="K1378" i="14"/>
  <c r="L1378" i="14"/>
  <c r="N1378" i="14" s="1"/>
  <c r="M1378" i="14"/>
  <c r="J1379" i="14"/>
  <c r="K1379" i="14"/>
  <c r="L1379" i="14"/>
  <c r="M1379" i="14"/>
  <c r="N1379" i="14"/>
  <c r="J1380" i="14"/>
  <c r="K1380" i="14"/>
  <c r="L1380" i="14" s="1"/>
  <c r="J1381" i="14"/>
  <c r="K1381" i="14"/>
  <c r="L1381" i="14"/>
  <c r="M1381" i="14"/>
  <c r="N1381" i="14"/>
  <c r="J1382" i="14"/>
  <c r="K1382" i="14"/>
  <c r="L1382" i="14"/>
  <c r="N1382" i="14" s="1"/>
  <c r="M1382" i="14"/>
  <c r="J1383" i="14"/>
  <c r="K1383" i="14"/>
  <c r="L1383" i="14" s="1"/>
  <c r="J1384" i="14"/>
  <c r="K1384" i="14"/>
  <c r="L1384" i="14"/>
  <c r="M1384" i="14"/>
  <c r="N1384" i="14"/>
  <c r="J1385" i="14"/>
  <c r="K1385" i="14"/>
  <c r="L1385" i="14"/>
  <c r="J1386" i="14"/>
  <c r="K1386" i="14"/>
  <c r="L1386" i="14"/>
  <c r="M1386" i="14" s="1"/>
  <c r="N1386" i="14"/>
  <c r="J1387" i="14"/>
  <c r="K1387" i="14"/>
  <c r="L1387" i="14"/>
  <c r="M1387" i="14"/>
  <c r="N1387" i="14"/>
  <c r="J1388" i="14"/>
  <c r="K1388" i="14"/>
  <c r="J1389" i="14"/>
  <c r="K1389" i="14"/>
  <c r="L1389" i="14" s="1"/>
  <c r="J1390" i="14"/>
  <c r="K1390" i="14"/>
  <c r="L1390" i="14" s="1"/>
  <c r="M1390" i="14" s="1"/>
  <c r="N1390" i="14"/>
  <c r="J1391" i="14"/>
  <c r="K1391" i="14"/>
  <c r="L1391" i="14" s="1"/>
  <c r="J1392" i="14"/>
  <c r="K1392" i="14"/>
  <c r="L1392" i="14"/>
  <c r="M1392" i="14" s="1"/>
  <c r="J1393" i="14"/>
  <c r="K1393" i="14"/>
  <c r="L1393" i="14"/>
  <c r="J1394" i="14"/>
  <c r="K1394" i="14"/>
  <c r="L1394" i="14"/>
  <c r="M1394" i="14"/>
  <c r="N1394" i="14"/>
  <c r="J1395" i="14"/>
  <c r="L1395" i="14" s="1"/>
  <c r="N1395" i="14" s="1"/>
  <c r="K1395" i="14"/>
  <c r="M1395" i="14"/>
  <c r="J1396" i="14"/>
  <c r="K1396" i="14"/>
  <c r="J1397" i="14"/>
  <c r="K1397" i="14"/>
  <c r="L1397" i="14"/>
  <c r="M1397" i="14"/>
  <c r="N1397" i="14"/>
  <c r="J1398" i="14"/>
  <c r="K1398" i="14"/>
  <c r="L1398" i="14"/>
  <c r="J1399" i="14"/>
  <c r="K1399" i="14"/>
  <c r="L1399" i="14" s="1"/>
  <c r="J1400" i="14"/>
  <c r="K1400" i="14"/>
  <c r="L1400" i="14"/>
  <c r="M1400" i="14"/>
  <c r="N1400" i="14"/>
  <c r="J1401" i="14"/>
  <c r="L1401" i="14" s="1"/>
  <c r="K1401" i="14"/>
  <c r="J1402" i="14"/>
  <c r="L1402" i="14" s="1"/>
  <c r="K1402" i="14"/>
  <c r="J1403" i="14"/>
  <c r="K1403" i="14"/>
  <c r="L1403" i="14"/>
  <c r="J1404" i="14"/>
  <c r="K1404" i="14"/>
  <c r="L1404" i="14"/>
  <c r="N1404" i="14" s="1"/>
  <c r="M1404" i="14"/>
  <c r="J1405" i="14"/>
  <c r="K1405" i="14"/>
  <c r="L1405" i="14"/>
  <c r="M1405" i="14" s="1"/>
  <c r="N1405" i="14"/>
  <c r="J1406" i="14"/>
  <c r="K1406" i="14"/>
  <c r="L1406" i="14" s="1"/>
  <c r="J1407" i="14"/>
  <c r="K1407" i="14"/>
  <c r="L1407" i="14"/>
  <c r="M1407" i="14" s="1"/>
  <c r="N1407" i="14"/>
  <c r="J1408" i="14"/>
  <c r="K1408" i="14"/>
  <c r="L1408" i="14"/>
  <c r="N1408" i="14" s="1"/>
  <c r="J1409" i="14"/>
  <c r="K1409" i="14"/>
  <c r="L1409" i="14"/>
  <c r="J1410" i="14"/>
  <c r="K1410" i="14"/>
  <c r="L1410" i="14"/>
  <c r="M1410" i="14"/>
  <c r="N1410" i="14"/>
  <c r="J1411" i="14"/>
  <c r="K1411" i="14"/>
  <c r="L1411" i="14" s="1"/>
  <c r="J1412" i="14"/>
  <c r="K1412" i="14"/>
  <c r="L1412" i="14" s="1"/>
  <c r="M1412" i="14" s="1"/>
  <c r="N1412" i="14"/>
  <c r="J1413" i="14"/>
  <c r="K1413" i="14"/>
  <c r="L1413" i="14"/>
  <c r="M1413" i="14"/>
  <c r="N1413" i="14"/>
  <c r="J1414" i="14"/>
  <c r="K1414" i="14"/>
  <c r="J1415" i="14"/>
  <c r="L1415" i="14" s="1"/>
  <c r="K1415" i="14"/>
  <c r="J1416" i="14"/>
  <c r="K1416" i="14"/>
  <c r="L1416" i="14"/>
  <c r="M1416" i="14"/>
  <c r="N1416" i="14"/>
  <c r="J1417" i="14"/>
  <c r="L1417" i="14" s="1"/>
  <c r="K1417" i="14"/>
  <c r="J1418" i="14"/>
  <c r="K1418" i="14"/>
  <c r="L1418" i="14" s="1"/>
  <c r="J1419" i="14"/>
  <c r="L1419" i="14" s="1"/>
  <c r="K1419" i="14"/>
  <c r="J1420" i="14"/>
  <c r="K1420" i="14"/>
  <c r="L1420" i="14"/>
  <c r="M1420" i="14"/>
  <c r="N1420" i="14"/>
  <c r="J1421" i="14"/>
  <c r="L1421" i="14" s="1"/>
  <c r="K1421" i="14"/>
  <c r="J1422" i="14"/>
  <c r="K1422" i="14"/>
  <c r="L1422" i="14"/>
  <c r="M1422" i="14"/>
  <c r="N1422" i="14"/>
  <c r="J1423" i="14"/>
  <c r="K1423" i="14"/>
  <c r="L1423" i="14" s="1"/>
  <c r="J1424" i="14"/>
  <c r="K1424" i="14"/>
  <c r="L1424" i="14"/>
  <c r="M1424" i="14" s="1"/>
  <c r="N1424" i="14"/>
  <c r="J1425" i="14"/>
  <c r="K1425" i="14"/>
  <c r="L1425" i="14"/>
  <c r="M1425" i="14"/>
  <c r="N1425" i="14"/>
  <c r="J1426" i="14"/>
  <c r="L1426" i="14" s="1"/>
  <c r="K1426" i="14"/>
  <c r="J1427" i="14"/>
  <c r="L1427" i="14" s="1"/>
  <c r="K1427" i="14"/>
  <c r="J1428" i="14"/>
  <c r="K1428" i="14"/>
  <c r="L1428" i="14"/>
  <c r="N1428" i="14" s="1"/>
  <c r="M1428" i="14"/>
  <c r="J1429" i="14"/>
  <c r="K1429" i="14"/>
  <c r="L1429" i="14" s="1"/>
  <c r="J1430" i="14"/>
  <c r="K1430" i="14"/>
  <c r="L1430" i="14"/>
  <c r="M1430" i="14"/>
  <c r="N1430" i="14"/>
  <c r="J1431" i="14"/>
  <c r="K1431" i="14"/>
  <c r="L1431" i="14"/>
  <c r="M1431" i="14" s="1"/>
  <c r="N1431" i="14"/>
  <c r="J1432" i="14"/>
  <c r="K1432" i="14"/>
  <c r="L1432" i="14" s="1"/>
  <c r="J1433" i="14"/>
  <c r="K1433" i="14"/>
  <c r="L1433" i="14"/>
  <c r="J1434" i="14"/>
  <c r="K1434" i="14"/>
  <c r="L1434" i="14"/>
  <c r="M1434" i="14"/>
  <c r="N1434" i="14"/>
  <c r="J1435" i="14"/>
  <c r="K1435" i="14"/>
  <c r="L1435" i="14"/>
  <c r="N1435" i="14" s="1"/>
  <c r="M1435" i="14"/>
  <c r="J1436" i="14"/>
  <c r="K1436" i="14"/>
  <c r="J1437" i="14"/>
  <c r="K1437" i="14"/>
  <c r="L1437" i="14"/>
  <c r="N1437" i="14" s="1"/>
  <c r="M1437" i="14"/>
  <c r="J1438" i="14"/>
  <c r="K1438" i="14"/>
  <c r="L1438" i="14" s="1"/>
  <c r="M1438" i="14" s="1"/>
  <c r="N1438" i="14"/>
  <c r="J1439" i="14"/>
  <c r="L1439" i="14" s="1"/>
  <c r="K1439" i="14"/>
  <c r="J1440" i="14"/>
  <c r="K1440" i="14"/>
  <c r="L1440" i="14" s="1"/>
  <c r="M1440" i="14" s="1"/>
  <c r="N1440" i="14"/>
  <c r="J1441" i="14"/>
  <c r="K1441" i="14"/>
  <c r="L1441" i="14"/>
  <c r="N1441" i="14" s="1"/>
  <c r="M1441" i="14"/>
  <c r="J1442" i="14"/>
  <c r="K1442" i="14"/>
  <c r="L1442" i="14"/>
  <c r="M1442" i="14"/>
  <c r="N1442" i="14"/>
  <c r="J1443" i="14"/>
  <c r="L1443" i="14" s="1"/>
  <c r="K1443" i="14"/>
  <c r="M1443" i="14"/>
  <c r="N1443" i="14"/>
  <c r="J1444" i="14"/>
  <c r="K1444" i="14"/>
  <c r="L1444" i="14"/>
  <c r="M1444" i="14" s="1"/>
  <c r="J1445" i="14"/>
  <c r="K1445" i="14"/>
  <c r="L1445" i="14" s="1"/>
  <c r="M1445" i="14" s="1"/>
  <c r="N1445" i="14"/>
  <c r="J1446" i="14"/>
  <c r="K1446" i="14"/>
  <c r="L1446" i="14"/>
  <c r="M1446" i="14"/>
  <c r="N1446" i="14"/>
  <c r="J1447" i="14"/>
  <c r="L1447" i="14" s="1"/>
  <c r="K1447" i="14"/>
  <c r="J1448" i="14"/>
  <c r="K1448" i="14"/>
  <c r="L1448" i="14"/>
  <c r="M1448" i="14"/>
  <c r="N1448" i="14"/>
  <c r="J1449" i="14"/>
  <c r="K1449" i="14"/>
  <c r="L1449" i="14"/>
  <c r="N1449" i="14" s="1"/>
  <c r="M1449" i="14"/>
  <c r="J1450" i="14"/>
  <c r="K1450" i="14"/>
  <c r="J1451" i="14"/>
  <c r="K1451" i="14"/>
  <c r="L1451" i="14"/>
  <c r="M1451" i="14"/>
  <c r="N1451" i="14"/>
  <c r="J1452" i="14"/>
  <c r="K1452" i="14"/>
  <c r="L1452" i="14" s="1"/>
  <c r="J1453" i="14"/>
  <c r="K1453" i="14"/>
  <c r="L1453" i="14"/>
  <c r="M1453" i="14"/>
  <c r="N1453" i="14"/>
  <c r="J1454" i="14"/>
  <c r="K1454" i="14"/>
  <c r="L1454" i="14"/>
  <c r="M1454" i="14"/>
  <c r="N1454" i="14"/>
  <c r="J1455" i="14"/>
  <c r="K1455" i="14"/>
  <c r="J1456" i="14"/>
  <c r="K1456" i="14"/>
  <c r="L1456" i="14"/>
  <c r="M1456" i="14"/>
  <c r="N1456" i="14"/>
  <c r="J1457" i="14"/>
  <c r="K1457" i="14"/>
  <c r="L1457" i="14"/>
  <c r="J1458" i="14"/>
  <c r="K1458" i="14"/>
  <c r="L1458" i="14" s="1"/>
  <c r="J1459" i="14"/>
  <c r="K1459" i="14"/>
  <c r="L1459" i="14"/>
  <c r="M1459" i="14"/>
  <c r="N1459" i="14"/>
  <c r="J1460" i="14"/>
  <c r="K1460" i="14"/>
  <c r="L1460" i="14" s="1"/>
  <c r="M1460" i="14"/>
  <c r="N1460" i="14"/>
  <c r="J1461" i="14"/>
  <c r="K1461" i="14"/>
  <c r="L1461" i="14"/>
  <c r="M1461" i="14" s="1"/>
  <c r="J1462" i="14"/>
  <c r="K1462" i="14"/>
  <c r="L1462" i="14" s="1"/>
  <c r="M1462" i="14" s="1"/>
  <c r="N1462" i="14"/>
  <c r="J1463" i="14"/>
  <c r="K1463" i="14"/>
  <c r="L1463" i="14"/>
  <c r="M1463" i="14"/>
  <c r="N1463" i="14"/>
  <c r="J1464" i="14"/>
  <c r="K1464" i="14"/>
  <c r="L1464" i="14"/>
  <c r="M1464" i="14"/>
  <c r="N1464" i="14"/>
  <c r="J1465" i="14"/>
  <c r="K1465" i="14"/>
  <c r="L1465" i="14"/>
  <c r="M1465" i="14"/>
  <c r="N1465" i="14"/>
  <c r="J1466" i="14"/>
  <c r="K1466" i="14"/>
  <c r="L1466" i="14" s="1"/>
  <c r="M1466" i="14"/>
  <c r="N1466" i="14"/>
  <c r="J1467" i="14"/>
  <c r="L1467" i="14" s="1"/>
  <c r="K1467" i="14"/>
  <c r="M1467" i="14"/>
  <c r="N1467" i="14"/>
  <c r="J1468" i="14"/>
  <c r="K1468" i="14"/>
  <c r="L1468" i="14"/>
  <c r="M1468" i="14"/>
  <c r="N1468" i="14"/>
  <c r="J1469" i="14"/>
  <c r="K1469" i="14"/>
  <c r="L1469" i="14"/>
  <c r="M1469" i="14"/>
  <c r="N1469" i="14"/>
  <c r="J1470" i="14"/>
  <c r="K1470" i="14"/>
  <c r="L1470" i="14"/>
  <c r="M1470" i="14"/>
  <c r="N1470" i="14"/>
  <c r="J1471" i="14"/>
  <c r="K1471" i="14"/>
  <c r="L1471" i="14" s="1"/>
  <c r="M1471" i="14"/>
  <c r="N1471" i="14"/>
  <c r="J1472" i="14"/>
  <c r="K1472" i="14"/>
  <c r="L1472" i="14"/>
  <c r="M1472" i="14" s="1"/>
  <c r="N1472" i="14"/>
  <c r="J1473" i="14"/>
  <c r="K1473" i="14"/>
  <c r="L1473" i="14"/>
  <c r="N1473" i="14" s="1"/>
  <c r="M1473" i="14"/>
  <c r="J1474" i="14"/>
  <c r="K1474" i="14"/>
  <c r="L1474" i="14"/>
  <c r="N1474" i="14" s="1"/>
  <c r="M1474" i="14"/>
  <c r="J1475" i="14"/>
  <c r="K1475" i="14"/>
  <c r="L1475" i="14"/>
  <c r="M1475" i="14"/>
  <c r="N1475" i="14"/>
  <c r="J1476" i="14"/>
  <c r="K1476" i="14"/>
  <c r="L1476" i="14" s="1"/>
  <c r="N1476" i="14" s="1"/>
  <c r="M1476" i="14"/>
  <c r="J1477" i="14"/>
  <c r="K1477" i="14"/>
  <c r="L1477" i="14"/>
  <c r="N1477" i="14" s="1"/>
  <c r="M1477" i="14"/>
  <c r="J1478" i="14"/>
  <c r="L1478" i="14" s="1"/>
  <c r="K1478" i="14"/>
  <c r="J1479" i="14"/>
  <c r="K1479" i="14"/>
  <c r="L1479" i="14"/>
  <c r="M1479" i="14" s="1"/>
  <c r="N1479" i="14"/>
  <c r="J1480" i="14"/>
  <c r="L1480" i="14" s="1"/>
  <c r="K1480" i="14"/>
  <c r="J1481" i="14"/>
  <c r="K1481" i="14"/>
  <c r="L1481" i="14" s="1"/>
  <c r="J1482" i="14"/>
  <c r="K1482" i="14"/>
  <c r="L1482" i="14"/>
  <c r="M1482" i="14"/>
  <c r="N1482" i="14"/>
  <c r="J1483" i="14"/>
  <c r="K1483" i="14"/>
  <c r="L1483" i="14" s="1"/>
  <c r="J1484" i="14"/>
  <c r="K1484" i="14"/>
  <c r="L1484" i="14" s="1"/>
  <c r="J1485" i="14"/>
  <c r="K1485" i="14"/>
  <c r="L1485" i="14"/>
  <c r="M1485" i="14"/>
  <c r="N1485" i="14"/>
  <c r="J1486" i="14"/>
  <c r="K1486" i="14"/>
  <c r="J1487" i="14"/>
  <c r="K1487" i="14"/>
  <c r="L1487" i="14" s="1"/>
  <c r="M1487" i="14"/>
  <c r="N1487" i="14"/>
  <c r="J1488" i="14"/>
  <c r="K1488" i="14"/>
  <c r="L1488" i="14"/>
  <c r="M1488" i="14"/>
  <c r="N1488" i="14"/>
  <c r="J1489" i="14"/>
  <c r="L1489" i="14" s="1"/>
  <c r="K1489" i="14"/>
  <c r="J1490" i="14"/>
  <c r="K1490" i="14"/>
  <c r="L1490" i="14" s="1"/>
  <c r="M1490" i="14"/>
  <c r="N1490" i="14"/>
  <c r="J1491" i="14"/>
  <c r="L1491" i="14" s="1"/>
  <c r="K1491" i="14"/>
  <c r="M1491" i="14"/>
  <c r="N1491" i="14"/>
  <c r="J1492" i="14"/>
  <c r="K1492" i="14"/>
  <c r="J1493" i="14"/>
  <c r="K1493" i="14"/>
  <c r="L1493" i="14"/>
  <c r="M1493" i="14"/>
  <c r="N1493" i="14"/>
  <c r="J1494" i="14"/>
  <c r="K1494" i="14"/>
  <c r="L1494" i="14"/>
  <c r="N1494" i="14" s="1"/>
  <c r="M1494" i="14"/>
  <c r="J1495" i="14"/>
  <c r="K1495" i="14"/>
  <c r="L1495" i="14" s="1"/>
  <c r="M1495" i="14"/>
  <c r="N1495" i="14"/>
  <c r="J1496" i="14"/>
  <c r="K1496" i="14"/>
  <c r="L1496" i="14"/>
  <c r="M1496" i="14"/>
  <c r="N1496" i="14"/>
  <c r="J1497" i="14"/>
  <c r="K1497" i="14"/>
  <c r="L1497" i="14"/>
  <c r="M1497" i="14" s="1"/>
  <c r="J1498" i="14"/>
  <c r="K1498" i="14"/>
  <c r="L1498" i="14"/>
  <c r="N1498" i="14" s="1"/>
  <c r="M1498" i="14"/>
  <c r="J1499" i="14"/>
  <c r="K1499" i="14"/>
  <c r="L1499" i="14"/>
  <c r="N1499" i="14" s="1"/>
  <c r="M1499" i="14"/>
  <c r="J1500" i="14"/>
  <c r="K1500" i="14"/>
  <c r="L1500" i="14" s="1"/>
  <c r="N1500" i="14" s="1"/>
  <c r="M1500" i="14"/>
  <c r="J1501" i="14"/>
  <c r="K1501" i="14"/>
  <c r="L1501" i="14" s="1"/>
  <c r="N2" i="14"/>
  <c r="M2" i="14"/>
  <c r="L2" i="14"/>
  <c r="K2" i="14"/>
  <c r="J2" i="14"/>
  <c r="A1" i="14" a="1"/>
  <c r="A1" i="14" s="1"/>
  <c r="O3" i="12"/>
  <c r="Q3" i="12" s="1"/>
  <c r="P3" i="12"/>
  <c r="U3" i="12"/>
  <c r="V3" i="12"/>
  <c r="O4" i="12"/>
  <c r="P4" i="12"/>
  <c r="Q4" i="12"/>
  <c r="R4" i="12"/>
  <c r="S4" i="12"/>
  <c r="T4" i="12"/>
  <c r="U4" i="12"/>
  <c r="V4" i="12"/>
  <c r="O5" i="12"/>
  <c r="P5" i="12"/>
  <c r="Q5" i="12"/>
  <c r="R5" i="12"/>
  <c r="S5" i="12"/>
  <c r="T5" i="12" s="1"/>
  <c r="U5" i="12"/>
  <c r="V5" i="12"/>
  <c r="O6" i="12"/>
  <c r="Q6" i="12" s="1"/>
  <c r="R6" i="12" s="1"/>
  <c r="P6" i="12"/>
  <c r="U6" i="12"/>
  <c r="V6" i="12"/>
  <c r="O7" i="12"/>
  <c r="Q7" i="12" s="1"/>
  <c r="R7" i="12" s="1"/>
  <c r="P7" i="12"/>
  <c r="U7" i="12"/>
  <c r="V7" i="12"/>
  <c r="O8" i="12"/>
  <c r="P8" i="12"/>
  <c r="Q8" i="12"/>
  <c r="R8" i="12"/>
  <c r="S8" i="12"/>
  <c r="T8" i="12" s="1"/>
  <c r="U8" i="12"/>
  <c r="V8" i="12"/>
  <c r="O9" i="12"/>
  <c r="Q9" i="12" s="1"/>
  <c r="R9" i="12" s="1"/>
  <c r="P9" i="12"/>
  <c r="S9" i="12"/>
  <c r="T9" i="12" s="1"/>
  <c r="U9" i="12"/>
  <c r="V9" i="12"/>
  <c r="O10" i="12"/>
  <c r="P10" i="12"/>
  <c r="Q10" i="12"/>
  <c r="R10" i="12"/>
  <c r="S10" i="12"/>
  <c r="T10" i="12" s="1"/>
  <c r="U10" i="12"/>
  <c r="V10" i="12"/>
  <c r="O11" i="12"/>
  <c r="P11" i="12"/>
  <c r="Q11" i="12"/>
  <c r="R11" i="12"/>
  <c r="S11" i="12"/>
  <c r="T11" i="12"/>
  <c r="U11" i="12"/>
  <c r="V11" i="12"/>
  <c r="O12" i="12"/>
  <c r="Q12" i="12" s="1"/>
  <c r="R12" i="12" s="1"/>
  <c r="P12" i="12"/>
  <c r="S12" i="12"/>
  <c r="T12" i="12"/>
  <c r="U12" i="12"/>
  <c r="V12" i="12"/>
  <c r="O13" i="12"/>
  <c r="P13" i="12"/>
  <c r="Q13" i="12"/>
  <c r="R13" i="12"/>
  <c r="S13" i="12"/>
  <c r="T13" i="12"/>
  <c r="U13" i="12"/>
  <c r="V13" i="12"/>
  <c r="O14" i="12"/>
  <c r="P14" i="12"/>
  <c r="Q14" i="12"/>
  <c r="R14" i="12" s="1"/>
  <c r="S14" i="12"/>
  <c r="T14" i="12" s="1"/>
  <c r="U14" i="12"/>
  <c r="V14" i="12"/>
  <c r="O15" i="12"/>
  <c r="Q15" i="12" s="1"/>
  <c r="R15" i="12" s="1"/>
  <c r="P15" i="12"/>
  <c r="S15" i="12"/>
  <c r="T15" i="12"/>
  <c r="U15" i="12"/>
  <c r="V15" i="12"/>
  <c r="O16" i="12"/>
  <c r="Q16" i="12" s="1"/>
  <c r="P16" i="12"/>
  <c r="U16" i="12"/>
  <c r="V16" i="12"/>
  <c r="O17" i="12"/>
  <c r="P17" i="12"/>
  <c r="Q17" i="12"/>
  <c r="R17" i="12"/>
  <c r="S17" i="12"/>
  <c r="T17" i="12"/>
  <c r="U17" i="12"/>
  <c r="V17" i="12"/>
  <c r="O18" i="12"/>
  <c r="Q18" i="12" s="1"/>
  <c r="R18" i="12" s="1"/>
  <c r="P18" i="12"/>
  <c r="S18" i="12"/>
  <c r="T18" i="12"/>
  <c r="U18" i="12"/>
  <c r="V18" i="12"/>
  <c r="O19" i="12"/>
  <c r="P19" i="12"/>
  <c r="S19" i="12" s="1"/>
  <c r="T19" i="12" s="1"/>
  <c r="Q19" i="12"/>
  <c r="R19" i="12"/>
  <c r="U19" i="12"/>
  <c r="V19" i="12"/>
  <c r="O20" i="12"/>
  <c r="P20" i="12"/>
  <c r="Q20" i="12"/>
  <c r="R20" i="12"/>
  <c r="S20" i="12"/>
  <c r="T20" i="12"/>
  <c r="U20" i="12"/>
  <c r="V20" i="12"/>
  <c r="O21" i="12"/>
  <c r="Q21" i="12" s="1"/>
  <c r="R21" i="12" s="1"/>
  <c r="P21" i="12"/>
  <c r="S21" i="12"/>
  <c r="T21" i="12"/>
  <c r="U21" i="12"/>
  <c r="V21" i="12"/>
  <c r="O22" i="12"/>
  <c r="P22" i="12"/>
  <c r="Q22" i="12"/>
  <c r="R22" i="12"/>
  <c r="S22" i="12"/>
  <c r="T22" i="12"/>
  <c r="U22" i="12"/>
  <c r="V22" i="12"/>
  <c r="O23" i="12"/>
  <c r="P23" i="12"/>
  <c r="Q23" i="12"/>
  <c r="R23" i="12"/>
  <c r="S23" i="12"/>
  <c r="T23" i="12"/>
  <c r="U23" i="12"/>
  <c r="V23" i="12"/>
  <c r="O24" i="12"/>
  <c r="Q24" i="12" s="1"/>
  <c r="R24" i="12" s="1"/>
  <c r="P24" i="12"/>
  <c r="S24" i="12"/>
  <c r="T24" i="12"/>
  <c r="U24" i="12"/>
  <c r="V24" i="12"/>
  <c r="O25" i="12"/>
  <c r="P25" i="12"/>
  <c r="Q25" i="12"/>
  <c r="R25" i="12"/>
  <c r="S25" i="12"/>
  <c r="T25" i="12"/>
  <c r="U25" i="12"/>
  <c r="V25" i="12"/>
  <c r="O26" i="12"/>
  <c r="P26" i="12"/>
  <c r="Q26" i="12"/>
  <c r="R26" i="12"/>
  <c r="S26" i="12"/>
  <c r="T26" i="12"/>
  <c r="U26" i="12"/>
  <c r="V26" i="12"/>
  <c r="O27" i="12"/>
  <c r="Q27" i="12" s="1"/>
  <c r="R27" i="12" s="1"/>
  <c r="P27" i="12"/>
  <c r="S27" i="12"/>
  <c r="T27" i="12"/>
  <c r="U27" i="12"/>
  <c r="V27" i="12"/>
  <c r="O28" i="12"/>
  <c r="P28" i="12"/>
  <c r="Q28" i="12"/>
  <c r="R28" i="12"/>
  <c r="S28" i="12"/>
  <c r="T28" i="12"/>
  <c r="U28" i="12"/>
  <c r="V28" i="12"/>
  <c r="O29" i="12"/>
  <c r="Q29" i="12" s="1"/>
  <c r="P29" i="12"/>
  <c r="R29" i="12" s="1"/>
  <c r="U29" i="12"/>
  <c r="V29" i="12"/>
  <c r="O30" i="12"/>
  <c r="Q30" i="12" s="1"/>
  <c r="R30" i="12" s="1"/>
  <c r="P30" i="12"/>
  <c r="S30" i="12"/>
  <c r="T30" i="12"/>
  <c r="U30" i="12"/>
  <c r="V30" i="12"/>
  <c r="O31" i="12"/>
  <c r="P31" i="12"/>
  <c r="Q31" i="12"/>
  <c r="R31" i="12"/>
  <c r="S31" i="12"/>
  <c r="T31" i="12"/>
  <c r="U31" i="12"/>
  <c r="V31" i="12"/>
  <c r="O32" i="12"/>
  <c r="P32" i="12"/>
  <c r="S32" i="12" s="1"/>
  <c r="T32" i="12" s="1"/>
  <c r="Q32" i="12"/>
  <c r="R32" i="12"/>
  <c r="U32" i="12"/>
  <c r="V32" i="12"/>
  <c r="O33" i="12"/>
  <c r="Q33" i="12" s="1"/>
  <c r="R33" i="12" s="1"/>
  <c r="P33" i="12"/>
  <c r="S33" i="12"/>
  <c r="T33" i="12"/>
  <c r="U33" i="12"/>
  <c r="V33" i="12"/>
  <c r="O34" i="12"/>
  <c r="P34" i="12"/>
  <c r="Q34" i="12"/>
  <c r="R34" i="12"/>
  <c r="S34" i="12"/>
  <c r="T34" i="12"/>
  <c r="U34" i="12"/>
  <c r="V34" i="12"/>
  <c r="O35" i="12"/>
  <c r="P35" i="12"/>
  <c r="Q35" i="12"/>
  <c r="R35" i="12"/>
  <c r="S35" i="12"/>
  <c r="T35" i="12"/>
  <c r="U35" i="12"/>
  <c r="V35" i="12"/>
  <c r="O36" i="12"/>
  <c r="Q36" i="12" s="1"/>
  <c r="R36" i="12" s="1"/>
  <c r="P36" i="12"/>
  <c r="S36" i="12"/>
  <c r="T36" i="12"/>
  <c r="U36" i="12"/>
  <c r="V36" i="12"/>
  <c r="O37" i="12"/>
  <c r="P37" i="12"/>
  <c r="Q37" i="12"/>
  <c r="R37" i="12"/>
  <c r="S37" i="12"/>
  <c r="T37" i="12"/>
  <c r="U37" i="12"/>
  <c r="V37" i="12"/>
  <c r="O38" i="12"/>
  <c r="P38" i="12"/>
  <c r="Q38" i="12"/>
  <c r="R38" i="12"/>
  <c r="S38" i="12"/>
  <c r="T38" i="12"/>
  <c r="U38" i="12"/>
  <c r="V38" i="12"/>
  <c r="O39" i="12"/>
  <c r="Q39" i="12" s="1"/>
  <c r="R39" i="12" s="1"/>
  <c r="P39" i="12"/>
  <c r="S39" i="12"/>
  <c r="T39" i="12"/>
  <c r="U39" i="12"/>
  <c r="V39" i="12"/>
  <c r="O40" i="12"/>
  <c r="P40" i="12"/>
  <c r="Q40" i="12"/>
  <c r="R40" i="12"/>
  <c r="S40" i="12"/>
  <c r="T40" i="12"/>
  <c r="U40" i="12"/>
  <c r="V40" i="12"/>
  <c r="O41" i="12"/>
  <c r="P41" i="12"/>
  <c r="Q41" i="12"/>
  <c r="R41" i="12"/>
  <c r="S41" i="12"/>
  <c r="T41" i="12"/>
  <c r="U41" i="12"/>
  <c r="V41" i="12"/>
  <c r="O42" i="12"/>
  <c r="Q42" i="12" s="1"/>
  <c r="R42" i="12" s="1"/>
  <c r="P42" i="12"/>
  <c r="U42" i="12"/>
  <c r="V42" i="12"/>
  <c r="O43" i="12"/>
  <c r="P43" i="12"/>
  <c r="Q43" i="12"/>
  <c r="R43" i="12"/>
  <c r="S43" i="12"/>
  <c r="T43" i="12"/>
  <c r="U43" i="12"/>
  <c r="V43" i="12"/>
  <c r="O44" i="12"/>
  <c r="P44" i="12"/>
  <c r="Q44" i="12"/>
  <c r="R44" i="12"/>
  <c r="S44" i="12"/>
  <c r="T44" i="12" s="1"/>
  <c r="U44" i="12"/>
  <c r="V44" i="12"/>
  <c r="O45" i="12"/>
  <c r="Q45" i="12" s="1"/>
  <c r="R45" i="12" s="1"/>
  <c r="P45" i="12"/>
  <c r="S45" i="12"/>
  <c r="T45" i="12"/>
  <c r="U45" i="12"/>
  <c r="V45" i="12"/>
  <c r="O46" i="12"/>
  <c r="P46" i="12"/>
  <c r="Q46" i="12"/>
  <c r="R46" i="12"/>
  <c r="S46" i="12"/>
  <c r="T46" i="12"/>
  <c r="U46" i="12"/>
  <c r="V46" i="12"/>
  <c r="O47" i="12"/>
  <c r="P47" i="12"/>
  <c r="Q47" i="12"/>
  <c r="R47" i="12"/>
  <c r="S47" i="12"/>
  <c r="T47" i="12"/>
  <c r="U47" i="12"/>
  <c r="V47" i="12"/>
  <c r="O48" i="12"/>
  <c r="Q48" i="12" s="1"/>
  <c r="R48" i="12" s="1"/>
  <c r="P48" i="12"/>
  <c r="S48" i="12"/>
  <c r="T48" i="12"/>
  <c r="U48" i="12"/>
  <c r="V48" i="12"/>
  <c r="O49" i="12"/>
  <c r="P49" i="12"/>
  <c r="Q49" i="12"/>
  <c r="R49" i="12"/>
  <c r="S49" i="12"/>
  <c r="T49" i="12"/>
  <c r="U49" i="12"/>
  <c r="V49" i="12"/>
  <c r="O50" i="12"/>
  <c r="P50" i="12"/>
  <c r="Q50" i="12"/>
  <c r="R50" i="12"/>
  <c r="S50" i="12"/>
  <c r="T50" i="12"/>
  <c r="U50" i="12"/>
  <c r="V50" i="12"/>
  <c r="O51" i="12"/>
  <c r="Q51" i="12" s="1"/>
  <c r="R51" i="12" s="1"/>
  <c r="P51" i="12"/>
  <c r="S51" i="12"/>
  <c r="T51" i="12"/>
  <c r="U51" i="12"/>
  <c r="V51" i="12"/>
  <c r="O52" i="12"/>
  <c r="Q52" i="12" s="1"/>
  <c r="P52" i="12"/>
  <c r="R52" i="12" s="1"/>
  <c r="U52" i="12"/>
  <c r="V52" i="12"/>
  <c r="O53" i="12"/>
  <c r="P53" i="12"/>
  <c r="Q53" i="12"/>
  <c r="R53" i="12"/>
  <c r="S53" i="12"/>
  <c r="T53" i="12"/>
  <c r="U53" i="12"/>
  <c r="V53" i="12"/>
  <c r="O54" i="12"/>
  <c r="Q54" i="12" s="1"/>
  <c r="R54" i="12" s="1"/>
  <c r="P54" i="12"/>
  <c r="S54" i="12"/>
  <c r="T54" i="12"/>
  <c r="U54" i="12"/>
  <c r="V54" i="12"/>
  <c r="O55" i="12"/>
  <c r="P55" i="12"/>
  <c r="S55" i="12" s="1"/>
  <c r="T55" i="12" s="1"/>
  <c r="Q55" i="12"/>
  <c r="R55" i="12"/>
  <c r="U55" i="12"/>
  <c r="V55" i="12"/>
  <c r="O56" i="12"/>
  <c r="P56" i="12"/>
  <c r="Q56" i="12"/>
  <c r="R56" i="12"/>
  <c r="S56" i="12"/>
  <c r="T56" i="12"/>
  <c r="U56" i="12"/>
  <c r="V56" i="12"/>
  <c r="O57" i="12"/>
  <c r="Q57" i="12" s="1"/>
  <c r="R57" i="12" s="1"/>
  <c r="P57" i="12"/>
  <c r="S57" i="12"/>
  <c r="T57" i="12"/>
  <c r="U57" i="12"/>
  <c r="V57" i="12"/>
  <c r="O58" i="12"/>
  <c r="P58" i="12"/>
  <c r="Q58" i="12"/>
  <c r="R58" i="12"/>
  <c r="S58" i="12"/>
  <c r="T58" i="12"/>
  <c r="U58" i="12"/>
  <c r="V58" i="12"/>
  <c r="O59" i="12"/>
  <c r="P59" i="12"/>
  <c r="Q59" i="12"/>
  <c r="R59" i="12"/>
  <c r="S59" i="12"/>
  <c r="T59" i="12" s="1"/>
  <c r="U59" i="12"/>
  <c r="V59" i="12"/>
  <c r="O60" i="12"/>
  <c r="Q60" i="12" s="1"/>
  <c r="R60" i="12" s="1"/>
  <c r="P60" i="12"/>
  <c r="S60" i="12"/>
  <c r="T60" i="12"/>
  <c r="U60" i="12"/>
  <c r="V60" i="12"/>
  <c r="O61" i="12"/>
  <c r="P61" i="12"/>
  <c r="Q61" i="12"/>
  <c r="R61" i="12"/>
  <c r="S61" i="12"/>
  <c r="T61" i="12"/>
  <c r="U61" i="12"/>
  <c r="V61" i="12"/>
  <c r="O62" i="12"/>
  <c r="P62" i="12"/>
  <c r="Q62" i="12"/>
  <c r="R62" i="12"/>
  <c r="S62" i="12"/>
  <c r="T62" i="12"/>
  <c r="U62" i="12"/>
  <c r="V62" i="12"/>
  <c r="O63" i="12"/>
  <c r="Q63" i="12" s="1"/>
  <c r="R63" i="12" s="1"/>
  <c r="P63" i="12"/>
  <c r="S63" i="12"/>
  <c r="T63" i="12"/>
  <c r="U63" i="12"/>
  <c r="V63" i="12"/>
  <c r="O64" i="12"/>
  <c r="P64" i="12"/>
  <c r="Q64" i="12"/>
  <c r="R64" i="12"/>
  <c r="S64" i="12"/>
  <c r="T64" i="12"/>
  <c r="U64" i="12"/>
  <c r="V64" i="12"/>
  <c r="O65" i="12"/>
  <c r="Q65" i="12" s="1"/>
  <c r="P65" i="12"/>
  <c r="U65" i="12"/>
  <c r="V65" i="12"/>
  <c r="O66" i="12"/>
  <c r="Q66" i="12" s="1"/>
  <c r="R66" i="12" s="1"/>
  <c r="P66" i="12"/>
  <c r="S66" i="12"/>
  <c r="T66" i="12"/>
  <c r="U66" i="12"/>
  <c r="V66" i="12"/>
  <c r="O67" i="12"/>
  <c r="P67" i="12"/>
  <c r="Q67" i="12"/>
  <c r="R67" i="12"/>
  <c r="S67" i="12"/>
  <c r="T67" i="12" s="1"/>
  <c r="U67" i="12"/>
  <c r="V67" i="12"/>
  <c r="O68" i="12"/>
  <c r="P68" i="12"/>
  <c r="S68" i="12" s="1"/>
  <c r="T68" i="12" s="1"/>
  <c r="Q68" i="12"/>
  <c r="R68" i="12"/>
  <c r="U68" i="12"/>
  <c r="V68" i="12"/>
  <c r="O69" i="12"/>
  <c r="Q69" i="12" s="1"/>
  <c r="R69" i="12" s="1"/>
  <c r="P69" i="12"/>
  <c r="S69" i="12"/>
  <c r="T69" i="12"/>
  <c r="U69" i="12"/>
  <c r="V69" i="12"/>
  <c r="O70" i="12"/>
  <c r="P70" i="12"/>
  <c r="Q70" i="12"/>
  <c r="R70" i="12"/>
  <c r="S70" i="12"/>
  <c r="T70" i="12"/>
  <c r="U70" i="12"/>
  <c r="V70" i="12"/>
  <c r="O71" i="12"/>
  <c r="P71" i="12"/>
  <c r="Q71" i="12"/>
  <c r="R71" i="12"/>
  <c r="S71" i="12"/>
  <c r="T71" i="12"/>
  <c r="U71" i="12"/>
  <c r="V71" i="12"/>
  <c r="O72" i="12"/>
  <c r="Q72" i="12" s="1"/>
  <c r="R72" i="12" s="1"/>
  <c r="P72" i="12"/>
  <c r="S72" i="12"/>
  <c r="T72" i="12"/>
  <c r="U72" i="12"/>
  <c r="V72" i="12"/>
  <c r="O73" i="12"/>
  <c r="P73" i="12"/>
  <c r="Q73" i="12"/>
  <c r="R73" i="12"/>
  <c r="S73" i="12"/>
  <c r="T73" i="12" s="1"/>
  <c r="U73" i="12"/>
  <c r="V73" i="12"/>
  <c r="O74" i="12"/>
  <c r="P74" i="12"/>
  <c r="Q74" i="12"/>
  <c r="R74" i="12"/>
  <c r="S74" i="12"/>
  <c r="T74" i="12"/>
  <c r="U74" i="12"/>
  <c r="V74" i="12"/>
  <c r="O75" i="12"/>
  <c r="Q75" i="12" s="1"/>
  <c r="R75" i="12" s="1"/>
  <c r="P75" i="12"/>
  <c r="S75" i="12"/>
  <c r="T75" i="12"/>
  <c r="U75" i="12"/>
  <c r="V75" i="12"/>
  <c r="O76" i="12"/>
  <c r="P76" i="12"/>
  <c r="Q76" i="12"/>
  <c r="R76" i="12"/>
  <c r="S76" i="12"/>
  <c r="T76" i="12"/>
  <c r="U76" i="12"/>
  <c r="V76" i="12"/>
  <c r="O77" i="12"/>
  <c r="P77" i="12"/>
  <c r="Q77" i="12"/>
  <c r="R77" i="12"/>
  <c r="S77" i="12"/>
  <c r="T77" i="12"/>
  <c r="U77" i="12"/>
  <c r="V77" i="12"/>
  <c r="O78" i="12"/>
  <c r="Q78" i="12" s="1"/>
  <c r="R78" i="12" s="1"/>
  <c r="P78" i="12"/>
  <c r="U78" i="12"/>
  <c r="V78" i="12"/>
  <c r="O79" i="12"/>
  <c r="P79" i="12"/>
  <c r="Q79" i="12"/>
  <c r="R79" i="12"/>
  <c r="S79" i="12"/>
  <c r="T79" i="12"/>
  <c r="U79" i="12"/>
  <c r="V79" i="12"/>
  <c r="O80" i="12"/>
  <c r="P80" i="12"/>
  <c r="Q80" i="12"/>
  <c r="R80" i="12"/>
  <c r="S80" i="12"/>
  <c r="T80" i="12"/>
  <c r="U80" i="12"/>
  <c r="V80" i="12"/>
  <c r="O81" i="12"/>
  <c r="Q81" i="12" s="1"/>
  <c r="R81" i="12" s="1"/>
  <c r="P81" i="12"/>
  <c r="S81" i="12"/>
  <c r="T81" i="12"/>
  <c r="U81" i="12"/>
  <c r="V81" i="12"/>
  <c r="O82" i="12"/>
  <c r="P82" i="12"/>
  <c r="Q82" i="12"/>
  <c r="R82" i="12"/>
  <c r="S82" i="12"/>
  <c r="T82" i="12"/>
  <c r="U82" i="12"/>
  <c r="V82" i="12"/>
  <c r="O83" i="12"/>
  <c r="P83" i="12"/>
  <c r="Q83" i="12"/>
  <c r="R83" i="12"/>
  <c r="S83" i="12"/>
  <c r="T83" i="12" s="1"/>
  <c r="U83" i="12"/>
  <c r="V83" i="12"/>
  <c r="O84" i="12"/>
  <c r="Q84" i="12" s="1"/>
  <c r="R84" i="12" s="1"/>
  <c r="P84" i="12"/>
  <c r="S84" i="12"/>
  <c r="T84" i="12" s="1"/>
  <c r="U84" i="12"/>
  <c r="V84" i="12"/>
  <c r="O85" i="12"/>
  <c r="P85" i="12"/>
  <c r="Q85" i="12"/>
  <c r="R85" i="12"/>
  <c r="S85" i="12"/>
  <c r="T85" i="12"/>
  <c r="U85" i="12"/>
  <c r="V85" i="12"/>
  <c r="O86" i="12"/>
  <c r="P86" i="12"/>
  <c r="Q86" i="12"/>
  <c r="R86" i="12"/>
  <c r="S86" i="12"/>
  <c r="T86" i="12"/>
  <c r="U86" i="12"/>
  <c r="V86" i="12"/>
  <c r="O87" i="12"/>
  <c r="Q87" i="12" s="1"/>
  <c r="R87" i="12" s="1"/>
  <c r="P87" i="12"/>
  <c r="S87" i="12"/>
  <c r="T87" i="12"/>
  <c r="U87" i="12"/>
  <c r="V87" i="12"/>
  <c r="O88" i="12"/>
  <c r="Q88" i="12" s="1"/>
  <c r="P88" i="12"/>
  <c r="R88" i="12" s="1"/>
  <c r="U88" i="12"/>
  <c r="V88" i="12"/>
  <c r="O89" i="12"/>
  <c r="P89" i="12"/>
  <c r="Q89" i="12"/>
  <c r="R89" i="12"/>
  <c r="S89" i="12"/>
  <c r="T89" i="12"/>
  <c r="U89" i="12"/>
  <c r="V89" i="12"/>
  <c r="O90" i="12"/>
  <c r="Q90" i="12" s="1"/>
  <c r="R90" i="12" s="1"/>
  <c r="P90" i="12"/>
  <c r="S90" i="12"/>
  <c r="T90" i="12"/>
  <c r="U90" i="12"/>
  <c r="V90" i="12"/>
  <c r="O91" i="12"/>
  <c r="P91" i="12"/>
  <c r="S91" i="12" s="1"/>
  <c r="T91" i="12" s="1"/>
  <c r="Q91" i="12"/>
  <c r="R91" i="12"/>
  <c r="U91" i="12"/>
  <c r="V91" i="12"/>
  <c r="O92" i="12"/>
  <c r="P92" i="12"/>
  <c r="Q92" i="12"/>
  <c r="R92" i="12"/>
  <c r="S92" i="12" s="1"/>
  <c r="T92" i="12" s="1"/>
  <c r="U92" i="12"/>
  <c r="V92" i="12"/>
  <c r="O93" i="12"/>
  <c r="Q93" i="12" s="1"/>
  <c r="R93" i="12" s="1"/>
  <c r="P93" i="12"/>
  <c r="S93" i="12"/>
  <c r="T93" i="12"/>
  <c r="U93" i="12"/>
  <c r="V93" i="12"/>
  <c r="O94" i="12"/>
  <c r="P94" i="12"/>
  <c r="Q94" i="12"/>
  <c r="R94" i="12"/>
  <c r="S94" i="12"/>
  <c r="T94" i="12"/>
  <c r="U94" i="12"/>
  <c r="V94" i="12"/>
  <c r="O95" i="12"/>
  <c r="P95" i="12"/>
  <c r="Q95" i="12"/>
  <c r="R95" i="12"/>
  <c r="S95" i="12"/>
  <c r="T95" i="12"/>
  <c r="U95" i="12"/>
  <c r="V95" i="12"/>
  <c r="O96" i="12"/>
  <c r="Q96" i="12" s="1"/>
  <c r="R96" i="12" s="1"/>
  <c r="P96" i="12"/>
  <c r="S96" i="12"/>
  <c r="T96" i="12"/>
  <c r="U96" i="12"/>
  <c r="V96" i="12"/>
  <c r="O97" i="12"/>
  <c r="P97" i="12"/>
  <c r="Q97" i="12"/>
  <c r="R97" i="12"/>
  <c r="S97" i="12"/>
  <c r="T97" i="12"/>
  <c r="U97" i="12"/>
  <c r="V97" i="12"/>
  <c r="O98" i="12"/>
  <c r="P98" i="12"/>
  <c r="Q98" i="12"/>
  <c r="R98" i="12"/>
  <c r="S98" i="12"/>
  <c r="T98" i="12"/>
  <c r="U98" i="12"/>
  <c r="V98" i="12"/>
  <c r="O99" i="12"/>
  <c r="Q99" i="12" s="1"/>
  <c r="R99" i="12" s="1"/>
  <c r="P99" i="12"/>
  <c r="S99" i="12"/>
  <c r="T99" i="12"/>
  <c r="U99" i="12"/>
  <c r="V99" i="12"/>
  <c r="O100" i="12"/>
  <c r="P100" i="12"/>
  <c r="Q100" i="12"/>
  <c r="R100" i="12"/>
  <c r="S100" i="12"/>
  <c r="T100" i="12"/>
  <c r="U100" i="12"/>
  <c r="V100" i="12"/>
  <c r="O101" i="12"/>
  <c r="Q101" i="12" s="1"/>
  <c r="P101" i="12"/>
  <c r="R101" i="12" s="1"/>
  <c r="U101" i="12"/>
  <c r="V101" i="12"/>
  <c r="O102" i="12"/>
  <c r="Q102" i="12" s="1"/>
  <c r="R102" i="12" s="1"/>
  <c r="P102" i="12"/>
  <c r="S102" i="12"/>
  <c r="T102" i="12"/>
  <c r="U102" i="12"/>
  <c r="V102" i="12"/>
  <c r="O103" i="12"/>
  <c r="P103" i="12"/>
  <c r="Q103" i="12"/>
  <c r="R103" i="12"/>
  <c r="S103" i="12"/>
  <c r="T103" i="12"/>
  <c r="U103" i="12"/>
  <c r="V103" i="12"/>
  <c r="O104" i="12"/>
  <c r="P104" i="12"/>
  <c r="S104" i="12" s="1"/>
  <c r="T104" i="12" s="1"/>
  <c r="Q104" i="12"/>
  <c r="R104" i="12"/>
  <c r="U104" i="12"/>
  <c r="V104" i="12"/>
  <c r="O105" i="12"/>
  <c r="Q105" i="12" s="1"/>
  <c r="R105" i="12" s="1"/>
  <c r="P105" i="12"/>
  <c r="S105" i="12"/>
  <c r="T105" i="12"/>
  <c r="U105" i="12"/>
  <c r="V105" i="12"/>
  <c r="O106" i="12"/>
  <c r="P106" i="12"/>
  <c r="Q106" i="12"/>
  <c r="R106" i="12"/>
  <c r="S106" i="12"/>
  <c r="T106" i="12"/>
  <c r="U106" i="12"/>
  <c r="V106" i="12"/>
  <c r="O107" i="12"/>
  <c r="P107" i="12"/>
  <c r="Q107" i="12"/>
  <c r="R107" i="12"/>
  <c r="S107" i="12"/>
  <c r="T107" i="12"/>
  <c r="U107" i="12"/>
  <c r="V107" i="12"/>
  <c r="O108" i="12"/>
  <c r="Q108" i="12" s="1"/>
  <c r="R108" i="12" s="1"/>
  <c r="P108" i="12"/>
  <c r="S108" i="12"/>
  <c r="T108" i="12"/>
  <c r="U108" i="12"/>
  <c r="V108" i="12"/>
  <c r="O109" i="12"/>
  <c r="P109" i="12"/>
  <c r="Q109" i="12"/>
  <c r="R109" i="12"/>
  <c r="S109" i="12"/>
  <c r="T109" i="12"/>
  <c r="U109" i="12"/>
  <c r="V109" i="12"/>
  <c r="O110" i="12"/>
  <c r="P110" i="12"/>
  <c r="Q110" i="12"/>
  <c r="R110" i="12"/>
  <c r="S110" i="12" s="1"/>
  <c r="T110" i="12" s="1"/>
  <c r="U110" i="12"/>
  <c r="V110" i="12"/>
  <c r="O111" i="12"/>
  <c r="Q111" i="12" s="1"/>
  <c r="R111" i="12" s="1"/>
  <c r="P111" i="12"/>
  <c r="S111" i="12"/>
  <c r="T111" i="12"/>
  <c r="U111" i="12"/>
  <c r="V111" i="12"/>
  <c r="O112" i="12"/>
  <c r="P112" i="12"/>
  <c r="Q112" i="12"/>
  <c r="R112" i="12"/>
  <c r="S112" i="12"/>
  <c r="T112" i="12"/>
  <c r="U112" i="12"/>
  <c r="V112" i="12"/>
  <c r="O113" i="12"/>
  <c r="P113" i="12"/>
  <c r="Q113" i="12"/>
  <c r="R113" i="12"/>
  <c r="S113" i="12"/>
  <c r="T113" i="12"/>
  <c r="U113" i="12"/>
  <c r="V113" i="12"/>
  <c r="O114" i="12"/>
  <c r="Q114" i="12" s="1"/>
  <c r="R114" i="12" s="1"/>
  <c r="P114" i="12"/>
  <c r="U114" i="12"/>
  <c r="V114" i="12"/>
  <c r="O115" i="12"/>
  <c r="P115" i="12"/>
  <c r="Q115" i="12"/>
  <c r="R115" i="12"/>
  <c r="S115" i="12"/>
  <c r="T115" i="12"/>
  <c r="U115" i="12"/>
  <c r="V115" i="12"/>
  <c r="O116" i="12"/>
  <c r="P116" i="12"/>
  <c r="Q116" i="12"/>
  <c r="R116" i="12"/>
  <c r="S116" i="12"/>
  <c r="T116" i="12"/>
  <c r="U116" i="12"/>
  <c r="V116" i="12"/>
  <c r="O117" i="12"/>
  <c r="Q117" i="12" s="1"/>
  <c r="R117" i="12" s="1"/>
  <c r="P117" i="12"/>
  <c r="S117" i="12"/>
  <c r="T117" i="12"/>
  <c r="U117" i="12"/>
  <c r="V117" i="12"/>
  <c r="O118" i="12"/>
  <c r="P118" i="12"/>
  <c r="Q118" i="12"/>
  <c r="R118" i="12"/>
  <c r="S118" i="12"/>
  <c r="T118" i="12"/>
  <c r="U118" i="12"/>
  <c r="V118" i="12"/>
  <c r="O119" i="12"/>
  <c r="P119" i="12"/>
  <c r="Q119" i="12"/>
  <c r="R119" i="12"/>
  <c r="S119" i="12"/>
  <c r="T119" i="12"/>
  <c r="U119" i="12"/>
  <c r="V119" i="12"/>
  <c r="O120" i="12"/>
  <c r="Q120" i="12" s="1"/>
  <c r="R120" i="12" s="1"/>
  <c r="P120" i="12"/>
  <c r="S120" i="12"/>
  <c r="T120" i="12"/>
  <c r="U120" i="12"/>
  <c r="V120" i="12"/>
  <c r="O121" i="12"/>
  <c r="P121" i="12"/>
  <c r="Q121" i="12"/>
  <c r="R121" i="12"/>
  <c r="S121" i="12"/>
  <c r="T121" i="12"/>
  <c r="U121" i="12"/>
  <c r="V121" i="12"/>
  <c r="O122" i="12"/>
  <c r="P122" i="12"/>
  <c r="Q122" i="12"/>
  <c r="R122" i="12"/>
  <c r="S122" i="12"/>
  <c r="T122" i="12"/>
  <c r="U122" i="12"/>
  <c r="V122" i="12"/>
  <c r="O123" i="12"/>
  <c r="Q123" i="12" s="1"/>
  <c r="R123" i="12" s="1"/>
  <c r="P123" i="12"/>
  <c r="S123" i="12"/>
  <c r="T123" i="12"/>
  <c r="U123" i="12"/>
  <c r="V123" i="12"/>
  <c r="O124" i="12"/>
  <c r="Q124" i="12" s="1"/>
  <c r="P124" i="12"/>
  <c r="R124" i="12" s="1"/>
  <c r="U124" i="12"/>
  <c r="V124" i="12"/>
  <c r="O125" i="12"/>
  <c r="P125" i="12"/>
  <c r="Q125" i="12"/>
  <c r="R125" i="12"/>
  <c r="S125" i="12"/>
  <c r="T125" i="12"/>
  <c r="U125" i="12"/>
  <c r="V125" i="12"/>
  <c r="O126" i="12"/>
  <c r="Q126" i="12" s="1"/>
  <c r="R126" i="12" s="1"/>
  <c r="P126" i="12"/>
  <c r="S126" i="12"/>
  <c r="T126" i="12"/>
  <c r="U126" i="12"/>
  <c r="V126" i="12"/>
  <c r="O127" i="12"/>
  <c r="P127" i="12"/>
  <c r="S127" i="12" s="1"/>
  <c r="T127" i="12" s="1"/>
  <c r="Q127" i="12"/>
  <c r="R127" i="12"/>
  <c r="U127" i="12"/>
  <c r="V127" i="12"/>
  <c r="O128" i="12"/>
  <c r="P128" i="12"/>
  <c r="Q128" i="12"/>
  <c r="R128" i="12"/>
  <c r="S128" i="12"/>
  <c r="T128" i="12"/>
  <c r="U128" i="12"/>
  <c r="V128" i="12"/>
  <c r="O129" i="12"/>
  <c r="Q129" i="12" s="1"/>
  <c r="P129" i="12"/>
  <c r="R129" i="12"/>
  <c r="S129" i="12"/>
  <c r="T129" i="12"/>
  <c r="U129" i="12"/>
  <c r="V129" i="12"/>
  <c r="O130" i="12"/>
  <c r="P130" i="12"/>
  <c r="Q130" i="12"/>
  <c r="R130" i="12"/>
  <c r="S130" i="12"/>
  <c r="T130" i="12" s="1"/>
  <c r="U130" i="12"/>
  <c r="V130" i="12"/>
  <c r="O131" i="12"/>
  <c r="P131" i="12"/>
  <c r="Q131" i="12"/>
  <c r="R131" i="12"/>
  <c r="S131" i="12"/>
  <c r="T131" i="12"/>
  <c r="U131" i="12"/>
  <c r="V131" i="12"/>
  <c r="O132" i="12"/>
  <c r="Q132" i="12" s="1"/>
  <c r="P132" i="12"/>
  <c r="R132" i="12"/>
  <c r="S132" i="12"/>
  <c r="T132" i="12"/>
  <c r="U132" i="12"/>
  <c r="V132" i="12"/>
  <c r="O133" i="12"/>
  <c r="P133" i="12"/>
  <c r="Q133" i="12"/>
  <c r="R133" i="12"/>
  <c r="S133" i="12"/>
  <c r="T133" i="12"/>
  <c r="U133" i="12"/>
  <c r="V133" i="12"/>
  <c r="O134" i="12"/>
  <c r="P134" i="12"/>
  <c r="Q134" i="12"/>
  <c r="R134" i="12"/>
  <c r="S134" i="12"/>
  <c r="T134" i="12"/>
  <c r="U134" i="12"/>
  <c r="V134" i="12"/>
  <c r="O135" i="12"/>
  <c r="Q135" i="12" s="1"/>
  <c r="P135" i="12"/>
  <c r="R135" i="12"/>
  <c r="S135" i="12"/>
  <c r="T135" i="12"/>
  <c r="U135" i="12"/>
  <c r="V135" i="12"/>
  <c r="O136" i="12"/>
  <c r="P136" i="12"/>
  <c r="Q136" i="12"/>
  <c r="R136" i="12"/>
  <c r="S136" i="12"/>
  <c r="T136" i="12"/>
  <c r="U136" i="12"/>
  <c r="V136" i="12"/>
  <c r="O137" i="12"/>
  <c r="P137" i="12"/>
  <c r="Q137" i="12"/>
  <c r="R137" i="12"/>
  <c r="S137" i="12"/>
  <c r="T137" i="12"/>
  <c r="U137" i="12"/>
  <c r="V137" i="12"/>
  <c r="O138" i="12"/>
  <c r="Q138" i="12" s="1"/>
  <c r="P138" i="12"/>
  <c r="R138" i="12"/>
  <c r="S138" i="12"/>
  <c r="T138" i="12"/>
  <c r="U138" i="12"/>
  <c r="V138" i="12"/>
  <c r="O139" i="12"/>
  <c r="P139" i="12"/>
  <c r="Q139" i="12"/>
  <c r="R139" i="12"/>
  <c r="S139" i="12"/>
  <c r="T139" i="12"/>
  <c r="U139" i="12"/>
  <c r="V139" i="12"/>
  <c r="O140" i="12"/>
  <c r="P140" i="12"/>
  <c r="Q140" i="12"/>
  <c r="R140" i="12"/>
  <c r="S140" i="12"/>
  <c r="T140" i="12"/>
  <c r="U140" i="12"/>
  <c r="V140" i="12"/>
  <c r="O141" i="12"/>
  <c r="Q141" i="12" s="1"/>
  <c r="P141" i="12"/>
  <c r="R141" i="12"/>
  <c r="S141" i="12"/>
  <c r="T141" i="12" s="1"/>
  <c r="U141" i="12"/>
  <c r="V141" i="12"/>
  <c r="O142" i="12"/>
  <c r="P142" i="12"/>
  <c r="Q142" i="12"/>
  <c r="R142" i="12"/>
  <c r="S142" i="12"/>
  <c r="T142" i="12"/>
  <c r="U142" i="12"/>
  <c r="V142" i="12"/>
  <c r="O143" i="12"/>
  <c r="Q143" i="12" s="1"/>
  <c r="P143" i="12"/>
  <c r="U143" i="12"/>
  <c r="V143" i="12"/>
  <c r="O144" i="12"/>
  <c r="Q144" i="12" s="1"/>
  <c r="P144" i="12"/>
  <c r="R144" i="12"/>
  <c r="S144" i="12"/>
  <c r="T144" i="12"/>
  <c r="U144" i="12"/>
  <c r="V144" i="12"/>
  <c r="O145" i="12"/>
  <c r="P145" i="12"/>
  <c r="Q145" i="12"/>
  <c r="R145" i="12"/>
  <c r="S145" i="12"/>
  <c r="T145" i="12"/>
  <c r="U145" i="12"/>
  <c r="V145" i="12"/>
  <c r="O146" i="12"/>
  <c r="Q146" i="12" s="1"/>
  <c r="P146" i="12"/>
  <c r="U146" i="12"/>
  <c r="V146" i="12"/>
  <c r="O147" i="12"/>
  <c r="Q147" i="12" s="1"/>
  <c r="P147" i="12"/>
  <c r="R147" i="12"/>
  <c r="S147" i="12"/>
  <c r="T147" i="12"/>
  <c r="U147" i="12"/>
  <c r="V147" i="12"/>
  <c r="O148" i="12"/>
  <c r="P148" i="12"/>
  <c r="Q148" i="12"/>
  <c r="R148" i="12"/>
  <c r="S148" i="12"/>
  <c r="T148" i="12"/>
  <c r="U148" i="12"/>
  <c r="V148" i="12"/>
  <c r="O149" i="12"/>
  <c r="P149" i="12"/>
  <c r="R149" i="12" s="1"/>
  <c r="Q149" i="12"/>
  <c r="U149" i="12"/>
  <c r="V149" i="12"/>
  <c r="O150" i="12"/>
  <c r="Q150" i="12" s="1"/>
  <c r="P150" i="12"/>
  <c r="R150" i="12"/>
  <c r="S150" i="12"/>
  <c r="T150" i="12"/>
  <c r="U150" i="12"/>
  <c r="V150" i="12"/>
  <c r="O151" i="12"/>
  <c r="P151" i="12"/>
  <c r="Q151" i="12"/>
  <c r="R151" i="12"/>
  <c r="S151" i="12"/>
  <c r="T151" i="12"/>
  <c r="U151" i="12"/>
  <c r="V151" i="12"/>
  <c r="O152" i="12"/>
  <c r="P152" i="12"/>
  <c r="S152" i="12" s="1"/>
  <c r="T152" i="12" s="1"/>
  <c r="Q152" i="12"/>
  <c r="R152" i="12"/>
  <c r="U152" i="12"/>
  <c r="V152" i="12"/>
  <c r="O153" i="12"/>
  <c r="Q153" i="12" s="1"/>
  <c r="P153" i="12"/>
  <c r="R153" i="12"/>
  <c r="S153" i="12"/>
  <c r="T153" i="12"/>
  <c r="U153" i="12"/>
  <c r="V153" i="12"/>
  <c r="O154" i="12"/>
  <c r="P154" i="12"/>
  <c r="Q154" i="12"/>
  <c r="R154" i="12"/>
  <c r="S154" i="12"/>
  <c r="T154" i="12"/>
  <c r="U154" i="12"/>
  <c r="V154" i="12"/>
  <c r="O155" i="12"/>
  <c r="P155" i="12"/>
  <c r="Q155" i="12"/>
  <c r="R155" i="12"/>
  <c r="S155" i="12"/>
  <c r="T155" i="12" s="1"/>
  <c r="U155" i="12"/>
  <c r="V155" i="12"/>
  <c r="O156" i="12"/>
  <c r="Q156" i="12" s="1"/>
  <c r="P156" i="12"/>
  <c r="R156" i="12"/>
  <c r="S156" i="12"/>
  <c r="T156" i="12"/>
  <c r="U156" i="12"/>
  <c r="V156" i="12"/>
  <c r="O157" i="12"/>
  <c r="P157" i="12"/>
  <c r="Q157" i="12"/>
  <c r="R157" i="12"/>
  <c r="S157" i="12"/>
  <c r="T157" i="12"/>
  <c r="U157" i="12"/>
  <c r="V157" i="12"/>
  <c r="O158" i="12"/>
  <c r="P158" i="12"/>
  <c r="Q158" i="12"/>
  <c r="R158" i="12"/>
  <c r="S158" i="12"/>
  <c r="T158" i="12"/>
  <c r="U158" i="12"/>
  <c r="V158" i="12"/>
  <c r="O159" i="12"/>
  <c r="Q159" i="12" s="1"/>
  <c r="P159" i="12"/>
  <c r="R159" i="12"/>
  <c r="S159" i="12"/>
  <c r="T159" i="12"/>
  <c r="U159" i="12"/>
  <c r="V159" i="12"/>
  <c r="O160" i="12"/>
  <c r="P160" i="12"/>
  <c r="Q160" i="12"/>
  <c r="R160" i="12"/>
  <c r="S160" i="12"/>
  <c r="T160" i="12"/>
  <c r="U160" i="12"/>
  <c r="V160" i="12"/>
  <c r="O161" i="12"/>
  <c r="P161" i="12"/>
  <c r="Q161" i="12"/>
  <c r="R161" i="12"/>
  <c r="S161" i="12"/>
  <c r="T161" i="12"/>
  <c r="U161" i="12"/>
  <c r="V161" i="12"/>
  <c r="O162" i="12"/>
  <c r="Q162" i="12" s="1"/>
  <c r="P162" i="12"/>
  <c r="R162" i="12"/>
  <c r="S162" i="12"/>
  <c r="T162" i="12"/>
  <c r="U162" i="12"/>
  <c r="V162" i="12"/>
  <c r="O163" i="12"/>
  <c r="P163" i="12"/>
  <c r="Q163" i="12"/>
  <c r="R163" i="12"/>
  <c r="S163" i="12"/>
  <c r="T163" i="12"/>
  <c r="U163" i="12"/>
  <c r="V163" i="12"/>
  <c r="O164" i="12"/>
  <c r="P164" i="12"/>
  <c r="Q164" i="12"/>
  <c r="R164" i="12"/>
  <c r="S164" i="12"/>
  <c r="T164" i="12"/>
  <c r="U164" i="12"/>
  <c r="V164" i="12"/>
  <c r="O165" i="12"/>
  <c r="Q165" i="12" s="1"/>
  <c r="P165" i="12"/>
  <c r="R165" i="12" s="1"/>
  <c r="S165" i="12"/>
  <c r="T165" i="12"/>
  <c r="U165" i="12"/>
  <c r="V165" i="12"/>
  <c r="O166" i="12"/>
  <c r="P166" i="12"/>
  <c r="Q166" i="12"/>
  <c r="R166" i="12"/>
  <c r="S166" i="12"/>
  <c r="T166" i="12"/>
  <c r="U166" i="12"/>
  <c r="V166" i="12"/>
  <c r="O167" i="12"/>
  <c r="P167" i="12"/>
  <c r="Q167" i="12"/>
  <c r="R167" i="12"/>
  <c r="S167" i="12"/>
  <c r="T167" i="12"/>
  <c r="U167" i="12"/>
  <c r="V167" i="12"/>
  <c r="O168" i="12"/>
  <c r="Q168" i="12" s="1"/>
  <c r="R168" i="12" s="1"/>
  <c r="P168" i="12"/>
  <c r="U168" i="12"/>
  <c r="V168" i="12"/>
  <c r="O169" i="12"/>
  <c r="P169" i="12"/>
  <c r="Q169" i="12"/>
  <c r="R169" i="12"/>
  <c r="S169" i="12"/>
  <c r="T169" i="12"/>
  <c r="U169" i="12"/>
  <c r="V169" i="12"/>
  <c r="O170" i="12"/>
  <c r="P170" i="12"/>
  <c r="Q170" i="12"/>
  <c r="R170" i="12"/>
  <c r="S170" i="12"/>
  <c r="T170" i="12"/>
  <c r="U170" i="12"/>
  <c r="V170" i="12"/>
  <c r="O171" i="12"/>
  <c r="Q171" i="12" s="1"/>
  <c r="R171" i="12" s="1"/>
  <c r="P171" i="12"/>
  <c r="U171" i="12"/>
  <c r="V171" i="12"/>
  <c r="O172" i="12"/>
  <c r="P172" i="12"/>
  <c r="Q172" i="12"/>
  <c r="R172" i="12"/>
  <c r="S172" i="12"/>
  <c r="T172" i="12"/>
  <c r="U172" i="12"/>
  <c r="V172" i="12"/>
  <c r="O173" i="12"/>
  <c r="P173" i="12"/>
  <c r="Q173" i="12"/>
  <c r="R173" i="12"/>
  <c r="S173" i="12"/>
  <c r="T173" i="12"/>
  <c r="U173" i="12"/>
  <c r="V173" i="12"/>
  <c r="O174" i="12"/>
  <c r="Q174" i="12" s="1"/>
  <c r="S174" i="12" s="1"/>
  <c r="T174" i="12" s="1"/>
  <c r="P174" i="12"/>
  <c r="R174" i="12"/>
  <c r="U174" i="12"/>
  <c r="V174" i="12"/>
  <c r="O175" i="12"/>
  <c r="P175" i="12"/>
  <c r="Q175" i="12"/>
  <c r="R175" i="12"/>
  <c r="S175" i="12"/>
  <c r="T175" i="12"/>
  <c r="U175" i="12"/>
  <c r="V175" i="12"/>
  <c r="O176" i="12"/>
  <c r="P176" i="12"/>
  <c r="Q176" i="12"/>
  <c r="R176" i="12"/>
  <c r="S176" i="12"/>
  <c r="T176" i="12"/>
  <c r="U176" i="12"/>
  <c r="V176" i="12"/>
  <c r="O177" i="12"/>
  <c r="Q177" i="12" s="1"/>
  <c r="P177" i="12"/>
  <c r="R177" i="12"/>
  <c r="S177" i="12"/>
  <c r="T177" i="12" s="1"/>
  <c r="U177" i="12"/>
  <c r="V177" i="12"/>
  <c r="O178" i="12"/>
  <c r="P178" i="12"/>
  <c r="Q178" i="12"/>
  <c r="R178" i="12"/>
  <c r="S178" i="12"/>
  <c r="T178" i="12"/>
  <c r="U178" i="12"/>
  <c r="V178" i="12"/>
  <c r="O179" i="12"/>
  <c r="P179" i="12"/>
  <c r="Q179" i="12"/>
  <c r="R179" i="12"/>
  <c r="S179" i="12"/>
  <c r="T179" i="12"/>
  <c r="U179" i="12"/>
  <c r="V179" i="12"/>
  <c r="O180" i="12"/>
  <c r="Q180" i="12" s="1"/>
  <c r="P180" i="12"/>
  <c r="R180" i="12"/>
  <c r="S180" i="12" s="1"/>
  <c r="T180" i="12" s="1"/>
  <c r="U180" i="12"/>
  <c r="V180" i="12"/>
  <c r="O181" i="12"/>
  <c r="P181" i="12"/>
  <c r="Q181" i="12"/>
  <c r="R181" i="12"/>
  <c r="S181" i="12"/>
  <c r="T181" i="12"/>
  <c r="U181" i="12"/>
  <c r="V181" i="12"/>
  <c r="O182" i="12"/>
  <c r="P182" i="12"/>
  <c r="Q182" i="12"/>
  <c r="R182" i="12"/>
  <c r="S182" i="12"/>
  <c r="T182" i="12"/>
  <c r="U182" i="12"/>
  <c r="V182" i="12"/>
  <c r="O183" i="12"/>
  <c r="Q183" i="12" s="1"/>
  <c r="P183" i="12"/>
  <c r="R183" i="12"/>
  <c r="S183" i="12"/>
  <c r="T183" i="12" s="1"/>
  <c r="U183" i="12"/>
  <c r="V183" i="12"/>
  <c r="O184" i="12"/>
  <c r="P184" i="12"/>
  <c r="Q184" i="12"/>
  <c r="R184" i="12"/>
  <c r="S184" i="12"/>
  <c r="T184" i="12" s="1"/>
  <c r="U184" i="12"/>
  <c r="V184" i="12"/>
  <c r="O185" i="12"/>
  <c r="P185" i="12"/>
  <c r="Q185" i="12"/>
  <c r="R185" i="12"/>
  <c r="S185" i="12"/>
  <c r="T185" i="12"/>
  <c r="U185" i="12"/>
  <c r="V185" i="12"/>
  <c r="O186" i="12"/>
  <c r="Q186" i="12" s="1"/>
  <c r="P186" i="12"/>
  <c r="R186" i="12"/>
  <c r="S186" i="12"/>
  <c r="T186" i="12"/>
  <c r="U186" i="12"/>
  <c r="V186" i="12"/>
  <c r="O187" i="12"/>
  <c r="P187" i="12"/>
  <c r="Q187" i="12"/>
  <c r="R187" i="12"/>
  <c r="S187" i="12"/>
  <c r="T187" i="12"/>
  <c r="U187" i="12"/>
  <c r="V187" i="12"/>
  <c r="O188" i="12"/>
  <c r="P188" i="12"/>
  <c r="Q188" i="12"/>
  <c r="R188" i="12"/>
  <c r="S188" i="12"/>
  <c r="T188" i="12"/>
  <c r="U188" i="12"/>
  <c r="V188" i="12"/>
  <c r="O189" i="12"/>
  <c r="Q189" i="12" s="1"/>
  <c r="P189" i="12"/>
  <c r="R189" i="12"/>
  <c r="S189" i="12"/>
  <c r="T189" i="12"/>
  <c r="U189" i="12"/>
  <c r="V189" i="12"/>
  <c r="O190" i="12"/>
  <c r="Q190" i="12" s="1"/>
  <c r="P190" i="12"/>
  <c r="U190" i="12"/>
  <c r="V190" i="12"/>
  <c r="O191" i="12"/>
  <c r="P191" i="12"/>
  <c r="Q191" i="12"/>
  <c r="R191" i="12"/>
  <c r="S191" i="12"/>
  <c r="T191" i="12"/>
  <c r="U191" i="12"/>
  <c r="V191" i="12"/>
  <c r="O192" i="12"/>
  <c r="Q192" i="12" s="1"/>
  <c r="P192" i="12"/>
  <c r="R192" i="12"/>
  <c r="S192" i="12"/>
  <c r="T192" i="12"/>
  <c r="U192" i="12"/>
  <c r="V192" i="12"/>
  <c r="O193" i="12"/>
  <c r="Q193" i="12" s="1"/>
  <c r="P193" i="12"/>
  <c r="R193" i="12" s="1"/>
  <c r="U193" i="12"/>
  <c r="V193" i="12"/>
  <c r="O194" i="12"/>
  <c r="P194" i="12"/>
  <c r="Q194" i="12"/>
  <c r="R194" i="12"/>
  <c r="S194" i="12"/>
  <c r="T194" i="12"/>
  <c r="U194" i="12"/>
  <c r="V194" i="12"/>
  <c r="O195" i="12"/>
  <c r="Q195" i="12" s="1"/>
  <c r="P195" i="12"/>
  <c r="R195" i="12"/>
  <c r="S195" i="12"/>
  <c r="T195" i="12"/>
  <c r="U195" i="12"/>
  <c r="V195" i="12"/>
  <c r="O196" i="12"/>
  <c r="P196" i="12"/>
  <c r="R196" i="12" s="1"/>
  <c r="Q196" i="12"/>
  <c r="U196" i="12"/>
  <c r="V196" i="12"/>
  <c r="O197" i="12"/>
  <c r="P197" i="12"/>
  <c r="Q197" i="12"/>
  <c r="R197" i="12"/>
  <c r="S197" i="12" s="1"/>
  <c r="T197" i="12" s="1"/>
  <c r="U197" i="12"/>
  <c r="V197" i="12"/>
  <c r="O198" i="12"/>
  <c r="Q198" i="12" s="1"/>
  <c r="P198" i="12"/>
  <c r="R198" i="12"/>
  <c r="S198" i="12"/>
  <c r="T198" i="12"/>
  <c r="U198" i="12"/>
  <c r="V198" i="12"/>
  <c r="O199" i="12"/>
  <c r="P199" i="12"/>
  <c r="S199" i="12" s="1"/>
  <c r="T199" i="12" s="1"/>
  <c r="Q199" i="12"/>
  <c r="R199" i="12"/>
  <c r="U199" i="12"/>
  <c r="V199" i="12"/>
  <c r="O200" i="12"/>
  <c r="P200" i="12"/>
  <c r="Q200" i="12"/>
  <c r="R200" i="12"/>
  <c r="S200" i="12"/>
  <c r="T200" i="12"/>
  <c r="U200" i="12"/>
  <c r="V200" i="12"/>
  <c r="O201" i="12"/>
  <c r="Q201" i="12" s="1"/>
  <c r="P201" i="12"/>
  <c r="R201" i="12"/>
  <c r="S201" i="12"/>
  <c r="T201" i="12"/>
  <c r="U201" i="12"/>
  <c r="V201" i="12"/>
  <c r="O202" i="12"/>
  <c r="P202" i="12"/>
  <c r="Q202" i="12"/>
  <c r="R202" i="12"/>
  <c r="S202" i="12"/>
  <c r="T202" i="12" s="1"/>
  <c r="U202" i="12"/>
  <c r="V202" i="12"/>
  <c r="O203" i="12"/>
  <c r="P203" i="12"/>
  <c r="Q203" i="12"/>
  <c r="R203" i="12"/>
  <c r="S203" i="12"/>
  <c r="T203" i="12"/>
  <c r="U203" i="12"/>
  <c r="V203" i="12"/>
  <c r="O204" i="12"/>
  <c r="Q204" i="12" s="1"/>
  <c r="P204" i="12"/>
  <c r="R204" i="12"/>
  <c r="S204" i="12"/>
  <c r="T204" i="12"/>
  <c r="U204" i="12"/>
  <c r="V204" i="12"/>
  <c r="O205" i="12"/>
  <c r="P205" i="12"/>
  <c r="Q205" i="12"/>
  <c r="R205" i="12"/>
  <c r="S205" i="12"/>
  <c r="T205" i="12"/>
  <c r="U205" i="12"/>
  <c r="V205" i="12"/>
  <c r="O206" i="12"/>
  <c r="P206" i="12"/>
  <c r="Q206" i="12"/>
  <c r="R206" i="12"/>
  <c r="S206" i="12"/>
  <c r="T206" i="12"/>
  <c r="U206" i="12"/>
  <c r="V206" i="12"/>
  <c r="O207" i="12"/>
  <c r="Q207" i="12" s="1"/>
  <c r="P207" i="12"/>
  <c r="R207" i="12"/>
  <c r="S207" i="12"/>
  <c r="T207" i="12"/>
  <c r="U207" i="12"/>
  <c r="V207" i="12"/>
  <c r="O208" i="12"/>
  <c r="P208" i="12"/>
  <c r="Q208" i="12"/>
  <c r="R208" i="12"/>
  <c r="S208" i="12"/>
  <c r="T208" i="12"/>
  <c r="U208" i="12"/>
  <c r="V208" i="12"/>
  <c r="O209" i="12"/>
  <c r="P209" i="12"/>
  <c r="Q209" i="12"/>
  <c r="R209" i="12"/>
  <c r="S209" i="12"/>
  <c r="T209" i="12"/>
  <c r="U209" i="12"/>
  <c r="V209" i="12"/>
  <c r="O210" i="12"/>
  <c r="Q210" i="12" s="1"/>
  <c r="P210" i="12"/>
  <c r="R210" i="12"/>
  <c r="S210" i="12"/>
  <c r="T210" i="12"/>
  <c r="U210" i="12"/>
  <c r="V210" i="12"/>
  <c r="O211" i="12"/>
  <c r="P211" i="12"/>
  <c r="Q211" i="12"/>
  <c r="R211" i="12"/>
  <c r="S211" i="12"/>
  <c r="T211" i="12"/>
  <c r="U211" i="12"/>
  <c r="V211" i="12"/>
  <c r="O212" i="12"/>
  <c r="P212" i="12"/>
  <c r="Q212" i="12"/>
  <c r="R212" i="12"/>
  <c r="S212" i="12"/>
  <c r="T212" i="12"/>
  <c r="U212" i="12"/>
  <c r="V212" i="12"/>
  <c r="O213" i="12"/>
  <c r="Q213" i="12" s="1"/>
  <c r="P213" i="12"/>
  <c r="R213" i="12"/>
  <c r="S213" i="12"/>
  <c r="T213" i="12"/>
  <c r="U213" i="12"/>
  <c r="V213" i="12"/>
  <c r="O214" i="12"/>
  <c r="P214" i="12"/>
  <c r="Q214" i="12"/>
  <c r="R214" i="12"/>
  <c r="S214" i="12"/>
  <c r="T214" i="12"/>
  <c r="U214" i="12"/>
  <c r="V214" i="12"/>
  <c r="O215" i="12"/>
  <c r="Q215" i="12" s="1"/>
  <c r="P215" i="12"/>
  <c r="U215" i="12"/>
  <c r="V215" i="12"/>
  <c r="O216" i="12"/>
  <c r="Q216" i="12" s="1"/>
  <c r="P216" i="12"/>
  <c r="R216" i="12"/>
  <c r="S216" i="12"/>
  <c r="T216" i="12"/>
  <c r="U216" i="12"/>
  <c r="V216" i="12"/>
  <c r="O217" i="12"/>
  <c r="P217" i="12"/>
  <c r="Q217" i="12"/>
  <c r="R217" i="12"/>
  <c r="S217" i="12"/>
  <c r="T217" i="12"/>
  <c r="U217" i="12"/>
  <c r="V217" i="12"/>
  <c r="O218" i="12"/>
  <c r="Q218" i="12" s="1"/>
  <c r="P218" i="12"/>
  <c r="R218" i="12" s="1"/>
  <c r="U218" i="12"/>
  <c r="V218" i="12"/>
  <c r="O219" i="12"/>
  <c r="Q219" i="12" s="1"/>
  <c r="P219" i="12"/>
  <c r="R219" i="12"/>
  <c r="S219" i="12"/>
  <c r="T219" i="12"/>
  <c r="U219" i="12"/>
  <c r="V219" i="12"/>
  <c r="O220" i="12"/>
  <c r="P220" i="12"/>
  <c r="Q220" i="12"/>
  <c r="R220" i="12"/>
  <c r="S220" i="12"/>
  <c r="T220" i="12"/>
  <c r="U220" i="12"/>
  <c r="V220" i="12"/>
  <c r="O221" i="12"/>
  <c r="P221" i="12"/>
  <c r="R221" i="12" s="1"/>
  <c r="Q221" i="12"/>
  <c r="U221" i="12"/>
  <c r="V221" i="12"/>
  <c r="O222" i="12"/>
  <c r="Q222" i="12" s="1"/>
  <c r="P222" i="12"/>
  <c r="R222" i="12"/>
  <c r="S222" i="12"/>
  <c r="T222" i="12"/>
  <c r="U222" i="12"/>
  <c r="V222" i="12"/>
  <c r="O223" i="12"/>
  <c r="P223" i="12"/>
  <c r="Q223" i="12"/>
  <c r="R223" i="12"/>
  <c r="S223" i="12"/>
  <c r="T223" i="12"/>
  <c r="U223" i="12"/>
  <c r="V223" i="12"/>
  <c r="O224" i="12"/>
  <c r="P224" i="12"/>
  <c r="S224" i="12" s="1"/>
  <c r="T224" i="12" s="1"/>
  <c r="Q224" i="12"/>
  <c r="R224" i="12"/>
  <c r="U224" i="12"/>
  <c r="V224" i="12"/>
  <c r="O225" i="12"/>
  <c r="Q225" i="12" s="1"/>
  <c r="P225" i="12"/>
  <c r="R225" i="12"/>
  <c r="S225" i="12"/>
  <c r="T225" i="12"/>
  <c r="U225" i="12"/>
  <c r="V225" i="12"/>
  <c r="O226" i="12"/>
  <c r="P226" i="12"/>
  <c r="Q226" i="12"/>
  <c r="R226" i="12"/>
  <c r="S226" i="12"/>
  <c r="T226" i="12"/>
  <c r="U226" i="12"/>
  <c r="V226" i="12"/>
  <c r="O227" i="12"/>
  <c r="P227" i="12"/>
  <c r="Q227" i="12"/>
  <c r="R227" i="12"/>
  <c r="S227" i="12"/>
  <c r="T227" i="12" s="1"/>
  <c r="U227" i="12"/>
  <c r="V227" i="12"/>
  <c r="O228" i="12"/>
  <c r="Q228" i="12" s="1"/>
  <c r="P228" i="12"/>
  <c r="R228" i="12"/>
  <c r="S228" i="12"/>
  <c r="T228" i="12"/>
  <c r="U228" i="12"/>
  <c r="V228" i="12"/>
  <c r="O229" i="12"/>
  <c r="P229" i="12"/>
  <c r="Q229" i="12"/>
  <c r="R229" i="12"/>
  <c r="S229" i="12"/>
  <c r="T229" i="12" s="1"/>
  <c r="U229" i="12"/>
  <c r="V229" i="12"/>
  <c r="O230" i="12"/>
  <c r="P230" i="12"/>
  <c r="Q230" i="12"/>
  <c r="R230" i="12"/>
  <c r="S230" i="12"/>
  <c r="T230" i="12"/>
  <c r="U230" i="12"/>
  <c r="V230" i="12"/>
  <c r="O231" i="12"/>
  <c r="Q231" i="12" s="1"/>
  <c r="P231" i="12"/>
  <c r="R231" i="12"/>
  <c r="S231" i="12"/>
  <c r="T231" i="12"/>
  <c r="U231" i="12"/>
  <c r="V231" i="12"/>
  <c r="O232" i="12"/>
  <c r="P232" i="12"/>
  <c r="Q232" i="12"/>
  <c r="R232" i="12"/>
  <c r="S232" i="12"/>
  <c r="T232" i="12"/>
  <c r="U232" i="12"/>
  <c r="V232" i="12"/>
  <c r="O233" i="12"/>
  <c r="P233" i="12"/>
  <c r="Q233" i="12"/>
  <c r="R233" i="12"/>
  <c r="S233" i="12"/>
  <c r="T233" i="12"/>
  <c r="U233" i="12"/>
  <c r="V233" i="12"/>
  <c r="O234" i="12"/>
  <c r="Q234" i="12" s="1"/>
  <c r="P234" i="12"/>
  <c r="R234" i="12"/>
  <c r="S234" i="12"/>
  <c r="T234" i="12"/>
  <c r="U234" i="12"/>
  <c r="V234" i="12"/>
  <c r="O235" i="12"/>
  <c r="P235" i="12"/>
  <c r="Q235" i="12"/>
  <c r="R235" i="12"/>
  <c r="S235" i="12"/>
  <c r="T235" i="12"/>
  <c r="U235" i="12"/>
  <c r="V235" i="12"/>
  <c r="O236" i="12"/>
  <c r="P236" i="12"/>
  <c r="Q236" i="12"/>
  <c r="R236" i="12"/>
  <c r="S236" i="12"/>
  <c r="T236" i="12"/>
  <c r="U236" i="12"/>
  <c r="V236" i="12"/>
  <c r="O237" i="12"/>
  <c r="Q237" i="12" s="1"/>
  <c r="P237" i="12"/>
  <c r="R237" i="12"/>
  <c r="S237" i="12"/>
  <c r="T237" i="12"/>
  <c r="U237" i="12"/>
  <c r="V237" i="12"/>
  <c r="O238" i="12"/>
  <c r="P238" i="12"/>
  <c r="Q238" i="12"/>
  <c r="R238" i="12"/>
  <c r="S238" i="12"/>
  <c r="T238" i="12"/>
  <c r="U238" i="12"/>
  <c r="V238" i="12"/>
  <c r="O239" i="12"/>
  <c r="P239" i="12"/>
  <c r="Q239" i="12"/>
  <c r="R239" i="12"/>
  <c r="S239" i="12"/>
  <c r="T239" i="12"/>
  <c r="U239" i="12"/>
  <c r="V239" i="12"/>
  <c r="O240" i="12"/>
  <c r="Q240" i="12" s="1"/>
  <c r="R240" i="12" s="1"/>
  <c r="P240" i="12"/>
  <c r="U240" i="12"/>
  <c r="V240" i="12"/>
  <c r="O241" i="12"/>
  <c r="P241" i="12"/>
  <c r="Q241" i="12"/>
  <c r="R241" i="12"/>
  <c r="S241" i="12"/>
  <c r="T241" i="12"/>
  <c r="U241" i="12"/>
  <c r="V241" i="12"/>
  <c r="O242" i="12"/>
  <c r="P242" i="12"/>
  <c r="Q242" i="12"/>
  <c r="R242" i="12"/>
  <c r="S242" i="12"/>
  <c r="T242" i="12"/>
  <c r="U242" i="12"/>
  <c r="V242" i="12"/>
  <c r="O243" i="12"/>
  <c r="Q243" i="12" s="1"/>
  <c r="R243" i="12" s="1"/>
  <c r="P243" i="12"/>
  <c r="U243" i="12"/>
  <c r="V243" i="12"/>
  <c r="O244" i="12"/>
  <c r="P244" i="12"/>
  <c r="Q244" i="12"/>
  <c r="R244" i="12"/>
  <c r="S244" i="12"/>
  <c r="T244" i="12"/>
  <c r="U244" i="12"/>
  <c r="V244" i="12"/>
  <c r="O245" i="12"/>
  <c r="P245" i="12"/>
  <c r="Q245" i="12"/>
  <c r="R245" i="12"/>
  <c r="S245" i="12"/>
  <c r="T245" i="12"/>
  <c r="U245" i="12"/>
  <c r="V245" i="12"/>
  <c r="O246" i="12"/>
  <c r="Q246" i="12" s="1"/>
  <c r="S246" i="12" s="1"/>
  <c r="T246" i="12" s="1"/>
  <c r="P246" i="12"/>
  <c r="R246" i="12"/>
  <c r="U246" i="12"/>
  <c r="V246" i="12"/>
  <c r="O247" i="12"/>
  <c r="P247" i="12"/>
  <c r="Q247" i="12"/>
  <c r="R247" i="12"/>
  <c r="S247" i="12"/>
  <c r="T247" i="12"/>
  <c r="U247" i="12"/>
  <c r="V247" i="12"/>
  <c r="O248" i="12"/>
  <c r="P248" i="12"/>
  <c r="Q248" i="12"/>
  <c r="R248" i="12"/>
  <c r="S248" i="12"/>
  <c r="T248" i="12"/>
  <c r="U248" i="12"/>
  <c r="V248" i="12"/>
  <c r="O249" i="12"/>
  <c r="Q249" i="12" s="1"/>
  <c r="P249" i="12"/>
  <c r="R249" i="12"/>
  <c r="S249" i="12"/>
  <c r="T249" i="12" s="1"/>
  <c r="U249" i="12"/>
  <c r="V249" i="12"/>
  <c r="O250" i="12"/>
  <c r="P250" i="12"/>
  <c r="Q250" i="12"/>
  <c r="R250" i="12"/>
  <c r="S250" i="12"/>
  <c r="T250" i="12"/>
  <c r="U250" i="12"/>
  <c r="V250" i="12"/>
  <c r="O251" i="12"/>
  <c r="P251" i="12"/>
  <c r="Q251" i="12"/>
  <c r="R251" i="12"/>
  <c r="S251" i="12"/>
  <c r="T251" i="12"/>
  <c r="U251" i="12"/>
  <c r="V251" i="12"/>
  <c r="O252" i="12"/>
  <c r="Q252" i="12" s="1"/>
  <c r="P252" i="12"/>
  <c r="R252" i="12"/>
  <c r="S252" i="12"/>
  <c r="T252" i="12"/>
  <c r="U252" i="12"/>
  <c r="V252" i="12"/>
  <c r="O253" i="12"/>
  <c r="P253" i="12"/>
  <c r="Q253" i="12"/>
  <c r="R253" i="12"/>
  <c r="S253" i="12"/>
  <c r="T253" i="12"/>
  <c r="U253" i="12"/>
  <c r="V253" i="12"/>
  <c r="O254" i="12"/>
  <c r="P254" i="12"/>
  <c r="Q254" i="12"/>
  <c r="R254" i="12"/>
  <c r="S254" i="12"/>
  <c r="T254" i="12"/>
  <c r="U254" i="12"/>
  <c r="V254" i="12"/>
  <c r="O255" i="12"/>
  <c r="Q255" i="12" s="1"/>
  <c r="P255" i="12"/>
  <c r="R255" i="12"/>
  <c r="S255" i="12"/>
  <c r="T255" i="12"/>
  <c r="U255" i="12"/>
  <c r="V255" i="12"/>
  <c r="O256" i="12"/>
  <c r="P256" i="12"/>
  <c r="Q256" i="12"/>
  <c r="R256" i="12"/>
  <c r="S256" i="12"/>
  <c r="T256" i="12"/>
  <c r="U256" i="12"/>
  <c r="V256" i="12"/>
  <c r="O257" i="12"/>
  <c r="P257" i="12"/>
  <c r="Q257" i="12"/>
  <c r="R257" i="12"/>
  <c r="S257" i="12"/>
  <c r="T257" i="12"/>
  <c r="U257" i="12"/>
  <c r="V257" i="12"/>
  <c r="O258" i="12"/>
  <c r="P258" i="12"/>
  <c r="Q258" i="12"/>
  <c r="R258" i="12"/>
  <c r="S258" i="12"/>
  <c r="T258" i="12"/>
  <c r="U258" i="12"/>
  <c r="V258" i="12"/>
  <c r="O259" i="12"/>
  <c r="P259" i="12"/>
  <c r="Q259" i="12"/>
  <c r="R259" i="12"/>
  <c r="S259" i="12"/>
  <c r="T259" i="12"/>
  <c r="U259" i="12"/>
  <c r="V259" i="12"/>
  <c r="O260" i="12"/>
  <c r="P260" i="12"/>
  <c r="Q260" i="12"/>
  <c r="R260" i="12"/>
  <c r="S260" i="12"/>
  <c r="T260" i="12"/>
  <c r="U260" i="12"/>
  <c r="V260" i="12"/>
  <c r="O261" i="12"/>
  <c r="P261" i="12"/>
  <c r="Q261" i="12"/>
  <c r="R261" i="12"/>
  <c r="S261" i="12"/>
  <c r="T261" i="12"/>
  <c r="U261" i="12"/>
  <c r="V261" i="12"/>
  <c r="O262" i="12"/>
  <c r="P262" i="12"/>
  <c r="Q262" i="12"/>
  <c r="R262" i="12"/>
  <c r="S262" i="12"/>
  <c r="T262" i="12"/>
  <c r="U262" i="12"/>
  <c r="V262" i="12"/>
  <c r="O263" i="12"/>
  <c r="P263" i="12"/>
  <c r="Q263" i="12"/>
  <c r="R263" i="12"/>
  <c r="S263" i="12"/>
  <c r="T263" i="12"/>
  <c r="U263" i="12"/>
  <c r="V263" i="12"/>
  <c r="O264" i="12"/>
  <c r="P264" i="12"/>
  <c r="Q264" i="12"/>
  <c r="R264" i="12"/>
  <c r="S264" i="12"/>
  <c r="T264" i="12"/>
  <c r="U264" i="12"/>
  <c r="V264" i="12"/>
  <c r="O265" i="12"/>
  <c r="P265" i="12"/>
  <c r="Q265" i="12"/>
  <c r="R265" i="12"/>
  <c r="S265" i="12"/>
  <c r="T265" i="12"/>
  <c r="U265" i="12"/>
  <c r="V265" i="12"/>
  <c r="O266" i="12"/>
  <c r="P266" i="12"/>
  <c r="Q266" i="12"/>
  <c r="R266" i="12"/>
  <c r="S266" i="12"/>
  <c r="T266" i="12"/>
  <c r="U266" i="12"/>
  <c r="V266" i="12"/>
  <c r="O267" i="12"/>
  <c r="P267" i="12"/>
  <c r="Q267" i="12"/>
  <c r="R267" i="12"/>
  <c r="S267" i="12"/>
  <c r="T267" i="12"/>
  <c r="U267" i="12"/>
  <c r="V267" i="12"/>
  <c r="O268" i="12"/>
  <c r="P268" i="12"/>
  <c r="Q268" i="12"/>
  <c r="R268" i="12"/>
  <c r="S268" i="12"/>
  <c r="T268" i="12"/>
  <c r="U268" i="12"/>
  <c r="V268" i="12"/>
  <c r="O269" i="12"/>
  <c r="P269" i="12"/>
  <c r="Q269" i="12"/>
  <c r="R269" i="12"/>
  <c r="S269" i="12"/>
  <c r="T269" i="12"/>
  <c r="U269" i="12"/>
  <c r="V269" i="12"/>
  <c r="O270" i="12"/>
  <c r="P270" i="12"/>
  <c r="Q270" i="12"/>
  <c r="R270" i="12"/>
  <c r="S270" i="12"/>
  <c r="T270" i="12"/>
  <c r="U270" i="12"/>
  <c r="V270" i="12"/>
  <c r="O271" i="12"/>
  <c r="P271" i="12"/>
  <c r="Q271" i="12"/>
  <c r="R271" i="12"/>
  <c r="S271" i="12"/>
  <c r="T271" i="12"/>
  <c r="U271" i="12"/>
  <c r="V271" i="12"/>
  <c r="O272" i="12"/>
  <c r="P272" i="12"/>
  <c r="Q272" i="12"/>
  <c r="R272" i="12"/>
  <c r="S272" i="12"/>
  <c r="T272" i="12"/>
  <c r="U272" i="12"/>
  <c r="V272" i="12"/>
  <c r="O273" i="12"/>
  <c r="P273" i="12"/>
  <c r="Q273" i="12"/>
  <c r="R273" i="12"/>
  <c r="S273" i="12"/>
  <c r="T273" i="12"/>
  <c r="U273" i="12"/>
  <c r="V273" i="12"/>
  <c r="O274" i="12"/>
  <c r="P274" i="12"/>
  <c r="Q274" i="12"/>
  <c r="R274" i="12"/>
  <c r="S274" i="12"/>
  <c r="T274" i="12"/>
  <c r="U274" i="12"/>
  <c r="V274" i="12"/>
  <c r="O275" i="12"/>
  <c r="P275" i="12"/>
  <c r="Q275" i="12"/>
  <c r="R275" i="12"/>
  <c r="S275" i="12"/>
  <c r="T275" i="12"/>
  <c r="U275" i="12"/>
  <c r="V275" i="12"/>
  <c r="O276" i="12"/>
  <c r="P276" i="12"/>
  <c r="Q276" i="12"/>
  <c r="R276" i="12"/>
  <c r="S276" i="12"/>
  <c r="T276" i="12"/>
  <c r="U276" i="12"/>
  <c r="V276" i="12"/>
  <c r="O277" i="12"/>
  <c r="P277" i="12"/>
  <c r="Q277" i="12"/>
  <c r="R277" i="12"/>
  <c r="S277" i="12"/>
  <c r="T277" i="12"/>
  <c r="U277" i="12"/>
  <c r="V277" i="12"/>
  <c r="O278" i="12"/>
  <c r="P278" i="12"/>
  <c r="Q278" i="12"/>
  <c r="R278" i="12"/>
  <c r="S278" i="12"/>
  <c r="T278" i="12"/>
  <c r="U278" i="12"/>
  <c r="V278" i="12"/>
  <c r="O279" i="12"/>
  <c r="P279" i="12"/>
  <c r="Q279" i="12"/>
  <c r="R279" i="12"/>
  <c r="S279" i="12"/>
  <c r="T279" i="12"/>
  <c r="U279" i="12"/>
  <c r="V279" i="12"/>
  <c r="O280" i="12"/>
  <c r="P280" i="12"/>
  <c r="Q280" i="12"/>
  <c r="R280" i="12"/>
  <c r="S280" i="12"/>
  <c r="T280" i="12"/>
  <c r="U280" i="12"/>
  <c r="V280" i="12"/>
  <c r="O281" i="12"/>
  <c r="P281" i="12"/>
  <c r="Q281" i="12"/>
  <c r="R281" i="12"/>
  <c r="S281" i="12"/>
  <c r="T281" i="12"/>
  <c r="U281" i="12"/>
  <c r="V281" i="12"/>
  <c r="O282" i="12"/>
  <c r="P282" i="12"/>
  <c r="Q282" i="12"/>
  <c r="R282" i="12"/>
  <c r="S282" i="12"/>
  <c r="T282" i="12"/>
  <c r="U282" i="12"/>
  <c r="V282" i="12"/>
  <c r="O283" i="12"/>
  <c r="P283" i="12"/>
  <c r="Q283" i="12"/>
  <c r="R283" i="12"/>
  <c r="S283" i="12"/>
  <c r="T283" i="12"/>
  <c r="U283" i="12"/>
  <c r="V283" i="12"/>
  <c r="O284" i="12"/>
  <c r="P284" i="12"/>
  <c r="Q284" i="12"/>
  <c r="R284" i="12"/>
  <c r="S284" i="12"/>
  <c r="T284" i="12"/>
  <c r="U284" i="12"/>
  <c r="V284" i="12"/>
  <c r="O285" i="12"/>
  <c r="P285" i="12"/>
  <c r="Q285" i="12"/>
  <c r="R285" i="12"/>
  <c r="S285" i="12"/>
  <c r="T285" i="12"/>
  <c r="U285" i="12"/>
  <c r="V285" i="12"/>
  <c r="O286" i="12"/>
  <c r="P286" i="12"/>
  <c r="Q286" i="12"/>
  <c r="R286" i="12"/>
  <c r="S286" i="12"/>
  <c r="T286" i="12"/>
  <c r="U286" i="12"/>
  <c r="V286" i="12"/>
  <c r="O287" i="12"/>
  <c r="P287" i="12"/>
  <c r="Q287" i="12"/>
  <c r="R287" i="12"/>
  <c r="S287" i="12"/>
  <c r="T287" i="12"/>
  <c r="U287" i="12"/>
  <c r="V287" i="12"/>
  <c r="O288" i="12"/>
  <c r="P288" i="12"/>
  <c r="Q288" i="12"/>
  <c r="R288" i="12"/>
  <c r="S288" i="12"/>
  <c r="T288" i="12"/>
  <c r="U288" i="12"/>
  <c r="V288" i="12"/>
  <c r="O289" i="12"/>
  <c r="P289" i="12"/>
  <c r="Q289" i="12"/>
  <c r="R289" i="12"/>
  <c r="S289" i="12"/>
  <c r="T289" i="12"/>
  <c r="U289" i="12"/>
  <c r="V289" i="12"/>
  <c r="O290" i="12"/>
  <c r="P290" i="12"/>
  <c r="Q290" i="12"/>
  <c r="R290" i="12"/>
  <c r="S290" i="12"/>
  <c r="T290" i="12"/>
  <c r="U290" i="12"/>
  <c r="V290" i="12"/>
  <c r="O291" i="12"/>
  <c r="P291" i="12"/>
  <c r="Q291" i="12"/>
  <c r="R291" i="12"/>
  <c r="S291" i="12"/>
  <c r="T291" i="12"/>
  <c r="U291" i="12"/>
  <c r="V291" i="12"/>
  <c r="O292" i="12"/>
  <c r="P292" i="12"/>
  <c r="Q292" i="12"/>
  <c r="R292" i="12"/>
  <c r="S292" i="12"/>
  <c r="T292" i="12"/>
  <c r="U292" i="12"/>
  <c r="V292" i="12"/>
  <c r="O293" i="12"/>
  <c r="P293" i="12"/>
  <c r="Q293" i="12"/>
  <c r="R293" i="12"/>
  <c r="S293" i="12"/>
  <c r="T293" i="12"/>
  <c r="U293" i="12"/>
  <c r="V293" i="12"/>
  <c r="O294" i="12"/>
  <c r="P294" i="12"/>
  <c r="Q294" i="12"/>
  <c r="R294" i="12"/>
  <c r="S294" i="12"/>
  <c r="T294" i="12"/>
  <c r="U294" i="12"/>
  <c r="V294" i="12"/>
  <c r="O295" i="12"/>
  <c r="P295" i="12"/>
  <c r="Q295" i="12"/>
  <c r="R295" i="12"/>
  <c r="S295" i="12"/>
  <c r="T295" i="12"/>
  <c r="U295" i="12"/>
  <c r="V295" i="12"/>
  <c r="O296" i="12"/>
  <c r="P296" i="12"/>
  <c r="Q296" i="12"/>
  <c r="R296" i="12"/>
  <c r="S296" i="12"/>
  <c r="T296" i="12"/>
  <c r="U296" i="12"/>
  <c r="V296" i="12"/>
  <c r="O297" i="12"/>
  <c r="P297" i="12"/>
  <c r="Q297" i="12"/>
  <c r="R297" i="12"/>
  <c r="S297" i="12"/>
  <c r="T297" i="12"/>
  <c r="U297" i="12"/>
  <c r="V297" i="12"/>
  <c r="O298" i="12"/>
  <c r="P298" i="12"/>
  <c r="Q298" i="12"/>
  <c r="R298" i="12"/>
  <c r="S298" i="12"/>
  <c r="T298" i="12"/>
  <c r="U298" i="12"/>
  <c r="V298" i="12"/>
  <c r="O299" i="12"/>
  <c r="P299" i="12"/>
  <c r="Q299" i="12"/>
  <c r="R299" i="12"/>
  <c r="S299" i="12"/>
  <c r="T299" i="12"/>
  <c r="U299" i="12"/>
  <c r="V299" i="12"/>
  <c r="O300" i="12"/>
  <c r="P300" i="12"/>
  <c r="Q300" i="12"/>
  <c r="R300" i="12"/>
  <c r="S300" i="12"/>
  <c r="T300" i="12"/>
  <c r="U300" i="12"/>
  <c r="V300" i="12"/>
  <c r="O301" i="12"/>
  <c r="P301" i="12"/>
  <c r="Q301" i="12"/>
  <c r="R301" i="12"/>
  <c r="S301" i="12"/>
  <c r="T301" i="12"/>
  <c r="U301" i="12"/>
  <c r="V301" i="12"/>
  <c r="O302" i="12"/>
  <c r="P302" i="12"/>
  <c r="Q302" i="12"/>
  <c r="R302" i="12"/>
  <c r="S302" i="12"/>
  <c r="T302" i="12"/>
  <c r="U302" i="12"/>
  <c r="V302" i="12"/>
  <c r="O303" i="12"/>
  <c r="P303" i="12"/>
  <c r="Q303" i="12"/>
  <c r="R303" i="12"/>
  <c r="S303" i="12"/>
  <c r="T303" i="12"/>
  <c r="U303" i="12"/>
  <c r="V303" i="12"/>
  <c r="O304" i="12"/>
  <c r="P304" i="12"/>
  <c r="Q304" i="12"/>
  <c r="R304" i="12"/>
  <c r="S304" i="12"/>
  <c r="T304" i="12"/>
  <c r="U304" i="12"/>
  <c r="V304" i="12"/>
  <c r="O305" i="12"/>
  <c r="P305" i="12"/>
  <c r="Q305" i="12"/>
  <c r="R305" i="12"/>
  <c r="S305" i="12"/>
  <c r="T305" i="12"/>
  <c r="U305" i="12"/>
  <c r="V305" i="12"/>
  <c r="O306" i="12"/>
  <c r="P306" i="12"/>
  <c r="Q306" i="12"/>
  <c r="R306" i="12"/>
  <c r="S306" i="12"/>
  <c r="T306" i="12"/>
  <c r="U306" i="12"/>
  <c r="V306" i="12"/>
  <c r="O307" i="12"/>
  <c r="P307" i="12"/>
  <c r="Q307" i="12"/>
  <c r="R307" i="12"/>
  <c r="S307" i="12"/>
  <c r="T307" i="12"/>
  <c r="U307" i="12"/>
  <c r="V307" i="12"/>
  <c r="O308" i="12"/>
  <c r="P308" i="12"/>
  <c r="Q308" i="12"/>
  <c r="R308" i="12"/>
  <c r="S308" i="12"/>
  <c r="T308" i="12"/>
  <c r="U308" i="12"/>
  <c r="V308" i="12"/>
  <c r="O309" i="12"/>
  <c r="P309" i="12"/>
  <c r="Q309" i="12"/>
  <c r="R309" i="12"/>
  <c r="S309" i="12"/>
  <c r="T309" i="12"/>
  <c r="U309" i="12"/>
  <c r="V309" i="12"/>
  <c r="O310" i="12"/>
  <c r="P310" i="12"/>
  <c r="Q310" i="12"/>
  <c r="R310" i="12"/>
  <c r="S310" i="12"/>
  <c r="T310" i="12"/>
  <c r="U310" i="12"/>
  <c r="V310" i="12"/>
  <c r="O311" i="12"/>
  <c r="P311" i="12"/>
  <c r="Q311" i="12"/>
  <c r="R311" i="12"/>
  <c r="S311" i="12"/>
  <c r="T311" i="12"/>
  <c r="U311" i="12"/>
  <c r="V311" i="12"/>
  <c r="O312" i="12"/>
  <c r="P312" i="12"/>
  <c r="Q312" i="12"/>
  <c r="R312" i="12"/>
  <c r="S312" i="12"/>
  <c r="T312" i="12"/>
  <c r="U312" i="12"/>
  <c r="V312" i="12"/>
  <c r="O313" i="12"/>
  <c r="P313" i="12"/>
  <c r="Q313" i="12"/>
  <c r="R313" i="12"/>
  <c r="S313" i="12"/>
  <c r="T313" i="12"/>
  <c r="U313" i="12"/>
  <c r="V313" i="12"/>
  <c r="O314" i="12"/>
  <c r="P314" i="12"/>
  <c r="Q314" i="12"/>
  <c r="R314" i="12"/>
  <c r="S314" i="12"/>
  <c r="T314" i="12"/>
  <c r="U314" i="12"/>
  <c r="V314" i="12"/>
  <c r="O315" i="12"/>
  <c r="P315" i="12"/>
  <c r="Q315" i="12"/>
  <c r="R315" i="12"/>
  <c r="S315" i="12"/>
  <c r="T315" i="12"/>
  <c r="U315" i="12"/>
  <c r="V315" i="12"/>
  <c r="O316" i="12"/>
  <c r="P316" i="12"/>
  <c r="Q316" i="12"/>
  <c r="R316" i="12"/>
  <c r="S316" i="12"/>
  <c r="T316" i="12"/>
  <c r="U316" i="12"/>
  <c r="V316" i="12"/>
  <c r="O317" i="12"/>
  <c r="P317" i="12"/>
  <c r="Q317" i="12"/>
  <c r="R317" i="12"/>
  <c r="S317" i="12"/>
  <c r="T317" i="12"/>
  <c r="U317" i="12"/>
  <c r="V317" i="12"/>
  <c r="O318" i="12"/>
  <c r="P318" i="12"/>
  <c r="Q318" i="12"/>
  <c r="R318" i="12"/>
  <c r="S318" i="12"/>
  <c r="T318" i="12"/>
  <c r="U318" i="12"/>
  <c r="V318" i="12"/>
  <c r="O319" i="12"/>
  <c r="P319" i="12"/>
  <c r="Q319" i="12"/>
  <c r="R319" i="12"/>
  <c r="S319" i="12"/>
  <c r="T319" i="12"/>
  <c r="U319" i="12"/>
  <c r="V319" i="12"/>
  <c r="O320" i="12"/>
  <c r="P320" i="12"/>
  <c r="Q320" i="12"/>
  <c r="R320" i="12"/>
  <c r="S320" i="12"/>
  <c r="T320" i="12"/>
  <c r="U320" i="12"/>
  <c r="V320" i="12"/>
  <c r="O321" i="12"/>
  <c r="P321" i="12"/>
  <c r="Q321" i="12"/>
  <c r="R321" i="12"/>
  <c r="S321" i="12"/>
  <c r="T321" i="12"/>
  <c r="U321" i="12"/>
  <c r="V321" i="12"/>
  <c r="O322" i="12"/>
  <c r="P322" i="12"/>
  <c r="Q322" i="12"/>
  <c r="R322" i="12"/>
  <c r="S322" i="12"/>
  <c r="T322" i="12"/>
  <c r="U322" i="12"/>
  <c r="V322" i="12"/>
  <c r="O323" i="12"/>
  <c r="P323" i="12"/>
  <c r="Q323" i="12"/>
  <c r="R323" i="12"/>
  <c r="S323" i="12"/>
  <c r="T323" i="12"/>
  <c r="U323" i="12"/>
  <c r="V323" i="12"/>
  <c r="O324" i="12"/>
  <c r="P324" i="12"/>
  <c r="Q324" i="12"/>
  <c r="R324" i="12"/>
  <c r="S324" i="12"/>
  <c r="T324" i="12"/>
  <c r="U324" i="12"/>
  <c r="V324" i="12"/>
  <c r="O325" i="12"/>
  <c r="P325" i="12"/>
  <c r="Q325" i="12"/>
  <c r="R325" i="12"/>
  <c r="S325" i="12"/>
  <c r="T325" i="12"/>
  <c r="U325" i="12"/>
  <c r="V325" i="12"/>
  <c r="O326" i="12"/>
  <c r="P326" i="12"/>
  <c r="Q326" i="12"/>
  <c r="R326" i="12"/>
  <c r="S326" i="12"/>
  <c r="T326" i="12"/>
  <c r="U326" i="12"/>
  <c r="V326" i="12"/>
  <c r="O327" i="12"/>
  <c r="P327" i="12"/>
  <c r="Q327" i="12"/>
  <c r="R327" i="12"/>
  <c r="S327" i="12"/>
  <c r="T327" i="12"/>
  <c r="U327" i="12"/>
  <c r="V327" i="12"/>
  <c r="O328" i="12"/>
  <c r="P328" i="12"/>
  <c r="Q328" i="12"/>
  <c r="R328" i="12"/>
  <c r="S328" i="12"/>
  <c r="T328" i="12"/>
  <c r="U328" i="12"/>
  <c r="V328" i="12"/>
  <c r="O329" i="12"/>
  <c r="P329" i="12"/>
  <c r="Q329" i="12"/>
  <c r="R329" i="12"/>
  <c r="S329" i="12"/>
  <c r="T329" i="12"/>
  <c r="U329" i="12"/>
  <c r="V329" i="12"/>
  <c r="O330" i="12"/>
  <c r="P330" i="12"/>
  <c r="Q330" i="12"/>
  <c r="R330" i="12"/>
  <c r="S330" i="12"/>
  <c r="T330" i="12"/>
  <c r="U330" i="12"/>
  <c r="V330" i="12"/>
  <c r="O331" i="12"/>
  <c r="P331" i="12"/>
  <c r="Q331" i="12"/>
  <c r="R331" i="12"/>
  <c r="S331" i="12"/>
  <c r="T331" i="12"/>
  <c r="U331" i="12"/>
  <c r="V331" i="12"/>
  <c r="O332" i="12"/>
  <c r="P332" i="12"/>
  <c r="Q332" i="12"/>
  <c r="R332" i="12"/>
  <c r="S332" i="12"/>
  <c r="T332" i="12"/>
  <c r="U332" i="12"/>
  <c r="V332" i="12"/>
  <c r="O333" i="12"/>
  <c r="P333" i="12"/>
  <c r="Q333" i="12"/>
  <c r="R333" i="12"/>
  <c r="S333" i="12"/>
  <c r="T333" i="12"/>
  <c r="U333" i="12"/>
  <c r="V333" i="12"/>
  <c r="O334" i="12"/>
  <c r="P334" i="12"/>
  <c r="Q334" i="12"/>
  <c r="R334" i="12"/>
  <c r="S334" i="12"/>
  <c r="T334" i="12"/>
  <c r="U334" i="12"/>
  <c r="V334" i="12"/>
  <c r="O335" i="12"/>
  <c r="P335" i="12"/>
  <c r="Q335" i="12"/>
  <c r="R335" i="12"/>
  <c r="S335" i="12"/>
  <c r="T335" i="12"/>
  <c r="U335" i="12"/>
  <c r="V335" i="12"/>
  <c r="O336" i="12"/>
  <c r="P336" i="12"/>
  <c r="Q336" i="12"/>
  <c r="R336" i="12"/>
  <c r="S336" i="12"/>
  <c r="T336" i="12"/>
  <c r="U336" i="12"/>
  <c r="V336" i="12"/>
  <c r="O337" i="12"/>
  <c r="P337" i="12"/>
  <c r="Q337" i="12"/>
  <c r="R337" i="12"/>
  <c r="S337" i="12"/>
  <c r="T337" i="12"/>
  <c r="U337" i="12"/>
  <c r="V337" i="12"/>
  <c r="O338" i="12"/>
  <c r="P338" i="12"/>
  <c r="Q338" i="12"/>
  <c r="R338" i="12"/>
  <c r="S338" i="12"/>
  <c r="T338" i="12"/>
  <c r="U338" i="12"/>
  <c r="V338" i="12"/>
  <c r="O339" i="12"/>
  <c r="P339" i="12"/>
  <c r="Q339" i="12"/>
  <c r="R339" i="12"/>
  <c r="S339" i="12"/>
  <c r="T339" i="12"/>
  <c r="U339" i="12"/>
  <c r="V339" i="12"/>
  <c r="O340" i="12"/>
  <c r="P340" i="12"/>
  <c r="Q340" i="12"/>
  <c r="R340" i="12"/>
  <c r="S340" i="12"/>
  <c r="T340" i="12"/>
  <c r="U340" i="12"/>
  <c r="V340" i="12"/>
  <c r="O341" i="12"/>
  <c r="P341" i="12"/>
  <c r="Q341" i="12"/>
  <c r="R341" i="12"/>
  <c r="S341" i="12"/>
  <c r="T341" i="12"/>
  <c r="U341" i="12"/>
  <c r="V341" i="12"/>
  <c r="O342" i="12"/>
  <c r="P342" i="12"/>
  <c r="Q342" i="12"/>
  <c r="R342" i="12"/>
  <c r="S342" i="12"/>
  <c r="T342" i="12"/>
  <c r="U342" i="12"/>
  <c r="V342" i="12"/>
  <c r="O343" i="12"/>
  <c r="P343" i="12"/>
  <c r="Q343" i="12"/>
  <c r="R343" i="12"/>
  <c r="S343" i="12"/>
  <c r="T343" i="12"/>
  <c r="U343" i="12"/>
  <c r="V343" i="12"/>
  <c r="O344" i="12"/>
  <c r="P344" i="12"/>
  <c r="Q344" i="12"/>
  <c r="R344" i="12"/>
  <c r="S344" i="12"/>
  <c r="T344" i="12"/>
  <c r="U344" i="12"/>
  <c r="V344" i="12"/>
  <c r="O345" i="12"/>
  <c r="P345" i="12"/>
  <c r="Q345" i="12"/>
  <c r="R345" i="12"/>
  <c r="S345" i="12"/>
  <c r="T345" i="12"/>
  <c r="U345" i="12"/>
  <c r="V345" i="12"/>
  <c r="O346" i="12"/>
  <c r="P346" i="12"/>
  <c r="Q346" i="12"/>
  <c r="R346" i="12"/>
  <c r="S346" i="12"/>
  <c r="T346" i="12"/>
  <c r="U346" i="12"/>
  <c r="V346" i="12"/>
  <c r="O347" i="12"/>
  <c r="P347" i="12"/>
  <c r="Q347" i="12"/>
  <c r="R347" i="12"/>
  <c r="S347" i="12"/>
  <c r="T347" i="12"/>
  <c r="U347" i="12"/>
  <c r="V347" i="12"/>
  <c r="O348" i="12"/>
  <c r="P348" i="12"/>
  <c r="Q348" i="12"/>
  <c r="R348" i="12"/>
  <c r="S348" i="12"/>
  <c r="T348" i="12"/>
  <c r="U348" i="12"/>
  <c r="V348" i="12"/>
  <c r="O349" i="12"/>
  <c r="P349" i="12"/>
  <c r="Q349" i="12"/>
  <c r="R349" i="12"/>
  <c r="S349" i="12"/>
  <c r="T349" i="12"/>
  <c r="U349" i="12"/>
  <c r="V349" i="12"/>
  <c r="O350" i="12"/>
  <c r="P350" i="12"/>
  <c r="Q350" i="12"/>
  <c r="R350" i="12"/>
  <c r="S350" i="12"/>
  <c r="T350" i="12"/>
  <c r="U350" i="12"/>
  <c r="V350" i="12"/>
  <c r="O351" i="12"/>
  <c r="P351" i="12"/>
  <c r="Q351" i="12"/>
  <c r="R351" i="12"/>
  <c r="S351" i="12"/>
  <c r="T351" i="12"/>
  <c r="U351" i="12"/>
  <c r="V351" i="12"/>
  <c r="O352" i="12"/>
  <c r="P352" i="12"/>
  <c r="Q352" i="12"/>
  <c r="R352" i="12"/>
  <c r="S352" i="12"/>
  <c r="T352" i="12"/>
  <c r="U352" i="12"/>
  <c r="V352" i="12"/>
  <c r="O353" i="12"/>
  <c r="P353" i="12"/>
  <c r="Q353" i="12"/>
  <c r="R353" i="12"/>
  <c r="S353" i="12"/>
  <c r="T353" i="12"/>
  <c r="U353" i="12"/>
  <c r="V353" i="12"/>
  <c r="O354" i="12"/>
  <c r="P354" i="12"/>
  <c r="Q354" i="12"/>
  <c r="R354" i="12"/>
  <c r="S354" i="12"/>
  <c r="T354" i="12"/>
  <c r="U354" i="12"/>
  <c r="V354" i="12"/>
  <c r="O355" i="12"/>
  <c r="P355" i="12"/>
  <c r="Q355" i="12"/>
  <c r="R355" i="12"/>
  <c r="S355" i="12"/>
  <c r="T355" i="12"/>
  <c r="U355" i="12"/>
  <c r="V355" i="12"/>
  <c r="O356" i="12"/>
  <c r="P356" i="12"/>
  <c r="Q356" i="12"/>
  <c r="R356" i="12"/>
  <c r="S356" i="12"/>
  <c r="T356" i="12"/>
  <c r="U356" i="12"/>
  <c r="V356" i="12"/>
  <c r="O357" i="12"/>
  <c r="P357" i="12"/>
  <c r="Q357" i="12"/>
  <c r="R357" i="12"/>
  <c r="S357" i="12"/>
  <c r="T357" i="12"/>
  <c r="U357" i="12"/>
  <c r="V357" i="12"/>
  <c r="O358" i="12"/>
  <c r="P358" i="12"/>
  <c r="Q358" i="12"/>
  <c r="R358" i="12"/>
  <c r="S358" i="12"/>
  <c r="T358" i="12"/>
  <c r="U358" i="12"/>
  <c r="V358" i="12"/>
  <c r="O359" i="12"/>
  <c r="P359" i="12"/>
  <c r="Q359" i="12"/>
  <c r="R359" i="12"/>
  <c r="S359" i="12"/>
  <c r="T359" i="12"/>
  <c r="U359" i="12"/>
  <c r="V359" i="12"/>
  <c r="O360" i="12"/>
  <c r="P360" i="12"/>
  <c r="Q360" i="12"/>
  <c r="R360" i="12"/>
  <c r="S360" i="12"/>
  <c r="T360" i="12"/>
  <c r="U360" i="12"/>
  <c r="V360" i="12"/>
  <c r="O361" i="12"/>
  <c r="P361" i="12"/>
  <c r="Q361" i="12"/>
  <c r="R361" i="12"/>
  <c r="S361" i="12"/>
  <c r="T361" i="12"/>
  <c r="U361" i="12"/>
  <c r="V361" i="12"/>
  <c r="O362" i="12"/>
  <c r="P362" i="12"/>
  <c r="Q362" i="12"/>
  <c r="R362" i="12"/>
  <c r="S362" i="12"/>
  <c r="T362" i="12"/>
  <c r="U362" i="12"/>
  <c r="V362" i="12"/>
  <c r="O363" i="12"/>
  <c r="P363" i="12"/>
  <c r="Q363" i="12"/>
  <c r="R363" i="12"/>
  <c r="S363" i="12"/>
  <c r="T363" i="12"/>
  <c r="U363" i="12"/>
  <c r="V363" i="12"/>
  <c r="O364" i="12"/>
  <c r="P364" i="12"/>
  <c r="Q364" i="12"/>
  <c r="R364" i="12"/>
  <c r="S364" i="12"/>
  <c r="T364" i="12"/>
  <c r="U364" i="12"/>
  <c r="V364" i="12"/>
  <c r="O365" i="12"/>
  <c r="P365" i="12"/>
  <c r="Q365" i="12"/>
  <c r="R365" i="12"/>
  <c r="S365" i="12"/>
  <c r="T365" i="12"/>
  <c r="U365" i="12"/>
  <c r="V365" i="12"/>
  <c r="O366" i="12"/>
  <c r="P366" i="12"/>
  <c r="Q366" i="12"/>
  <c r="R366" i="12"/>
  <c r="S366" i="12"/>
  <c r="T366" i="12"/>
  <c r="U366" i="12"/>
  <c r="V366" i="12"/>
  <c r="O367" i="12"/>
  <c r="P367" i="12"/>
  <c r="Q367" i="12"/>
  <c r="R367" i="12"/>
  <c r="S367" i="12"/>
  <c r="T367" i="12"/>
  <c r="U367" i="12"/>
  <c r="V367" i="12"/>
  <c r="O368" i="12"/>
  <c r="P368" i="12"/>
  <c r="Q368" i="12"/>
  <c r="R368" i="12"/>
  <c r="S368" i="12"/>
  <c r="T368" i="12"/>
  <c r="U368" i="12"/>
  <c r="V368" i="12"/>
  <c r="O369" i="12"/>
  <c r="P369" i="12"/>
  <c r="Q369" i="12"/>
  <c r="R369" i="12"/>
  <c r="S369" i="12"/>
  <c r="T369" i="12"/>
  <c r="U369" i="12"/>
  <c r="V369" i="12"/>
  <c r="O370" i="12"/>
  <c r="P370" i="12"/>
  <c r="Q370" i="12"/>
  <c r="R370" i="12"/>
  <c r="S370" i="12"/>
  <c r="T370" i="12"/>
  <c r="U370" i="12"/>
  <c r="V370" i="12"/>
  <c r="O371" i="12"/>
  <c r="P371" i="12"/>
  <c r="Q371" i="12"/>
  <c r="R371" i="12"/>
  <c r="S371" i="12"/>
  <c r="T371" i="12"/>
  <c r="U371" i="12"/>
  <c r="V371" i="12"/>
  <c r="O372" i="12"/>
  <c r="P372" i="12"/>
  <c r="Q372" i="12"/>
  <c r="R372" i="12"/>
  <c r="S372" i="12"/>
  <c r="T372" i="12"/>
  <c r="U372" i="12"/>
  <c r="V372" i="12"/>
  <c r="O373" i="12"/>
  <c r="P373" i="12"/>
  <c r="Q373" i="12"/>
  <c r="R373" i="12"/>
  <c r="S373" i="12"/>
  <c r="T373" i="12"/>
  <c r="U373" i="12"/>
  <c r="V373" i="12"/>
  <c r="O374" i="12"/>
  <c r="P374" i="12"/>
  <c r="Q374" i="12"/>
  <c r="R374" i="12"/>
  <c r="S374" i="12"/>
  <c r="T374" i="12"/>
  <c r="U374" i="12"/>
  <c r="V374" i="12"/>
  <c r="O375" i="12"/>
  <c r="P375" i="12"/>
  <c r="Q375" i="12"/>
  <c r="R375" i="12"/>
  <c r="S375" i="12"/>
  <c r="T375" i="12"/>
  <c r="U375" i="12"/>
  <c r="V375" i="12"/>
  <c r="O376" i="12"/>
  <c r="P376" i="12"/>
  <c r="Q376" i="12"/>
  <c r="R376" i="12"/>
  <c r="S376" i="12"/>
  <c r="T376" i="12"/>
  <c r="U376" i="12"/>
  <c r="V376" i="12"/>
  <c r="O377" i="12"/>
  <c r="P377" i="12"/>
  <c r="Q377" i="12"/>
  <c r="R377" i="12"/>
  <c r="S377" i="12"/>
  <c r="T377" i="12"/>
  <c r="U377" i="12"/>
  <c r="V377" i="12"/>
  <c r="O378" i="12"/>
  <c r="P378" i="12"/>
  <c r="Q378" i="12"/>
  <c r="R378" i="12"/>
  <c r="S378" i="12"/>
  <c r="T378" i="12"/>
  <c r="U378" i="12"/>
  <c r="V378" i="12"/>
  <c r="O379" i="12"/>
  <c r="P379" i="12"/>
  <c r="Q379" i="12"/>
  <c r="R379" i="12"/>
  <c r="S379" i="12"/>
  <c r="T379" i="12"/>
  <c r="U379" i="12"/>
  <c r="V379" i="12"/>
  <c r="O380" i="12"/>
  <c r="P380" i="12"/>
  <c r="Q380" i="12"/>
  <c r="R380" i="12"/>
  <c r="S380" i="12"/>
  <c r="T380" i="12"/>
  <c r="U380" i="12"/>
  <c r="V380" i="12"/>
  <c r="O381" i="12"/>
  <c r="P381" i="12"/>
  <c r="Q381" i="12"/>
  <c r="R381" i="12"/>
  <c r="S381" i="12"/>
  <c r="T381" i="12"/>
  <c r="U381" i="12"/>
  <c r="V381" i="12"/>
  <c r="O382" i="12"/>
  <c r="P382" i="12"/>
  <c r="Q382" i="12"/>
  <c r="R382" i="12"/>
  <c r="S382" i="12"/>
  <c r="T382" i="12"/>
  <c r="U382" i="12"/>
  <c r="V382" i="12"/>
  <c r="O383" i="12"/>
  <c r="P383" i="12"/>
  <c r="Q383" i="12"/>
  <c r="R383" i="12"/>
  <c r="S383" i="12"/>
  <c r="T383" i="12"/>
  <c r="U383" i="12"/>
  <c r="V383" i="12"/>
  <c r="O384" i="12"/>
  <c r="P384" i="12"/>
  <c r="Q384" i="12"/>
  <c r="R384" i="12"/>
  <c r="S384" i="12"/>
  <c r="T384" i="12"/>
  <c r="U384" i="12"/>
  <c r="V384" i="12"/>
  <c r="O385" i="12"/>
  <c r="P385" i="12"/>
  <c r="Q385" i="12"/>
  <c r="R385" i="12"/>
  <c r="S385" i="12"/>
  <c r="T385" i="12"/>
  <c r="U385" i="12"/>
  <c r="V385" i="12"/>
  <c r="O386" i="12"/>
  <c r="P386" i="12"/>
  <c r="Q386" i="12"/>
  <c r="R386" i="12"/>
  <c r="S386" i="12"/>
  <c r="T386" i="12"/>
  <c r="U386" i="12"/>
  <c r="V386" i="12"/>
  <c r="O387" i="12"/>
  <c r="P387" i="12"/>
  <c r="Q387" i="12"/>
  <c r="R387" i="12"/>
  <c r="S387" i="12"/>
  <c r="T387" i="12"/>
  <c r="U387" i="12"/>
  <c r="V387" i="12"/>
  <c r="O388" i="12"/>
  <c r="P388" i="12"/>
  <c r="Q388" i="12"/>
  <c r="R388" i="12"/>
  <c r="S388" i="12"/>
  <c r="T388" i="12"/>
  <c r="U388" i="12"/>
  <c r="V388" i="12"/>
  <c r="O389" i="12"/>
  <c r="P389" i="12"/>
  <c r="Q389" i="12"/>
  <c r="R389" i="12"/>
  <c r="S389" i="12"/>
  <c r="T389" i="12"/>
  <c r="U389" i="12"/>
  <c r="V389" i="12"/>
  <c r="O390" i="12"/>
  <c r="P390" i="12"/>
  <c r="Q390" i="12"/>
  <c r="R390" i="12"/>
  <c r="S390" i="12"/>
  <c r="T390" i="12"/>
  <c r="U390" i="12"/>
  <c r="V390" i="12"/>
  <c r="O391" i="12"/>
  <c r="P391" i="12"/>
  <c r="Q391" i="12"/>
  <c r="R391" i="12"/>
  <c r="S391" i="12"/>
  <c r="T391" i="12"/>
  <c r="U391" i="12"/>
  <c r="V391" i="12"/>
  <c r="O392" i="12"/>
  <c r="P392" i="12"/>
  <c r="Q392" i="12"/>
  <c r="R392" i="12"/>
  <c r="S392" i="12"/>
  <c r="T392" i="12"/>
  <c r="U392" i="12"/>
  <c r="V392" i="12"/>
  <c r="O393" i="12"/>
  <c r="P393" i="12"/>
  <c r="Q393" i="12"/>
  <c r="R393" i="12"/>
  <c r="S393" i="12"/>
  <c r="T393" i="12"/>
  <c r="U393" i="12"/>
  <c r="V393" i="12"/>
  <c r="O394" i="12"/>
  <c r="P394" i="12"/>
  <c r="Q394" i="12"/>
  <c r="R394" i="12"/>
  <c r="S394" i="12"/>
  <c r="T394" i="12"/>
  <c r="U394" i="12"/>
  <c r="V394" i="12"/>
  <c r="O395" i="12"/>
  <c r="P395" i="12"/>
  <c r="Q395" i="12"/>
  <c r="R395" i="12"/>
  <c r="S395" i="12"/>
  <c r="T395" i="12"/>
  <c r="U395" i="12"/>
  <c r="V395" i="12"/>
  <c r="O396" i="12"/>
  <c r="P396" i="12"/>
  <c r="Q396" i="12"/>
  <c r="R396" i="12"/>
  <c r="S396" i="12"/>
  <c r="T396" i="12"/>
  <c r="U396" i="12"/>
  <c r="V396" i="12"/>
  <c r="O397" i="12"/>
  <c r="P397" i="12"/>
  <c r="Q397" i="12"/>
  <c r="R397" i="12"/>
  <c r="S397" i="12"/>
  <c r="T397" i="12"/>
  <c r="U397" i="12"/>
  <c r="V397" i="12"/>
  <c r="O398" i="12"/>
  <c r="P398" i="12"/>
  <c r="Q398" i="12"/>
  <c r="R398" i="12"/>
  <c r="S398" i="12"/>
  <c r="T398" i="12"/>
  <c r="U398" i="12"/>
  <c r="V398" i="12"/>
  <c r="O399" i="12"/>
  <c r="P399" i="12"/>
  <c r="Q399" i="12"/>
  <c r="R399" i="12"/>
  <c r="S399" i="12"/>
  <c r="T399" i="12"/>
  <c r="U399" i="12"/>
  <c r="V399" i="12"/>
  <c r="O400" i="12"/>
  <c r="P400" i="12"/>
  <c r="Q400" i="12"/>
  <c r="R400" i="12"/>
  <c r="S400" i="12"/>
  <c r="T400" i="12"/>
  <c r="U400" i="12"/>
  <c r="V400" i="12"/>
  <c r="O401" i="12"/>
  <c r="P401" i="12"/>
  <c r="Q401" i="12"/>
  <c r="R401" i="12"/>
  <c r="S401" i="12"/>
  <c r="T401" i="12"/>
  <c r="U401" i="12"/>
  <c r="V401" i="12"/>
  <c r="O402" i="12"/>
  <c r="P402" i="12"/>
  <c r="Q402" i="12"/>
  <c r="R402" i="12"/>
  <c r="S402" i="12"/>
  <c r="T402" i="12"/>
  <c r="U402" i="12"/>
  <c r="V402" i="12"/>
  <c r="O403" i="12"/>
  <c r="P403" i="12"/>
  <c r="Q403" i="12"/>
  <c r="R403" i="12"/>
  <c r="S403" i="12"/>
  <c r="T403" i="12"/>
  <c r="U403" i="12"/>
  <c r="V403" i="12"/>
  <c r="O404" i="12"/>
  <c r="P404" i="12"/>
  <c r="Q404" i="12"/>
  <c r="R404" i="12"/>
  <c r="S404" i="12"/>
  <c r="T404" i="12"/>
  <c r="U404" i="12"/>
  <c r="V404" i="12"/>
  <c r="O405" i="12"/>
  <c r="P405" i="12"/>
  <c r="Q405" i="12"/>
  <c r="R405" i="12"/>
  <c r="S405" i="12"/>
  <c r="T405" i="12"/>
  <c r="U405" i="12"/>
  <c r="V405" i="12"/>
  <c r="O406" i="12"/>
  <c r="P406" i="12"/>
  <c r="Q406" i="12"/>
  <c r="R406" i="12"/>
  <c r="S406" i="12"/>
  <c r="T406" i="12"/>
  <c r="U406" i="12"/>
  <c r="V406" i="12"/>
  <c r="O407" i="12"/>
  <c r="P407" i="12"/>
  <c r="Q407" i="12"/>
  <c r="R407" i="12"/>
  <c r="S407" i="12"/>
  <c r="T407" i="12"/>
  <c r="U407" i="12"/>
  <c r="V407" i="12"/>
  <c r="O408" i="12"/>
  <c r="P408" i="12"/>
  <c r="Q408" i="12"/>
  <c r="R408" i="12"/>
  <c r="S408" i="12"/>
  <c r="T408" i="12"/>
  <c r="U408" i="12"/>
  <c r="V408" i="12"/>
  <c r="O409" i="12"/>
  <c r="P409" i="12"/>
  <c r="Q409" i="12"/>
  <c r="R409" i="12"/>
  <c r="S409" i="12"/>
  <c r="T409" i="12"/>
  <c r="U409" i="12"/>
  <c r="V409" i="12"/>
  <c r="O410" i="12"/>
  <c r="P410" i="12"/>
  <c r="Q410" i="12"/>
  <c r="R410" i="12"/>
  <c r="S410" i="12"/>
  <c r="T410" i="12"/>
  <c r="U410" i="12"/>
  <c r="V410" i="12"/>
  <c r="O411" i="12"/>
  <c r="P411" i="12"/>
  <c r="Q411" i="12"/>
  <c r="R411" i="12"/>
  <c r="S411" i="12"/>
  <c r="T411" i="12"/>
  <c r="U411" i="12"/>
  <c r="V411" i="12"/>
  <c r="O412" i="12"/>
  <c r="P412" i="12"/>
  <c r="Q412" i="12"/>
  <c r="R412" i="12"/>
  <c r="S412" i="12"/>
  <c r="T412" i="12"/>
  <c r="U412" i="12"/>
  <c r="V412" i="12"/>
  <c r="O413" i="12"/>
  <c r="P413" i="12"/>
  <c r="Q413" i="12"/>
  <c r="R413" i="12"/>
  <c r="S413" i="12"/>
  <c r="T413" i="12"/>
  <c r="U413" i="12"/>
  <c r="V413" i="12"/>
  <c r="O414" i="12"/>
  <c r="P414" i="12"/>
  <c r="Q414" i="12"/>
  <c r="R414" i="12"/>
  <c r="S414" i="12"/>
  <c r="T414" i="12"/>
  <c r="U414" i="12"/>
  <c r="V414" i="12"/>
  <c r="O415" i="12"/>
  <c r="P415" i="12"/>
  <c r="Q415" i="12"/>
  <c r="R415" i="12"/>
  <c r="S415" i="12"/>
  <c r="T415" i="12"/>
  <c r="U415" i="12"/>
  <c r="V415" i="12"/>
  <c r="O416" i="12"/>
  <c r="P416" i="12"/>
  <c r="Q416" i="12"/>
  <c r="R416" i="12"/>
  <c r="S416" i="12"/>
  <c r="T416" i="12"/>
  <c r="U416" i="12"/>
  <c r="V416" i="12"/>
  <c r="O417" i="12"/>
  <c r="P417" i="12"/>
  <c r="Q417" i="12"/>
  <c r="R417" i="12"/>
  <c r="S417" i="12"/>
  <c r="T417" i="12"/>
  <c r="U417" i="12"/>
  <c r="V417" i="12"/>
  <c r="O418" i="12"/>
  <c r="P418" i="12"/>
  <c r="Q418" i="12"/>
  <c r="R418" i="12"/>
  <c r="S418" i="12"/>
  <c r="T418" i="12"/>
  <c r="U418" i="12"/>
  <c r="V418" i="12"/>
  <c r="O419" i="12"/>
  <c r="P419" i="12"/>
  <c r="Q419" i="12"/>
  <c r="R419" i="12"/>
  <c r="S419" i="12"/>
  <c r="T419" i="12"/>
  <c r="U419" i="12"/>
  <c r="V419" i="12"/>
  <c r="O420" i="12"/>
  <c r="P420" i="12"/>
  <c r="Q420" i="12"/>
  <c r="R420" i="12"/>
  <c r="S420" i="12"/>
  <c r="T420" i="12"/>
  <c r="U420" i="12"/>
  <c r="V420" i="12"/>
  <c r="O421" i="12"/>
  <c r="P421" i="12"/>
  <c r="Q421" i="12"/>
  <c r="R421" i="12"/>
  <c r="S421" i="12"/>
  <c r="T421" i="12"/>
  <c r="U421" i="12"/>
  <c r="V421" i="12"/>
  <c r="O422" i="12"/>
  <c r="P422" i="12"/>
  <c r="Q422" i="12"/>
  <c r="R422" i="12"/>
  <c r="S422" i="12"/>
  <c r="T422" i="12"/>
  <c r="U422" i="12"/>
  <c r="V422" i="12"/>
  <c r="O423" i="12"/>
  <c r="P423" i="12"/>
  <c r="Q423" i="12"/>
  <c r="R423" i="12"/>
  <c r="S423" i="12"/>
  <c r="T423" i="12"/>
  <c r="U423" i="12"/>
  <c r="V423" i="12"/>
  <c r="O424" i="12"/>
  <c r="P424" i="12"/>
  <c r="Q424" i="12"/>
  <c r="R424" i="12"/>
  <c r="S424" i="12"/>
  <c r="T424" i="12"/>
  <c r="U424" i="12"/>
  <c r="V424" i="12"/>
  <c r="O425" i="12"/>
  <c r="P425" i="12"/>
  <c r="Q425" i="12"/>
  <c r="R425" i="12"/>
  <c r="S425" i="12"/>
  <c r="T425" i="12"/>
  <c r="U425" i="12"/>
  <c r="V425" i="12"/>
  <c r="O426" i="12"/>
  <c r="P426" i="12"/>
  <c r="Q426" i="12"/>
  <c r="R426" i="12"/>
  <c r="S426" i="12"/>
  <c r="T426" i="12"/>
  <c r="U426" i="12"/>
  <c r="V426" i="12"/>
  <c r="O427" i="12"/>
  <c r="P427" i="12"/>
  <c r="Q427" i="12"/>
  <c r="R427" i="12"/>
  <c r="S427" i="12"/>
  <c r="T427" i="12"/>
  <c r="U427" i="12"/>
  <c r="V427" i="12"/>
  <c r="O428" i="12"/>
  <c r="P428" i="12"/>
  <c r="Q428" i="12"/>
  <c r="R428" i="12"/>
  <c r="S428" i="12"/>
  <c r="T428" i="12"/>
  <c r="U428" i="12"/>
  <c r="V428" i="12"/>
  <c r="O429" i="12"/>
  <c r="P429" i="12"/>
  <c r="Q429" i="12"/>
  <c r="R429" i="12"/>
  <c r="S429" i="12"/>
  <c r="T429" i="12"/>
  <c r="U429" i="12"/>
  <c r="V429" i="12"/>
  <c r="O430" i="12"/>
  <c r="P430" i="12"/>
  <c r="Q430" i="12"/>
  <c r="R430" i="12"/>
  <c r="S430" i="12"/>
  <c r="T430" i="12"/>
  <c r="U430" i="12"/>
  <c r="V430" i="12"/>
  <c r="O431" i="12"/>
  <c r="P431" i="12"/>
  <c r="Q431" i="12"/>
  <c r="R431" i="12"/>
  <c r="S431" i="12"/>
  <c r="T431" i="12"/>
  <c r="U431" i="12"/>
  <c r="V431" i="12"/>
  <c r="O432" i="12"/>
  <c r="P432" i="12"/>
  <c r="Q432" i="12"/>
  <c r="R432" i="12"/>
  <c r="S432" i="12"/>
  <c r="T432" i="12"/>
  <c r="U432" i="12"/>
  <c r="V432" i="12"/>
  <c r="O433" i="12"/>
  <c r="P433" i="12"/>
  <c r="Q433" i="12"/>
  <c r="R433" i="12"/>
  <c r="S433" i="12"/>
  <c r="T433" i="12"/>
  <c r="U433" i="12"/>
  <c r="V433" i="12"/>
  <c r="O434" i="12"/>
  <c r="P434" i="12"/>
  <c r="Q434" i="12"/>
  <c r="R434" i="12"/>
  <c r="S434" i="12"/>
  <c r="T434" i="12"/>
  <c r="U434" i="12"/>
  <c r="V434" i="12"/>
  <c r="O435" i="12"/>
  <c r="P435" i="12"/>
  <c r="Q435" i="12"/>
  <c r="R435" i="12"/>
  <c r="S435" i="12"/>
  <c r="T435" i="12"/>
  <c r="U435" i="12"/>
  <c r="V435" i="12"/>
  <c r="O436" i="12"/>
  <c r="P436" i="12"/>
  <c r="Q436" i="12"/>
  <c r="R436" i="12"/>
  <c r="S436" i="12"/>
  <c r="T436" i="12"/>
  <c r="U436" i="12"/>
  <c r="V436" i="12"/>
  <c r="O437" i="12"/>
  <c r="P437" i="12"/>
  <c r="Q437" i="12"/>
  <c r="R437" i="12"/>
  <c r="S437" i="12"/>
  <c r="T437" i="12"/>
  <c r="U437" i="12"/>
  <c r="V437" i="12"/>
  <c r="O438" i="12"/>
  <c r="P438" i="12"/>
  <c r="Q438" i="12"/>
  <c r="R438" i="12"/>
  <c r="S438" i="12"/>
  <c r="T438" i="12"/>
  <c r="U438" i="12"/>
  <c r="V438" i="12"/>
  <c r="O439" i="12"/>
  <c r="P439" i="12"/>
  <c r="Q439" i="12"/>
  <c r="R439" i="12"/>
  <c r="S439" i="12"/>
  <c r="T439" i="12"/>
  <c r="U439" i="12"/>
  <c r="V439" i="12"/>
  <c r="O440" i="12"/>
  <c r="P440" i="12"/>
  <c r="Q440" i="12"/>
  <c r="R440" i="12"/>
  <c r="S440" i="12"/>
  <c r="T440" i="12"/>
  <c r="U440" i="12"/>
  <c r="V440" i="12"/>
  <c r="O441" i="12"/>
  <c r="P441" i="12"/>
  <c r="Q441" i="12"/>
  <c r="R441" i="12"/>
  <c r="S441" i="12"/>
  <c r="T441" i="12"/>
  <c r="U441" i="12"/>
  <c r="V441" i="12"/>
  <c r="O442" i="12"/>
  <c r="P442" i="12"/>
  <c r="Q442" i="12"/>
  <c r="R442" i="12"/>
  <c r="S442" i="12"/>
  <c r="T442" i="12"/>
  <c r="U442" i="12"/>
  <c r="V442" i="12"/>
  <c r="O443" i="12"/>
  <c r="P443" i="12"/>
  <c r="Q443" i="12"/>
  <c r="R443" i="12"/>
  <c r="S443" i="12"/>
  <c r="T443" i="12"/>
  <c r="U443" i="12"/>
  <c r="V443" i="12"/>
  <c r="O444" i="12"/>
  <c r="P444" i="12"/>
  <c r="Q444" i="12"/>
  <c r="R444" i="12"/>
  <c r="S444" i="12"/>
  <c r="T444" i="12"/>
  <c r="U444" i="12"/>
  <c r="V444" i="12"/>
  <c r="O445" i="12"/>
  <c r="P445" i="12"/>
  <c r="Q445" i="12"/>
  <c r="R445" i="12"/>
  <c r="S445" i="12"/>
  <c r="T445" i="12"/>
  <c r="U445" i="12"/>
  <c r="V445" i="12"/>
  <c r="O446" i="12"/>
  <c r="P446" i="12"/>
  <c r="Q446" i="12"/>
  <c r="R446" i="12"/>
  <c r="S446" i="12"/>
  <c r="T446" i="12"/>
  <c r="U446" i="12"/>
  <c r="V446" i="12"/>
  <c r="O447" i="12"/>
  <c r="P447" i="12"/>
  <c r="Q447" i="12"/>
  <c r="R447" i="12"/>
  <c r="S447" i="12"/>
  <c r="T447" i="12"/>
  <c r="U447" i="12"/>
  <c r="V447" i="12"/>
  <c r="O448" i="12"/>
  <c r="P448" i="12"/>
  <c r="Q448" i="12"/>
  <c r="R448" i="12"/>
  <c r="S448" i="12"/>
  <c r="T448" i="12"/>
  <c r="U448" i="12"/>
  <c r="V448" i="12"/>
  <c r="O449" i="12"/>
  <c r="P449" i="12"/>
  <c r="Q449" i="12"/>
  <c r="R449" i="12"/>
  <c r="S449" i="12"/>
  <c r="T449" i="12"/>
  <c r="U449" i="12"/>
  <c r="V449" i="12"/>
  <c r="O450" i="12"/>
  <c r="P450" i="12"/>
  <c r="Q450" i="12"/>
  <c r="R450" i="12"/>
  <c r="S450" i="12"/>
  <c r="T450" i="12"/>
  <c r="U450" i="12"/>
  <c r="V450" i="12"/>
  <c r="O451" i="12"/>
  <c r="P451" i="12"/>
  <c r="Q451" i="12"/>
  <c r="R451" i="12"/>
  <c r="S451" i="12"/>
  <c r="T451" i="12"/>
  <c r="U451" i="12"/>
  <c r="V451" i="12"/>
  <c r="O452" i="12"/>
  <c r="P452" i="12"/>
  <c r="Q452" i="12"/>
  <c r="R452" i="12"/>
  <c r="S452" i="12"/>
  <c r="T452" i="12"/>
  <c r="U452" i="12"/>
  <c r="V452" i="12"/>
  <c r="O453" i="12"/>
  <c r="P453" i="12"/>
  <c r="Q453" i="12"/>
  <c r="R453" i="12"/>
  <c r="S453" i="12"/>
  <c r="T453" i="12"/>
  <c r="U453" i="12"/>
  <c r="V453" i="12"/>
  <c r="O454" i="12"/>
  <c r="P454" i="12"/>
  <c r="Q454" i="12"/>
  <c r="R454" i="12"/>
  <c r="S454" i="12"/>
  <c r="T454" i="12"/>
  <c r="U454" i="12"/>
  <c r="V454" i="12"/>
  <c r="O455" i="12"/>
  <c r="P455" i="12"/>
  <c r="Q455" i="12"/>
  <c r="R455" i="12"/>
  <c r="S455" i="12"/>
  <c r="T455" i="12"/>
  <c r="U455" i="12"/>
  <c r="V455" i="12"/>
  <c r="O456" i="12"/>
  <c r="P456" i="12"/>
  <c r="Q456" i="12"/>
  <c r="R456" i="12"/>
  <c r="S456" i="12"/>
  <c r="T456" i="12"/>
  <c r="U456" i="12"/>
  <c r="V456" i="12"/>
  <c r="O457" i="12"/>
  <c r="P457" i="12"/>
  <c r="Q457" i="12"/>
  <c r="R457" i="12"/>
  <c r="S457" i="12"/>
  <c r="T457" i="12"/>
  <c r="U457" i="12"/>
  <c r="V457" i="12"/>
  <c r="O458" i="12"/>
  <c r="P458" i="12"/>
  <c r="Q458" i="12"/>
  <c r="R458" i="12"/>
  <c r="S458" i="12"/>
  <c r="T458" i="12"/>
  <c r="U458" i="12"/>
  <c r="V458" i="12"/>
  <c r="O459" i="12"/>
  <c r="P459" i="12"/>
  <c r="Q459" i="12"/>
  <c r="R459" i="12"/>
  <c r="S459" i="12"/>
  <c r="T459" i="12"/>
  <c r="U459" i="12"/>
  <c r="V459" i="12"/>
  <c r="O460" i="12"/>
  <c r="P460" i="12"/>
  <c r="Q460" i="12"/>
  <c r="R460" i="12"/>
  <c r="S460" i="12"/>
  <c r="T460" i="12"/>
  <c r="U460" i="12"/>
  <c r="V460" i="12"/>
  <c r="O461" i="12"/>
  <c r="P461" i="12"/>
  <c r="Q461" i="12"/>
  <c r="R461" i="12"/>
  <c r="S461" i="12"/>
  <c r="T461" i="12"/>
  <c r="U461" i="12"/>
  <c r="V461" i="12"/>
  <c r="O462" i="12"/>
  <c r="P462" i="12"/>
  <c r="Q462" i="12"/>
  <c r="R462" i="12"/>
  <c r="S462" i="12"/>
  <c r="T462" i="12"/>
  <c r="U462" i="12"/>
  <c r="V462" i="12"/>
  <c r="O463" i="12"/>
  <c r="P463" i="12"/>
  <c r="Q463" i="12"/>
  <c r="R463" i="12"/>
  <c r="S463" i="12"/>
  <c r="T463" i="12"/>
  <c r="U463" i="12"/>
  <c r="V463" i="12"/>
  <c r="O464" i="12"/>
  <c r="P464" i="12"/>
  <c r="Q464" i="12"/>
  <c r="R464" i="12"/>
  <c r="S464" i="12"/>
  <c r="T464" i="12"/>
  <c r="U464" i="12"/>
  <c r="V464" i="12"/>
  <c r="O465" i="12"/>
  <c r="P465" i="12"/>
  <c r="Q465" i="12"/>
  <c r="R465" i="12"/>
  <c r="S465" i="12"/>
  <c r="T465" i="12"/>
  <c r="U465" i="12"/>
  <c r="V465" i="12"/>
  <c r="O466" i="12"/>
  <c r="P466" i="12"/>
  <c r="Q466" i="12"/>
  <c r="R466" i="12"/>
  <c r="S466" i="12"/>
  <c r="T466" i="12"/>
  <c r="U466" i="12"/>
  <c r="V466" i="12"/>
  <c r="O467" i="12"/>
  <c r="P467" i="12"/>
  <c r="Q467" i="12"/>
  <c r="R467" i="12"/>
  <c r="S467" i="12"/>
  <c r="T467" i="12"/>
  <c r="U467" i="12"/>
  <c r="V467" i="12"/>
  <c r="O468" i="12"/>
  <c r="P468" i="12"/>
  <c r="Q468" i="12"/>
  <c r="R468" i="12"/>
  <c r="S468" i="12"/>
  <c r="T468" i="12"/>
  <c r="U468" i="12"/>
  <c r="V468" i="12"/>
  <c r="O469" i="12"/>
  <c r="P469" i="12"/>
  <c r="Q469" i="12"/>
  <c r="R469" i="12"/>
  <c r="S469" i="12"/>
  <c r="T469" i="12"/>
  <c r="U469" i="12"/>
  <c r="V469" i="12"/>
  <c r="O470" i="12"/>
  <c r="P470" i="12"/>
  <c r="Q470" i="12"/>
  <c r="R470" i="12"/>
  <c r="S470" i="12"/>
  <c r="T470" i="12"/>
  <c r="U470" i="12"/>
  <c r="V470" i="12"/>
  <c r="O471" i="12"/>
  <c r="P471" i="12"/>
  <c r="Q471" i="12"/>
  <c r="R471" i="12"/>
  <c r="S471" i="12"/>
  <c r="T471" i="12"/>
  <c r="U471" i="12"/>
  <c r="V471" i="12"/>
  <c r="O472" i="12"/>
  <c r="P472" i="12"/>
  <c r="Q472" i="12"/>
  <c r="R472" i="12"/>
  <c r="S472" i="12"/>
  <c r="T472" i="12"/>
  <c r="U472" i="12"/>
  <c r="V472" i="12"/>
  <c r="O473" i="12"/>
  <c r="P473" i="12"/>
  <c r="Q473" i="12"/>
  <c r="R473" i="12"/>
  <c r="S473" i="12"/>
  <c r="T473" i="12"/>
  <c r="U473" i="12"/>
  <c r="V473" i="12"/>
  <c r="O474" i="12"/>
  <c r="P474" i="12"/>
  <c r="Q474" i="12"/>
  <c r="R474" i="12"/>
  <c r="S474" i="12"/>
  <c r="T474" i="12"/>
  <c r="U474" i="12"/>
  <c r="V474" i="12"/>
  <c r="O475" i="12"/>
  <c r="P475" i="12"/>
  <c r="Q475" i="12"/>
  <c r="R475" i="12"/>
  <c r="S475" i="12"/>
  <c r="T475" i="12"/>
  <c r="U475" i="12"/>
  <c r="V475" i="12"/>
  <c r="O476" i="12"/>
  <c r="P476" i="12"/>
  <c r="Q476" i="12"/>
  <c r="R476" i="12"/>
  <c r="S476" i="12"/>
  <c r="T476" i="12"/>
  <c r="U476" i="12"/>
  <c r="V476" i="12"/>
  <c r="O477" i="12"/>
  <c r="P477" i="12"/>
  <c r="Q477" i="12"/>
  <c r="R477" i="12"/>
  <c r="S477" i="12"/>
  <c r="T477" i="12"/>
  <c r="U477" i="12"/>
  <c r="V477" i="12"/>
  <c r="O478" i="12"/>
  <c r="P478" i="12"/>
  <c r="Q478" i="12"/>
  <c r="R478" i="12"/>
  <c r="S478" i="12"/>
  <c r="T478" i="12"/>
  <c r="U478" i="12"/>
  <c r="V478" i="12"/>
  <c r="O479" i="12"/>
  <c r="P479" i="12"/>
  <c r="Q479" i="12"/>
  <c r="R479" i="12"/>
  <c r="S479" i="12"/>
  <c r="T479" i="12"/>
  <c r="U479" i="12"/>
  <c r="V479" i="12"/>
  <c r="O480" i="12"/>
  <c r="P480" i="12"/>
  <c r="Q480" i="12"/>
  <c r="R480" i="12"/>
  <c r="S480" i="12"/>
  <c r="T480" i="12"/>
  <c r="U480" i="12"/>
  <c r="V480" i="12"/>
  <c r="O481" i="12"/>
  <c r="P481" i="12"/>
  <c r="Q481" i="12"/>
  <c r="R481" i="12"/>
  <c r="S481" i="12"/>
  <c r="T481" i="12"/>
  <c r="U481" i="12"/>
  <c r="V481" i="12"/>
  <c r="O482" i="12"/>
  <c r="P482" i="12"/>
  <c r="Q482" i="12"/>
  <c r="R482" i="12"/>
  <c r="S482" i="12"/>
  <c r="T482" i="12"/>
  <c r="U482" i="12"/>
  <c r="V482" i="12"/>
  <c r="O483" i="12"/>
  <c r="P483" i="12"/>
  <c r="Q483" i="12"/>
  <c r="R483" i="12"/>
  <c r="S483" i="12"/>
  <c r="T483" i="12"/>
  <c r="U483" i="12"/>
  <c r="V483" i="12"/>
  <c r="O484" i="12"/>
  <c r="P484" i="12"/>
  <c r="Q484" i="12"/>
  <c r="R484" i="12"/>
  <c r="S484" i="12"/>
  <c r="T484" i="12"/>
  <c r="U484" i="12"/>
  <c r="V484" i="12"/>
  <c r="O485" i="12"/>
  <c r="P485" i="12"/>
  <c r="Q485" i="12"/>
  <c r="R485" i="12"/>
  <c r="S485" i="12"/>
  <c r="T485" i="12"/>
  <c r="U485" i="12"/>
  <c r="V485" i="12"/>
  <c r="O486" i="12"/>
  <c r="P486" i="12"/>
  <c r="Q486" i="12"/>
  <c r="R486" i="12"/>
  <c r="S486" i="12"/>
  <c r="T486" i="12"/>
  <c r="U486" i="12"/>
  <c r="V486" i="12"/>
  <c r="O487" i="12"/>
  <c r="P487" i="12"/>
  <c r="Q487" i="12"/>
  <c r="R487" i="12"/>
  <c r="S487" i="12"/>
  <c r="T487" i="12"/>
  <c r="U487" i="12"/>
  <c r="V487" i="12"/>
  <c r="O488" i="12"/>
  <c r="P488" i="12"/>
  <c r="Q488" i="12"/>
  <c r="R488" i="12"/>
  <c r="S488" i="12"/>
  <c r="T488" i="12"/>
  <c r="U488" i="12"/>
  <c r="V488" i="12"/>
  <c r="O489" i="12"/>
  <c r="P489" i="12"/>
  <c r="Q489" i="12"/>
  <c r="R489" i="12"/>
  <c r="S489" i="12"/>
  <c r="T489" i="12"/>
  <c r="U489" i="12"/>
  <c r="V489" i="12"/>
  <c r="O490" i="12"/>
  <c r="P490" i="12"/>
  <c r="Q490" i="12"/>
  <c r="R490" i="12"/>
  <c r="S490" i="12"/>
  <c r="T490" i="12"/>
  <c r="U490" i="12"/>
  <c r="V490" i="12"/>
  <c r="O491" i="12"/>
  <c r="P491" i="12"/>
  <c r="Q491" i="12"/>
  <c r="R491" i="12"/>
  <c r="S491" i="12"/>
  <c r="T491" i="12"/>
  <c r="U491" i="12"/>
  <c r="V491" i="12"/>
  <c r="O492" i="12"/>
  <c r="P492" i="12"/>
  <c r="Q492" i="12"/>
  <c r="R492" i="12"/>
  <c r="S492" i="12"/>
  <c r="T492" i="12"/>
  <c r="U492" i="12"/>
  <c r="V492" i="12"/>
  <c r="O493" i="12"/>
  <c r="P493" i="12"/>
  <c r="Q493" i="12"/>
  <c r="R493" i="12"/>
  <c r="S493" i="12"/>
  <c r="T493" i="12"/>
  <c r="U493" i="12"/>
  <c r="V493" i="12"/>
  <c r="O494" i="12"/>
  <c r="P494" i="12"/>
  <c r="Q494" i="12"/>
  <c r="R494" i="12"/>
  <c r="S494" i="12"/>
  <c r="T494" i="12"/>
  <c r="U494" i="12"/>
  <c r="V494" i="12"/>
  <c r="O495" i="12"/>
  <c r="P495" i="12"/>
  <c r="Q495" i="12"/>
  <c r="R495" i="12"/>
  <c r="S495" i="12"/>
  <c r="T495" i="12"/>
  <c r="U495" i="12"/>
  <c r="V495" i="12"/>
  <c r="O496" i="12"/>
  <c r="P496" i="12"/>
  <c r="Q496" i="12"/>
  <c r="R496" i="12"/>
  <c r="S496" i="12"/>
  <c r="T496" i="12"/>
  <c r="U496" i="12"/>
  <c r="V496" i="12"/>
  <c r="O497" i="12"/>
  <c r="P497" i="12"/>
  <c r="Q497" i="12"/>
  <c r="R497" i="12"/>
  <c r="S497" i="12"/>
  <c r="T497" i="12"/>
  <c r="U497" i="12"/>
  <c r="V497" i="12"/>
  <c r="O498" i="12"/>
  <c r="P498" i="12"/>
  <c r="Q498" i="12"/>
  <c r="R498" i="12"/>
  <c r="S498" i="12"/>
  <c r="T498" i="12"/>
  <c r="U498" i="12"/>
  <c r="V498" i="12"/>
  <c r="O499" i="12"/>
  <c r="P499" i="12"/>
  <c r="Q499" i="12"/>
  <c r="R499" i="12"/>
  <c r="S499" i="12"/>
  <c r="T499" i="12"/>
  <c r="U499" i="12"/>
  <c r="V499" i="12"/>
  <c r="O500" i="12"/>
  <c r="P500" i="12"/>
  <c r="Q500" i="12"/>
  <c r="R500" i="12"/>
  <c r="S500" i="12"/>
  <c r="T500" i="12"/>
  <c r="U500" i="12"/>
  <c r="V500" i="12"/>
  <c r="O501" i="12"/>
  <c r="P501" i="12"/>
  <c r="Q501" i="12"/>
  <c r="R501" i="12"/>
  <c r="S501" i="12"/>
  <c r="T501" i="12"/>
  <c r="U501" i="12"/>
  <c r="V501" i="12"/>
  <c r="O502" i="12"/>
  <c r="P502" i="12"/>
  <c r="Q502" i="12"/>
  <c r="R502" i="12"/>
  <c r="S502" i="12"/>
  <c r="T502" i="12"/>
  <c r="U502" i="12"/>
  <c r="V502" i="12"/>
  <c r="O503" i="12"/>
  <c r="P503" i="12"/>
  <c r="Q503" i="12"/>
  <c r="R503" i="12"/>
  <c r="S503" i="12" s="1"/>
  <c r="T503" i="12"/>
  <c r="U503" i="12"/>
  <c r="V503" i="12"/>
  <c r="O504" i="12"/>
  <c r="P504" i="12"/>
  <c r="Q504" i="12"/>
  <c r="R504" i="12"/>
  <c r="S504" i="12"/>
  <c r="T504" i="12"/>
  <c r="U504" i="12"/>
  <c r="V504" i="12"/>
  <c r="O505" i="12"/>
  <c r="P505" i="12"/>
  <c r="Q505" i="12"/>
  <c r="R505" i="12"/>
  <c r="S505" i="12"/>
  <c r="T505" i="12"/>
  <c r="U505" i="12"/>
  <c r="V505" i="12"/>
  <c r="O506" i="12"/>
  <c r="P506" i="12"/>
  <c r="Q506" i="12"/>
  <c r="R506" i="12"/>
  <c r="S506" i="12" s="1"/>
  <c r="T506" i="12" s="1"/>
  <c r="U506" i="12"/>
  <c r="V506" i="12"/>
  <c r="O507" i="12"/>
  <c r="P507" i="12"/>
  <c r="Q507" i="12"/>
  <c r="R507" i="12"/>
  <c r="S507" i="12"/>
  <c r="T507" i="12"/>
  <c r="U507" i="12"/>
  <c r="V507" i="12"/>
  <c r="O508" i="12"/>
  <c r="P508" i="12"/>
  <c r="Q508" i="12"/>
  <c r="R508" i="12"/>
  <c r="S508" i="12"/>
  <c r="T508" i="12"/>
  <c r="U508" i="12"/>
  <c r="V508" i="12"/>
  <c r="O509" i="12"/>
  <c r="P509" i="12"/>
  <c r="Q509" i="12"/>
  <c r="R509" i="12"/>
  <c r="S509" i="12" s="1"/>
  <c r="T509" i="12"/>
  <c r="U509" i="12"/>
  <c r="V509" i="12"/>
  <c r="O510" i="12"/>
  <c r="P510" i="12"/>
  <c r="Q510" i="12"/>
  <c r="R510" i="12"/>
  <c r="S510" i="12"/>
  <c r="T510" i="12"/>
  <c r="U510" i="12"/>
  <c r="V510" i="12"/>
  <c r="O511" i="12"/>
  <c r="P511" i="12"/>
  <c r="Q511" i="12"/>
  <c r="R511" i="12"/>
  <c r="S511" i="12"/>
  <c r="T511" i="12"/>
  <c r="U511" i="12"/>
  <c r="V511" i="12"/>
  <c r="O512" i="12"/>
  <c r="P512" i="12"/>
  <c r="Q512" i="12"/>
  <c r="R512" i="12"/>
  <c r="S512" i="12"/>
  <c r="T512" i="12"/>
  <c r="U512" i="12"/>
  <c r="V512" i="12"/>
  <c r="O513" i="12"/>
  <c r="P513" i="12"/>
  <c r="Q513" i="12"/>
  <c r="R513" i="12"/>
  <c r="S513" i="12"/>
  <c r="T513" i="12"/>
  <c r="U513" i="12"/>
  <c r="V513" i="12"/>
  <c r="O514" i="12"/>
  <c r="P514" i="12"/>
  <c r="Q514" i="12"/>
  <c r="R514" i="12"/>
  <c r="S514" i="12"/>
  <c r="T514" i="12"/>
  <c r="U514" i="12"/>
  <c r="V514" i="12"/>
  <c r="O515" i="12"/>
  <c r="P515" i="12"/>
  <c r="Q515" i="12"/>
  <c r="R515" i="12"/>
  <c r="S515" i="12"/>
  <c r="T515" i="12"/>
  <c r="U515" i="12"/>
  <c r="V515" i="12"/>
  <c r="O516" i="12"/>
  <c r="P516" i="12"/>
  <c r="Q516" i="12"/>
  <c r="R516" i="12"/>
  <c r="S516" i="12"/>
  <c r="T516" i="12"/>
  <c r="U516" i="12"/>
  <c r="V516" i="12"/>
  <c r="O517" i="12"/>
  <c r="P517" i="12"/>
  <c r="Q517" i="12"/>
  <c r="R517" i="12"/>
  <c r="S517" i="12"/>
  <c r="T517" i="12"/>
  <c r="U517" i="12"/>
  <c r="V517" i="12"/>
  <c r="O518" i="12"/>
  <c r="P518" i="12"/>
  <c r="Q518" i="12"/>
  <c r="R518" i="12"/>
  <c r="S518" i="12"/>
  <c r="T518" i="12"/>
  <c r="U518" i="12"/>
  <c r="V518" i="12"/>
  <c r="O519" i="12"/>
  <c r="P519" i="12"/>
  <c r="Q519" i="12"/>
  <c r="R519" i="12"/>
  <c r="S519" i="12"/>
  <c r="T519" i="12"/>
  <c r="U519" i="12"/>
  <c r="V519" i="12"/>
  <c r="O520" i="12"/>
  <c r="P520" i="12"/>
  <c r="Q520" i="12"/>
  <c r="R520" i="12"/>
  <c r="S520" i="12"/>
  <c r="T520" i="12"/>
  <c r="U520" i="12"/>
  <c r="V520" i="12"/>
  <c r="O521" i="12"/>
  <c r="P521" i="12"/>
  <c r="Q521" i="12"/>
  <c r="R521" i="12"/>
  <c r="S521" i="12"/>
  <c r="T521" i="12"/>
  <c r="U521" i="12"/>
  <c r="V521" i="12"/>
  <c r="O522" i="12"/>
  <c r="P522" i="12"/>
  <c r="Q522" i="12"/>
  <c r="R522" i="12"/>
  <c r="S522" i="12"/>
  <c r="T522" i="12"/>
  <c r="U522" i="12"/>
  <c r="V522" i="12"/>
  <c r="O523" i="12"/>
  <c r="P523" i="12"/>
  <c r="Q523" i="12"/>
  <c r="R523" i="12"/>
  <c r="S523" i="12"/>
  <c r="T523" i="12"/>
  <c r="U523" i="12"/>
  <c r="V523" i="12"/>
  <c r="O524" i="12"/>
  <c r="P524" i="12"/>
  <c r="Q524" i="12"/>
  <c r="R524" i="12"/>
  <c r="S524" i="12"/>
  <c r="T524" i="12"/>
  <c r="U524" i="12"/>
  <c r="V524" i="12"/>
  <c r="O525" i="12"/>
  <c r="P525" i="12"/>
  <c r="Q525" i="12"/>
  <c r="R525" i="12"/>
  <c r="S525" i="12"/>
  <c r="T525" i="12"/>
  <c r="U525" i="12"/>
  <c r="V525" i="12"/>
  <c r="O526" i="12"/>
  <c r="P526" i="12"/>
  <c r="Q526" i="12"/>
  <c r="R526" i="12"/>
  <c r="S526" i="12"/>
  <c r="T526" i="12"/>
  <c r="U526" i="12"/>
  <c r="V526" i="12"/>
  <c r="O527" i="12"/>
  <c r="P527" i="12"/>
  <c r="Q527" i="12"/>
  <c r="R527" i="12"/>
  <c r="S527" i="12"/>
  <c r="T527" i="12"/>
  <c r="U527" i="12"/>
  <c r="V527" i="12"/>
  <c r="O528" i="12"/>
  <c r="P528" i="12"/>
  <c r="Q528" i="12"/>
  <c r="R528" i="12"/>
  <c r="S528" i="12"/>
  <c r="T528" i="12"/>
  <c r="U528" i="12"/>
  <c r="V528" i="12"/>
  <c r="O529" i="12"/>
  <c r="P529" i="12"/>
  <c r="Q529" i="12"/>
  <c r="R529" i="12"/>
  <c r="S529" i="12"/>
  <c r="T529" i="12"/>
  <c r="U529" i="12"/>
  <c r="V529" i="12"/>
  <c r="O530" i="12"/>
  <c r="P530" i="12"/>
  <c r="Q530" i="12"/>
  <c r="R530" i="12"/>
  <c r="S530" i="12"/>
  <c r="T530" i="12"/>
  <c r="U530" i="12"/>
  <c r="V530" i="12"/>
  <c r="O531" i="12"/>
  <c r="P531" i="12"/>
  <c r="Q531" i="12"/>
  <c r="R531" i="12"/>
  <c r="S531" i="12"/>
  <c r="T531" i="12"/>
  <c r="U531" i="12"/>
  <c r="V531" i="12"/>
  <c r="O532" i="12"/>
  <c r="P532" i="12"/>
  <c r="Q532" i="12"/>
  <c r="R532" i="12"/>
  <c r="S532" i="12"/>
  <c r="T532" i="12"/>
  <c r="U532" i="12"/>
  <c r="V532" i="12"/>
  <c r="O533" i="12"/>
  <c r="P533" i="12"/>
  <c r="Q533" i="12"/>
  <c r="R533" i="12"/>
  <c r="S533" i="12"/>
  <c r="T533" i="12"/>
  <c r="U533" i="12"/>
  <c r="V533" i="12"/>
  <c r="O534" i="12"/>
  <c r="P534" i="12"/>
  <c r="Q534" i="12"/>
  <c r="R534" i="12"/>
  <c r="S534" i="12"/>
  <c r="T534" i="12"/>
  <c r="U534" i="12"/>
  <c r="V534" i="12"/>
  <c r="O535" i="12"/>
  <c r="P535" i="12"/>
  <c r="Q535" i="12"/>
  <c r="R535" i="12"/>
  <c r="S535" i="12"/>
  <c r="T535" i="12"/>
  <c r="U535" i="12"/>
  <c r="V535" i="12"/>
  <c r="O536" i="12"/>
  <c r="P536" i="12"/>
  <c r="Q536" i="12"/>
  <c r="R536" i="12"/>
  <c r="S536" i="12"/>
  <c r="T536" i="12"/>
  <c r="U536" i="12"/>
  <c r="V536" i="12"/>
  <c r="O537" i="12"/>
  <c r="P537" i="12"/>
  <c r="Q537" i="12"/>
  <c r="R537" i="12"/>
  <c r="S537" i="12"/>
  <c r="T537" i="12"/>
  <c r="U537" i="12"/>
  <c r="V537" i="12"/>
  <c r="O538" i="12"/>
  <c r="P538" i="12"/>
  <c r="Q538" i="12"/>
  <c r="R538" i="12"/>
  <c r="S538" i="12"/>
  <c r="T538" i="12"/>
  <c r="U538" i="12"/>
  <c r="V538" i="12"/>
  <c r="O539" i="12"/>
  <c r="P539" i="12"/>
  <c r="Q539" i="12"/>
  <c r="R539" i="12"/>
  <c r="S539" i="12"/>
  <c r="T539" i="12"/>
  <c r="U539" i="12"/>
  <c r="V539" i="12"/>
  <c r="O540" i="12"/>
  <c r="P540" i="12"/>
  <c r="Q540" i="12"/>
  <c r="R540" i="12"/>
  <c r="S540" i="12"/>
  <c r="T540" i="12"/>
  <c r="U540" i="12"/>
  <c r="V540" i="12"/>
  <c r="O541" i="12"/>
  <c r="P541" i="12"/>
  <c r="Q541" i="12"/>
  <c r="R541" i="12"/>
  <c r="S541" i="12"/>
  <c r="T541" i="12"/>
  <c r="U541" i="12"/>
  <c r="V541" i="12"/>
  <c r="O542" i="12"/>
  <c r="P542" i="12"/>
  <c r="Q542" i="12"/>
  <c r="R542" i="12"/>
  <c r="S542" i="12"/>
  <c r="T542" i="12"/>
  <c r="U542" i="12"/>
  <c r="V542" i="12"/>
  <c r="O543" i="12"/>
  <c r="P543" i="12"/>
  <c r="Q543" i="12"/>
  <c r="R543" i="12"/>
  <c r="S543" i="12"/>
  <c r="T543" i="12"/>
  <c r="U543" i="12"/>
  <c r="V543" i="12"/>
  <c r="O544" i="12"/>
  <c r="P544" i="12"/>
  <c r="Q544" i="12"/>
  <c r="R544" i="12"/>
  <c r="S544" i="12"/>
  <c r="T544" i="12"/>
  <c r="U544" i="12"/>
  <c r="V544" i="12"/>
  <c r="O545" i="12"/>
  <c r="P545" i="12"/>
  <c r="Q545" i="12"/>
  <c r="R545" i="12"/>
  <c r="S545" i="12"/>
  <c r="T545" i="12"/>
  <c r="U545" i="12"/>
  <c r="V545" i="12"/>
  <c r="O546" i="12"/>
  <c r="P546" i="12"/>
  <c r="Q546" i="12"/>
  <c r="R546" i="12"/>
  <c r="S546" i="12"/>
  <c r="T546" i="12"/>
  <c r="U546" i="12"/>
  <c r="V546" i="12"/>
  <c r="O547" i="12"/>
  <c r="P547" i="12"/>
  <c r="Q547" i="12"/>
  <c r="R547" i="12"/>
  <c r="S547" i="12"/>
  <c r="T547" i="12"/>
  <c r="U547" i="12"/>
  <c r="V547" i="12"/>
  <c r="O548" i="12"/>
  <c r="P548" i="12"/>
  <c r="Q548" i="12"/>
  <c r="R548" i="12"/>
  <c r="S548" i="12"/>
  <c r="T548" i="12"/>
  <c r="U548" i="12"/>
  <c r="V548" i="12"/>
  <c r="O549" i="12"/>
  <c r="P549" i="12"/>
  <c r="Q549" i="12"/>
  <c r="R549" i="12"/>
  <c r="S549" i="12"/>
  <c r="T549" i="12"/>
  <c r="U549" i="12"/>
  <c r="V549" i="12"/>
  <c r="O550" i="12"/>
  <c r="P550" i="12"/>
  <c r="Q550" i="12"/>
  <c r="R550" i="12"/>
  <c r="S550" i="12"/>
  <c r="T550" i="12"/>
  <c r="U550" i="12"/>
  <c r="V550" i="12"/>
  <c r="O551" i="12"/>
  <c r="P551" i="12"/>
  <c r="Q551" i="12"/>
  <c r="R551" i="12"/>
  <c r="S551" i="12"/>
  <c r="T551" i="12"/>
  <c r="U551" i="12"/>
  <c r="V551" i="12"/>
  <c r="O552" i="12"/>
  <c r="P552" i="12"/>
  <c r="Q552" i="12"/>
  <c r="R552" i="12"/>
  <c r="S552" i="12"/>
  <c r="T552" i="12"/>
  <c r="U552" i="12"/>
  <c r="V552" i="12"/>
  <c r="O553" i="12"/>
  <c r="P553" i="12"/>
  <c r="Q553" i="12"/>
  <c r="R553" i="12"/>
  <c r="S553" i="12"/>
  <c r="T553" i="12"/>
  <c r="U553" i="12"/>
  <c r="V553" i="12"/>
  <c r="O554" i="12"/>
  <c r="P554" i="12"/>
  <c r="Q554" i="12"/>
  <c r="R554" i="12"/>
  <c r="S554" i="12"/>
  <c r="T554" i="12"/>
  <c r="U554" i="12"/>
  <c r="V554" i="12"/>
  <c r="O555" i="12"/>
  <c r="Q555" i="12" s="1"/>
  <c r="P555" i="12"/>
  <c r="U555" i="12"/>
  <c r="V555" i="12"/>
  <c r="O556" i="12"/>
  <c r="P556" i="12"/>
  <c r="Q556" i="12"/>
  <c r="R556" i="12"/>
  <c r="S556" i="12"/>
  <c r="T556" i="12"/>
  <c r="U556" i="12"/>
  <c r="V556" i="12"/>
  <c r="O557" i="12"/>
  <c r="P557" i="12"/>
  <c r="Q557" i="12"/>
  <c r="R557" i="12"/>
  <c r="S557" i="12"/>
  <c r="T557" i="12"/>
  <c r="U557" i="12"/>
  <c r="V557" i="12"/>
  <c r="O558" i="12"/>
  <c r="P558" i="12"/>
  <c r="Q558" i="12"/>
  <c r="R558" i="12"/>
  <c r="S558" i="12"/>
  <c r="T558" i="12"/>
  <c r="U558" i="12"/>
  <c r="V558" i="12"/>
  <c r="O559" i="12"/>
  <c r="P559" i="12"/>
  <c r="Q559" i="12"/>
  <c r="R559" i="12"/>
  <c r="S559" i="12"/>
  <c r="T559" i="12"/>
  <c r="U559" i="12"/>
  <c r="V559" i="12"/>
  <c r="O560" i="12"/>
  <c r="P560" i="12"/>
  <c r="Q560" i="12"/>
  <c r="R560" i="12"/>
  <c r="S560" i="12"/>
  <c r="T560" i="12"/>
  <c r="U560" i="12"/>
  <c r="V560" i="12"/>
  <c r="O561" i="12"/>
  <c r="P561" i="12"/>
  <c r="Q561" i="12"/>
  <c r="R561" i="12"/>
  <c r="S561" i="12"/>
  <c r="T561" i="12"/>
  <c r="U561" i="12"/>
  <c r="V561" i="12"/>
  <c r="O562" i="12"/>
  <c r="P562" i="12"/>
  <c r="Q562" i="12"/>
  <c r="R562" i="12"/>
  <c r="S562" i="12"/>
  <c r="T562" i="12"/>
  <c r="U562" i="12"/>
  <c r="V562" i="12"/>
  <c r="O563" i="12"/>
  <c r="P563" i="12"/>
  <c r="Q563" i="12"/>
  <c r="R563" i="12"/>
  <c r="S563" i="12"/>
  <c r="T563" i="12"/>
  <c r="U563" i="12"/>
  <c r="V563" i="12"/>
  <c r="O564" i="12"/>
  <c r="P564" i="12"/>
  <c r="Q564" i="12"/>
  <c r="R564" i="12"/>
  <c r="S564" i="12"/>
  <c r="T564" i="12"/>
  <c r="U564" i="12"/>
  <c r="V564" i="12"/>
  <c r="O565" i="12"/>
  <c r="P565" i="12"/>
  <c r="Q565" i="12"/>
  <c r="R565" i="12"/>
  <c r="S565" i="12"/>
  <c r="T565" i="12"/>
  <c r="U565" i="12"/>
  <c r="V565" i="12"/>
  <c r="O566" i="12"/>
  <c r="P566" i="12"/>
  <c r="Q566" i="12"/>
  <c r="R566" i="12"/>
  <c r="S566" i="12"/>
  <c r="T566" i="12"/>
  <c r="U566" i="12"/>
  <c r="V566" i="12"/>
  <c r="O567" i="12"/>
  <c r="P567" i="12"/>
  <c r="Q567" i="12"/>
  <c r="R567" i="12"/>
  <c r="S567" i="12"/>
  <c r="T567" i="12"/>
  <c r="U567" i="12"/>
  <c r="V567" i="12"/>
  <c r="O568" i="12"/>
  <c r="P568" i="12"/>
  <c r="Q568" i="12"/>
  <c r="R568" i="12"/>
  <c r="S568" i="12"/>
  <c r="T568" i="12"/>
  <c r="U568" i="12"/>
  <c r="V568" i="12"/>
  <c r="O569" i="12"/>
  <c r="P569" i="12"/>
  <c r="Q569" i="12"/>
  <c r="R569" i="12"/>
  <c r="S569" i="12"/>
  <c r="T569" i="12"/>
  <c r="U569" i="12"/>
  <c r="V569" i="12"/>
  <c r="O570" i="12"/>
  <c r="P570" i="12"/>
  <c r="Q570" i="12"/>
  <c r="R570" i="12"/>
  <c r="S570" i="12"/>
  <c r="T570" i="12"/>
  <c r="U570" i="12"/>
  <c r="V570" i="12"/>
  <c r="O571" i="12"/>
  <c r="P571" i="12"/>
  <c r="Q571" i="12"/>
  <c r="R571" i="12"/>
  <c r="S571" i="12"/>
  <c r="T571" i="12"/>
  <c r="U571" i="12"/>
  <c r="V571" i="12"/>
  <c r="O572" i="12"/>
  <c r="P572" i="12"/>
  <c r="Q572" i="12"/>
  <c r="R572" i="12"/>
  <c r="S572" i="12"/>
  <c r="T572" i="12"/>
  <c r="U572" i="12"/>
  <c r="V572" i="12"/>
  <c r="O573" i="12"/>
  <c r="P573" i="12"/>
  <c r="Q573" i="12"/>
  <c r="R573" i="12"/>
  <c r="S573" i="12"/>
  <c r="T573" i="12"/>
  <c r="U573" i="12"/>
  <c r="V573" i="12"/>
  <c r="O574" i="12"/>
  <c r="P574" i="12"/>
  <c r="Q574" i="12"/>
  <c r="R574" i="12"/>
  <c r="S574" i="12"/>
  <c r="T574" i="12"/>
  <c r="U574" i="12"/>
  <c r="V574" i="12"/>
  <c r="O575" i="12"/>
  <c r="P575" i="12"/>
  <c r="Q575" i="12"/>
  <c r="R575" i="12"/>
  <c r="S575" i="12"/>
  <c r="T575" i="12"/>
  <c r="U575" i="12"/>
  <c r="V575" i="12"/>
  <c r="O576" i="12"/>
  <c r="Q576" i="12" s="1"/>
  <c r="P576" i="12"/>
  <c r="U576" i="12"/>
  <c r="V576" i="12"/>
  <c r="O577" i="12"/>
  <c r="P577" i="12"/>
  <c r="Q577" i="12"/>
  <c r="R577" i="12"/>
  <c r="S577" i="12"/>
  <c r="T577" i="12"/>
  <c r="U577" i="12"/>
  <c r="V577" i="12"/>
  <c r="O578" i="12"/>
  <c r="P578" i="12"/>
  <c r="Q578" i="12"/>
  <c r="R578" i="12"/>
  <c r="S578" i="12"/>
  <c r="T578" i="12"/>
  <c r="U578" i="12"/>
  <c r="V578" i="12"/>
  <c r="O579" i="12"/>
  <c r="P579" i="12"/>
  <c r="Q579" i="12"/>
  <c r="R579" i="12"/>
  <c r="S579" i="12"/>
  <c r="T579" i="12"/>
  <c r="U579" i="12"/>
  <c r="V579" i="12"/>
  <c r="O580" i="12"/>
  <c r="P580" i="12"/>
  <c r="Q580" i="12"/>
  <c r="R580" i="12"/>
  <c r="S580" i="12"/>
  <c r="T580" i="12"/>
  <c r="U580" i="12"/>
  <c r="V580" i="12"/>
  <c r="O581" i="12"/>
  <c r="P581" i="12"/>
  <c r="Q581" i="12"/>
  <c r="R581" i="12"/>
  <c r="S581" i="12"/>
  <c r="T581" i="12"/>
  <c r="U581" i="12"/>
  <c r="V581" i="12"/>
  <c r="O582" i="12"/>
  <c r="P582" i="12"/>
  <c r="Q582" i="12"/>
  <c r="R582" i="12"/>
  <c r="S582" i="12"/>
  <c r="T582" i="12"/>
  <c r="U582" i="12"/>
  <c r="V582" i="12"/>
  <c r="O583" i="12"/>
  <c r="P583" i="12"/>
  <c r="Q583" i="12"/>
  <c r="R583" i="12"/>
  <c r="S583" i="12"/>
  <c r="T583" i="12"/>
  <c r="U583" i="12"/>
  <c r="V583" i="12"/>
  <c r="O584" i="12"/>
  <c r="P584" i="12"/>
  <c r="Q584" i="12"/>
  <c r="R584" i="12"/>
  <c r="S584" i="12"/>
  <c r="T584" i="12"/>
  <c r="U584" i="12"/>
  <c r="V584" i="12"/>
  <c r="O585" i="12"/>
  <c r="P585" i="12"/>
  <c r="Q585" i="12"/>
  <c r="R585" i="12"/>
  <c r="S585" i="12"/>
  <c r="T585" i="12"/>
  <c r="U585" i="12"/>
  <c r="V585" i="12"/>
  <c r="O586" i="12"/>
  <c r="P586" i="12"/>
  <c r="Q586" i="12"/>
  <c r="R586" i="12"/>
  <c r="S586" i="12"/>
  <c r="T586" i="12"/>
  <c r="U586" i="12"/>
  <c r="V586" i="12"/>
  <c r="O587" i="12"/>
  <c r="P587" i="12"/>
  <c r="Q587" i="12"/>
  <c r="R587" i="12"/>
  <c r="S587" i="12"/>
  <c r="T587" i="12"/>
  <c r="U587" i="12"/>
  <c r="V587" i="12"/>
  <c r="O588" i="12"/>
  <c r="P588" i="12"/>
  <c r="Q588" i="12"/>
  <c r="R588" i="12"/>
  <c r="S588" i="12"/>
  <c r="T588" i="12"/>
  <c r="U588" i="12"/>
  <c r="V588" i="12"/>
  <c r="O589" i="12"/>
  <c r="P589" i="12"/>
  <c r="Q589" i="12"/>
  <c r="R589" i="12"/>
  <c r="S589" i="12"/>
  <c r="T589" i="12"/>
  <c r="U589" i="12"/>
  <c r="V589" i="12"/>
  <c r="O590" i="12"/>
  <c r="P590" i="12"/>
  <c r="Q590" i="12"/>
  <c r="R590" i="12"/>
  <c r="S590" i="12"/>
  <c r="T590" i="12"/>
  <c r="U590" i="12"/>
  <c r="V590" i="12"/>
  <c r="O591" i="12"/>
  <c r="P591" i="12"/>
  <c r="Q591" i="12"/>
  <c r="R591" i="12"/>
  <c r="S591" i="12"/>
  <c r="T591" i="12"/>
  <c r="U591" i="12"/>
  <c r="V591" i="12"/>
  <c r="O592" i="12"/>
  <c r="P592" i="12"/>
  <c r="Q592" i="12"/>
  <c r="R592" i="12"/>
  <c r="S592" i="12"/>
  <c r="T592" i="12"/>
  <c r="U592" i="12"/>
  <c r="V592" i="12"/>
  <c r="O593" i="12"/>
  <c r="P593" i="12"/>
  <c r="Q593" i="12"/>
  <c r="R593" i="12"/>
  <c r="S593" i="12"/>
  <c r="T593" i="12"/>
  <c r="U593" i="12"/>
  <c r="V593" i="12"/>
  <c r="O594" i="12"/>
  <c r="P594" i="12"/>
  <c r="Q594" i="12"/>
  <c r="R594" i="12"/>
  <c r="S594" i="12"/>
  <c r="T594" i="12"/>
  <c r="U594" i="12"/>
  <c r="V594" i="12"/>
  <c r="O595" i="12"/>
  <c r="P595" i="12"/>
  <c r="Q595" i="12"/>
  <c r="R595" i="12"/>
  <c r="S595" i="12"/>
  <c r="T595" i="12"/>
  <c r="U595" i="12"/>
  <c r="V595" i="12"/>
  <c r="O596" i="12"/>
  <c r="P596" i="12"/>
  <c r="Q596" i="12"/>
  <c r="R596" i="12"/>
  <c r="S596" i="12"/>
  <c r="T596" i="12"/>
  <c r="U596" i="12"/>
  <c r="V596" i="12"/>
  <c r="O597" i="12"/>
  <c r="P597" i="12"/>
  <c r="Q597" i="12"/>
  <c r="R597" i="12"/>
  <c r="S597" i="12"/>
  <c r="T597" i="12"/>
  <c r="U597" i="12"/>
  <c r="V597" i="12"/>
  <c r="O598" i="12"/>
  <c r="P598" i="12"/>
  <c r="Q598" i="12"/>
  <c r="R598" i="12"/>
  <c r="S598" i="12"/>
  <c r="T598" i="12"/>
  <c r="U598" i="12"/>
  <c r="V598" i="12"/>
  <c r="O599" i="12"/>
  <c r="P599" i="12"/>
  <c r="Q599" i="12"/>
  <c r="R599" i="12"/>
  <c r="S599" i="12"/>
  <c r="T599" i="12"/>
  <c r="U599" i="12"/>
  <c r="V599" i="12"/>
  <c r="O600" i="12"/>
  <c r="P600" i="12"/>
  <c r="Q600" i="12"/>
  <c r="R600" i="12"/>
  <c r="S600" i="12"/>
  <c r="T600" i="12"/>
  <c r="U600" i="12"/>
  <c r="V600" i="12"/>
  <c r="O601" i="12"/>
  <c r="P601" i="12"/>
  <c r="Q601" i="12"/>
  <c r="R601" i="12"/>
  <c r="S601" i="12"/>
  <c r="T601" i="12"/>
  <c r="U601" i="12"/>
  <c r="V601" i="12"/>
  <c r="O602" i="12"/>
  <c r="P602" i="12"/>
  <c r="Q602" i="12"/>
  <c r="R602" i="12"/>
  <c r="S602" i="12"/>
  <c r="T602" i="12"/>
  <c r="U602" i="12"/>
  <c r="V602" i="12"/>
  <c r="O603" i="12"/>
  <c r="P603" i="12"/>
  <c r="Q603" i="12"/>
  <c r="R603" i="12"/>
  <c r="S603" i="12"/>
  <c r="T603" i="12"/>
  <c r="U603" i="12"/>
  <c r="V603" i="12"/>
  <c r="O604" i="12"/>
  <c r="P604" i="12"/>
  <c r="Q604" i="12"/>
  <c r="R604" i="12"/>
  <c r="S604" i="12"/>
  <c r="T604" i="12"/>
  <c r="U604" i="12"/>
  <c r="V604" i="12"/>
  <c r="O605" i="12"/>
  <c r="P605" i="12"/>
  <c r="Q605" i="12"/>
  <c r="R605" i="12"/>
  <c r="S605" i="12"/>
  <c r="T605" i="12"/>
  <c r="U605" i="12"/>
  <c r="V605" i="12"/>
  <c r="O606" i="12"/>
  <c r="P606" i="12"/>
  <c r="Q606" i="12"/>
  <c r="R606" i="12"/>
  <c r="S606" i="12"/>
  <c r="T606" i="12"/>
  <c r="U606" i="12"/>
  <c r="V606" i="12"/>
  <c r="O607" i="12"/>
  <c r="P607" i="12"/>
  <c r="Q607" i="12"/>
  <c r="R607" i="12"/>
  <c r="S607" i="12"/>
  <c r="T607" i="12"/>
  <c r="U607" i="12"/>
  <c r="V607" i="12"/>
  <c r="O608" i="12"/>
  <c r="P608" i="12"/>
  <c r="Q608" i="12"/>
  <c r="R608" i="12"/>
  <c r="S608" i="12"/>
  <c r="T608" i="12"/>
  <c r="U608" i="12"/>
  <c r="V608" i="12"/>
  <c r="O609" i="12"/>
  <c r="P609" i="12"/>
  <c r="Q609" i="12"/>
  <c r="R609" i="12"/>
  <c r="S609" i="12"/>
  <c r="T609" i="12"/>
  <c r="U609" i="12"/>
  <c r="V609" i="12"/>
  <c r="O610" i="12"/>
  <c r="P610" i="12"/>
  <c r="Q610" i="12"/>
  <c r="R610" i="12"/>
  <c r="S610" i="12"/>
  <c r="T610" i="12"/>
  <c r="U610" i="12"/>
  <c r="V610" i="12"/>
  <c r="O611" i="12"/>
  <c r="P611" i="12"/>
  <c r="Q611" i="12"/>
  <c r="R611" i="12"/>
  <c r="S611" i="12"/>
  <c r="T611" i="12"/>
  <c r="U611" i="12"/>
  <c r="V611" i="12"/>
  <c r="O612" i="12"/>
  <c r="P612" i="12"/>
  <c r="Q612" i="12"/>
  <c r="R612" i="12"/>
  <c r="S612" i="12"/>
  <c r="T612" i="12"/>
  <c r="U612" i="12"/>
  <c r="V612" i="12"/>
  <c r="O613" i="12"/>
  <c r="P613" i="12"/>
  <c r="Q613" i="12"/>
  <c r="R613" i="12"/>
  <c r="S613" i="12"/>
  <c r="T613" i="12"/>
  <c r="U613" i="12"/>
  <c r="V613" i="12"/>
  <c r="O614" i="12"/>
  <c r="P614" i="12"/>
  <c r="Q614" i="12"/>
  <c r="R614" i="12"/>
  <c r="S614" i="12"/>
  <c r="T614" i="12"/>
  <c r="U614" i="12"/>
  <c r="V614" i="12"/>
  <c r="O615" i="12"/>
  <c r="P615" i="12"/>
  <c r="Q615" i="12"/>
  <c r="R615" i="12"/>
  <c r="S615" i="12"/>
  <c r="T615" i="12"/>
  <c r="U615" i="12"/>
  <c r="V615" i="12"/>
  <c r="O616" i="12"/>
  <c r="P616" i="12"/>
  <c r="Q616" i="12"/>
  <c r="R616" i="12"/>
  <c r="S616" i="12"/>
  <c r="T616" i="12"/>
  <c r="U616" i="12"/>
  <c r="V616" i="12"/>
  <c r="O617" i="12"/>
  <c r="P617" i="12"/>
  <c r="Q617" i="12"/>
  <c r="R617" i="12"/>
  <c r="S617" i="12"/>
  <c r="T617" i="12"/>
  <c r="U617" i="12"/>
  <c r="V617" i="12"/>
  <c r="O618" i="12"/>
  <c r="P618" i="12"/>
  <c r="Q618" i="12"/>
  <c r="R618" i="12"/>
  <c r="S618" i="12"/>
  <c r="T618" i="12"/>
  <c r="U618" i="12"/>
  <c r="V618" i="12"/>
  <c r="O619" i="12"/>
  <c r="P619" i="12"/>
  <c r="Q619" i="12"/>
  <c r="R619" i="12"/>
  <c r="S619" i="12"/>
  <c r="T619" i="12"/>
  <c r="U619" i="12"/>
  <c r="V619" i="12"/>
  <c r="O620" i="12"/>
  <c r="P620" i="12"/>
  <c r="Q620" i="12"/>
  <c r="R620" i="12"/>
  <c r="S620" i="12"/>
  <c r="T620" i="12"/>
  <c r="U620" i="12"/>
  <c r="V620" i="12"/>
  <c r="O621" i="12"/>
  <c r="P621" i="12"/>
  <c r="Q621" i="12"/>
  <c r="R621" i="12"/>
  <c r="S621" i="12"/>
  <c r="T621" i="12"/>
  <c r="U621" i="12"/>
  <c r="V621" i="12"/>
  <c r="O622" i="12"/>
  <c r="P622" i="12"/>
  <c r="Q622" i="12"/>
  <c r="R622" i="12"/>
  <c r="S622" i="12"/>
  <c r="T622" i="12"/>
  <c r="U622" i="12"/>
  <c r="V622" i="12"/>
  <c r="O623" i="12"/>
  <c r="P623" i="12"/>
  <c r="Q623" i="12"/>
  <c r="R623" i="12"/>
  <c r="S623" i="12"/>
  <c r="T623" i="12"/>
  <c r="U623" i="12"/>
  <c r="V623" i="12"/>
  <c r="O624" i="12"/>
  <c r="P624" i="12"/>
  <c r="Q624" i="12"/>
  <c r="R624" i="12"/>
  <c r="S624" i="12"/>
  <c r="T624" i="12"/>
  <c r="U624" i="12"/>
  <c r="V624" i="12"/>
  <c r="O625" i="12"/>
  <c r="P625" i="12"/>
  <c r="Q625" i="12"/>
  <c r="R625" i="12"/>
  <c r="S625" i="12"/>
  <c r="T625" i="12"/>
  <c r="U625" i="12"/>
  <c r="V625" i="12"/>
  <c r="O626" i="12"/>
  <c r="P626" i="12"/>
  <c r="Q626" i="12"/>
  <c r="R626" i="12"/>
  <c r="S626" i="12"/>
  <c r="T626" i="12"/>
  <c r="U626" i="12"/>
  <c r="V626" i="12"/>
  <c r="O627" i="12"/>
  <c r="P627" i="12"/>
  <c r="Q627" i="12"/>
  <c r="R627" i="12"/>
  <c r="S627" i="12"/>
  <c r="T627" i="12"/>
  <c r="U627" i="12"/>
  <c r="V627" i="12"/>
  <c r="O628" i="12"/>
  <c r="P628" i="12"/>
  <c r="Q628" i="12"/>
  <c r="R628" i="12"/>
  <c r="S628" i="12"/>
  <c r="T628" i="12"/>
  <c r="U628" i="12"/>
  <c r="V628" i="12"/>
  <c r="O629" i="12"/>
  <c r="P629" i="12"/>
  <c r="Q629" i="12"/>
  <c r="R629" i="12"/>
  <c r="S629" i="12"/>
  <c r="T629" i="12"/>
  <c r="U629" i="12"/>
  <c r="V629" i="12"/>
  <c r="O630" i="12"/>
  <c r="P630" i="12"/>
  <c r="Q630" i="12"/>
  <c r="R630" i="12"/>
  <c r="S630" i="12"/>
  <c r="T630" i="12"/>
  <c r="U630" i="12"/>
  <c r="V630" i="12"/>
  <c r="O631" i="12"/>
  <c r="P631" i="12"/>
  <c r="Q631" i="12"/>
  <c r="R631" i="12"/>
  <c r="S631" i="12"/>
  <c r="T631" i="12"/>
  <c r="U631" i="12"/>
  <c r="V631" i="12"/>
  <c r="O632" i="12"/>
  <c r="P632" i="12"/>
  <c r="Q632" i="12"/>
  <c r="R632" i="12"/>
  <c r="S632" i="12"/>
  <c r="T632" i="12"/>
  <c r="U632" i="12"/>
  <c r="V632" i="12"/>
  <c r="O633" i="12"/>
  <c r="P633" i="12"/>
  <c r="Q633" i="12"/>
  <c r="R633" i="12"/>
  <c r="S633" i="12"/>
  <c r="T633" i="12"/>
  <c r="U633" i="12"/>
  <c r="V633" i="12"/>
  <c r="O634" i="12"/>
  <c r="P634" i="12"/>
  <c r="Q634" i="12"/>
  <c r="R634" i="12"/>
  <c r="S634" i="12"/>
  <c r="T634" i="12"/>
  <c r="U634" i="12"/>
  <c r="V634" i="12"/>
  <c r="O635" i="12"/>
  <c r="P635" i="12"/>
  <c r="Q635" i="12"/>
  <c r="R635" i="12"/>
  <c r="S635" i="12"/>
  <c r="T635" i="12"/>
  <c r="U635" i="12"/>
  <c r="V635" i="12"/>
  <c r="O636" i="12"/>
  <c r="P636" i="12"/>
  <c r="Q636" i="12"/>
  <c r="R636" i="12"/>
  <c r="S636" i="12"/>
  <c r="T636" i="12"/>
  <c r="U636" i="12"/>
  <c r="V636" i="12"/>
  <c r="O637" i="12"/>
  <c r="P637" i="12"/>
  <c r="Q637" i="12"/>
  <c r="R637" i="12"/>
  <c r="S637" i="12"/>
  <c r="T637" i="12"/>
  <c r="U637" i="12"/>
  <c r="V637" i="12"/>
  <c r="O638" i="12"/>
  <c r="P638" i="12"/>
  <c r="Q638" i="12"/>
  <c r="R638" i="12"/>
  <c r="S638" i="12"/>
  <c r="T638" i="12"/>
  <c r="U638" i="12"/>
  <c r="V638" i="12"/>
  <c r="O639" i="12"/>
  <c r="P639" i="12"/>
  <c r="Q639" i="12"/>
  <c r="R639" i="12"/>
  <c r="S639" i="12"/>
  <c r="T639" i="12"/>
  <c r="U639" i="12"/>
  <c r="V639" i="12"/>
  <c r="O640" i="12"/>
  <c r="P640" i="12"/>
  <c r="Q640" i="12"/>
  <c r="R640" i="12"/>
  <c r="S640" i="12"/>
  <c r="T640" i="12"/>
  <c r="U640" i="12"/>
  <c r="V640" i="12"/>
  <c r="O641" i="12"/>
  <c r="P641" i="12"/>
  <c r="Q641" i="12"/>
  <c r="R641" i="12"/>
  <c r="S641" i="12"/>
  <c r="T641" i="12"/>
  <c r="U641" i="12"/>
  <c r="V641" i="12"/>
  <c r="O642" i="12"/>
  <c r="P642" i="12"/>
  <c r="Q642" i="12"/>
  <c r="R642" i="12"/>
  <c r="S642" i="12"/>
  <c r="T642" i="12"/>
  <c r="U642" i="12"/>
  <c r="V642" i="12"/>
  <c r="O643" i="12"/>
  <c r="P643" i="12"/>
  <c r="Q643" i="12"/>
  <c r="R643" i="12"/>
  <c r="S643" i="12"/>
  <c r="T643" i="12"/>
  <c r="U643" i="12"/>
  <c r="V643" i="12"/>
  <c r="O644" i="12"/>
  <c r="P644" i="12"/>
  <c r="Q644" i="12"/>
  <c r="R644" i="12"/>
  <c r="S644" i="12"/>
  <c r="T644" i="12"/>
  <c r="U644" i="12"/>
  <c r="V644" i="12"/>
  <c r="O645" i="12"/>
  <c r="P645" i="12"/>
  <c r="Q645" i="12"/>
  <c r="R645" i="12"/>
  <c r="S645" i="12"/>
  <c r="T645" i="12"/>
  <c r="U645" i="12"/>
  <c r="V645" i="12"/>
  <c r="O646" i="12"/>
  <c r="P646" i="12"/>
  <c r="Q646" i="12"/>
  <c r="R646" i="12"/>
  <c r="S646" i="12"/>
  <c r="T646" i="12"/>
  <c r="U646" i="12"/>
  <c r="V646" i="12"/>
  <c r="O647" i="12"/>
  <c r="P647" i="12"/>
  <c r="Q647" i="12"/>
  <c r="R647" i="12"/>
  <c r="S647" i="12"/>
  <c r="T647" i="12"/>
  <c r="U647" i="12"/>
  <c r="V647" i="12"/>
  <c r="O648" i="12"/>
  <c r="P648" i="12"/>
  <c r="Q648" i="12"/>
  <c r="R648" i="12"/>
  <c r="S648" i="12"/>
  <c r="T648" i="12"/>
  <c r="U648" i="12"/>
  <c r="V648" i="12"/>
  <c r="O649" i="12"/>
  <c r="P649" i="12"/>
  <c r="Q649" i="12"/>
  <c r="R649" i="12"/>
  <c r="S649" i="12"/>
  <c r="T649" i="12"/>
  <c r="U649" i="12"/>
  <c r="V649" i="12"/>
  <c r="O650" i="12"/>
  <c r="P650" i="12"/>
  <c r="Q650" i="12"/>
  <c r="R650" i="12"/>
  <c r="S650" i="12"/>
  <c r="T650" i="12"/>
  <c r="U650" i="12"/>
  <c r="V650" i="12"/>
  <c r="O651" i="12"/>
  <c r="P651" i="12"/>
  <c r="Q651" i="12"/>
  <c r="R651" i="12"/>
  <c r="S651" i="12"/>
  <c r="T651" i="12"/>
  <c r="U651" i="12"/>
  <c r="V651" i="12"/>
  <c r="O652" i="12"/>
  <c r="P652" i="12"/>
  <c r="Q652" i="12"/>
  <c r="R652" i="12"/>
  <c r="S652" i="12"/>
  <c r="T652" i="12"/>
  <c r="U652" i="12"/>
  <c r="V652" i="12"/>
  <c r="O653" i="12"/>
  <c r="P653" i="12"/>
  <c r="Q653" i="12"/>
  <c r="R653" i="12"/>
  <c r="S653" i="12"/>
  <c r="T653" i="12"/>
  <c r="U653" i="12"/>
  <c r="V653" i="12"/>
  <c r="O654" i="12"/>
  <c r="P654" i="12"/>
  <c r="Q654" i="12"/>
  <c r="R654" i="12"/>
  <c r="S654" i="12"/>
  <c r="T654" i="12"/>
  <c r="U654" i="12"/>
  <c r="V654" i="12"/>
  <c r="O655" i="12"/>
  <c r="P655" i="12"/>
  <c r="Q655" i="12"/>
  <c r="R655" i="12"/>
  <c r="S655" i="12"/>
  <c r="T655" i="12"/>
  <c r="U655" i="12"/>
  <c r="V655" i="12"/>
  <c r="O656" i="12"/>
  <c r="P656" i="12"/>
  <c r="Q656" i="12"/>
  <c r="R656" i="12"/>
  <c r="S656" i="12"/>
  <c r="T656" i="12"/>
  <c r="U656" i="12"/>
  <c r="V656" i="12"/>
  <c r="O657" i="12"/>
  <c r="P657" i="12"/>
  <c r="Q657" i="12"/>
  <c r="R657" i="12"/>
  <c r="S657" i="12"/>
  <c r="T657" i="12"/>
  <c r="U657" i="12"/>
  <c r="V657" i="12"/>
  <c r="O658" i="12"/>
  <c r="P658" i="12"/>
  <c r="Q658" i="12"/>
  <c r="R658" i="12"/>
  <c r="S658" i="12"/>
  <c r="T658" i="12"/>
  <c r="U658" i="12"/>
  <c r="V658" i="12"/>
  <c r="O659" i="12"/>
  <c r="P659" i="12"/>
  <c r="Q659" i="12"/>
  <c r="R659" i="12"/>
  <c r="S659" i="12"/>
  <c r="T659" i="12"/>
  <c r="U659" i="12"/>
  <c r="V659" i="12"/>
  <c r="O660" i="12"/>
  <c r="P660" i="12"/>
  <c r="Q660" i="12"/>
  <c r="R660" i="12"/>
  <c r="S660" i="12"/>
  <c r="T660" i="12"/>
  <c r="U660" i="12"/>
  <c r="V660" i="12"/>
  <c r="O661" i="12"/>
  <c r="P661" i="12"/>
  <c r="Q661" i="12"/>
  <c r="R661" i="12"/>
  <c r="S661" i="12"/>
  <c r="T661" i="12"/>
  <c r="U661" i="12"/>
  <c r="V661" i="12"/>
  <c r="O662" i="12"/>
  <c r="P662" i="12"/>
  <c r="Q662" i="12"/>
  <c r="R662" i="12"/>
  <c r="S662" i="12"/>
  <c r="T662" i="12"/>
  <c r="U662" i="12"/>
  <c r="V662" i="12"/>
  <c r="O663" i="12"/>
  <c r="P663" i="12"/>
  <c r="Q663" i="12"/>
  <c r="R663" i="12"/>
  <c r="S663" i="12"/>
  <c r="T663" i="12"/>
  <c r="U663" i="12"/>
  <c r="V663" i="12"/>
  <c r="O664" i="12"/>
  <c r="P664" i="12"/>
  <c r="Q664" i="12"/>
  <c r="R664" i="12"/>
  <c r="S664" i="12"/>
  <c r="T664" i="12"/>
  <c r="U664" i="12"/>
  <c r="V664" i="12"/>
  <c r="O665" i="12"/>
  <c r="P665" i="12"/>
  <c r="Q665" i="12"/>
  <c r="R665" i="12"/>
  <c r="S665" i="12"/>
  <c r="T665" i="12"/>
  <c r="U665" i="12"/>
  <c r="V665" i="12"/>
  <c r="O666" i="12"/>
  <c r="P666" i="12"/>
  <c r="Q666" i="12"/>
  <c r="R666" i="12"/>
  <c r="S666" i="12"/>
  <c r="T666" i="12"/>
  <c r="U666" i="12"/>
  <c r="V666" i="12"/>
  <c r="O667" i="12"/>
  <c r="P667" i="12"/>
  <c r="Q667" i="12"/>
  <c r="R667" i="12"/>
  <c r="S667" i="12"/>
  <c r="T667" i="12"/>
  <c r="U667" i="12"/>
  <c r="V667" i="12"/>
  <c r="O668" i="12"/>
  <c r="P668" i="12"/>
  <c r="Q668" i="12"/>
  <c r="R668" i="12"/>
  <c r="S668" i="12"/>
  <c r="T668" i="12"/>
  <c r="U668" i="12"/>
  <c r="V668" i="12"/>
  <c r="O669" i="12"/>
  <c r="P669" i="12"/>
  <c r="Q669" i="12"/>
  <c r="R669" i="12"/>
  <c r="S669" i="12"/>
  <c r="T669" i="12"/>
  <c r="U669" i="12"/>
  <c r="V669" i="12"/>
  <c r="O670" i="12"/>
  <c r="P670" i="12"/>
  <c r="Q670" i="12"/>
  <c r="R670" i="12"/>
  <c r="S670" i="12"/>
  <c r="T670" i="12"/>
  <c r="U670" i="12"/>
  <c r="V670" i="12"/>
  <c r="O671" i="12"/>
  <c r="P671" i="12"/>
  <c r="Q671" i="12"/>
  <c r="R671" i="12"/>
  <c r="S671" i="12"/>
  <c r="T671" i="12"/>
  <c r="U671" i="12"/>
  <c r="V671" i="12"/>
  <c r="O672" i="12"/>
  <c r="P672" i="12"/>
  <c r="Q672" i="12"/>
  <c r="R672" i="12"/>
  <c r="S672" i="12"/>
  <c r="T672" i="12"/>
  <c r="U672" i="12"/>
  <c r="V672" i="12"/>
  <c r="O673" i="12"/>
  <c r="P673" i="12"/>
  <c r="Q673" i="12"/>
  <c r="R673" i="12"/>
  <c r="S673" i="12"/>
  <c r="T673" i="12"/>
  <c r="U673" i="12"/>
  <c r="V673" i="12"/>
  <c r="O674" i="12"/>
  <c r="P674" i="12"/>
  <c r="Q674" i="12"/>
  <c r="R674" i="12"/>
  <c r="S674" i="12"/>
  <c r="T674" i="12"/>
  <c r="U674" i="12"/>
  <c r="V674" i="12"/>
  <c r="O675" i="12"/>
  <c r="P675" i="12"/>
  <c r="Q675" i="12"/>
  <c r="R675" i="12"/>
  <c r="S675" i="12"/>
  <c r="T675" i="12"/>
  <c r="U675" i="12"/>
  <c r="V675" i="12"/>
  <c r="O676" i="12"/>
  <c r="P676" i="12"/>
  <c r="Q676" i="12"/>
  <c r="R676" i="12"/>
  <c r="S676" i="12"/>
  <c r="T676" i="12"/>
  <c r="U676" i="12"/>
  <c r="V676" i="12"/>
  <c r="O677" i="12"/>
  <c r="P677" i="12"/>
  <c r="Q677" i="12"/>
  <c r="R677" i="12"/>
  <c r="S677" i="12"/>
  <c r="T677" i="12"/>
  <c r="U677" i="12"/>
  <c r="V677" i="12"/>
  <c r="O678" i="12"/>
  <c r="P678" i="12"/>
  <c r="Q678" i="12"/>
  <c r="R678" i="12"/>
  <c r="S678" i="12"/>
  <c r="T678" i="12"/>
  <c r="U678" i="12"/>
  <c r="V678" i="12"/>
  <c r="O679" i="12"/>
  <c r="P679" i="12"/>
  <c r="Q679" i="12"/>
  <c r="R679" i="12"/>
  <c r="S679" i="12"/>
  <c r="T679" i="12"/>
  <c r="U679" i="12"/>
  <c r="V679" i="12"/>
  <c r="O680" i="12"/>
  <c r="P680" i="12"/>
  <c r="Q680" i="12"/>
  <c r="R680" i="12"/>
  <c r="S680" i="12"/>
  <c r="T680" i="12"/>
  <c r="U680" i="12"/>
  <c r="V680" i="12"/>
  <c r="O681" i="12"/>
  <c r="P681" i="12"/>
  <c r="Q681" i="12"/>
  <c r="R681" i="12"/>
  <c r="S681" i="12"/>
  <c r="T681" i="12"/>
  <c r="U681" i="12"/>
  <c r="V681" i="12"/>
  <c r="O682" i="12"/>
  <c r="P682" i="12"/>
  <c r="Q682" i="12"/>
  <c r="R682" i="12"/>
  <c r="S682" i="12"/>
  <c r="T682" i="12"/>
  <c r="U682" i="12"/>
  <c r="V682" i="12"/>
  <c r="O683" i="12"/>
  <c r="P683" i="12"/>
  <c r="Q683" i="12"/>
  <c r="R683" i="12"/>
  <c r="S683" i="12"/>
  <c r="T683" i="12"/>
  <c r="U683" i="12"/>
  <c r="V683" i="12"/>
  <c r="O684" i="12"/>
  <c r="P684" i="12"/>
  <c r="Q684" i="12"/>
  <c r="R684" i="12"/>
  <c r="S684" i="12"/>
  <c r="T684" i="12"/>
  <c r="U684" i="12"/>
  <c r="V684" i="12"/>
  <c r="O685" i="12"/>
  <c r="P685" i="12"/>
  <c r="Q685" i="12"/>
  <c r="R685" i="12"/>
  <c r="S685" i="12"/>
  <c r="T685" i="12"/>
  <c r="U685" i="12"/>
  <c r="V685" i="12"/>
  <c r="O686" i="12"/>
  <c r="P686" i="12"/>
  <c r="Q686" i="12"/>
  <c r="R686" i="12"/>
  <c r="S686" i="12"/>
  <c r="T686" i="12"/>
  <c r="U686" i="12"/>
  <c r="V686" i="12"/>
  <c r="O687" i="12"/>
  <c r="P687" i="12"/>
  <c r="Q687" i="12"/>
  <c r="R687" i="12"/>
  <c r="S687" i="12"/>
  <c r="T687" i="12"/>
  <c r="U687" i="12"/>
  <c r="V687" i="12"/>
  <c r="O688" i="12"/>
  <c r="P688" i="12"/>
  <c r="Q688" i="12"/>
  <c r="R688" i="12"/>
  <c r="S688" i="12"/>
  <c r="T688" i="12"/>
  <c r="U688" i="12"/>
  <c r="V688" i="12"/>
  <c r="O689" i="12"/>
  <c r="P689" i="12"/>
  <c r="Q689" i="12"/>
  <c r="R689" i="12"/>
  <c r="S689" i="12"/>
  <c r="T689" i="12"/>
  <c r="U689" i="12"/>
  <c r="V689" i="12"/>
  <c r="O690" i="12"/>
  <c r="P690" i="12"/>
  <c r="Q690" i="12"/>
  <c r="R690" i="12"/>
  <c r="S690" i="12"/>
  <c r="T690" i="12"/>
  <c r="U690" i="12"/>
  <c r="V690" i="12"/>
  <c r="O691" i="12"/>
  <c r="P691" i="12"/>
  <c r="Q691" i="12"/>
  <c r="R691" i="12"/>
  <c r="S691" i="12"/>
  <c r="T691" i="12"/>
  <c r="U691" i="12"/>
  <c r="V691" i="12"/>
  <c r="O692" i="12"/>
  <c r="P692" i="12"/>
  <c r="Q692" i="12"/>
  <c r="R692" i="12"/>
  <c r="S692" i="12"/>
  <c r="T692" i="12"/>
  <c r="U692" i="12"/>
  <c r="V692" i="12"/>
  <c r="O693" i="12"/>
  <c r="P693" i="12"/>
  <c r="Q693" i="12"/>
  <c r="R693" i="12"/>
  <c r="S693" i="12"/>
  <c r="T693" i="12"/>
  <c r="U693" i="12"/>
  <c r="V693" i="12"/>
  <c r="O694" i="12"/>
  <c r="P694" i="12"/>
  <c r="Q694" i="12"/>
  <c r="R694" i="12"/>
  <c r="S694" i="12"/>
  <c r="T694" i="12"/>
  <c r="U694" i="12"/>
  <c r="V694" i="12"/>
  <c r="O695" i="12"/>
  <c r="P695" i="12"/>
  <c r="Q695" i="12"/>
  <c r="R695" i="12"/>
  <c r="S695" i="12"/>
  <c r="T695" i="12"/>
  <c r="U695" i="12"/>
  <c r="V695" i="12"/>
  <c r="O696" i="12"/>
  <c r="P696" i="12"/>
  <c r="Q696" i="12"/>
  <c r="R696" i="12"/>
  <c r="S696" i="12"/>
  <c r="T696" i="12"/>
  <c r="U696" i="12"/>
  <c r="V696" i="12"/>
  <c r="O697" i="12"/>
  <c r="P697" i="12"/>
  <c r="Q697" i="12"/>
  <c r="R697" i="12"/>
  <c r="S697" i="12"/>
  <c r="T697" i="12"/>
  <c r="U697" i="12"/>
  <c r="V697" i="12"/>
  <c r="O698" i="12"/>
  <c r="P698" i="12"/>
  <c r="Q698" i="12"/>
  <c r="R698" i="12"/>
  <c r="S698" i="12"/>
  <c r="T698" i="12"/>
  <c r="U698" i="12"/>
  <c r="V698" i="12"/>
  <c r="O699" i="12"/>
  <c r="P699" i="12"/>
  <c r="Q699" i="12"/>
  <c r="R699" i="12"/>
  <c r="S699" i="12"/>
  <c r="T699" i="12"/>
  <c r="U699" i="12"/>
  <c r="V699" i="12"/>
  <c r="O700" i="12"/>
  <c r="P700" i="12"/>
  <c r="Q700" i="12"/>
  <c r="R700" i="12"/>
  <c r="S700" i="12"/>
  <c r="T700" i="12"/>
  <c r="U700" i="12"/>
  <c r="V700" i="12"/>
  <c r="O701" i="12"/>
  <c r="P701" i="12"/>
  <c r="Q701" i="12"/>
  <c r="R701" i="12"/>
  <c r="S701" i="12"/>
  <c r="T701" i="12"/>
  <c r="U701" i="12"/>
  <c r="V701" i="12"/>
  <c r="O702" i="12"/>
  <c r="P702" i="12"/>
  <c r="Q702" i="12"/>
  <c r="R702" i="12"/>
  <c r="S702" i="12"/>
  <c r="T702" i="12"/>
  <c r="U702" i="12"/>
  <c r="V702" i="12"/>
  <c r="O703" i="12"/>
  <c r="P703" i="12"/>
  <c r="Q703" i="12"/>
  <c r="R703" i="12"/>
  <c r="S703" i="12"/>
  <c r="T703" i="12"/>
  <c r="U703" i="12"/>
  <c r="V703" i="12"/>
  <c r="O704" i="12"/>
  <c r="P704" i="12"/>
  <c r="Q704" i="12"/>
  <c r="R704" i="12"/>
  <c r="S704" i="12"/>
  <c r="T704" i="12"/>
  <c r="U704" i="12"/>
  <c r="V704" i="12"/>
  <c r="O705" i="12"/>
  <c r="P705" i="12"/>
  <c r="Q705" i="12"/>
  <c r="R705" i="12"/>
  <c r="S705" i="12"/>
  <c r="T705" i="12"/>
  <c r="U705" i="12"/>
  <c r="V705" i="12"/>
  <c r="O706" i="12"/>
  <c r="P706" i="12"/>
  <c r="Q706" i="12"/>
  <c r="R706" i="12"/>
  <c r="S706" i="12"/>
  <c r="T706" i="12"/>
  <c r="U706" i="12"/>
  <c r="V706" i="12"/>
  <c r="O707" i="12"/>
  <c r="P707" i="12"/>
  <c r="Q707" i="12"/>
  <c r="R707" i="12"/>
  <c r="S707" i="12"/>
  <c r="T707" i="12"/>
  <c r="U707" i="12"/>
  <c r="V707" i="12"/>
  <c r="O708" i="12"/>
  <c r="P708" i="12"/>
  <c r="Q708" i="12"/>
  <c r="R708" i="12"/>
  <c r="S708" i="12"/>
  <c r="T708" i="12"/>
  <c r="U708" i="12"/>
  <c r="V708" i="12"/>
  <c r="O709" i="12"/>
  <c r="P709" i="12"/>
  <c r="Q709" i="12"/>
  <c r="R709" i="12"/>
  <c r="S709" i="12"/>
  <c r="T709" i="12"/>
  <c r="U709" i="12"/>
  <c r="V709" i="12"/>
  <c r="O710" i="12"/>
  <c r="P710" i="12"/>
  <c r="Q710" i="12"/>
  <c r="R710" i="12"/>
  <c r="S710" i="12"/>
  <c r="T710" i="12"/>
  <c r="U710" i="12"/>
  <c r="V710" i="12"/>
  <c r="O711" i="12"/>
  <c r="P711" i="12"/>
  <c r="Q711" i="12"/>
  <c r="R711" i="12"/>
  <c r="S711" i="12"/>
  <c r="T711" i="12"/>
  <c r="U711" i="12"/>
  <c r="V711" i="12"/>
  <c r="O712" i="12"/>
  <c r="P712" i="12"/>
  <c r="Q712" i="12"/>
  <c r="R712" i="12"/>
  <c r="S712" i="12"/>
  <c r="T712" i="12"/>
  <c r="U712" i="12"/>
  <c r="V712" i="12"/>
  <c r="O713" i="12"/>
  <c r="P713" i="12"/>
  <c r="Q713" i="12"/>
  <c r="R713" i="12"/>
  <c r="S713" i="12"/>
  <c r="T713" i="12"/>
  <c r="U713" i="12"/>
  <c r="V713" i="12"/>
  <c r="O714" i="12"/>
  <c r="P714" i="12"/>
  <c r="Q714" i="12"/>
  <c r="R714" i="12"/>
  <c r="S714" i="12"/>
  <c r="T714" i="12"/>
  <c r="U714" i="12"/>
  <c r="V714" i="12"/>
  <c r="O715" i="12"/>
  <c r="P715" i="12"/>
  <c r="Q715" i="12"/>
  <c r="R715" i="12"/>
  <c r="S715" i="12"/>
  <c r="T715" i="12"/>
  <c r="U715" i="12"/>
  <c r="V715" i="12"/>
  <c r="O716" i="12"/>
  <c r="P716" i="12"/>
  <c r="Q716" i="12"/>
  <c r="R716" i="12"/>
  <c r="S716" i="12"/>
  <c r="T716" i="12"/>
  <c r="U716" i="12"/>
  <c r="V716" i="12"/>
  <c r="O717" i="12"/>
  <c r="P717" i="12"/>
  <c r="Q717" i="12"/>
  <c r="R717" i="12"/>
  <c r="S717" i="12"/>
  <c r="T717" i="12"/>
  <c r="U717" i="12"/>
  <c r="V717" i="12"/>
  <c r="O718" i="12"/>
  <c r="P718" i="12"/>
  <c r="Q718" i="12"/>
  <c r="R718" i="12"/>
  <c r="S718" i="12"/>
  <c r="T718" i="12"/>
  <c r="U718" i="12"/>
  <c r="V718" i="12"/>
  <c r="O719" i="12"/>
  <c r="P719" i="12"/>
  <c r="Q719" i="12"/>
  <c r="R719" i="12"/>
  <c r="S719" i="12"/>
  <c r="T719" i="12"/>
  <c r="U719" i="12"/>
  <c r="V719" i="12"/>
  <c r="O720" i="12"/>
  <c r="P720" i="12"/>
  <c r="Q720" i="12"/>
  <c r="R720" i="12"/>
  <c r="S720" i="12"/>
  <c r="T720" i="12"/>
  <c r="U720" i="12"/>
  <c r="V720" i="12"/>
  <c r="O721" i="12"/>
  <c r="P721" i="12"/>
  <c r="Q721" i="12"/>
  <c r="R721" i="12"/>
  <c r="S721" i="12"/>
  <c r="T721" i="12"/>
  <c r="U721" i="12"/>
  <c r="V721" i="12"/>
  <c r="O722" i="12"/>
  <c r="P722" i="12"/>
  <c r="Q722" i="12"/>
  <c r="R722" i="12"/>
  <c r="S722" i="12"/>
  <c r="T722" i="12"/>
  <c r="U722" i="12"/>
  <c r="V722" i="12"/>
  <c r="O723" i="12"/>
  <c r="P723" i="12"/>
  <c r="Q723" i="12"/>
  <c r="R723" i="12"/>
  <c r="S723" i="12"/>
  <c r="T723" i="12"/>
  <c r="U723" i="12"/>
  <c r="V723" i="12"/>
  <c r="O724" i="12"/>
  <c r="P724" i="12"/>
  <c r="Q724" i="12"/>
  <c r="R724" i="12"/>
  <c r="S724" i="12"/>
  <c r="T724" i="12"/>
  <c r="U724" i="12"/>
  <c r="V724" i="12"/>
  <c r="O725" i="12"/>
  <c r="P725" i="12"/>
  <c r="Q725" i="12"/>
  <c r="R725" i="12"/>
  <c r="S725" i="12"/>
  <c r="T725" i="12"/>
  <c r="U725" i="12"/>
  <c r="V725" i="12"/>
  <c r="O726" i="12"/>
  <c r="P726" i="12"/>
  <c r="Q726" i="12"/>
  <c r="R726" i="12"/>
  <c r="S726" i="12"/>
  <c r="T726" i="12"/>
  <c r="U726" i="12"/>
  <c r="V726" i="12"/>
  <c r="O727" i="12"/>
  <c r="P727" i="12"/>
  <c r="Q727" i="12"/>
  <c r="R727" i="12"/>
  <c r="S727" i="12"/>
  <c r="T727" i="12"/>
  <c r="U727" i="12"/>
  <c r="V727" i="12"/>
  <c r="O728" i="12"/>
  <c r="P728" i="12"/>
  <c r="Q728" i="12"/>
  <c r="R728" i="12"/>
  <c r="S728" i="12"/>
  <c r="T728" i="12"/>
  <c r="U728" i="12"/>
  <c r="V728" i="12"/>
  <c r="O729" i="12"/>
  <c r="P729" i="12"/>
  <c r="Q729" i="12"/>
  <c r="R729" i="12"/>
  <c r="S729" i="12"/>
  <c r="T729" i="12"/>
  <c r="U729" i="12"/>
  <c r="V729" i="12"/>
  <c r="O730" i="12"/>
  <c r="P730" i="12"/>
  <c r="Q730" i="12"/>
  <c r="R730" i="12"/>
  <c r="S730" i="12"/>
  <c r="T730" i="12"/>
  <c r="U730" i="12"/>
  <c r="V730" i="12"/>
  <c r="O731" i="12"/>
  <c r="P731" i="12"/>
  <c r="Q731" i="12"/>
  <c r="R731" i="12"/>
  <c r="S731" i="12"/>
  <c r="T731" i="12"/>
  <c r="U731" i="12"/>
  <c r="V731" i="12"/>
  <c r="O732" i="12"/>
  <c r="P732" i="12"/>
  <c r="Q732" i="12"/>
  <c r="R732" i="12"/>
  <c r="S732" i="12"/>
  <c r="T732" i="12"/>
  <c r="U732" i="12"/>
  <c r="V732" i="12"/>
  <c r="O733" i="12"/>
  <c r="P733" i="12"/>
  <c r="Q733" i="12"/>
  <c r="R733" i="12"/>
  <c r="S733" i="12"/>
  <c r="T733" i="12"/>
  <c r="U733" i="12"/>
  <c r="V733" i="12"/>
  <c r="O734" i="12"/>
  <c r="P734" i="12"/>
  <c r="Q734" i="12"/>
  <c r="R734" i="12"/>
  <c r="S734" i="12"/>
  <c r="T734" i="12"/>
  <c r="U734" i="12"/>
  <c r="V734" i="12"/>
  <c r="O735" i="12"/>
  <c r="P735" i="12"/>
  <c r="Q735" i="12"/>
  <c r="R735" i="12"/>
  <c r="S735" i="12"/>
  <c r="T735" i="12"/>
  <c r="U735" i="12"/>
  <c r="V735" i="12"/>
  <c r="O736" i="12"/>
  <c r="P736" i="12"/>
  <c r="Q736" i="12"/>
  <c r="R736" i="12"/>
  <c r="S736" i="12"/>
  <c r="T736" i="12"/>
  <c r="U736" i="12"/>
  <c r="V736" i="12"/>
  <c r="O737" i="12"/>
  <c r="P737" i="12"/>
  <c r="Q737" i="12"/>
  <c r="R737" i="12"/>
  <c r="S737" i="12"/>
  <c r="T737" i="12"/>
  <c r="U737" i="12"/>
  <c r="V737" i="12"/>
  <c r="O738" i="12"/>
  <c r="P738" i="12"/>
  <c r="Q738" i="12"/>
  <c r="R738" i="12"/>
  <c r="S738" i="12"/>
  <c r="T738" i="12"/>
  <c r="U738" i="12"/>
  <c r="V738" i="12"/>
  <c r="O739" i="12"/>
  <c r="P739" i="12"/>
  <c r="Q739" i="12"/>
  <c r="R739" i="12"/>
  <c r="S739" i="12"/>
  <c r="T739" i="12"/>
  <c r="U739" i="12"/>
  <c r="V739" i="12"/>
  <c r="O740" i="12"/>
  <c r="P740" i="12"/>
  <c r="Q740" i="12"/>
  <c r="R740" i="12"/>
  <c r="S740" i="12"/>
  <c r="T740" i="12"/>
  <c r="U740" i="12"/>
  <c r="V740" i="12"/>
  <c r="O741" i="12"/>
  <c r="P741" i="12"/>
  <c r="Q741" i="12"/>
  <c r="R741" i="12"/>
  <c r="S741" i="12"/>
  <c r="T741" i="12"/>
  <c r="U741" i="12"/>
  <c r="V741" i="12"/>
  <c r="O742" i="12"/>
  <c r="P742" i="12"/>
  <c r="Q742" i="12"/>
  <c r="R742" i="12"/>
  <c r="S742" i="12"/>
  <c r="T742" i="12"/>
  <c r="U742" i="12"/>
  <c r="V742" i="12"/>
  <c r="O743" i="12"/>
  <c r="P743" i="12"/>
  <c r="Q743" i="12"/>
  <c r="R743" i="12"/>
  <c r="S743" i="12"/>
  <c r="T743" i="12"/>
  <c r="U743" i="12"/>
  <c r="V743" i="12"/>
  <c r="O744" i="12"/>
  <c r="P744" i="12"/>
  <c r="Q744" i="12"/>
  <c r="R744" i="12"/>
  <c r="S744" i="12"/>
  <c r="T744" i="12"/>
  <c r="U744" i="12"/>
  <c r="V744" i="12"/>
  <c r="O745" i="12"/>
  <c r="P745" i="12"/>
  <c r="Q745" i="12"/>
  <c r="R745" i="12"/>
  <c r="S745" i="12"/>
  <c r="T745" i="12"/>
  <c r="U745" i="12"/>
  <c r="V745" i="12"/>
  <c r="O746" i="12"/>
  <c r="P746" i="12"/>
  <c r="Q746" i="12"/>
  <c r="R746" i="12"/>
  <c r="S746" i="12"/>
  <c r="T746" i="12"/>
  <c r="U746" i="12"/>
  <c r="V746" i="12"/>
  <c r="O747" i="12"/>
  <c r="P747" i="12"/>
  <c r="Q747" i="12"/>
  <c r="R747" i="12"/>
  <c r="S747" i="12"/>
  <c r="T747" i="12"/>
  <c r="U747" i="12"/>
  <c r="V747" i="12"/>
  <c r="O748" i="12"/>
  <c r="P748" i="12"/>
  <c r="Q748" i="12"/>
  <c r="R748" i="12"/>
  <c r="S748" i="12"/>
  <c r="T748" i="12"/>
  <c r="U748" i="12"/>
  <c r="V748" i="12"/>
  <c r="O749" i="12"/>
  <c r="P749" i="12"/>
  <c r="Q749" i="12"/>
  <c r="R749" i="12"/>
  <c r="S749" i="12"/>
  <c r="T749" i="12"/>
  <c r="U749" i="12"/>
  <c r="V749" i="12"/>
  <c r="O750" i="12"/>
  <c r="P750" i="12"/>
  <c r="Q750" i="12"/>
  <c r="R750" i="12"/>
  <c r="S750" i="12"/>
  <c r="T750" i="12"/>
  <c r="U750" i="12"/>
  <c r="V750" i="12"/>
  <c r="O751" i="12"/>
  <c r="P751" i="12"/>
  <c r="Q751" i="12"/>
  <c r="R751" i="12"/>
  <c r="S751" i="12"/>
  <c r="T751" i="12"/>
  <c r="U751" i="12"/>
  <c r="V751" i="12"/>
  <c r="O752" i="12"/>
  <c r="P752" i="12"/>
  <c r="Q752" i="12"/>
  <c r="R752" i="12"/>
  <c r="S752" i="12"/>
  <c r="T752" i="12"/>
  <c r="U752" i="12"/>
  <c r="V752" i="12"/>
  <c r="O753" i="12"/>
  <c r="P753" i="12"/>
  <c r="Q753" i="12"/>
  <c r="R753" i="12"/>
  <c r="S753" i="12"/>
  <c r="T753" i="12"/>
  <c r="U753" i="12"/>
  <c r="V753" i="12"/>
  <c r="O754" i="12"/>
  <c r="P754" i="12"/>
  <c r="Q754" i="12"/>
  <c r="R754" i="12"/>
  <c r="S754" i="12"/>
  <c r="T754" i="12"/>
  <c r="U754" i="12"/>
  <c r="V754" i="12"/>
  <c r="O755" i="12"/>
  <c r="P755" i="12"/>
  <c r="Q755" i="12"/>
  <c r="R755" i="12"/>
  <c r="S755" i="12"/>
  <c r="T755" i="12"/>
  <c r="U755" i="12"/>
  <c r="V755" i="12"/>
  <c r="O756" i="12"/>
  <c r="P756" i="12"/>
  <c r="Q756" i="12"/>
  <c r="R756" i="12"/>
  <c r="S756" i="12"/>
  <c r="T756" i="12"/>
  <c r="U756" i="12"/>
  <c r="V756" i="12"/>
  <c r="O757" i="12"/>
  <c r="P757" i="12"/>
  <c r="Q757" i="12"/>
  <c r="R757" i="12"/>
  <c r="S757" i="12"/>
  <c r="T757" i="12"/>
  <c r="U757" i="12"/>
  <c r="V757" i="12"/>
  <c r="O758" i="12"/>
  <c r="P758" i="12"/>
  <c r="Q758" i="12"/>
  <c r="R758" i="12"/>
  <c r="S758" i="12"/>
  <c r="T758" i="12"/>
  <c r="U758" i="12"/>
  <c r="V758" i="12"/>
  <c r="O759" i="12"/>
  <c r="P759" i="12"/>
  <c r="Q759" i="12"/>
  <c r="R759" i="12"/>
  <c r="S759" i="12"/>
  <c r="T759" i="12"/>
  <c r="U759" i="12"/>
  <c r="V759" i="12"/>
  <c r="O760" i="12"/>
  <c r="P760" i="12"/>
  <c r="Q760" i="12"/>
  <c r="R760" i="12"/>
  <c r="S760" i="12"/>
  <c r="T760" i="12"/>
  <c r="U760" i="12"/>
  <c r="V760" i="12"/>
  <c r="O761" i="12"/>
  <c r="P761" i="12"/>
  <c r="Q761" i="12"/>
  <c r="R761" i="12"/>
  <c r="S761" i="12"/>
  <c r="T761" i="12"/>
  <c r="U761" i="12"/>
  <c r="V761" i="12"/>
  <c r="O762" i="12"/>
  <c r="P762" i="12"/>
  <c r="Q762" i="12"/>
  <c r="R762" i="12"/>
  <c r="S762" i="12"/>
  <c r="T762" i="12"/>
  <c r="U762" i="12"/>
  <c r="V762" i="12"/>
  <c r="O763" i="12"/>
  <c r="P763" i="12"/>
  <c r="Q763" i="12"/>
  <c r="R763" i="12"/>
  <c r="S763" i="12"/>
  <c r="T763" i="12"/>
  <c r="U763" i="12"/>
  <c r="V763" i="12"/>
  <c r="O764" i="12"/>
  <c r="P764" i="12"/>
  <c r="Q764" i="12"/>
  <c r="R764" i="12"/>
  <c r="S764" i="12"/>
  <c r="T764" i="12"/>
  <c r="U764" i="12"/>
  <c r="V764" i="12"/>
  <c r="O765" i="12"/>
  <c r="P765" i="12"/>
  <c r="Q765" i="12"/>
  <c r="R765" i="12"/>
  <c r="S765" i="12"/>
  <c r="T765" i="12"/>
  <c r="U765" i="12"/>
  <c r="V765" i="12"/>
  <c r="O766" i="12"/>
  <c r="P766" i="12"/>
  <c r="Q766" i="12"/>
  <c r="R766" i="12"/>
  <c r="S766" i="12"/>
  <c r="T766" i="12"/>
  <c r="U766" i="12"/>
  <c r="V766" i="12"/>
  <c r="O767" i="12"/>
  <c r="P767" i="12"/>
  <c r="Q767" i="12"/>
  <c r="R767" i="12"/>
  <c r="S767" i="12"/>
  <c r="T767" i="12"/>
  <c r="U767" i="12"/>
  <c r="V767" i="12"/>
  <c r="O768" i="12"/>
  <c r="P768" i="12"/>
  <c r="Q768" i="12"/>
  <c r="R768" i="12"/>
  <c r="S768" i="12"/>
  <c r="T768" i="12"/>
  <c r="U768" i="12"/>
  <c r="V768" i="12"/>
  <c r="O769" i="12"/>
  <c r="P769" i="12"/>
  <c r="Q769" i="12"/>
  <c r="R769" i="12"/>
  <c r="S769" i="12"/>
  <c r="T769" i="12"/>
  <c r="U769" i="12"/>
  <c r="V769" i="12"/>
  <c r="O770" i="12"/>
  <c r="P770" i="12"/>
  <c r="Q770" i="12"/>
  <c r="R770" i="12"/>
  <c r="S770" i="12"/>
  <c r="T770" i="12"/>
  <c r="U770" i="12"/>
  <c r="V770" i="12"/>
  <c r="O771" i="12"/>
  <c r="P771" i="12"/>
  <c r="Q771" i="12"/>
  <c r="R771" i="12"/>
  <c r="S771" i="12"/>
  <c r="T771" i="12"/>
  <c r="U771" i="12"/>
  <c r="V771" i="12"/>
  <c r="O772" i="12"/>
  <c r="P772" i="12"/>
  <c r="Q772" i="12"/>
  <c r="R772" i="12"/>
  <c r="S772" i="12"/>
  <c r="T772" i="12"/>
  <c r="U772" i="12"/>
  <c r="V772" i="12"/>
  <c r="O773" i="12"/>
  <c r="P773" i="12"/>
  <c r="Q773" i="12"/>
  <c r="R773" i="12"/>
  <c r="S773" i="12"/>
  <c r="T773" i="12"/>
  <c r="U773" i="12"/>
  <c r="V773" i="12"/>
  <c r="O774" i="12"/>
  <c r="P774" i="12"/>
  <c r="Q774" i="12"/>
  <c r="R774" i="12"/>
  <c r="S774" i="12"/>
  <c r="T774" i="12"/>
  <c r="U774" i="12"/>
  <c r="V774" i="12"/>
  <c r="O775" i="12"/>
  <c r="P775" i="12"/>
  <c r="Q775" i="12"/>
  <c r="R775" i="12"/>
  <c r="S775" i="12"/>
  <c r="T775" i="12"/>
  <c r="U775" i="12"/>
  <c r="V775" i="12"/>
  <c r="O776" i="12"/>
  <c r="P776" i="12"/>
  <c r="Q776" i="12"/>
  <c r="R776" i="12"/>
  <c r="S776" i="12"/>
  <c r="T776" i="12"/>
  <c r="U776" i="12"/>
  <c r="V776" i="12"/>
  <c r="O777" i="12"/>
  <c r="P777" i="12"/>
  <c r="Q777" i="12"/>
  <c r="R777" i="12"/>
  <c r="S777" i="12"/>
  <c r="T777" i="12"/>
  <c r="U777" i="12"/>
  <c r="V777" i="12"/>
  <c r="O778" i="12"/>
  <c r="P778" i="12"/>
  <c r="Q778" i="12"/>
  <c r="R778" i="12"/>
  <c r="S778" i="12"/>
  <c r="T778" i="12"/>
  <c r="U778" i="12"/>
  <c r="V778" i="12"/>
  <c r="O779" i="12"/>
  <c r="P779" i="12"/>
  <c r="Q779" i="12"/>
  <c r="R779" i="12"/>
  <c r="S779" i="12"/>
  <c r="T779" i="12"/>
  <c r="U779" i="12"/>
  <c r="V779" i="12"/>
  <c r="O780" i="12"/>
  <c r="P780" i="12"/>
  <c r="Q780" i="12"/>
  <c r="R780" i="12"/>
  <c r="S780" i="12"/>
  <c r="T780" i="12"/>
  <c r="U780" i="12"/>
  <c r="V780" i="12"/>
  <c r="O781" i="12"/>
  <c r="P781" i="12"/>
  <c r="Q781" i="12"/>
  <c r="R781" i="12"/>
  <c r="S781" i="12"/>
  <c r="T781" i="12"/>
  <c r="U781" i="12"/>
  <c r="V781" i="12"/>
  <c r="O782" i="12"/>
  <c r="P782" i="12"/>
  <c r="Q782" i="12"/>
  <c r="R782" i="12"/>
  <c r="S782" i="12"/>
  <c r="T782" i="12"/>
  <c r="U782" i="12"/>
  <c r="V782" i="12"/>
  <c r="O783" i="12"/>
  <c r="P783" i="12"/>
  <c r="Q783" i="12"/>
  <c r="R783" i="12"/>
  <c r="S783" i="12"/>
  <c r="T783" i="12"/>
  <c r="U783" i="12"/>
  <c r="V783" i="12"/>
  <c r="O784" i="12"/>
  <c r="P784" i="12"/>
  <c r="Q784" i="12"/>
  <c r="R784" i="12"/>
  <c r="S784" i="12"/>
  <c r="T784" i="12"/>
  <c r="U784" i="12"/>
  <c r="V784" i="12"/>
  <c r="O785" i="12"/>
  <c r="P785" i="12"/>
  <c r="Q785" i="12"/>
  <c r="R785" i="12"/>
  <c r="S785" i="12"/>
  <c r="T785" i="12"/>
  <c r="U785" i="12"/>
  <c r="V785" i="12"/>
  <c r="O786" i="12"/>
  <c r="P786" i="12"/>
  <c r="Q786" i="12"/>
  <c r="R786" i="12"/>
  <c r="S786" i="12"/>
  <c r="T786" i="12"/>
  <c r="U786" i="12"/>
  <c r="V786" i="12"/>
  <c r="O787" i="12"/>
  <c r="P787" i="12"/>
  <c r="Q787" i="12"/>
  <c r="R787" i="12"/>
  <c r="S787" i="12"/>
  <c r="T787" i="12"/>
  <c r="U787" i="12"/>
  <c r="V787" i="12"/>
  <c r="O788" i="12"/>
  <c r="P788" i="12"/>
  <c r="Q788" i="12"/>
  <c r="R788" i="12"/>
  <c r="S788" i="12"/>
  <c r="T788" i="12"/>
  <c r="U788" i="12"/>
  <c r="V788" i="12"/>
  <c r="O789" i="12"/>
  <c r="P789" i="12"/>
  <c r="Q789" i="12"/>
  <c r="R789" i="12"/>
  <c r="S789" i="12"/>
  <c r="T789" i="12"/>
  <c r="U789" i="12"/>
  <c r="V789" i="12"/>
  <c r="O790" i="12"/>
  <c r="P790" i="12"/>
  <c r="Q790" i="12"/>
  <c r="R790" i="12"/>
  <c r="S790" i="12"/>
  <c r="T790" i="12"/>
  <c r="U790" i="12"/>
  <c r="V790" i="12"/>
  <c r="O791" i="12"/>
  <c r="P791" i="12"/>
  <c r="Q791" i="12"/>
  <c r="R791" i="12"/>
  <c r="S791" i="12"/>
  <c r="T791" i="12"/>
  <c r="U791" i="12"/>
  <c r="V791" i="12"/>
  <c r="O792" i="12"/>
  <c r="P792" i="12"/>
  <c r="Q792" i="12"/>
  <c r="R792" i="12"/>
  <c r="S792" i="12"/>
  <c r="T792" i="12"/>
  <c r="U792" i="12"/>
  <c r="V792" i="12"/>
  <c r="O793" i="12"/>
  <c r="P793" i="12"/>
  <c r="Q793" i="12"/>
  <c r="R793" i="12"/>
  <c r="S793" i="12"/>
  <c r="T793" i="12"/>
  <c r="U793" i="12"/>
  <c r="V793" i="12"/>
  <c r="O794" i="12"/>
  <c r="P794" i="12"/>
  <c r="Q794" i="12"/>
  <c r="R794" i="12"/>
  <c r="S794" i="12"/>
  <c r="T794" i="12"/>
  <c r="U794" i="12"/>
  <c r="V794" i="12"/>
  <c r="O795" i="12"/>
  <c r="P795" i="12"/>
  <c r="Q795" i="12"/>
  <c r="R795" i="12"/>
  <c r="S795" i="12"/>
  <c r="T795" i="12"/>
  <c r="U795" i="12"/>
  <c r="V795" i="12"/>
  <c r="O796" i="12"/>
  <c r="P796" i="12"/>
  <c r="Q796" i="12"/>
  <c r="R796" i="12"/>
  <c r="S796" i="12"/>
  <c r="T796" i="12"/>
  <c r="U796" i="12"/>
  <c r="V796" i="12"/>
  <c r="O797" i="12"/>
  <c r="P797" i="12"/>
  <c r="Q797" i="12"/>
  <c r="R797" i="12"/>
  <c r="S797" i="12"/>
  <c r="T797" i="12"/>
  <c r="U797" i="12"/>
  <c r="V797" i="12"/>
  <c r="O798" i="12"/>
  <c r="P798" i="12"/>
  <c r="Q798" i="12"/>
  <c r="R798" i="12"/>
  <c r="S798" i="12"/>
  <c r="T798" i="12"/>
  <c r="U798" i="12"/>
  <c r="V798" i="12"/>
  <c r="O799" i="12"/>
  <c r="P799" i="12"/>
  <c r="Q799" i="12"/>
  <c r="R799" i="12"/>
  <c r="S799" i="12"/>
  <c r="T799" i="12"/>
  <c r="U799" i="12"/>
  <c r="V799" i="12"/>
  <c r="O800" i="12"/>
  <c r="P800" i="12"/>
  <c r="Q800" i="12"/>
  <c r="R800" i="12"/>
  <c r="S800" i="12"/>
  <c r="T800" i="12"/>
  <c r="U800" i="12"/>
  <c r="V800" i="12"/>
  <c r="O801" i="12"/>
  <c r="P801" i="12"/>
  <c r="Q801" i="12"/>
  <c r="R801" i="12"/>
  <c r="S801" i="12"/>
  <c r="T801" i="12"/>
  <c r="U801" i="12"/>
  <c r="V801" i="12"/>
  <c r="O802" i="12"/>
  <c r="P802" i="12"/>
  <c r="Q802" i="12"/>
  <c r="R802" i="12"/>
  <c r="S802" i="12"/>
  <c r="T802" i="12"/>
  <c r="U802" i="12"/>
  <c r="V802" i="12"/>
  <c r="O803" i="12"/>
  <c r="P803" i="12"/>
  <c r="Q803" i="12"/>
  <c r="R803" i="12"/>
  <c r="S803" i="12"/>
  <c r="T803" i="12"/>
  <c r="U803" i="12"/>
  <c r="V803" i="12"/>
  <c r="O804" i="12"/>
  <c r="P804" i="12"/>
  <c r="Q804" i="12"/>
  <c r="R804" i="12"/>
  <c r="S804" i="12"/>
  <c r="T804" i="12"/>
  <c r="U804" i="12"/>
  <c r="V804" i="12"/>
  <c r="O805" i="12"/>
  <c r="P805" i="12"/>
  <c r="Q805" i="12"/>
  <c r="R805" i="12"/>
  <c r="S805" i="12"/>
  <c r="T805" i="12"/>
  <c r="U805" i="12"/>
  <c r="V805" i="12"/>
  <c r="O806" i="12"/>
  <c r="P806" i="12"/>
  <c r="Q806" i="12"/>
  <c r="R806" i="12"/>
  <c r="S806" i="12"/>
  <c r="T806" i="12"/>
  <c r="U806" i="12"/>
  <c r="V806" i="12"/>
  <c r="O807" i="12"/>
  <c r="P807" i="12"/>
  <c r="Q807" i="12"/>
  <c r="R807" i="12"/>
  <c r="S807" i="12"/>
  <c r="T807" i="12"/>
  <c r="U807" i="12"/>
  <c r="V807" i="12"/>
  <c r="O808" i="12"/>
  <c r="P808" i="12"/>
  <c r="Q808" i="12"/>
  <c r="R808" i="12"/>
  <c r="S808" i="12"/>
  <c r="T808" i="12"/>
  <c r="U808" i="12"/>
  <c r="V808" i="12"/>
  <c r="O809" i="12"/>
  <c r="P809" i="12"/>
  <c r="Q809" i="12"/>
  <c r="R809" i="12"/>
  <c r="S809" i="12"/>
  <c r="T809" i="12"/>
  <c r="U809" i="12"/>
  <c r="V809" i="12"/>
  <c r="O810" i="12"/>
  <c r="P810" i="12"/>
  <c r="Q810" i="12"/>
  <c r="R810" i="12"/>
  <c r="S810" i="12"/>
  <c r="T810" i="12"/>
  <c r="U810" i="12"/>
  <c r="V810" i="12"/>
  <c r="O811" i="12"/>
  <c r="P811" i="12"/>
  <c r="Q811" i="12"/>
  <c r="R811" i="12"/>
  <c r="S811" i="12"/>
  <c r="T811" i="12"/>
  <c r="U811" i="12"/>
  <c r="V811" i="12"/>
  <c r="O812" i="12"/>
  <c r="P812" i="12"/>
  <c r="Q812" i="12"/>
  <c r="R812" i="12"/>
  <c r="S812" i="12"/>
  <c r="T812" i="12"/>
  <c r="U812" i="12"/>
  <c r="V812" i="12"/>
  <c r="O813" i="12"/>
  <c r="P813" i="12"/>
  <c r="Q813" i="12"/>
  <c r="R813" i="12"/>
  <c r="S813" i="12"/>
  <c r="T813" i="12"/>
  <c r="U813" i="12"/>
  <c r="V813" i="12"/>
  <c r="O814" i="12"/>
  <c r="P814" i="12"/>
  <c r="Q814" i="12"/>
  <c r="R814" i="12"/>
  <c r="S814" i="12"/>
  <c r="T814" i="12"/>
  <c r="U814" i="12"/>
  <c r="V814" i="12"/>
  <c r="O815" i="12"/>
  <c r="P815" i="12"/>
  <c r="Q815" i="12"/>
  <c r="R815" i="12"/>
  <c r="S815" i="12"/>
  <c r="T815" i="12"/>
  <c r="U815" i="12"/>
  <c r="V815" i="12"/>
  <c r="O816" i="12"/>
  <c r="P816" i="12"/>
  <c r="Q816" i="12"/>
  <c r="R816" i="12"/>
  <c r="S816" i="12"/>
  <c r="T816" i="12"/>
  <c r="U816" i="12"/>
  <c r="V816" i="12"/>
  <c r="O817" i="12"/>
  <c r="P817" i="12"/>
  <c r="Q817" i="12"/>
  <c r="R817" i="12"/>
  <c r="S817" i="12"/>
  <c r="T817" i="12"/>
  <c r="U817" i="12"/>
  <c r="V817" i="12"/>
  <c r="O818" i="12"/>
  <c r="P818" i="12"/>
  <c r="Q818" i="12"/>
  <c r="R818" i="12"/>
  <c r="S818" i="12"/>
  <c r="T818" i="12"/>
  <c r="U818" i="12"/>
  <c r="V818" i="12"/>
  <c r="O819" i="12"/>
  <c r="P819" i="12"/>
  <c r="Q819" i="12"/>
  <c r="R819" i="12"/>
  <c r="S819" i="12"/>
  <c r="T819" i="12"/>
  <c r="U819" i="12"/>
  <c r="V819" i="12"/>
  <c r="O820" i="12"/>
  <c r="P820" i="12"/>
  <c r="Q820" i="12"/>
  <c r="R820" i="12"/>
  <c r="S820" i="12"/>
  <c r="T820" i="12"/>
  <c r="U820" i="12"/>
  <c r="V820" i="12"/>
  <c r="O821" i="12"/>
  <c r="P821" i="12"/>
  <c r="Q821" i="12"/>
  <c r="R821" i="12"/>
  <c r="S821" i="12"/>
  <c r="T821" i="12"/>
  <c r="U821" i="12"/>
  <c r="V821" i="12"/>
  <c r="O822" i="12"/>
  <c r="P822" i="12"/>
  <c r="Q822" i="12"/>
  <c r="R822" i="12"/>
  <c r="S822" i="12"/>
  <c r="T822" i="12"/>
  <c r="U822" i="12"/>
  <c r="V822" i="12"/>
  <c r="O823" i="12"/>
  <c r="P823" i="12"/>
  <c r="Q823" i="12"/>
  <c r="R823" i="12"/>
  <c r="S823" i="12"/>
  <c r="T823" i="12"/>
  <c r="U823" i="12"/>
  <c r="V823" i="12"/>
  <c r="O824" i="12"/>
  <c r="P824" i="12"/>
  <c r="Q824" i="12"/>
  <c r="R824" i="12"/>
  <c r="S824" i="12"/>
  <c r="T824" i="12"/>
  <c r="U824" i="12"/>
  <c r="V824" i="12"/>
  <c r="O825" i="12"/>
  <c r="P825" i="12"/>
  <c r="Q825" i="12"/>
  <c r="R825" i="12"/>
  <c r="S825" i="12"/>
  <c r="T825" i="12"/>
  <c r="U825" i="12"/>
  <c r="V825" i="12"/>
  <c r="O826" i="12"/>
  <c r="P826" i="12"/>
  <c r="Q826" i="12"/>
  <c r="R826" i="12"/>
  <c r="S826" i="12"/>
  <c r="T826" i="12"/>
  <c r="U826" i="12"/>
  <c r="V826" i="12"/>
  <c r="O827" i="12"/>
  <c r="P827" i="12"/>
  <c r="Q827" i="12"/>
  <c r="R827" i="12"/>
  <c r="S827" i="12"/>
  <c r="T827" i="12"/>
  <c r="U827" i="12"/>
  <c r="V827" i="12"/>
  <c r="O828" i="12"/>
  <c r="P828" i="12"/>
  <c r="Q828" i="12"/>
  <c r="R828" i="12"/>
  <c r="S828" i="12"/>
  <c r="T828" i="12"/>
  <c r="U828" i="12"/>
  <c r="V828" i="12"/>
  <c r="O829" i="12"/>
  <c r="P829" i="12"/>
  <c r="Q829" i="12"/>
  <c r="R829" i="12"/>
  <c r="S829" i="12"/>
  <c r="T829" i="12"/>
  <c r="U829" i="12"/>
  <c r="V829" i="12"/>
  <c r="O830" i="12"/>
  <c r="P830" i="12"/>
  <c r="Q830" i="12"/>
  <c r="R830" i="12"/>
  <c r="S830" i="12"/>
  <c r="T830" i="12"/>
  <c r="U830" i="12"/>
  <c r="V830" i="12"/>
  <c r="O831" i="12"/>
  <c r="P831" i="12"/>
  <c r="Q831" i="12"/>
  <c r="R831" i="12"/>
  <c r="S831" i="12"/>
  <c r="T831" i="12"/>
  <c r="U831" i="12"/>
  <c r="V831" i="12"/>
  <c r="O832" i="12"/>
  <c r="P832" i="12"/>
  <c r="Q832" i="12"/>
  <c r="R832" i="12"/>
  <c r="S832" i="12"/>
  <c r="T832" i="12"/>
  <c r="U832" i="12"/>
  <c r="V832" i="12"/>
  <c r="O833" i="12"/>
  <c r="P833" i="12"/>
  <c r="Q833" i="12"/>
  <c r="R833" i="12"/>
  <c r="S833" i="12"/>
  <c r="T833" i="12"/>
  <c r="U833" i="12"/>
  <c r="V833" i="12"/>
  <c r="O834" i="12"/>
  <c r="P834" i="12"/>
  <c r="Q834" i="12"/>
  <c r="R834" i="12"/>
  <c r="S834" i="12"/>
  <c r="T834" i="12"/>
  <c r="U834" i="12"/>
  <c r="V834" i="12"/>
  <c r="O835" i="12"/>
  <c r="P835" i="12"/>
  <c r="Q835" i="12"/>
  <c r="R835" i="12"/>
  <c r="S835" i="12"/>
  <c r="T835" i="12"/>
  <c r="U835" i="12"/>
  <c r="V835" i="12"/>
  <c r="O836" i="12"/>
  <c r="P836" i="12"/>
  <c r="Q836" i="12"/>
  <c r="R836" i="12"/>
  <c r="S836" i="12"/>
  <c r="T836" i="12"/>
  <c r="U836" i="12"/>
  <c r="V836" i="12"/>
  <c r="O837" i="12"/>
  <c r="P837" i="12"/>
  <c r="Q837" i="12"/>
  <c r="R837" i="12"/>
  <c r="S837" i="12"/>
  <c r="T837" i="12"/>
  <c r="U837" i="12"/>
  <c r="V837" i="12"/>
  <c r="O838" i="12"/>
  <c r="P838" i="12"/>
  <c r="Q838" i="12"/>
  <c r="R838" i="12"/>
  <c r="S838" i="12"/>
  <c r="T838" i="12"/>
  <c r="U838" i="12"/>
  <c r="V838" i="12"/>
  <c r="O839" i="12"/>
  <c r="P839" i="12"/>
  <c r="Q839" i="12"/>
  <c r="R839" i="12"/>
  <c r="S839" i="12"/>
  <c r="T839" i="12"/>
  <c r="U839" i="12"/>
  <c r="V839" i="12"/>
  <c r="O840" i="12"/>
  <c r="P840" i="12"/>
  <c r="Q840" i="12"/>
  <c r="R840" i="12"/>
  <c r="S840" i="12"/>
  <c r="T840" i="12"/>
  <c r="U840" i="12"/>
  <c r="V840" i="12"/>
  <c r="O841" i="12"/>
  <c r="P841" i="12"/>
  <c r="Q841" i="12"/>
  <c r="R841" i="12"/>
  <c r="S841" i="12"/>
  <c r="T841" i="12"/>
  <c r="U841" i="12"/>
  <c r="V841" i="12"/>
  <c r="O842" i="12"/>
  <c r="P842" i="12"/>
  <c r="Q842" i="12"/>
  <c r="R842" i="12"/>
  <c r="S842" i="12"/>
  <c r="T842" i="12"/>
  <c r="U842" i="12"/>
  <c r="V842" i="12"/>
  <c r="O843" i="12"/>
  <c r="P843" i="12"/>
  <c r="Q843" i="12"/>
  <c r="R843" i="12"/>
  <c r="S843" i="12"/>
  <c r="T843" i="12"/>
  <c r="U843" i="12"/>
  <c r="V843" i="12"/>
  <c r="O844" i="12"/>
  <c r="P844" i="12"/>
  <c r="Q844" i="12"/>
  <c r="R844" i="12"/>
  <c r="S844" i="12"/>
  <c r="T844" i="12"/>
  <c r="U844" i="12"/>
  <c r="V844" i="12"/>
  <c r="O845" i="12"/>
  <c r="P845" i="12"/>
  <c r="Q845" i="12"/>
  <c r="R845" i="12"/>
  <c r="S845" i="12"/>
  <c r="T845" i="12"/>
  <c r="U845" i="12"/>
  <c r="V845" i="12"/>
  <c r="O846" i="12"/>
  <c r="P846" i="12"/>
  <c r="Q846" i="12"/>
  <c r="R846" i="12"/>
  <c r="S846" i="12"/>
  <c r="T846" i="12"/>
  <c r="U846" i="12"/>
  <c r="V846" i="12"/>
  <c r="O847" i="12"/>
  <c r="P847" i="12"/>
  <c r="Q847" i="12"/>
  <c r="R847" i="12"/>
  <c r="S847" i="12"/>
  <c r="T847" i="12"/>
  <c r="U847" i="12"/>
  <c r="V847" i="12"/>
  <c r="O848" i="12"/>
  <c r="P848" i="12"/>
  <c r="Q848" i="12"/>
  <c r="R848" i="12"/>
  <c r="S848" i="12"/>
  <c r="T848" i="12"/>
  <c r="U848" i="12"/>
  <c r="V848" i="12"/>
  <c r="O849" i="12"/>
  <c r="P849" i="12"/>
  <c r="Q849" i="12"/>
  <c r="R849" i="12"/>
  <c r="S849" i="12"/>
  <c r="T849" i="12"/>
  <c r="U849" i="12"/>
  <c r="V849" i="12"/>
  <c r="O850" i="12"/>
  <c r="P850" i="12"/>
  <c r="Q850" i="12"/>
  <c r="R850" i="12"/>
  <c r="S850" i="12"/>
  <c r="T850" i="12"/>
  <c r="U850" i="12"/>
  <c r="V850" i="12"/>
  <c r="O851" i="12"/>
  <c r="P851" i="12"/>
  <c r="Q851" i="12"/>
  <c r="R851" i="12"/>
  <c r="S851" i="12"/>
  <c r="T851" i="12"/>
  <c r="U851" i="12"/>
  <c r="V851" i="12"/>
  <c r="O852" i="12"/>
  <c r="P852" i="12"/>
  <c r="Q852" i="12"/>
  <c r="R852" i="12"/>
  <c r="S852" i="12"/>
  <c r="T852" i="12"/>
  <c r="U852" i="12"/>
  <c r="V852" i="12"/>
  <c r="O853" i="12"/>
  <c r="P853" i="12"/>
  <c r="Q853" i="12"/>
  <c r="R853" i="12"/>
  <c r="S853" i="12"/>
  <c r="T853" i="12"/>
  <c r="U853" i="12"/>
  <c r="V853" i="12"/>
  <c r="O854" i="12"/>
  <c r="P854" i="12"/>
  <c r="Q854" i="12"/>
  <c r="R854" i="12"/>
  <c r="S854" i="12"/>
  <c r="T854" i="12"/>
  <c r="U854" i="12"/>
  <c r="V854" i="12"/>
  <c r="O855" i="12"/>
  <c r="P855" i="12"/>
  <c r="Q855" i="12"/>
  <c r="R855" i="12"/>
  <c r="S855" i="12"/>
  <c r="T855" i="12"/>
  <c r="U855" i="12"/>
  <c r="V855" i="12"/>
  <c r="O856" i="12"/>
  <c r="P856" i="12"/>
  <c r="Q856" i="12"/>
  <c r="R856" i="12"/>
  <c r="S856" i="12"/>
  <c r="T856" i="12"/>
  <c r="U856" i="12"/>
  <c r="V856" i="12"/>
  <c r="O857" i="12"/>
  <c r="P857" i="12"/>
  <c r="Q857" i="12"/>
  <c r="R857" i="12"/>
  <c r="S857" i="12"/>
  <c r="T857" i="12"/>
  <c r="U857" i="12"/>
  <c r="V857" i="12"/>
  <c r="O858" i="12"/>
  <c r="P858" i="12"/>
  <c r="Q858" i="12"/>
  <c r="R858" i="12"/>
  <c r="S858" i="12"/>
  <c r="T858" i="12"/>
  <c r="U858" i="12"/>
  <c r="V858" i="12"/>
  <c r="O859" i="12"/>
  <c r="P859" i="12"/>
  <c r="Q859" i="12"/>
  <c r="R859" i="12"/>
  <c r="S859" i="12"/>
  <c r="T859" i="12"/>
  <c r="U859" i="12"/>
  <c r="V859" i="12"/>
  <c r="O860" i="12"/>
  <c r="P860" i="12"/>
  <c r="Q860" i="12"/>
  <c r="R860" i="12"/>
  <c r="S860" i="12"/>
  <c r="T860" i="12"/>
  <c r="U860" i="12"/>
  <c r="V860" i="12"/>
  <c r="O861" i="12"/>
  <c r="P861" i="12"/>
  <c r="Q861" i="12"/>
  <c r="R861" i="12"/>
  <c r="S861" i="12"/>
  <c r="T861" i="12"/>
  <c r="U861" i="12"/>
  <c r="V861" i="12"/>
  <c r="O862" i="12"/>
  <c r="P862" i="12"/>
  <c r="Q862" i="12"/>
  <c r="R862" i="12"/>
  <c r="S862" i="12"/>
  <c r="T862" i="12"/>
  <c r="U862" i="12"/>
  <c r="V862" i="12"/>
  <c r="O863" i="12"/>
  <c r="P863" i="12"/>
  <c r="Q863" i="12"/>
  <c r="R863" i="12"/>
  <c r="S863" i="12"/>
  <c r="T863" i="12"/>
  <c r="U863" i="12"/>
  <c r="V863" i="12"/>
  <c r="O864" i="12"/>
  <c r="P864" i="12"/>
  <c r="Q864" i="12"/>
  <c r="R864" i="12"/>
  <c r="S864" i="12"/>
  <c r="T864" i="12"/>
  <c r="U864" i="12"/>
  <c r="V864" i="12"/>
  <c r="O865" i="12"/>
  <c r="P865" i="12"/>
  <c r="Q865" i="12"/>
  <c r="R865" i="12"/>
  <c r="S865" i="12"/>
  <c r="T865" i="12"/>
  <c r="U865" i="12"/>
  <c r="V865" i="12"/>
  <c r="O866" i="12"/>
  <c r="P866" i="12"/>
  <c r="Q866" i="12"/>
  <c r="R866" i="12"/>
  <c r="S866" i="12"/>
  <c r="T866" i="12"/>
  <c r="U866" i="12"/>
  <c r="V866" i="12"/>
  <c r="O867" i="12"/>
  <c r="P867" i="12"/>
  <c r="Q867" i="12"/>
  <c r="R867" i="12"/>
  <c r="S867" i="12"/>
  <c r="T867" i="12"/>
  <c r="U867" i="12"/>
  <c r="V867" i="12"/>
  <c r="O868" i="12"/>
  <c r="P868" i="12"/>
  <c r="Q868" i="12"/>
  <c r="R868" i="12"/>
  <c r="S868" i="12"/>
  <c r="T868" i="12"/>
  <c r="U868" i="12"/>
  <c r="V868" i="12"/>
  <c r="O869" i="12"/>
  <c r="P869" i="12"/>
  <c r="Q869" i="12"/>
  <c r="R869" i="12"/>
  <c r="S869" i="12"/>
  <c r="T869" i="12"/>
  <c r="U869" i="12"/>
  <c r="V869" i="12"/>
  <c r="O870" i="12"/>
  <c r="P870" i="12"/>
  <c r="Q870" i="12"/>
  <c r="R870" i="12"/>
  <c r="S870" i="12"/>
  <c r="T870" i="12"/>
  <c r="U870" i="12"/>
  <c r="V870" i="12"/>
  <c r="O871" i="12"/>
  <c r="P871" i="12"/>
  <c r="Q871" i="12"/>
  <c r="R871" i="12"/>
  <c r="S871" i="12"/>
  <c r="T871" i="12"/>
  <c r="U871" i="12"/>
  <c r="V871" i="12"/>
  <c r="O872" i="12"/>
  <c r="P872" i="12"/>
  <c r="Q872" i="12"/>
  <c r="R872" i="12"/>
  <c r="S872" i="12"/>
  <c r="T872" i="12"/>
  <c r="U872" i="12"/>
  <c r="V872" i="12"/>
  <c r="O873" i="12"/>
  <c r="P873" i="12"/>
  <c r="Q873" i="12"/>
  <c r="R873" i="12"/>
  <c r="S873" i="12"/>
  <c r="T873" i="12"/>
  <c r="U873" i="12"/>
  <c r="V873" i="12"/>
  <c r="O874" i="12"/>
  <c r="P874" i="12"/>
  <c r="Q874" i="12"/>
  <c r="R874" i="12"/>
  <c r="S874" i="12"/>
  <c r="T874" i="12"/>
  <c r="U874" i="12"/>
  <c r="V874" i="12"/>
  <c r="O875" i="12"/>
  <c r="P875" i="12"/>
  <c r="Q875" i="12"/>
  <c r="R875" i="12"/>
  <c r="S875" i="12"/>
  <c r="T875" i="12"/>
  <c r="U875" i="12"/>
  <c r="V875" i="12"/>
  <c r="O876" i="12"/>
  <c r="P876" i="12"/>
  <c r="Q876" i="12"/>
  <c r="R876" i="12"/>
  <c r="S876" i="12"/>
  <c r="T876" i="12"/>
  <c r="U876" i="12"/>
  <c r="V876" i="12"/>
  <c r="O877" i="12"/>
  <c r="P877" i="12"/>
  <c r="Q877" i="12"/>
  <c r="R877" i="12"/>
  <c r="S877" i="12"/>
  <c r="T877" i="12"/>
  <c r="U877" i="12"/>
  <c r="V877" i="12"/>
  <c r="O878" i="12"/>
  <c r="P878" i="12"/>
  <c r="Q878" i="12"/>
  <c r="R878" i="12"/>
  <c r="S878" i="12"/>
  <c r="T878" i="12"/>
  <c r="U878" i="12"/>
  <c r="V878" i="12"/>
  <c r="O879" i="12"/>
  <c r="P879" i="12"/>
  <c r="Q879" i="12"/>
  <c r="R879" i="12"/>
  <c r="S879" i="12"/>
  <c r="T879" i="12"/>
  <c r="U879" i="12"/>
  <c r="V879" i="12"/>
  <c r="O880" i="12"/>
  <c r="P880" i="12"/>
  <c r="Q880" i="12"/>
  <c r="R880" i="12"/>
  <c r="S880" i="12"/>
  <c r="T880" i="12"/>
  <c r="U880" i="12"/>
  <c r="V880" i="12"/>
  <c r="O881" i="12"/>
  <c r="P881" i="12"/>
  <c r="Q881" i="12"/>
  <c r="R881" i="12"/>
  <c r="S881" i="12"/>
  <c r="T881" i="12"/>
  <c r="U881" i="12"/>
  <c r="V881" i="12"/>
  <c r="O882" i="12"/>
  <c r="P882" i="12"/>
  <c r="Q882" i="12"/>
  <c r="R882" i="12"/>
  <c r="S882" i="12"/>
  <c r="T882" i="12"/>
  <c r="U882" i="12"/>
  <c r="V882" i="12"/>
  <c r="O883" i="12"/>
  <c r="P883" i="12"/>
  <c r="Q883" i="12"/>
  <c r="R883" i="12"/>
  <c r="S883" i="12"/>
  <c r="T883" i="12"/>
  <c r="U883" i="12"/>
  <c r="V883" i="12"/>
  <c r="O884" i="12"/>
  <c r="P884" i="12"/>
  <c r="Q884" i="12"/>
  <c r="R884" i="12"/>
  <c r="S884" i="12"/>
  <c r="T884" i="12"/>
  <c r="U884" i="12"/>
  <c r="V884" i="12"/>
  <c r="O885" i="12"/>
  <c r="P885" i="12"/>
  <c r="Q885" i="12"/>
  <c r="R885" i="12"/>
  <c r="S885" i="12"/>
  <c r="T885" i="12"/>
  <c r="U885" i="12"/>
  <c r="V885" i="12"/>
  <c r="O886" i="12"/>
  <c r="P886" i="12"/>
  <c r="Q886" i="12"/>
  <c r="R886" i="12"/>
  <c r="S886" i="12"/>
  <c r="T886" i="12"/>
  <c r="U886" i="12"/>
  <c r="V886" i="12"/>
  <c r="O887" i="12"/>
  <c r="P887" i="12"/>
  <c r="Q887" i="12"/>
  <c r="R887" i="12"/>
  <c r="S887" i="12"/>
  <c r="T887" i="12"/>
  <c r="U887" i="12"/>
  <c r="V887" i="12"/>
  <c r="O888" i="12"/>
  <c r="P888" i="12"/>
  <c r="Q888" i="12"/>
  <c r="R888" i="12"/>
  <c r="S888" i="12"/>
  <c r="T888" i="12"/>
  <c r="U888" i="12"/>
  <c r="V888" i="12"/>
  <c r="O889" i="12"/>
  <c r="P889" i="12"/>
  <c r="Q889" i="12"/>
  <c r="R889" i="12"/>
  <c r="S889" i="12"/>
  <c r="T889" i="12"/>
  <c r="U889" i="12"/>
  <c r="V889" i="12"/>
  <c r="O890" i="12"/>
  <c r="P890" i="12"/>
  <c r="Q890" i="12"/>
  <c r="R890" i="12"/>
  <c r="S890" i="12"/>
  <c r="T890" i="12"/>
  <c r="U890" i="12"/>
  <c r="V890" i="12"/>
  <c r="O891" i="12"/>
  <c r="P891" i="12"/>
  <c r="Q891" i="12"/>
  <c r="R891" i="12"/>
  <c r="S891" i="12"/>
  <c r="T891" i="12"/>
  <c r="U891" i="12"/>
  <c r="V891" i="12"/>
  <c r="O892" i="12"/>
  <c r="P892" i="12"/>
  <c r="Q892" i="12"/>
  <c r="R892" i="12"/>
  <c r="S892" i="12"/>
  <c r="T892" i="12"/>
  <c r="U892" i="12"/>
  <c r="V892" i="12"/>
  <c r="O893" i="12"/>
  <c r="P893" i="12"/>
  <c r="Q893" i="12"/>
  <c r="R893" i="12"/>
  <c r="S893" i="12"/>
  <c r="T893" i="12"/>
  <c r="U893" i="12"/>
  <c r="V893" i="12"/>
  <c r="O894" i="12"/>
  <c r="P894" i="12"/>
  <c r="Q894" i="12"/>
  <c r="R894" i="12"/>
  <c r="S894" i="12"/>
  <c r="T894" i="12"/>
  <c r="U894" i="12"/>
  <c r="V894" i="12"/>
  <c r="O895" i="12"/>
  <c r="P895" i="12"/>
  <c r="Q895" i="12"/>
  <c r="R895" i="12"/>
  <c r="S895" i="12"/>
  <c r="T895" i="12"/>
  <c r="U895" i="12"/>
  <c r="V895" i="12"/>
  <c r="O896" i="12"/>
  <c r="P896" i="12"/>
  <c r="Q896" i="12"/>
  <c r="R896" i="12"/>
  <c r="S896" i="12"/>
  <c r="T896" i="12"/>
  <c r="U896" i="12"/>
  <c r="V896" i="12"/>
  <c r="O897" i="12"/>
  <c r="P897" i="12"/>
  <c r="Q897" i="12"/>
  <c r="R897" i="12"/>
  <c r="S897" i="12"/>
  <c r="T897" i="12"/>
  <c r="U897" i="12"/>
  <c r="V897" i="12"/>
  <c r="O898" i="12"/>
  <c r="P898" i="12"/>
  <c r="Q898" i="12"/>
  <c r="R898" i="12"/>
  <c r="S898" i="12"/>
  <c r="T898" i="12"/>
  <c r="U898" i="12"/>
  <c r="V898" i="12"/>
  <c r="O899" i="12"/>
  <c r="P899" i="12"/>
  <c r="Q899" i="12"/>
  <c r="R899" i="12"/>
  <c r="S899" i="12"/>
  <c r="T899" i="12"/>
  <c r="U899" i="12"/>
  <c r="V899" i="12"/>
  <c r="O900" i="12"/>
  <c r="P900" i="12"/>
  <c r="Q900" i="12"/>
  <c r="R900" i="12"/>
  <c r="S900" i="12"/>
  <c r="T900" i="12"/>
  <c r="U900" i="12"/>
  <c r="V900" i="12"/>
  <c r="O901" i="12"/>
  <c r="P901" i="12"/>
  <c r="Q901" i="12"/>
  <c r="R901" i="12"/>
  <c r="S901" i="12"/>
  <c r="T901" i="12"/>
  <c r="U901" i="12"/>
  <c r="V901" i="12"/>
  <c r="O902" i="12"/>
  <c r="P902" i="12"/>
  <c r="Q902" i="12"/>
  <c r="R902" i="12"/>
  <c r="S902" i="12"/>
  <c r="T902" i="12"/>
  <c r="U902" i="12"/>
  <c r="V902" i="12"/>
  <c r="O903" i="12"/>
  <c r="P903" i="12"/>
  <c r="Q903" i="12"/>
  <c r="R903" i="12"/>
  <c r="S903" i="12"/>
  <c r="T903" i="12"/>
  <c r="U903" i="12"/>
  <c r="V903" i="12"/>
  <c r="O904" i="12"/>
  <c r="P904" i="12"/>
  <c r="Q904" i="12"/>
  <c r="R904" i="12"/>
  <c r="S904" i="12"/>
  <c r="T904" i="12"/>
  <c r="U904" i="12"/>
  <c r="V904" i="12"/>
  <c r="O905" i="12"/>
  <c r="P905" i="12"/>
  <c r="Q905" i="12"/>
  <c r="R905" i="12"/>
  <c r="S905" i="12"/>
  <c r="T905" i="12"/>
  <c r="U905" i="12"/>
  <c r="V905" i="12"/>
  <c r="O906" i="12"/>
  <c r="P906" i="12"/>
  <c r="Q906" i="12"/>
  <c r="R906" i="12"/>
  <c r="S906" i="12"/>
  <c r="T906" i="12"/>
  <c r="U906" i="12"/>
  <c r="V906" i="12"/>
  <c r="O907" i="12"/>
  <c r="P907" i="12"/>
  <c r="Q907" i="12"/>
  <c r="R907" i="12"/>
  <c r="S907" i="12"/>
  <c r="T907" i="12"/>
  <c r="U907" i="12"/>
  <c r="V907" i="12"/>
  <c r="O908" i="12"/>
  <c r="P908" i="12"/>
  <c r="Q908" i="12"/>
  <c r="R908" i="12"/>
  <c r="S908" i="12"/>
  <c r="T908" i="12"/>
  <c r="U908" i="12"/>
  <c r="V908" i="12"/>
  <c r="O909" i="12"/>
  <c r="P909" i="12"/>
  <c r="Q909" i="12"/>
  <c r="R909" i="12"/>
  <c r="S909" i="12"/>
  <c r="T909" i="12"/>
  <c r="U909" i="12"/>
  <c r="V909" i="12"/>
  <c r="O910" i="12"/>
  <c r="P910" i="12"/>
  <c r="Q910" i="12"/>
  <c r="R910" i="12"/>
  <c r="S910" i="12"/>
  <c r="T910" i="12"/>
  <c r="U910" i="12"/>
  <c r="V910" i="12"/>
  <c r="O911" i="12"/>
  <c r="P911" i="12"/>
  <c r="Q911" i="12"/>
  <c r="R911" i="12"/>
  <c r="S911" i="12"/>
  <c r="T911" i="12"/>
  <c r="U911" i="12"/>
  <c r="V911" i="12"/>
  <c r="O912" i="12"/>
  <c r="P912" i="12"/>
  <c r="Q912" i="12"/>
  <c r="R912" i="12"/>
  <c r="S912" i="12"/>
  <c r="T912" i="12"/>
  <c r="U912" i="12"/>
  <c r="V912" i="12"/>
  <c r="O913" i="12"/>
  <c r="P913" i="12"/>
  <c r="Q913" i="12"/>
  <c r="R913" i="12"/>
  <c r="S913" i="12"/>
  <c r="T913" i="12"/>
  <c r="U913" i="12"/>
  <c r="V913" i="12"/>
  <c r="O914" i="12"/>
  <c r="P914" i="12"/>
  <c r="Q914" i="12"/>
  <c r="R914" i="12"/>
  <c r="S914" i="12"/>
  <c r="T914" i="12"/>
  <c r="U914" i="12"/>
  <c r="V914" i="12"/>
  <c r="O915" i="12"/>
  <c r="P915" i="12"/>
  <c r="Q915" i="12"/>
  <c r="R915" i="12"/>
  <c r="S915" i="12"/>
  <c r="T915" i="12"/>
  <c r="U915" i="12"/>
  <c r="V915" i="12"/>
  <c r="O916" i="12"/>
  <c r="P916" i="12"/>
  <c r="Q916" i="12"/>
  <c r="R916" i="12"/>
  <c r="S916" i="12"/>
  <c r="T916" i="12"/>
  <c r="U916" i="12"/>
  <c r="V916" i="12"/>
  <c r="O917" i="12"/>
  <c r="P917" i="12"/>
  <c r="Q917" i="12"/>
  <c r="R917" i="12"/>
  <c r="S917" i="12"/>
  <c r="T917" i="12"/>
  <c r="U917" i="12"/>
  <c r="V917" i="12"/>
  <c r="O918" i="12"/>
  <c r="P918" i="12"/>
  <c r="Q918" i="12"/>
  <c r="R918" i="12"/>
  <c r="S918" i="12"/>
  <c r="T918" i="12"/>
  <c r="U918" i="12"/>
  <c r="V918" i="12"/>
  <c r="O919" i="12"/>
  <c r="P919" i="12"/>
  <c r="Q919" i="12"/>
  <c r="R919" i="12"/>
  <c r="S919" i="12"/>
  <c r="T919" i="12"/>
  <c r="U919" i="12"/>
  <c r="V919" i="12"/>
  <c r="O920" i="12"/>
  <c r="P920" i="12"/>
  <c r="Q920" i="12"/>
  <c r="R920" i="12"/>
  <c r="S920" i="12"/>
  <c r="T920" i="12"/>
  <c r="U920" i="12"/>
  <c r="V920" i="12"/>
  <c r="O921" i="12"/>
  <c r="P921" i="12"/>
  <c r="Q921" i="12"/>
  <c r="R921" i="12"/>
  <c r="S921" i="12"/>
  <c r="T921" i="12"/>
  <c r="U921" i="12"/>
  <c r="V921" i="12"/>
  <c r="O922" i="12"/>
  <c r="P922" i="12"/>
  <c r="Q922" i="12"/>
  <c r="R922" i="12"/>
  <c r="S922" i="12"/>
  <c r="T922" i="12"/>
  <c r="U922" i="12"/>
  <c r="V922" i="12"/>
  <c r="O923" i="12"/>
  <c r="P923" i="12"/>
  <c r="Q923" i="12"/>
  <c r="R923" i="12"/>
  <c r="S923" i="12"/>
  <c r="T923" i="12"/>
  <c r="U923" i="12"/>
  <c r="V923" i="12"/>
  <c r="O924" i="12"/>
  <c r="P924" i="12"/>
  <c r="Q924" i="12"/>
  <c r="R924" i="12"/>
  <c r="S924" i="12"/>
  <c r="T924" i="12"/>
  <c r="U924" i="12"/>
  <c r="V924" i="12"/>
  <c r="O925" i="12"/>
  <c r="P925" i="12"/>
  <c r="Q925" i="12"/>
  <c r="R925" i="12"/>
  <c r="S925" i="12"/>
  <c r="T925" i="12"/>
  <c r="U925" i="12"/>
  <c r="V925" i="12"/>
  <c r="O926" i="12"/>
  <c r="P926" i="12"/>
  <c r="Q926" i="12"/>
  <c r="R926" i="12"/>
  <c r="S926" i="12"/>
  <c r="T926" i="12"/>
  <c r="U926" i="12"/>
  <c r="V926" i="12"/>
  <c r="O927" i="12"/>
  <c r="P927" i="12"/>
  <c r="Q927" i="12"/>
  <c r="R927" i="12"/>
  <c r="S927" i="12"/>
  <c r="T927" i="12"/>
  <c r="U927" i="12"/>
  <c r="V927" i="12"/>
  <c r="O928" i="12"/>
  <c r="P928" i="12"/>
  <c r="Q928" i="12"/>
  <c r="R928" i="12"/>
  <c r="S928" i="12"/>
  <c r="T928" i="12"/>
  <c r="U928" i="12"/>
  <c r="V928" i="12"/>
  <c r="O929" i="12"/>
  <c r="P929" i="12"/>
  <c r="Q929" i="12"/>
  <c r="R929" i="12"/>
  <c r="S929" i="12"/>
  <c r="T929" i="12"/>
  <c r="U929" i="12"/>
  <c r="V929" i="12"/>
  <c r="O930" i="12"/>
  <c r="P930" i="12"/>
  <c r="Q930" i="12"/>
  <c r="R930" i="12"/>
  <c r="S930" i="12"/>
  <c r="T930" i="12"/>
  <c r="U930" i="12"/>
  <c r="V930" i="12"/>
  <c r="O931" i="12"/>
  <c r="P931" i="12"/>
  <c r="Q931" i="12"/>
  <c r="R931" i="12"/>
  <c r="S931" i="12"/>
  <c r="T931" i="12"/>
  <c r="U931" i="12"/>
  <c r="V931" i="12"/>
  <c r="O932" i="12"/>
  <c r="P932" i="12"/>
  <c r="Q932" i="12"/>
  <c r="R932" i="12"/>
  <c r="S932" i="12"/>
  <c r="T932" i="12"/>
  <c r="U932" i="12"/>
  <c r="V932" i="12"/>
  <c r="O933" i="12"/>
  <c r="P933" i="12"/>
  <c r="Q933" i="12"/>
  <c r="R933" i="12"/>
  <c r="S933" i="12"/>
  <c r="T933" i="12"/>
  <c r="U933" i="12"/>
  <c r="V933" i="12"/>
  <c r="O934" i="12"/>
  <c r="P934" i="12"/>
  <c r="Q934" i="12"/>
  <c r="R934" i="12"/>
  <c r="S934" i="12"/>
  <c r="T934" i="12"/>
  <c r="U934" i="12"/>
  <c r="V934" i="12"/>
  <c r="O935" i="12"/>
  <c r="P935" i="12"/>
  <c r="Q935" i="12"/>
  <c r="R935" i="12"/>
  <c r="S935" i="12"/>
  <c r="T935" i="12"/>
  <c r="U935" i="12"/>
  <c r="V935" i="12"/>
  <c r="O936" i="12"/>
  <c r="P936" i="12"/>
  <c r="Q936" i="12"/>
  <c r="R936" i="12"/>
  <c r="S936" i="12"/>
  <c r="T936" i="12"/>
  <c r="U936" i="12"/>
  <c r="V936" i="12"/>
  <c r="O937" i="12"/>
  <c r="P937" i="12"/>
  <c r="Q937" i="12"/>
  <c r="R937" i="12"/>
  <c r="S937" i="12"/>
  <c r="T937" i="12"/>
  <c r="U937" i="12"/>
  <c r="V937" i="12"/>
  <c r="O938" i="12"/>
  <c r="P938" i="12"/>
  <c r="Q938" i="12"/>
  <c r="R938" i="12"/>
  <c r="S938" i="12"/>
  <c r="T938" i="12"/>
  <c r="U938" i="12"/>
  <c r="V938" i="12"/>
  <c r="O939" i="12"/>
  <c r="P939" i="12"/>
  <c r="Q939" i="12"/>
  <c r="R939" i="12"/>
  <c r="S939" i="12"/>
  <c r="T939" i="12"/>
  <c r="U939" i="12"/>
  <c r="V939" i="12"/>
  <c r="O940" i="12"/>
  <c r="P940" i="12"/>
  <c r="Q940" i="12"/>
  <c r="R940" i="12"/>
  <c r="S940" i="12"/>
  <c r="T940" i="12"/>
  <c r="U940" i="12"/>
  <c r="V940" i="12"/>
  <c r="O941" i="12"/>
  <c r="P941" i="12"/>
  <c r="Q941" i="12"/>
  <c r="R941" i="12"/>
  <c r="S941" i="12"/>
  <c r="T941" i="12"/>
  <c r="U941" i="12"/>
  <c r="V941" i="12"/>
  <c r="O942" i="12"/>
  <c r="P942" i="12"/>
  <c r="Q942" i="12"/>
  <c r="R942" i="12"/>
  <c r="S942" i="12"/>
  <c r="T942" i="12"/>
  <c r="U942" i="12"/>
  <c r="V942" i="12"/>
  <c r="O943" i="12"/>
  <c r="P943" i="12"/>
  <c r="Q943" i="12"/>
  <c r="R943" i="12"/>
  <c r="S943" i="12"/>
  <c r="T943" i="12"/>
  <c r="U943" i="12"/>
  <c r="V943" i="12"/>
  <c r="O944" i="12"/>
  <c r="P944" i="12"/>
  <c r="Q944" i="12"/>
  <c r="R944" i="12"/>
  <c r="S944" i="12"/>
  <c r="T944" i="12"/>
  <c r="U944" i="12"/>
  <c r="V944" i="12"/>
  <c r="O945" i="12"/>
  <c r="P945" i="12"/>
  <c r="Q945" i="12"/>
  <c r="R945" i="12"/>
  <c r="S945" i="12"/>
  <c r="T945" i="12"/>
  <c r="U945" i="12"/>
  <c r="V945" i="12"/>
  <c r="O946" i="12"/>
  <c r="P946" i="12"/>
  <c r="Q946" i="12"/>
  <c r="R946" i="12"/>
  <c r="S946" i="12"/>
  <c r="T946" i="12"/>
  <c r="U946" i="12"/>
  <c r="V946" i="12"/>
  <c r="O947" i="12"/>
  <c r="P947" i="12"/>
  <c r="Q947" i="12"/>
  <c r="R947" i="12"/>
  <c r="S947" i="12"/>
  <c r="T947" i="12"/>
  <c r="U947" i="12"/>
  <c r="V947" i="12"/>
  <c r="O948" i="12"/>
  <c r="P948" i="12"/>
  <c r="Q948" i="12"/>
  <c r="R948" i="12"/>
  <c r="S948" i="12"/>
  <c r="T948" i="12"/>
  <c r="U948" i="12"/>
  <c r="V948" i="12"/>
  <c r="O949" i="12"/>
  <c r="P949" i="12"/>
  <c r="Q949" i="12"/>
  <c r="R949" i="12"/>
  <c r="S949" i="12"/>
  <c r="T949" i="12"/>
  <c r="U949" i="12"/>
  <c r="V949" i="12"/>
  <c r="O950" i="12"/>
  <c r="P950" i="12"/>
  <c r="Q950" i="12"/>
  <c r="R950" i="12"/>
  <c r="S950" i="12"/>
  <c r="T950" i="12"/>
  <c r="U950" i="12"/>
  <c r="V950" i="12"/>
  <c r="O951" i="12"/>
  <c r="P951" i="12"/>
  <c r="Q951" i="12"/>
  <c r="R951" i="12"/>
  <c r="S951" i="12"/>
  <c r="T951" i="12"/>
  <c r="U951" i="12"/>
  <c r="V951" i="12"/>
  <c r="O952" i="12"/>
  <c r="P952" i="12"/>
  <c r="Q952" i="12"/>
  <c r="R952" i="12"/>
  <c r="S952" i="12"/>
  <c r="T952" i="12"/>
  <c r="U952" i="12"/>
  <c r="V952" i="12"/>
  <c r="O953" i="12"/>
  <c r="P953" i="12"/>
  <c r="Q953" i="12"/>
  <c r="R953" i="12"/>
  <c r="S953" i="12"/>
  <c r="T953" i="12"/>
  <c r="U953" i="12"/>
  <c r="V953" i="12"/>
  <c r="O954" i="12"/>
  <c r="P954" i="12"/>
  <c r="Q954" i="12"/>
  <c r="R954" i="12"/>
  <c r="S954" i="12"/>
  <c r="T954" i="12"/>
  <c r="U954" i="12"/>
  <c r="V954" i="12"/>
  <c r="O955" i="12"/>
  <c r="P955" i="12"/>
  <c r="Q955" i="12"/>
  <c r="R955" i="12"/>
  <c r="S955" i="12"/>
  <c r="T955" i="12"/>
  <c r="U955" i="12"/>
  <c r="V955" i="12"/>
  <c r="O956" i="12"/>
  <c r="P956" i="12"/>
  <c r="Q956" i="12"/>
  <c r="R956" i="12"/>
  <c r="S956" i="12"/>
  <c r="T956" i="12"/>
  <c r="U956" i="12"/>
  <c r="V956" i="12"/>
  <c r="O957" i="12"/>
  <c r="P957" i="12"/>
  <c r="Q957" i="12"/>
  <c r="R957" i="12"/>
  <c r="S957" i="12"/>
  <c r="T957" i="12"/>
  <c r="U957" i="12"/>
  <c r="V957" i="12"/>
  <c r="O958" i="12"/>
  <c r="P958" i="12"/>
  <c r="Q958" i="12"/>
  <c r="R958" i="12"/>
  <c r="S958" i="12"/>
  <c r="T958" i="12"/>
  <c r="U958" i="12"/>
  <c r="V958" i="12"/>
  <c r="O959" i="12"/>
  <c r="P959" i="12"/>
  <c r="Q959" i="12"/>
  <c r="R959" i="12"/>
  <c r="S959" i="12"/>
  <c r="T959" i="12"/>
  <c r="U959" i="12"/>
  <c r="V959" i="12"/>
  <c r="O960" i="12"/>
  <c r="P960" i="12"/>
  <c r="Q960" i="12"/>
  <c r="R960" i="12"/>
  <c r="S960" i="12"/>
  <c r="T960" i="12"/>
  <c r="U960" i="12"/>
  <c r="V960" i="12"/>
  <c r="O961" i="12"/>
  <c r="P961" i="12"/>
  <c r="Q961" i="12"/>
  <c r="R961" i="12"/>
  <c r="S961" i="12"/>
  <c r="T961" i="12"/>
  <c r="U961" i="12"/>
  <c r="V961" i="12"/>
  <c r="O962" i="12"/>
  <c r="P962" i="12"/>
  <c r="Q962" i="12"/>
  <c r="R962" i="12"/>
  <c r="S962" i="12"/>
  <c r="T962" i="12"/>
  <c r="U962" i="12"/>
  <c r="V962" i="12"/>
  <c r="O963" i="12"/>
  <c r="P963" i="12"/>
  <c r="Q963" i="12"/>
  <c r="R963" i="12"/>
  <c r="S963" i="12"/>
  <c r="T963" i="12"/>
  <c r="U963" i="12"/>
  <c r="V963" i="12"/>
  <c r="O964" i="12"/>
  <c r="P964" i="12"/>
  <c r="Q964" i="12"/>
  <c r="R964" i="12"/>
  <c r="S964" i="12"/>
  <c r="T964" i="12"/>
  <c r="U964" i="12"/>
  <c r="V964" i="12"/>
  <c r="O965" i="12"/>
  <c r="P965" i="12"/>
  <c r="Q965" i="12"/>
  <c r="R965" i="12"/>
  <c r="S965" i="12"/>
  <c r="T965" i="12"/>
  <c r="U965" i="12"/>
  <c r="V965" i="12"/>
  <c r="O966" i="12"/>
  <c r="P966" i="12"/>
  <c r="Q966" i="12"/>
  <c r="R966" i="12"/>
  <c r="S966" i="12"/>
  <c r="T966" i="12"/>
  <c r="U966" i="12"/>
  <c r="V966" i="12"/>
  <c r="O967" i="12"/>
  <c r="P967" i="12"/>
  <c r="Q967" i="12"/>
  <c r="R967" i="12"/>
  <c r="S967" i="12"/>
  <c r="T967" i="12"/>
  <c r="U967" i="12"/>
  <c r="V967" i="12"/>
  <c r="O968" i="12"/>
  <c r="P968" i="12"/>
  <c r="Q968" i="12"/>
  <c r="R968" i="12"/>
  <c r="S968" i="12"/>
  <c r="T968" i="12"/>
  <c r="U968" i="12"/>
  <c r="V968" i="12"/>
  <c r="O969" i="12"/>
  <c r="P969" i="12"/>
  <c r="Q969" i="12"/>
  <c r="R969" i="12"/>
  <c r="S969" i="12"/>
  <c r="T969" i="12"/>
  <c r="U969" i="12"/>
  <c r="V969" i="12"/>
  <c r="O970" i="12"/>
  <c r="P970" i="12"/>
  <c r="Q970" i="12"/>
  <c r="R970" i="12"/>
  <c r="S970" i="12"/>
  <c r="T970" i="12"/>
  <c r="U970" i="12"/>
  <c r="V970" i="12"/>
  <c r="O971" i="12"/>
  <c r="P971" i="12"/>
  <c r="Q971" i="12"/>
  <c r="R971" i="12"/>
  <c r="S971" i="12"/>
  <c r="T971" i="12"/>
  <c r="U971" i="12"/>
  <c r="V971" i="12"/>
  <c r="O972" i="12"/>
  <c r="P972" i="12"/>
  <c r="Q972" i="12"/>
  <c r="R972" i="12"/>
  <c r="S972" i="12"/>
  <c r="T972" i="12"/>
  <c r="U972" i="12"/>
  <c r="V972" i="12"/>
  <c r="O973" i="12"/>
  <c r="P973" i="12"/>
  <c r="Q973" i="12"/>
  <c r="R973" i="12"/>
  <c r="S973" i="12"/>
  <c r="T973" i="12"/>
  <c r="U973" i="12"/>
  <c r="V973" i="12"/>
  <c r="O974" i="12"/>
  <c r="P974" i="12"/>
  <c r="Q974" i="12"/>
  <c r="R974" i="12"/>
  <c r="S974" i="12"/>
  <c r="T974" i="12"/>
  <c r="U974" i="12"/>
  <c r="V974" i="12"/>
  <c r="O975" i="12"/>
  <c r="P975" i="12"/>
  <c r="Q975" i="12"/>
  <c r="R975" i="12"/>
  <c r="S975" i="12"/>
  <c r="T975" i="12"/>
  <c r="U975" i="12"/>
  <c r="V975" i="12"/>
  <c r="O976" i="12"/>
  <c r="P976" i="12"/>
  <c r="Q976" i="12"/>
  <c r="R976" i="12"/>
  <c r="S976" i="12"/>
  <c r="T976" i="12"/>
  <c r="U976" i="12"/>
  <c r="V976" i="12"/>
  <c r="O977" i="12"/>
  <c r="P977" i="12"/>
  <c r="Q977" i="12"/>
  <c r="R977" i="12"/>
  <c r="S977" i="12"/>
  <c r="T977" i="12"/>
  <c r="U977" i="12"/>
  <c r="V977" i="12"/>
  <c r="O978" i="12"/>
  <c r="P978" i="12"/>
  <c r="Q978" i="12"/>
  <c r="R978" i="12"/>
  <c r="S978" i="12"/>
  <c r="T978" i="12"/>
  <c r="U978" i="12"/>
  <c r="V978" i="12"/>
  <c r="O979" i="12"/>
  <c r="P979" i="12"/>
  <c r="Q979" i="12"/>
  <c r="R979" i="12"/>
  <c r="S979" i="12"/>
  <c r="T979" i="12"/>
  <c r="U979" i="12"/>
  <c r="V979" i="12"/>
  <c r="O980" i="12"/>
  <c r="P980" i="12"/>
  <c r="Q980" i="12"/>
  <c r="R980" i="12"/>
  <c r="S980" i="12"/>
  <c r="T980" i="12"/>
  <c r="U980" i="12"/>
  <c r="V980" i="12"/>
  <c r="O981" i="12"/>
  <c r="P981" i="12"/>
  <c r="Q981" i="12"/>
  <c r="R981" i="12"/>
  <c r="S981" i="12"/>
  <c r="T981" i="12"/>
  <c r="U981" i="12"/>
  <c r="V981" i="12"/>
  <c r="O982" i="12"/>
  <c r="P982" i="12"/>
  <c r="Q982" i="12"/>
  <c r="R982" i="12"/>
  <c r="S982" i="12"/>
  <c r="T982" i="12"/>
  <c r="U982" i="12"/>
  <c r="V982" i="12"/>
  <c r="O983" i="12"/>
  <c r="P983" i="12"/>
  <c r="Q983" i="12"/>
  <c r="R983" i="12"/>
  <c r="S983" i="12"/>
  <c r="T983" i="12"/>
  <c r="U983" i="12"/>
  <c r="V983" i="12"/>
  <c r="O984" i="12"/>
  <c r="P984" i="12"/>
  <c r="Q984" i="12"/>
  <c r="R984" i="12"/>
  <c r="S984" i="12"/>
  <c r="T984" i="12"/>
  <c r="U984" i="12"/>
  <c r="V984" i="12"/>
  <c r="O985" i="12"/>
  <c r="P985" i="12"/>
  <c r="Q985" i="12"/>
  <c r="R985" i="12"/>
  <c r="S985" i="12"/>
  <c r="T985" i="12"/>
  <c r="U985" i="12"/>
  <c r="V985" i="12"/>
  <c r="O986" i="12"/>
  <c r="P986" i="12"/>
  <c r="Q986" i="12"/>
  <c r="R986" i="12"/>
  <c r="S986" i="12"/>
  <c r="T986" i="12"/>
  <c r="U986" i="12"/>
  <c r="V986" i="12"/>
  <c r="O987" i="12"/>
  <c r="P987" i="12"/>
  <c r="Q987" i="12"/>
  <c r="R987" i="12"/>
  <c r="S987" i="12"/>
  <c r="T987" i="12"/>
  <c r="U987" i="12"/>
  <c r="V987" i="12"/>
  <c r="O988" i="12"/>
  <c r="P988" i="12"/>
  <c r="Q988" i="12"/>
  <c r="R988" i="12"/>
  <c r="S988" i="12"/>
  <c r="T988" i="12"/>
  <c r="U988" i="12"/>
  <c r="V988" i="12"/>
  <c r="O989" i="12"/>
  <c r="P989" i="12"/>
  <c r="Q989" i="12"/>
  <c r="R989" i="12"/>
  <c r="S989" i="12"/>
  <c r="T989" i="12"/>
  <c r="U989" i="12"/>
  <c r="V989" i="12"/>
  <c r="O990" i="12"/>
  <c r="P990" i="12"/>
  <c r="Q990" i="12"/>
  <c r="R990" i="12"/>
  <c r="S990" i="12"/>
  <c r="T990" i="12"/>
  <c r="U990" i="12"/>
  <c r="V990" i="12"/>
  <c r="O991" i="12"/>
  <c r="P991" i="12"/>
  <c r="Q991" i="12"/>
  <c r="R991" i="12"/>
  <c r="S991" i="12"/>
  <c r="T991" i="12"/>
  <c r="U991" i="12"/>
  <c r="V991" i="12"/>
  <c r="O992" i="12"/>
  <c r="P992" i="12"/>
  <c r="Q992" i="12"/>
  <c r="R992" i="12"/>
  <c r="S992" i="12"/>
  <c r="T992" i="12"/>
  <c r="U992" i="12"/>
  <c r="V992" i="12"/>
  <c r="O993" i="12"/>
  <c r="P993" i="12"/>
  <c r="Q993" i="12"/>
  <c r="R993" i="12"/>
  <c r="S993" i="12"/>
  <c r="T993" i="12"/>
  <c r="U993" i="12"/>
  <c r="V993" i="12"/>
  <c r="O994" i="12"/>
  <c r="P994" i="12"/>
  <c r="Q994" i="12"/>
  <c r="R994" i="12"/>
  <c r="S994" i="12"/>
  <c r="T994" i="12"/>
  <c r="U994" i="12"/>
  <c r="V994" i="12"/>
  <c r="O995" i="12"/>
  <c r="P995" i="12"/>
  <c r="Q995" i="12"/>
  <c r="R995" i="12"/>
  <c r="S995" i="12"/>
  <c r="T995" i="12"/>
  <c r="U995" i="12"/>
  <c r="V995" i="12"/>
  <c r="O996" i="12"/>
  <c r="P996" i="12"/>
  <c r="Q996" i="12"/>
  <c r="R996" i="12"/>
  <c r="S996" i="12"/>
  <c r="T996" i="12"/>
  <c r="U996" i="12"/>
  <c r="V996" i="12"/>
  <c r="O997" i="12"/>
  <c r="P997" i="12"/>
  <c r="Q997" i="12"/>
  <c r="R997" i="12"/>
  <c r="S997" i="12"/>
  <c r="T997" i="12"/>
  <c r="U997" i="12"/>
  <c r="V997" i="12"/>
  <c r="O998" i="12"/>
  <c r="P998" i="12"/>
  <c r="Q998" i="12"/>
  <c r="R998" i="12"/>
  <c r="S998" i="12"/>
  <c r="T998" i="12"/>
  <c r="U998" i="12"/>
  <c r="V998" i="12"/>
  <c r="O999" i="12"/>
  <c r="P999" i="12"/>
  <c r="Q999" i="12"/>
  <c r="R999" i="12"/>
  <c r="S999" i="12"/>
  <c r="T999" i="12"/>
  <c r="U999" i="12"/>
  <c r="V999" i="12"/>
  <c r="O1000" i="12"/>
  <c r="P1000" i="12"/>
  <c r="Q1000" i="12"/>
  <c r="R1000" i="12"/>
  <c r="S1000" i="12"/>
  <c r="T1000" i="12"/>
  <c r="U1000" i="12"/>
  <c r="V1000" i="12"/>
  <c r="O1001" i="12"/>
  <c r="P1001" i="12"/>
  <c r="Q1001" i="12"/>
  <c r="R1001" i="12"/>
  <c r="S1001" i="12"/>
  <c r="T1001" i="12"/>
  <c r="U1001" i="12"/>
  <c r="V1001" i="12"/>
  <c r="O1002" i="12"/>
  <c r="P1002" i="12"/>
  <c r="Q1002" i="12"/>
  <c r="R1002" i="12"/>
  <c r="S1002" i="12"/>
  <c r="T1002" i="12"/>
  <c r="U1002" i="12"/>
  <c r="V1002" i="12"/>
  <c r="O1003" i="12"/>
  <c r="P1003" i="12"/>
  <c r="Q1003" i="12"/>
  <c r="R1003" i="12"/>
  <c r="S1003" i="12"/>
  <c r="T1003" i="12"/>
  <c r="U1003" i="12"/>
  <c r="V1003" i="12"/>
  <c r="O1004" i="12"/>
  <c r="P1004" i="12"/>
  <c r="Q1004" i="12"/>
  <c r="R1004" i="12"/>
  <c r="S1004" i="12"/>
  <c r="T1004" i="12"/>
  <c r="U1004" i="12"/>
  <c r="V1004" i="12"/>
  <c r="O1005" i="12"/>
  <c r="P1005" i="12"/>
  <c r="Q1005" i="12"/>
  <c r="R1005" i="12"/>
  <c r="S1005" i="12"/>
  <c r="T1005" i="12"/>
  <c r="U1005" i="12"/>
  <c r="V1005" i="12"/>
  <c r="O1006" i="12"/>
  <c r="P1006" i="12"/>
  <c r="Q1006" i="12"/>
  <c r="R1006" i="12"/>
  <c r="S1006" i="12"/>
  <c r="T1006" i="12"/>
  <c r="U1006" i="12"/>
  <c r="V1006" i="12"/>
  <c r="O1007" i="12"/>
  <c r="P1007" i="12"/>
  <c r="Q1007" i="12"/>
  <c r="R1007" i="12"/>
  <c r="S1007" i="12"/>
  <c r="T1007" i="12"/>
  <c r="U1007" i="12"/>
  <c r="V1007" i="12"/>
  <c r="O1008" i="12"/>
  <c r="P1008" i="12"/>
  <c r="Q1008" i="12"/>
  <c r="R1008" i="12"/>
  <c r="S1008" i="12"/>
  <c r="T1008" i="12"/>
  <c r="U1008" i="12"/>
  <c r="V1008" i="12"/>
  <c r="O1009" i="12"/>
  <c r="P1009" i="12"/>
  <c r="Q1009" i="12"/>
  <c r="R1009" i="12"/>
  <c r="S1009" i="12"/>
  <c r="T1009" i="12"/>
  <c r="U1009" i="12"/>
  <c r="V1009" i="12"/>
  <c r="O1010" i="12"/>
  <c r="P1010" i="12"/>
  <c r="Q1010" i="12"/>
  <c r="R1010" i="12"/>
  <c r="S1010" i="12"/>
  <c r="T1010" i="12"/>
  <c r="U1010" i="12"/>
  <c r="V1010" i="12"/>
  <c r="O1011" i="12"/>
  <c r="P1011" i="12"/>
  <c r="Q1011" i="12"/>
  <c r="R1011" i="12"/>
  <c r="S1011" i="12"/>
  <c r="T1011" i="12"/>
  <c r="U1011" i="12"/>
  <c r="V1011" i="12"/>
  <c r="O1012" i="12"/>
  <c r="P1012" i="12"/>
  <c r="Q1012" i="12"/>
  <c r="R1012" i="12"/>
  <c r="S1012" i="12"/>
  <c r="T1012" i="12"/>
  <c r="U1012" i="12"/>
  <c r="V1012" i="12"/>
  <c r="O1013" i="12"/>
  <c r="P1013" i="12"/>
  <c r="Q1013" i="12"/>
  <c r="R1013" i="12"/>
  <c r="S1013" i="12"/>
  <c r="T1013" i="12"/>
  <c r="U1013" i="12"/>
  <c r="V1013" i="12"/>
  <c r="O1014" i="12"/>
  <c r="P1014" i="12"/>
  <c r="Q1014" i="12"/>
  <c r="R1014" i="12"/>
  <c r="S1014" i="12"/>
  <c r="T1014" i="12"/>
  <c r="U1014" i="12"/>
  <c r="V1014" i="12"/>
  <c r="O1015" i="12"/>
  <c r="P1015" i="12"/>
  <c r="Q1015" i="12"/>
  <c r="R1015" i="12"/>
  <c r="S1015" i="12"/>
  <c r="T1015" i="12"/>
  <c r="U1015" i="12"/>
  <c r="V1015" i="12"/>
  <c r="O1016" i="12"/>
  <c r="P1016" i="12"/>
  <c r="Q1016" i="12"/>
  <c r="R1016" i="12"/>
  <c r="S1016" i="12"/>
  <c r="T1016" i="12"/>
  <c r="U1016" i="12"/>
  <c r="V1016" i="12"/>
  <c r="O1017" i="12"/>
  <c r="P1017" i="12"/>
  <c r="Q1017" i="12"/>
  <c r="R1017" i="12"/>
  <c r="S1017" i="12"/>
  <c r="T1017" i="12"/>
  <c r="U1017" i="12"/>
  <c r="V1017" i="12"/>
  <c r="O1018" i="12"/>
  <c r="P1018" i="12"/>
  <c r="Q1018" i="12"/>
  <c r="R1018" i="12"/>
  <c r="S1018" i="12"/>
  <c r="T1018" i="12"/>
  <c r="U1018" i="12"/>
  <c r="V1018" i="12"/>
  <c r="O1019" i="12"/>
  <c r="P1019" i="12"/>
  <c r="Q1019" i="12"/>
  <c r="R1019" i="12"/>
  <c r="S1019" i="12"/>
  <c r="T1019" i="12"/>
  <c r="U1019" i="12"/>
  <c r="V1019" i="12"/>
  <c r="O1020" i="12"/>
  <c r="P1020" i="12"/>
  <c r="Q1020" i="12"/>
  <c r="R1020" i="12"/>
  <c r="S1020" i="12"/>
  <c r="T1020" i="12"/>
  <c r="U1020" i="12"/>
  <c r="V1020" i="12"/>
  <c r="O1021" i="12"/>
  <c r="P1021" i="12"/>
  <c r="Q1021" i="12"/>
  <c r="R1021" i="12"/>
  <c r="S1021" i="12"/>
  <c r="T1021" i="12"/>
  <c r="U1021" i="12"/>
  <c r="V1021" i="12"/>
  <c r="O1022" i="12"/>
  <c r="P1022" i="12"/>
  <c r="Q1022" i="12"/>
  <c r="R1022" i="12"/>
  <c r="S1022" i="12"/>
  <c r="T1022" i="12"/>
  <c r="U1022" i="12"/>
  <c r="V1022" i="12"/>
  <c r="O1023" i="12"/>
  <c r="P1023" i="12"/>
  <c r="Q1023" i="12"/>
  <c r="R1023" i="12"/>
  <c r="S1023" i="12"/>
  <c r="T1023" i="12"/>
  <c r="U1023" i="12"/>
  <c r="V1023" i="12"/>
  <c r="O1024" i="12"/>
  <c r="P1024" i="12"/>
  <c r="Q1024" i="12"/>
  <c r="R1024" i="12"/>
  <c r="S1024" i="12"/>
  <c r="T1024" i="12"/>
  <c r="U1024" i="12"/>
  <c r="V1024" i="12"/>
  <c r="O1025" i="12"/>
  <c r="P1025" i="12"/>
  <c r="Q1025" i="12"/>
  <c r="R1025" i="12"/>
  <c r="S1025" i="12"/>
  <c r="T1025" i="12"/>
  <c r="U1025" i="12"/>
  <c r="V1025" i="12"/>
  <c r="O1026" i="12"/>
  <c r="P1026" i="12"/>
  <c r="Q1026" i="12"/>
  <c r="R1026" i="12"/>
  <c r="S1026" i="12"/>
  <c r="T1026" i="12"/>
  <c r="U1026" i="12"/>
  <c r="V1026" i="12"/>
  <c r="O1027" i="12"/>
  <c r="P1027" i="12"/>
  <c r="Q1027" i="12"/>
  <c r="R1027" i="12"/>
  <c r="S1027" i="12"/>
  <c r="T1027" i="12"/>
  <c r="U1027" i="12"/>
  <c r="V1027" i="12"/>
  <c r="O1028" i="12"/>
  <c r="P1028" i="12"/>
  <c r="Q1028" i="12"/>
  <c r="R1028" i="12"/>
  <c r="S1028" i="12"/>
  <c r="T1028" i="12"/>
  <c r="U1028" i="12"/>
  <c r="V1028" i="12"/>
  <c r="O1029" i="12"/>
  <c r="P1029" i="12"/>
  <c r="Q1029" i="12"/>
  <c r="R1029" i="12"/>
  <c r="S1029" i="12"/>
  <c r="T1029" i="12"/>
  <c r="U1029" i="12"/>
  <c r="V1029" i="12"/>
  <c r="O1030" i="12"/>
  <c r="P1030" i="12"/>
  <c r="Q1030" i="12"/>
  <c r="R1030" i="12"/>
  <c r="S1030" i="12"/>
  <c r="T1030" i="12"/>
  <c r="U1030" i="12"/>
  <c r="V1030" i="12"/>
  <c r="O1031" i="12"/>
  <c r="P1031" i="12"/>
  <c r="Q1031" i="12"/>
  <c r="R1031" i="12"/>
  <c r="S1031" i="12"/>
  <c r="T1031" i="12"/>
  <c r="U1031" i="12"/>
  <c r="V1031" i="12"/>
  <c r="O1032" i="12"/>
  <c r="P1032" i="12"/>
  <c r="Q1032" i="12"/>
  <c r="R1032" i="12"/>
  <c r="S1032" i="12"/>
  <c r="T1032" i="12"/>
  <c r="U1032" i="12"/>
  <c r="V1032" i="12"/>
  <c r="O1033" i="12"/>
  <c r="P1033" i="12"/>
  <c r="Q1033" i="12"/>
  <c r="R1033" i="12"/>
  <c r="S1033" i="12"/>
  <c r="T1033" i="12"/>
  <c r="U1033" i="12"/>
  <c r="V1033" i="12"/>
  <c r="O1034" i="12"/>
  <c r="P1034" i="12"/>
  <c r="Q1034" i="12"/>
  <c r="R1034" i="12"/>
  <c r="S1034" i="12"/>
  <c r="T1034" i="12"/>
  <c r="U1034" i="12"/>
  <c r="V1034" i="12"/>
  <c r="O1035" i="12"/>
  <c r="P1035" i="12"/>
  <c r="Q1035" i="12"/>
  <c r="R1035" i="12"/>
  <c r="S1035" i="12"/>
  <c r="T1035" i="12"/>
  <c r="U1035" i="12"/>
  <c r="V1035" i="12"/>
  <c r="O1036" i="12"/>
  <c r="P1036" i="12"/>
  <c r="Q1036" i="12"/>
  <c r="R1036" i="12"/>
  <c r="S1036" i="12"/>
  <c r="T1036" i="12"/>
  <c r="U1036" i="12"/>
  <c r="V1036" i="12"/>
  <c r="O1037" i="12"/>
  <c r="P1037" i="12"/>
  <c r="Q1037" i="12"/>
  <c r="R1037" i="12"/>
  <c r="S1037" i="12"/>
  <c r="T1037" i="12"/>
  <c r="U1037" i="12"/>
  <c r="V1037" i="12"/>
  <c r="O1038" i="12"/>
  <c r="P1038" i="12"/>
  <c r="Q1038" i="12"/>
  <c r="R1038" i="12"/>
  <c r="S1038" i="12"/>
  <c r="T1038" i="12"/>
  <c r="U1038" i="12"/>
  <c r="V1038" i="12"/>
  <c r="O1039" i="12"/>
  <c r="P1039" i="12"/>
  <c r="Q1039" i="12"/>
  <c r="R1039" i="12"/>
  <c r="S1039" i="12"/>
  <c r="T1039" i="12"/>
  <c r="U1039" i="12"/>
  <c r="V1039" i="12"/>
  <c r="O1040" i="12"/>
  <c r="P1040" i="12"/>
  <c r="Q1040" i="12"/>
  <c r="R1040" i="12"/>
  <c r="S1040" i="12"/>
  <c r="T1040" i="12"/>
  <c r="U1040" i="12"/>
  <c r="V1040" i="12"/>
  <c r="O1041" i="12"/>
  <c r="P1041" i="12"/>
  <c r="Q1041" i="12"/>
  <c r="R1041" i="12"/>
  <c r="S1041" i="12"/>
  <c r="T1041" i="12"/>
  <c r="U1041" i="12"/>
  <c r="V1041" i="12"/>
  <c r="O1042" i="12"/>
  <c r="P1042" i="12"/>
  <c r="Q1042" i="12"/>
  <c r="R1042" i="12"/>
  <c r="S1042" i="12"/>
  <c r="T1042" i="12"/>
  <c r="U1042" i="12"/>
  <c r="V1042" i="12"/>
  <c r="O1043" i="12"/>
  <c r="P1043" i="12"/>
  <c r="Q1043" i="12"/>
  <c r="R1043" i="12"/>
  <c r="S1043" i="12"/>
  <c r="T1043" i="12"/>
  <c r="U1043" i="12"/>
  <c r="V1043" i="12"/>
  <c r="O1044" i="12"/>
  <c r="P1044" i="12"/>
  <c r="Q1044" i="12"/>
  <c r="R1044" i="12"/>
  <c r="S1044" i="12"/>
  <c r="T1044" i="12"/>
  <c r="U1044" i="12"/>
  <c r="V1044" i="12"/>
  <c r="O1045" i="12"/>
  <c r="P1045" i="12"/>
  <c r="Q1045" i="12"/>
  <c r="R1045" i="12"/>
  <c r="S1045" i="12"/>
  <c r="T1045" i="12"/>
  <c r="U1045" i="12"/>
  <c r="V1045" i="12"/>
  <c r="O1046" i="12"/>
  <c r="P1046" i="12"/>
  <c r="Q1046" i="12"/>
  <c r="R1046" i="12"/>
  <c r="S1046" i="12"/>
  <c r="T1046" i="12"/>
  <c r="U1046" i="12"/>
  <c r="V1046" i="12"/>
  <c r="O1047" i="12"/>
  <c r="P1047" i="12"/>
  <c r="Q1047" i="12"/>
  <c r="R1047" i="12"/>
  <c r="S1047" i="12"/>
  <c r="T1047" i="12"/>
  <c r="U1047" i="12"/>
  <c r="V1047" i="12"/>
  <c r="O1048" i="12"/>
  <c r="P1048" i="12"/>
  <c r="Q1048" i="12"/>
  <c r="R1048" i="12"/>
  <c r="S1048" i="12"/>
  <c r="T1048" i="12"/>
  <c r="U1048" i="12"/>
  <c r="V1048" i="12"/>
  <c r="O1049" i="12"/>
  <c r="P1049" i="12"/>
  <c r="Q1049" i="12"/>
  <c r="R1049" i="12"/>
  <c r="S1049" i="12"/>
  <c r="T1049" i="12"/>
  <c r="U1049" i="12"/>
  <c r="V1049" i="12"/>
  <c r="O1050" i="12"/>
  <c r="P1050" i="12"/>
  <c r="Q1050" i="12"/>
  <c r="R1050" i="12"/>
  <c r="S1050" i="12"/>
  <c r="T1050" i="12"/>
  <c r="U1050" i="12"/>
  <c r="V1050" i="12"/>
  <c r="O1051" i="12"/>
  <c r="P1051" i="12"/>
  <c r="Q1051" i="12"/>
  <c r="R1051" i="12"/>
  <c r="S1051" i="12"/>
  <c r="T1051" i="12"/>
  <c r="U1051" i="12"/>
  <c r="V1051" i="12"/>
  <c r="O1052" i="12"/>
  <c r="P1052" i="12"/>
  <c r="Q1052" i="12"/>
  <c r="R1052" i="12"/>
  <c r="S1052" i="12"/>
  <c r="T1052" i="12"/>
  <c r="U1052" i="12"/>
  <c r="V1052" i="12"/>
  <c r="O1053" i="12"/>
  <c r="P1053" i="12"/>
  <c r="Q1053" i="12"/>
  <c r="R1053" i="12"/>
  <c r="S1053" i="12"/>
  <c r="T1053" i="12"/>
  <c r="U1053" i="12"/>
  <c r="V1053" i="12"/>
  <c r="O1054" i="12"/>
  <c r="P1054" i="12"/>
  <c r="Q1054" i="12"/>
  <c r="R1054" i="12"/>
  <c r="S1054" i="12"/>
  <c r="T1054" i="12"/>
  <c r="U1054" i="12"/>
  <c r="V1054" i="12"/>
  <c r="O1055" i="12"/>
  <c r="P1055" i="12"/>
  <c r="Q1055" i="12"/>
  <c r="R1055" i="12"/>
  <c r="S1055" i="12"/>
  <c r="T1055" i="12"/>
  <c r="U1055" i="12"/>
  <c r="V1055" i="12"/>
  <c r="O1056" i="12"/>
  <c r="P1056" i="12"/>
  <c r="Q1056" i="12"/>
  <c r="R1056" i="12"/>
  <c r="S1056" i="12"/>
  <c r="T1056" i="12"/>
  <c r="U1056" i="12"/>
  <c r="V1056" i="12"/>
  <c r="O1057" i="12"/>
  <c r="P1057" i="12"/>
  <c r="Q1057" i="12"/>
  <c r="R1057" i="12"/>
  <c r="S1057" i="12"/>
  <c r="T1057" i="12"/>
  <c r="U1057" i="12"/>
  <c r="V1057" i="12"/>
  <c r="O1058" i="12"/>
  <c r="P1058" i="12"/>
  <c r="Q1058" i="12"/>
  <c r="R1058" i="12"/>
  <c r="S1058" i="12"/>
  <c r="T1058" i="12"/>
  <c r="U1058" i="12"/>
  <c r="V1058" i="12"/>
  <c r="O1059" i="12"/>
  <c r="P1059" i="12"/>
  <c r="Q1059" i="12"/>
  <c r="R1059" i="12"/>
  <c r="S1059" i="12"/>
  <c r="T1059" i="12"/>
  <c r="U1059" i="12"/>
  <c r="V1059" i="12"/>
  <c r="O1060" i="12"/>
  <c r="P1060" i="12"/>
  <c r="Q1060" i="12"/>
  <c r="R1060" i="12"/>
  <c r="S1060" i="12"/>
  <c r="T1060" i="12"/>
  <c r="U1060" i="12"/>
  <c r="V1060" i="12"/>
  <c r="O1061" i="12"/>
  <c r="P1061" i="12"/>
  <c r="Q1061" i="12"/>
  <c r="R1061" i="12"/>
  <c r="S1061" i="12"/>
  <c r="T1061" i="12"/>
  <c r="U1061" i="12"/>
  <c r="V1061" i="12"/>
  <c r="O1062" i="12"/>
  <c r="P1062" i="12"/>
  <c r="Q1062" i="12"/>
  <c r="R1062" i="12"/>
  <c r="S1062" i="12"/>
  <c r="T1062" i="12"/>
  <c r="U1062" i="12"/>
  <c r="V1062" i="12"/>
  <c r="O1063" i="12"/>
  <c r="P1063" i="12"/>
  <c r="Q1063" i="12"/>
  <c r="R1063" i="12"/>
  <c r="S1063" i="12"/>
  <c r="T1063" i="12"/>
  <c r="U1063" i="12"/>
  <c r="V1063" i="12"/>
  <c r="O1064" i="12"/>
  <c r="P1064" i="12"/>
  <c r="Q1064" i="12"/>
  <c r="R1064" i="12"/>
  <c r="S1064" i="12"/>
  <c r="T1064" i="12"/>
  <c r="U1064" i="12"/>
  <c r="V1064" i="12"/>
  <c r="O1065" i="12"/>
  <c r="P1065" i="12"/>
  <c r="Q1065" i="12"/>
  <c r="R1065" i="12"/>
  <c r="S1065" i="12"/>
  <c r="T1065" i="12"/>
  <c r="U1065" i="12"/>
  <c r="V1065" i="12"/>
  <c r="O1066" i="12"/>
  <c r="P1066" i="12"/>
  <c r="Q1066" i="12"/>
  <c r="R1066" i="12"/>
  <c r="S1066" i="12"/>
  <c r="T1066" i="12"/>
  <c r="U1066" i="12"/>
  <c r="V1066" i="12"/>
  <c r="O1067" i="12"/>
  <c r="P1067" i="12"/>
  <c r="Q1067" i="12"/>
  <c r="R1067" i="12"/>
  <c r="S1067" i="12"/>
  <c r="T1067" i="12"/>
  <c r="U1067" i="12"/>
  <c r="V1067" i="12"/>
  <c r="O1068" i="12"/>
  <c r="P1068" i="12"/>
  <c r="Q1068" i="12"/>
  <c r="R1068" i="12"/>
  <c r="S1068" i="12"/>
  <c r="T1068" i="12"/>
  <c r="U1068" i="12"/>
  <c r="V1068" i="12"/>
  <c r="O1069" i="12"/>
  <c r="P1069" i="12"/>
  <c r="Q1069" i="12"/>
  <c r="R1069" i="12"/>
  <c r="S1069" i="12"/>
  <c r="T1069" i="12"/>
  <c r="U1069" i="12"/>
  <c r="V1069" i="12"/>
  <c r="O1070" i="12"/>
  <c r="P1070" i="12"/>
  <c r="Q1070" i="12"/>
  <c r="R1070" i="12"/>
  <c r="S1070" i="12"/>
  <c r="T1070" i="12"/>
  <c r="U1070" i="12"/>
  <c r="V1070" i="12"/>
  <c r="O1071" i="12"/>
  <c r="P1071" i="12"/>
  <c r="Q1071" i="12"/>
  <c r="R1071" i="12"/>
  <c r="S1071" i="12"/>
  <c r="T1071" i="12"/>
  <c r="U1071" i="12"/>
  <c r="V1071" i="12"/>
  <c r="O1072" i="12"/>
  <c r="P1072" i="12"/>
  <c r="Q1072" i="12"/>
  <c r="R1072" i="12"/>
  <c r="S1072" i="12"/>
  <c r="T1072" i="12"/>
  <c r="U1072" i="12"/>
  <c r="V1072" i="12"/>
  <c r="O1073" i="12"/>
  <c r="P1073" i="12"/>
  <c r="Q1073" i="12"/>
  <c r="R1073" i="12"/>
  <c r="S1073" i="12"/>
  <c r="T1073" i="12"/>
  <c r="U1073" i="12"/>
  <c r="V1073" i="12"/>
  <c r="O1074" i="12"/>
  <c r="P1074" i="12"/>
  <c r="Q1074" i="12"/>
  <c r="R1074" i="12"/>
  <c r="S1074" i="12"/>
  <c r="T1074" i="12"/>
  <c r="U1074" i="12"/>
  <c r="V1074" i="12"/>
  <c r="O1075" i="12"/>
  <c r="P1075" i="12"/>
  <c r="Q1075" i="12"/>
  <c r="R1075" i="12"/>
  <c r="S1075" i="12"/>
  <c r="T1075" i="12"/>
  <c r="U1075" i="12"/>
  <c r="V1075" i="12"/>
  <c r="O1076" i="12"/>
  <c r="P1076" i="12"/>
  <c r="Q1076" i="12"/>
  <c r="R1076" i="12"/>
  <c r="S1076" i="12"/>
  <c r="T1076" i="12"/>
  <c r="U1076" i="12"/>
  <c r="V1076" i="12"/>
  <c r="O1077" i="12"/>
  <c r="P1077" i="12"/>
  <c r="Q1077" i="12"/>
  <c r="R1077" i="12"/>
  <c r="S1077" i="12"/>
  <c r="T1077" i="12"/>
  <c r="U1077" i="12"/>
  <c r="V1077" i="12"/>
  <c r="O1078" i="12"/>
  <c r="P1078" i="12"/>
  <c r="Q1078" i="12"/>
  <c r="R1078" i="12"/>
  <c r="S1078" i="12"/>
  <c r="T1078" i="12"/>
  <c r="U1078" i="12"/>
  <c r="V1078" i="12"/>
  <c r="O1079" i="12"/>
  <c r="P1079" i="12"/>
  <c r="Q1079" i="12"/>
  <c r="R1079" i="12"/>
  <c r="S1079" i="12"/>
  <c r="T1079" i="12"/>
  <c r="U1079" i="12"/>
  <c r="V1079" i="12"/>
  <c r="O1080" i="12"/>
  <c r="P1080" i="12"/>
  <c r="Q1080" i="12"/>
  <c r="R1080" i="12"/>
  <c r="S1080" i="12"/>
  <c r="T1080" i="12"/>
  <c r="U1080" i="12"/>
  <c r="V1080" i="12"/>
  <c r="O1081" i="12"/>
  <c r="P1081" i="12"/>
  <c r="Q1081" i="12"/>
  <c r="R1081" i="12"/>
  <c r="S1081" i="12"/>
  <c r="T1081" i="12"/>
  <c r="U1081" i="12"/>
  <c r="V1081" i="12"/>
  <c r="O1082" i="12"/>
  <c r="P1082" i="12"/>
  <c r="Q1082" i="12"/>
  <c r="R1082" i="12"/>
  <c r="S1082" i="12"/>
  <c r="T1082" i="12"/>
  <c r="U1082" i="12"/>
  <c r="V1082" i="12"/>
  <c r="O1083" i="12"/>
  <c r="P1083" i="12"/>
  <c r="Q1083" i="12"/>
  <c r="R1083" i="12"/>
  <c r="S1083" i="12"/>
  <c r="T1083" i="12"/>
  <c r="U1083" i="12"/>
  <c r="V1083" i="12"/>
  <c r="O1084" i="12"/>
  <c r="P1084" i="12"/>
  <c r="Q1084" i="12"/>
  <c r="R1084" i="12"/>
  <c r="S1084" i="12"/>
  <c r="T1084" i="12"/>
  <c r="U1084" i="12"/>
  <c r="V1084" i="12"/>
  <c r="O1085" i="12"/>
  <c r="P1085" i="12"/>
  <c r="Q1085" i="12"/>
  <c r="R1085" i="12"/>
  <c r="S1085" i="12"/>
  <c r="T1085" i="12"/>
  <c r="U1085" i="12"/>
  <c r="V1085" i="12"/>
  <c r="O1086" i="12"/>
  <c r="P1086" i="12"/>
  <c r="Q1086" i="12"/>
  <c r="R1086" i="12"/>
  <c r="S1086" i="12"/>
  <c r="T1086" i="12"/>
  <c r="U1086" i="12"/>
  <c r="V1086" i="12"/>
  <c r="O1087" i="12"/>
  <c r="P1087" i="12"/>
  <c r="Q1087" i="12"/>
  <c r="R1087" i="12"/>
  <c r="S1087" i="12"/>
  <c r="T1087" i="12"/>
  <c r="U1087" i="12"/>
  <c r="V1087" i="12"/>
  <c r="O1088" i="12"/>
  <c r="P1088" i="12"/>
  <c r="Q1088" i="12"/>
  <c r="R1088" i="12"/>
  <c r="S1088" i="12"/>
  <c r="T1088" i="12"/>
  <c r="U1088" i="12"/>
  <c r="V1088" i="12"/>
  <c r="O1089" i="12"/>
  <c r="P1089" i="12"/>
  <c r="Q1089" i="12"/>
  <c r="R1089" i="12"/>
  <c r="S1089" i="12"/>
  <c r="T1089" i="12"/>
  <c r="U1089" i="12"/>
  <c r="V1089" i="12"/>
  <c r="O1090" i="12"/>
  <c r="P1090" i="12"/>
  <c r="Q1090" i="12"/>
  <c r="R1090" i="12"/>
  <c r="S1090" i="12"/>
  <c r="T1090" i="12"/>
  <c r="U1090" i="12"/>
  <c r="V1090" i="12"/>
  <c r="O1091" i="12"/>
  <c r="P1091" i="12"/>
  <c r="Q1091" i="12"/>
  <c r="R1091" i="12"/>
  <c r="S1091" i="12"/>
  <c r="T1091" i="12"/>
  <c r="U1091" i="12"/>
  <c r="V1091" i="12"/>
  <c r="O1092" i="12"/>
  <c r="P1092" i="12"/>
  <c r="Q1092" i="12"/>
  <c r="R1092" i="12"/>
  <c r="S1092" i="12"/>
  <c r="T1092" i="12"/>
  <c r="U1092" i="12"/>
  <c r="V1092" i="12"/>
  <c r="O1093" i="12"/>
  <c r="P1093" i="12"/>
  <c r="Q1093" i="12"/>
  <c r="R1093" i="12"/>
  <c r="S1093" i="12"/>
  <c r="T1093" i="12"/>
  <c r="U1093" i="12"/>
  <c r="V1093" i="12"/>
  <c r="O1094" i="12"/>
  <c r="P1094" i="12"/>
  <c r="Q1094" i="12"/>
  <c r="R1094" i="12"/>
  <c r="S1094" i="12"/>
  <c r="T1094" i="12"/>
  <c r="U1094" i="12"/>
  <c r="V1094" i="12"/>
  <c r="O1095" i="12"/>
  <c r="P1095" i="12"/>
  <c r="Q1095" i="12"/>
  <c r="R1095" i="12"/>
  <c r="S1095" i="12"/>
  <c r="T1095" i="12"/>
  <c r="U1095" i="12"/>
  <c r="V1095" i="12"/>
  <c r="O1096" i="12"/>
  <c r="P1096" i="12"/>
  <c r="Q1096" i="12"/>
  <c r="R1096" i="12"/>
  <c r="S1096" i="12"/>
  <c r="T1096" i="12"/>
  <c r="U1096" i="12"/>
  <c r="V1096" i="12"/>
  <c r="O1097" i="12"/>
  <c r="P1097" i="12"/>
  <c r="Q1097" i="12"/>
  <c r="R1097" i="12"/>
  <c r="S1097" i="12"/>
  <c r="T1097" i="12"/>
  <c r="U1097" i="12"/>
  <c r="V1097" i="12"/>
  <c r="O1098" i="12"/>
  <c r="P1098" i="12"/>
  <c r="Q1098" i="12"/>
  <c r="R1098" i="12"/>
  <c r="S1098" i="12"/>
  <c r="T1098" i="12"/>
  <c r="U1098" i="12"/>
  <c r="V1098" i="12"/>
  <c r="O1099" i="12"/>
  <c r="P1099" i="12"/>
  <c r="Q1099" i="12"/>
  <c r="R1099" i="12"/>
  <c r="S1099" i="12"/>
  <c r="T1099" i="12"/>
  <c r="U1099" i="12"/>
  <c r="V1099" i="12"/>
  <c r="O1100" i="12"/>
  <c r="P1100" i="12"/>
  <c r="Q1100" i="12"/>
  <c r="R1100" i="12"/>
  <c r="S1100" i="12"/>
  <c r="T1100" i="12"/>
  <c r="U1100" i="12"/>
  <c r="V1100" i="12"/>
  <c r="O1101" i="12"/>
  <c r="P1101" i="12"/>
  <c r="Q1101" i="12"/>
  <c r="R1101" i="12"/>
  <c r="S1101" i="12"/>
  <c r="T1101" i="12"/>
  <c r="U1101" i="12"/>
  <c r="V1101" i="12"/>
  <c r="O1102" i="12"/>
  <c r="P1102" i="12"/>
  <c r="Q1102" i="12"/>
  <c r="R1102" i="12"/>
  <c r="S1102" i="12"/>
  <c r="T1102" i="12"/>
  <c r="U1102" i="12"/>
  <c r="V1102" i="12"/>
  <c r="O1103" i="12"/>
  <c r="P1103" i="12"/>
  <c r="Q1103" i="12"/>
  <c r="R1103" i="12"/>
  <c r="S1103" i="12"/>
  <c r="T1103" i="12"/>
  <c r="U1103" i="12"/>
  <c r="V1103" i="12"/>
  <c r="O1104" i="12"/>
  <c r="P1104" i="12"/>
  <c r="Q1104" i="12"/>
  <c r="R1104" i="12"/>
  <c r="S1104" i="12"/>
  <c r="T1104" i="12"/>
  <c r="U1104" i="12"/>
  <c r="V1104" i="12"/>
  <c r="O1105" i="12"/>
  <c r="P1105" i="12"/>
  <c r="Q1105" i="12"/>
  <c r="R1105" i="12"/>
  <c r="S1105" i="12"/>
  <c r="T1105" i="12"/>
  <c r="U1105" i="12"/>
  <c r="V1105" i="12"/>
  <c r="O1106" i="12"/>
  <c r="P1106" i="12"/>
  <c r="Q1106" i="12"/>
  <c r="R1106" i="12"/>
  <c r="S1106" i="12"/>
  <c r="T1106" i="12"/>
  <c r="U1106" i="12"/>
  <c r="V1106" i="12"/>
  <c r="V2" i="12"/>
  <c r="U2" i="12"/>
  <c r="Q2" i="12"/>
  <c r="P2" i="12"/>
  <c r="R2" i="12" s="1"/>
  <c r="O2" i="12"/>
  <c r="A1" i="12" a="1"/>
  <c r="H3" i="7"/>
  <c r="I3" i="7" s="1"/>
  <c r="J3" i="7"/>
  <c r="L3" i="7" s="1" a="1"/>
  <c r="L3" i="7" s="1"/>
  <c r="K3" i="7"/>
  <c r="H4" i="7"/>
  <c r="I4" i="7"/>
  <c r="J4" i="7"/>
  <c r="L4" i="7" s="1" a="1"/>
  <c r="L4" i="7" s="1"/>
  <c r="K4" i="7"/>
  <c r="H5" i="7"/>
  <c r="I5" i="7"/>
  <c r="J5" i="7"/>
  <c r="L5" i="7" s="1" a="1"/>
  <c r="L5" i="7" s="1"/>
  <c r="K5" i="7"/>
  <c r="H6" i="7"/>
  <c r="I6" i="7"/>
  <c r="J6" i="7"/>
  <c r="L6" i="7" s="1" a="1"/>
  <c r="L6" i="7" s="1"/>
  <c r="K6" i="7"/>
  <c r="H7" i="7"/>
  <c r="I7" i="7"/>
  <c r="J7" i="7"/>
  <c r="L7" i="7" s="1" a="1"/>
  <c r="L7" i="7" s="1"/>
  <c r="K7" i="7"/>
  <c r="H8" i="7"/>
  <c r="I8" i="7"/>
  <c r="J8" i="7"/>
  <c r="L8" i="7" s="1" a="1"/>
  <c r="L8" i="7" s="1"/>
  <c r="K8" i="7"/>
  <c r="H9" i="7"/>
  <c r="I9" i="7"/>
  <c r="J9" i="7"/>
  <c r="L9" i="7" s="1" a="1"/>
  <c r="L9" i="7" s="1"/>
  <c r="K9" i="7"/>
  <c r="H10" i="7"/>
  <c r="I10" i="7"/>
  <c r="J10" i="7"/>
  <c r="L10" i="7" s="1" a="1"/>
  <c r="L10" i="7" s="1"/>
  <c r="K10" i="7"/>
  <c r="H11" i="7"/>
  <c r="I11" i="7"/>
  <c r="J11" i="7"/>
  <c r="L11" i="7" s="1" a="1"/>
  <c r="L11" i="7" s="1"/>
  <c r="K11" i="7"/>
  <c r="H12" i="7"/>
  <c r="I12" i="7"/>
  <c r="J12" i="7"/>
  <c r="L12" i="7" s="1" a="1"/>
  <c r="L12" i="7" s="1"/>
  <c r="K12" i="7"/>
  <c r="H13" i="7"/>
  <c r="I13" i="7"/>
  <c r="J13" i="7"/>
  <c r="L13" i="7" s="1" a="1"/>
  <c r="L13" i="7" s="1"/>
  <c r="K13" i="7"/>
  <c r="H14" i="7"/>
  <c r="I14" i="7" s="1"/>
  <c r="J14" i="7"/>
  <c r="K14" i="7"/>
  <c r="H15" i="7"/>
  <c r="I15" i="7"/>
  <c r="J15" i="7"/>
  <c r="L15" i="7" s="1" a="1"/>
  <c r="L15" i="7" s="1"/>
  <c r="K15" i="7"/>
  <c r="H16" i="7"/>
  <c r="I16" i="7"/>
  <c r="J16" i="7"/>
  <c r="L16" i="7" s="1" a="1"/>
  <c r="L16" i="7" s="1"/>
  <c r="K16" i="7"/>
  <c r="H17" i="7"/>
  <c r="I17" i="7"/>
  <c r="J17" i="7"/>
  <c r="L17" i="7" s="1" a="1"/>
  <c r="L17" i="7" s="1"/>
  <c r="K17" i="7"/>
  <c r="H18" i="7"/>
  <c r="I18" i="7"/>
  <c r="J18" i="7"/>
  <c r="L18" i="7" s="1" a="1"/>
  <c r="L18" i="7" s="1"/>
  <c r="K18" i="7"/>
  <c r="H19" i="7"/>
  <c r="I19" i="7"/>
  <c r="J19" i="7"/>
  <c r="L19" i="7" s="1" a="1"/>
  <c r="L19" i="7" s="1"/>
  <c r="K19" i="7"/>
  <c r="H20" i="7"/>
  <c r="I20" i="7"/>
  <c r="J20" i="7"/>
  <c r="L20" i="7" s="1" a="1"/>
  <c r="L20" i="7" s="1"/>
  <c r="K20" i="7"/>
  <c r="H21" i="7"/>
  <c r="I21" i="7"/>
  <c r="J21" i="7"/>
  <c r="L21" i="7" s="1" a="1"/>
  <c r="L21" i="7" s="1"/>
  <c r="K21" i="7"/>
  <c r="H22" i="7"/>
  <c r="I22" i="7"/>
  <c r="J22" i="7"/>
  <c r="K22" i="7"/>
  <c r="H23" i="7"/>
  <c r="I23" i="7"/>
  <c r="J23" i="7"/>
  <c r="L23" i="7" s="1" a="1"/>
  <c r="L23" i="7" s="1"/>
  <c r="K23" i="7"/>
  <c r="H24" i="7"/>
  <c r="I24" i="7" s="1"/>
  <c r="J24" i="7"/>
  <c r="L24" i="7" s="1" a="1"/>
  <c r="L24" i="7" s="1"/>
  <c r="K24" i="7"/>
  <c r="H25" i="7"/>
  <c r="I25" i="7"/>
  <c r="J25" i="7"/>
  <c r="L25" i="7" s="1" a="1"/>
  <c r="L25" i="7" s="1"/>
  <c r="K25" i="7"/>
  <c r="H26" i="7"/>
  <c r="I26" i="7" s="1"/>
  <c r="J26" i="7"/>
  <c r="L26" i="7" s="1" a="1"/>
  <c r="L26" i="7" s="1"/>
  <c r="K26" i="7"/>
  <c r="H27" i="7"/>
  <c r="I27" i="7"/>
  <c r="J27" i="7"/>
  <c r="L27" i="7" s="1" a="1"/>
  <c r="L27" i="7" s="1"/>
  <c r="K27" i="7"/>
  <c r="H28" i="7"/>
  <c r="I28" i="7"/>
  <c r="J28" i="7"/>
  <c r="K28" i="7"/>
  <c r="H29" i="7"/>
  <c r="I29" i="7"/>
  <c r="J29" i="7"/>
  <c r="L29" i="7" s="1" a="1"/>
  <c r="L29" i="7" s="1"/>
  <c r="K29" i="7"/>
  <c r="H30" i="7"/>
  <c r="I30" i="7"/>
  <c r="J30" i="7"/>
  <c r="K30" i="7"/>
  <c r="H31" i="7"/>
  <c r="I31" i="7"/>
  <c r="J31" i="7"/>
  <c r="L31" i="7" s="1" a="1"/>
  <c r="L31" i="7" s="1"/>
  <c r="K31" i="7"/>
  <c r="H32" i="7"/>
  <c r="I32" i="7" s="1"/>
  <c r="J32" i="7"/>
  <c r="K32" i="7"/>
  <c r="H33" i="7"/>
  <c r="I33" i="7"/>
  <c r="J33" i="7"/>
  <c r="L33" i="7" s="1" a="1"/>
  <c r="L33" i="7" s="1"/>
  <c r="K33" i="7"/>
  <c r="H34" i="7"/>
  <c r="I34" i="7" s="1"/>
  <c r="J34" i="7"/>
  <c r="K34" i="7"/>
  <c r="H35" i="7"/>
  <c r="I35" i="7"/>
  <c r="J35" i="7"/>
  <c r="L35" i="7" s="1" a="1"/>
  <c r="L35" i="7" s="1"/>
  <c r="K35" i="7"/>
  <c r="H36" i="7"/>
  <c r="I36" i="7" s="1"/>
  <c r="J36" i="7"/>
  <c r="K36" i="7"/>
  <c r="H37" i="7"/>
  <c r="I37" i="7"/>
  <c r="J37" i="7"/>
  <c r="L37" i="7" s="1" a="1"/>
  <c r="L37" i="7" s="1"/>
  <c r="K37" i="7"/>
  <c r="H38" i="7"/>
  <c r="I38" i="7" s="1"/>
  <c r="J38" i="7"/>
  <c r="L38" i="7" s="1" a="1"/>
  <c r="L38" i="7" s="1"/>
  <c r="K38" i="7"/>
  <c r="H39" i="7"/>
  <c r="I39" i="7"/>
  <c r="J39" i="7"/>
  <c r="L39" i="7" s="1" a="1"/>
  <c r="L39" i="7" s="1"/>
  <c r="K39" i="7"/>
  <c r="H40" i="7"/>
  <c r="I40" i="7" s="1"/>
  <c r="J40" i="7"/>
  <c r="K40" i="7"/>
  <c r="H41" i="7"/>
  <c r="I41" i="7"/>
  <c r="J41" i="7"/>
  <c r="L41" i="7" s="1" a="1"/>
  <c r="L41" i="7" s="1"/>
  <c r="K41" i="7"/>
  <c r="H42" i="7"/>
  <c r="I42" i="7" s="1"/>
  <c r="J42" i="7"/>
  <c r="L42" i="7" s="1" a="1"/>
  <c r="L42" i="7" s="1"/>
  <c r="K42" i="7"/>
  <c r="H43" i="7"/>
  <c r="I43" i="7"/>
  <c r="J43" i="7"/>
  <c r="L43" i="7" s="1" a="1"/>
  <c r="L43" i="7" s="1"/>
  <c r="K43" i="7"/>
  <c r="H44" i="7"/>
  <c r="I44" i="7"/>
  <c r="J44" i="7"/>
  <c r="K44" i="7"/>
  <c r="H45" i="7"/>
  <c r="I45" i="7"/>
  <c r="J45" i="7"/>
  <c r="L45" i="7" s="1" a="1"/>
  <c r="L45" i="7" s="1"/>
  <c r="K45" i="7"/>
  <c r="H46" i="7"/>
  <c r="I46" i="7"/>
  <c r="J46" i="7"/>
  <c r="K46" i="7"/>
  <c r="H47" i="7"/>
  <c r="I47" i="7"/>
  <c r="J47" i="7"/>
  <c r="L47" i="7" s="1" a="1"/>
  <c r="L47" i="7" s="1"/>
  <c r="K47" i="7"/>
  <c r="H48" i="7"/>
  <c r="I48" i="7" s="1"/>
  <c r="J48" i="7"/>
  <c r="L48" i="7" s="1" a="1"/>
  <c r="L48" i="7" s="1"/>
  <c r="K48" i="7"/>
  <c r="H49" i="7"/>
  <c r="I49" i="7"/>
  <c r="J49" i="7"/>
  <c r="K49" i="7"/>
  <c r="H50" i="7"/>
  <c r="I50" i="7" s="1"/>
  <c r="J50" i="7"/>
  <c r="L50" i="7" s="1" a="1"/>
  <c r="L50" i="7" s="1"/>
  <c r="K50" i="7"/>
  <c r="H51" i="7"/>
  <c r="I51" i="7"/>
  <c r="J51" i="7"/>
  <c r="L51" i="7" s="1" a="1"/>
  <c r="L51" i="7" s="1"/>
  <c r="K51" i="7"/>
  <c r="H52" i="7"/>
  <c r="I52" i="7" s="1"/>
  <c r="J52" i="7"/>
  <c r="K52" i="7"/>
  <c r="H53" i="7"/>
  <c r="I53" i="7"/>
  <c r="J53" i="7"/>
  <c r="L53" i="7" s="1" a="1"/>
  <c r="L53" i="7" s="1"/>
  <c r="K53" i="7"/>
  <c r="H54" i="7"/>
  <c r="I54" i="7" s="1"/>
  <c r="J54" i="7"/>
  <c r="L54" i="7" s="1" a="1"/>
  <c r="L54" i="7" s="1"/>
  <c r="K54" i="7"/>
  <c r="H55" i="7"/>
  <c r="I55" i="7"/>
  <c r="J55" i="7"/>
  <c r="L55" i="7" s="1" a="1"/>
  <c r="L55" i="7" s="1"/>
  <c r="K55" i="7"/>
  <c r="H56" i="7"/>
  <c r="I56" i="7" s="1"/>
  <c r="J56" i="7"/>
  <c r="L56" i="7" s="1" a="1"/>
  <c r="L56" i="7" s="1"/>
  <c r="K56" i="7"/>
  <c r="H57" i="7"/>
  <c r="I57" i="7"/>
  <c r="J57" i="7"/>
  <c r="L57" i="7" s="1" a="1"/>
  <c r="L57" i="7" s="1"/>
  <c r="K57" i="7"/>
  <c r="H58" i="7"/>
  <c r="I58" i="7"/>
  <c r="J58" i="7"/>
  <c r="L58" i="7" s="1" a="1"/>
  <c r="L58" i="7" s="1"/>
  <c r="K58" i="7"/>
  <c r="H59" i="7"/>
  <c r="I59" i="7"/>
  <c r="J59" i="7"/>
  <c r="L59" i="7" s="1" a="1"/>
  <c r="L59" i="7" s="1"/>
  <c r="K59" i="7"/>
  <c r="H60" i="7"/>
  <c r="I60" i="7"/>
  <c r="J60" i="7"/>
  <c r="L60" i="7" s="1" a="1"/>
  <c r="L60" i="7" s="1"/>
  <c r="K60" i="7"/>
  <c r="H61" i="7"/>
  <c r="I61" i="7"/>
  <c r="J61" i="7"/>
  <c r="L61" i="7" s="1" a="1"/>
  <c r="L61" i="7" s="1"/>
  <c r="K61" i="7"/>
  <c r="H62" i="7"/>
  <c r="I62" i="7"/>
  <c r="J62" i="7"/>
  <c r="K62" i="7"/>
  <c r="H63" i="7"/>
  <c r="I63" i="7"/>
  <c r="J63" i="7"/>
  <c r="L63" i="7" s="1" a="1"/>
  <c r="L63" i="7" s="1"/>
  <c r="K63" i="7"/>
  <c r="H64" i="7"/>
  <c r="I64" i="7" s="1"/>
  <c r="J64" i="7"/>
  <c r="L64" i="7" s="1" a="1"/>
  <c r="L64" i="7" s="1"/>
  <c r="K64" i="7"/>
  <c r="H65" i="7"/>
  <c r="I65" i="7"/>
  <c r="J65" i="7"/>
  <c r="L65" i="7" s="1" a="1"/>
  <c r="L65" i="7" s="1"/>
  <c r="K65" i="7"/>
  <c r="H66" i="7"/>
  <c r="I66" i="7"/>
  <c r="J66" i="7"/>
  <c r="L66" i="7" s="1" a="1"/>
  <c r="L66" i="7" s="1"/>
  <c r="K66" i="7"/>
  <c r="H67" i="7"/>
  <c r="I67" i="7"/>
  <c r="J67" i="7"/>
  <c r="L67" i="7" s="1" a="1"/>
  <c r="L67" i="7" s="1"/>
  <c r="K67" i="7"/>
  <c r="H68" i="7"/>
  <c r="I68" i="7" s="1"/>
  <c r="J68" i="7"/>
  <c r="L68" i="7" s="1" a="1"/>
  <c r="L68" i="7" s="1"/>
  <c r="K68" i="7"/>
  <c r="H69" i="7"/>
  <c r="I69" i="7"/>
  <c r="J69" i="7"/>
  <c r="L69" i="7" s="1" a="1"/>
  <c r="L69" i="7" s="1"/>
  <c r="K69" i="7"/>
  <c r="H70" i="7"/>
  <c r="I70" i="7" s="1"/>
  <c r="J70" i="7"/>
  <c r="L70" i="7" s="1" a="1"/>
  <c r="L70" i="7" s="1"/>
  <c r="K70" i="7"/>
  <c r="H71" i="7"/>
  <c r="I71" i="7"/>
  <c r="J71" i="7"/>
  <c r="L71" i="7" s="1" a="1"/>
  <c r="L71" i="7" s="1"/>
  <c r="K71" i="7"/>
  <c r="H72" i="7"/>
  <c r="I72" i="7" s="1"/>
  <c r="J72" i="7"/>
  <c r="L72" i="7" s="1" a="1"/>
  <c r="L72" i="7" s="1"/>
  <c r="K72" i="7"/>
  <c r="H73" i="7"/>
  <c r="I73" i="7"/>
  <c r="J73" i="7"/>
  <c r="L73" i="7" s="1" a="1"/>
  <c r="L73" i="7" s="1"/>
  <c r="K73" i="7"/>
  <c r="H74" i="7"/>
  <c r="I74" i="7"/>
  <c r="J74" i="7"/>
  <c r="L74" i="7" s="1" a="1"/>
  <c r="L74" i="7" s="1"/>
  <c r="K74" i="7"/>
  <c r="H75" i="7"/>
  <c r="I75" i="7"/>
  <c r="J75" i="7"/>
  <c r="L75" i="7" s="1" a="1"/>
  <c r="L75" i="7" s="1"/>
  <c r="K75" i="7"/>
  <c r="H76" i="7"/>
  <c r="I76" i="7" s="1"/>
  <c r="J76" i="7"/>
  <c r="K76" i="7"/>
  <c r="H77" i="7"/>
  <c r="I77" i="7"/>
  <c r="J77" i="7"/>
  <c r="L77" i="7" s="1" a="1"/>
  <c r="L77" i="7" s="1"/>
  <c r="K77" i="7"/>
  <c r="H78" i="7"/>
  <c r="I78" i="7" s="1"/>
  <c r="J78" i="7"/>
  <c r="L78" i="7" s="1" a="1"/>
  <c r="L78" i="7" s="1"/>
  <c r="K78" i="7"/>
  <c r="H79" i="7"/>
  <c r="I79" i="7"/>
  <c r="J79" i="7"/>
  <c r="L79" i="7" s="1" a="1"/>
  <c r="L79" i="7" s="1"/>
  <c r="K79" i="7"/>
  <c r="H80" i="7"/>
  <c r="I80" i="7"/>
  <c r="J80" i="7"/>
  <c r="K80" i="7"/>
  <c r="H81" i="7"/>
  <c r="I81" i="7"/>
  <c r="J81" i="7"/>
  <c r="L81" i="7" s="1" a="1"/>
  <c r="L81" i="7" s="1"/>
  <c r="K81" i="7"/>
  <c r="H82" i="7"/>
  <c r="I82" i="7" s="1"/>
  <c r="J82" i="7"/>
  <c r="K82" i="7"/>
  <c r="H83" i="7"/>
  <c r="I83" i="7"/>
  <c r="J83" i="7"/>
  <c r="L83" i="7" s="1" a="1"/>
  <c r="L83" i="7" s="1"/>
  <c r="K83" i="7"/>
  <c r="H84" i="7"/>
  <c r="I84" i="7"/>
  <c r="J84" i="7"/>
  <c r="L84" i="7" s="1" a="1"/>
  <c r="L84" i="7" s="1"/>
  <c r="K84" i="7"/>
  <c r="H85" i="7"/>
  <c r="I85" i="7"/>
  <c r="J85" i="7"/>
  <c r="L85" i="7" s="1" a="1"/>
  <c r="L85" i="7" s="1"/>
  <c r="K85" i="7"/>
  <c r="H86" i="7"/>
  <c r="I86" i="7"/>
  <c r="J86" i="7"/>
  <c r="L86" i="7" s="1" a="1"/>
  <c r="L86" i="7" s="1"/>
  <c r="K86" i="7"/>
  <c r="H87" i="7"/>
  <c r="I87" i="7"/>
  <c r="J87" i="7"/>
  <c r="L87" i="7" s="1" a="1"/>
  <c r="L87" i="7" s="1"/>
  <c r="K87" i="7"/>
  <c r="H88" i="7"/>
  <c r="I88" i="7" s="1"/>
  <c r="J88" i="7"/>
  <c r="K88" i="7"/>
  <c r="H89" i="7"/>
  <c r="I89" i="7"/>
  <c r="J89" i="7"/>
  <c r="L89" i="7" s="1" a="1"/>
  <c r="L89" i="7" s="1"/>
  <c r="K89" i="7"/>
  <c r="H90" i="7"/>
  <c r="I90" i="7"/>
  <c r="J90" i="7"/>
  <c r="L90" i="7" s="1" a="1"/>
  <c r="L90" i="7" s="1"/>
  <c r="K90" i="7"/>
  <c r="H91" i="7"/>
  <c r="I91" i="7"/>
  <c r="J91" i="7"/>
  <c r="L91" i="7" s="1" a="1"/>
  <c r="L91" i="7" s="1"/>
  <c r="K91" i="7"/>
  <c r="H92" i="7"/>
  <c r="I92" i="7"/>
  <c r="J92" i="7"/>
  <c r="K92" i="7"/>
  <c r="H93" i="7"/>
  <c r="I93" i="7"/>
  <c r="J93" i="7"/>
  <c r="L93" i="7" s="1" a="1"/>
  <c r="L93" i="7" s="1"/>
  <c r="K93" i="7"/>
  <c r="H94" i="7"/>
  <c r="I94" i="7" s="1"/>
  <c r="J94" i="7"/>
  <c r="L94" i="7" s="1" a="1"/>
  <c r="L94" i="7" s="1"/>
  <c r="K94" i="7"/>
  <c r="H95" i="7"/>
  <c r="I95" i="7"/>
  <c r="J95" i="7"/>
  <c r="L95" i="7" s="1" a="1"/>
  <c r="L95" i="7" s="1"/>
  <c r="K95" i="7"/>
  <c r="H96" i="7"/>
  <c r="I96" i="7"/>
  <c r="J96" i="7"/>
  <c r="L96" i="7" s="1" a="1"/>
  <c r="L96" i="7" s="1"/>
  <c r="K96" i="7"/>
  <c r="H97" i="7"/>
  <c r="I97" i="7"/>
  <c r="J97" i="7"/>
  <c r="L97" i="7" s="1" a="1"/>
  <c r="L97" i="7" s="1"/>
  <c r="K97" i="7"/>
  <c r="H98" i="7"/>
  <c r="I98" i="7"/>
  <c r="J98" i="7"/>
  <c r="L98" i="7" s="1" a="1"/>
  <c r="L98" i="7" s="1"/>
  <c r="K98" i="7"/>
  <c r="H99" i="7"/>
  <c r="I99" i="7"/>
  <c r="J99" i="7"/>
  <c r="L99" i="7" s="1" a="1"/>
  <c r="L99" i="7" s="1"/>
  <c r="K99" i="7"/>
  <c r="H100" i="7"/>
  <c r="I100" i="7"/>
  <c r="J100" i="7"/>
  <c r="L100" i="7" s="1" a="1"/>
  <c r="L100" i="7" s="1"/>
  <c r="K100" i="7"/>
  <c r="H101" i="7"/>
  <c r="I101" i="7"/>
  <c r="J101" i="7"/>
  <c r="L101" i="7" s="1" a="1"/>
  <c r="L101" i="7" s="1"/>
  <c r="K101" i="7"/>
  <c r="H102" i="7"/>
  <c r="I102" i="7"/>
  <c r="J102" i="7"/>
  <c r="L102" i="7" s="1" a="1"/>
  <c r="L102" i="7" s="1"/>
  <c r="K102" i="7"/>
  <c r="H103" i="7"/>
  <c r="I103" i="7"/>
  <c r="J103" i="7"/>
  <c r="L103" i="7" s="1" a="1"/>
  <c r="L103" i="7" s="1"/>
  <c r="K103" i="7"/>
  <c r="H104" i="7"/>
  <c r="I104" i="7"/>
  <c r="J104" i="7"/>
  <c r="K104" i="7"/>
  <c r="H105" i="7"/>
  <c r="I105" i="7"/>
  <c r="J105" i="7"/>
  <c r="L105" i="7" s="1" a="1"/>
  <c r="L105" i="7" s="1"/>
  <c r="K105" i="7"/>
  <c r="H106" i="7"/>
  <c r="I106" i="7"/>
  <c r="J106" i="7"/>
  <c r="L106" i="7" s="1" a="1"/>
  <c r="L106" i="7" s="1"/>
  <c r="K106" i="7"/>
  <c r="H107" i="7"/>
  <c r="I107" i="7"/>
  <c r="J107" i="7"/>
  <c r="L107" i="7" s="1" a="1"/>
  <c r="L107" i="7" s="1"/>
  <c r="K107" i="7"/>
  <c r="H108" i="7"/>
  <c r="I108" i="7"/>
  <c r="J108" i="7"/>
  <c r="K108" i="7"/>
  <c r="H109" i="7"/>
  <c r="I109" i="7"/>
  <c r="J109" i="7"/>
  <c r="K109" i="7"/>
  <c r="H110" i="7"/>
  <c r="I110" i="7"/>
  <c r="J110" i="7"/>
  <c r="K110" i="7"/>
  <c r="H111" i="7"/>
  <c r="I111" i="7"/>
  <c r="J111" i="7"/>
  <c r="L111" i="7" s="1" a="1"/>
  <c r="L111" i="7" s="1"/>
  <c r="K111" i="7"/>
  <c r="H112" i="7"/>
  <c r="I112" i="7"/>
  <c r="J112" i="7"/>
  <c r="K112" i="7"/>
  <c r="H113" i="7"/>
  <c r="I113" i="7"/>
  <c r="J113" i="7"/>
  <c r="L113" i="7" s="1" a="1"/>
  <c r="L113" i="7" s="1"/>
  <c r="K113" i="7"/>
  <c r="H114" i="7"/>
  <c r="I114" i="7"/>
  <c r="J114" i="7"/>
  <c r="L114" i="7" s="1" a="1"/>
  <c r="L114" i="7" s="1"/>
  <c r="K114" i="7"/>
  <c r="H115" i="7"/>
  <c r="I115" i="7"/>
  <c r="J115" i="7"/>
  <c r="L115" i="7" s="1" a="1"/>
  <c r="L115" i="7" s="1"/>
  <c r="K115" i="7"/>
  <c r="H116" i="7"/>
  <c r="I116" i="7"/>
  <c r="J116" i="7"/>
  <c r="L116" i="7" s="1" a="1"/>
  <c r="L116" i="7" s="1"/>
  <c r="K116" i="7"/>
  <c r="H117" i="7"/>
  <c r="I117" i="7"/>
  <c r="J117" i="7"/>
  <c r="K117" i="7"/>
  <c r="H118" i="7"/>
  <c r="I118" i="7"/>
  <c r="J118" i="7"/>
  <c r="K118" i="7"/>
  <c r="H119" i="7"/>
  <c r="I119" i="7"/>
  <c r="J119" i="7"/>
  <c r="L119" i="7" s="1" a="1"/>
  <c r="L119" i="7" s="1"/>
  <c r="K119" i="7"/>
  <c r="H120" i="7"/>
  <c r="I120" i="7" s="1"/>
  <c r="J120" i="7"/>
  <c r="K120" i="7"/>
  <c r="H121" i="7"/>
  <c r="I121" i="7"/>
  <c r="J121" i="7"/>
  <c r="L121" i="7" s="1" a="1"/>
  <c r="L121" i="7" s="1"/>
  <c r="K121" i="7"/>
  <c r="H122" i="7"/>
  <c r="I122" i="7" s="1"/>
  <c r="J122" i="7"/>
  <c r="K122" i="7"/>
  <c r="H123" i="7"/>
  <c r="I123" i="7"/>
  <c r="J123" i="7"/>
  <c r="L123" i="7" s="1" a="1"/>
  <c r="L123" i="7" s="1"/>
  <c r="K123" i="7"/>
  <c r="H124" i="7"/>
  <c r="I124" i="7"/>
  <c r="J124" i="7"/>
  <c r="L124" i="7" s="1" a="1"/>
  <c r="L124" i="7" s="1"/>
  <c r="K124" i="7"/>
  <c r="H125" i="7"/>
  <c r="I125" i="7"/>
  <c r="J125" i="7"/>
  <c r="L125" i="7" s="1" a="1"/>
  <c r="L125" i="7" s="1"/>
  <c r="K125" i="7"/>
  <c r="H126" i="7"/>
  <c r="I126" i="7"/>
  <c r="J126" i="7"/>
  <c r="L126" i="7" s="1" a="1"/>
  <c r="L126" i="7" s="1"/>
  <c r="K126" i="7"/>
  <c r="H127" i="7"/>
  <c r="I127" i="7"/>
  <c r="J127" i="7"/>
  <c r="L127" i="7" s="1" a="1"/>
  <c r="L127" i="7" s="1"/>
  <c r="K127" i="7"/>
  <c r="H128" i="7"/>
  <c r="I128" i="7"/>
  <c r="J128" i="7"/>
  <c r="L128" i="7" s="1" a="1"/>
  <c r="L128" i="7" s="1"/>
  <c r="K128" i="7"/>
  <c r="H129" i="7"/>
  <c r="I129" i="7"/>
  <c r="J129" i="7"/>
  <c r="L129" i="7" s="1" a="1"/>
  <c r="L129" i="7" s="1"/>
  <c r="K129" i="7"/>
  <c r="H130" i="7"/>
  <c r="I130" i="7"/>
  <c r="J130" i="7"/>
  <c r="K130" i="7"/>
  <c r="H131" i="7"/>
  <c r="I131" i="7"/>
  <c r="J131" i="7"/>
  <c r="L131" i="7" s="1" a="1"/>
  <c r="L131" i="7" s="1"/>
  <c r="K131" i="7"/>
  <c r="H132" i="7"/>
  <c r="I132" i="7"/>
  <c r="J132" i="7"/>
  <c r="K132" i="7"/>
  <c r="H133" i="7"/>
  <c r="I133" i="7"/>
  <c r="J133" i="7"/>
  <c r="K133" i="7"/>
  <c r="H134" i="7"/>
  <c r="I134" i="7" s="1"/>
  <c r="J134" i="7"/>
  <c r="K134" i="7"/>
  <c r="H135" i="7"/>
  <c r="I135" i="7"/>
  <c r="J135" i="7"/>
  <c r="L135" i="7" s="1" a="1"/>
  <c r="L135" i="7" s="1"/>
  <c r="K135" i="7"/>
  <c r="H136" i="7"/>
  <c r="I136" i="7"/>
  <c r="J136" i="7"/>
  <c r="K136" i="7"/>
  <c r="H137" i="7"/>
  <c r="I137" i="7"/>
  <c r="J137" i="7"/>
  <c r="L137" i="7" s="1" a="1"/>
  <c r="L137" i="7" s="1"/>
  <c r="K137" i="7"/>
  <c r="H138" i="7"/>
  <c r="I138" i="7" s="1"/>
  <c r="J138" i="7"/>
  <c r="L138" i="7" s="1" a="1"/>
  <c r="L138" i="7" s="1"/>
  <c r="K138" i="7"/>
  <c r="H139" i="7"/>
  <c r="I139" i="7"/>
  <c r="J139" i="7"/>
  <c r="L139" i="7" s="1" a="1"/>
  <c r="L139" i="7" s="1"/>
  <c r="K139" i="7"/>
  <c r="H140" i="7"/>
  <c r="I140" i="7"/>
  <c r="J140" i="7"/>
  <c r="L140" i="7" s="1" a="1"/>
  <c r="L140" i="7" s="1"/>
  <c r="K140" i="7"/>
  <c r="H141" i="7"/>
  <c r="I141" i="7" s="1"/>
  <c r="J141" i="7"/>
  <c r="K141" i="7"/>
  <c r="H142" i="7"/>
  <c r="I142" i="7"/>
  <c r="J142" i="7"/>
  <c r="L142" i="7" s="1" a="1"/>
  <c r="L142" i="7" s="1"/>
  <c r="K142" i="7"/>
  <c r="H143" i="7"/>
  <c r="I143" i="7"/>
  <c r="J143" i="7"/>
  <c r="L143" i="7" s="1" a="1"/>
  <c r="L143" i="7" s="1"/>
  <c r="K143" i="7"/>
  <c r="H144" i="7"/>
  <c r="I144" i="7" s="1"/>
  <c r="J144" i="7"/>
  <c r="L144" i="7" s="1" a="1"/>
  <c r="L144" i="7" s="1"/>
  <c r="K144" i="7"/>
  <c r="H145" i="7"/>
  <c r="I145" i="7"/>
  <c r="J145" i="7"/>
  <c r="L145" i="7" s="1" a="1"/>
  <c r="L145" i="7" s="1"/>
  <c r="K145" i="7"/>
  <c r="H146" i="7"/>
  <c r="I146" i="7" s="1"/>
  <c r="J146" i="7"/>
  <c r="K146" i="7"/>
  <c r="H147" i="7"/>
  <c r="I147" i="7"/>
  <c r="J147" i="7"/>
  <c r="L147" i="7" s="1" a="1"/>
  <c r="L147" i="7" s="1"/>
  <c r="K147" i="7"/>
  <c r="H148" i="7"/>
  <c r="I148" i="7"/>
  <c r="J148" i="7"/>
  <c r="K148" i="7"/>
  <c r="H149" i="7"/>
  <c r="I149" i="7" s="1"/>
  <c r="J149" i="7"/>
  <c r="K149" i="7"/>
  <c r="H150" i="7"/>
  <c r="I150" i="7" s="1"/>
  <c r="J150" i="7"/>
  <c r="K150" i="7"/>
  <c r="H151" i="7"/>
  <c r="I151" i="7" s="1"/>
  <c r="J151" i="7"/>
  <c r="L151" i="7" s="1" a="1"/>
  <c r="L151" i="7" s="1"/>
  <c r="K151" i="7"/>
  <c r="H152" i="7"/>
  <c r="I152" i="7" s="1"/>
  <c r="J152" i="7"/>
  <c r="K152" i="7"/>
  <c r="H153" i="7"/>
  <c r="I153" i="7" s="1"/>
  <c r="J153" i="7"/>
  <c r="L153" i="7" s="1" a="1"/>
  <c r="L153" i="7" s="1"/>
  <c r="K153" i="7"/>
  <c r="H154" i="7"/>
  <c r="I154" i="7" s="1"/>
  <c r="J154" i="7"/>
  <c r="L154" i="7" s="1" a="1"/>
  <c r="L154" i="7" s="1"/>
  <c r="K154" i="7"/>
  <c r="H155" i="7"/>
  <c r="I155" i="7" s="1"/>
  <c r="J155" i="7"/>
  <c r="L155" i="7" s="1" a="1"/>
  <c r="L155" i="7" s="1"/>
  <c r="K155" i="7"/>
  <c r="H156" i="7"/>
  <c r="I156" i="7"/>
  <c r="J156" i="7"/>
  <c r="L156" i="7" s="1" a="1"/>
  <c r="L156" i="7" s="1"/>
  <c r="K156" i="7"/>
  <c r="H157" i="7"/>
  <c r="I157" i="7" s="1"/>
  <c r="J157" i="7"/>
  <c r="L157" i="7" s="1" a="1"/>
  <c r="L157" i="7" s="1"/>
  <c r="K157" i="7"/>
  <c r="H158" i="7"/>
  <c r="I158" i="7"/>
  <c r="J158" i="7"/>
  <c r="L158" i="7" s="1" a="1"/>
  <c r="L158" i="7" s="1"/>
  <c r="K158" i="7"/>
  <c r="H159" i="7"/>
  <c r="I159" i="7" s="1"/>
  <c r="J159" i="7"/>
  <c r="K159" i="7"/>
  <c r="L159" i="7" a="1"/>
  <c r="L159" i="7" s="1"/>
  <c r="H160" i="7"/>
  <c r="I160" i="7" s="1"/>
  <c r="J160" i="7"/>
  <c r="K160" i="7"/>
  <c r="H161" i="7"/>
  <c r="I161" i="7"/>
  <c r="J161" i="7"/>
  <c r="L161" i="7" s="1" a="1"/>
  <c r="L161" i="7" s="1"/>
  <c r="K161" i="7"/>
  <c r="H162" i="7"/>
  <c r="I162" i="7"/>
  <c r="J162" i="7"/>
  <c r="K162" i="7"/>
  <c r="H163" i="7"/>
  <c r="I163" i="7" s="1"/>
  <c r="J163" i="7"/>
  <c r="K163" i="7"/>
  <c r="H164" i="7"/>
  <c r="I164" i="7"/>
  <c r="J164" i="7"/>
  <c r="L164" i="7" s="1" a="1"/>
  <c r="L164" i="7" s="1"/>
  <c r="K164" i="7"/>
  <c r="H165" i="7"/>
  <c r="I165" i="7" s="1"/>
  <c r="J165" i="7"/>
  <c r="K165" i="7"/>
  <c r="H166" i="7"/>
  <c r="I166" i="7"/>
  <c r="J166" i="7"/>
  <c r="K166" i="7"/>
  <c r="H167" i="7"/>
  <c r="I167" i="7"/>
  <c r="J167" i="7"/>
  <c r="L167" i="7" s="1" a="1"/>
  <c r="L167" i="7" s="1"/>
  <c r="K167" i="7"/>
  <c r="H168" i="7"/>
  <c r="I168" i="7"/>
  <c r="J168" i="7"/>
  <c r="K168" i="7"/>
  <c r="H169" i="7"/>
  <c r="I169" i="7"/>
  <c r="J169" i="7"/>
  <c r="L169" i="7" s="1" a="1"/>
  <c r="L169" i="7" s="1"/>
  <c r="K169" i="7"/>
  <c r="H170" i="7"/>
  <c r="I170" i="7" s="1"/>
  <c r="J170" i="7"/>
  <c r="K170" i="7"/>
  <c r="H171" i="7"/>
  <c r="I171" i="7" s="1"/>
  <c r="J171" i="7"/>
  <c r="L171" i="7" s="1" a="1"/>
  <c r="L171" i="7" s="1"/>
  <c r="K171" i="7"/>
  <c r="H172" i="7"/>
  <c r="I172" i="7"/>
  <c r="J172" i="7"/>
  <c r="L172" i="7" s="1" a="1"/>
  <c r="L172" i="7" s="1"/>
  <c r="K172" i="7"/>
  <c r="H173" i="7"/>
  <c r="I173" i="7" s="1"/>
  <c r="J173" i="7"/>
  <c r="K173" i="7"/>
  <c r="H174" i="7"/>
  <c r="I174" i="7"/>
  <c r="J174" i="7"/>
  <c r="L174" i="7" s="1" a="1"/>
  <c r="L174" i="7" s="1"/>
  <c r="K174" i="7"/>
  <c r="H175" i="7"/>
  <c r="I175" i="7"/>
  <c r="J175" i="7"/>
  <c r="L175" i="7" s="1" a="1"/>
  <c r="L175" i="7" s="1"/>
  <c r="K175" i="7"/>
  <c r="H176" i="7"/>
  <c r="I176" i="7" s="1"/>
  <c r="J176" i="7"/>
  <c r="K176" i="7"/>
  <c r="H177" i="7"/>
  <c r="I177" i="7"/>
  <c r="J177" i="7"/>
  <c r="K177" i="7"/>
  <c r="H178" i="7"/>
  <c r="I178" i="7" s="1"/>
  <c r="J178" i="7"/>
  <c r="L178" i="7" s="1" a="1"/>
  <c r="L178" i="7" s="1"/>
  <c r="K178" i="7"/>
  <c r="H179" i="7"/>
  <c r="I179" i="7" s="1"/>
  <c r="J179" i="7"/>
  <c r="K179" i="7"/>
  <c r="H180" i="7"/>
  <c r="I180" i="7"/>
  <c r="J180" i="7"/>
  <c r="K180" i="7"/>
  <c r="H181" i="7"/>
  <c r="I181" i="7" s="1"/>
  <c r="J181" i="7"/>
  <c r="L181" i="7" s="1" a="1"/>
  <c r="L181" i="7" s="1"/>
  <c r="K181" i="7"/>
  <c r="H182" i="7"/>
  <c r="I182" i="7" s="1"/>
  <c r="J182" i="7"/>
  <c r="L182" i="7" s="1" a="1"/>
  <c r="L182" i="7" s="1"/>
  <c r="K182" i="7"/>
  <c r="H183" i="7"/>
  <c r="I183" i="7" s="1"/>
  <c r="J183" i="7"/>
  <c r="L183" i="7" s="1" a="1"/>
  <c r="L183" i="7" s="1"/>
  <c r="K183" i="7"/>
  <c r="H184" i="7"/>
  <c r="I184" i="7" s="1"/>
  <c r="J184" i="7"/>
  <c r="K184" i="7"/>
  <c r="H185" i="7"/>
  <c r="I185" i="7"/>
  <c r="J185" i="7"/>
  <c r="L185" i="7" s="1" a="1"/>
  <c r="L185" i="7" s="1"/>
  <c r="K185" i="7"/>
  <c r="H186" i="7"/>
  <c r="I186" i="7" s="1"/>
  <c r="J186" i="7"/>
  <c r="K186" i="7"/>
  <c r="H187" i="7"/>
  <c r="I187" i="7"/>
  <c r="J187" i="7"/>
  <c r="L187" i="7" s="1" a="1"/>
  <c r="L187" i="7" s="1"/>
  <c r="K187" i="7"/>
  <c r="H188" i="7"/>
  <c r="I188" i="7"/>
  <c r="J188" i="7"/>
  <c r="K188" i="7"/>
  <c r="H189" i="7"/>
  <c r="I189" i="7"/>
  <c r="J189" i="7"/>
  <c r="L189" i="7" s="1" a="1"/>
  <c r="L189" i="7" s="1"/>
  <c r="K189" i="7"/>
  <c r="H190" i="7"/>
  <c r="I190" i="7" s="1"/>
  <c r="J190" i="7"/>
  <c r="K190" i="7"/>
  <c r="H191" i="7"/>
  <c r="I191" i="7" s="1"/>
  <c r="J191" i="7"/>
  <c r="L191" i="7" s="1" a="1"/>
  <c r="L191" i="7" s="1"/>
  <c r="K191" i="7"/>
  <c r="H192" i="7"/>
  <c r="I192" i="7"/>
  <c r="J192" i="7"/>
  <c r="L192" i="7" s="1" a="1"/>
  <c r="L192" i="7" s="1"/>
  <c r="K192" i="7"/>
  <c r="H193" i="7"/>
  <c r="I193" i="7" s="1"/>
  <c r="J193" i="7"/>
  <c r="K193" i="7"/>
  <c r="L193" i="7" a="1"/>
  <c r="L193" i="7" s="1"/>
  <c r="H194" i="7"/>
  <c r="I194" i="7"/>
  <c r="J194" i="7"/>
  <c r="L194" i="7" s="1" a="1"/>
  <c r="L194" i="7" s="1"/>
  <c r="K194" i="7"/>
  <c r="H195" i="7"/>
  <c r="I195" i="7" s="1"/>
  <c r="J195" i="7"/>
  <c r="K195" i="7"/>
  <c r="H196" i="7"/>
  <c r="I196" i="7" s="1"/>
  <c r="J196" i="7"/>
  <c r="K196" i="7"/>
  <c r="H197" i="7"/>
  <c r="I197" i="7" s="1"/>
  <c r="J197" i="7"/>
  <c r="K197" i="7"/>
  <c r="H198" i="7"/>
  <c r="I198" i="7"/>
  <c r="J198" i="7"/>
  <c r="L198" i="7" s="1" a="1"/>
  <c r="L198" i="7" s="1"/>
  <c r="K198" i="7"/>
  <c r="H199" i="7"/>
  <c r="I199" i="7"/>
  <c r="J199" i="7"/>
  <c r="K199" i="7"/>
  <c r="H200" i="7"/>
  <c r="I200" i="7"/>
  <c r="J200" i="7"/>
  <c r="K200" i="7"/>
  <c r="H201" i="7"/>
  <c r="I201" i="7"/>
  <c r="J201" i="7"/>
  <c r="L201" i="7" s="1" a="1"/>
  <c r="L201" i="7" s="1"/>
  <c r="K201" i="7"/>
  <c r="H202" i="7"/>
  <c r="I202" i="7" s="1"/>
  <c r="J202" i="7"/>
  <c r="L202" i="7" s="1" a="1"/>
  <c r="L202" i="7" s="1"/>
  <c r="K202" i="7"/>
  <c r="H203" i="7"/>
  <c r="I203" i="7" s="1"/>
  <c r="J203" i="7"/>
  <c r="L203" i="7" s="1" a="1"/>
  <c r="L203" i="7" s="1"/>
  <c r="K203" i="7"/>
  <c r="H204" i="7"/>
  <c r="I204" i="7" s="1"/>
  <c r="J204" i="7"/>
  <c r="K204" i="7"/>
  <c r="H205" i="7"/>
  <c r="I205" i="7" s="1"/>
  <c r="J205" i="7"/>
  <c r="L205" i="7" s="1" a="1"/>
  <c r="L205" i="7" s="1"/>
  <c r="K205" i="7"/>
  <c r="H206" i="7"/>
  <c r="I206" i="7"/>
  <c r="J206" i="7"/>
  <c r="K206" i="7"/>
  <c r="H207" i="7"/>
  <c r="I207" i="7"/>
  <c r="J207" i="7"/>
  <c r="L207" i="7" s="1" a="1"/>
  <c r="L207" i="7" s="1"/>
  <c r="K207" i="7"/>
  <c r="H208" i="7"/>
  <c r="I208" i="7" s="1"/>
  <c r="J208" i="7"/>
  <c r="K208" i="7"/>
  <c r="H209" i="7"/>
  <c r="I209" i="7" s="1"/>
  <c r="J209" i="7"/>
  <c r="L209" i="7" s="1" a="1"/>
  <c r="L209" i="7" s="1"/>
  <c r="K209" i="7"/>
  <c r="H210" i="7"/>
  <c r="I210" i="7"/>
  <c r="L210" i="7" s="1" a="1"/>
  <c r="L210" i="7" s="1"/>
  <c r="J210" i="7"/>
  <c r="K210" i="7"/>
  <c r="H211" i="7"/>
  <c r="I211" i="7"/>
  <c r="J211" i="7"/>
  <c r="L211" i="7" s="1" a="1"/>
  <c r="L211" i="7" s="1"/>
  <c r="K211" i="7"/>
  <c r="H212" i="7"/>
  <c r="I212" i="7"/>
  <c r="J212" i="7"/>
  <c r="K212" i="7"/>
  <c r="H213" i="7"/>
  <c r="I213" i="7" s="1"/>
  <c r="J213" i="7"/>
  <c r="L213" i="7" s="1" a="1"/>
  <c r="L213" i="7" s="1"/>
  <c r="K213" i="7"/>
  <c r="H214" i="7"/>
  <c r="I214" i="7" s="1"/>
  <c r="J214" i="7"/>
  <c r="K214" i="7"/>
  <c r="H215" i="7"/>
  <c r="I215" i="7"/>
  <c r="J215" i="7"/>
  <c r="K215" i="7"/>
  <c r="H216" i="7"/>
  <c r="I216" i="7" s="1"/>
  <c r="J216" i="7"/>
  <c r="K216" i="7"/>
  <c r="H217" i="7"/>
  <c r="I217" i="7" s="1"/>
  <c r="J217" i="7"/>
  <c r="L217" i="7" s="1" a="1"/>
  <c r="L217" i="7" s="1"/>
  <c r="K217" i="7"/>
  <c r="H218" i="7"/>
  <c r="I218" i="7" s="1"/>
  <c r="J218" i="7"/>
  <c r="L218" i="7" s="1" a="1"/>
  <c r="L218" i="7" s="1"/>
  <c r="K218" i="7"/>
  <c r="H219" i="7"/>
  <c r="I219" i="7"/>
  <c r="J219" i="7"/>
  <c r="K219" i="7"/>
  <c r="H220" i="7"/>
  <c r="I220" i="7"/>
  <c r="J220" i="7"/>
  <c r="K220" i="7"/>
  <c r="H221" i="7"/>
  <c r="I221" i="7" s="1"/>
  <c r="J221" i="7"/>
  <c r="L221" i="7" s="1" a="1"/>
  <c r="L221" i="7" s="1"/>
  <c r="K221" i="7"/>
  <c r="H222" i="7"/>
  <c r="I222" i="7" s="1"/>
  <c r="J222" i="7"/>
  <c r="L222" i="7" s="1" a="1"/>
  <c r="L222" i="7" s="1"/>
  <c r="K222" i="7"/>
  <c r="H223" i="7"/>
  <c r="I223" i="7"/>
  <c r="J223" i="7"/>
  <c r="L223" i="7" s="1" a="1"/>
  <c r="L223" i="7" s="1"/>
  <c r="K223" i="7"/>
  <c r="H224" i="7"/>
  <c r="I224" i="7"/>
  <c r="J224" i="7"/>
  <c r="K224" i="7"/>
  <c r="H225" i="7"/>
  <c r="I225" i="7"/>
  <c r="J225" i="7"/>
  <c r="L225" i="7" s="1" a="1"/>
  <c r="L225" i="7" s="1"/>
  <c r="K225" i="7"/>
  <c r="H226" i="7"/>
  <c r="I226" i="7"/>
  <c r="J226" i="7"/>
  <c r="K226" i="7"/>
  <c r="L226" i="7" a="1"/>
  <c r="L226" i="7" s="1"/>
  <c r="H227" i="7"/>
  <c r="I227" i="7"/>
  <c r="J227" i="7"/>
  <c r="L227" i="7" s="1" a="1"/>
  <c r="L227" i="7" s="1"/>
  <c r="K227" i="7"/>
  <c r="H228" i="7"/>
  <c r="I228" i="7"/>
  <c r="J228" i="7"/>
  <c r="K228" i="7"/>
  <c r="H229" i="7"/>
  <c r="I229" i="7"/>
  <c r="J229" i="7"/>
  <c r="L229" i="7" s="1" a="1"/>
  <c r="L229" i="7" s="1"/>
  <c r="K229" i="7"/>
  <c r="H230" i="7"/>
  <c r="I230" i="7" s="1"/>
  <c r="J230" i="7"/>
  <c r="K230" i="7"/>
  <c r="H231" i="7"/>
  <c r="I231" i="7"/>
  <c r="J231" i="7"/>
  <c r="K231" i="7"/>
  <c r="H232" i="7"/>
  <c r="I232" i="7" s="1"/>
  <c r="J232" i="7"/>
  <c r="L232" i="7" s="1" a="1"/>
  <c r="L232" i="7" s="1"/>
  <c r="K232" i="7"/>
  <c r="H233" i="7"/>
  <c r="I233" i="7"/>
  <c r="J233" i="7"/>
  <c r="L233" i="7" s="1" a="1"/>
  <c r="L233" i="7" s="1"/>
  <c r="K233" i="7"/>
  <c r="H234" i="7"/>
  <c r="I234" i="7"/>
  <c r="J234" i="7"/>
  <c r="L234" i="7" s="1" a="1"/>
  <c r="L234" i="7" s="1"/>
  <c r="K234" i="7"/>
  <c r="H235" i="7"/>
  <c r="I235" i="7" s="1"/>
  <c r="J235" i="7"/>
  <c r="L235" i="7" s="1" a="1"/>
  <c r="L235" i="7" s="1"/>
  <c r="K235" i="7"/>
  <c r="H236" i="7"/>
  <c r="I236" i="7"/>
  <c r="J236" i="7"/>
  <c r="L236" i="7" s="1" a="1"/>
  <c r="L236" i="7" s="1"/>
  <c r="K236" i="7"/>
  <c r="H237" i="7"/>
  <c r="I237" i="7"/>
  <c r="J237" i="7"/>
  <c r="K237" i="7"/>
  <c r="H238" i="7"/>
  <c r="I238" i="7"/>
  <c r="J238" i="7"/>
  <c r="L238" i="7" s="1" a="1"/>
  <c r="L238" i="7" s="1"/>
  <c r="K238" i="7"/>
  <c r="H239" i="7"/>
  <c r="I239" i="7" s="1"/>
  <c r="J239" i="7"/>
  <c r="L239" i="7" s="1" a="1"/>
  <c r="L239" i="7" s="1"/>
  <c r="K239" i="7"/>
  <c r="H240" i="7"/>
  <c r="I240" i="7"/>
  <c r="J240" i="7"/>
  <c r="L240" i="7" s="1" a="1"/>
  <c r="L240" i="7" s="1"/>
  <c r="K240" i="7"/>
  <c r="H241" i="7"/>
  <c r="I241" i="7"/>
  <c r="J241" i="7"/>
  <c r="L241" i="7" s="1" a="1"/>
  <c r="L241" i="7" s="1"/>
  <c r="K241" i="7"/>
  <c r="H242" i="7"/>
  <c r="I242" i="7"/>
  <c r="J242" i="7"/>
  <c r="L242" i="7" s="1" a="1"/>
  <c r="L242" i="7" s="1"/>
  <c r="K242" i="7"/>
  <c r="H243" i="7"/>
  <c r="I243" i="7" s="1"/>
  <c r="J243" i="7"/>
  <c r="K243" i="7"/>
  <c r="H244" i="7"/>
  <c r="I244" i="7"/>
  <c r="J244" i="7"/>
  <c r="L244" i="7" s="1" a="1"/>
  <c r="L244" i="7" s="1"/>
  <c r="K244" i="7"/>
  <c r="H245" i="7"/>
  <c r="I245" i="7" s="1"/>
  <c r="J245" i="7"/>
  <c r="K245" i="7"/>
  <c r="H246" i="7"/>
  <c r="I246" i="7"/>
  <c r="J246" i="7"/>
  <c r="K246" i="7"/>
  <c r="L246" i="7" a="1"/>
  <c r="L246" i="7" s="1"/>
  <c r="H247" i="7"/>
  <c r="I247" i="7" s="1"/>
  <c r="J247" i="7"/>
  <c r="L247" i="7" s="1" a="1"/>
  <c r="L247" i="7" s="1"/>
  <c r="K247" i="7"/>
  <c r="H248" i="7"/>
  <c r="I248" i="7" s="1"/>
  <c r="J248" i="7"/>
  <c r="K248" i="7"/>
  <c r="H249" i="7"/>
  <c r="I249" i="7"/>
  <c r="J249" i="7"/>
  <c r="L249" i="7" s="1" a="1"/>
  <c r="L249" i="7" s="1"/>
  <c r="K249" i="7"/>
  <c r="H250" i="7"/>
  <c r="I250" i="7" s="1"/>
  <c r="J250" i="7"/>
  <c r="K250" i="7"/>
  <c r="H251" i="7"/>
  <c r="I251" i="7"/>
  <c r="J251" i="7"/>
  <c r="K251" i="7"/>
  <c r="H252" i="7"/>
  <c r="I252" i="7" s="1"/>
  <c r="J252" i="7"/>
  <c r="K252" i="7"/>
  <c r="H253" i="7"/>
  <c r="I253" i="7" s="1"/>
  <c r="J253" i="7"/>
  <c r="K253" i="7"/>
  <c r="H254" i="7"/>
  <c r="I254" i="7" s="1"/>
  <c r="J254" i="7"/>
  <c r="L254" i="7" s="1" a="1"/>
  <c r="L254" i="7" s="1"/>
  <c r="K254" i="7"/>
  <c r="H255" i="7"/>
  <c r="I255" i="7"/>
  <c r="J255" i="7"/>
  <c r="K255" i="7"/>
  <c r="H256" i="7"/>
  <c r="I256" i="7"/>
  <c r="J256" i="7"/>
  <c r="L256" i="7" s="1" a="1"/>
  <c r="L256" i="7" s="1"/>
  <c r="K256" i="7"/>
  <c r="H257" i="7"/>
  <c r="I257" i="7" s="1"/>
  <c r="J257" i="7"/>
  <c r="K257" i="7"/>
  <c r="H258" i="7"/>
  <c r="I258" i="7" s="1"/>
  <c r="J258" i="7"/>
  <c r="K258" i="7"/>
  <c r="H259" i="7"/>
  <c r="I259" i="7"/>
  <c r="J259" i="7"/>
  <c r="L259" i="7" s="1" a="1"/>
  <c r="L259" i="7" s="1"/>
  <c r="K259" i="7"/>
  <c r="H260" i="7"/>
  <c r="I260" i="7" s="1"/>
  <c r="J260" i="7"/>
  <c r="K260" i="7"/>
  <c r="H261" i="7"/>
  <c r="I261" i="7"/>
  <c r="J261" i="7"/>
  <c r="K261" i="7"/>
  <c r="H262" i="7"/>
  <c r="I262" i="7"/>
  <c r="J262" i="7"/>
  <c r="L262" i="7" s="1" a="1"/>
  <c r="L262" i="7" s="1"/>
  <c r="K262" i="7"/>
  <c r="H263" i="7"/>
  <c r="I263" i="7"/>
  <c r="J263" i="7"/>
  <c r="K263" i="7"/>
  <c r="H264" i="7"/>
  <c r="I264" i="7"/>
  <c r="J264" i="7"/>
  <c r="L264" i="7" s="1" a="1"/>
  <c r="L264" i="7" s="1"/>
  <c r="K264" i="7"/>
  <c r="H265" i="7"/>
  <c r="I265" i="7"/>
  <c r="J265" i="7"/>
  <c r="L265" i="7" s="1" a="1"/>
  <c r="L265" i="7" s="1"/>
  <c r="K265" i="7"/>
  <c r="H266" i="7"/>
  <c r="I266" i="7"/>
  <c r="J266" i="7"/>
  <c r="L266" i="7" s="1" a="1"/>
  <c r="L266" i="7" s="1"/>
  <c r="K266" i="7"/>
  <c r="H267" i="7"/>
  <c r="I267" i="7" s="1"/>
  <c r="J267" i="7"/>
  <c r="K267" i="7"/>
  <c r="H268" i="7"/>
  <c r="I268" i="7"/>
  <c r="J268" i="7"/>
  <c r="K268" i="7"/>
  <c r="H269" i="7"/>
  <c r="I269" i="7" s="1"/>
  <c r="J269" i="7"/>
  <c r="L269" i="7" s="1" a="1"/>
  <c r="L269" i="7" s="1"/>
  <c r="K269" i="7"/>
  <c r="H270" i="7"/>
  <c r="I270" i="7" s="1"/>
  <c r="J270" i="7"/>
  <c r="L270" i="7" s="1" a="1"/>
  <c r="L270" i="7" s="1"/>
  <c r="K270" i="7"/>
  <c r="H271" i="7"/>
  <c r="I271" i="7" s="1"/>
  <c r="J271" i="7"/>
  <c r="K271" i="7"/>
  <c r="H272" i="7"/>
  <c r="I272" i="7"/>
  <c r="J272" i="7"/>
  <c r="L272" i="7" s="1" a="1"/>
  <c r="L272" i="7" s="1"/>
  <c r="K272" i="7"/>
  <c r="H273" i="7"/>
  <c r="I273" i="7" s="1"/>
  <c r="J273" i="7"/>
  <c r="L273" i="7" s="1" a="1"/>
  <c r="L273" i="7" s="1"/>
  <c r="K273" i="7"/>
  <c r="H274" i="7"/>
  <c r="I274" i="7"/>
  <c r="J274" i="7"/>
  <c r="K274" i="7"/>
  <c r="H275" i="7"/>
  <c r="I275" i="7" s="1"/>
  <c r="J275" i="7"/>
  <c r="K275" i="7"/>
  <c r="H276" i="7"/>
  <c r="I276" i="7" s="1"/>
  <c r="J276" i="7"/>
  <c r="K276" i="7"/>
  <c r="H277" i="7"/>
  <c r="I277" i="7"/>
  <c r="J277" i="7"/>
  <c r="L277" i="7" s="1" a="1"/>
  <c r="L277" i="7" s="1"/>
  <c r="K277" i="7"/>
  <c r="H278" i="7"/>
  <c r="I278" i="7"/>
  <c r="J278" i="7"/>
  <c r="L278" i="7" s="1" a="1"/>
  <c r="L278" i="7" s="1"/>
  <c r="K278" i="7"/>
  <c r="H279" i="7"/>
  <c r="I279" i="7" s="1"/>
  <c r="J279" i="7"/>
  <c r="K279" i="7"/>
  <c r="H280" i="7"/>
  <c r="I280" i="7" s="1"/>
  <c r="J280" i="7"/>
  <c r="K280" i="7"/>
  <c r="H281" i="7"/>
  <c r="I281" i="7" s="1"/>
  <c r="J281" i="7"/>
  <c r="L281" i="7" s="1" a="1"/>
  <c r="L281" i="7" s="1"/>
  <c r="K281" i="7"/>
  <c r="H282" i="7"/>
  <c r="I282" i="7" s="1"/>
  <c r="J282" i="7"/>
  <c r="L282" i="7" s="1" a="1"/>
  <c r="L282" i="7" s="1"/>
  <c r="K282" i="7"/>
  <c r="H283" i="7"/>
  <c r="I283" i="7" s="1"/>
  <c r="J283" i="7"/>
  <c r="L283" i="7" s="1" a="1"/>
  <c r="L283" i="7" s="1"/>
  <c r="K283" i="7"/>
  <c r="H284" i="7"/>
  <c r="I284" i="7"/>
  <c r="J284" i="7"/>
  <c r="K284" i="7"/>
  <c r="H285" i="7"/>
  <c r="I285" i="7" s="1"/>
  <c r="J285" i="7"/>
  <c r="K285" i="7"/>
  <c r="H286" i="7"/>
  <c r="I286" i="7"/>
  <c r="J286" i="7"/>
  <c r="L286" i="7" s="1" a="1"/>
  <c r="L286" i="7" s="1"/>
  <c r="K286" i="7"/>
  <c r="H287" i="7"/>
  <c r="I287" i="7" s="1"/>
  <c r="J287" i="7"/>
  <c r="L287" i="7" s="1" a="1"/>
  <c r="L287" i="7" s="1"/>
  <c r="K287" i="7"/>
  <c r="H288" i="7"/>
  <c r="I288" i="7" s="1"/>
  <c r="J288" i="7"/>
  <c r="L288" i="7" s="1" a="1"/>
  <c r="L288" i="7" s="1"/>
  <c r="K288" i="7"/>
  <c r="H289" i="7"/>
  <c r="I289" i="7"/>
  <c r="J289" i="7"/>
  <c r="K289" i="7"/>
  <c r="H290" i="7"/>
  <c r="I290" i="7" s="1"/>
  <c r="J290" i="7"/>
  <c r="K290" i="7"/>
  <c r="H291" i="7"/>
  <c r="I291" i="7" s="1"/>
  <c r="J291" i="7"/>
  <c r="K291" i="7"/>
  <c r="H292" i="7"/>
  <c r="I292" i="7"/>
  <c r="J292" i="7"/>
  <c r="L292" i="7" s="1" a="1"/>
  <c r="L292" i="7" s="1"/>
  <c r="K292" i="7"/>
  <c r="H293" i="7"/>
  <c r="I293" i="7" s="1"/>
  <c r="J293" i="7"/>
  <c r="L293" i="7" s="1" a="1"/>
  <c r="L293" i="7" s="1"/>
  <c r="K293" i="7"/>
  <c r="H294" i="7"/>
  <c r="I294" i="7"/>
  <c r="J294" i="7"/>
  <c r="L294" i="7" s="1" a="1"/>
  <c r="L294" i="7" s="1"/>
  <c r="K294" i="7"/>
  <c r="H295" i="7"/>
  <c r="I295" i="7"/>
  <c r="J295" i="7"/>
  <c r="L295" i="7" s="1" a="1"/>
  <c r="L295" i="7" s="1"/>
  <c r="K295" i="7"/>
  <c r="H296" i="7"/>
  <c r="I296" i="7"/>
  <c r="J296" i="7"/>
  <c r="L296" i="7" s="1" a="1"/>
  <c r="L296" i="7" s="1"/>
  <c r="K296" i="7"/>
  <c r="H297" i="7"/>
  <c r="I297" i="7" s="1"/>
  <c r="J297" i="7"/>
  <c r="L297" i="7" s="1" a="1"/>
  <c r="L297" i="7" s="1"/>
  <c r="K297" i="7"/>
  <c r="H298" i="7"/>
  <c r="I298" i="7" s="1"/>
  <c r="J298" i="7"/>
  <c r="L298" i="7" s="1" a="1"/>
  <c r="L298" i="7" s="1"/>
  <c r="K298" i="7"/>
  <c r="H299" i="7"/>
  <c r="I299" i="7" s="1"/>
  <c r="J299" i="7"/>
  <c r="K299" i="7"/>
  <c r="H300" i="7"/>
  <c r="I300" i="7" s="1"/>
  <c r="J300" i="7"/>
  <c r="L300" i="7" s="1" a="1"/>
  <c r="L300" i="7" s="1"/>
  <c r="K300" i="7"/>
  <c r="H301" i="7"/>
  <c r="I301" i="7"/>
  <c r="J301" i="7"/>
  <c r="K301" i="7"/>
  <c r="H302" i="7"/>
  <c r="I302" i="7" s="1"/>
  <c r="J302" i="7"/>
  <c r="L302" i="7" s="1" a="1"/>
  <c r="L302" i="7" s="1"/>
  <c r="K302" i="7"/>
  <c r="H303" i="7"/>
  <c r="I303" i="7"/>
  <c r="J303" i="7"/>
  <c r="K303" i="7"/>
  <c r="H304" i="7"/>
  <c r="I304" i="7"/>
  <c r="J304" i="7"/>
  <c r="L304" i="7" s="1" a="1"/>
  <c r="L304" i="7" s="1"/>
  <c r="K304" i="7"/>
  <c r="H305" i="7"/>
  <c r="I305" i="7" s="1"/>
  <c r="J305" i="7"/>
  <c r="K305" i="7"/>
  <c r="H306" i="7"/>
  <c r="I306" i="7"/>
  <c r="J306" i="7"/>
  <c r="K306" i="7"/>
  <c r="H307" i="7"/>
  <c r="I307" i="7"/>
  <c r="J307" i="7"/>
  <c r="L307" i="7" s="1" a="1"/>
  <c r="L307" i="7" s="1"/>
  <c r="K307" i="7"/>
  <c r="H308" i="7"/>
  <c r="I308" i="7"/>
  <c r="J308" i="7"/>
  <c r="L308" i="7" s="1" a="1"/>
  <c r="L308" i="7" s="1"/>
  <c r="K308" i="7"/>
  <c r="H309" i="7"/>
  <c r="I309" i="7"/>
  <c r="J309" i="7"/>
  <c r="K309" i="7"/>
  <c r="H310" i="7"/>
  <c r="I310" i="7" s="1"/>
  <c r="J310" i="7"/>
  <c r="L310" i="7" s="1" a="1"/>
  <c r="L310" i="7" s="1"/>
  <c r="K310" i="7"/>
  <c r="H311" i="7"/>
  <c r="I311" i="7" s="1"/>
  <c r="J311" i="7"/>
  <c r="K311" i="7"/>
  <c r="H312" i="7"/>
  <c r="I312" i="7" s="1"/>
  <c r="J312" i="7"/>
  <c r="K312" i="7"/>
  <c r="H313" i="7"/>
  <c r="I313" i="7"/>
  <c r="J313" i="7"/>
  <c r="L313" i="7" s="1" a="1"/>
  <c r="L313" i="7" s="1"/>
  <c r="K313" i="7"/>
  <c r="H314" i="7"/>
  <c r="I314" i="7" s="1"/>
  <c r="J314" i="7"/>
  <c r="K314" i="7"/>
  <c r="H315" i="7"/>
  <c r="I315" i="7"/>
  <c r="J315" i="7"/>
  <c r="K315" i="7"/>
  <c r="H316" i="7"/>
  <c r="I316" i="7"/>
  <c r="J316" i="7"/>
  <c r="L316" i="7" s="1" a="1"/>
  <c r="L316" i="7" s="1"/>
  <c r="K316" i="7"/>
  <c r="H317" i="7"/>
  <c r="I317" i="7"/>
  <c r="J317" i="7"/>
  <c r="L317" i="7" s="1" a="1"/>
  <c r="L317" i="7" s="1"/>
  <c r="K317" i="7"/>
  <c r="H318" i="7"/>
  <c r="I318" i="7"/>
  <c r="J318" i="7"/>
  <c r="K318" i="7"/>
  <c r="H319" i="7"/>
  <c r="I319" i="7"/>
  <c r="J319" i="7"/>
  <c r="K319" i="7"/>
  <c r="H320" i="7"/>
  <c r="I320" i="7" s="1"/>
  <c r="J320" i="7"/>
  <c r="K320" i="7"/>
  <c r="H321" i="7"/>
  <c r="I321" i="7" s="1"/>
  <c r="J321" i="7"/>
  <c r="K321" i="7"/>
  <c r="H322" i="7"/>
  <c r="I322" i="7"/>
  <c r="J322" i="7"/>
  <c r="L322" i="7" s="1" a="1"/>
  <c r="L322" i="7" s="1"/>
  <c r="K322" i="7"/>
  <c r="H323" i="7"/>
  <c r="I323" i="7" s="1"/>
  <c r="J323" i="7"/>
  <c r="L323" i="7" s="1" a="1"/>
  <c r="L323" i="7" s="1"/>
  <c r="K323" i="7"/>
  <c r="H324" i="7"/>
  <c r="I324" i="7" s="1"/>
  <c r="J324" i="7"/>
  <c r="L324" i="7" s="1" a="1"/>
  <c r="L324" i="7" s="1"/>
  <c r="K324" i="7"/>
  <c r="H325" i="7"/>
  <c r="I325" i="7"/>
  <c r="J325" i="7"/>
  <c r="L325" i="7" s="1" a="1"/>
  <c r="L325" i="7" s="1"/>
  <c r="K325" i="7"/>
  <c r="H326" i="7"/>
  <c r="I326" i="7"/>
  <c r="J326" i="7"/>
  <c r="L326" i="7" s="1" a="1"/>
  <c r="L326" i="7" s="1"/>
  <c r="K326" i="7"/>
  <c r="H327" i="7"/>
  <c r="I327" i="7" s="1"/>
  <c r="J327" i="7"/>
  <c r="K327" i="7"/>
  <c r="H328" i="7"/>
  <c r="I328" i="7" s="1"/>
  <c r="J328" i="7"/>
  <c r="L328" i="7" s="1" a="1"/>
  <c r="L328" i="7" s="1"/>
  <c r="K328" i="7"/>
  <c r="H329" i="7"/>
  <c r="I329" i="7"/>
  <c r="J329" i="7"/>
  <c r="L329" i="7" s="1" a="1"/>
  <c r="L329" i="7" s="1"/>
  <c r="K329" i="7"/>
  <c r="H330" i="7"/>
  <c r="I330" i="7" s="1"/>
  <c r="J330" i="7"/>
  <c r="K330" i="7"/>
  <c r="H331" i="7"/>
  <c r="I331" i="7"/>
  <c r="J331" i="7"/>
  <c r="L331" i="7" s="1" a="1"/>
  <c r="L331" i="7" s="1"/>
  <c r="K331" i="7"/>
  <c r="H332" i="7"/>
  <c r="I332" i="7" s="1"/>
  <c r="J332" i="7"/>
  <c r="K332" i="7"/>
  <c r="H333" i="7"/>
  <c r="I333" i="7"/>
  <c r="J333" i="7"/>
  <c r="K333" i="7"/>
  <c r="H334" i="7"/>
  <c r="I334" i="7"/>
  <c r="J334" i="7"/>
  <c r="K334" i="7"/>
  <c r="H335" i="7"/>
  <c r="I335" i="7"/>
  <c r="J335" i="7"/>
  <c r="K335" i="7"/>
  <c r="H336" i="7"/>
  <c r="I336" i="7"/>
  <c r="J336" i="7"/>
  <c r="L336" i="7" s="1" a="1"/>
  <c r="L336" i="7" s="1"/>
  <c r="K336" i="7"/>
  <c r="H337" i="7"/>
  <c r="I337" i="7"/>
  <c r="J337" i="7"/>
  <c r="L337" i="7" s="1" a="1"/>
  <c r="L337" i="7" s="1"/>
  <c r="K337" i="7"/>
  <c r="H338" i="7"/>
  <c r="I338" i="7"/>
  <c r="J338" i="7"/>
  <c r="K338" i="7"/>
  <c r="H339" i="7"/>
  <c r="I339" i="7" s="1"/>
  <c r="J339" i="7"/>
  <c r="K339" i="7"/>
  <c r="H340" i="7"/>
  <c r="I340" i="7" s="1"/>
  <c r="J340" i="7"/>
  <c r="L340" i="7" s="1" a="1"/>
  <c r="L340" i="7" s="1"/>
  <c r="K340" i="7"/>
  <c r="H341" i="7"/>
  <c r="I341" i="7"/>
  <c r="J341" i="7"/>
  <c r="L341" i="7" s="1" a="1"/>
  <c r="L341" i="7" s="1"/>
  <c r="K341" i="7"/>
  <c r="H342" i="7"/>
  <c r="I342" i="7"/>
  <c r="J342" i="7"/>
  <c r="L342" i="7" s="1" a="1"/>
  <c r="L342" i="7" s="1"/>
  <c r="K342" i="7"/>
  <c r="H343" i="7"/>
  <c r="I343" i="7" s="1"/>
  <c r="J343" i="7"/>
  <c r="L343" i="7" s="1" a="1"/>
  <c r="L343" i="7" s="1"/>
  <c r="K343" i="7"/>
  <c r="H344" i="7"/>
  <c r="I344" i="7"/>
  <c r="J344" i="7"/>
  <c r="L344" i="7" s="1" a="1"/>
  <c r="L344" i="7" s="1"/>
  <c r="K344" i="7"/>
  <c r="H345" i="7"/>
  <c r="I345" i="7"/>
  <c r="J345" i="7"/>
  <c r="K345" i="7"/>
  <c r="H346" i="7"/>
  <c r="I346" i="7"/>
  <c r="J346" i="7"/>
  <c r="L346" i="7" s="1" a="1"/>
  <c r="L346" i="7" s="1"/>
  <c r="K346" i="7"/>
  <c r="H347" i="7"/>
  <c r="I347" i="7"/>
  <c r="J347" i="7"/>
  <c r="L347" i="7" s="1" a="1"/>
  <c r="L347" i="7" s="1"/>
  <c r="K347" i="7"/>
  <c r="H348" i="7"/>
  <c r="I348" i="7"/>
  <c r="J348" i="7"/>
  <c r="L348" i="7" s="1" a="1"/>
  <c r="L348" i="7" s="1"/>
  <c r="K348" i="7"/>
  <c r="H349" i="7"/>
  <c r="I349" i="7"/>
  <c r="J349" i="7"/>
  <c r="L349" i="7" s="1" a="1"/>
  <c r="L349" i="7" s="1"/>
  <c r="K349" i="7"/>
  <c r="H350" i="7"/>
  <c r="I350" i="7"/>
  <c r="J350" i="7"/>
  <c r="L350" i="7" s="1" a="1"/>
  <c r="L350" i="7" s="1"/>
  <c r="K350" i="7"/>
  <c r="H351" i="7"/>
  <c r="I351" i="7" s="1"/>
  <c r="J351" i="7"/>
  <c r="K351" i="7"/>
  <c r="H352" i="7"/>
  <c r="I352" i="7"/>
  <c r="J352" i="7"/>
  <c r="L352" i="7" s="1" a="1"/>
  <c r="L352" i="7" s="1"/>
  <c r="K352" i="7"/>
  <c r="H353" i="7"/>
  <c r="I353" i="7" s="1"/>
  <c r="J353" i="7"/>
  <c r="L353" i="7" s="1" a="1"/>
  <c r="L353" i="7" s="1"/>
  <c r="K353" i="7"/>
  <c r="H354" i="7"/>
  <c r="I354" i="7"/>
  <c r="J354" i="7"/>
  <c r="L354" i="7" s="1" a="1"/>
  <c r="L354" i="7" s="1"/>
  <c r="K354" i="7"/>
  <c r="H355" i="7"/>
  <c r="I355" i="7"/>
  <c r="J355" i="7"/>
  <c r="K355" i="7"/>
  <c r="H356" i="7"/>
  <c r="I356" i="7"/>
  <c r="J356" i="7"/>
  <c r="L356" i="7" s="1" a="1"/>
  <c r="L356" i="7" s="1"/>
  <c r="K356" i="7"/>
  <c r="H357" i="7"/>
  <c r="I357" i="7" s="1"/>
  <c r="J357" i="7"/>
  <c r="K357" i="7"/>
  <c r="H358" i="7"/>
  <c r="I358" i="7"/>
  <c r="J358" i="7"/>
  <c r="K358" i="7"/>
  <c r="H359" i="7"/>
  <c r="I359" i="7" s="1"/>
  <c r="J359" i="7"/>
  <c r="L359" i="7" s="1" a="1"/>
  <c r="L359" i="7" s="1"/>
  <c r="K359" i="7"/>
  <c r="H360" i="7"/>
  <c r="I360" i="7"/>
  <c r="J360" i="7"/>
  <c r="K360" i="7"/>
  <c r="H361" i="7"/>
  <c r="I361" i="7"/>
  <c r="J361" i="7"/>
  <c r="L361" i="7" s="1" a="1"/>
  <c r="L361" i="7" s="1"/>
  <c r="K361" i="7"/>
  <c r="H362" i="7"/>
  <c r="I362" i="7"/>
  <c r="J362" i="7"/>
  <c r="L362" i="7" s="1" a="1"/>
  <c r="L362" i="7" s="1"/>
  <c r="K362" i="7"/>
  <c r="H363" i="7"/>
  <c r="I363" i="7" s="1"/>
  <c r="J363" i="7"/>
  <c r="K363" i="7"/>
  <c r="H364" i="7"/>
  <c r="I364" i="7"/>
  <c r="J364" i="7"/>
  <c r="L364" i="7" s="1" a="1"/>
  <c r="L364" i="7" s="1"/>
  <c r="K364" i="7"/>
  <c r="H365" i="7"/>
  <c r="I365" i="7"/>
  <c r="J365" i="7"/>
  <c r="L365" i="7" s="1" a="1"/>
  <c r="L365" i="7" s="1"/>
  <c r="K365" i="7"/>
  <c r="H366" i="7"/>
  <c r="I366" i="7"/>
  <c r="J366" i="7"/>
  <c r="L366" i="7" s="1" a="1"/>
  <c r="L366" i="7" s="1"/>
  <c r="K366" i="7"/>
  <c r="H367" i="7"/>
  <c r="I367" i="7"/>
  <c r="J367" i="7"/>
  <c r="L367" i="7" s="1" a="1"/>
  <c r="L367" i="7" s="1"/>
  <c r="K367" i="7"/>
  <c r="H368" i="7"/>
  <c r="I368" i="7"/>
  <c r="J368" i="7"/>
  <c r="L368" i="7" s="1" a="1"/>
  <c r="L368" i="7" s="1"/>
  <c r="K368" i="7"/>
  <c r="H369" i="7"/>
  <c r="I369" i="7"/>
  <c r="J369" i="7"/>
  <c r="L369" i="7" s="1" a="1"/>
  <c r="L369" i="7" s="1"/>
  <c r="K369" i="7"/>
  <c r="H370" i="7"/>
  <c r="I370" i="7"/>
  <c r="J370" i="7"/>
  <c r="L370" i="7" s="1" a="1"/>
  <c r="L370" i="7" s="1"/>
  <c r="K370" i="7"/>
  <c r="H371" i="7"/>
  <c r="I371" i="7" s="1"/>
  <c r="J371" i="7"/>
  <c r="L371" i="7" s="1" a="1"/>
  <c r="L371" i="7" s="1"/>
  <c r="K371" i="7"/>
  <c r="H372" i="7"/>
  <c r="I372" i="7"/>
  <c r="J372" i="7"/>
  <c r="L372" i="7" s="1" a="1"/>
  <c r="L372" i="7" s="1"/>
  <c r="K372" i="7"/>
  <c r="H373" i="7"/>
  <c r="I373" i="7"/>
  <c r="J373" i="7"/>
  <c r="L373" i="7" s="1" a="1"/>
  <c r="L373" i="7" s="1"/>
  <c r="K373" i="7"/>
  <c r="H374" i="7"/>
  <c r="I374" i="7"/>
  <c r="J374" i="7"/>
  <c r="L374" i="7" s="1" a="1"/>
  <c r="L374" i="7" s="1"/>
  <c r="K374" i="7"/>
  <c r="H375" i="7"/>
  <c r="I375" i="7"/>
  <c r="J375" i="7"/>
  <c r="K375" i="7"/>
  <c r="H376" i="7"/>
  <c r="I376" i="7"/>
  <c r="J376" i="7"/>
  <c r="L376" i="7" s="1" a="1"/>
  <c r="L376" i="7" s="1"/>
  <c r="K376" i="7"/>
  <c r="H377" i="7"/>
  <c r="I377" i="7" s="1"/>
  <c r="J377" i="7"/>
  <c r="L377" i="7" s="1" a="1"/>
  <c r="L377" i="7" s="1"/>
  <c r="K377" i="7"/>
  <c r="H378" i="7"/>
  <c r="I378" i="7"/>
  <c r="J378" i="7"/>
  <c r="L378" i="7" s="1" a="1"/>
  <c r="L378" i="7" s="1"/>
  <c r="K378" i="7"/>
  <c r="H379" i="7"/>
  <c r="I379" i="7" s="1"/>
  <c r="J379" i="7"/>
  <c r="L379" i="7" s="1" a="1"/>
  <c r="L379" i="7" s="1"/>
  <c r="K379" i="7"/>
  <c r="H380" i="7"/>
  <c r="I380" i="7"/>
  <c r="J380" i="7"/>
  <c r="L380" i="7" s="1" a="1"/>
  <c r="L380" i="7" s="1"/>
  <c r="K380" i="7"/>
  <c r="H381" i="7"/>
  <c r="I381" i="7" s="1"/>
  <c r="J381" i="7"/>
  <c r="K381" i="7"/>
  <c r="H382" i="7"/>
  <c r="I382" i="7"/>
  <c r="J382" i="7"/>
  <c r="L382" i="7" s="1" a="1"/>
  <c r="L382" i="7" s="1"/>
  <c r="K382" i="7"/>
  <c r="H383" i="7"/>
  <c r="I383" i="7" s="1"/>
  <c r="J383" i="7"/>
  <c r="K383" i="7"/>
  <c r="H384" i="7"/>
  <c r="I384" i="7"/>
  <c r="J384" i="7"/>
  <c r="L384" i="7" s="1" a="1"/>
  <c r="L384" i="7" s="1"/>
  <c r="K384" i="7"/>
  <c r="H385" i="7"/>
  <c r="I385" i="7" s="1"/>
  <c r="J385" i="7"/>
  <c r="K385" i="7"/>
  <c r="H386" i="7"/>
  <c r="I386" i="7"/>
  <c r="J386" i="7"/>
  <c r="L386" i="7" s="1" a="1"/>
  <c r="L386" i="7" s="1"/>
  <c r="K386" i="7"/>
  <c r="H387" i="7"/>
  <c r="I387" i="7"/>
  <c r="J387" i="7"/>
  <c r="L387" i="7" s="1" a="1"/>
  <c r="L387" i="7" s="1"/>
  <c r="K387" i="7"/>
  <c r="H388" i="7"/>
  <c r="I388" i="7"/>
  <c r="J388" i="7"/>
  <c r="L388" i="7" s="1" a="1"/>
  <c r="L388" i="7" s="1"/>
  <c r="K388" i="7"/>
  <c r="H389" i="7"/>
  <c r="I389" i="7" s="1"/>
  <c r="J389" i="7"/>
  <c r="K389" i="7"/>
  <c r="H390" i="7"/>
  <c r="I390" i="7"/>
  <c r="J390" i="7"/>
  <c r="L390" i="7" s="1" a="1"/>
  <c r="L390" i="7" s="1"/>
  <c r="K390" i="7"/>
  <c r="H391" i="7"/>
  <c r="I391" i="7" s="1"/>
  <c r="J391" i="7"/>
  <c r="K391" i="7"/>
  <c r="H392" i="7"/>
  <c r="I392" i="7"/>
  <c r="J392" i="7"/>
  <c r="L392" i="7" s="1" a="1"/>
  <c r="L392" i="7" s="1"/>
  <c r="K392" i="7"/>
  <c r="H393" i="7"/>
  <c r="I393" i="7" s="1"/>
  <c r="J393" i="7"/>
  <c r="K393" i="7"/>
  <c r="H394" i="7"/>
  <c r="I394" i="7"/>
  <c r="J394" i="7"/>
  <c r="L394" i="7" s="1" a="1"/>
  <c r="L394" i="7" s="1"/>
  <c r="K394" i="7"/>
  <c r="H395" i="7"/>
  <c r="I395" i="7" s="1"/>
  <c r="J395" i="7"/>
  <c r="L395" i="7" s="1" a="1"/>
  <c r="L395" i="7" s="1"/>
  <c r="K395" i="7"/>
  <c r="H396" i="7"/>
  <c r="I396" i="7"/>
  <c r="J396" i="7"/>
  <c r="L396" i="7" s="1" a="1"/>
  <c r="L396" i="7" s="1"/>
  <c r="K396" i="7"/>
  <c r="H397" i="7"/>
  <c r="I397" i="7" s="1"/>
  <c r="J397" i="7"/>
  <c r="K397" i="7"/>
  <c r="H398" i="7"/>
  <c r="I398" i="7"/>
  <c r="J398" i="7"/>
  <c r="L398" i="7" s="1" a="1"/>
  <c r="L398" i="7" s="1"/>
  <c r="K398" i="7"/>
  <c r="H399" i="7"/>
  <c r="I399" i="7" s="1"/>
  <c r="J399" i="7"/>
  <c r="L399" i="7" s="1" a="1"/>
  <c r="L399" i="7" s="1"/>
  <c r="K399" i="7"/>
  <c r="H400" i="7"/>
  <c r="I400" i="7"/>
  <c r="J400" i="7"/>
  <c r="L400" i="7" s="1" a="1"/>
  <c r="L400" i="7" s="1"/>
  <c r="K400" i="7"/>
  <c r="H401" i="7"/>
  <c r="I401" i="7"/>
  <c r="J401" i="7"/>
  <c r="K401" i="7"/>
  <c r="H402" i="7"/>
  <c r="I402" i="7"/>
  <c r="J402" i="7"/>
  <c r="L402" i="7" s="1" a="1"/>
  <c r="L402" i="7" s="1"/>
  <c r="K402" i="7"/>
  <c r="H403" i="7"/>
  <c r="I403" i="7" s="1"/>
  <c r="J403" i="7"/>
  <c r="K403" i="7"/>
  <c r="H404" i="7"/>
  <c r="I404" i="7"/>
  <c r="J404" i="7"/>
  <c r="K404" i="7"/>
  <c r="H405" i="7"/>
  <c r="I405" i="7"/>
  <c r="J405" i="7"/>
  <c r="L405" i="7" s="1" a="1"/>
  <c r="L405" i="7" s="1"/>
  <c r="K405" i="7"/>
  <c r="H406" i="7"/>
  <c r="I406" i="7"/>
  <c r="J406" i="7"/>
  <c r="L406" i="7" s="1" a="1"/>
  <c r="L406" i="7" s="1"/>
  <c r="K406" i="7"/>
  <c r="H407" i="7"/>
  <c r="I407" i="7"/>
  <c r="J407" i="7"/>
  <c r="L407" i="7" s="1" a="1"/>
  <c r="L407" i="7" s="1"/>
  <c r="K407" i="7"/>
  <c r="H408" i="7"/>
  <c r="I408" i="7"/>
  <c r="J408" i="7"/>
  <c r="L408" i="7" s="1" a="1"/>
  <c r="L408" i="7" s="1"/>
  <c r="K408" i="7"/>
  <c r="H409" i="7"/>
  <c r="I409" i="7"/>
  <c r="J409" i="7"/>
  <c r="L409" i="7" s="1" a="1"/>
  <c r="L409" i="7" s="1"/>
  <c r="K409" i="7"/>
  <c r="H410" i="7"/>
  <c r="I410" i="7"/>
  <c r="J410" i="7"/>
  <c r="L410" i="7" s="1" a="1"/>
  <c r="L410" i="7" s="1"/>
  <c r="K410" i="7"/>
  <c r="H411" i="7"/>
  <c r="I411" i="7"/>
  <c r="J411" i="7"/>
  <c r="K411" i="7"/>
  <c r="H412" i="7"/>
  <c r="I412" i="7"/>
  <c r="J412" i="7"/>
  <c r="K412" i="7"/>
  <c r="H413" i="7"/>
  <c r="I413" i="7"/>
  <c r="J413" i="7"/>
  <c r="K413" i="7"/>
  <c r="H414" i="7"/>
  <c r="I414" i="7"/>
  <c r="J414" i="7"/>
  <c r="L414" i="7" s="1" a="1"/>
  <c r="L414" i="7" s="1"/>
  <c r="K414" i="7"/>
  <c r="H415" i="7"/>
  <c r="I415" i="7"/>
  <c r="J415" i="7"/>
  <c r="L415" i="7" s="1" a="1"/>
  <c r="L415" i="7" s="1"/>
  <c r="K415" i="7"/>
  <c r="H416" i="7"/>
  <c r="I416" i="7"/>
  <c r="J416" i="7"/>
  <c r="L416" i="7" s="1" a="1"/>
  <c r="L416" i="7" s="1"/>
  <c r="K416" i="7"/>
  <c r="H417" i="7"/>
  <c r="I417" i="7" s="1"/>
  <c r="J417" i="7"/>
  <c r="L417" i="7" s="1" a="1"/>
  <c r="L417" i="7" s="1"/>
  <c r="K417" i="7"/>
  <c r="H418" i="7"/>
  <c r="I418" i="7"/>
  <c r="J418" i="7"/>
  <c r="K418" i="7"/>
  <c r="H419" i="7"/>
  <c r="I419" i="7"/>
  <c r="J419" i="7"/>
  <c r="L419" i="7" s="1" a="1"/>
  <c r="L419" i="7" s="1"/>
  <c r="K419" i="7"/>
  <c r="H420" i="7"/>
  <c r="I420" i="7"/>
  <c r="J420" i="7"/>
  <c r="L420" i="7" s="1" a="1"/>
  <c r="L420" i="7" s="1"/>
  <c r="K420" i="7"/>
  <c r="H421" i="7"/>
  <c r="I421" i="7"/>
  <c r="J421" i="7"/>
  <c r="L421" i="7" s="1" a="1"/>
  <c r="L421" i="7" s="1"/>
  <c r="K421" i="7"/>
  <c r="H422" i="7"/>
  <c r="I422" i="7"/>
  <c r="J422" i="7"/>
  <c r="L422" i="7" s="1" a="1"/>
  <c r="L422" i="7" s="1"/>
  <c r="K422" i="7"/>
  <c r="H423" i="7"/>
  <c r="I423" i="7"/>
  <c r="J423" i="7"/>
  <c r="L423" i="7" s="1" a="1"/>
  <c r="L423" i="7" s="1"/>
  <c r="K423" i="7"/>
  <c r="H424" i="7"/>
  <c r="I424" i="7"/>
  <c r="J424" i="7"/>
  <c r="L424" i="7" s="1" a="1"/>
  <c r="L424" i="7" s="1"/>
  <c r="K424" i="7"/>
  <c r="H425" i="7"/>
  <c r="I425" i="7" s="1"/>
  <c r="J425" i="7"/>
  <c r="L425" i="7" s="1" a="1"/>
  <c r="L425" i="7" s="1"/>
  <c r="K425" i="7"/>
  <c r="H426" i="7"/>
  <c r="I426" i="7"/>
  <c r="J426" i="7"/>
  <c r="L426" i="7" s="1" a="1"/>
  <c r="L426" i="7" s="1"/>
  <c r="K426" i="7"/>
  <c r="H427" i="7"/>
  <c r="I427" i="7" s="1"/>
  <c r="J427" i="7"/>
  <c r="K427" i="7"/>
  <c r="H428" i="7"/>
  <c r="I428" i="7"/>
  <c r="J428" i="7"/>
  <c r="L428" i="7" s="1" a="1"/>
  <c r="L428" i="7" s="1"/>
  <c r="K428" i="7"/>
  <c r="H429" i="7"/>
  <c r="I429" i="7"/>
  <c r="J429" i="7"/>
  <c r="L429" i="7" s="1" a="1"/>
  <c r="L429" i="7" s="1"/>
  <c r="K429" i="7"/>
  <c r="H430" i="7"/>
  <c r="I430" i="7"/>
  <c r="J430" i="7"/>
  <c r="K430" i="7"/>
  <c r="H431" i="7"/>
  <c r="I431" i="7" s="1"/>
  <c r="J431" i="7"/>
  <c r="K431" i="7"/>
  <c r="H432" i="7"/>
  <c r="I432" i="7"/>
  <c r="J432" i="7"/>
  <c r="K432" i="7"/>
  <c r="H433" i="7"/>
  <c r="I433" i="7"/>
  <c r="J433" i="7"/>
  <c r="L433" i="7" s="1" a="1"/>
  <c r="L433" i="7" s="1"/>
  <c r="K433" i="7"/>
  <c r="H434" i="7"/>
  <c r="I434" i="7"/>
  <c r="J434" i="7"/>
  <c r="K434" i="7"/>
  <c r="H435" i="7"/>
  <c r="I435" i="7"/>
  <c r="J435" i="7"/>
  <c r="L435" i="7" s="1" a="1"/>
  <c r="L435" i="7" s="1"/>
  <c r="K435" i="7"/>
  <c r="H436" i="7"/>
  <c r="I436" i="7"/>
  <c r="J436" i="7"/>
  <c r="L436" i="7" s="1" a="1"/>
  <c r="L436" i="7" s="1"/>
  <c r="K436" i="7"/>
  <c r="H437" i="7"/>
  <c r="I437" i="7"/>
  <c r="J437" i="7"/>
  <c r="L437" i="7" s="1" a="1"/>
  <c r="L437" i="7" s="1"/>
  <c r="K437" i="7"/>
  <c r="H438" i="7"/>
  <c r="I438" i="7"/>
  <c r="J438" i="7"/>
  <c r="L438" i="7" s="1" a="1"/>
  <c r="L438" i="7" s="1"/>
  <c r="K438" i="7"/>
  <c r="H439" i="7"/>
  <c r="I439" i="7" s="1"/>
  <c r="J439" i="7"/>
  <c r="L439" i="7" s="1" a="1"/>
  <c r="L439" i="7" s="1"/>
  <c r="K439" i="7"/>
  <c r="H440" i="7"/>
  <c r="I440" i="7"/>
  <c r="J440" i="7"/>
  <c r="L440" i="7" s="1" a="1"/>
  <c r="L440" i="7" s="1"/>
  <c r="K440" i="7"/>
  <c r="H441" i="7"/>
  <c r="I441" i="7" s="1"/>
  <c r="J441" i="7"/>
  <c r="K441" i="7"/>
  <c r="H442" i="7"/>
  <c r="I442" i="7"/>
  <c r="J442" i="7"/>
  <c r="L442" i="7" s="1" a="1"/>
  <c r="L442" i="7" s="1"/>
  <c r="K442" i="7"/>
  <c r="H443" i="7"/>
  <c r="I443" i="7" s="1"/>
  <c r="J443" i="7"/>
  <c r="K443" i="7"/>
  <c r="H444" i="7"/>
  <c r="I444" i="7"/>
  <c r="J444" i="7"/>
  <c r="L444" i="7" s="1" a="1"/>
  <c r="L444" i="7" s="1"/>
  <c r="K444" i="7"/>
  <c r="H445" i="7"/>
  <c r="I445" i="7"/>
  <c r="J445" i="7"/>
  <c r="L445" i="7" s="1" a="1"/>
  <c r="L445" i="7" s="1"/>
  <c r="K445" i="7"/>
  <c r="H446" i="7"/>
  <c r="I446" i="7"/>
  <c r="J446" i="7"/>
  <c r="L446" i="7" s="1" a="1"/>
  <c r="L446" i="7" s="1"/>
  <c r="K446" i="7"/>
  <c r="H447" i="7"/>
  <c r="I447" i="7"/>
  <c r="J447" i="7"/>
  <c r="L447" i="7" s="1" a="1"/>
  <c r="L447" i="7" s="1"/>
  <c r="K447" i="7"/>
  <c r="H448" i="7"/>
  <c r="I448" i="7"/>
  <c r="J448" i="7"/>
  <c r="L448" i="7" s="1" a="1"/>
  <c r="L448" i="7" s="1"/>
  <c r="K448" i="7"/>
  <c r="H449" i="7"/>
  <c r="I449" i="7" s="1"/>
  <c r="J449" i="7"/>
  <c r="L449" i="7" s="1" a="1"/>
  <c r="L449" i="7" s="1"/>
  <c r="K449" i="7"/>
  <c r="H450" i="7"/>
  <c r="I450" i="7"/>
  <c r="J450" i="7"/>
  <c r="L450" i="7" s="1" a="1"/>
  <c r="L450" i="7" s="1"/>
  <c r="K450" i="7"/>
  <c r="H451" i="7"/>
  <c r="I451" i="7"/>
  <c r="J451" i="7"/>
  <c r="K451" i="7"/>
  <c r="H452" i="7"/>
  <c r="I452" i="7"/>
  <c r="J452" i="7"/>
  <c r="L452" i="7" s="1" a="1"/>
  <c r="L452" i="7" s="1"/>
  <c r="K452" i="7"/>
  <c r="H453" i="7"/>
  <c r="I453" i="7"/>
  <c r="J453" i="7"/>
  <c r="K453" i="7"/>
  <c r="H454" i="7"/>
  <c r="I454" i="7"/>
  <c r="J454" i="7"/>
  <c r="K454" i="7"/>
  <c r="H455" i="7"/>
  <c r="I455" i="7"/>
  <c r="J455" i="7"/>
  <c r="L455" i="7" s="1" a="1"/>
  <c r="L455" i="7" s="1"/>
  <c r="K455" i="7"/>
  <c r="H456" i="7"/>
  <c r="I456" i="7"/>
  <c r="J456" i="7"/>
  <c r="L456" i="7" s="1" a="1"/>
  <c r="L456" i="7" s="1"/>
  <c r="K456" i="7"/>
  <c r="H457" i="7"/>
  <c r="I457" i="7"/>
  <c r="J457" i="7"/>
  <c r="K457" i="7"/>
  <c r="H458" i="7"/>
  <c r="I458" i="7"/>
  <c r="J458" i="7"/>
  <c r="L458" i="7" s="1" a="1"/>
  <c r="L458" i="7" s="1"/>
  <c r="K458" i="7"/>
  <c r="H459" i="7"/>
  <c r="I459" i="7" s="1"/>
  <c r="J459" i="7"/>
  <c r="K459" i="7"/>
  <c r="H460" i="7"/>
  <c r="I460" i="7"/>
  <c r="J460" i="7"/>
  <c r="L460" i="7" s="1" a="1"/>
  <c r="L460" i="7" s="1"/>
  <c r="K460" i="7"/>
  <c r="H461" i="7"/>
  <c r="I461" i="7"/>
  <c r="J461" i="7"/>
  <c r="L461" i="7" s="1" a="1"/>
  <c r="L461" i="7" s="1"/>
  <c r="K461" i="7"/>
  <c r="H462" i="7"/>
  <c r="I462" i="7"/>
  <c r="J462" i="7"/>
  <c r="L462" i="7" s="1" a="1"/>
  <c r="L462" i="7" s="1"/>
  <c r="K462" i="7"/>
  <c r="H463" i="7"/>
  <c r="I463" i="7"/>
  <c r="J463" i="7"/>
  <c r="L463" i="7" s="1" a="1"/>
  <c r="L463" i="7" s="1"/>
  <c r="K463" i="7"/>
  <c r="H464" i="7"/>
  <c r="I464" i="7"/>
  <c r="J464" i="7"/>
  <c r="L464" i="7" s="1" a="1"/>
  <c r="L464" i="7" s="1"/>
  <c r="K464" i="7"/>
  <c r="H465" i="7"/>
  <c r="I465" i="7"/>
  <c r="J465" i="7"/>
  <c r="L465" i="7" s="1" a="1"/>
  <c r="L465" i="7" s="1"/>
  <c r="K465" i="7"/>
  <c r="H466" i="7"/>
  <c r="I466" i="7"/>
  <c r="J466" i="7"/>
  <c r="K466" i="7"/>
  <c r="H467" i="7"/>
  <c r="I467" i="7" s="1"/>
  <c r="J467" i="7"/>
  <c r="L467" i="7" s="1" a="1"/>
  <c r="L467" i="7" s="1"/>
  <c r="K467" i="7"/>
  <c r="H468" i="7"/>
  <c r="I468" i="7"/>
  <c r="J468" i="7"/>
  <c r="K468" i="7"/>
  <c r="H469" i="7"/>
  <c r="I469" i="7"/>
  <c r="J469" i="7"/>
  <c r="L469" i="7" s="1" a="1"/>
  <c r="L469" i="7" s="1"/>
  <c r="K469" i="7"/>
  <c r="H470" i="7"/>
  <c r="I470" i="7"/>
  <c r="J470" i="7"/>
  <c r="L470" i="7" s="1" a="1"/>
  <c r="L470" i="7" s="1"/>
  <c r="K470" i="7"/>
  <c r="H471" i="7"/>
  <c r="I471" i="7"/>
  <c r="J471" i="7"/>
  <c r="K471" i="7"/>
  <c r="H472" i="7"/>
  <c r="I472" i="7"/>
  <c r="J472" i="7"/>
  <c r="L472" i="7" s="1" a="1"/>
  <c r="L472" i="7" s="1"/>
  <c r="K472" i="7"/>
  <c r="H473" i="7"/>
  <c r="I473" i="7" s="1"/>
  <c r="J473" i="7"/>
  <c r="L473" i="7" s="1" a="1"/>
  <c r="L473" i="7" s="1"/>
  <c r="K473" i="7"/>
  <c r="H474" i="7"/>
  <c r="I474" i="7"/>
  <c r="J474" i="7"/>
  <c r="L474" i="7" s="1" a="1"/>
  <c r="L474" i="7" s="1"/>
  <c r="K474" i="7"/>
  <c r="H475" i="7"/>
  <c r="I475" i="7" s="1"/>
  <c r="J475" i="7"/>
  <c r="L475" i="7" s="1" a="1"/>
  <c r="L475" i="7" s="1"/>
  <c r="K475" i="7"/>
  <c r="H476" i="7"/>
  <c r="I476" i="7"/>
  <c r="J476" i="7"/>
  <c r="L476" i="7" s="1" a="1"/>
  <c r="L476" i="7" s="1"/>
  <c r="K476" i="7"/>
  <c r="H477" i="7"/>
  <c r="I477" i="7" s="1"/>
  <c r="J477" i="7"/>
  <c r="K477" i="7"/>
  <c r="H478" i="7"/>
  <c r="I478" i="7"/>
  <c r="J478" i="7"/>
  <c r="L478" i="7" s="1" a="1"/>
  <c r="L478" i="7" s="1"/>
  <c r="K478" i="7"/>
  <c r="H479" i="7"/>
  <c r="I479" i="7" s="1"/>
  <c r="J479" i="7"/>
  <c r="K479" i="7"/>
  <c r="H480" i="7"/>
  <c r="I480" i="7"/>
  <c r="J480" i="7"/>
  <c r="L480" i="7" s="1" a="1"/>
  <c r="L480" i="7" s="1"/>
  <c r="K480" i="7"/>
  <c r="H481" i="7"/>
  <c r="I481" i="7" s="1"/>
  <c r="J481" i="7"/>
  <c r="L481" i="7" s="1" a="1"/>
  <c r="L481" i="7" s="1"/>
  <c r="K481" i="7"/>
  <c r="H482" i="7"/>
  <c r="I482" i="7"/>
  <c r="J482" i="7"/>
  <c r="L482" i="7" s="1" a="1"/>
  <c r="L482" i="7" s="1"/>
  <c r="K482" i="7"/>
  <c r="H483" i="7"/>
  <c r="I483" i="7"/>
  <c r="J483" i="7"/>
  <c r="L483" i="7" s="1" a="1"/>
  <c r="L483" i="7" s="1"/>
  <c r="K483" i="7"/>
  <c r="H484" i="7"/>
  <c r="I484" i="7"/>
  <c r="J484" i="7"/>
  <c r="L484" i="7" s="1" a="1"/>
  <c r="L484" i="7" s="1"/>
  <c r="K484" i="7"/>
  <c r="H485" i="7"/>
  <c r="I485" i="7"/>
  <c r="J485" i="7"/>
  <c r="L485" i="7" s="1" a="1"/>
  <c r="L485" i="7" s="1"/>
  <c r="K485" i="7"/>
  <c r="H486" i="7"/>
  <c r="I486" i="7"/>
  <c r="J486" i="7"/>
  <c r="K486" i="7"/>
  <c r="H487" i="7"/>
  <c r="I487" i="7"/>
  <c r="J487" i="7"/>
  <c r="L487" i="7" s="1" a="1"/>
  <c r="L487" i="7" s="1"/>
  <c r="K487" i="7"/>
  <c r="H488" i="7"/>
  <c r="I488" i="7"/>
  <c r="J488" i="7"/>
  <c r="L488" i="7" s="1" a="1"/>
  <c r="L488" i="7" s="1"/>
  <c r="K488" i="7"/>
  <c r="H489" i="7"/>
  <c r="I489" i="7" s="1"/>
  <c r="J489" i="7"/>
  <c r="L489" i="7" s="1" a="1"/>
  <c r="L489" i="7" s="1"/>
  <c r="K489" i="7"/>
  <c r="H490" i="7"/>
  <c r="I490" i="7"/>
  <c r="J490" i="7"/>
  <c r="L490" i="7" s="1" a="1"/>
  <c r="L490" i="7" s="1"/>
  <c r="K490" i="7"/>
  <c r="H491" i="7"/>
  <c r="I491" i="7" s="1"/>
  <c r="J491" i="7"/>
  <c r="K491" i="7"/>
  <c r="H492" i="7"/>
  <c r="I492" i="7"/>
  <c r="J492" i="7"/>
  <c r="K492" i="7"/>
  <c r="H493" i="7"/>
  <c r="I493" i="7" s="1"/>
  <c r="J493" i="7"/>
  <c r="K493" i="7"/>
  <c r="H494" i="7"/>
  <c r="I494" i="7"/>
  <c r="J494" i="7"/>
  <c r="L494" i="7" s="1" a="1"/>
  <c r="L494" i="7" s="1"/>
  <c r="K494" i="7"/>
  <c r="H495" i="7"/>
  <c r="I495" i="7" s="1"/>
  <c r="J495" i="7"/>
  <c r="K495" i="7"/>
  <c r="H496" i="7"/>
  <c r="I496" i="7"/>
  <c r="J496" i="7"/>
  <c r="L496" i="7" s="1" a="1"/>
  <c r="L496" i="7" s="1"/>
  <c r="K496" i="7"/>
  <c r="H497" i="7"/>
  <c r="I497" i="7" s="1"/>
  <c r="J497" i="7"/>
  <c r="K497" i="7"/>
  <c r="H498" i="7"/>
  <c r="I498" i="7"/>
  <c r="J498" i="7"/>
  <c r="L498" i="7" s="1" a="1"/>
  <c r="L498" i="7" s="1"/>
  <c r="K498" i="7"/>
  <c r="H499" i="7"/>
  <c r="I499" i="7" s="1"/>
  <c r="J499" i="7"/>
  <c r="L499" i="7" s="1" a="1"/>
  <c r="L499" i="7" s="1"/>
  <c r="K499" i="7"/>
  <c r="H500" i="7"/>
  <c r="I500" i="7"/>
  <c r="J500" i="7"/>
  <c r="L500" i="7" s="1" a="1"/>
  <c r="L500" i="7" s="1"/>
  <c r="K500" i="7"/>
  <c r="H501" i="7"/>
  <c r="I501" i="7" s="1"/>
  <c r="J501" i="7"/>
  <c r="K501" i="7"/>
  <c r="H502" i="7"/>
  <c r="I502" i="7"/>
  <c r="J502" i="7"/>
  <c r="L502" i="7" s="1" a="1"/>
  <c r="L502" i="7" s="1"/>
  <c r="K502" i="7"/>
  <c r="H503" i="7"/>
  <c r="I503" i="7" s="1"/>
  <c r="J503" i="7"/>
  <c r="L503" i="7" s="1" a="1"/>
  <c r="L503" i="7" s="1"/>
  <c r="K503" i="7"/>
  <c r="H504" i="7"/>
  <c r="I504" i="7"/>
  <c r="J504" i="7"/>
  <c r="K504" i="7"/>
  <c r="H505" i="7"/>
  <c r="I505" i="7"/>
  <c r="J505" i="7"/>
  <c r="L505" i="7" s="1" a="1"/>
  <c r="L505" i="7" s="1"/>
  <c r="K505" i="7"/>
  <c r="H506" i="7"/>
  <c r="I506" i="7"/>
  <c r="J506" i="7"/>
  <c r="L506" i="7" s="1" a="1"/>
  <c r="L506" i="7" s="1"/>
  <c r="K506" i="7"/>
  <c r="H507" i="7"/>
  <c r="I507" i="7" s="1"/>
  <c r="J507" i="7"/>
  <c r="L507" i="7" s="1" a="1"/>
  <c r="L507" i="7" s="1"/>
  <c r="K507" i="7"/>
  <c r="H508" i="7"/>
  <c r="I508" i="7"/>
  <c r="J508" i="7"/>
  <c r="K508" i="7"/>
  <c r="H509" i="7"/>
  <c r="I509" i="7"/>
  <c r="J509" i="7"/>
  <c r="L509" i="7" s="1" a="1"/>
  <c r="L509" i="7" s="1"/>
  <c r="K509" i="7"/>
  <c r="H510" i="7"/>
  <c r="I510" i="7"/>
  <c r="J510" i="7"/>
  <c r="L510" i="7" s="1" a="1"/>
  <c r="L510" i="7" s="1"/>
  <c r="K510" i="7"/>
  <c r="H511" i="7"/>
  <c r="I511" i="7" s="1"/>
  <c r="J511" i="7"/>
  <c r="L511" i="7" s="1" a="1"/>
  <c r="L511" i="7" s="1"/>
  <c r="K511" i="7"/>
  <c r="H512" i="7"/>
  <c r="I512" i="7"/>
  <c r="J512" i="7"/>
  <c r="L512" i="7" s="1" a="1"/>
  <c r="L512" i="7" s="1"/>
  <c r="K512" i="7"/>
  <c r="H513" i="7"/>
  <c r="I513" i="7" s="1"/>
  <c r="J513" i="7"/>
  <c r="L513" i="7" s="1" a="1"/>
  <c r="L513" i="7" s="1"/>
  <c r="K513" i="7"/>
  <c r="H514" i="7"/>
  <c r="I514" i="7"/>
  <c r="J514" i="7"/>
  <c r="L514" i="7" s="1" a="1"/>
  <c r="L514" i="7" s="1"/>
  <c r="K514" i="7"/>
  <c r="H515" i="7"/>
  <c r="I515" i="7"/>
  <c r="J515" i="7"/>
  <c r="L515" i="7" s="1" a="1"/>
  <c r="L515" i="7" s="1"/>
  <c r="K515" i="7"/>
  <c r="H516" i="7"/>
  <c r="I516" i="7"/>
  <c r="J516" i="7"/>
  <c r="K516" i="7"/>
  <c r="H517" i="7"/>
  <c r="I517" i="7"/>
  <c r="J517" i="7"/>
  <c r="L517" i="7" s="1" a="1"/>
  <c r="L517" i="7" s="1"/>
  <c r="K517" i="7"/>
  <c r="H518" i="7"/>
  <c r="I518" i="7"/>
  <c r="J518" i="7"/>
  <c r="K518" i="7"/>
  <c r="H519" i="7"/>
  <c r="I519" i="7"/>
  <c r="J519" i="7"/>
  <c r="L519" i="7" s="1" a="1"/>
  <c r="L519" i="7" s="1"/>
  <c r="K519" i="7"/>
  <c r="H520" i="7"/>
  <c r="I520" i="7"/>
  <c r="J520" i="7"/>
  <c r="K520" i="7"/>
  <c r="H521" i="7"/>
  <c r="I521" i="7" s="1"/>
  <c r="J521" i="7"/>
  <c r="K521" i="7"/>
  <c r="H522" i="7"/>
  <c r="I522" i="7"/>
  <c r="J522" i="7"/>
  <c r="L522" i="7" s="1" a="1"/>
  <c r="L522" i="7" s="1"/>
  <c r="K522" i="7"/>
  <c r="H523" i="7"/>
  <c r="I523" i="7" s="1"/>
  <c r="J523" i="7"/>
  <c r="L523" i="7" s="1" a="1"/>
  <c r="L523" i="7" s="1"/>
  <c r="K523" i="7"/>
  <c r="H524" i="7"/>
  <c r="I524" i="7"/>
  <c r="J524" i="7"/>
  <c r="L524" i="7" s="1" a="1"/>
  <c r="L524" i="7" s="1"/>
  <c r="K524" i="7"/>
  <c r="H525" i="7"/>
  <c r="I525" i="7" s="1"/>
  <c r="J525" i="7"/>
  <c r="K525" i="7"/>
  <c r="H526" i="7"/>
  <c r="I526" i="7"/>
  <c r="J526" i="7"/>
  <c r="L526" i="7" s="1" a="1"/>
  <c r="L526" i="7" s="1"/>
  <c r="K526" i="7"/>
  <c r="H527" i="7"/>
  <c r="I527" i="7" s="1"/>
  <c r="J527" i="7"/>
  <c r="K527" i="7"/>
  <c r="H528" i="7"/>
  <c r="I528" i="7"/>
  <c r="J528" i="7"/>
  <c r="L528" i="7" s="1" a="1"/>
  <c r="L528" i="7" s="1"/>
  <c r="K528" i="7"/>
  <c r="H529" i="7"/>
  <c r="I529" i="7"/>
  <c r="J529" i="7"/>
  <c r="L529" i="7" s="1" a="1"/>
  <c r="L529" i="7" s="1"/>
  <c r="K529" i="7"/>
  <c r="H530" i="7"/>
  <c r="I530" i="7"/>
  <c r="J530" i="7"/>
  <c r="K530" i="7"/>
  <c r="H531" i="7"/>
  <c r="I531" i="7" s="1"/>
  <c r="J531" i="7"/>
  <c r="K531" i="7"/>
  <c r="H532" i="7"/>
  <c r="I532" i="7"/>
  <c r="J532" i="7"/>
  <c r="L532" i="7" s="1" a="1"/>
  <c r="L532" i="7" s="1"/>
  <c r="K532" i="7"/>
  <c r="H533" i="7"/>
  <c r="I533" i="7" s="1"/>
  <c r="J533" i="7"/>
  <c r="K533" i="7"/>
  <c r="H534" i="7"/>
  <c r="I534" i="7"/>
  <c r="J534" i="7"/>
  <c r="L534" i="7" s="1" a="1"/>
  <c r="L534" i="7" s="1"/>
  <c r="K534" i="7"/>
  <c r="H535" i="7"/>
  <c r="I535" i="7"/>
  <c r="J535" i="7"/>
  <c r="K535" i="7"/>
  <c r="H536" i="7"/>
  <c r="I536" i="7"/>
  <c r="J536" i="7"/>
  <c r="K536" i="7"/>
  <c r="H537" i="7"/>
  <c r="I537" i="7"/>
  <c r="J537" i="7"/>
  <c r="L537" i="7" s="1" a="1"/>
  <c r="L537" i="7" s="1"/>
  <c r="K537" i="7"/>
  <c r="H538" i="7"/>
  <c r="I538" i="7"/>
  <c r="J538" i="7"/>
  <c r="L538" i="7" s="1" a="1"/>
  <c r="L538" i="7" s="1"/>
  <c r="K538" i="7"/>
  <c r="H539" i="7"/>
  <c r="I539" i="7"/>
  <c r="J539" i="7"/>
  <c r="L539" i="7" s="1" a="1"/>
  <c r="L539" i="7" s="1"/>
  <c r="K539" i="7"/>
  <c r="H540" i="7"/>
  <c r="I540" i="7"/>
  <c r="J540" i="7"/>
  <c r="L540" i="7" s="1" a="1"/>
  <c r="L540" i="7" s="1"/>
  <c r="K540" i="7"/>
  <c r="H541" i="7"/>
  <c r="I541" i="7"/>
  <c r="J541" i="7"/>
  <c r="L541" i="7" s="1" a="1"/>
  <c r="L541" i="7" s="1"/>
  <c r="K541" i="7"/>
  <c r="H542" i="7"/>
  <c r="I542" i="7"/>
  <c r="J542" i="7"/>
  <c r="K542" i="7"/>
  <c r="H543" i="7"/>
  <c r="I543" i="7"/>
  <c r="J543" i="7"/>
  <c r="K543" i="7"/>
  <c r="H544" i="7"/>
  <c r="I544" i="7"/>
  <c r="J544" i="7"/>
  <c r="L544" i="7" s="1" a="1"/>
  <c r="L544" i="7" s="1"/>
  <c r="K544" i="7"/>
  <c r="H545" i="7"/>
  <c r="I545" i="7" s="1"/>
  <c r="J545" i="7"/>
  <c r="K545" i="7"/>
  <c r="H546" i="7"/>
  <c r="I546" i="7"/>
  <c r="J546" i="7"/>
  <c r="L546" i="7" s="1" a="1"/>
  <c r="L546" i="7" s="1"/>
  <c r="K546" i="7"/>
  <c r="H547" i="7"/>
  <c r="I547" i="7" s="1"/>
  <c r="J547" i="7"/>
  <c r="L547" i="7" s="1" a="1"/>
  <c r="L547" i="7" s="1"/>
  <c r="K547" i="7"/>
  <c r="H548" i="7"/>
  <c r="I548" i="7"/>
  <c r="J548" i="7"/>
  <c r="L548" i="7" s="1" a="1"/>
  <c r="L548" i="7" s="1"/>
  <c r="K548" i="7"/>
  <c r="H549" i="7"/>
  <c r="I549" i="7" s="1"/>
  <c r="J549" i="7"/>
  <c r="K549" i="7"/>
  <c r="H550" i="7"/>
  <c r="I550" i="7"/>
  <c r="J550" i="7"/>
  <c r="L550" i="7" s="1" a="1"/>
  <c r="L550" i="7" s="1"/>
  <c r="K550" i="7"/>
  <c r="H551" i="7"/>
  <c r="I551" i="7"/>
  <c r="J551" i="7"/>
  <c r="L551" i="7" s="1" a="1"/>
  <c r="L551" i="7" s="1"/>
  <c r="K551" i="7"/>
  <c r="H552" i="7"/>
  <c r="I552" i="7"/>
  <c r="J552" i="7"/>
  <c r="L552" i="7" s="1" a="1"/>
  <c r="L552" i="7" s="1"/>
  <c r="K552" i="7"/>
  <c r="H553" i="7"/>
  <c r="I553" i="7"/>
  <c r="J553" i="7"/>
  <c r="K553" i="7"/>
  <c r="H554" i="7"/>
  <c r="I554" i="7"/>
  <c r="J554" i="7"/>
  <c r="K554" i="7"/>
  <c r="H555" i="7"/>
  <c r="I555" i="7"/>
  <c r="J555" i="7"/>
  <c r="L555" i="7" s="1" a="1"/>
  <c r="L555" i="7" s="1"/>
  <c r="K555" i="7"/>
  <c r="H556" i="7"/>
  <c r="I556" i="7"/>
  <c r="J556" i="7"/>
  <c r="L556" i="7" s="1" a="1"/>
  <c r="L556" i="7" s="1"/>
  <c r="K556" i="7"/>
  <c r="H557" i="7"/>
  <c r="I557" i="7"/>
  <c r="J557" i="7"/>
  <c r="L557" i="7" s="1" a="1"/>
  <c r="L557" i="7" s="1"/>
  <c r="K557" i="7"/>
  <c r="H558" i="7"/>
  <c r="I558" i="7"/>
  <c r="J558" i="7"/>
  <c r="K558" i="7"/>
  <c r="H559" i="7"/>
  <c r="I559" i="7" s="1"/>
  <c r="J559" i="7"/>
  <c r="L559" i="7" s="1" a="1"/>
  <c r="L559" i="7" s="1"/>
  <c r="K559" i="7"/>
  <c r="H560" i="7"/>
  <c r="I560" i="7"/>
  <c r="J560" i="7"/>
  <c r="L560" i="7" s="1" a="1"/>
  <c r="L560" i="7" s="1"/>
  <c r="K560" i="7"/>
  <c r="H561" i="7"/>
  <c r="I561" i="7"/>
  <c r="J561" i="7"/>
  <c r="K561" i="7"/>
  <c r="H562" i="7"/>
  <c r="I562" i="7"/>
  <c r="J562" i="7"/>
  <c r="L562" i="7" s="1" a="1"/>
  <c r="L562" i="7" s="1"/>
  <c r="K562" i="7"/>
  <c r="H563" i="7"/>
  <c r="I563" i="7" s="1"/>
  <c r="J563" i="7"/>
  <c r="L563" i="7" s="1" a="1"/>
  <c r="L563" i="7" s="1"/>
  <c r="K563" i="7"/>
  <c r="H564" i="7"/>
  <c r="I564" i="7"/>
  <c r="J564" i="7"/>
  <c r="L564" i="7" s="1" a="1"/>
  <c r="L564" i="7" s="1"/>
  <c r="K564" i="7"/>
  <c r="H565" i="7"/>
  <c r="I565" i="7"/>
  <c r="J565" i="7"/>
  <c r="L565" i="7" s="1" a="1"/>
  <c r="L565" i="7" s="1"/>
  <c r="K565" i="7"/>
  <c r="H566" i="7"/>
  <c r="I566" i="7"/>
  <c r="J566" i="7"/>
  <c r="L566" i="7" s="1" a="1"/>
  <c r="L566" i="7" s="1"/>
  <c r="K566" i="7"/>
  <c r="H567" i="7"/>
  <c r="I567" i="7" s="1"/>
  <c r="J567" i="7"/>
  <c r="L567" i="7" s="1" a="1"/>
  <c r="L567" i="7" s="1"/>
  <c r="K567" i="7"/>
  <c r="H568" i="7"/>
  <c r="I568" i="7"/>
  <c r="J568" i="7"/>
  <c r="L568" i="7" s="1" a="1"/>
  <c r="L568" i="7" s="1"/>
  <c r="K568" i="7"/>
  <c r="H569" i="7"/>
  <c r="I569" i="7"/>
  <c r="J569" i="7"/>
  <c r="K569" i="7"/>
  <c r="H570" i="7"/>
  <c r="I570" i="7"/>
  <c r="J570" i="7"/>
  <c r="L570" i="7" s="1" a="1"/>
  <c r="L570" i="7" s="1"/>
  <c r="K570" i="7"/>
  <c r="H571" i="7"/>
  <c r="I571" i="7"/>
  <c r="J571" i="7"/>
  <c r="K571" i="7"/>
  <c r="H572" i="7"/>
  <c r="I572" i="7"/>
  <c r="J572" i="7"/>
  <c r="L572" i="7" s="1" a="1"/>
  <c r="L572" i="7" s="1"/>
  <c r="K572" i="7"/>
  <c r="H573" i="7"/>
  <c r="I573" i="7" s="1"/>
  <c r="J573" i="7"/>
  <c r="L573" i="7" s="1" a="1"/>
  <c r="L573" i="7" s="1"/>
  <c r="K573" i="7"/>
  <c r="H574" i="7"/>
  <c r="I574" i="7"/>
  <c r="J574" i="7"/>
  <c r="K574" i="7"/>
  <c r="H575" i="7"/>
  <c r="I575" i="7" s="1"/>
  <c r="J575" i="7"/>
  <c r="L575" i="7" s="1" a="1"/>
  <c r="L575" i="7" s="1"/>
  <c r="K575" i="7"/>
  <c r="H576" i="7"/>
  <c r="I576" i="7"/>
  <c r="J576" i="7"/>
  <c r="L576" i="7" s="1" a="1"/>
  <c r="L576" i="7" s="1"/>
  <c r="K576" i="7"/>
  <c r="H577" i="7"/>
  <c r="I577" i="7"/>
  <c r="J577" i="7"/>
  <c r="L577" i="7" s="1" a="1"/>
  <c r="L577" i="7" s="1"/>
  <c r="K577" i="7"/>
  <c r="H578" i="7"/>
  <c r="I578" i="7"/>
  <c r="J578" i="7"/>
  <c r="K578" i="7"/>
  <c r="H579" i="7"/>
  <c r="I579" i="7"/>
  <c r="J579" i="7"/>
  <c r="K579" i="7"/>
  <c r="H580" i="7"/>
  <c r="I580" i="7"/>
  <c r="J580" i="7"/>
  <c r="L580" i="7" s="1" a="1"/>
  <c r="L580" i="7" s="1"/>
  <c r="K580" i="7"/>
  <c r="H581" i="7"/>
  <c r="I581" i="7"/>
  <c r="J581" i="7"/>
  <c r="L581" i="7" s="1" a="1"/>
  <c r="L581" i="7" s="1"/>
  <c r="K581" i="7"/>
  <c r="H582" i="7"/>
  <c r="I582" i="7"/>
  <c r="J582" i="7"/>
  <c r="L582" i="7" s="1" a="1"/>
  <c r="L582" i="7" s="1"/>
  <c r="K582" i="7"/>
  <c r="H583" i="7"/>
  <c r="I583" i="7"/>
  <c r="J583" i="7"/>
  <c r="L583" i="7" s="1" a="1"/>
  <c r="L583" i="7" s="1"/>
  <c r="K583" i="7"/>
  <c r="H584" i="7"/>
  <c r="I584" i="7"/>
  <c r="J584" i="7"/>
  <c r="L584" i="7" s="1" a="1"/>
  <c r="L584" i="7" s="1"/>
  <c r="K584" i="7"/>
  <c r="H585" i="7"/>
  <c r="I585" i="7" s="1"/>
  <c r="J585" i="7"/>
  <c r="L585" i="7" s="1" a="1"/>
  <c r="L585" i="7" s="1"/>
  <c r="K585" i="7"/>
  <c r="H586" i="7"/>
  <c r="I586" i="7"/>
  <c r="J586" i="7"/>
  <c r="L586" i="7" s="1" a="1"/>
  <c r="L586" i="7" s="1"/>
  <c r="K586" i="7"/>
  <c r="H587" i="7"/>
  <c r="I587" i="7"/>
  <c r="J587" i="7"/>
  <c r="L587" i="7" s="1" a="1"/>
  <c r="L587" i="7" s="1"/>
  <c r="K587" i="7"/>
  <c r="H588" i="7"/>
  <c r="I588" i="7"/>
  <c r="J588" i="7"/>
  <c r="L588" i="7" s="1" a="1"/>
  <c r="L588" i="7" s="1"/>
  <c r="K588" i="7"/>
  <c r="H589" i="7"/>
  <c r="I589" i="7"/>
  <c r="J589" i="7"/>
  <c r="L589" i="7" s="1" a="1"/>
  <c r="L589" i="7" s="1"/>
  <c r="K589" i="7"/>
  <c r="H590" i="7"/>
  <c r="I590" i="7"/>
  <c r="J590" i="7"/>
  <c r="L590" i="7" s="1" a="1"/>
  <c r="L590" i="7" s="1"/>
  <c r="K590" i="7"/>
  <c r="H591" i="7"/>
  <c r="I591" i="7" s="1"/>
  <c r="J591" i="7"/>
  <c r="L591" i="7" s="1" a="1"/>
  <c r="L591" i="7" s="1"/>
  <c r="K591" i="7"/>
  <c r="H592" i="7"/>
  <c r="I592" i="7"/>
  <c r="J592" i="7"/>
  <c r="L592" i="7" s="1" a="1"/>
  <c r="L592" i="7" s="1"/>
  <c r="K592" i="7"/>
  <c r="H593" i="7"/>
  <c r="I593" i="7" s="1"/>
  <c r="J593" i="7"/>
  <c r="L593" i="7" s="1" a="1"/>
  <c r="L593" i="7" s="1"/>
  <c r="K593" i="7"/>
  <c r="H594" i="7"/>
  <c r="I594" i="7"/>
  <c r="J594" i="7"/>
  <c r="K594" i="7"/>
  <c r="H595" i="7"/>
  <c r="I595" i="7" s="1"/>
  <c r="J595" i="7"/>
  <c r="K595" i="7"/>
  <c r="H596" i="7"/>
  <c r="I596" i="7"/>
  <c r="J596" i="7"/>
  <c r="L596" i="7" s="1" a="1"/>
  <c r="L596" i="7" s="1"/>
  <c r="K596" i="7"/>
  <c r="H597" i="7"/>
  <c r="I597" i="7" s="1"/>
  <c r="J597" i="7"/>
  <c r="K597" i="7"/>
  <c r="H598" i="7"/>
  <c r="I598" i="7"/>
  <c r="J598" i="7"/>
  <c r="L598" i="7" s="1" a="1"/>
  <c r="L598" i="7" s="1"/>
  <c r="K598" i="7"/>
  <c r="H599" i="7"/>
  <c r="I599" i="7" s="1"/>
  <c r="J599" i="7"/>
  <c r="K599" i="7"/>
  <c r="H600" i="7"/>
  <c r="I600" i="7"/>
  <c r="J600" i="7"/>
  <c r="L600" i="7" s="1" a="1"/>
  <c r="L600" i="7" s="1"/>
  <c r="K600" i="7"/>
  <c r="H601" i="7"/>
  <c r="I601" i="7"/>
  <c r="J601" i="7"/>
  <c r="L601" i="7" s="1" a="1"/>
  <c r="L601" i="7" s="1"/>
  <c r="K601" i="7"/>
  <c r="H602" i="7"/>
  <c r="I602" i="7"/>
  <c r="J602" i="7"/>
  <c r="K602" i="7"/>
  <c r="H603" i="7"/>
  <c r="I603" i="7"/>
  <c r="J603" i="7"/>
  <c r="L603" i="7" s="1" a="1"/>
  <c r="L603" i="7" s="1"/>
  <c r="K603" i="7"/>
  <c r="H604" i="7"/>
  <c r="I604" i="7"/>
  <c r="J604" i="7"/>
  <c r="L604" i="7" s="1" a="1"/>
  <c r="L604" i="7" s="1"/>
  <c r="K604" i="7"/>
  <c r="H605" i="7"/>
  <c r="I605" i="7" s="1"/>
  <c r="J605" i="7"/>
  <c r="K605" i="7"/>
  <c r="H606" i="7"/>
  <c r="I606" i="7"/>
  <c r="J606" i="7"/>
  <c r="L606" i="7" s="1" a="1"/>
  <c r="L606" i="7" s="1"/>
  <c r="K606" i="7"/>
  <c r="H607" i="7"/>
  <c r="I607" i="7" s="1"/>
  <c r="J607" i="7"/>
  <c r="K607" i="7"/>
  <c r="H608" i="7"/>
  <c r="I608" i="7"/>
  <c r="J608" i="7"/>
  <c r="L608" i="7" s="1" a="1"/>
  <c r="L608" i="7" s="1"/>
  <c r="K608" i="7"/>
  <c r="H609" i="7"/>
  <c r="I609" i="7" s="1"/>
  <c r="J609" i="7"/>
  <c r="L609" i="7" s="1" a="1"/>
  <c r="L609" i="7" s="1"/>
  <c r="K609" i="7"/>
  <c r="H610" i="7"/>
  <c r="I610" i="7"/>
  <c r="J610" i="7"/>
  <c r="L610" i="7" s="1" a="1"/>
  <c r="L610" i="7" s="1"/>
  <c r="K610" i="7"/>
  <c r="H611" i="7"/>
  <c r="I611" i="7"/>
  <c r="J611" i="7"/>
  <c r="L611" i="7" s="1" a="1"/>
  <c r="L611" i="7" s="1"/>
  <c r="K611" i="7"/>
  <c r="H612" i="7"/>
  <c r="I612" i="7"/>
  <c r="J612" i="7"/>
  <c r="L612" i="7" s="1" a="1"/>
  <c r="L612" i="7" s="1"/>
  <c r="K612" i="7"/>
  <c r="H613" i="7"/>
  <c r="I613" i="7"/>
  <c r="J613" i="7"/>
  <c r="K613" i="7"/>
  <c r="H614" i="7"/>
  <c r="I614" i="7"/>
  <c r="J614" i="7"/>
  <c r="K614" i="7"/>
  <c r="H615" i="7"/>
  <c r="I615" i="7"/>
  <c r="J615" i="7"/>
  <c r="L615" i="7" s="1" a="1"/>
  <c r="L615" i="7" s="1"/>
  <c r="K615" i="7"/>
  <c r="H616" i="7"/>
  <c r="I616" i="7"/>
  <c r="J616" i="7"/>
  <c r="L616" i="7" s="1" a="1"/>
  <c r="L616" i="7" s="1"/>
  <c r="K616" i="7"/>
  <c r="H617" i="7"/>
  <c r="I617" i="7" s="1"/>
  <c r="J617" i="7"/>
  <c r="L617" i="7" s="1" a="1"/>
  <c r="L617" i="7" s="1"/>
  <c r="K617" i="7"/>
  <c r="H618" i="7"/>
  <c r="I618" i="7"/>
  <c r="J618" i="7"/>
  <c r="L618" i="7" s="1" a="1"/>
  <c r="L618" i="7" s="1"/>
  <c r="K618" i="7"/>
  <c r="H619" i="7"/>
  <c r="I619" i="7"/>
  <c r="J619" i="7"/>
  <c r="L619" i="7" s="1" a="1"/>
  <c r="L619" i="7" s="1"/>
  <c r="K619" i="7"/>
  <c r="H620" i="7"/>
  <c r="I620" i="7"/>
  <c r="J620" i="7"/>
  <c r="L620" i="7" s="1" a="1"/>
  <c r="L620" i="7" s="1"/>
  <c r="K620" i="7"/>
  <c r="H621" i="7"/>
  <c r="I621" i="7"/>
  <c r="J621" i="7"/>
  <c r="K621" i="7"/>
  <c r="H622" i="7"/>
  <c r="I622" i="7"/>
  <c r="J622" i="7"/>
  <c r="K622" i="7"/>
  <c r="H623" i="7"/>
  <c r="I623" i="7"/>
  <c r="J623" i="7"/>
  <c r="L623" i="7" s="1" a="1"/>
  <c r="L623" i="7" s="1"/>
  <c r="K623" i="7"/>
  <c r="H624" i="7"/>
  <c r="I624" i="7"/>
  <c r="J624" i="7"/>
  <c r="L624" i="7" s="1" a="1"/>
  <c r="L624" i="7" s="1"/>
  <c r="K624" i="7"/>
  <c r="H625" i="7"/>
  <c r="I625" i="7"/>
  <c r="J625" i="7"/>
  <c r="L625" i="7" s="1" a="1"/>
  <c r="L625" i="7" s="1"/>
  <c r="K625" i="7"/>
  <c r="H626" i="7"/>
  <c r="I626" i="7"/>
  <c r="J626" i="7"/>
  <c r="K626" i="7"/>
  <c r="H627" i="7"/>
  <c r="I627" i="7"/>
  <c r="J627" i="7"/>
  <c r="L627" i="7" s="1" a="1"/>
  <c r="L627" i="7" s="1"/>
  <c r="K627" i="7"/>
  <c r="H628" i="7"/>
  <c r="I628" i="7"/>
  <c r="J628" i="7"/>
  <c r="L628" i="7" s="1" a="1"/>
  <c r="L628" i="7" s="1"/>
  <c r="K628" i="7"/>
  <c r="H629" i="7"/>
  <c r="I629" i="7"/>
  <c r="J629" i="7"/>
  <c r="L629" i="7" s="1" a="1"/>
  <c r="L629" i="7" s="1"/>
  <c r="K629" i="7"/>
  <c r="H630" i="7"/>
  <c r="I630" i="7"/>
  <c r="J630" i="7"/>
  <c r="L630" i="7" s="1" a="1"/>
  <c r="L630" i="7" s="1"/>
  <c r="K630" i="7"/>
  <c r="H631" i="7"/>
  <c r="I631" i="7" s="1"/>
  <c r="J631" i="7"/>
  <c r="K631" i="7"/>
  <c r="H632" i="7"/>
  <c r="I632" i="7"/>
  <c r="J632" i="7"/>
  <c r="L632" i="7" s="1" a="1"/>
  <c r="L632" i="7" s="1"/>
  <c r="K632" i="7"/>
  <c r="H633" i="7"/>
  <c r="I633" i="7"/>
  <c r="J633" i="7"/>
  <c r="L633" i="7" s="1" a="1"/>
  <c r="L633" i="7" s="1"/>
  <c r="K633" i="7"/>
  <c r="H634" i="7"/>
  <c r="I634" i="7"/>
  <c r="J634" i="7"/>
  <c r="K634" i="7"/>
  <c r="H635" i="7"/>
  <c r="I635" i="7"/>
  <c r="J635" i="7"/>
  <c r="L635" i="7" s="1" a="1"/>
  <c r="L635" i="7" s="1"/>
  <c r="K635" i="7"/>
  <c r="H636" i="7"/>
  <c r="I636" i="7"/>
  <c r="J636" i="7"/>
  <c r="L636" i="7" s="1" a="1"/>
  <c r="L636" i="7" s="1"/>
  <c r="K636" i="7"/>
  <c r="H637" i="7"/>
  <c r="I637" i="7"/>
  <c r="J637" i="7"/>
  <c r="L637" i="7" s="1" a="1"/>
  <c r="L637" i="7" s="1"/>
  <c r="K637" i="7"/>
  <c r="H638" i="7"/>
  <c r="I638" i="7"/>
  <c r="J638" i="7"/>
  <c r="K638" i="7"/>
  <c r="H639" i="7"/>
  <c r="I639" i="7" s="1"/>
  <c r="J639" i="7"/>
  <c r="L639" i="7" s="1" a="1"/>
  <c r="L639" i="7" s="1"/>
  <c r="K639" i="7"/>
  <c r="H640" i="7"/>
  <c r="I640" i="7"/>
  <c r="J640" i="7"/>
  <c r="L640" i="7" s="1" a="1"/>
  <c r="L640" i="7" s="1"/>
  <c r="K640" i="7"/>
  <c r="H641" i="7"/>
  <c r="I641" i="7" s="1"/>
  <c r="J641" i="7"/>
  <c r="L641" i="7" s="1" a="1"/>
  <c r="L641" i="7" s="1"/>
  <c r="K641" i="7"/>
  <c r="H642" i="7"/>
  <c r="I642" i="7"/>
  <c r="J642" i="7"/>
  <c r="L642" i="7" s="1" a="1"/>
  <c r="L642" i="7" s="1"/>
  <c r="K642" i="7"/>
  <c r="H643" i="7"/>
  <c r="I643" i="7"/>
  <c r="J643" i="7"/>
  <c r="K643" i="7"/>
  <c r="H644" i="7"/>
  <c r="I644" i="7"/>
  <c r="J644" i="7"/>
  <c r="L644" i="7" s="1" a="1"/>
  <c r="L644" i="7" s="1"/>
  <c r="K644" i="7"/>
  <c r="H645" i="7"/>
  <c r="I645" i="7" s="1"/>
  <c r="J645" i="7"/>
  <c r="K645" i="7"/>
  <c r="H646" i="7"/>
  <c r="I646" i="7"/>
  <c r="J646" i="7"/>
  <c r="L646" i="7" s="1" a="1"/>
  <c r="L646" i="7" s="1"/>
  <c r="K646" i="7"/>
  <c r="H647" i="7"/>
  <c r="I647" i="7"/>
  <c r="J647" i="7"/>
  <c r="L647" i="7" s="1" a="1"/>
  <c r="L647" i="7" s="1"/>
  <c r="K647" i="7"/>
  <c r="H648" i="7"/>
  <c r="I648" i="7"/>
  <c r="J648" i="7"/>
  <c r="L648" i="7" s="1" a="1"/>
  <c r="L648" i="7" s="1"/>
  <c r="K648" i="7"/>
  <c r="H649" i="7"/>
  <c r="I649" i="7" s="1"/>
  <c r="J649" i="7"/>
  <c r="K649" i="7"/>
  <c r="H650" i="7"/>
  <c r="I650" i="7"/>
  <c r="J650" i="7"/>
  <c r="L650" i="7" s="1" a="1"/>
  <c r="L650" i="7" s="1"/>
  <c r="K650" i="7"/>
  <c r="H651" i="7"/>
  <c r="I651" i="7"/>
  <c r="J651" i="7"/>
  <c r="L651" i="7" s="1" a="1"/>
  <c r="L651" i="7" s="1"/>
  <c r="K651" i="7"/>
  <c r="H652" i="7"/>
  <c r="I652" i="7"/>
  <c r="J652" i="7"/>
  <c r="L652" i="7" s="1" a="1"/>
  <c r="L652" i="7" s="1"/>
  <c r="K652" i="7"/>
  <c r="H653" i="7"/>
  <c r="I653" i="7"/>
  <c r="J653" i="7"/>
  <c r="L653" i="7" s="1" a="1"/>
  <c r="L653" i="7" s="1"/>
  <c r="K653" i="7"/>
  <c r="H654" i="7"/>
  <c r="I654" i="7"/>
  <c r="J654" i="7"/>
  <c r="L654" i="7" s="1" a="1"/>
  <c r="L654" i="7" s="1"/>
  <c r="K654" i="7"/>
  <c r="H655" i="7"/>
  <c r="I655" i="7"/>
  <c r="J655" i="7"/>
  <c r="K655" i="7"/>
  <c r="H656" i="7"/>
  <c r="I656" i="7"/>
  <c r="J656" i="7"/>
  <c r="L656" i="7" s="1" a="1"/>
  <c r="L656" i="7" s="1"/>
  <c r="K656" i="7"/>
  <c r="H657" i="7"/>
  <c r="I657" i="7" s="1"/>
  <c r="J657" i="7"/>
  <c r="K657" i="7"/>
  <c r="H658" i="7"/>
  <c r="I658" i="7"/>
  <c r="J658" i="7"/>
  <c r="L658" i="7" s="1" a="1"/>
  <c r="L658" i="7" s="1"/>
  <c r="K658" i="7"/>
  <c r="H659" i="7"/>
  <c r="I659" i="7"/>
  <c r="J659" i="7"/>
  <c r="L659" i="7" s="1" a="1"/>
  <c r="L659" i="7" s="1"/>
  <c r="K659" i="7"/>
  <c r="H660" i="7"/>
  <c r="I660" i="7"/>
  <c r="J660" i="7"/>
  <c r="L660" i="7" s="1" a="1"/>
  <c r="L660" i="7" s="1"/>
  <c r="K660" i="7"/>
  <c r="H661" i="7"/>
  <c r="I661" i="7"/>
  <c r="J661" i="7"/>
  <c r="L661" i="7" s="1" a="1"/>
  <c r="L661" i="7" s="1"/>
  <c r="K661" i="7"/>
  <c r="H662" i="7"/>
  <c r="I662" i="7"/>
  <c r="J662" i="7"/>
  <c r="L662" i="7" s="1" a="1"/>
  <c r="L662" i="7" s="1"/>
  <c r="K662" i="7"/>
  <c r="H663" i="7"/>
  <c r="I663" i="7"/>
  <c r="J663" i="7"/>
  <c r="L663" i="7" s="1" a="1"/>
  <c r="L663" i="7" s="1"/>
  <c r="K663" i="7"/>
  <c r="H664" i="7"/>
  <c r="I664" i="7"/>
  <c r="J664" i="7"/>
  <c r="L664" i="7" s="1" a="1"/>
  <c r="L664" i="7" s="1"/>
  <c r="K664" i="7"/>
  <c r="H665" i="7"/>
  <c r="I665" i="7" s="1"/>
  <c r="J665" i="7"/>
  <c r="L665" i="7" s="1" a="1"/>
  <c r="L665" i="7" s="1"/>
  <c r="K665" i="7"/>
  <c r="H666" i="7"/>
  <c r="I666" i="7"/>
  <c r="J666" i="7"/>
  <c r="L666" i="7" s="1" a="1"/>
  <c r="L666" i="7" s="1"/>
  <c r="K666" i="7"/>
  <c r="H667" i="7"/>
  <c r="I667" i="7" s="1"/>
  <c r="J667" i="7"/>
  <c r="K667" i="7"/>
  <c r="H668" i="7"/>
  <c r="I668" i="7"/>
  <c r="J668" i="7"/>
  <c r="L668" i="7" s="1" a="1"/>
  <c r="L668" i="7" s="1"/>
  <c r="K668" i="7"/>
  <c r="H669" i="7"/>
  <c r="I669" i="7"/>
  <c r="J669" i="7"/>
  <c r="L669" i="7" s="1" a="1"/>
  <c r="L669" i="7" s="1"/>
  <c r="K669" i="7"/>
  <c r="H670" i="7"/>
  <c r="I670" i="7"/>
  <c r="J670" i="7"/>
  <c r="K670" i="7"/>
  <c r="H671" i="7"/>
  <c r="I671" i="7"/>
  <c r="J671" i="7"/>
  <c r="L671" i="7" s="1" a="1"/>
  <c r="L671" i="7" s="1"/>
  <c r="K671" i="7"/>
  <c r="H672" i="7"/>
  <c r="I672" i="7"/>
  <c r="J672" i="7"/>
  <c r="L672" i="7" s="1" a="1"/>
  <c r="L672" i="7" s="1"/>
  <c r="K672" i="7"/>
  <c r="H673" i="7"/>
  <c r="I673" i="7" s="1"/>
  <c r="J673" i="7"/>
  <c r="K673" i="7"/>
  <c r="H674" i="7"/>
  <c r="I674" i="7"/>
  <c r="J674" i="7"/>
  <c r="K674" i="7"/>
  <c r="H675" i="7"/>
  <c r="I675" i="7"/>
  <c r="J675" i="7"/>
  <c r="L675" i="7" s="1" a="1"/>
  <c r="L675" i="7" s="1"/>
  <c r="K675" i="7"/>
  <c r="H676" i="7"/>
  <c r="I676" i="7" s="1"/>
  <c r="J676" i="7"/>
  <c r="L676" i="7" s="1" a="1"/>
  <c r="L676" i="7" s="1"/>
  <c r="K676" i="7"/>
  <c r="H677" i="7"/>
  <c r="I677" i="7" s="1"/>
  <c r="J677" i="7"/>
  <c r="L677" i="7" s="1" a="1"/>
  <c r="L677" i="7" s="1"/>
  <c r="K677" i="7"/>
  <c r="H678" i="7"/>
  <c r="I678" i="7"/>
  <c r="J678" i="7"/>
  <c r="L678" i="7" s="1" a="1"/>
  <c r="L678" i="7" s="1"/>
  <c r="K678" i="7"/>
  <c r="H679" i="7"/>
  <c r="I679" i="7"/>
  <c r="J679" i="7"/>
  <c r="L679" i="7" s="1" a="1"/>
  <c r="L679" i="7" s="1"/>
  <c r="K679" i="7"/>
  <c r="H680" i="7"/>
  <c r="I680" i="7" s="1"/>
  <c r="J680" i="7"/>
  <c r="L680" i="7" s="1" a="1"/>
  <c r="L680" i="7" s="1"/>
  <c r="K680" i="7"/>
  <c r="H681" i="7"/>
  <c r="I681" i="7" s="1"/>
  <c r="J681" i="7"/>
  <c r="L681" i="7" s="1" a="1"/>
  <c r="L681" i="7" s="1"/>
  <c r="K681" i="7"/>
  <c r="H682" i="7"/>
  <c r="I682" i="7" s="1"/>
  <c r="J682" i="7"/>
  <c r="K682" i="7"/>
  <c r="H683" i="7"/>
  <c r="I683" i="7" s="1"/>
  <c r="J683" i="7"/>
  <c r="K683" i="7"/>
  <c r="H684" i="7"/>
  <c r="I684" i="7" s="1"/>
  <c r="J684" i="7"/>
  <c r="L684" i="7" s="1" a="1"/>
  <c r="L684" i="7" s="1"/>
  <c r="K684" i="7"/>
  <c r="H685" i="7"/>
  <c r="I685" i="7"/>
  <c r="J685" i="7"/>
  <c r="L685" i="7" s="1" a="1"/>
  <c r="L685" i="7" s="1"/>
  <c r="K685" i="7"/>
  <c r="H686" i="7"/>
  <c r="I686" i="7" s="1"/>
  <c r="J686" i="7"/>
  <c r="K686" i="7"/>
  <c r="H687" i="7"/>
  <c r="I687" i="7"/>
  <c r="J687" i="7"/>
  <c r="K687" i="7"/>
  <c r="H688" i="7"/>
  <c r="I688" i="7" s="1"/>
  <c r="J688" i="7"/>
  <c r="L688" i="7" s="1" a="1"/>
  <c r="L688" i="7" s="1"/>
  <c r="K688" i="7"/>
  <c r="H689" i="7"/>
  <c r="I689" i="7" s="1"/>
  <c r="J689" i="7"/>
  <c r="K689" i="7"/>
  <c r="H690" i="7"/>
  <c r="I690" i="7" s="1"/>
  <c r="J690" i="7"/>
  <c r="L690" i="7" s="1" a="1"/>
  <c r="L690" i="7" s="1"/>
  <c r="K690" i="7"/>
  <c r="H691" i="7"/>
  <c r="I691" i="7"/>
  <c r="J691" i="7"/>
  <c r="K691" i="7"/>
  <c r="H692" i="7"/>
  <c r="I692" i="7" s="1"/>
  <c r="J692" i="7"/>
  <c r="L692" i="7" s="1" a="1"/>
  <c r="L692" i="7" s="1"/>
  <c r="K692" i="7"/>
  <c r="H693" i="7"/>
  <c r="I693" i="7"/>
  <c r="J693" i="7"/>
  <c r="L693" i="7" s="1" a="1"/>
  <c r="L693" i="7" s="1"/>
  <c r="K693" i="7"/>
  <c r="H694" i="7"/>
  <c r="I694" i="7" s="1"/>
  <c r="J694" i="7"/>
  <c r="L694" i="7" s="1" a="1"/>
  <c r="L694" i="7" s="1"/>
  <c r="K694" i="7"/>
  <c r="H695" i="7"/>
  <c r="I695" i="7"/>
  <c r="J695" i="7"/>
  <c r="L695" i="7" s="1" a="1"/>
  <c r="L695" i="7" s="1"/>
  <c r="K695" i="7"/>
  <c r="H696" i="7"/>
  <c r="I696" i="7" s="1"/>
  <c r="J696" i="7"/>
  <c r="L696" i="7" s="1" a="1"/>
  <c r="L696" i="7" s="1"/>
  <c r="K696" i="7"/>
  <c r="H697" i="7"/>
  <c r="I697" i="7" s="1"/>
  <c r="J697" i="7"/>
  <c r="K697" i="7"/>
  <c r="H698" i="7"/>
  <c r="I698" i="7"/>
  <c r="J698" i="7"/>
  <c r="K698" i="7"/>
  <c r="H699" i="7"/>
  <c r="I699" i="7" s="1"/>
  <c r="J699" i="7"/>
  <c r="K699" i="7"/>
  <c r="H700" i="7"/>
  <c r="I700" i="7" s="1"/>
  <c r="J700" i="7"/>
  <c r="K700" i="7"/>
  <c r="H701" i="7"/>
  <c r="I701" i="7"/>
  <c r="J701" i="7"/>
  <c r="K701" i="7"/>
  <c r="H702" i="7"/>
  <c r="I702" i="7"/>
  <c r="J702" i="7"/>
  <c r="L702" i="7" s="1" a="1"/>
  <c r="L702" i="7" s="1"/>
  <c r="K702" i="7"/>
  <c r="H703" i="7"/>
  <c r="I703" i="7"/>
  <c r="J703" i="7"/>
  <c r="L703" i="7" s="1" a="1"/>
  <c r="L703" i="7" s="1"/>
  <c r="K703" i="7"/>
  <c r="H704" i="7"/>
  <c r="I704" i="7"/>
  <c r="J704" i="7"/>
  <c r="L704" i="7" s="1" a="1"/>
  <c r="L704" i="7" s="1"/>
  <c r="K704" i="7"/>
  <c r="H705" i="7"/>
  <c r="I705" i="7" s="1"/>
  <c r="J705" i="7"/>
  <c r="K705" i="7"/>
  <c r="H706" i="7"/>
  <c r="I706" i="7" s="1"/>
  <c r="J706" i="7"/>
  <c r="K706" i="7"/>
  <c r="H707" i="7"/>
  <c r="I707" i="7" s="1"/>
  <c r="J707" i="7"/>
  <c r="L707" i="7" s="1" a="1"/>
  <c r="L707" i="7" s="1"/>
  <c r="K707" i="7"/>
  <c r="H708" i="7"/>
  <c r="I708" i="7"/>
  <c r="J708" i="7"/>
  <c r="K708" i="7"/>
  <c r="H709" i="7"/>
  <c r="I709" i="7"/>
  <c r="J709" i="7"/>
  <c r="L709" i="7" s="1" a="1"/>
  <c r="L709" i="7" s="1"/>
  <c r="K709" i="7"/>
  <c r="H710" i="7"/>
  <c r="I710" i="7"/>
  <c r="J710" i="7"/>
  <c r="K710" i="7"/>
  <c r="H711" i="7"/>
  <c r="I711" i="7"/>
  <c r="J711" i="7"/>
  <c r="L711" i="7" s="1" a="1"/>
  <c r="L711" i="7" s="1"/>
  <c r="K711" i="7"/>
  <c r="H712" i="7"/>
  <c r="I712" i="7"/>
  <c r="J712" i="7"/>
  <c r="L712" i="7" s="1" a="1"/>
  <c r="L712" i="7" s="1"/>
  <c r="K712" i="7"/>
  <c r="H713" i="7"/>
  <c r="I713" i="7"/>
  <c r="J713" i="7"/>
  <c r="L713" i="7" s="1" a="1"/>
  <c r="L713" i="7" s="1"/>
  <c r="K713" i="7"/>
  <c r="H714" i="7"/>
  <c r="I714" i="7"/>
  <c r="J714" i="7"/>
  <c r="K714" i="7"/>
  <c r="H715" i="7"/>
  <c r="I715" i="7" s="1"/>
  <c r="J715" i="7"/>
  <c r="K715" i="7"/>
  <c r="H716" i="7"/>
  <c r="I716" i="7"/>
  <c r="J716" i="7"/>
  <c r="L716" i="7" s="1" a="1"/>
  <c r="L716" i="7" s="1"/>
  <c r="K716" i="7"/>
  <c r="H717" i="7"/>
  <c r="I717" i="7" s="1"/>
  <c r="J717" i="7"/>
  <c r="L717" i="7" s="1" a="1"/>
  <c r="L717" i="7" s="1"/>
  <c r="K717" i="7"/>
  <c r="H718" i="7"/>
  <c r="I718" i="7"/>
  <c r="J718" i="7"/>
  <c r="L718" i="7" s="1" a="1"/>
  <c r="L718" i="7" s="1"/>
  <c r="K718" i="7"/>
  <c r="H719" i="7"/>
  <c r="I719" i="7" s="1"/>
  <c r="J719" i="7"/>
  <c r="K719" i="7"/>
  <c r="H720" i="7"/>
  <c r="I720" i="7" s="1"/>
  <c r="J720" i="7"/>
  <c r="K720" i="7"/>
  <c r="H721" i="7"/>
  <c r="I721" i="7" s="1"/>
  <c r="J721" i="7"/>
  <c r="L721" i="7" s="1" a="1"/>
  <c r="L721" i="7" s="1"/>
  <c r="K721" i="7"/>
  <c r="H722" i="7"/>
  <c r="I722" i="7"/>
  <c r="J722" i="7"/>
  <c r="K722" i="7"/>
  <c r="H723" i="7"/>
  <c r="I723" i="7" s="1"/>
  <c r="J723" i="7"/>
  <c r="L723" i="7" s="1" a="1"/>
  <c r="L723" i="7" s="1"/>
  <c r="K723" i="7"/>
  <c r="H724" i="7"/>
  <c r="I724" i="7"/>
  <c r="J724" i="7"/>
  <c r="L724" i="7" s="1" a="1"/>
  <c r="L724" i="7" s="1"/>
  <c r="K724" i="7"/>
  <c r="H725" i="7"/>
  <c r="I725" i="7"/>
  <c r="J725" i="7"/>
  <c r="K725" i="7"/>
  <c r="H726" i="7"/>
  <c r="I726" i="7" s="1"/>
  <c r="J726" i="7"/>
  <c r="K726" i="7"/>
  <c r="H727" i="7"/>
  <c r="I727" i="7"/>
  <c r="J727" i="7"/>
  <c r="L727" i="7" s="1" a="1"/>
  <c r="L727" i="7" s="1"/>
  <c r="K727" i="7"/>
  <c r="H728" i="7"/>
  <c r="I728" i="7" s="1"/>
  <c r="J728" i="7"/>
  <c r="L728" i="7" s="1" a="1"/>
  <c r="L728" i="7" s="1"/>
  <c r="K728" i="7"/>
  <c r="H729" i="7"/>
  <c r="I729" i="7"/>
  <c r="J729" i="7"/>
  <c r="K729" i="7"/>
  <c r="H730" i="7"/>
  <c r="I730" i="7"/>
  <c r="J730" i="7"/>
  <c r="L730" i="7" s="1" a="1"/>
  <c r="L730" i="7" s="1"/>
  <c r="K730" i="7"/>
  <c r="H731" i="7"/>
  <c r="I731" i="7" s="1"/>
  <c r="J731" i="7"/>
  <c r="L731" i="7" s="1" a="1"/>
  <c r="L731" i="7" s="1"/>
  <c r="K731" i="7"/>
  <c r="H732" i="7"/>
  <c r="I732" i="7"/>
  <c r="J732" i="7"/>
  <c r="L732" i="7" s="1" a="1"/>
  <c r="L732" i="7" s="1"/>
  <c r="K732" i="7"/>
  <c r="H733" i="7"/>
  <c r="I733" i="7"/>
  <c r="J733" i="7"/>
  <c r="K733" i="7"/>
  <c r="H734" i="7"/>
  <c r="I734" i="7"/>
  <c r="J734" i="7"/>
  <c r="L734" i="7" s="1" a="1"/>
  <c r="L734" i="7" s="1"/>
  <c r="K734" i="7"/>
  <c r="H735" i="7"/>
  <c r="I735" i="7" s="1"/>
  <c r="J735" i="7"/>
  <c r="K735" i="7"/>
  <c r="H736" i="7"/>
  <c r="I736" i="7"/>
  <c r="J736" i="7"/>
  <c r="K736" i="7"/>
  <c r="H737" i="7"/>
  <c r="I737" i="7"/>
  <c r="J737" i="7"/>
  <c r="K737" i="7"/>
  <c r="H738" i="7"/>
  <c r="I738" i="7" s="1"/>
  <c r="J738" i="7"/>
  <c r="K738" i="7"/>
  <c r="H739" i="7"/>
  <c r="I739" i="7" s="1"/>
  <c r="J739" i="7"/>
  <c r="L739" i="7" s="1" a="1"/>
  <c r="L739" i="7" s="1"/>
  <c r="K739" i="7"/>
  <c r="H740" i="7"/>
  <c r="I740" i="7"/>
  <c r="J740" i="7"/>
  <c r="L740" i="7" s="1" a="1"/>
  <c r="L740" i="7" s="1"/>
  <c r="K740" i="7"/>
  <c r="H741" i="7"/>
  <c r="I741" i="7" s="1"/>
  <c r="J741" i="7"/>
  <c r="K741" i="7"/>
  <c r="H742" i="7"/>
  <c r="I742" i="7" s="1"/>
  <c r="J742" i="7"/>
  <c r="K742" i="7"/>
  <c r="H743" i="7"/>
  <c r="I743" i="7"/>
  <c r="J743" i="7"/>
  <c r="L743" i="7" s="1" a="1"/>
  <c r="L743" i="7" s="1"/>
  <c r="K743" i="7"/>
  <c r="H744" i="7"/>
  <c r="I744" i="7"/>
  <c r="J744" i="7"/>
  <c r="L744" i="7" s="1" a="1"/>
  <c r="L744" i="7" s="1"/>
  <c r="K744" i="7"/>
  <c r="H745" i="7"/>
  <c r="I745" i="7"/>
  <c r="J745" i="7"/>
  <c r="K745" i="7"/>
  <c r="H746" i="7"/>
  <c r="I746" i="7" s="1"/>
  <c r="J746" i="7"/>
  <c r="K746" i="7"/>
  <c r="H747" i="7"/>
  <c r="I747" i="7"/>
  <c r="J747" i="7"/>
  <c r="L747" i="7" s="1" a="1"/>
  <c r="L747" i="7" s="1"/>
  <c r="K747" i="7"/>
  <c r="H748" i="7"/>
  <c r="I748" i="7"/>
  <c r="J748" i="7"/>
  <c r="K748" i="7"/>
  <c r="H749" i="7"/>
  <c r="I749" i="7"/>
  <c r="J749" i="7"/>
  <c r="K749" i="7"/>
  <c r="H750" i="7"/>
  <c r="I750" i="7" s="1"/>
  <c r="J750" i="7"/>
  <c r="K750" i="7"/>
  <c r="H751" i="7"/>
  <c r="I751" i="7" s="1"/>
  <c r="J751" i="7"/>
  <c r="K751" i="7"/>
  <c r="H752" i="7"/>
  <c r="I752" i="7"/>
  <c r="J752" i="7"/>
  <c r="L752" i="7" s="1" a="1"/>
  <c r="L752" i="7" s="1"/>
  <c r="K752" i="7"/>
  <c r="H753" i="7"/>
  <c r="I753" i="7"/>
  <c r="J753" i="7"/>
  <c r="L753" i="7" s="1" a="1"/>
  <c r="L753" i="7" s="1"/>
  <c r="K753" i="7"/>
  <c r="H754" i="7"/>
  <c r="I754" i="7" s="1"/>
  <c r="J754" i="7"/>
  <c r="K754" i="7"/>
  <c r="H755" i="7"/>
  <c r="I755" i="7" s="1"/>
  <c r="J755" i="7"/>
  <c r="L755" i="7" s="1" a="1"/>
  <c r="L755" i="7" s="1"/>
  <c r="K755" i="7"/>
  <c r="H756" i="7"/>
  <c r="I756" i="7" s="1"/>
  <c r="J756" i="7"/>
  <c r="K756" i="7"/>
  <c r="H757" i="7"/>
  <c r="I757" i="7"/>
  <c r="J757" i="7"/>
  <c r="K757" i="7"/>
  <c r="H758" i="7"/>
  <c r="I758" i="7" s="1"/>
  <c r="J758" i="7"/>
  <c r="K758" i="7"/>
  <c r="H759" i="7"/>
  <c r="I759" i="7" s="1"/>
  <c r="J759" i="7"/>
  <c r="K759" i="7"/>
  <c r="H760" i="7"/>
  <c r="I760" i="7"/>
  <c r="J760" i="7"/>
  <c r="L760" i="7" s="1" a="1"/>
  <c r="L760" i="7" s="1"/>
  <c r="K760" i="7"/>
  <c r="H761" i="7"/>
  <c r="I761" i="7"/>
  <c r="J761" i="7"/>
  <c r="K761" i="7"/>
  <c r="H762" i="7"/>
  <c r="I762" i="7"/>
  <c r="J762" i="7"/>
  <c r="L762" i="7" s="1" a="1"/>
  <c r="L762" i="7" s="1"/>
  <c r="K762" i="7"/>
  <c r="H763" i="7"/>
  <c r="I763" i="7" s="1"/>
  <c r="J763" i="7"/>
  <c r="K763" i="7"/>
  <c r="H764" i="7"/>
  <c r="I764" i="7"/>
  <c r="J764" i="7"/>
  <c r="L764" i="7" s="1" a="1"/>
  <c r="L764" i="7" s="1"/>
  <c r="K764" i="7"/>
  <c r="H765" i="7"/>
  <c r="I765" i="7"/>
  <c r="J765" i="7"/>
  <c r="K765" i="7"/>
  <c r="H766" i="7"/>
  <c r="I766" i="7" s="1"/>
  <c r="J766" i="7"/>
  <c r="K766" i="7"/>
  <c r="H767" i="7"/>
  <c r="I767" i="7" s="1"/>
  <c r="J767" i="7"/>
  <c r="K767" i="7"/>
  <c r="H768" i="7"/>
  <c r="I768" i="7"/>
  <c r="J768" i="7"/>
  <c r="L768" i="7" s="1" a="1"/>
  <c r="L768" i="7" s="1"/>
  <c r="K768" i="7"/>
  <c r="H769" i="7"/>
  <c r="I769" i="7" s="1"/>
  <c r="J769" i="7"/>
  <c r="K769" i="7"/>
  <c r="H770" i="7"/>
  <c r="I770" i="7" s="1"/>
  <c r="J770" i="7"/>
  <c r="K770" i="7"/>
  <c r="H771" i="7"/>
  <c r="I771" i="7" s="1"/>
  <c r="J771" i="7"/>
  <c r="L771" i="7" s="1" a="1"/>
  <c r="L771" i="7" s="1"/>
  <c r="K771" i="7"/>
  <c r="H772" i="7"/>
  <c r="I772" i="7"/>
  <c r="J772" i="7"/>
  <c r="L772" i="7" s="1" a="1"/>
  <c r="L772" i="7" s="1"/>
  <c r="K772" i="7"/>
  <c r="H773" i="7"/>
  <c r="I773" i="7"/>
  <c r="J773" i="7"/>
  <c r="L773" i="7" s="1" a="1"/>
  <c r="L773" i="7" s="1"/>
  <c r="K773" i="7"/>
  <c r="H774" i="7"/>
  <c r="I774" i="7" s="1"/>
  <c r="J774" i="7"/>
  <c r="K774" i="7"/>
  <c r="H775" i="7"/>
  <c r="I775" i="7"/>
  <c r="J775" i="7"/>
  <c r="L775" i="7" s="1" a="1"/>
  <c r="L775" i="7" s="1"/>
  <c r="K775" i="7"/>
  <c r="H776" i="7"/>
  <c r="I776" i="7" s="1"/>
  <c r="J776" i="7"/>
  <c r="L776" i="7" s="1" a="1"/>
  <c r="L776" i="7" s="1"/>
  <c r="K776" i="7"/>
  <c r="H777" i="7"/>
  <c r="I777" i="7"/>
  <c r="J777" i="7"/>
  <c r="L777" i="7" s="1" a="1"/>
  <c r="L777" i="7" s="1"/>
  <c r="K777" i="7"/>
  <c r="H778" i="7"/>
  <c r="I778" i="7"/>
  <c r="J778" i="7"/>
  <c r="L778" i="7" s="1" a="1"/>
  <c r="L778" i="7" s="1"/>
  <c r="K778" i="7"/>
  <c r="H779" i="7"/>
  <c r="I779" i="7"/>
  <c r="J779" i="7"/>
  <c r="L779" i="7" s="1" a="1"/>
  <c r="L779" i="7" s="1"/>
  <c r="K779" i="7"/>
  <c r="H780" i="7"/>
  <c r="I780" i="7" s="1"/>
  <c r="J780" i="7"/>
  <c r="K780" i="7"/>
  <c r="H781" i="7"/>
  <c r="I781" i="7" s="1"/>
  <c r="J781" i="7"/>
  <c r="L781" i="7" s="1" a="1"/>
  <c r="L781" i="7" s="1"/>
  <c r="K781" i="7"/>
  <c r="H782" i="7"/>
  <c r="I782" i="7"/>
  <c r="J782" i="7"/>
  <c r="L782" i="7" s="1" a="1"/>
  <c r="L782" i="7" s="1"/>
  <c r="K782" i="7"/>
  <c r="H783" i="7"/>
  <c r="I783" i="7" s="1"/>
  <c r="J783" i="7"/>
  <c r="L783" i="7" s="1" a="1"/>
  <c r="L783" i="7" s="1"/>
  <c r="K783" i="7"/>
  <c r="H784" i="7"/>
  <c r="I784" i="7"/>
  <c r="J784" i="7"/>
  <c r="K784" i="7"/>
  <c r="H785" i="7"/>
  <c r="I785" i="7"/>
  <c r="J785" i="7"/>
  <c r="L785" i="7" s="1" a="1"/>
  <c r="L785" i="7" s="1"/>
  <c r="K785" i="7"/>
  <c r="H786" i="7"/>
  <c r="I786" i="7" s="1"/>
  <c r="J786" i="7"/>
  <c r="K786" i="7"/>
  <c r="H787" i="7"/>
  <c r="I787" i="7"/>
  <c r="J787" i="7"/>
  <c r="L787" i="7" s="1" a="1"/>
  <c r="L787" i="7" s="1"/>
  <c r="K787" i="7"/>
  <c r="H788" i="7"/>
  <c r="I788" i="7" s="1"/>
  <c r="J788" i="7"/>
  <c r="L788" i="7" s="1" a="1"/>
  <c r="L788" i="7" s="1"/>
  <c r="K788" i="7"/>
  <c r="H789" i="7"/>
  <c r="I789" i="7" s="1"/>
  <c r="J789" i="7"/>
  <c r="K789" i="7"/>
  <c r="H790" i="7"/>
  <c r="I790" i="7"/>
  <c r="J790" i="7"/>
  <c r="L790" i="7" s="1" a="1"/>
  <c r="L790" i="7" s="1"/>
  <c r="K790" i="7"/>
  <c r="H791" i="7"/>
  <c r="I791" i="7" s="1"/>
  <c r="J791" i="7"/>
  <c r="L791" i="7" s="1" a="1"/>
  <c r="L791" i="7" s="1"/>
  <c r="K791" i="7"/>
  <c r="H792" i="7"/>
  <c r="I792" i="7"/>
  <c r="J792" i="7"/>
  <c r="K792" i="7"/>
  <c r="H793" i="7"/>
  <c r="I793" i="7"/>
  <c r="J793" i="7"/>
  <c r="L793" i="7" s="1" a="1"/>
  <c r="L793" i="7" s="1"/>
  <c r="K793" i="7"/>
  <c r="H794" i="7"/>
  <c r="I794" i="7"/>
  <c r="J794" i="7"/>
  <c r="L794" i="7" s="1" a="1"/>
  <c r="L794" i="7" s="1"/>
  <c r="K794" i="7"/>
  <c r="H795" i="7"/>
  <c r="I795" i="7"/>
  <c r="J795" i="7"/>
  <c r="K795" i="7"/>
  <c r="H796" i="7"/>
  <c r="I796" i="7"/>
  <c r="J796" i="7"/>
  <c r="L796" i="7" s="1" a="1"/>
  <c r="L796" i="7" s="1"/>
  <c r="K796" i="7"/>
  <c r="H797" i="7"/>
  <c r="I797" i="7" s="1"/>
  <c r="J797" i="7"/>
  <c r="K797" i="7"/>
  <c r="H798" i="7"/>
  <c r="I798" i="7" s="1"/>
  <c r="J798" i="7"/>
  <c r="K798" i="7"/>
  <c r="H799" i="7"/>
  <c r="I799" i="7" s="1"/>
  <c r="J799" i="7"/>
  <c r="L799" i="7" s="1" a="1"/>
  <c r="L799" i="7" s="1"/>
  <c r="K799" i="7"/>
  <c r="H800" i="7"/>
  <c r="I800" i="7"/>
  <c r="J800" i="7"/>
  <c r="L800" i="7" s="1" a="1"/>
  <c r="L800" i="7" s="1"/>
  <c r="K800" i="7"/>
  <c r="H801" i="7"/>
  <c r="I801" i="7" s="1"/>
  <c r="J801" i="7"/>
  <c r="K801" i="7"/>
  <c r="H802" i="7"/>
  <c r="I802" i="7"/>
  <c r="J802" i="7"/>
  <c r="L802" i="7" s="1" a="1"/>
  <c r="L802" i="7" s="1"/>
  <c r="K802" i="7"/>
  <c r="H803" i="7"/>
  <c r="I803" i="7"/>
  <c r="J803" i="7"/>
  <c r="L803" i="7" s="1" a="1"/>
  <c r="L803" i="7" s="1"/>
  <c r="K803" i="7"/>
  <c r="H804" i="7"/>
  <c r="I804" i="7" s="1"/>
  <c r="J804" i="7"/>
  <c r="L804" i="7" s="1" a="1"/>
  <c r="L804" i="7" s="1"/>
  <c r="K804" i="7"/>
  <c r="H805" i="7"/>
  <c r="I805" i="7" s="1"/>
  <c r="J805" i="7"/>
  <c r="L805" i="7" s="1" a="1"/>
  <c r="L805" i="7" s="1"/>
  <c r="K805" i="7"/>
  <c r="H806" i="7"/>
  <c r="I806" i="7" s="1"/>
  <c r="J806" i="7"/>
  <c r="L806" i="7" s="1" a="1"/>
  <c r="L806" i="7" s="1"/>
  <c r="K806" i="7"/>
  <c r="H807" i="7"/>
  <c r="I807" i="7"/>
  <c r="J807" i="7"/>
  <c r="L807" i="7" s="1" a="1"/>
  <c r="L807" i="7" s="1"/>
  <c r="K807" i="7"/>
  <c r="H808" i="7"/>
  <c r="I808" i="7"/>
  <c r="J808" i="7"/>
  <c r="L808" i="7" s="1" a="1"/>
  <c r="L808" i="7" s="1"/>
  <c r="K808" i="7"/>
  <c r="H809" i="7"/>
  <c r="I809" i="7"/>
  <c r="J809" i="7"/>
  <c r="K809" i="7"/>
  <c r="H810" i="7"/>
  <c r="I810" i="7"/>
  <c r="J810" i="7"/>
  <c r="L810" i="7" s="1" a="1"/>
  <c r="L810" i="7" s="1"/>
  <c r="K810" i="7"/>
  <c r="H811" i="7"/>
  <c r="I811" i="7" s="1"/>
  <c r="J811" i="7"/>
  <c r="K811" i="7"/>
  <c r="H812" i="7"/>
  <c r="I812" i="7" s="1"/>
  <c r="J812" i="7"/>
  <c r="L812" i="7" s="1" a="1"/>
  <c r="L812" i="7" s="1"/>
  <c r="K812" i="7"/>
  <c r="H813" i="7"/>
  <c r="I813" i="7" s="1"/>
  <c r="J813" i="7"/>
  <c r="K813" i="7"/>
  <c r="H814" i="7"/>
  <c r="I814" i="7" s="1"/>
  <c r="J814" i="7"/>
  <c r="L814" i="7" s="1" a="1"/>
  <c r="L814" i="7" s="1"/>
  <c r="K814" i="7"/>
  <c r="H815" i="7"/>
  <c r="I815" i="7"/>
  <c r="J815" i="7"/>
  <c r="L815" i="7" s="1" a="1"/>
  <c r="L815" i="7" s="1"/>
  <c r="K815" i="7"/>
  <c r="H816" i="7"/>
  <c r="I816" i="7"/>
  <c r="J816" i="7"/>
  <c r="K816" i="7"/>
  <c r="H817" i="7"/>
  <c r="I817" i="7"/>
  <c r="J817" i="7"/>
  <c r="K817" i="7"/>
  <c r="H818" i="7"/>
  <c r="I818" i="7"/>
  <c r="J818" i="7"/>
  <c r="L818" i="7" s="1" a="1"/>
  <c r="L818" i="7" s="1"/>
  <c r="K818" i="7"/>
  <c r="H819" i="7"/>
  <c r="I819" i="7"/>
  <c r="J819" i="7"/>
  <c r="L819" i="7" s="1" a="1"/>
  <c r="L819" i="7" s="1"/>
  <c r="K819" i="7"/>
  <c r="H820" i="7"/>
  <c r="I820" i="7" s="1"/>
  <c r="J820" i="7"/>
  <c r="L820" i="7" s="1" a="1"/>
  <c r="L820" i="7" s="1"/>
  <c r="K820" i="7"/>
  <c r="H821" i="7"/>
  <c r="I821" i="7"/>
  <c r="J821" i="7"/>
  <c r="L821" i="7" s="1" a="1"/>
  <c r="L821" i="7" s="1"/>
  <c r="K821" i="7"/>
  <c r="H822" i="7"/>
  <c r="I822" i="7" s="1"/>
  <c r="J822" i="7"/>
  <c r="K822" i="7"/>
  <c r="H823" i="7"/>
  <c r="I823" i="7" s="1"/>
  <c r="J823" i="7"/>
  <c r="L823" i="7" s="1" a="1"/>
  <c r="L823" i="7" s="1"/>
  <c r="K823" i="7"/>
  <c r="H824" i="7"/>
  <c r="I824" i="7"/>
  <c r="J824" i="7"/>
  <c r="L824" i="7" s="1" a="1"/>
  <c r="L824" i="7" s="1"/>
  <c r="K824" i="7"/>
  <c r="H825" i="7"/>
  <c r="I825" i="7"/>
  <c r="J825" i="7"/>
  <c r="L825" i="7" s="1" a="1"/>
  <c r="L825" i="7" s="1"/>
  <c r="K825" i="7"/>
  <c r="H826" i="7"/>
  <c r="I826" i="7" s="1"/>
  <c r="J826" i="7"/>
  <c r="K826" i="7"/>
  <c r="H827" i="7"/>
  <c r="I827" i="7"/>
  <c r="J827" i="7"/>
  <c r="L827" i="7" s="1" a="1"/>
  <c r="L827" i="7" s="1"/>
  <c r="K827" i="7"/>
  <c r="H828" i="7"/>
  <c r="I828" i="7"/>
  <c r="J828" i="7"/>
  <c r="L828" i="7" s="1" a="1"/>
  <c r="L828" i="7" s="1"/>
  <c r="K828" i="7"/>
  <c r="H829" i="7"/>
  <c r="I829" i="7" s="1"/>
  <c r="J829" i="7"/>
  <c r="L829" i="7" s="1" a="1"/>
  <c r="L829" i="7" s="1"/>
  <c r="K829" i="7"/>
  <c r="H830" i="7"/>
  <c r="I830" i="7" s="1"/>
  <c r="J830" i="7"/>
  <c r="L830" i="7" s="1" a="1"/>
  <c r="L830" i="7" s="1"/>
  <c r="K830" i="7"/>
  <c r="H831" i="7"/>
  <c r="I831" i="7" s="1"/>
  <c r="J831" i="7"/>
  <c r="L831" i="7" s="1" a="1"/>
  <c r="L831" i="7" s="1"/>
  <c r="K831" i="7"/>
  <c r="H832" i="7"/>
  <c r="I832" i="7" s="1"/>
  <c r="J832" i="7"/>
  <c r="K832" i="7"/>
  <c r="H833" i="7"/>
  <c r="I833" i="7"/>
  <c r="J833" i="7"/>
  <c r="K833" i="7"/>
  <c r="L833" i="7" a="1"/>
  <c r="L833" i="7" s="1"/>
  <c r="H834" i="7"/>
  <c r="I834" i="7"/>
  <c r="J834" i="7"/>
  <c r="K834" i="7"/>
  <c r="H835" i="7"/>
  <c r="I835" i="7"/>
  <c r="J835" i="7"/>
  <c r="L835" i="7" s="1" a="1"/>
  <c r="L835" i="7" s="1"/>
  <c r="K835" i="7"/>
  <c r="H836" i="7"/>
  <c r="I836" i="7"/>
  <c r="J836" i="7"/>
  <c r="L836" i="7" s="1" a="1"/>
  <c r="L836" i="7" s="1"/>
  <c r="K836" i="7"/>
  <c r="H837" i="7"/>
  <c r="I837" i="7" s="1"/>
  <c r="J837" i="7"/>
  <c r="L837" i="7" s="1" a="1"/>
  <c r="L837" i="7" s="1"/>
  <c r="K837" i="7"/>
  <c r="H838" i="7"/>
  <c r="I838" i="7" s="1"/>
  <c r="J838" i="7"/>
  <c r="L838" i="7" s="1" a="1"/>
  <c r="L838" i="7" s="1"/>
  <c r="K838" i="7"/>
  <c r="H839" i="7"/>
  <c r="I839" i="7" s="1"/>
  <c r="J839" i="7"/>
  <c r="K839" i="7"/>
  <c r="H840" i="7"/>
  <c r="I840" i="7"/>
  <c r="J840" i="7"/>
  <c r="L840" i="7" s="1" a="1"/>
  <c r="L840" i="7" s="1"/>
  <c r="K840" i="7"/>
  <c r="H841" i="7"/>
  <c r="I841" i="7"/>
  <c r="J841" i="7"/>
  <c r="K841" i="7"/>
  <c r="H842" i="7"/>
  <c r="I842" i="7"/>
  <c r="J842" i="7"/>
  <c r="K842" i="7"/>
  <c r="H843" i="7"/>
  <c r="I843" i="7"/>
  <c r="J843" i="7"/>
  <c r="L843" i="7" s="1" a="1"/>
  <c r="L843" i="7" s="1"/>
  <c r="K843" i="7"/>
  <c r="H844" i="7"/>
  <c r="I844" i="7" s="1"/>
  <c r="J844" i="7"/>
  <c r="L844" i="7" s="1" a="1"/>
  <c r="L844" i="7" s="1"/>
  <c r="K844" i="7"/>
  <c r="H845" i="7"/>
  <c r="I845" i="7" s="1"/>
  <c r="J845" i="7"/>
  <c r="K845" i="7"/>
  <c r="H846" i="7"/>
  <c r="I846" i="7"/>
  <c r="J846" i="7"/>
  <c r="L846" i="7" s="1" a="1"/>
  <c r="L846" i="7" s="1"/>
  <c r="K846" i="7"/>
  <c r="H847" i="7"/>
  <c r="I847" i="7" s="1"/>
  <c r="J847" i="7"/>
  <c r="K847" i="7"/>
  <c r="H848" i="7"/>
  <c r="I848" i="7"/>
  <c r="J848" i="7"/>
  <c r="L848" i="7" s="1" a="1"/>
  <c r="L848" i="7" s="1"/>
  <c r="K848" i="7"/>
  <c r="H849" i="7"/>
  <c r="I849" i="7"/>
  <c r="J849" i="7"/>
  <c r="L849" i="7" s="1" a="1"/>
  <c r="L849" i="7" s="1"/>
  <c r="K849" i="7"/>
  <c r="H850" i="7"/>
  <c r="I850" i="7"/>
  <c r="J850" i="7"/>
  <c r="L850" i="7" s="1" a="1"/>
  <c r="L850" i="7" s="1"/>
  <c r="K850" i="7"/>
  <c r="H851" i="7"/>
  <c r="I851" i="7" s="1"/>
  <c r="J851" i="7"/>
  <c r="L851" i="7" s="1" a="1"/>
  <c r="L851" i="7" s="1"/>
  <c r="K851" i="7"/>
  <c r="H852" i="7"/>
  <c r="I852" i="7" s="1"/>
  <c r="J852" i="7"/>
  <c r="L852" i="7" s="1" a="1"/>
  <c r="L852" i="7" s="1"/>
  <c r="K852" i="7"/>
  <c r="H853" i="7"/>
  <c r="I853" i="7"/>
  <c r="J853" i="7"/>
  <c r="L853" i="7" s="1" a="1"/>
  <c r="L853" i="7" s="1"/>
  <c r="K853" i="7"/>
  <c r="H854" i="7"/>
  <c r="I854" i="7" s="1"/>
  <c r="J854" i="7"/>
  <c r="K854" i="7"/>
  <c r="H855" i="7"/>
  <c r="I855" i="7" s="1"/>
  <c r="J855" i="7"/>
  <c r="K855" i="7"/>
  <c r="H856" i="7"/>
  <c r="I856" i="7"/>
  <c r="J856" i="7"/>
  <c r="L856" i="7" s="1" a="1"/>
  <c r="L856" i="7" s="1"/>
  <c r="K856" i="7"/>
  <c r="H857" i="7"/>
  <c r="I857" i="7" s="1"/>
  <c r="J857" i="7"/>
  <c r="K857" i="7"/>
  <c r="H858" i="7"/>
  <c r="I858" i="7"/>
  <c r="J858" i="7"/>
  <c r="L858" i="7" s="1" a="1"/>
  <c r="L858" i="7" s="1"/>
  <c r="K858" i="7"/>
  <c r="H859" i="7"/>
  <c r="I859" i="7"/>
  <c r="J859" i="7"/>
  <c r="K859" i="7"/>
  <c r="H860" i="7"/>
  <c r="I860" i="7" s="1"/>
  <c r="J860" i="7"/>
  <c r="K860" i="7"/>
  <c r="H861" i="7"/>
  <c r="I861" i="7"/>
  <c r="J861" i="7"/>
  <c r="L861" i="7" s="1" a="1"/>
  <c r="L861" i="7" s="1"/>
  <c r="K861" i="7"/>
  <c r="H862" i="7"/>
  <c r="I862" i="7" s="1"/>
  <c r="J862" i="7"/>
  <c r="L862" i="7" s="1" a="1"/>
  <c r="L862" i="7" s="1"/>
  <c r="K862" i="7"/>
  <c r="H863" i="7"/>
  <c r="I863" i="7" s="1"/>
  <c r="J863" i="7"/>
  <c r="K863" i="7"/>
  <c r="H864" i="7"/>
  <c r="I864" i="7"/>
  <c r="J864" i="7"/>
  <c r="L864" i="7" s="1" a="1"/>
  <c r="L864" i="7" s="1"/>
  <c r="K864" i="7"/>
  <c r="H865" i="7"/>
  <c r="I865" i="7"/>
  <c r="J865" i="7"/>
  <c r="L865" i="7" s="1" a="1"/>
  <c r="L865" i="7" s="1"/>
  <c r="K865" i="7"/>
  <c r="H866" i="7"/>
  <c r="I866" i="7"/>
  <c r="J866" i="7"/>
  <c r="K866" i="7"/>
  <c r="H867" i="7"/>
  <c r="I867" i="7"/>
  <c r="J867" i="7"/>
  <c r="K867" i="7"/>
  <c r="H868" i="7"/>
  <c r="I868" i="7" s="1"/>
  <c r="J868" i="7"/>
  <c r="K868" i="7"/>
  <c r="H869" i="7"/>
  <c r="I869" i="7" s="1"/>
  <c r="J869" i="7"/>
  <c r="L869" i="7" s="1" a="1"/>
  <c r="L869" i="7" s="1"/>
  <c r="K869" i="7"/>
  <c r="H870" i="7"/>
  <c r="I870" i="7" s="1"/>
  <c r="J870" i="7"/>
  <c r="K870" i="7"/>
  <c r="H871" i="7"/>
  <c r="I871" i="7"/>
  <c r="J871" i="7"/>
  <c r="L871" i="7" s="1" a="1"/>
  <c r="L871" i="7" s="1"/>
  <c r="K871" i="7"/>
  <c r="H872" i="7"/>
  <c r="I872" i="7" s="1"/>
  <c r="J872" i="7"/>
  <c r="L872" i="7" s="1" a="1"/>
  <c r="L872" i="7" s="1"/>
  <c r="K872" i="7"/>
  <c r="H873" i="7"/>
  <c r="I873" i="7"/>
  <c r="J873" i="7"/>
  <c r="L873" i="7" s="1" a="1"/>
  <c r="L873" i="7" s="1"/>
  <c r="K873" i="7"/>
  <c r="H874" i="7"/>
  <c r="I874" i="7"/>
  <c r="J874" i="7"/>
  <c r="L874" i="7" s="1" a="1"/>
  <c r="L874" i="7" s="1"/>
  <c r="K874" i="7"/>
  <c r="H875" i="7"/>
  <c r="I875" i="7"/>
  <c r="J875" i="7"/>
  <c r="L875" i="7" s="1" a="1"/>
  <c r="L875" i="7" s="1"/>
  <c r="K875" i="7"/>
  <c r="H876" i="7"/>
  <c r="I876" i="7" s="1"/>
  <c r="J876" i="7"/>
  <c r="K876" i="7"/>
  <c r="H877" i="7"/>
  <c r="I877" i="7" s="1"/>
  <c r="J877" i="7"/>
  <c r="K877" i="7"/>
  <c r="H878" i="7"/>
  <c r="I878" i="7"/>
  <c r="J878" i="7"/>
  <c r="L878" i="7" s="1" a="1"/>
  <c r="L878" i="7" s="1"/>
  <c r="K878" i="7"/>
  <c r="H879" i="7"/>
  <c r="I879" i="7" s="1"/>
  <c r="J879" i="7"/>
  <c r="K879" i="7"/>
  <c r="H880" i="7"/>
  <c r="I880" i="7"/>
  <c r="J880" i="7"/>
  <c r="L880" i="7" s="1" a="1"/>
  <c r="L880" i="7" s="1"/>
  <c r="K880" i="7"/>
  <c r="H881" i="7"/>
  <c r="I881" i="7"/>
  <c r="J881" i="7"/>
  <c r="L881" i="7" s="1" a="1"/>
  <c r="L881" i="7" s="1"/>
  <c r="K881" i="7"/>
  <c r="H882" i="7"/>
  <c r="I882" i="7" s="1"/>
  <c r="J882" i="7"/>
  <c r="K882" i="7"/>
  <c r="H883" i="7"/>
  <c r="I883" i="7"/>
  <c r="J883" i="7"/>
  <c r="L883" i="7" s="1" a="1"/>
  <c r="L883" i="7" s="1"/>
  <c r="K883" i="7"/>
  <c r="H884" i="7"/>
  <c r="I884" i="7" s="1"/>
  <c r="J884" i="7"/>
  <c r="L884" i="7" s="1" a="1"/>
  <c r="L884" i="7" s="1"/>
  <c r="K884" i="7"/>
  <c r="H885" i="7"/>
  <c r="I885" i="7" s="1"/>
  <c r="J885" i="7"/>
  <c r="K885" i="7"/>
  <c r="H886" i="7"/>
  <c r="I886" i="7"/>
  <c r="J886" i="7"/>
  <c r="L886" i="7" s="1" a="1"/>
  <c r="L886" i="7" s="1"/>
  <c r="K886" i="7"/>
  <c r="H887" i="7"/>
  <c r="I887" i="7" s="1"/>
  <c r="J887" i="7"/>
  <c r="L887" i="7" s="1" a="1"/>
  <c r="L887" i="7" s="1"/>
  <c r="K887" i="7"/>
  <c r="H888" i="7"/>
  <c r="I888" i="7"/>
  <c r="J888" i="7"/>
  <c r="K888" i="7"/>
  <c r="H889" i="7"/>
  <c r="I889" i="7"/>
  <c r="J889" i="7"/>
  <c r="L889" i="7" s="1" a="1"/>
  <c r="L889" i="7" s="1"/>
  <c r="K889" i="7"/>
  <c r="H890" i="7"/>
  <c r="I890" i="7"/>
  <c r="J890" i="7"/>
  <c r="L890" i="7" s="1" a="1"/>
  <c r="L890" i="7" s="1"/>
  <c r="K890" i="7"/>
  <c r="H891" i="7"/>
  <c r="I891" i="7"/>
  <c r="J891" i="7"/>
  <c r="K891" i="7"/>
  <c r="H892" i="7"/>
  <c r="I892" i="7"/>
  <c r="J892" i="7"/>
  <c r="L892" i="7" s="1" a="1"/>
  <c r="L892" i="7" s="1"/>
  <c r="K892" i="7"/>
  <c r="H893" i="7"/>
  <c r="I893" i="7" s="1"/>
  <c r="J893" i="7"/>
  <c r="K893" i="7"/>
  <c r="H894" i="7"/>
  <c r="I894" i="7" s="1"/>
  <c r="J894" i="7"/>
  <c r="L894" i="7" s="1" a="1"/>
  <c r="L894" i="7" s="1"/>
  <c r="K894" i="7"/>
  <c r="H895" i="7"/>
  <c r="I895" i="7" s="1"/>
  <c r="J895" i="7"/>
  <c r="K895" i="7"/>
  <c r="H896" i="7"/>
  <c r="I896" i="7"/>
  <c r="J896" i="7"/>
  <c r="L896" i="7" s="1" a="1"/>
  <c r="L896" i="7" s="1"/>
  <c r="K896" i="7"/>
  <c r="H897" i="7"/>
  <c r="I897" i="7" s="1"/>
  <c r="J897" i="7"/>
  <c r="K897" i="7"/>
  <c r="H898" i="7"/>
  <c r="I898" i="7"/>
  <c r="J898" i="7"/>
  <c r="L898" i="7" s="1" a="1"/>
  <c r="L898" i="7" s="1"/>
  <c r="K898" i="7"/>
  <c r="H899" i="7"/>
  <c r="I899" i="7"/>
  <c r="J899" i="7"/>
  <c r="L899" i="7" s="1" a="1"/>
  <c r="L899" i="7" s="1"/>
  <c r="K899" i="7"/>
  <c r="H900" i="7"/>
  <c r="I900" i="7" s="1"/>
  <c r="J900" i="7"/>
  <c r="L900" i="7" s="1" a="1"/>
  <c r="L900" i="7" s="1"/>
  <c r="K900" i="7"/>
  <c r="H901" i="7"/>
  <c r="I901" i="7" s="1"/>
  <c r="J901" i="7"/>
  <c r="K901" i="7"/>
  <c r="H902" i="7"/>
  <c r="I902" i="7" s="1"/>
  <c r="J902" i="7"/>
  <c r="L902" i="7" s="1" a="1"/>
  <c r="L902" i="7" s="1"/>
  <c r="K902" i="7"/>
  <c r="H903" i="7"/>
  <c r="I903" i="7"/>
  <c r="J903" i="7"/>
  <c r="L903" i="7" s="1" a="1"/>
  <c r="L903" i="7" s="1"/>
  <c r="K903" i="7"/>
  <c r="H904" i="7"/>
  <c r="I904" i="7"/>
  <c r="J904" i="7"/>
  <c r="L904" i="7" s="1" a="1"/>
  <c r="L904" i="7" s="1"/>
  <c r="K904" i="7"/>
  <c r="H905" i="7"/>
  <c r="I905" i="7"/>
  <c r="J905" i="7"/>
  <c r="K905" i="7"/>
  <c r="H906" i="7"/>
  <c r="I906" i="7"/>
  <c r="J906" i="7"/>
  <c r="L906" i="7" s="1" a="1"/>
  <c r="L906" i="7" s="1"/>
  <c r="K906" i="7"/>
  <c r="H907" i="7"/>
  <c r="I907" i="7" s="1"/>
  <c r="J907" i="7"/>
  <c r="K907" i="7"/>
  <c r="H908" i="7"/>
  <c r="I908" i="7" s="1"/>
  <c r="J908" i="7"/>
  <c r="L908" i="7" s="1" a="1"/>
  <c r="L908" i="7" s="1"/>
  <c r="K908" i="7"/>
  <c r="H909" i="7"/>
  <c r="I909" i="7" s="1"/>
  <c r="J909" i="7"/>
  <c r="L909" i="7" s="1" a="1"/>
  <c r="L909" i="7" s="1"/>
  <c r="K909" i="7"/>
  <c r="H910" i="7"/>
  <c r="I910" i="7" s="1"/>
  <c r="J910" i="7"/>
  <c r="L910" i="7" s="1" a="1"/>
  <c r="L910" i="7" s="1"/>
  <c r="K910" i="7"/>
  <c r="H911" i="7"/>
  <c r="I911" i="7"/>
  <c r="J911" i="7"/>
  <c r="L911" i="7" s="1" a="1"/>
  <c r="L911" i="7" s="1"/>
  <c r="K911" i="7"/>
  <c r="H912" i="7"/>
  <c r="I912" i="7"/>
  <c r="J912" i="7"/>
  <c r="K912" i="7"/>
  <c r="H913" i="7"/>
  <c r="I913" i="7"/>
  <c r="J913" i="7"/>
  <c r="K913" i="7"/>
  <c r="H914" i="7"/>
  <c r="I914" i="7"/>
  <c r="J914" i="7"/>
  <c r="L914" i="7" s="1" a="1"/>
  <c r="L914" i="7" s="1"/>
  <c r="K914" i="7"/>
  <c r="H915" i="7"/>
  <c r="I915" i="7"/>
  <c r="J915" i="7"/>
  <c r="L915" i="7" s="1" a="1"/>
  <c r="L915" i="7" s="1"/>
  <c r="K915" i="7"/>
  <c r="H916" i="7"/>
  <c r="I916" i="7" s="1"/>
  <c r="J916" i="7"/>
  <c r="L916" i="7" s="1" a="1"/>
  <c r="L916" i="7" s="1"/>
  <c r="K916" i="7"/>
  <c r="H917" i="7"/>
  <c r="I917" i="7"/>
  <c r="J917" i="7"/>
  <c r="L917" i="7" s="1" a="1"/>
  <c r="L917" i="7" s="1"/>
  <c r="K917" i="7"/>
  <c r="H918" i="7"/>
  <c r="I918" i="7" s="1"/>
  <c r="J918" i="7"/>
  <c r="K918" i="7"/>
  <c r="H919" i="7"/>
  <c r="I919" i="7" s="1"/>
  <c r="J919" i="7"/>
  <c r="L919" i="7" s="1" a="1"/>
  <c r="L919" i="7" s="1"/>
  <c r="K919" i="7"/>
  <c r="H920" i="7"/>
  <c r="I920" i="7"/>
  <c r="J920" i="7"/>
  <c r="L920" i="7" s="1" a="1"/>
  <c r="L920" i="7" s="1"/>
  <c r="K920" i="7"/>
  <c r="H921" i="7"/>
  <c r="I921" i="7"/>
  <c r="J921" i="7"/>
  <c r="L921" i="7" s="1" a="1"/>
  <c r="L921" i="7" s="1"/>
  <c r="K921" i="7"/>
  <c r="H922" i="7"/>
  <c r="I922" i="7" s="1"/>
  <c r="J922" i="7"/>
  <c r="K922" i="7"/>
  <c r="H923" i="7"/>
  <c r="I923" i="7"/>
  <c r="J923" i="7"/>
  <c r="L923" i="7" s="1" a="1"/>
  <c r="L923" i="7" s="1"/>
  <c r="K923" i="7"/>
  <c r="H924" i="7"/>
  <c r="I924" i="7"/>
  <c r="J924" i="7"/>
  <c r="L924" i="7" s="1" a="1"/>
  <c r="L924" i="7" s="1"/>
  <c r="K924" i="7"/>
  <c r="H925" i="7"/>
  <c r="I925" i="7" s="1"/>
  <c r="J925" i="7"/>
  <c r="L925" i="7" s="1" a="1"/>
  <c r="L925" i="7" s="1"/>
  <c r="K925" i="7"/>
  <c r="H926" i="7"/>
  <c r="I926" i="7" s="1"/>
  <c r="J926" i="7"/>
  <c r="K926" i="7"/>
  <c r="H927" i="7"/>
  <c r="I927" i="7" s="1"/>
  <c r="J927" i="7"/>
  <c r="L927" i="7" s="1" a="1"/>
  <c r="L927" i="7" s="1"/>
  <c r="K927" i="7"/>
  <c r="H928" i="7"/>
  <c r="I928" i="7" s="1"/>
  <c r="L928" i="7" s="1" a="1"/>
  <c r="L928" i="7" s="1"/>
  <c r="J928" i="7"/>
  <c r="K928" i="7"/>
  <c r="H929" i="7"/>
  <c r="I929" i="7"/>
  <c r="J929" i="7"/>
  <c r="L929" i="7" s="1" a="1"/>
  <c r="L929" i="7" s="1"/>
  <c r="K929" i="7"/>
  <c r="H930" i="7"/>
  <c r="I930" i="7"/>
  <c r="J930" i="7"/>
  <c r="L930" i="7" s="1" a="1"/>
  <c r="L930" i="7" s="1"/>
  <c r="K930" i="7"/>
  <c r="H931" i="7"/>
  <c r="I931" i="7"/>
  <c r="J931" i="7"/>
  <c r="L931" i="7" s="1" a="1"/>
  <c r="L931" i="7" s="1"/>
  <c r="K931" i="7"/>
  <c r="H932" i="7"/>
  <c r="I932" i="7"/>
  <c r="J932" i="7"/>
  <c r="L932" i="7" s="1" a="1"/>
  <c r="L932" i="7" s="1"/>
  <c r="K932" i="7"/>
  <c r="H933" i="7"/>
  <c r="I933" i="7" s="1"/>
  <c r="J933" i="7"/>
  <c r="K933" i="7"/>
  <c r="H934" i="7"/>
  <c r="I934" i="7" s="1"/>
  <c r="J934" i="7"/>
  <c r="L934" i="7" s="1" a="1"/>
  <c r="L934" i="7" s="1"/>
  <c r="K934" i="7"/>
  <c r="H935" i="7"/>
  <c r="I935" i="7" s="1"/>
  <c r="J935" i="7"/>
  <c r="K935" i="7"/>
  <c r="H936" i="7"/>
  <c r="I936" i="7"/>
  <c r="J936" i="7"/>
  <c r="L936" i="7" s="1" a="1"/>
  <c r="L936" i="7" s="1"/>
  <c r="K936" i="7"/>
  <c r="H937" i="7"/>
  <c r="I937" i="7"/>
  <c r="J937" i="7"/>
  <c r="K937" i="7"/>
  <c r="H938" i="7"/>
  <c r="I938" i="7"/>
  <c r="J938" i="7"/>
  <c r="K938" i="7"/>
  <c r="H939" i="7"/>
  <c r="I939" i="7"/>
  <c r="J939" i="7"/>
  <c r="L939" i="7" s="1" a="1"/>
  <c r="L939" i="7" s="1"/>
  <c r="K939" i="7"/>
  <c r="H940" i="7"/>
  <c r="I940" i="7" s="1"/>
  <c r="J940" i="7"/>
  <c r="L940" i="7" s="1" a="1"/>
  <c r="L940" i="7" s="1"/>
  <c r="K940" i="7"/>
  <c r="H941" i="7"/>
  <c r="I941" i="7" s="1"/>
  <c r="J941" i="7"/>
  <c r="K941" i="7"/>
  <c r="H942" i="7"/>
  <c r="I942" i="7"/>
  <c r="J942" i="7"/>
  <c r="L942" i="7" s="1" a="1"/>
  <c r="L942" i="7" s="1"/>
  <c r="K942" i="7"/>
  <c r="H943" i="7"/>
  <c r="I943" i="7" s="1"/>
  <c r="J943" i="7"/>
  <c r="K943" i="7"/>
  <c r="H944" i="7"/>
  <c r="I944" i="7"/>
  <c r="J944" i="7"/>
  <c r="L944" i="7" s="1" a="1"/>
  <c r="L944" i="7" s="1"/>
  <c r="K944" i="7"/>
  <c r="H945" i="7"/>
  <c r="I945" i="7"/>
  <c r="J945" i="7"/>
  <c r="L945" i="7" s="1" a="1"/>
  <c r="L945" i="7" s="1"/>
  <c r="K945" i="7"/>
  <c r="H946" i="7"/>
  <c r="I946" i="7"/>
  <c r="J946" i="7"/>
  <c r="L946" i="7" s="1" a="1"/>
  <c r="L946" i="7" s="1"/>
  <c r="K946" i="7"/>
  <c r="H947" i="7"/>
  <c r="I947" i="7" s="1"/>
  <c r="J947" i="7"/>
  <c r="L947" i="7" s="1" a="1"/>
  <c r="L947" i="7" s="1"/>
  <c r="K947" i="7"/>
  <c r="H948" i="7"/>
  <c r="I948" i="7" s="1"/>
  <c r="J948" i="7"/>
  <c r="L948" i="7" s="1" a="1"/>
  <c r="L948" i="7" s="1"/>
  <c r="K948" i="7"/>
  <c r="H949" i="7"/>
  <c r="I949" i="7"/>
  <c r="J949" i="7"/>
  <c r="L949" i="7" s="1" a="1"/>
  <c r="L949" i="7" s="1"/>
  <c r="K949" i="7"/>
  <c r="H950" i="7"/>
  <c r="I950" i="7" s="1"/>
  <c r="J950" i="7"/>
  <c r="K950" i="7"/>
  <c r="H951" i="7"/>
  <c r="I951" i="7" s="1"/>
  <c r="J951" i="7"/>
  <c r="L951" i="7" s="1" a="1"/>
  <c r="L951" i="7" s="1"/>
  <c r="K951" i="7"/>
  <c r="H952" i="7"/>
  <c r="I952" i="7"/>
  <c r="J952" i="7"/>
  <c r="L952" i="7" s="1" a="1"/>
  <c r="L952" i="7" s="1"/>
  <c r="K952" i="7"/>
  <c r="H953" i="7"/>
  <c r="I953" i="7" s="1"/>
  <c r="J953" i="7"/>
  <c r="K953" i="7"/>
  <c r="H954" i="7"/>
  <c r="I954" i="7"/>
  <c r="J954" i="7"/>
  <c r="L954" i="7" s="1" a="1"/>
  <c r="L954" i="7" s="1"/>
  <c r="K954" i="7"/>
  <c r="H955" i="7"/>
  <c r="I955" i="7"/>
  <c r="J955" i="7"/>
  <c r="L955" i="7" s="1" a="1"/>
  <c r="L955" i="7" s="1"/>
  <c r="K955" i="7"/>
  <c r="H956" i="7"/>
  <c r="I956" i="7" s="1"/>
  <c r="J956" i="7"/>
  <c r="K956" i="7"/>
  <c r="H957" i="7"/>
  <c r="I957" i="7"/>
  <c r="J957" i="7"/>
  <c r="L957" i="7" s="1" a="1"/>
  <c r="L957" i="7" s="1"/>
  <c r="K957" i="7"/>
  <c r="H958" i="7"/>
  <c r="I958" i="7" s="1"/>
  <c r="J958" i="7"/>
  <c r="L958" i="7" s="1" a="1"/>
  <c r="L958" i="7" s="1"/>
  <c r="K958" i="7"/>
  <c r="H959" i="7"/>
  <c r="I959" i="7" s="1"/>
  <c r="J959" i="7"/>
  <c r="L959" i="7" s="1" a="1"/>
  <c r="L959" i="7" s="1"/>
  <c r="K959" i="7"/>
  <c r="H960" i="7"/>
  <c r="I960" i="7"/>
  <c r="J960" i="7"/>
  <c r="L960" i="7" s="1" a="1"/>
  <c r="L960" i="7" s="1"/>
  <c r="K960" i="7"/>
  <c r="H961" i="7"/>
  <c r="I961" i="7"/>
  <c r="J961" i="7"/>
  <c r="L961" i="7" s="1" a="1"/>
  <c r="L961" i="7" s="1"/>
  <c r="K961" i="7"/>
  <c r="H962" i="7"/>
  <c r="I962" i="7"/>
  <c r="J962" i="7"/>
  <c r="K962" i="7"/>
  <c r="H963" i="7"/>
  <c r="I963" i="7"/>
  <c r="J963" i="7"/>
  <c r="K963" i="7"/>
  <c r="H964" i="7"/>
  <c r="I964" i="7" s="1"/>
  <c r="J964" i="7"/>
  <c r="K964" i="7"/>
  <c r="H965" i="7"/>
  <c r="I965" i="7" s="1"/>
  <c r="J965" i="7"/>
  <c r="K965" i="7"/>
  <c r="H966" i="7"/>
  <c r="I966" i="7" s="1"/>
  <c r="J966" i="7"/>
  <c r="L966" i="7" s="1" a="1"/>
  <c r="L966" i="7" s="1"/>
  <c r="K966" i="7"/>
  <c r="H967" i="7"/>
  <c r="I967" i="7"/>
  <c r="J967" i="7"/>
  <c r="L967" i="7" s="1" a="1"/>
  <c r="L967" i="7" s="1"/>
  <c r="K967" i="7"/>
  <c r="H968" i="7"/>
  <c r="I968" i="7" s="1"/>
  <c r="J968" i="7"/>
  <c r="K968" i="7"/>
  <c r="H969" i="7"/>
  <c r="I969" i="7"/>
  <c r="J969" i="7"/>
  <c r="L969" i="7" s="1" a="1"/>
  <c r="L969" i="7" s="1"/>
  <c r="K969" i="7"/>
  <c r="H970" i="7"/>
  <c r="I970" i="7"/>
  <c r="J970" i="7"/>
  <c r="L970" i="7" s="1" a="1"/>
  <c r="L970" i="7" s="1"/>
  <c r="K970" i="7"/>
  <c r="H971" i="7"/>
  <c r="I971" i="7"/>
  <c r="J971" i="7"/>
  <c r="L971" i="7" s="1" a="1"/>
  <c r="L971" i="7" s="1"/>
  <c r="K971" i="7"/>
  <c r="H972" i="7"/>
  <c r="I972" i="7" s="1"/>
  <c r="J972" i="7"/>
  <c r="L972" i="7" s="1" a="1"/>
  <c r="L972" i="7" s="1"/>
  <c r="K972" i="7"/>
  <c r="H973" i="7"/>
  <c r="I973" i="7" s="1"/>
  <c r="J973" i="7"/>
  <c r="K973" i="7"/>
  <c r="H974" i="7"/>
  <c r="I974" i="7"/>
  <c r="J974" i="7"/>
  <c r="L974" i="7" s="1" a="1"/>
  <c r="L974" i="7" s="1"/>
  <c r="K974" i="7"/>
  <c r="H975" i="7"/>
  <c r="I975" i="7" s="1"/>
  <c r="J975" i="7"/>
  <c r="K975" i="7"/>
  <c r="H976" i="7"/>
  <c r="I976" i="7"/>
  <c r="J976" i="7"/>
  <c r="L976" i="7" s="1" a="1"/>
  <c r="L976" i="7" s="1"/>
  <c r="K976" i="7"/>
  <c r="H977" i="7"/>
  <c r="I977" i="7"/>
  <c r="J977" i="7"/>
  <c r="L977" i="7" s="1" a="1"/>
  <c r="L977" i="7" s="1"/>
  <c r="K977" i="7"/>
  <c r="H978" i="7"/>
  <c r="I978" i="7" s="1"/>
  <c r="J978" i="7"/>
  <c r="K978" i="7"/>
  <c r="H979" i="7"/>
  <c r="I979" i="7"/>
  <c r="J979" i="7"/>
  <c r="L979" i="7" s="1" a="1"/>
  <c r="L979" i="7" s="1"/>
  <c r="K979" i="7"/>
  <c r="H980" i="7"/>
  <c r="I980" i="7" s="1"/>
  <c r="J980" i="7"/>
  <c r="K980" i="7"/>
  <c r="H981" i="7"/>
  <c r="I981" i="7" s="1"/>
  <c r="J981" i="7"/>
  <c r="L981" i="7" s="1" a="1"/>
  <c r="L981" i="7" s="1"/>
  <c r="K981" i="7"/>
  <c r="H982" i="7"/>
  <c r="I982" i="7"/>
  <c r="J982" i="7"/>
  <c r="L982" i="7" s="1" a="1"/>
  <c r="L982" i="7" s="1"/>
  <c r="K982" i="7"/>
  <c r="H983" i="7"/>
  <c r="I983" i="7" s="1"/>
  <c r="J983" i="7"/>
  <c r="K983" i="7"/>
  <c r="H984" i="7"/>
  <c r="I984" i="7"/>
  <c r="J984" i="7"/>
  <c r="K984" i="7"/>
  <c r="H985" i="7"/>
  <c r="I985" i="7"/>
  <c r="J985" i="7"/>
  <c r="L985" i="7" s="1" a="1"/>
  <c r="L985" i="7" s="1"/>
  <c r="K985" i="7"/>
  <c r="H986" i="7"/>
  <c r="I986" i="7"/>
  <c r="J986" i="7"/>
  <c r="L986" i="7" s="1" a="1"/>
  <c r="L986" i="7" s="1"/>
  <c r="K986" i="7"/>
  <c r="H987" i="7"/>
  <c r="I987" i="7"/>
  <c r="J987" i="7"/>
  <c r="K987" i="7"/>
  <c r="H988" i="7"/>
  <c r="I988" i="7"/>
  <c r="J988" i="7"/>
  <c r="L988" i="7" s="1" a="1"/>
  <c r="L988" i="7" s="1"/>
  <c r="K988" i="7"/>
  <c r="H989" i="7"/>
  <c r="I989" i="7" s="1"/>
  <c r="J989" i="7"/>
  <c r="K989" i="7"/>
  <c r="H990" i="7"/>
  <c r="I990" i="7" s="1"/>
  <c r="J990" i="7"/>
  <c r="L990" i="7" s="1" a="1"/>
  <c r="L990" i="7" s="1"/>
  <c r="K990" i="7"/>
  <c r="H991" i="7"/>
  <c r="I991" i="7" s="1"/>
  <c r="J991" i="7"/>
  <c r="L991" i="7" s="1" a="1"/>
  <c r="L991" i="7" s="1"/>
  <c r="K991" i="7"/>
  <c r="H992" i="7"/>
  <c r="I992" i="7"/>
  <c r="J992" i="7"/>
  <c r="L992" i="7" s="1" a="1"/>
  <c r="L992" i="7" s="1"/>
  <c r="K992" i="7"/>
  <c r="H993" i="7"/>
  <c r="I993" i="7" s="1"/>
  <c r="J993" i="7"/>
  <c r="L993" i="7" s="1" a="1"/>
  <c r="L993" i="7" s="1"/>
  <c r="K993" i="7"/>
  <c r="H994" i="7"/>
  <c r="I994" i="7"/>
  <c r="J994" i="7"/>
  <c r="L994" i="7" s="1" a="1"/>
  <c r="L994" i="7" s="1"/>
  <c r="K994" i="7"/>
  <c r="H995" i="7"/>
  <c r="I995" i="7"/>
  <c r="J995" i="7"/>
  <c r="L995" i="7" s="1" a="1"/>
  <c r="L995" i="7" s="1"/>
  <c r="K995" i="7"/>
  <c r="H996" i="7"/>
  <c r="I996" i="7" s="1"/>
  <c r="J996" i="7"/>
  <c r="K996" i="7"/>
  <c r="H997" i="7"/>
  <c r="I997" i="7" s="1"/>
  <c r="J997" i="7"/>
  <c r="L997" i="7" s="1" a="1"/>
  <c r="L997" i="7" s="1"/>
  <c r="K997" i="7"/>
  <c r="H998" i="7"/>
  <c r="I998" i="7" s="1"/>
  <c r="J998" i="7"/>
  <c r="L998" i="7" s="1" a="1"/>
  <c r="L998" i="7" s="1"/>
  <c r="K998" i="7"/>
  <c r="H999" i="7"/>
  <c r="I999" i="7"/>
  <c r="J999" i="7"/>
  <c r="L999" i="7" s="1" a="1"/>
  <c r="L999" i="7" s="1"/>
  <c r="K999" i="7"/>
  <c r="H1000" i="7"/>
  <c r="I1000" i="7"/>
  <c r="J1000" i="7"/>
  <c r="L1000" i="7" s="1" a="1"/>
  <c r="L1000" i="7" s="1"/>
  <c r="K1000" i="7"/>
  <c r="H1001" i="7"/>
  <c r="I1001" i="7"/>
  <c r="J1001" i="7"/>
  <c r="L1001" i="7" s="1" a="1"/>
  <c r="L1001" i="7" s="1"/>
  <c r="K1001" i="7"/>
  <c r="H1002" i="7"/>
  <c r="I1002" i="7"/>
  <c r="J1002" i="7"/>
  <c r="L1002" i="7" s="1" a="1"/>
  <c r="L1002" i="7" s="1"/>
  <c r="K1002" i="7"/>
  <c r="H1003" i="7"/>
  <c r="I1003" i="7" s="1"/>
  <c r="J1003" i="7"/>
  <c r="L1003" i="7" s="1" a="1"/>
  <c r="L1003" i="7" s="1"/>
  <c r="K1003" i="7"/>
  <c r="H1004" i="7"/>
  <c r="I1004" i="7" s="1"/>
  <c r="J1004" i="7"/>
  <c r="L1004" i="7" s="1" a="1"/>
  <c r="L1004" i="7" s="1"/>
  <c r="K1004" i="7"/>
  <c r="H1005" i="7"/>
  <c r="I1005" i="7" s="1"/>
  <c r="J1005" i="7"/>
  <c r="L1005" i="7" s="1" a="1"/>
  <c r="L1005" i="7" s="1"/>
  <c r="K1005" i="7"/>
  <c r="H1006" i="7"/>
  <c r="I1006" i="7" s="1"/>
  <c r="J1006" i="7"/>
  <c r="K1006" i="7"/>
  <c r="H1007" i="7"/>
  <c r="I1007" i="7"/>
  <c r="J1007" i="7"/>
  <c r="L1007" i="7" s="1" a="1"/>
  <c r="L1007" i="7" s="1"/>
  <c r="K1007" i="7"/>
  <c r="H1008" i="7"/>
  <c r="I1008" i="7"/>
  <c r="J1008" i="7"/>
  <c r="K1008" i="7"/>
  <c r="H1009" i="7"/>
  <c r="I1009" i="7"/>
  <c r="J1009" i="7"/>
  <c r="K1009" i="7"/>
  <c r="H1010" i="7"/>
  <c r="I1010" i="7"/>
  <c r="J1010" i="7"/>
  <c r="L1010" i="7" s="1" a="1"/>
  <c r="L1010" i="7" s="1"/>
  <c r="K1010" i="7"/>
  <c r="H1011" i="7"/>
  <c r="I1011" i="7"/>
  <c r="J1011" i="7"/>
  <c r="L1011" i="7" s="1" a="1"/>
  <c r="L1011" i="7" s="1"/>
  <c r="K1011" i="7"/>
  <c r="H1012" i="7"/>
  <c r="I1012" i="7" s="1"/>
  <c r="J1012" i="7"/>
  <c r="K1012" i="7"/>
  <c r="H1013" i="7"/>
  <c r="I1013" i="7"/>
  <c r="J1013" i="7"/>
  <c r="L1013" i="7" s="1" a="1"/>
  <c r="L1013" i="7" s="1"/>
  <c r="K1013" i="7"/>
  <c r="H1014" i="7"/>
  <c r="I1014" i="7" s="1"/>
  <c r="J1014" i="7"/>
  <c r="K1014" i="7"/>
  <c r="H1015" i="7"/>
  <c r="I1015" i="7" s="1"/>
  <c r="J1015" i="7"/>
  <c r="K1015" i="7"/>
  <c r="H1016" i="7"/>
  <c r="I1016" i="7"/>
  <c r="J1016" i="7"/>
  <c r="L1016" i="7" s="1" a="1"/>
  <c r="L1016" i="7" s="1"/>
  <c r="K1016" i="7"/>
  <c r="H1017" i="7"/>
  <c r="I1017" i="7"/>
  <c r="J1017" i="7"/>
  <c r="L1017" i="7" s="1" a="1"/>
  <c r="L1017" i="7" s="1"/>
  <c r="K1017" i="7"/>
  <c r="H1018" i="7"/>
  <c r="I1018" i="7" s="1"/>
  <c r="J1018" i="7"/>
  <c r="L1018" i="7" s="1" a="1"/>
  <c r="L1018" i="7" s="1"/>
  <c r="K1018" i="7"/>
  <c r="H1019" i="7"/>
  <c r="I1019" i="7"/>
  <c r="J1019" i="7"/>
  <c r="L1019" i="7" s="1" a="1"/>
  <c r="L1019" i="7" s="1"/>
  <c r="K1019" i="7"/>
  <c r="H1020" i="7"/>
  <c r="I1020" i="7"/>
  <c r="J1020" i="7"/>
  <c r="L1020" i="7" s="1" a="1"/>
  <c r="L1020" i="7" s="1"/>
  <c r="K1020" i="7"/>
  <c r="H1021" i="7"/>
  <c r="I1021" i="7" s="1"/>
  <c r="J1021" i="7"/>
  <c r="K1021" i="7"/>
  <c r="H1022" i="7"/>
  <c r="I1022" i="7" s="1"/>
  <c r="J1022" i="7"/>
  <c r="L1022" i="7" s="1" a="1"/>
  <c r="L1022" i="7" s="1"/>
  <c r="K1022" i="7"/>
  <c r="H1023" i="7"/>
  <c r="I1023" i="7" s="1"/>
  <c r="J1023" i="7"/>
  <c r="L1023" i="7" s="1" a="1"/>
  <c r="L1023" i="7" s="1"/>
  <c r="K1023" i="7"/>
  <c r="H1024" i="7"/>
  <c r="I1024" i="7" s="1"/>
  <c r="J1024" i="7"/>
  <c r="L1024" i="7" s="1" a="1"/>
  <c r="L1024" i="7" s="1"/>
  <c r="K1024" i="7"/>
  <c r="H1025" i="7"/>
  <c r="I1025" i="7"/>
  <c r="J1025" i="7"/>
  <c r="L1025" i="7" s="1" a="1"/>
  <c r="L1025" i="7" s="1"/>
  <c r="K1025" i="7"/>
  <c r="H1026" i="7"/>
  <c r="I1026" i="7"/>
  <c r="J1026" i="7"/>
  <c r="L1026" i="7" s="1" a="1"/>
  <c r="L1026" i="7" s="1"/>
  <c r="K1026" i="7"/>
  <c r="H1027" i="7"/>
  <c r="I1027" i="7"/>
  <c r="J1027" i="7"/>
  <c r="L1027" i="7" s="1" a="1"/>
  <c r="L1027" i="7" s="1"/>
  <c r="K1027" i="7"/>
  <c r="H1028" i="7"/>
  <c r="I1028" i="7"/>
  <c r="J1028" i="7"/>
  <c r="L1028" i="7" s="1" a="1"/>
  <c r="L1028" i="7" s="1"/>
  <c r="K1028" i="7"/>
  <c r="H1029" i="7"/>
  <c r="I1029" i="7" s="1"/>
  <c r="J1029" i="7"/>
  <c r="K1029" i="7"/>
  <c r="H1030" i="7"/>
  <c r="I1030" i="7" s="1"/>
  <c r="J1030" i="7"/>
  <c r="K1030" i="7"/>
  <c r="H1031" i="7"/>
  <c r="I1031" i="7" s="1"/>
  <c r="J1031" i="7"/>
  <c r="L1031" i="7" s="1" a="1"/>
  <c r="L1031" i="7" s="1"/>
  <c r="K1031" i="7"/>
  <c r="H1032" i="7"/>
  <c r="I1032" i="7"/>
  <c r="J1032" i="7"/>
  <c r="L1032" i="7" s="1" a="1"/>
  <c r="L1032" i="7" s="1"/>
  <c r="K1032" i="7"/>
  <c r="H1033" i="7"/>
  <c r="I1033" i="7"/>
  <c r="J1033" i="7"/>
  <c r="K1033" i="7"/>
  <c r="H1034" i="7"/>
  <c r="I1034" i="7"/>
  <c r="J1034" i="7"/>
  <c r="K1034" i="7"/>
  <c r="H1035" i="7"/>
  <c r="I1035" i="7"/>
  <c r="J1035" i="7"/>
  <c r="L1035" i="7" s="1" a="1"/>
  <c r="L1035" i="7" s="1"/>
  <c r="K1035" i="7"/>
  <c r="H1036" i="7"/>
  <c r="I1036" i="7" s="1"/>
  <c r="J1036" i="7"/>
  <c r="K1036" i="7"/>
  <c r="H1037" i="7"/>
  <c r="I1037" i="7" s="1"/>
  <c r="J1037" i="7"/>
  <c r="L1037" i="7" s="1" a="1"/>
  <c r="L1037" i="7" s="1"/>
  <c r="K1037" i="7"/>
  <c r="H1038" i="7"/>
  <c r="I1038" i="7"/>
  <c r="J1038" i="7"/>
  <c r="L1038" i="7" s="1" a="1"/>
  <c r="L1038" i="7" s="1"/>
  <c r="K1038" i="7"/>
  <c r="H1039" i="7"/>
  <c r="I1039" i="7" s="1"/>
  <c r="J1039" i="7"/>
  <c r="K1039" i="7"/>
  <c r="H1040" i="7"/>
  <c r="I1040" i="7"/>
  <c r="J1040" i="7"/>
  <c r="K1040" i="7"/>
  <c r="L1040" i="7" a="1"/>
  <c r="L1040" i="7" s="1"/>
  <c r="H1041" i="7"/>
  <c r="I1041" i="7"/>
  <c r="J1041" i="7"/>
  <c r="L1041" i="7" s="1" a="1"/>
  <c r="L1041" i="7" s="1"/>
  <c r="K1041" i="7"/>
  <c r="H1042" i="7"/>
  <c r="I1042" i="7"/>
  <c r="J1042" i="7"/>
  <c r="L1042" i="7" s="1" a="1"/>
  <c r="L1042" i="7" s="1"/>
  <c r="K1042" i="7"/>
  <c r="H1043" i="7"/>
  <c r="I1043" i="7" s="1"/>
  <c r="J1043" i="7"/>
  <c r="K1043" i="7"/>
  <c r="H1044" i="7"/>
  <c r="I1044" i="7" s="1"/>
  <c r="J1044" i="7"/>
  <c r="L1044" i="7" s="1" a="1"/>
  <c r="L1044" i="7" s="1"/>
  <c r="K1044" i="7"/>
  <c r="H1045" i="7"/>
  <c r="I1045" i="7"/>
  <c r="J1045" i="7"/>
  <c r="L1045" i="7" s="1" a="1"/>
  <c r="L1045" i="7" s="1"/>
  <c r="K1045" i="7"/>
  <c r="H1046" i="7"/>
  <c r="I1046" i="7" s="1"/>
  <c r="J1046" i="7"/>
  <c r="K1046" i="7"/>
  <c r="H1047" i="7"/>
  <c r="I1047" i="7" s="1"/>
  <c r="J1047" i="7"/>
  <c r="L1047" i="7" s="1" a="1"/>
  <c r="L1047" i="7" s="1"/>
  <c r="K1047" i="7"/>
  <c r="H1048" i="7"/>
  <c r="I1048" i="7"/>
  <c r="J1048" i="7"/>
  <c r="L1048" i="7" s="1" a="1"/>
  <c r="L1048" i="7" s="1"/>
  <c r="K1048" i="7"/>
  <c r="H1049" i="7"/>
  <c r="I1049" i="7" s="1"/>
  <c r="J1049" i="7"/>
  <c r="L1049" i="7" s="1" a="1"/>
  <c r="L1049" i="7" s="1"/>
  <c r="K1049" i="7"/>
  <c r="H1050" i="7"/>
  <c r="I1050" i="7"/>
  <c r="J1050" i="7"/>
  <c r="L1050" i="7" s="1" a="1"/>
  <c r="L1050" i="7" s="1"/>
  <c r="K1050" i="7"/>
  <c r="H1051" i="7"/>
  <c r="I1051" i="7"/>
  <c r="J1051" i="7"/>
  <c r="L1051" i="7" s="1" a="1"/>
  <c r="L1051" i="7" s="1"/>
  <c r="K1051" i="7"/>
  <c r="H1052" i="7"/>
  <c r="I1052" i="7" s="1"/>
  <c r="J1052" i="7"/>
  <c r="K1052" i="7"/>
  <c r="H1053" i="7"/>
  <c r="I1053" i="7"/>
  <c r="J1053" i="7"/>
  <c r="L1053" i="7" s="1" a="1"/>
  <c r="L1053" i="7" s="1"/>
  <c r="K1053" i="7"/>
  <c r="H1054" i="7"/>
  <c r="I1054" i="7" s="1"/>
  <c r="J1054" i="7"/>
  <c r="L1054" i="7" s="1" a="1"/>
  <c r="L1054" i="7" s="1"/>
  <c r="K1054" i="7"/>
  <c r="H1055" i="7"/>
  <c r="I1055" i="7" s="1"/>
  <c r="J1055" i="7"/>
  <c r="L1055" i="7" s="1" a="1"/>
  <c r="L1055" i="7" s="1"/>
  <c r="K1055" i="7"/>
  <c r="H1056" i="7"/>
  <c r="I1056" i="7"/>
  <c r="J1056" i="7"/>
  <c r="L1056" i="7" s="1" a="1"/>
  <c r="L1056" i="7" s="1"/>
  <c r="K1056" i="7"/>
  <c r="H1057" i="7"/>
  <c r="I1057" i="7"/>
  <c r="J1057" i="7"/>
  <c r="L1057" i="7" s="1" a="1"/>
  <c r="L1057" i="7" s="1"/>
  <c r="K1057" i="7"/>
  <c r="H1058" i="7"/>
  <c r="I1058" i="7"/>
  <c r="J1058" i="7"/>
  <c r="K1058" i="7"/>
  <c r="H1059" i="7"/>
  <c r="I1059" i="7" s="1"/>
  <c r="J1059" i="7"/>
  <c r="K1059" i="7"/>
  <c r="H1060" i="7"/>
  <c r="I1060" i="7" s="1"/>
  <c r="J1060" i="7"/>
  <c r="K1060" i="7"/>
  <c r="H1061" i="7"/>
  <c r="I1061" i="7" s="1"/>
  <c r="J1061" i="7"/>
  <c r="K1061" i="7"/>
  <c r="H1062" i="7"/>
  <c r="I1062" i="7" s="1"/>
  <c r="J1062" i="7"/>
  <c r="L1062" i="7" s="1" a="1"/>
  <c r="L1062" i="7" s="1"/>
  <c r="K1062" i="7"/>
  <c r="H1063" i="7"/>
  <c r="I1063" i="7"/>
  <c r="J1063" i="7"/>
  <c r="L1063" i="7" s="1" a="1"/>
  <c r="L1063" i="7" s="1"/>
  <c r="K1063" i="7"/>
  <c r="H1064" i="7"/>
  <c r="I1064" i="7" s="1"/>
  <c r="J1064" i="7"/>
  <c r="K1064" i="7"/>
  <c r="H1065" i="7"/>
  <c r="I1065" i="7"/>
  <c r="J1065" i="7"/>
  <c r="L1065" i="7" s="1" a="1"/>
  <c r="L1065" i="7" s="1"/>
  <c r="K1065" i="7"/>
  <c r="H1066" i="7"/>
  <c r="I1066" i="7"/>
  <c r="J1066" i="7"/>
  <c r="L1066" i="7" s="1" a="1"/>
  <c r="L1066" i="7" s="1"/>
  <c r="K1066" i="7"/>
  <c r="H1067" i="7"/>
  <c r="I1067" i="7"/>
  <c r="J1067" i="7"/>
  <c r="L1067" i="7" s="1" a="1"/>
  <c r="L1067" i="7" s="1"/>
  <c r="K1067" i="7"/>
  <c r="H1068" i="7"/>
  <c r="I1068" i="7" s="1"/>
  <c r="J1068" i="7"/>
  <c r="L1068" i="7" s="1" a="1"/>
  <c r="L1068" i="7" s="1"/>
  <c r="K1068" i="7"/>
  <c r="H1069" i="7"/>
  <c r="I1069" i="7" s="1"/>
  <c r="J1069" i="7"/>
  <c r="K1069" i="7"/>
  <c r="H1070" i="7"/>
  <c r="I1070" i="7"/>
  <c r="J1070" i="7"/>
  <c r="L1070" i="7" s="1" a="1"/>
  <c r="L1070" i="7" s="1"/>
  <c r="K1070" i="7"/>
  <c r="H1071" i="7"/>
  <c r="I1071" i="7" s="1"/>
  <c r="J1071" i="7"/>
  <c r="K1071" i="7"/>
  <c r="H1072" i="7"/>
  <c r="I1072" i="7"/>
  <c r="J1072" i="7"/>
  <c r="L1072" i="7" s="1" a="1"/>
  <c r="L1072" i="7" s="1"/>
  <c r="K1072" i="7"/>
  <c r="H1073" i="7"/>
  <c r="I1073" i="7"/>
  <c r="J1073" i="7"/>
  <c r="L1073" i="7" s="1" a="1"/>
  <c r="L1073" i="7" s="1"/>
  <c r="K1073" i="7"/>
  <c r="H1074" i="7"/>
  <c r="I1074" i="7" s="1"/>
  <c r="J1074" i="7"/>
  <c r="L1074" i="7" s="1" a="1"/>
  <c r="L1074" i="7" s="1"/>
  <c r="K1074" i="7"/>
  <c r="H1075" i="7"/>
  <c r="I1075" i="7"/>
  <c r="J1075" i="7"/>
  <c r="L1075" i="7" s="1" a="1"/>
  <c r="L1075" i="7" s="1"/>
  <c r="K1075" i="7"/>
  <c r="H1076" i="7"/>
  <c r="I1076" i="7" s="1"/>
  <c r="J1076" i="7"/>
  <c r="L1076" i="7" s="1" a="1"/>
  <c r="L1076" i="7" s="1"/>
  <c r="K1076" i="7"/>
  <c r="H1077" i="7"/>
  <c r="I1077" i="7" s="1"/>
  <c r="J1077" i="7"/>
  <c r="L1077" i="7" s="1" a="1"/>
  <c r="L1077" i="7" s="1"/>
  <c r="K1077" i="7"/>
  <c r="H1078" i="7"/>
  <c r="I1078" i="7"/>
  <c r="J1078" i="7"/>
  <c r="L1078" i="7" s="1" a="1"/>
  <c r="L1078" i="7" s="1"/>
  <c r="K1078" i="7"/>
  <c r="H1079" i="7"/>
  <c r="I1079" i="7" s="1"/>
  <c r="J1079" i="7"/>
  <c r="L1079" i="7" s="1" a="1"/>
  <c r="L1079" i="7" s="1"/>
  <c r="K1079" i="7"/>
  <c r="H1080" i="7"/>
  <c r="I1080" i="7" s="1"/>
  <c r="J1080" i="7"/>
  <c r="K1080" i="7"/>
  <c r="H1081" i="7"/>
  <c r="I1081" i="7"/>
  <c r="J1081" i="7"/>
  <c r="L1081" i="7" s="1" a="1"/>
  <c r="L1081" i="7" s="1"/>
  <c r="K1081" i="7"/>
  <c r="H1082" i="7"/>
  <c r="I1082" i="7"/>
  <c r="J1082" i="7"/>
  <c r="L1082" i="7" s="1" a="1"/>
  <c r="L1082" i="7" s="1"/>
  <c r="K1082" i="7"/>
  <c r="H1083" i="7"/>
  <c r="I1083" i="7"/>
  <c r="J1083" i="7"/>
  <c r="K1083" i="7"/>
  <c r="H1084" i="7"/>
  <c r="I1084" i="7"/>
  <c r="J1084" i="7"/>
  <c r="L1084" i="7" s="1" a="1"/>
  <c r="L1084" i="7" s="1"/>
  <c r="K1084" i="7"/>
  <c r="H1085" i="7"/>
  <c r="I1085" i="7" s="1"/>
  <c r="J1085" i="7"/>
  <c r="K1085" i="7"/>
  <c r="H1086" i="7"/>
  <c r="I1086" i="7" s="1"/>
  <c r="J1086" i="7"/>
  <c r="K1086" i="7"/>
  <c r="H1087" i="7"/>
  <c r="I1087" i="7" s="1"/>
  <c r="J1087" i="7"/>
  <c r="L1087" i="7" s="1" a="1"/>
  <c r="L1087" i="7" s="1"/>
  <c r="K1087" i="7"/>
  <c r="H1088" i="7"/>
  <c r="I1088" i="7"/>
  <c r="J1088" i="7"/>
  <c r="L1088" i="7" s="1" a="1"/>
  <c r="L1088" i="7" s="1"/>
  <c r="K1088" i="7"/>
  <c r="H1089" i="7"/>
  <c r="I1089" i="7" s="1"/>
  <c r="J1089" i="7"/>
  <c r="K1089" i="7"/>
  <c r="H1090" i="7"/>
  <c r="I1090" i="7"/>
  <c r="J1090" i="7"/>
  <c r="L1090" i="7" s="1" a="1"/>
  <c r="L1090" i="7" s="1"/>
  <c r="K1090" i="7"/>
  <c r="H1091" i="7"/>
  <c r="I1091" i="7"/>
  <c r="J1091" i="7"/>
  <c r="L1091" i="7" s="1" a="1"/>
  <c r="L1091" i="7" s="1"/>
  <c r="K1091" i="7"/>
  <c r="H1092" i="7"/>
  <c r="I1092" i="7" s="1"/>
  <c r="J1092" i="7"/>
  <c r="K1092" i="7"/>
  <c r="H1093" i="7"/>
  <c r="I1093" i="7" s="1"/>
  <c r="J1093" i="7"/>
  <c r="L1093" i="7" s="1" a="1"/>
  <c r="L1093" i="7" s="1"/>
  <c r="K1093" i="7"/>
  <c r="H1094" i="7"/>
  <c r="I1094" i="7" s="1"/>
  <c r="J1094" i="7"/>
  <c r="L1094" i="7" s="1" a="1"/>
  <c r="L1094" i="7" s="1"/>
  <c r="K1094" i="7"/>
  <c r="H1095" i="7"/>
  <c r="I1095" i="7"/>
  <c r="J1095" i="7"/>
  <c r="L1095" i="7" s="1" a="1"/>
  <c r="L1095" i="7" s="1"/>
  <c r="K1095" i="7"/>
  <c r="H1096" i="7"/>
  <c r="I1096" i="7"/>
  <c r="J1096" i="7"/>
  <c r="L1096" i="7" s="1" a="1"/>
  <c r="L1096" i="7" s="1"/>
  <c r="K1096" i="7"/>
  <c r="H1097" i="7"/>
  <c r="I1097" i="7"/>
  <c r="J1097" i="7"/>
  <c r="L1097" i="7" s="1" a="1"/>
  <c r="L1097" i="7" s="1"/>
  <c r="K1097" i="7"/>
  <c r="H1098" i="7"/>
  <c r="I1098" i="7"/>
  <c r="J1098" i="7"/>
  <c r="L1098" i="7" s="1" a="1"/>
  <c r="L1098" i="7" s="1"/>
  <c r="K1098" i="7"/>
  <c r="H1099" i="7"/>
  <c r="I1099" i="7" s="1"/>
  <c r="J1099" i="7"/>
  <c r="L1099" i="7" s="1" a="1"/>
  <c r="L1099" i="7" s="1"/>
  <c r="K1099" i="7"/>
  <c r="H1100" i="7"/>
  <c r="I1100" i="7" s="1"/>
  <c r="J1100" i="7"/>
  <c r="L1100" i="7" s="1" a="1"/>
  <c r="L1100" i="7" s="1"/>
  <c r="K1100" i="7"/>
  <c r="H1101" i="7"/>
  <c r="I1101" i="7" s="1"/>
  <c r="J1101" i="7"/>
  <c r="L1101" i="7" s="1" a="1"/>
  <c r="L1101" i="7" s="1"/>
  <c r="K1101" i="7"/>
  <c r="H1102" i="7"/>
  <c r="I1102" i="7" s="1"/>
  <c r="J1102" i="7"/>
  <c r="L1102" i="7" s="1" a="1"/>
  <c r="L1102" i="7" s="1"/>
  <c r="K1102" i="7"/>
  <c r="H1103" i="7"/>
  <c r="I1103" i="7"/>
  <c r="J1103" i="7"/>
  <c r="L1103" i="7" s="1" a="1"/>
  <c r="L1103" i="7" s="1"/>
  <c r="K1103" i="7"/>
  <c r="H1104" i="7"/>
  <c r="I1104" i="7"/>
  <c r="J1104" i="7"/>
  <c r="K1104" i="7"/>
  <c r="H1105" i="7"/>
  <c r="I1105" i="7"/>
  <c r="J1105" i="7"/>
  <c r="K1105" i="7"/>
  <c r="H1106" i="7"/>
  <c r="I1106" i="7"/>
  <c r="J1106" i="7"/>
  <c r="L1106" i="7" s="1" a="1"/>
  <c r="L1106" i="7" s="1"/>
  <c r="K1106" i="7"/>
  <c r="H1107" i="7"/>
  <c r="I1107" i="7"/>
  <c r="J1107" i="7"/>
  <c r="L1107" i="7" s="1" a="1"/>
  <c r="L1107" i="7" s="1"/>
  <c r="K1107" i="7"/>
  <c r="H1108" i="7"/>
  <c r="I1108" i="7" s="1"/>
  <c r="J1108" i="7"/>
  <c r="K1108" i="7"/>
  <c r="H1109" i="7"/>
  <c r="I1109" i="7"/>
  <c r="J1109" i="7"/>
  <c r="L1109" i="7" s="1" a="1"/>
  <c r="L1109" i="7" s="1"/>
  <c r="K1109" i="7"/>
  <c r="H1110" i="7"/>
  <c r="I1110" i="7" s="1"/>
  <c r="J1110" i="7"/>
  <c r="K1110" i="7"/>
  <c r="H1111" i="7"/>
  <c r="I1111" i="7" s="1"/>
  <c r="J1111" i="7"/>
  <c r="L1111" i="7" s="1" a="1"/>
  <c r="L1111" i="7" s="1"/>
  <c r="K1111" i="7"/>
  <c r="H1112" i="7"/>
  <c r="I1112" i="7"/>
  <c r="J1112" i="7"/>
  <c r="L1112" i="7" s="1" a="1"/>
  <c r="L1112" i="7" s="1"/>
  <c r="K1112" i="7"/>
  <c r="H1113" i="7"/>
  <c r="I1113" i="7"/>
  <c r="J1113" i="7"/>
  <c r="L1113" i="7" s="1" a="1"/>
  <c r="L1113" i="7" s="1"/>
  <c r="K1113" i="7"/>
  <c r="H1114" i="7"/>
  <c r="I1114" i="7" s="1"/>
  <c r="J1114" i="7"/>
  <c r="K1114" i="7"/>
  <c r="H1115" i="7"/>
  <c r="I1115" i="7"/>
  <c r="J1115" i="7"/>
  <c r="L1115" i="7" s="1" a="1"/>
  <c r="L1115" i="7" s="1"/>
  <c r="K1115" i="7"/>
  <c r="H1116" i="7"/>
  <c r="I1116" i="7"/>
  <c r="J1116" i="7"/>
  <c r="L1116" i="7" s="1" a="1"/>
  <c r="L1116" i="7" s="1"/>
  <c r="K1116" i="7"/>
  <c r="H1117" i="7"/>
  <c r="I1117" i="7" s="1"/>
  <c r="J1117" i="7"/>
  <c r="L1117" i="7" s="1" a="1"/>
  <c r="L1117" i="7" s="1"/>
  <c r="K1117" i="7"/>
  <c r="H1118" i="7"/>
  <c r="I1118" i="7" s="1"/>
  <c r="J1118" i="7"/>
  <c r="K1118" i="7"/>
  <c r="H1119" i="7"/>
  <c r="I1119" i="7" s="1"/>
  <c r="J1119" i="7"/>
  <c r="L1119" i="7" s="1" a="1"/>
  <c r="L1119" i="7" s="1"/>
  <c r="K1119" i="7"/>
  <c r="H1120" i="7"/>
  <c r="I1120" i="7" s="1"/>
  <c r="J1120" i="7"/>
  <c r="K1120" i="7"/>
  <c r="H1121" i="7"/>
  <c r="I1121" i="7"/>
  <c r="J1121" i="7"/>
  <c r="L1121" i="7" s="1" a="1"/>
  <c r="L1121" i="7" s="1"/>
  <c r="K1121" i="7"/>
  <c r="H1122" i="7"/>
  <c r="I1122" i="7"/>
  <c r="J1122" i="7"/>
  <c r="L1122" i="7" s="1" a="1"/>
  <c r="L1122" i="7" s="1"/>
  <c r="K1122" i="7"/>
  <c r="H1123" i="7"/>
  <c r="I1123" i="7"/>
  <c r="J1123" i="7"/>
  <c r="L1123" i="7" s="1" a="1"/>
  <c r="L1123" i="7" s="1"/>
  <c r="K1123" i="7"/>
  <c r="H1124" i="7"/>
  <c r="I1124" i="7"/>
  <c r="J1124" i="7"/>
  <c r="L1124" i="7" s="1" a="1"/>
  <c r="L1124" i="7" s="1"/>
  <c r="K1124" i="7"/>
  <c r="H1125" i="7"/>
  <c r="I1125" i="7" s="1"/>
  <c r="J1125" i="7"/>
  <c r="K1125" i="7"/>
  <c r="H1126" i="7"/>
  <c r="I1126" i="7" s="1"/>
  <c r="J1126" i="7"/>
  <c r="L1126" i="7" s="1" a="1"/>
  <c r="L1126" i="7" s="1"/>
  <c r="K1126" i="7"/>
  <c r="H1127" i="7"/>
  <c r="I1127" i="7" s="1"/>
  <c r="J1127" i="7"/>
  <c r="K1127" i="7"/>
  <c r="H1128" i="7"/>
  <c r="I1128" i="7"/>
  <c r="J1128" i="7"/>
  <c r="L1128" i="7" s="1" a="1"/>
  <c r="L1128" i="7" s="1"/>
  <c r="K1128" i="7"/>
  <c r="H1129" i="7"/>
  <c r="I1129" i="7"/>
  <c r="J1129" i="7"/>
  <c r="K1129" i="7"/>
  <c r="H1130" i="7"/>
  <c r="I1130" i="7"/>
  <c r="J1130" i="7"/>
  <c r="K1130" i="7"/>
  <c r="H1131" i="7"/>
  <c r="I1131" i="7"/>
  <c r="J1131" i="7"/>
  <c r="L1131" i="7" s="1" a="1"/>
  <c r="L1131" i="7" s="1"/>
  <c r="K1131" i="7"/>
  <c r="H1132" i="7"/>
  <c r="I1132" i="7" s="1"/>
  <c r="J1132" i="7"/>
  <c r="L1132" i="7" s="1" a="1"/>
  <c r="L1132" i="7" s="1"/>
  <c r="K1132" i="7"/>
  <c r="H1133" i="7"/>
  <c r="I1133" i="7" s="1"/>
  <c r="J1133" i="7"/>
  <c r="L1133" i="7" s="1" a="1"/>
  <c r="L1133" i="7" s="1"/>
  <c r="K1133" i="7"/>
  <c r="H1134" i="7"/>
  <c r="I1134" i="7"/>
  <c r="J1134" i="7"/>
  <c r="L1134" i="7" s="1" a="1"/>
  <c r="L1134" i="7" s="1"/>
  <c r="K1134" i="7"/>
  <c r="H1135" i="7"/>
  <c r="I1135" i="7" s="1"/>
  <c r="J1135" i="7"/>
  <c r="K1135" i="7"/>
  <c r="H1136" i="7"/>
  <c r="I1136" i="7"/>
  <c r="J1136" i="7"/>
  <c r="L1136" i="7" s="1" a="1"/>
  <c r="L1136" i="7" s="1"/>
  <c r="K1136" i="7"/>
  <c r="H1137" i="7"/>
  <c r="I1137" i="7"/>
  <c r="J1137" i="7"/>
  <c r="L1137" i="7" s="1" a="1"/>
  <c r="L1137" i="7" s="1"/>
  <c r="K1137" i="7"/>
  <c r="H1138" i="7"/>
  <c r="I1138" i="7"/>
  <c r="J1138" i="7"/>
  <c r="L1138" i="7" s="1" a="1"/>
  <c r="L1138" i="7" s="1"/>
  <c r="K1138" i="7"/>
  <c r="H1139" i="7"/>
  <c r="I1139" i="7" s="1"/>
  <c r="J1139" i="7"/>
  <c r="K1139" i="7"/>
  <c r="H1140" i="7"/>
  <c r="I1140" i="7" s="1"/>
  <c r="J1140" i="7"/>
  <c r="L1140" i="7" s="1" a="1"/>
  <c r="L1140" i="7" s="1"/>
  <c r="K1140" i="7"/>
  <c r="H1141" i="7"/>
  <c r="I1141" i="7"/>
  <c r="J1141" i="7"/>
  <c r="L1141" i="7" s="1" a="1"/>
  <c r="L1141" i="7" s="1"/>
  <c r="K1141" i="7"/>
  <c r="H1142" i="7"/>
  <c r="I1142" i="7" s="1"/>
  <c r="J1142" i="7"/>
  <c r="K1142" i="7"/>
  <c r="H1143" i="7"/>
  <c r="I1143" i="7" s="1"/>
  <c r="J1143" i="7"/>
  <c r="K1143" i="7"/>
  <c r="H1144" i="7"/>
  <c r="I1144" i="7"/>
  <c r="J1144" i="7"/>
  <c r="L1144" i="7" s="1" a="1"/>
  <c r="L1144" i="7" s="1"/>
  <c r="K1144" i="7"/>
  <c r="H1145" i="7"/>
  <c r="I1145" i="7" s="1"/>
  <c r="J1145" i="7"/>
  <c r="K1145" i="7"/>
  <c r="H1146" i="7"/>
  <c r="I1146" i="7"/>
  <c r="J1146" i="7"/>
  <c r="L1146" i="7" s="1" a="1"/>
  <c r="L1146" i="7" s="1"/>
  <c r="K1146" i="7"/>
  <c r="H1147" i="7"/>
  <c r="I1147" i="7"/>
  <c r="J1147" i="7"/>
  <c r="L1147" i="7" s="1" a="1"/>
  <c r="L1147" i="7" s="1"/>
  <c r="K1147" i="7"/>
  <c r="H1148" i="7"/>
  <c r="I1148" i="7" s="1"/>
  <c r="J1148" i="7"/>
  <c r="L1148" i="7" s="1" a="1"/>
  <c r="L1148" i="7" s="1"/>
  <c r="K1148" i="7"/>
  <c r="H1149" i="7"/>
  <c r="I1149" i="7"/>
  <c r="J1149" i="7"/>
  <c r="L1149" i="7" s="1" a="1"/>
  <c r="L1149" i="7" s="1"/>
  <c r="K1149" i="7"/>
  <c r="H1150" i="7"/>
  <c r="I1150" i="7" s="1"/>
  <c r="J1150" i="7"/>
  <c r="L1150" i="7" s="1" a="1"/>
  <c r="L1150" i="7" s="1"/>
  <c r="K1150" i="7"/>
  <c r="H1151" i="7"/>
  <c r="I1151" i="7" s="1"/>
  <c r="J1151" i="7"/>
  <c r="K1151" i="7"/>
  <c r="H1152" i="7"/>
  <c r="I1152" i="7"/>
  <c r="J1152" i="7"/>
  <c r="L1152" i="7" s="1" a="1"/>
  <c r="L1152" i="7" s="1"/>
  <c r="K1152" i="7"/>
  <c r="H1153" i="7"/>
  <c r="I1153" i="7"/>
  <c r="J1153" i="7"/>
  <c r="L1153" i="7" s="1" a="1"/>
  <c r="L1153" i="7" s="1"/>
  <c r="K1153" i="7"/>
  <c r="H1154" i="7"/>
  <c r="I1154" i="7"/>
  <c r="J1154" i="7"/>
  <c r="K1154" i="7"/>
  <c r="H1155" i="7"/>
  <c r="I1155" i="7" s="1"/>
  <c r="J1155" i="7"/>
  <c r="K1155" i="7"/>
  <c r="H1156" i="7"/>
  <c r="I1156" i="7" s="1"/>
  <c r="J1156" i="7"/>
  <c r="K1156" i="7"/>
  <c r="H1157" i="7"/>
  <c r="I1157" i="7" s="1"/>
  <c r="J1157" i="7"/>
  <c r="K1157" i="7"/>
  <c r="H1158" i="7"/>
  <c r="I1158" i="7" s="1"/>
  <c r="J1158" i="7"/>
  <c r="L1158" i="7" s="1" a="1"/>
  <c r="L1158" i="7" s="1"/>
  <c r="K1158" i="7"/>
  <c r="H1159" i="7"/>
  <c r="I1159" i="7"/>
  <c r="J1159" i="7"/>
  <c r="L1159" i="7" s="1" a="1"/>
  <c r="L1159" i="7" s="1"/>
  <c r="K1159" i="7"/>
  <c r="H1160" i="7"/>
  <c r="I1160" i="7" s="1"/>
  <c r="J1160" i="7"/>
  <c r="K1160" i="7"/>
  <c r="H1161" i="7"/>
  <c r="I1161" i="7"/>
  <c r="J1161" i="7"/>
  <c r="K1161" i="7"/>
  <c r="H1162" i="7"/>
  <c r="I1162" i="7"/>
  <c r="J1162" i="7"/>
  <c r="K1162" i="7"/>
  <c r="H1163" i="7"/>
  <c r="I1163" i="7"/>
  <c r="J1163" i="7"/>
  <c r="L1163" i="7" s="1" a="1"/>
  <c r="L1163" i="7" s="1"/>
  <c r="K1163" i="7"/>
  <c r="H1164" i="7"/>
  <c r="I1164" i="7" s="1"/>
  <c r="J1164" i="7"/>
  <c r="K1164" i="7"/>
  <c r="H1165" i="7"/>
  <c r="I1165" i="7" s="1"/>
  <c r="J1165" i="7"/>
  <c r="L1165" i="7" s="1" a="1"/>
  <c r="L1165" i="7" s="1"/>
  <c r="K1165" i="7"/>
  <c r="H1166" i="7"/>
  <c r="I1166" i="7"/>
  <c r="J1166" i="7"/>
  <c r="L1166" i="7" s="1" a="1"/>
  <c r="L1166" i="7" s="1"/>
  <c r="K1166" i="7"/>
  <c r="H1167" i="7"/>
  <c r="I1167" i="7" s="1"/>
  <c r="J1167" i="7"/>
  <c r="K1167" i="7"/>
  <c r="H1168" i="7"/>
  <c r="I1168" i="7"/>
  <c r="J1168" i="7"/>
  <c r="L1168" i="7" s="1" a="1"/>
  <c r="L1168" i="7" s="1"/>
  <c r="K1168" i="7"/>
  <c r="H1169" i="7"/>
  <c r="I1169" i="7"/>
  <c r="J1169" i="7"/>
  <c r="L1169" i="7" s="1" a="1"/>
  <c r="L1169" i="7" s="1"/>
  <c r="K1169" i="7"/>
  <c r="H1170" i="7"/>
  <c r="I1170" i="7" s="1"/>
  <c r="J1170" i="7"/>
  <c r="K1170" i="7"/>
  <c r="H1171" i="7"/>
  <c r="I1171" i="7"/>
  <c r="J1171" i="7"/>
  <c r="L1171" i="7" s="1" a="1"/>
  <c r="L1171" i="7" s="1"/>
  <c r="K1171" i="7"/>
  <c r="H1172" i="7"/>
  <c r="I1172" i="7" s="1"/>
  <c r="J1172" i="7"/>
  <c r="L1172" i="7" s="1" a="1"/>
  <c r="L1172" i="7" s="1"/>
  <c r="K1172" i="7"/>
  <c r="H1173" i="7"/>
  <c r="I1173" i="7" s="1"/>
  <c r="J1173" i="7"/>
  <c r="K1173" i="7"/>
  <c r="H1174" i="7"/>
  <c r="I1174" i="7"/>
  <c r="J1174" i="7"/>
  <c r="L1174" i="7" s="1" a="1"/>
  <c r="L1174" i="7" s="1"/>
  <c r="K1174" i="7"/>
  <c r="H1175" i="7"/>
  <c r="I1175" i="7" s="1"/>
  <c r="J1175" i="7"/>
  <c r="L1175" i="7" s="1" a="1"/>
  <c r="L1175" i="7" s="1"/>
  <c r="K1175" i="7"/>
  <c r="H1176" i="7"/>
  <c r="I1176" i="7" s="1"/>
  <c r="J1176" i="7"/>
  <c r="K1176" i="7"/>
  <c r="H1177" i="7"/>
  <c r="I1177" i="7"/>
  <c r="J1177" i="7"/>
  <c r="L1177" i="7" s="1" a="1"/>
  <c r="L1177" i="7" s="1"/>
  <c r="K1177" i="7"/>
  <c r="H1178" i="7"/>
  <c r="I1178" i="7"/>
  <c r="J1178" i="7"/>
  <c r="L1178" i="7" s="1" a="1"/>
  <c r="L1178" i="7" s="1"/>
  <c r="K1178" i="7"/>
  <c r="H1179" i="7"/>
  <c r="I1179" i="7"/>
  <c r="J1179" i="7"/>
  <c r="K1179" i="7"/>
  <c r="H1180" i="7"/>
  <c r="I1180" i="7"/>
  <c r="J1180" i="7"/>
  <c r="L1180" i="7" s="1" a="1"/>
  <c r="L1180" i="7" s="1"/>
  <c r="K1180" i="7"/>
  <c r="H1181" i="7"/>
  <c r="I1181" i="7" s="1"/>
  <c r="J1181" i="7"/>
  <c r="K1181" i="7"/>
  <c r="H1182" i="7"/>
  <c r="I1182" i="7" s="1"/>
  <c r="J1182" i="7"/>
  <c r="L1182" i="7" s="1" a="1"/>
  <c r="L1182" i="7" s="1"/>
  <c r="K1182" i="7"/>
  <c r="H1183" i="7"/>
  <c r="I1183" i="7" s="1"/>
  <c r="J1183" i="7"/>
  <c r="L1183" i="7" s="1" a="1"/>
  <c r="L1183" i="7" s="1"/>
  <c r="K1183" i="7"/>
  <c r="H1184" i="7"/>
  <c r="I1184" i="7"/>
  <c r="J1184" i="7"/>
  <c r="L1184" i="7" s="1" a="1"/>
  <c r="L1184" i="7" s="1"/>
  <c r="K1184" i="7"/>
  <c r="H1185" i="7"/>
  <c r="I1185" i="7" s="1"/>
  <c r="J1185" i="7"/>
  <c r="K1185" i="7"/>
  <c r="H1186" i="7"/>
  <c r="I1186" i="7"/>
  <c r="J1186" i="7"/>
  <c r="K1186" i="7"/>
  <c r="H1187" i="7"/>
  <c r="I1187" i="7"/>
  <c r="J1187" i="7"/>
  <c r="K1187" i="7"/>
  <c r="H1188" i="7"/>
  <c r="I1188" i="7" s="1"/>
  <c r="J1188" i="7"/>
  <c r="L1188" i="7" s="1" a="1"/>
  <c r="L1188" i="7" s="1"/>
  <c r="K1188" i="7"/>
  <c r="H1189" i="7"/>
  <c r="I1189" i="7" s="1"/>
  <c r="J1189" i="7"/>
  <c r="L1189" i="7" s="1" a="1"/>
  <c r="L1189" i="7" s="1"/>
  <c r="K1189" i="7"/>
  <c r="H1190" i="7"/>
  <c r="I1190" i="7" s="1"/>
  <c r="J1190" i="7"/>
  <c r="L1190" i="7" s="1" a="1"/>
  <c r="L1190" i="7" s="1"/>
  <c r="K1190" i="7"/>
  <c r="H1191" i="7"/>
  <c r="I1191" i="7"/>
  <c r="J1191" i="7"/>
  <c r="L1191" i="7" s="1" a="1"/>
  <c r="L1191" i="7" s="1"/>
  <c r="K1191" i="7"/>
  <c r="H1192" i="7"/>
  <c r="I1192" i="7"/>
  <c r="J1192" i="7"/>
  <c r="L1192" i="7" s="1" a="1"/>
  <c r="L1192" i="7" s="1"/>
  <c r="K1192" i="7"/>
  <c r="H1193" i="7"/>
  <c r="I1193" i="7"/>
  <c r="J1193" i="7"/>
  <c r="L1193" i="7" s="1" a="1"/>
  <c r="L1193" i="7" s="1"/>
  <c r="K1193" i="7"/>
  <c r="H1194" i="7"/>
  <c r="I1194" i="7"/>
  <c r="J1194" i="7"/>
  <c r="L1194" i="7" s="1" a="1"/>
  <c r="L1194" i="7" s="1"/>
  <c r="K1194" i="7"/>
  <c r="H1195" i="7"/>
  <c r="I1195" i="7" s="1"/>
  <c r="J1195" i="7"/>
  <c r="K1195" i="7"/>
  <c r="H1196" i="7"/>
  <c r="I1196" i="7" s="1"/>
  <c r="J1196" i="7"/>
  <c r="L1196" i="7" s="1" a="1"/>
  <c r="L1196" i="7" s="1"/>
  <c r="K1196" i="7"/>
  <c r="H1197" i="7"/>
  <c r="I1197" i="7" s="1"/>
  <c r="J1197" i="7"/>
  <c r="K1197" i="7"/>
  <c r="H1198" i="7"/>
  <c r="I1198" i="7" s="1"/>
  <c r="J1198" i="7"/>
  <c r="L1198" i="7" s="1" a="1"/>
  <c r="L1198" i="7" s="1"/>
  <c r="K1198" i="7"/>
  <c r="H1199" i="7"/>
  <c r="I1199" i="7"/>
  <c r="J1199" i="7"/>
  <c r="L1199" i="7" s="1" a="1"/>
  <c r="L1199" i="7" s="1"/>
  <c r="K1199" i="7"/>
  <c r="H1200" i="7"/>
  <c r="I1200" i="7"/>
  <c r="J1200" i="7"/>
  <c r="K1200" i="7"/>
  <c r="H1201" i="7"/>
  <c r="I1201" i="7" s="1"/>
  <c r="J1201" i="7"/>
  <c r="K1201" i="7"/>
  <c r="H1202" i="7"/>
  <c r="I1202" i="7"/>
  <c r="J1202" i="7"/>
  <c r="L1202" i="7" s="1" a="1"/>
  <c r="L1202" i="7" s="1"/>
  <c r="K1202" i="7"/>
  <c r="H1203" i="7"/>
  <c r="I1203" i="7"/>
  <c r="J1203" i="7"/>
  <c r="L1203" i="7" s="1" a="1"/>
  <c r="L1203" i="7" s="1"/>
  <c r="K1203" i="7"/>
  <c r="H1204" i="7"/>
  <c r="I1204" i="7" s="1"/>
  <c r="J1204" i="7"/>
  <c r="L1204" i="7" s="1" a="1"/>
  <c r="L1204" i="7" s="1"/>
  <c r="K1204" i="7"/>
  <c r="H1205" i="7"/>
  <c r="I1205" i="7"/>
  <c r="J1205" i="7"/>
  <c r="L1205" i="7" s="1" a="1"/>
  <c r="L1205" i="7" s="1"/>
  <c r="K1205" i="7"/>
  <c r="H1206" i="7"/>
  <c r="I1206" i="7" s="1"/>
  <c r="J1206" i="7"/>
  <c r="K1206" i="7"/>
  <c r="H1207" i="7"/>
  <c r="I1207" i="7" s="1"/>
  <c r="J1207" i="7"/>
  <c r="L1207" i="7" s="1" a="1"/>
  <c r="L1207" i="7" s="1"/>
  <c r="K1207" i="7"/>
  <c r="H1208" i="7"/>
  <c r="I1208" i="7"/>
  <c r="J1208" i="7"/>
  <c r="L1208" i="7" s="1" a="1"/>
  <c r="L1208" i="7" s="1"/>
  <c r="K1208" i="7"/>
  <c r="H1209" i="7"/>
  <c r="I1209" i="7"/>
  <c r="J1209" i="7"/>
  <c r="L1209" i="7" s="1" a="1"/>
  <c r="L1209" i="7" s="1"/>
  <c r="K1209" i="7"/>
  <c r="H1210" i="7"/>
  <c r="I1210" i="7"/>
  <c r="J1210" i="7"/>
  <c r="K1210" i="7"/>
  <c r="H1211" i="7"/>
  <c r="I1211" i="7"/>
  <c r="J1211" i="7"/>
  <c r="K1211" i="7"/>
  <c r="H1212" i="7"/>
  <c r="I1212" i="7"/>
  <c r="J1212" i="7"/>
  <c r="L1212" i="7" s="1" a="1"/>
  <c r="L1212" i="7" s="1"/>
  <c r="K1212" i="7"/>
  <c r="H1213" i="7"/>
  <c r="I1213" i="7" s="1"/>
  <c r="J1213" i="7"/>
  <c r="K1213" i="7"/>
  <c r="H1214" i="7"/>
  <c r="I1214" i="7" s="1"/>
  <c r="J1214" i="7"/>
  <c r="K1214" i="7"/>
  <c r="H1215" i="7"/>
  <c r="I1215" i="7" s="1"/>
  <c r="J1215" i="7"/>
  <c r="L1215" i="7" s="1" a="1"/>
  <c r="L1215" i="7" s="1"/>
  <c r="K1215" i="7"/>
  <c r="H1216" i="7"/>
  <c r="I1216" i="7" s="1"/>
  <c r="J1216" i="7"/>
  <c r="K1216" i="7"/>
  <c r="H1217" i="7"/>
  <c r="I1217" i="7"/>
  <c r="J1217" i="7"/>
  <c r="K1217" i="7"/>
  <c r="H1218" i="7"/>
  <c r="I1218" i="7"/>
  <c r="J1218" i="7"/>
  <c r="L1218" i="7" s="1" a="1"/>
  <c r="L1218" i="7" s="1"/>
  <c r="K1218" i="7"/>
  <c r="H1219" i="7"/>
  <c r="I1219" i="7"/>
  <c r="J1219" i="7"/>
  <c r="L1219" i="7" s="1" a="1"/>
  <c r="L1219" i="7" s="1"/>
  <c r="K1219" i="7"/>
  <c r="H1220" i="7"/>
  <c r="I1220" i="7"/>
  <c r="J1220" i="7"/>
  <c r="L1220" i="7" s="1" a="1"/>
  <c r="L1220" i="7" s="1"/>
  <c r="K1220" i="7"/>
  <c r="H1221" i="7"/>
  <c r="I1221" i="7" s="1"/>
  <c r="J1221" i="7"/>
  <c r="L1221" i="7" s="1" a="1"/>
  <c r="L1221" i="7" s="1"/>
  <c r="K1221" i="7"/>
  <c r="H1222" i="7"/>
  <c r="I1222" i="7" s="1"/>
  <c r="J1222" i="7"/>
  <c r="L1222" i="7" s="1" a="1"/>
  <c r="L1222" i="7" s="1"/>
  <c r="K1222" i="7"/>
  <c r="H1223" i="7"/>
  <c r="I1223" i="7" s="1"/>
  <c r="J1223" i="7"/>
  <c r="K1223" i="7"/>
  <c r="L1223" i="7" a="1"/>
  <c r="L1223" i="7" s="1"/>
  <c r="H1224" i="7"/>
  <c r="I1224" i="7"/>
  <c r="J1224" i="7"/>
  <c r="L1224" i="7" s="1" a="1"/>
  <c r="L1224" i="7" s="1"/>
  <c r="K1224" i="7"/>
  <c r="H1225" i="7"/>
  <c r="I1225" i="7"/>
  <c r="J1225" i="7"/>
  <c r="K1225" i="7"/>
  <c r="H1226" i="7"/>
  <c r="I1226" i="7"/>
  <c r="J1226" i="7"/>
  <c r="L1226" i="7" s="1" a="1"/>
  <c r="L1226" i="7" s="1"/>
  <c r="K1226" i="7"/>
  <c r="H1227" i="7"/>
  <c r="I1227" i="7"/>
  <c r="J1227" i="7"/>
  <c r="L1227" i="7" s="1" a="1"/>
  <c r="L1227" i="7" s="1"/>
  <c r="K1227" i="7"/>
  <c r="H1228" i="7"/>
  <c r="I1228" i="7" s="1"/>
  <c r="J1228" i="7"/>
  <c r="L1228" i="7" s="1" a="1"/>
  <c r="L1228" i="7" s="1"/>
  <c r="K1228" i="7"/>
  <c r="H1229" i="7"/>
  <c r="I1229" i="7"/>
  <c r="J1229" i="7"/>
  <c r="L1229" i="7" s="1" a="1"/>
  <c r="L1229" i="7" s="1"/>
  <c r="K1229" i="7"/>
  <c r="H1230" i="7"/>
  <c r="I1230" i="7" s="1"/>
  <c r="J1230" i="7"/>
  <c r="L1230" i="7" s="1" a="1"/>
  <c r="L1230" i="7" s="1"/>
  <c r="K1230" i="7"/>
  <c r="H1231" i="7"/>
  <c r="I1231" i="7" s="1"/>
  <c r="J1231" i="7"/>
  <c r="L1231" i="7" s="1" a="1"/>
  <c r="L1231" i="7" s="1"/>
  <c r="K1231" i="7"/>
  <c r="H1232" i="7"/>
  <c r="I1232" i="7"/>
  <c r="J1232" i="7"/>
  <c r="K1232" i="7"/>
  <c r="H1233" i="7"/>
  <c r="I1233" i="7"/>
  <c r="J1233" i="7"/>
  <c r="L1233" i="7" s="1" a="1"/>
  <c r="L1233" i="7" s="1"/>
  <c r="K1233" i="7"/>
  <c r="H1234" i="7"/>
  <c r="I1234" i="7"/>
  <c r="J1234" i="7"/>
  <c r="K1234" i="7"/>
  <c r="H1235" i="7"/>
  <c r="I1235" i="7" s="1"/>
  <c r="J1235" i="7"/>
  <c r="K1235" i="7"/>
  <c r="H1236" i="7"/>
  <c r="I1236" i="7" s="1"/>
  <c r="J1236" i="7"/>
  <c r="K1236" i="7"/>
  <c r="H1237" i="7"/>
  <c r="I1237" i="7"/>
  <c r="J1237" i="7"/>
  <c r="L1237" i="7" s="1" a="1"/>
  <c r="L1237" i="7" s="1"/>
  <c r="K1237" i="7"/>
  <c r="H1238" i="7"/>
  <c r="I1238" i="7" s="1"/>
  <c r="J1238" i="7"/>
  <c r="L1238" i="7" s="1" a="1"/>
  <c r="L1238" i="7" s="1"/>
  <c r="K1238" i="7"/>
  <c r="H1239" i="7"/>
  <c r="I1239" i="7"/>
  <c r="J1239" i="7"/>
  <c r="K1239" i="7"/>
  <c r="H1240" i="7"/>
  <c r="I1240" i="7" s="1"/>
  <c r="J1240" i="7"/>
  <c r="K1240" i="7"/>
  <c r="H1241" i="7"/>
  <c r="I1241" i="7" s="1"/>
  <c r="J1241" i="7"/>
  <c r="K1241" i="7"/>
  <c r="H1242" i="7"/>
  <c r="I1242" i="7"/>
  <c r="J1242" i="7"/>
  <c r="L1242" i="7" s="1" a="1"/>
  <c r="L1242" i="7" s="1"/>
  <c r="K1242" i="7"/>
  <c r="H1243" i="7"/>
  <c r="I1243" i="7"/>
  <c r="J1243" i="7"/>
  <c r="L1243" i="7" s="1" a="1"/>
  <c r="L1243" i="7" s="1"/>
  <c r="K1243" i="7"/>
  <c r="H1244" i="7"/>
  <c r="I1244" i="7"/>
  <c r="J1244" i="7"/>
  <c r="K1244" i="7"/>
  <c r="H1245" i="7"/>
  <c r="I1245" i="7"/>
  <c r="J1245" i="7"/>
  <c r="L1245" i="7" s="1" a="1"/>
  <c r="L1245" i="7" s="1"/>
  <c r="K1245" i="7"/>
  <c r="H1246" i="7"/>
  <c r="I1246" i="7" s="1"/>
  <c r="J1246" i="7"/>
  <c r="L1246" i="7" s="1" a="1"/>
  <c r="L1246" i="7" s="1"/>
  <c r="K1246" i="7"/>
  <c r="H1247" i="7"/>
  <c r="I1247" i="7" s="1"/>
  <c r="J1247" i="7"/>
  <c r="L1247" i="7" s="1" a="1"/>
  <c r="L1247" i="7" s="1"/>
  <c r="K1247" i="7"/>
  <c r="H1248" i="7"/>
  <c r="I1248" i="7"/>
  <c r="J1248" i="7"/>
  <c r="L1248" i="7" s="1" a="1"/>
  <c r="L1248" i="7" s="1"/>
  <c r="K1248" i="7"/>
  <c r="H1249" i="7"/>
  <c r="I1249" i="7"/>
  <c r="J1249" i="7"/>
  <c r="L1249" i="7" s="1" a="1"/>
  <c r="L1249" i="7" s="1"/>
  <c r="K1249" i="7"/>
  <c r="H1250" i="7"/>
  <c r="I1250" i="7" s="1"/>
  <c r="J1250" i="7"/>
  <c r="K1250" i="7"/>
  <c r="H1251" i="7"/>
  <c r="I1251" i="7"/>
  <c r="J1251" i="7"/>
  <c r="L1251" i="7" s="1" a="1"/>
  <c r="L1251" i="7" s="1"/>
  <c r="K1251" i="7"/>
  <c r="H1252" i="7"/>
  <c r="I1252" i="7"/>
  <c r="J1252" i="7"/>
  <c r="K1252" i="7"/>
  <c r="H1253" i="7"/>
  <c r="I1253" i="7"/>
  <c r="J1253" i="7"/>
  <c r="K1253" i="7"/>
  <c r="L1253" i="7" a="1"/>
  <c r="L1253" i="7" s="1"/>
  <c r="H1254" i="7"/>
  <c r="I1254" i="7"/>
  <c r="J1254" i="7"/>
  <c r="K1254" i="7"/>
  <c r="H1255" i="7"/>
  <c r="I1255" i="7" s="1"/>
  <c r="J1255" i="7"/>
  <c r="K1255" i="7"/>
  <c r="H1256" i="7"/>
  <c r="I1256" i="7"/>
  <c r="J1256" i="7"/>
  <c r="L1256" i="7" s="1" a="1"/>
  <c r="L1256" i="7" s="1"/>
  <c r="K1256" i="7"/>
  <c r="H1257" i="7"/>
  <c r="I1257" i="7"/>
  <c r="J1257" i="7"/>
  <c r="L1257" i="7" s="1" a="1"/>
  <c r="L1257" i="7" s="1"/>
  <c r="K1257" i="7"/>
  <c r="H1258" i="7"/>
  <c r="I1258" i="7" s="1"/>
  <c r="J1258" i="7"/>
  <c r="K1258" i="7"/>
  <c r="H1259" i="7"/>
  <c r="I1259" i="7"/>
  <c r="J1259" i="7"/>
  <c r="K1259" i="7"/>
  <c r="H1260" i="7"/>
  <c r="I1260" i="7"/>
  <c r="J1260" i="7"/>
  <c r="L1260" i="7" s="1" a="1"/>
  <c r="L1260" i="7" s="1"/>
  <c r="K1260" i="7"/>
  <c r="H1261" i="7"/>
  <c r="I1261" i="7"/>
  <c r="J1261" i="7"/>
  <c r="L1261" i="7" s="1" a="1"/>
  <c r="L1261" i="7" s="1"/>
  <c r="K1261" i="7"/>
  <c r="H1262" i="7"/>
  <c r="I1262" i="7"/>
  <c r="J1262" i="7"/>
  <c r="K1262" i="7"/>
  <c r="H1263" i="7"/>
  <c r="I1263" i="7" s="1"/>
  <c r="J1263" i="7"/>
  <c r="K1263" i="7"/>
  <c r="H1264" i="7"/>
  <c r="I1264" i="7"/>
  <c r="J1264" i="7"/>
  <c r="L1264" i="7" s="1" a="1"/>
  <c r="L1264" i="7" s="1"/>
  <c r="K1264" i="7"/>
  <c r="H1265" i="7"/>
  <c r="I1265" i="7"/>
  <c r="J1265" i="7"/>
  <c r="L1265" i="7" s="1" a="1"/>
  <c r="L1265" i="7" s="1"/>
  <c r="K1265" i="7"/>
  <c r="H1266" i="7"/>
  <c r="I1266" i="7" s="1"/>
  <c r="J1266" i="7"/>
  <c r="K1266" i="7"/>
  <c r="H1267" i="7"/>
  <c r="I1267" i="7" s="1"/>
  <c r="J1267" i="7"/>
  <c r="K1267" i="7"/>
  <c r="H1268" i="7"/>
  <c r="I1268" i="7"/>
  <c r="J1268" i="7"/>
  <c r="L1268" i="7" s="1" a="1"/>
  <c r="L1268" i="7" s="1"/>
  <c r="K1268" i="7"/>
  <c r="H1269" i="7"/>
  <c r="I1269" i="7"/>
  <c r="J1269" i="7"/>
  <c r="L1269" i="7" s="1" a="1"/>
  <c r="L1269" i="7" s="1"/>
  <c r="K1269" i="7"/>
  <c r="H1270" i="7"/>
  <c r="I1270" i="7"/>
  <c r="J1270" i="7"/>
  <c r="K1270" i="7"/>
  <c r="H1271" i="7"/>
  <c r="I1271" i="7"/>
  <c r="J1271" i="7"/>
  <c r="L1271" i="7" s="1" a="1"/>
  <c r="L1271" i="7" s="1"/>
  <c r="K1271" i="7"/>
  <c r="H1272" i="7"/>
  <c r="I1272" i="7"/>
  <c r="J1272" i="7"/>
  <c r="L1272" i="7" s="1" a="1"/>
  <c r="L1272" i="7" s="1"/>
  <c r="K1272" i="7"/>
  <c r="H1273" i="7"/>
  <c r="I1273" i="7"/>
  <c r="J1273" i="7"/>
  <c r="L1273" i="7" s="1" a="1"/>
  <c r="L1273" i="7" s="1"/>
  <c r="K1273" i="7"/>
  <c r="H1274" i="7"/>
  <c r="I1274" i="7" s="1"/>
  <c r="J1274" i="7"/>
  <c r="K1274" i="7"/>
  <c r="H1275" i="7"/>
  <c r="I1275" i="7" s="1"/>
  <c r="J1275" i="7"/>
  <c r="K1275" i="7"/>
  <c r="H1276" i="7"/>
  <c r="I1276" i="7"/>
  <c r="J1276" i="7"/>
  <c r="L1276" i="7" s="1" a="1"/>
  <c r="L1276" i="7" s="1"/>
  <c r="K1276" i="7"/>
  <c r="H1277" i="7"/>
  <c r="I1277" i="7"/>
  <c r="J1277" i="7"/>
  <c r="L1277" i="7" s="1" a="1"/>
  <c r="L1277" i="7" s="1"/>
  <c r="K1277" i="7"/>
  <c r="H1278" i="7"/>
  <c r="I1278" i="7"/>
  <c r="J1278" i="7"/>
  <c r="K1278" i="7"/>
  <c r="H1279" i="7"/>
  <c r="I1279" i="7"/>
  <c r="J1279" i="7"/>
  <c r="K1279" i="7"/>
  <c r="H1280" i="7"/>
  <c r="I1280" i="7"/>
  <c r="J1280" i="7"/>
  <c r="L1280" i="7" s="1" a="1"/>
  <c r="L1280" i="7" s="1"/>
  <c r="K1280" i="7"/>
  <c r="H1281" i="7"/>
  <c r="I1281" i="7"/>
  <c r="J1281" i="7"/>
  <c r="L1281" i="7" s="1" a="1"/>
  <c r="L1281" i="7" s="1"/>
  <c r="K1281" i="7"/>
  <c r="H1282" i="7"/>
  <c r="I1282" i="7" s="1"/>
  <c r="J1282" i="7"/>
  <c r="K1282" i="7"/>
  <c r="H1283" i="7"/>
  <c r="I1283" i="7" s="1"/>
  <c r="J1283" i="7"/>
  <c r="K1283" i="7"/>
  <c r="H1284" i="7"/>
  <c r="I1284" i="7"/>
  <c r="J1284" i="7"/>
  <c r="L1284" i="7" s="1" a="1"/>
  <c r="L1284" i="7" s="1"/>
  <c r="K1284" i="7"/>
  <c r="H1285" i="7"/>
  <c r="I1285" i="7"/>
  <c r="J1285" i="7"/>
  <c r="L1285" i="7" s="1" a="1"/>
  <c r="L1285" i="7" s="1"/>
  <c r="K1285" i="7"/>
  <c r="H1286" i="7"/>
  <c r="I1286" i="7"/>
  <c r="J1286" i="7"/>
  <c r="K1286" i="7"/>
  <c r="H1287" i="7"/>
  <c r="I1287" i="7"/>
  <c r="J1287" i="7"/>
  <c r="K1287" i="7"/>
  <c r="H1288" i="7"/>
  <c r="I1288" i="7"/>
  <c r="J1288" i="7"/>
  <c r="L1288" i="7" s="1" a="1"/>
  <c r="L1288" i="7" s="1"/>
  <c r="K1288" i="7"/>
  <c r="H1289" i="7"/>
  <c r="I1289" i="7"/>
  <c r="J1289" i="7"/>
  <c r="L1289" i="7" s="1" a="1"/>
  <c r="L1289" i="7" s="1"/>
  <c r="K1289" i="7"/>
  <c r="H1290" i="7"/>
  <c r="I1290" i="7"/>
  <c r="J1290" i="7"/>
  <c r="L1290" i="7" s="1" a="1"/>
  <c r="L1290" i="7" s="1"/>
  <c r="K1290" i="7"/>
  <c r="H1291" i="7"/>
  <c r="I1291" i="7" s="1"/>
  <c r="J1291" i="7"/>
  <c r="K1291" i="7"/>
  <c r="H1292" i="7"/>
  <c r="I1292" i="7"/>
  <c r="J1292" i="7"/>
  <c r="L1292" i="7" s="1" a="1"/>
  <c r="L1292" i="7" s="1"/>
  <c r="K1292" i="7"/>
  <c r="H1293" i="7"/>
  <c r="I1293" i="7"/>
  <c r="J1293" i="7"/>
  <c r="L1293" i="7" s="1" a="1"/>
  <c r="L1293" i="7" s="1"/>
  <c r="K1293" i="7"/>
  <c r="H1294" i="7"/>
  <c r="I1294" i="7" s="1"/>
  <c r="J1294" i="7"/>
  <c r="K1294" i="7"/>
  <c r="H1295" i="7"/>
  <c r="I1295" i="7"/>
  <c r="J1295" i="7"/>
  <c r="K1295" i="7"/>
  <c r="H1296" i="7"/>
  <c r="I1296" i="7"/>
  <c r="J1296" i="7"/>
  <c r="L1296" i="7" s="1" a="1"/>
  <c r="L1296" i="7" s="1"/>
  <c r="K1296" i="7"/>
  <c r="H1297" i="7"/>
  <c r="I1297" i="7"/>
  <c r="J1297" i="7"/>
  <c r="L1297" i="7" s="1" a="1"/>
  <c r="L1297" i="7" s="1"/>
  <c r="K1297" i="7"/>
  <c r="H1298" i="7"/>
  <c r="I1298" i="7"/>
  <c r="J1298" i="7"/>
  <c r="L1298" i="7" s="1" a="1"/>
  <c r="L1298" i="7" s="1"/>
  <c r="K1298" i="7"/>
  <c r="H1299" i="7"/>
  <c r="I1299" i="7" s="1"/>
  <c r="J1299" i="7"/>
  <c r="K1299" i="7"/>
  <c r="H1300" i="7"/>
  <c r="I1300" i="7" s="1"/>
  <c r="J1300" i="7"/>
  <c r="K1300" i="7"/>
  <c r="H1301" i="7"/>
  <c r="I1301" i="7"/>
  <c r="J1301" i="7"/>
  <c r="L1301" i="7" s="1" a="1"/>
  <c r="K1301" i="7"/>
  <c r="L1301" i="7"/>
  <c r="H1302" i="7"/>
  <c r="I1302" i="7" s="1"/>
  <c r="J1302" i="7"/>
  <c r="K1302" i="7"/>
  <c r="H1303" i="7"/>
  <c r="I1303" i="7"/>
  <c r="J1303" i="7"/>
  <c r="L1303" i="7" s="1" a="1"/>
  <c r="L1303" i="7" s="1"/>
  <c r="K1303" i="7"/>
  <c r="H1304" i="7"/>
  <c r="I1304" i="7"/>
  <c r="J1304" i="7"/>
  <c r="K1304" i="7"/>
  <c r="H1305" i="7"/>
  <c r="I1305" i="7"/>
  <c r="J1305" i="7"/>
  <c r="L1305" i="7" s="1" a="1"/>
  <c r="L1305" i="7" s="1"/>
  <c r="K1305" i="7"/>
  <c r="H1306" i="7"/>
  <c r="I1306" i="7"/>
  <c r="J1306" i="7"/>
  <c r="K1306" i="7"/>
  <c r="H1307" i="7"/>
  <c r="I1307" i="7" s="1"/>
  <c r="J1307" i="7"/>
  <c r="L1307" i="7" s="1" a="1"/>
  <c r="L1307" i="7" s="1"/>
  <c r="K1307" i="7"/>
  <c r="H1308" i="7"/>
  <c r="I1308" i="7" s="1"/>
  <c r="J1308" i="7"/>
  <c r="K1308" i="7"/>
  <c r="H1309" i="7"/>
  <c r="I1309" i="7"/>
  <c r="J1309" i="7"/>
  <c r="L1309" i="7" s="1" a="1"/>
  <c r="L1309" i="7" s="1"/>
  <c r="K1309" i="7"/>
  <c r="H1310" i="7"/>
  <c r="I1310" i="7"/>
  <c r="J1310" i="7"/>
  <c r="K1310" i="7"/>
  <c r="H1311" i="7"/>
  <c r="I1311" i="7" s="1"/>
  <c r="J1311" i="7"/>
  <c r="K1311" i="7"/>
  <c r="H1312" i="7"/>
  <c r="I1312" i="7" s="1"/>
  <c r="J1312" i="7"/>
  <c r="L1312" i="7" s="1" a="1"/>
  <c r="L1312" i="7" s="1"/>
  <c r="K1312" i="7"/>
  <c r="H1313" i="7"/>
  <c r="I1313" i="7"/>
  <c r="J1313" i="7"/>
  <c r="L1313" i="7" s="1" a="1"/>
  <c r="L1313" i="7" s="1"/>
  <c r="K1313" i="7"/>
  <c r="H1314" i="7"/>
  <c r="I1314" i="7"/>
  <c r="J1314" i="7"/>
  <c r="L1314" i="7" s="1" a="1"/>
  <c r="L1314" i="7" s="1"/>
  <c r="K1314" i="7"/>
  <c r="H1315" i="7"/>
  <c r="I1315" i="7" s="1"/>
  <c r="J1315" i="7"/>
  <c r="L1315" i="7" s="1" a="1"/>
  <c r="L1315" i="7" s="1"/>
  <c r="K1315" i="7"/>
  <c r="H1316" i="7"/>
  <c r="I1316" i="7" s="1"/>
  <c r="J1316" i="7"/>
  <c r="L1316" i="7" s="1" a="1"/>
  <c r="L1316" i="7" s="1"/>
  <c r="K1316" i="7"/>
  <c r="H1317" i="7"/>
  <c r="I1317" i="7"/>
  <c r="J1317" i="7"/>
  <c r="L1317" i="7" s="1" a="1"/>
  <c r="L1317" i="7" s="1"/>
  <c r="K1317" i="7"/>
  <c r="H1318" i="7"/>
  <c r="I1318" i="7"/>
  <c r="J1318" i="7"/>
  <c r="L1318" i="7" s="1" a="1"/>
  <c r="L1318" i="7" s="1"/>
  <c r="K1318" i="7"/>
  <c r="H1319" i="7"/>
  <c r="I1319" i="7" s="1"/>
  <c r="J1319" i="7"/>
  <c r="K1319" i="7"/>
  <c r="H1320" i="7"/>
  <c r="I1320" i="7" s="1"/>
  <c r="J1320" i="7"/>
  <c r="K1320" i="7"/>
  <c r="H1321" i="7"/>
  <c r="I1321" i="7"/>
  <c r="J1321" i="7"/>
  <c r="L1321" i="7" s="1" a="1"/>
  <c r="L1321" i="7" s="1"/>
  <c r="K1321" i="7"/>
  <c r="H1322" i="7"/>
  <c r="I1322" i="7"/>
  <c r="J1322" i="7"/>
  <c r="L1322" i="7" s="1" a="1"/>
  <c r="L1322" i="7" s="1"/>
  <c r="K1322" i="7"/>
  <c r="H1323" i="7"/>
  <c r="I1323" i="7" s="1"/>
  <c r="J1323" i="7"/>
  <c r="K1323" i="7"/>
  <c r="H1324" i="7"/>
  <c r="I1324" i="7" s="1"/>
  <c r="J1324" i="7"/>
  <c r="L1324" i="7" s="1" a="1"/>
  <c r="L1324" i="7" s="1"/>
  <c r="K1324" i="7"/>
  <c r="H1325" i="7"/>
  <c r="I1325" i="7"/>
  <c r="J1325" i="7"/>
  <c r="L1325" i="7" s="1" a="1"/>
  <c r="L1325" i="7" s="1"/>
  <c r="K1325" i="7"/>
  <c r="H1326" i="7"/>
  <c r="I1326" i="7"/>
  <c r="J1326" i="7"/>
  <c r="L1326" i="7" s="1" a="1"/>
  <c r="L1326" i="7" s="1"/>
  <c r="K1326" i="7"/>
  <c r="H1327" i="7"/>
  <c r="I1327" i="7" s="1"/>
  <c r="J1327" i="7"/>
  <c r="L1327" i="7" s="1" a="1"/>
  <c r="L1327" i="7" s="1"/>
  <c r="K1327" i="7"/>
  <c r="H1328" i="7"/>
  <c r="I1328" i="7" s="1"/>
  <c r="J1328" i="7"/>
  <c r="L1328" i="7" s="1" a="1"/>
  <c r="L1328" i="7" s="1"/>
  <c r="K1328" i="7"/>
  <c r="H1329" i="7"/>
  <c r="I1329" i="7"/>
  <c r="J1329" i="7"/>
  <c r="L1329" i="7" s="1" a="1"/>
  <c r="L1329" i="7" s="1"/>
  <c r="K1329" i="7"/>
  <c r="H1330" i="7"/>
  <c r="I1330" i="7"/>
  <c r="J1330" i="7"/>
  <c r="L1330" i="7" s="1" a="1"/>
  <c r="L1330" i="7" s="1"/>
  <c r="K1330" i="7"/>
  <c r="H1331" i="7"/>
  <c r="I1331" i="7" s="1"/>
  <c r="J1331" i="7"/>
  <c r="K1331" i="7"/>
  <c r="H1332" i="7"/>
  <c r="I1332" i="7" s="1"/>
  <c r="J1332" i="7"/>
  <c r="L1332" i="7" s="1" a="1"/>
  <c r="L1332" i="7" s="1"/>
  <c r="K1332" i="7"/>
  <c r="H1333" i="7"/>
  <c r="I1333" i="7"/>
  <c r="J1333" i="7"/>
  <c r="L1333" i="7" s="1" a="1"/>
  <c r="L1333" i="7" s="1"/>
  <c r="K1333" i="7"/>
  <c r="H1334" i="7"/>
  <c r="I1334" i="7"/>
  <c r="J1334" i="7"/>
  <c r="L1334" i="7" s="1" a="1"/>
  <c r="L1334" i="7" s="1"/>
  <c r="K1334" i="7"/>
  <c r="H1335" i="7"/>
  <c r="I1335" i="7" s="1"/>
  <c r="J1335" i="7"/>
  <c r="K1335" i="7"/>
  <c r="H1336" i="7"/>
  <c r="I1336" i="7" s="1"/>
  <c r="J1336" i="7"/>
  <c r="L1336" i="7" s="1" a="1"/>
  <c r="L1336" i="7" s="1"/>
  <c r="K1336" i="7"/>
  <c r="H1337" i="7"/>
  <c r="I1337" i="7"/>
  <c r="J1337" i="7"/>
  <c r="L1337" i="7" s="1" a="1"/>
  <c r="L1337" i="7" s="1"/>
  <c r="K1337" i="7"/>
  <c r="H1338" i="7"/>
  <c r="I1338" i="7"/>
  <c r="J1338" i="7"/>
  <c r="L1338" i="7" s="1" a="1"/>
  <c r="L1338" i="7" s="1"/>
  <c r="K1338" i="7"/>
  <c r="H1339" i="7"/>
  <c r="I1339" i="7" s="1"/>
  <c r="J1339" i="7"/>
  <c r="K1339" i="7"/>
  <c r="H1340" i="7"/>
  <c r="I1340" i="7" s="1"/>
  <c r="J1340" i="7"/>
  <c r="L1340" i="7" s="1" a="1"/>
  <c r="L1340" i="7" s="1"/>
  <c r="K1340" i="7"/>
  <c r="H1341" i="7"/>
  <c r="I1341" i="7"/>
  <c r="J1341" i="7"/>
  <c r="L1341" i="7" s="1" a="1"/>
  <c r="L1341" i="7" s="1"/>
  <c r="K1341" i="7"/>
  <c r="H1342" i="7"/>
  <c r="I1342" i="7"/>
  <c r="J1342" i="7"/>
  <c r="L1342" i="7" s="1" a="1"/>
  <c r="L1342" i="7" s="1"/>
  <c r="K1342" i="7"/>
  <c r="H1343" i="7"/>
  <c r="I1343" i="7" s="1"/>
  <c r="J1343" i="7"/>
  <c r="K1343" i="7"/>
  <c r="H1344" i="7"/>
  <c r="I1344" i="7" s="1"/>
  <c r="J1344" i="7"/>
  <c r="L1344" i="7" s="1" a="1"/>
  <c r="L1344" i="7" s="1"/>
  <c r="K1344" i="7"/>
  <c r="H1345" i="7"/>
  <c r="I1345" i="7"/>
  <c r="J1345" i="7"/>
  <c r="L1345" i="7" s="1" a="1"/>
  <c r="L1345" i="7" s="1"/>
  <c r="K1345" i="7"/>
  <c r="H1346" i="7"/>
  <c r="I1346" i="7"/>
  <c r="J1346" i="7"/>
  <c r="L1346" i="7" s="1" a="1"/>
  <c r="L1346" i="7" s="1"/>
  <c r="K1346" i="7"/>
  <c r="H1347" i="7"/>
  <c r="I1347" i="7" s="1"/>
  <c r="J1347" i="7"/>
  <c r="K1347" i="7"/>
  <c r="H1348" i="7"/>
  <c r="I1348" i="7" s="1"/>
  <c r="J1348" i="7"/>
  <c r="L1348" i="7" s="1" a="1"/>
  <c r="L1348" i="7" s="1"/>
  <c r="K1348" i="7"/>
  <c r="H1349" i="7"/>
  <c r="I1349" i="7"/>
  <c r="J1349" i="7"/>
  <c r="L1349" i="7" s="1" a="1"/>
  <c r="L1349" i="7" s="1"/>
  <c r="K1349" i="7"/>
  <c r="H1350" i="7"/>
  <c r="I1350" i="7"/>
  <c r="J1350" i="7"/>
  <c r="L1350" i="7" s="1" a="1"/>
  <c r="L1350" i="7" s="1"/>
  <c r="K1350" i="7"/>
  <c r="H1351" i="7"/>
  <c r="I1351" i="7" s="1"/>
  <c r="J1351" i="7"/>
  <c r="K1351" i="7"/>
  <c r="H1352" i="7"/>
  <c r="I1352" i="7" s="1"/>
  <c r="J1352" i="7"/>
  <c r="L1352" i="7" s="1" a="1"/>
  <c r="L1352" i="7" s="1"/>
  <c r="K1352" i="7"/>
  <c r="H1353" i="7"/>
  <c r="I1353" i="7"/>
  <c r="J1353" i="7"/>
  <c r="L1353" i="7" s="1" a="1"/>
  <c r="L1353" i="7" s="1"/>
  <c r="K1353" i="7"/>
  <c r="H1354" i="7"/>
  <c r="I1354" i="7"/>
  <c r="J1354" i="7"/>
  <c r="L1354" i="7" s="1" a="1"/>
  <c r="L1354" i="7" s="1"/>
  <c r="K1354" i="7"/>
  <c r="H1355" i="7"/>
  <c r="I1355" i="7" s="1"/>
  <c r="J1355" i="7"/>
  <c r="L1355" i="7" s="1" a="1"/>
  <c r="L1355" i="7" s="1"/>
  <c r="K1355" i="7"/>
  <c r="H1356" i="7"/>
  <c r="I1356" i="7" s="1"/>
  <c r="J1356" i="7"/>
  <c r="L1356" i="7" s="1" a="1"/>
  <c r="L1356" i="7" s="1"/>
  <c r="K1356" i="7"/>
  <c r="H1357" i="7"/>
  <c r="I1357" i="7"/>
  <c r="J1357" i="7"/>
  <c r="L1357" i="7" s="1" a="1"/>
  <c r="L1357" i="7" s="1"/>
  <c r="K1357" i="7"/>
  <c r="H1358" i="7"/>
  <c r="I1358" i="7"/>
  <c r="J1358" i="7"/>
  <c r="L1358" i="7" s="1" a="1"/>
  <c r="L1358" i="7" s="1"/>
  <c r="K1358" i="7"/>
  <c r="H1359" i="7"/>
  <c r="I1359" i="7" s="1"/>
  <c r="J1359" i="7"/>
  <c r="K1359" i="7"/>
  <c r="H1360" i="7"/>
  <c r="I1360" i="7" s="1"/>
  <c r="J1360" i="7"/>
  <c r="L1360" i="7" s="1" a="1"/>
  <c r="L1360" i="7" s="1"/>
  <c r="K1360" i="7"/>
  <c r="H1361" i="7"/>
  <c r="I1361" i="7"/>
  <c r="J1361" i="7"/>
  <c r="L1361" i="7" s="1" a="1"/>
  <c r="L1361" i="7" s="1"/>
  <c r="K1361" i="7"/>
  <c r="H1362" i="7"/>
  <c r="I1362" i="7"/>
  <c r="J1362" i="7"/>
  <c r="L1362" i="7" s="1" a="1"/>
  <c r="L1362" i="7" s="1"/>
  <c r="K1362" i="7"/>
  <c r="H1363" i="7"/>
  <c r="I1363" i="7" s="1"/>
  <c r="J1363" i="7"/>
  <c r="K1363" i="7"/>
  <c r="H1364" i="7"/>
  <c r="I1364" i="7" s="1"/>
  <c r="J1364" i="7"/>
  <c r="L1364" i="7" s="1" a="1"/>
  <c r="L1364" i="7" s="1"/>
  <c r="K1364" i="7"/>
  <c r="H1365" i="7"/>
  <c r="I1365" i="7"/>
  <c r="J1365" i="7"/>
  <c r="L1365" i="7" s="1" a="1"/>
  <c r="L1365" i="7" s="1"/>
  <c r="K1365" i="7"/>
  <c r="H1366" i="7"/>
  <c r="I1366" i="7"/>
  <c r="J1366" i="7"/>
  <c r="L1366" i="7" s="1" a="1"/>
  <c r="L1366" i="7" s="1"/>
  <c r="K1366" i="7"/>
  <c r="H1367" i="7"/>
  <c r="I1367" i="7" s="1"/>
  <c r="J1367" i="7"/>
  <c r="K1367" i="7"/>
  <c r="H1368" i="7"/>
  <c r="I1368" i="7" s="1"/>
  <c r="J1368" i="7"/>
  <c r="K1368" i="7"/>
  <c r="H1369" i="7"/>
  <c r="I1369" i="7"/>
  <c r="J1369" i="7"/>
  <c r="L1369" i="7" s="1" a="1"/>
  <c r="L1369" i="7" s="1"/>
  <c r="K1369" i="7"/>
  <c r="H1370" i="7"/>
  <c r="I1370" i="7"/>
  <c r="J1370" i="7"/>
  <c r="L1370" i="7" s="1" a="1"/>
  <c r="L1370" i="7" s="1"/>
  <c r="K1370" i="7"/>
  <c r="H1371" i="7"/>
  <c r="I1371" i="7" s="1"/>
  <c r="J1371" i="7"/>
  <c r="K1371" i="7"/>
  <c r="H1372" i="7"/>
  <c r="I1372" i="7" s="1"/>
  <c r="J1372" i="7"/>
  <c r="L1372" i="7" s="1" a="1"/>
  <c r="L1372" i="7" s="1"/>
  <c r="K1372" i="7"/>
  <c r="H1373" i="7"/>
  <c r="I1373" i="7"/>
  <c r="J1373" i="7"/>
  <c r="L1373" i="7" s="1" a="1"/>
  <c r="L1373" i="7" s="1"/>
  <c r="K1373" i="7"/>
  <c r="H1374" i="7"/>
  <c r="I1374" i="7"/>
  <c r="J1374" i="7"/>
  <c r="L1374" i="7" s="1" a="1"/>
  <c r="L1374" i="7" s="1"/>
  <c r="K1374" i="7"/>
  <c r="H1375" i="7"/>
  <c r="I1375" i="7" s="1"/>
  <c r="J1375" i="7"/>
  <c r="K1375" i="7"/>
  <c r="H1376" i="7"/>
  <c r="I1376" i="7" s="1"/>
  <c r="J1376" i="7"/>
  <c r="L1376" i="7" s="1" a="1"/>
  <c r="L1376" i="7" s="1"/>
  <c r="K1376" i="7"/>
  <c r="H1377" i="7"/>
  <c r="I1377" i="7"/>
  <c r="J1377" i="7"/>
  <c r="L1377" i="7" s="1" a="1"/>
  <c r="L1377" i="7" s="1"/>
  <c r="K1377" i="7"/>
  <c r="H1378" i="7"/>
  <c r="I1378" i="7"/>
  <c r="J1378" i="7"/>
  <c r="L1378" i="7" s="1" a="1"/>
  <c r="L1378" i="7" s="1"/>
  <c r="K1378" i="7"/>
  <c r="H1379" i="7"/>
  <c r="I1379" i="7" s="1"/>
  <c r="J1379" i="7"/>
  <c r="K1379" i="7"/>
  <c r="H1380" i="7"/>
  <c r="I1380" i="7" s="1"/>
  <c r="J1380" i="7"/>
  <c r="L1380" i="7" s="1" a="1"/>
  <c r="L1380" i="7" s="1"/>
  <c r="K1380" i="7"/>
  <c r="H1381" i="7"/>
  <c r="I1381" i="7"/>
  <c r="J1381" i="7"/>
  <c r="L1381" i="7" s="1" a="1"/>
  <c r="L1381" i="7" s="1"/>
  <c r="K1381" i="7"/>
  <c r="H1382" i="7"/>
  <c r="I1382" i="7"/>
  <c r="J1382" i="7"/>
  <c r="L1382" i="7" s="1" a="1"/>
  <c r="L1382" i="7" s="1"/>
  <c r="K1382" i="7"/>
  <c r="H1383" i="7"/>
  <c r="I1383" i="7" s="1"/>
  <c r="J1383" i="7"/>
  <c r="K1383" i="7"/>
  <c r="H1384" i="7"/>
  <c r="I1384" i="7" s="1"/>
  <c r="J1384" i="7"/>
  <c r="L1384" i="7" s="1" a="1"/>
  <c r="L1384" i="7" s="1"/>
  <c r="K1384" i="7"/>
  <c r="H1385" i="7"/>
  <c r="I1385" i="7"/>
  <c r="J1385" i="7"/>
  <c r="L1385" i="7" s="1" a="1"/>
  <c r="L1385" i="7" s="1"/>
  <c r="K1385" i="7"/>
  <c r="H1386" i="7"/>
  <c r="I1386" i="7"/>
  <c r="J1386" i="7"/>
  <c r="L1386" i="7" s="1" a="1"/>
  <c r="L1386" i="7" s="1"/>
  <c r="K1386" i="7"/>
  <c r="H1387" i="7"/>
  <c r="I1387" i="7" s="1"/>
  <c r="J1387" i="7"/>
  <c r="K1387" i="7"/>
  <c r="H1388" i="7"/>
  <c r="I1388" i="7" s="1"/>
  <c r="J1388" i="7"/>
  <c r="L1388" i="7" s="1" a="1"/>
  <c r="L1388" i="7" s="1"/>
  <c r="K1388" i="7"/>
  <c r="H1389" i="7"/>
  <c r="I1389" i="7"/>
  <c r="J1389" i="7"/>
  <c r="L1389" i="7" s="1" a="1"/>
  <c r="L1389" i="7" s="1"/>
  <c r="K1389" i="7"/>
  <c r="H1390" i="7"/>
  <c r="I1390" i="7"/>
  <c r="J1390" i="7"/>
  <c r="L1390" i="7" s="1" a="1"/>
  <c r="L1390" i="7" s="1"/>
  <c r="K1390" i="7"/>
  <c r="H1391" i="7"/>
  <c r="I1391" i="7" s="1"/>
  <c r="J1391" i="7"/>
  <c r="K1391" i="7"/>
  <c r="H1392" i="7"/>
  <c r="I1392" i="7" s="1"/>
  <c r="J1392" i="7"/>
  <c r="L1392" i="7" s="1" a="1"/>
  <c r="L1392" i="7" s="1"/>
  <c r="K1392" i="7"/>
  <c r="H1393" i="7"/>
  <c r="I1393" i="7"/>
  <c r="J1393" i="7"/>
  <c r="L1393" i="7" s="1" a="1"/>
  <c r="L1393" i="7" s="1"/>
  <c r="K1393" i="7"/>
  <c r="H1394" i="7"/>
  <c r="I1394" i="7"/>
  <c r="J1394" i="7"/>
  <c r="L1394" i="7" s="1" a="1"/>
  <c r="L1394" i="7" s="1"/>
  <c r="K1394" i="7"/>
  <c r="H1395" i="7"/>
  <c r="I1395" i="7" s="1"/>
  <c r="J1395" i="7"/>
  <c r="K1395" i="7"/>
  <c r="H1396" i="7"/>
  <c r="I1396" i="7" s="1"/>
  <c r="J1396" i="7"/>
  <c r="L1396" i="7" s="1" a="1"/>
  <c r="L1396" i="7" s="1"/>
  <c r="K1396" i="7"/>
  <c r="H1397" i="7"/>
  <c r="I1397" i="7"/>
  <c r="J1397" i="7"/>
  <c r="L1397" i="7" s="1" a="1"/>
  <c r="L1397" i="7" s="1"/>
  <c r="K1397" i="7"/>
  <c r="H1398" i="7"/>
  <c r="I1398" i="7"/>
  <c r="J1398" i="7"/>
  <c r="L1398" i="7" s="1" a="1"/>
  <c r="L1398" i="7" s="1"/>
  <c r="K1398" i="7"/>
  <c r="H1399" i="7"/>
  <c r="I1399" i="7" s="1"/>
  <c r="J1399" i="7"/>
  <c r="K1399" i="7"/>
  <c r="H1400" i="7"/>
  <c r="I1400" i="7" s="1"/>
  <c r="J1400" i="7"/>
  <c r="L1400" i="7" s="1" a="1"/>
  <c r="L1400" i="7" s="1"/>
  <c r="K1400" i="7"/>
  <c r="H1401" i="7"/>
  <c r="I1401" i="7"/>
  <c r="J1401" i="7"/>
  <c r="L1401" i="7" s="1" a="1"/>
  <c r="L1401" i="7" s="1"/>
  <c r="K1401" i="7"/>
  <c r="H1402" i="7"/>
  <c r="I1402" i="7"/>
  <c r="J1402" i="7"/>
  <c r="L1402" i="7" s="1" a="1"/>
  <c r="L1402" i="7" s="1"/>
  <c r="K1402" i="7"/>
  <c r="H1403" i="7"/>
  <c r="I1403" i="7" s="1"/>
  <c r="J1403" i="7"/>
  <c r="L1403" i="7" s="1" a="1"/>
  <c r="L1403" i="7" s="1"/>
  <c r="K1403" i="7"/>
  <c r="H1404" i="7"/>
  <c r="I1404" i="7" s="1"/>
  <c r="J1404" i="7"/>
  <c r="L1404" i="7" s="1" a="1"/>
  <c r="L1404" i="7" s="1"/>
  <c r="K1404" i="7"/>
  <c r="H1405" i="7"/>
  <c r="I1405" i="7"/>
  <c r="J1405" i="7"/>
  <c r="L1405" i="7" s="1" a="1"/>
  <c r="L1405" i="7" s="1"/>
  <c r="K1405" i="7"/>
  <c r="H1406" i="7"/>
  <c r="I1406" i="7"/>
  <c r="J1406" i="7"/>
  <c r="L1406" i="7" s="1" a="1"/>
  <c r="L1406" i="7" s="1"/>
  <c r="K1406" i="7"/>
  <c r="H1407" i="7"/>
  <c r="I1407" i="7" s="1"/>
  <c r="J1407" i="7"/>
  <c r="K1407" i="7"/>
  <c r="H1408" i="7"/>
  <c r="I1408" i="7" s="1"/>
  <c r="J1408" i="7"/>
  <c r="L1408" i="7" s="1" a="1"/>
  <c r="L1408" i="7" s="1"/>
  <c r="K1408" i="7"/>
  <c r="H1409" i="7"/>
  <c r="I1409" i="7"/>
  <c r="J1409" i="7"/>
  <c r="L1409" i="7" s="1" a="1"/>
  <c r="L1409" i="7" s="1"/>
  <c r="K1409" i="7"/>
  <c r="H1410" i="7"/>
  <c r="I1410" i="7"/>
  <c r="J1410" i="7"/>
  <c r="L1410" i="7" s="1" a="1"/>
  <c r="L1410" i="7" s="1"/>
  <c r="K1410" i="7"/>
  <c r="H1411" i="7"/>
  <c r="I1411" i="7" s="1"/>
  <c r="J1411" i="7"/>
  <c r="K1411" i="7"/>
  <c r="H1412" i="7"/>
  <c r="I1412" i="7" s="1"/>
  <c r="J1412" i="7"/>
  <c r="L1412" i="7" s="1" a="1"/>
  <c r="L1412" i="7" s="1"/>
  <c r="K1412" i="7"/>
  <c r="H1413" i="7"/>
  <c r="I1413" i="7"/>
  <c r="J1413" i="7"/>
  <c r="L1413" i="7" s="1" a="1"/>
  <c r="L1413" i="7" s="1"/>
  <c r="K1413" i="7"/>
  <c r="H1414" i="7"/>
  <c r="I1414" i="7"/>
  <c r="J1414" i="7"/>
  <c r="L1414" i="7" s="1" a="1"/>
  <c r="L1414" i="7" s="1"/>
  <c r="K1414" i="7"/>
  <c r="H1415" i="7"/>
  <c r="I1415" i="7" s="1"/>
  <c r="J1415" i="7"/>
  <c r="K1415" i="7"/>
  <c r="H1416" i="7"/>
  <c r="I1416" i="7" s="1"/>
  <c r="J1416" i="7"/>
  <c r="K1416" i="7"/>
  <c r="H1417" i="7"/>
  <c r="I1417" i="7"/>
  <c r="J1417" i="7"/>
  <c r="L1417" i="7" s="1" a="1"/>
  <c r="L1417" i="7" s="1"/>
  <c r="K1417" i="7"/>
  <c r="H1418" i="7"/>
  <c r="I1418" i="7"/>
  <c r="J1418" i="7"/>
  <c r="L1418" i="7" s="1" a="1"/>
  <c r="L1418" i="7" s="1"/>
  <c r="K1418" i="7"/>
  <c r="H1419" i="7"/>
  <c r="I1419" i="7" s="1"/>
  <c r="J1419" i="7"/>
  <c r="K1419" i="7"/>
  <c r="H1420" i="7"/>
  <c r="I1420" i="7" s="1"/>
  <c r="J1420" i="7"/>
  <c r="L1420" i="7" s="1" a="1"/>
  <c r="L1420" i="7" s="1"/>
  <c r="K1420" i="7"/>
  <c r="H1421" i="7"/>
  <c r="I1421" i="7"/>
  <c r="J1421" i="7"/>
  <c r="L1421" i="7" s="1" a="1"/>
  <c r="L1421" i="7" s="1"/>
  <c r="K1421" i="7"/>
  <c r="H1422" i="7"/>
  <c r="I1422" i="7"/>
  <c r="J1422" i="7"/>
  <c r="L1422" i="7" s="1" a="1"/>
  <c r="L1422" i="7" s="1"/>
  <c r="K1422" i="7"/>
  <c r="H1423" i="7"/>
  <c r="I1423" i="7" s="1"/>
  <c r="J1423" i="7"/>
  <c r="K1423" i="7"/>
  <c r="H1424" i="7"/>
  <c r="I1424" i="7" s="1"/>
  <c r="J1424" i="7"/>
  <c r="L1424" i="7" s="1" a="1"/>
  <c r="L1424" i="7" s="1"/>
  <c r="K1424" i="7"/>
  <c r="H1425" i="7"/>
  <c r="I1425" i="7"/>
  <c r="J1425" i="7"/>
  <c r="L1425" i="7" s="1" a="1"/>
  <c r="L1425" i="7" s="1"/>
  <c r="K1425" i="7"/>
  <c r="H1426" i="7"/>
  <c r="I1426" i="7"/>
  <c r="J1426" i="7"/>
  <c r="L1426" i="7" s="1" a="1"/>
  <c r="L1426" i="7" s="1"/>
  <c r="K1426" i="7"/>
  <c r="H1427" i="7"/>
  <c r="I1427" i="7" s="1"/>
  <c r="J1427" i="7"/>
  <c r="K1427" i="7"/>
  <c r="H1428" i="7"/>
  <c r="I1428" i="7" s="1"/>
  <c r="J1428" i="7"/>
  <c r="L1428" i="7" s="1" a="1"/>
  <c r="L1428" i="7" s="1"/>
  <c r="K1428" i="7"/>
  <c r="H1429" i="7"/>
  <c r="I1429" i="7"/>
  <c r="J1429" i="7"/>
  <c r="L1429" i="7" s="1" a="1"/>
  <c r="L1429" i="7" s="1"/>
  <c r="K1429" i="7"/>
  <c r="H1430" i="7"/>
  <c r="I1430" i="7"/>
  <c r="J1430" i="7"/>
  <c r="L1430" i="7" s="1" a="1"/>
  <c r="L1430" i="7" s="1"/>
  <c r="K1430" i="7"/>
  <c r="H1431" i="7"/>
  <c r="I1431" i="7" s="1"/>
  <c r="J1431" i="7"/>
  <c r="K1431" i="7"/>
  <c r="H1432" i="7"/>
  <c r="I1432" i="7" s="1"/>
  <c r="J1432" i="7"/>
  <c r="L1432" i="7" s="1" a="1"/>
  <c r="L1432" i="7" s="1"/>
  <c r="K1432" i="7"/>
  <c r="H1433" i="7"/>
  <c r="I1433" i="7"/>
  <c r="J1433" i="7"/>
  <c r="L1433" i="7" s="1" a="1"/>
  <c r="L1433" i="7" s="1"/>
  <c r="K1433" i="7"/>
  <c r="H1434" i="7"/>
  <c r="I1434" i="7"/>
  <c r="J1434" i="7"/>
  <c r="L1434" i="7" s="1" a="1"/>
  <c r="L1434" i="7" s="1"/>
  <c r="K1434" i="7"/>
  <c r="H1435" i="7"/>
  <c r="I1435" i="7" s="1"/>
  <c r="J1435" i="7"/>
  <c r="K1435" i="7"/>
  <c r="H1436" i="7"/>
  <c r="I1436" i="7" s="1"/>
  <c r="J1436" i="7"/>
  <c r="L1436" i="7" s="1" a="1"/>
  <c r="L1436" i="7" s="1"/>
  <c r="K1436" i="7"/>
  <c r="H1437" i="7"/>
  <c r="I1437" i="7"/>
  <c r="J1437" i="7"/>
  <c r="L1437" i="7" s="1" a="1"/>
  <c r="L1437" i="7" s="1"/>
  <c r="K1437" i="7"/>
  <c r="H1438" i="7"/>
  <c r="I1438" i="7"/>
  <c r="J1438" i="7"/>
  <c r="L1438" i="7" s="1" a="1"/>
  <c r="L1438" i="7" s="1"/>
  <c r="K1438" i="7"/>
  <c r="H1439" i="7"/>
  <c r="I1439" i="7"/>
  <c r="J1439" i="7"/>
  <c r="L1439" i="7" s="1" a="1"/>
  <c r="L1439" i="7" s="1"/>
  <c r="K1439" i="7"/>
  <c r="H1440" i="7"/>
  <c r="I1440" i="7" s="1"/>
  <c r="J1440" i="7"/>
  <c r="K1440" i="7"/>
  <c r="H1441" i="7"/>
  <c r="I1441" i="7"/>
  <c r="J1441" i="7"/>
  <c r="L1441" i="7" s="1" a="1"/>
  <c r="L1441" i="7" s="1"/>
  <c r="K1441" i="7"/>
  <c r="H1442" i="7"/>
  <c r="I1442" i="7"/>
  <c r="J1442" i="7"/>
  <c r="L1442" i="7" s="1" a="1"/>
  <c r="L1442" i="7" s="1"/>
  <c r="K1442" i="7"/>
  <c r="H1443" i="7"/>
  <c r="I1443" i="7"/>
  <c r="J1443" i="7"/>
  <c r="L1443" i="7" s="1" a="1"/>
  <c r="L1443" i="7" s="1"/>
  <c r="K1443" i="7"/>
  <c r="H1444" i="7"/>
  <c r="I1444" i="7" s="1"/>
  <c r="J1444" i="7"/>
  <c r="L1444" i="7" s="1" a="1"/>
  <c r="L1444" i="7" s="1"/>
  <c r="K1444" i="7"/>
  <c r="H1445" i="7"/>
  <c r="I1445" i="7"/>
  <c r="J1445" i="7"/>
  <c r="L1445" i="7" s="1" a="1"/>
  <c r="L1445" i="7" s="1"/>
  <c r="K1445" i="7"/>
  <c r="H1446" i="7"/>
  <c r="I1446" i="7"/>
  <c r="J1446" i="7"/>
  <c r="L1446" i="7" s="1" a="1"/>
  <c r="L1446" i="7" s="1"/>
  <c r="K1446" i="7"/>
  <c r="H1447" i="7"/>
  <c r="I1447" i="7"/>
  <c r="J1447" i="7"/>
  <c r="L1447" i="7" s="1" a="1"/>
  <c r="L1447" i="7" s="1"/>
  <c r="K1447" i="7"/>
  <c r="H1448" i="7"/>
  <c r="I1448" i="7" s="1"/>
  <c r="J1448" i="7"/>
  <c r="K1448" i="7"/>
  <c r="H1449" i="7"/>
  <c r="I1449" i="7"/>
  <c r="J1449" i="7"/>
  <c r="L1449" i="7" s="1" a="1"/>
  <c r="L1449" i="7" s="1"/>
  <c r="K1449" i="7"/>
  <c r="H1450" i="7"/>
  <c r="I1450" i="7"/>
  <c r="J1450" i="7"/>
  <c r="L1450" i="7" s="1" a="1"/>
  <c r="L1450" i="7" s="1"/>
  <c r="K1450" i="7"/>
  <c r="H1451" i="7"/>
  <c r="I1451" i="7"/>
  <c r="J1451" i="7"/>
  <c r="L1451" i="7" s="1" a="1"/>
  <c r="L1451" i="7" s="1"/>
  <c r="K1451" i="7"/>
  <c r="H1452" i="7"/>
  <c r="I1452" i="7" s="1"/>
  <c r="J1452" i="7"/>
  <c r="L1452" i="7" s="1" a="1"/>
  <c r="L1452" i="7" s="1"/>
  <c r="K1452" i="7"/>
  <c r="H1453" i="7"/>
  <c r="I1453" i="7"/>
  <c r="J1453" i="7"/>
  <c r="L1453" i="7" s="1" a="1"/>
  <c r="L1453" i="7" s="1"/>
  <c r="K1453" i="7"/>
  <c r="H1454" i="7"/>
  <c r="I1454" i="7"/>
  <c r="J1454" i="7"/>
  <c r="L1454" i="7" s="1" a="1"/>
  <c r="L1454" i="7" s="1"/>
  <c r="K1454" i="7"/>
  <c r="H1455" i="7"/>
  <c r="I1455" i="7"/>
  <c r="J1455" i="7"/>
  <c r="L1455" i="7" s="1" a="1"/>
  <c r="L1455" i="7" s="1"/>
  <c r="K1455" i="7"/>
  <c r="H1456" i="7"/>
  <c r="I1456" i="7" s="1"/>
  <c r="J1456" i="7"/>
  <c r="K1456" i="7"/>
  <c r="H1457" i="7"/>
  <c r="I1457" i="7"/>
  <c r="J1457" i="7"/>
  <c r="L1457" i="7" s="1" a="1"/>
  <c r="L1457" i="7" s="1"/>
  <c r="K1457" i="7"/>
  <c r="H1458" i="7"/>
  <c r="I1458" i="7"/>
  <c r="J1458" i="7"/>
  <c r="L1458" i="7" s="1" a="1"/>
  <c r="L1458" i="7" s="1"/>
  <c r="K1458" i="7"/>
  <c r="H1459" i="7"/>
  <c r="I1459" i="7"/>
  <c r="J1459" i="7"/>
  <c r="L1459" i="7" s="1" a="1"/>
  <c r="L1459" i="7" s="1"/>
  <c r="K1459" i="7"/>
  <c r="H1460" i="7"/>
  <c r="I1460" i="7" s="1"/>
  <c r="J1460" i="7"/>
  <c r="L1460" i="7" s="1" a="1"/>
  <c r="L1460" i="7" s="1"/>
  <c r="K1460" i="7"/>
  <c r="H1461" i="7"/>
  <c r="I1461" i="7"/>
  <c r="J1461" i="7"/>
  <c r="L1461" i="7" s="1" a="1"/>
  <c r="L1461" i="7" s="1"/>
  <c r="K1461" i="7"/>
  <c r="H1462" i="7"/>
  <c r="I1462" i="7"/>
  <c r="J1462" i="7"/>
  <c r="L1462" i="7" s="1" a="1"/>
  <c r="L1462" i="7" s="1"/>
  <c r="K1462" i="7"/>
  <c r="H1463" i="7"/>
  <c r="I1463" i="7"/>
  <c r="J1463" i="7"/>
  <c r="L1463" i="7" s="1" a="1"/>
  <c r="L1463" i="7" s="1"/>
  <c r="K1463" i="7"/>
  <c r="H1464" i="7"/>
  <c r="I1464" i="7" s="1"/>
  <c r="J1464" i="7"/>
  <c r="K1464" i="7"/>
  <c r="H1465" i="7"/>
  <c r="I1465" i="7"/>
  <c r="J1465" i="7"/>
  <c r="L1465" i="7" s="1" a="1"/>
  <c r="L1465" i="7" s="1"/>
  <c r="K1465" i="7"/>
  <c r="H1466" i="7"/>
  <c r="I1466" i="7"/>
  <c r="J1466" i="7"/>
  <c r="L1466" i="7" s="1" a="1"/>
  <c r="L1466" i="7" s="1"/>
  <c r="K1466" i="7"/>
  <c r="H1467" i="7"/>
  <c r="I1467" i="7"/>
  <c r="J1467" i="7"/>
  <c r="L1467" i="7" s="1" a="1"/>
  <c r="L1467" i="7" s="1"/>
  <c r="K1467" i="7"/>
  <c r="H1468" i="7"/>
  <c r="I1468" i="7" s="1"/>
  <c r="J1468" i="7"/>
  <c r="L1468" i="7" s="1" a="1"/>
  <c r="L1468" i="7" s="1"/>
  <c r="K1468" i="7"/>
  <c r="H1469" i="7"/>
  <c r="I1469" i="7"/>
  <c r="J1469" i="7"/>
  <c r="L1469" i="7" s="1" a="1"/>
  <c r="L1469" i="7" s="1"/>
  <c r="K1469" i="7"/>
  <c r="H1470" i="7"/>
  <c r="I1470" i="7"/>
  <c r="J1470" i="7"/>
  <c r="L1470" i="7" s="1" a="1"/>
  <c r="L1470" i="7" s="1"/>
  <c r="K1470" i="7"/>
  <c r="H1471" i="7"/>
  <c r="I1471" i="7"/>
  <c r="J1471" i="7"/>
  <c r="L1471" i="7" s="1" a="1"/>
  <c r="L1471" i="7" s="1"/>
  <c r="K1471" i="7"/>
  <c r="H1472" i="7"/>
  <c r="I1472" i="7" s="1"/>
  <c r="J1472" i="7"/>
  <c r="K1472" i="7"/>
  <c r="H1473" i="7"/>
  <c r="I1473" i="7"/>
  <c r="J1473" i="7"/>
  <c r="L1473" i="7" s="1" a="1"/>
  <c r="L1473" i="7" s="1"/>
  <c r="K1473" i="7"/>
  <c r="H1474" i="7"/>
  <c r="I1474" i="7"/>
  <c r="J1474" i="7"/>
  <c r="L1474" i="7" s="1" a="1"/>
  <c r="L1474" i="7" s="1"/>
  <c r="K1474" i="7"/>
  <c r="H1475" i="7"/>
  <c r="I1475" i="7"/>
  <c r="J1475" i="7"/>
  <c r="L1475" i="7" s="1" a="1"/>
  <c r="L1475" i="7" s="1"/>
  <c r="K1475" i="7"/>
  <c r="H1476" i="7"/>
  <c r="I1476" i="7" s="1"/>
  <c r="J1476" i="7"/>
  <c r="L1476" i="7" s="1" a="1"/>
  <c r="L1476" i="7" s="1"/>
  <c r="K1476" i="7"/>
  <c r="H1477" i="7"/>
  <c r="I1477" i="7"/>
  <c r="J1477" i="7"/>
  <c r="L1477" i="7" s="1" a="1"/>
  <c r="L1477" i="7" s="1"/>
  <c r="K1477" i="7"/>
  <c r="H1478" i="7"/>
  <c r="I1478" i="7"/>
  <c r="J1478" i="7"/>
  <c r="L1478" i="7" s="1" a="1"/>
  <c r="L1478" i="7" s="1"/>
  <c r="K1478" i="7"/>
  <c r="H1479" i="7"/>
  <c r="I1479" i="7"/>
  <c r="J1479" i="7"/>
  <c r="L1479" i="7" s="1" a="1"/>
  <c r="L1479" i="7" s="1"/>
  <c r="K1479" i="7"/>
  <c r="H1480" i="7"/>
  <c r="I1480" i="7" s="1"/>
  <c r="J1480" i="7"/>
  <c r="K1480" i="7"/>
  <c r="H1481" i="7"/>
  <c r="I1481" i="7"/>
  <c r="J1481" i="7"/>
  <c r="L1481" i="7" s="1" a="1"/>
  <c r="L1481" i="7" s="1"/>
  <c r="K1481" i="7"/>
  <c r="H1482" i="7"/>
  <c r="I1482" i="7"/>
  <c r="J1482" i="7"/>
  <c r="L1482" i="7" s="1" a="1"/>
  <c r="L1482" i="7" s="1"/>
  <c r="K1482" i="7"/>
  <c r="H1483" i="7"/>
  <c r="I1483" i="7"/>
  <c r="J1483" i="7"/>
  <c r="L1483" i="7" s="1" a="1"/>
  <c r="L1483" i="7" s="1"/>
  <c r="K1483" i="7"/>
  <c r="H1484" i="7"/>
  <c r="I1484" i="7" s="1"/>
  <c r="J1484" i="7"/>
  <c r="L1484" i="7" s="1" a="1"/>
  <c r="L1484" i="7" s="1"/>
  <c r="K1484" i="7"/>
  <c r="H1485" i="7"/>
  <c r="I1485" i="7"/>
  <c r="J1485" i="7"/>
  <c r="L1485" i="7" s="1" a="1"/>
  <c r="L1485" i="7" s="1"/>
  <c r="K1485" i="7"/>
  <c r="H1486" i="7"/>
  <c r="I1486" i="7"/>
  <c r="J1486" i="7"/>
  <c r="L1486" i="7" s="1" a="1"/>
  <c r="L1486" i="7" s="1"/>
  <c r="K1486" i="7"/>
  <c r="H1487" i="7"/>
  <c r="I1487" i="7"/>
  <c r="J1487" i="7"/>
  <c r="L1487" i="7" s="1" a="1"/>
  <c r="L1487" i="7" s="1"/>
  <c r="K1487" i="7"/>
  <c r="H1488" i="7"/>
  <c r="I1488" i="7" s="1"/>
  <c r="J1488" i="7"/>
  <c r="K1488" i="7"/>
  <c r="H1489" i="7"/>
  <c r="I1489" i="7"/>
  <c r="J1489" i="7"/>
  <c r="L1489" i="7" s="1" a="1"/>
  <c r="L1489" i="7" s="1"/>
  <c r="K1489" i="7"/>
  <c r="H1490" i="7"/>
  <c r="I1490" i="7"/>
  <c r="J1490" i="7"/>
  <c r="L1490" i="7" s="1" a="1"/>
  <c r="L1490" i="7" s="1"/>
  <c r="K1490" i="7"/>
  <c r="H1491" i="7"/>
  <c r="I1491" i="7"/>
  <c r="J1491" i="7"/>
  <c r="L1491" i="7" s="1" a="1"/>
  <c r="L1491" i="7" s="1"/>
  <c r="K1491" i="7"/>
  <c r="H1492" i="7"/>
  <c r="I1492" i="7" s="1"/>
  <c r="J1492" i="7"/>
  <c r="L1492" i="7" s="1" a="1"/>
  <c r="L1492" i="7" s="1"/>
  <c r="K1492" i="7"/>
  <c r="H1493" i="7"/>
  <c r="I1493" i="7"/>
  <c r="J1493" i="7"/>
  <c r="L1493" i="7" s="1" a="1"/>
  <c r="L1493" i="7" s="1"/>
  <c r="K1493" i="7"/>
  <c r="H1494" i="7"/>
  <c r="I1494" i="7"/>
  <c r="J1494" i="7"/>
  <c r="L1494" i="7" s="1" a="1"/>
  <c r="L1494" i="7" s="1"/>
  <c r="K1494" i="7"/>
  <c r="H1495" i="7"/>
  <c r="I1495" i="7"/>
  <c r="J1495" i="7"/>
  <c r="L1495" i="7" s="1" a="1"/>
  <c r="L1495" i="7" s="1"/>
  <c r="K1495" i="7"/>
  <c r="H1496" i="7"/>
  <c r="I1496" i="7" s="1"/>
  <c r="J1496" i="7"/>
  <c r="K1496" i="7"/>
  <c r="H1497" i="7"/>
  <c r="I1497" i="7"/>
  <c r="J1497" i="7"/>
  <c r="L1497" i="7" s="1" a="1"/>
  <c r="L1497" i="7" s="1"/>
  <c r="K1497" i="7"/>
  <c r="H1498" i="7"/>
  <c r="I1498" i="7"/>
  <c r="J1498" i="7"/>
  <c r="L1498" i="7" s="1" a="1"/>
  <c r="L1498" i="7" s="1"/>
  <c r="K1498" i="7"/>
  <c r="H1499" i="7"/>
  <c r="I1499" i="7"/>
  <c r="J1499" i="7"/>
  <c r="L1499" i="7" s="1" a="1"/>
  <c r="L1499" i="7" s="1"/>
  <c r="K1499" i="7"/>
  <c r="H1500" i="7"/>
  <c r="I1500" i="7" s="1"/>
  <c r="J1500" i="7"/>
  <c r="L1500" i="7" s="1" a="1"/>
  <c r="L1500" i="7" s="1"/>
  <c r="K1500" i="7"/>
  <c r="H1501" i="7"/>
  <c r="I1501" i="7"/>
  <c r="J1501" i="7"/>
  <c r="L1501" i="7" s="1" a="1"/>
  <c r="L1501" i="7" s="1"/>
  <c r="K1501" i="7"/>
  <c r="K2" i="7"/>
  <c r="J2" i="7"/>
  <c r="L2" i="7" s="1" a="1"/>
  <c r="L2" i="7" s="1"/>
  <c r="I2" i="7"/>
  <c r="H2" i="7"/>
  <c r="M1147" i="14" l="1"/>
  <c r="N1147" i="14"/>
  <c r="M1037" i="14"/>
  <c r="N1037" i="14"/>
  <c r="M951" i="14"/>
  <c r="N951" i="14"/>
  <c r="M871" i="14"/>
  <c r="N871" i="14"/>
  <c r="M694" i="14"/>
  <c r="N694" i="14"/>
  <c r="M1483" i="14"/>
  <c r="N1483" i="14"/>
  <c r="N1452" i="14"/>
  <c r="M1452" i="14"/>
  <c r="M1439" i="14"/>
  <c r="N1439" i="14"/>
  <c r="N1402" i="14"/>
  <c r="M1402" i="14"/>
  <c r="M1200" i="14"/>
  <c r="N1200" i="14"/>
  <c r="M931" i="14"/>
  <c r="N931" i="14"/>
  <c r="M958" i="14"/>
  <c r="N958" i="14"/>
  <c r="M835" i="14"/>
  <c r="N835" i="14"/>
  <c r="M1161" i="14"/>
  <c r="N1161" i="14"/>
  <c r="M983" i="14"/>
  <c r="N983" i="14"/>
  <c r="M811" i="14"/>
  <c r="N811" i="14"/>
  <c r="M647" i="14"/>
  <c r="N647" i="14"/>
  <c r="M1458" i="14"/>
  <c r="N1458" i="14"/>
  <c r="M1358" i="14"/>
  <c r="N1358" i="14"/>
  <c r="M1077" i="14"/>
  <c r="N1077" i="14"/>
  <c r="N997" i="14"/>
  <c r="M997" i="14"/>
  <c r="N990" i="14"/>
  <c r="M990" i="14"/>
  <c r="N842" i="14"/>
  <c r="M842" i="14"/>
  <c r="N773" i="14"/>
  <c r="M773" i="14"/>
  <c r="M318" i="14"/>
  <c r="N318" i="14"/>
  <c r="M1423" i="14"/>
  <c r="N1423" i="14"/>
  <c r="M1043" i="14"/>
  <c r="N1043" i="14"/>
  <c r="M965" i="14"/>
  <c r="N965" i="14"/>
  <c r="N571" i="14"/>
  <c r="M571" i="14"/>
  <c r="N1489" i="14"/>
  <c r="M1489" i="14"/>
  <c r="N1260" i="14"/>
  <c r="M1260" i="14"/>
  <c r="N1132" i="14"/>
  <c r="M1132" i="14"/>
  <c r="N740" i="14"/>
  <c r="M740" i="14"/>
  <c r="N1501" i="14"/>
  <c r="M1501" i="14"/>
  <c r="M1399" i="14"/>
  <c r="N1399" i="14"/>
  <c r="M1343" i="14"/>
  <c r="N1343" i="14"/>
  <c r="M1151" i="14"/>
  <c r="N1151" i="14"/>
  <c r="M972" i="14"/>
  <c r="N972" i="14"/>
  <c r="N1188" i="14"/>
  <c r="M1188" i="14"/>
  <c r="M817" i="14"/>
  <c r="N817" i="14"/>
  <c r="M1429" i="14"/>
  <c r="N1429" i="14"/>
  <c r="M1216" i="14"/>
  <c r="N1216" i="14"/>
  <c r="M585" i="14"/>
  <c r="N585" i="14"/>
  <c r="M365" i="14"/>
  <c r="N365" i="14"/>
  <c r="M139" i="14"/>
  <c r="N139" i="14"/>
  <c r="N973" i="14"/>
  <c r="M973" i="14"/>
  <c r="M1480" i="14"/>
  <c r="N1480" i="14"/>
  <c r="N1278" i="14"/>
  <c r="M1278" i="14"/>
  <c r="M1266" i="14"/>
  <c r="N1266" i="14"/>
  <c r="M1019" i="14"/>
  <c r="N1019" i="14"/>
  <c r="M1377" i="14"/>
  <c r="N1377" i="14"/>
  <c r="M1265" i="14"/>
  <c r="N1265" i="14"/>
  <c r="M1194" i="14"/>
  <c r="N1194" i="14"/>
  <c r="M1389" i="14"/>
  <c r="N1389" i="14"/>
  <c r="N1228" i="14"/>
  <c r="M1228" i="14"/>
  <c r="N1478" i="14"/>
  <c r="M1478" i="14"/>
  <c r="M946" i="14"/>
  <c r="N946" i="14"/>
  <c r="M874" i="14"/>
  <c r="N874" i="14"/>
  <c r="N1411" i="14"/>
  <c r="M1411" i="14"/>
  <c r="N719" i="14"/>
  <c r="M719" i="14"/>
  <c r="N582" i="14"/>
  <c r="M582" i="14"/>
  <c r="N136" i="14"/>
  <c r="M136" i="14"/>
  <c r="N1426" i="14"/>
  <c r="M1426" i="14"/>
  <c r="M1290" i="14"/>
  <c r="N1290" i="14"/>
  <c r="M829" i="14"/>
  <c r="N829" i="14"/>
  <c r="N1374" i="14"/>
  <c r="M1374" i="14"/>
  <c r="M321" i="14"/>
  <c r="N321" i="14"/>
  <c r="M1418" i="14"/>
  <c r="N1418" i="14"/>
  <c r="N792" i="14"/>
  <c r="M792" i="14"/>
  <c r="M1415" i="14"/>
  <c r="N1415" i="14"/>
  <c r="N949" i="14"/>
  <c r="M949" i="14"/>
  <c r="M1421" i="14"/>
  <c r="N1421" i="14"/>
  <c r="M1383" i="14"/>
  <c r="N1383" i="14"/>
  <c r="M1349" i="14"/>
  <c r="N1349" i="14"/>
  <c r="M1327" i="14"/>
  <c r="N1327" i="14"/>
  <c r="M1158" i="14"/>
  <c r="N1158" i="14"/>
  <c r="M1081" i="14"/>
  <c r="N1081" i="14"/>
  <c r="M705" i="14"/>
  <c r="N705" i="14"/>
  <c r="M1087" i="14"/>
  <c r="N1087" i="14"/>
  <c r="M635" i="14"/>
  <c r="N635" i="14"/>
  <c r="N388" i="14"/>
  <c r="M388" i="14"/>
  <c r="M1312" i="14"/>
  <c r="N1312" i="14"/>
  <c r="M1008" i="14"/>
  <c r="N1008" i="14"/>
  <c r="M1361" i="14"/>
  <c r="N1361" i="14"/>
  <c r="M16" i="14"/>
  <c r="N16" i="14"/>
  <c r="N1447" i="14"/>
  <c r="M1447" i="14"/>
  <c r="N858" i="14"/>
  <c r="M858" i="14"/>
  <c r="N746" i="14"/>
  <c r="M746" i="14"/>
  <c r="M663" i="14"/>
  <c r="N663" i="14"/>
  <c r="N1255" i="14"/>
  <c r="M1255" i="14"/>
  <c r="N1257" i="14"/>
  <c r="M1257" i="14"/>
  <c r="M1137" i="14"/>
  <c r="N1137" i="14"/>
  <c r="N183" i="14"/>
  <c r="M183" i="14"/>
  <c r="M1432" i="14"/>
  <c r="N1432" i="14"/>
  <c r="N1308" i="14"/>
  <c r="M1308" i="14"/>
  <c r="M1164" i="14"/>
  <c r="N1164" i="14"/>
  <c r="M986" i="14"/>
  <c r="N986" i="14"/>
  <c r="M978" i="14"/>
  <c r="N964" i="14"/>
  <c r="N883" i="14"/>
  <c r="L870" i="14"/>
  <c r="M845" i="14"/>
  <c r="N838" i="14"/>
  <c r="M838" i="14"/>
  <c r="M831" i="14"/>
  <c r="N831" i="14"/>
  <c r="M790" i="14"/>
  <c r="N790" i="14"/>
  <c r="N768" i="14"/>
  <c r="M768" i="14"/>
  <c r="M702" i="14"/>
  <c r="N702" i="14"/>
  <c r="N677" i="14"/>
  <c r="M677" i="14"/>
  <c r="M485" i="14"/>
  <c r="N485" i="14"/>
  <c r="M446" i="14"/>
  <c r="N446" i="14"/>
  <c r="L364" i="14"/>
  <c r="M299" i="14"/>
  <c r="N299" i="14"/>
  <c r="L283" i="14"/>
  <c r="N254" i="14"/>
  <c r="M254" i="14"/>
  <c r="M157" i="14"/>
  <c r="N157" i="14"/>
  <c r="N149" i="14"/>
  <c r="M1241" i="14"/>
  <c r="N1241" i="14"/>
  <c r="M1234" i="14"/>
  <c r="N1234" i="14"/>
  <c r="M760" i="14"/>
  <c r="N760" i="14"/>
  <c r="M730" i="14"/>
  <c r="N730" i="14"/>
  <c r="N722" i="14"/>
  <c r="M722" i="14"/>
  <c r="N404" i="14"/>
  <c r="M404" i="14"/>
  <c r="M333" i="14"/>
  <c r="N333" i="14"/>
  <c r="M111" i="14"/>
  <c r="N111" i="14"/>
  <c r="M944" i="14"/>
  <c r="N944" i="14"/>
  <c r="L904" i="14"/>
  <c r="M890" i="14"/>
  <c r="N890" i="14"/>
  <c r="M797" i="14"/>
  <c r="N797" i="14"/>
  <c r="M514" i="14"/>
  <c r="N514" i="14"/>
  <c r="N371" i="14"/>
  <c r="M371" i="14"/>
  <c r="M102" i="14"/>
  <c r="N102" i="14"/>
  <c r="M1112" i="14"/>
  <c r="N1112" i="14"/>
  <c r="M837" i="14"/>
  <c r="N837" i="14"/>
  <c r="M492" i="14"/>
  <c r="N492" i="14"/>
  <c r="N127" i="14"/>
  <c r="M127" i="14"/>
  <c r="N992" i="14"/>
  <c r="M992" i="14"/>
  <c r="M971" i="14"/>
  <c r="N971" i="14"/>
  <c r="M707" i="14"/>
  <c r="N707" i="14"/>
  <c r="M445" i="14"/>
  <c r="N445" i="14"/>
  <c r="N419" i="14"/>
  <c r="M419" i="14"/>
  <c r="M395" i="14"/>
  <c r="N395" i="14"/>
  <c r="M331" i="14"/>
  <c r="N331" i="14"/>
  <c r="N290" i="14"/>
  <c r="M290" i="14"/>
  <c r="N85" i="14"/>
  <c r="M85" i="14"/>
  <c r="M1041" i="14"/>
  <c r="N1041" i="14"/>
  <c r="M693" i="14"/>
  <c r="N693" i="14"/>
  <c r="N648" i="14"/>
  <c r="M648" i="14"/>
  <c r="M165" i="14"/>
  <c r="N165" i="14"/>
  <c r="M667" i="14"/>
  <c r="N667" i="14"/>
  <c r="N641" i="14"/>
  <c r="M641" i="14"/>
  <c r="N436" i="14"/>
  <c r="M436" i="14"/>
  <c r="M289" i="14"/>
  <c r="N289" i="14"/>
  <c r="M125" i="14"/>
  <c r="N125" i="14"/>
  <c r="M117" i="14"/>
  <c r="N117" i="14"/>
  <c r="M1344" i="14"/>
  <c r="N1344" i="14"/>
  <c r="M1294" i="14"/>
  <c r="N1294" i="14"/>
  <c r="M998" i="14"/>
  <c r="N998" i="14"/>
  <c r="M868" i="14"/>
  <c r="N868" i="14"/>
  <c r="M281" i="14"/>
  <c r="N281" i="14"/>
  <c r="M213" i="14"/>
  <c r="N213" i="14"/>
  <c r="N164" i="14"/>
  <c r="M164" i="14"/>
  <c r="M59" i="14"/>
  <c r="N59" i="14"/>
  <c r="M1154" i="14"/>
  <c r="N1154" i="14"/>
  <c r="M902" i="14"/>
  <c r="N902" i="14"/>
  <c r="M566" i="14"/>
  <c r="N566" i="14"/>
  <c r="M385" i="14"/>
  <c r="N385" i="14"/>
  <c r="M196" i="14"/>
  <c r="N196" i="14"/>
  <c r="M180" i="14"/>
  <c r="N180" i="14"/>
  <c r="M133" i="14"/>
  <c r="N133" i="14"/>
  <c r="N76" i="14"/>
  <c r="M76" i="14"/>
  <c r="M29" i="14"/>
  <c r="N29" i="14"/>
  <c r="L1436" i="14"/>
  <c r="M1330" i="14"/>
  <c r="L1318" i="14"/>
  <c r="L1300" i="14"/>
  <c r="M1169" i="14"/>
  <c r="N1169" i="14"/>
  <c r="N1110" i="14"/>
  <c r="M1097" i="14"/>
  <c r="M1047" i="14"/>
  <c r="M909" i="14"/>
  <c r="N909" i="14"/>
  <c r="M875" i="14"/>
  <c r="N875" i="14"/>
  <c r="N757" i="14"/>
  <c r="N727" i="14"/>
  <c r="M727" i="14"/>
  <c r="N674" i="14"/>
  <c r="M674" i="14"/>
  <c r="N632" i="14"/>
  <c r="M632" i="14"/>
  <c r="N482" i="14"/>
  <c r="M482" i="14"/>
  <c r="M280" i="14"/>
  <c r="N280" i="14"/>
  <c r="M212" i="14"/>
  <c r="N212" i="14"/>
  <c r="M188" i="14"/>
  <c r="N188" i="14"/>
  <c r="M99" i="14"/>
  <c r="N99" i="14"/>
  <c r="M1215" i="14"/>
  <c r="N1215" i="14"/>
  <c r="M1184" i="14"/>
  <c r="N1184" i="14"/>
  <c r="M1100" i="14"/>
  <c r="N1100" i="14"/>
  <c r="M577" i="14"/>
  <c r="N577" i="14"/>
  <c r="M1401" i="14"/>
  <c r="N1401" i="14"/>
  <c r="M379" i="14"/>
  <c r="N379" i="14"/>
  <c r="M324" i="14"/>
  <c r="N324" i="14"/>
  <c r="M1067" i="14"/>
  <c r="N1067" i="14"/>
  <c r="M745" i="14"/>
  <c r="N745" i="14"/>
  <c r="M341" i="14"/>
  <c r="N341" i="14"/>
  <c r="M568" i="14"/>
  <c r="N568" i="14"/>
  <c r="M1375" i="14"/>
  <c r="N1375" i="14"/>
  <c r="N896" i="14"/>
  <c r="M896" i="14"/>
  <c r="N521" i="14"/>
  <c r="M521" i="14"/>
  <c r="M307" i="14"/>
  <c r="N307" i="14"/>
  <c r="M1419" i="14"/>
  <c r="N1419" i="14"/>
  <c r="M1406" i="14"/>
  <c r="N1406" i="14"/>
  <c r="M815" i="14"/>
  <c r="N815" i="14"/>
  <c r="N758" i="14"/>
  <c r="M758" i="14"/>
  <c r="M625" i="14"/>
  <c r="N625" i="14"/>
  <c r="N506" i="14"/>
  <c r="M506" i="14"/>
  <c r="N394" i="14"/>
  <c r="M394" i="14"/>
  <c r="M244" i="14"/>
  <c r="N244" i="14"/>
  <c r="M1393" i="14"/>
  <c r="N1393" i="14"/>
  <c r="M822" i="14"/>
  <c r="N822" i="14"/>
  <c r="M204" i="14"/>
  <c r="N204" i="14"/>
  <c r="M923" i="14"/>
  <c r="N923" i="14"/>
  <c r="M417" i="14"/>
  <c r="N417" i="14"/>
  <c r="M369" i="14"/>
  <c r="N369" i="14"/>
  <c r="N1305" i="14"/>
  <c r="N1280" i="14"/>
  <c r="N1262" i="14"/>
  <c r="M1245" i="14"/>
  <c r="N1245" i="14"/>
  <c r="N1231" i="14"/>
  <c r="N1071" i="14"/>
  <c r="N1032" i="14"/>
  <c r="M935" i="14"/>
  <c r="N935" i="14"/>
  <c r="N807" i="14"/>
  <c r="M807" i="14"/>
  <c r="N787" i="14"/>
  <c r="M735" i="14"/>
  <c r="N735" i="14"/>
  <c r="N711" i="14"/>
  <c r="M631" i="14"/>
  <c r="N631" i="14"/>
  <c r="N442" i="14"/>
  <c r="M376" i="14"/>
  <c r="N376" i="14"/>
  <c r="N272" i="14"/>
  <c r="M272" i="14"/>
  <c r="M68" i="14"/>
  <c r="N68" i="14"/>
  <c r="M1157" i="14"/>
  <c r="N1157" i="14"/>
  <c r="M1093" i="14"/>
  <c r="N1093" i="14"/>
  <c r="N636" i="14"/>
  <c r="M636" i="14"/>
  <c r="N508" i="14"/>
  <c r="M508" i="14"/>
  <c r="M372" i="14"/>
  <c r="N372" i="14"/>
  <c r="M216" i="14"/>
  <c r="N216" i="14"/>
  <c r="M207" i="14"/>
  <c r="N207" i="14"/>
  <c r="M1370" i="14"/>
  <c r="N1370" i="14"/>
  <c r="M1339" i="14"/>
  <c r="N1339" i="14"/>
  <c r="M1289" i="14"/>
  <c r="N1289" i="14"/>
  <c r="M1007" i="14"/>
  <c r="N1007" i="14"/>
  <c r="M332" i="14"/>
  <c r="N332" i="14"/>
  <c r="N223" i="14"/>
  <c r="M223" i="14"/>
  <c r="N182" i="14"/>
  <c r="M182" i="14"/>
  <c r="M1240" i="14"/>
  <c r="N1240" i="14"/>
  <c r="M911" i="14"/>
  <c r="N911" i="14"/>
  <c r="N1149" i="14"/>
  <c r="M1149" i="14"/>
  <c r="N476" i="14"/>
  <c r="M476" i="14"/>
  <c r="M126" i="14"/>
  <c r="N126" i="14"/>
  <c r="N1282" i="14"/>
  <c r="M1282" i="14"/>
  <c r="N1085" i="14"/>
  <c r="M1085" i="14"/>
  <c r="M1027" i="14"/>
  <c r="N1027" i="14"/>
  <c r="M1014" i="14"/>
  <c r="N1014" i="14"/>
  <c r="M775" i="14"/>
  <c r="N775" i="14"/>
  <c r="M537" i="14"/>
  <c r="N537" i="14"/>
  <c r="M1155" i="14"/>
  <c r="N1155" i="14"/>
  <c r="N751" i="14"/>
  <c r="M751" i="14"/>
  <c r="N7" i="14"/>
  <c r="M7" i="14"/>
  <c r="M1481" i="14"/>
  <c r="N1481" i="14"/>
  <c r="M1176" i="14"/>
  <c r="N1176" i="14"/>
  <c r="M970" i="14"/>
  <c r="N970" i="14"/>
  <c r="M633" i="14"/>
  <c r="N633" i="14"/>
  <c r="M575" i="14"/>
  <c r="N575" i="14"/>
  <c r="N559" i="14"/>
  <c r="M559" i="14"/>
  <c r="M197" i="14"/>
  <c r="N197" i="14"/>
  <c r="N134" i="14"/>
  <c r="M134" i="14"/>
  <c r="M1337" i="14"/>
  <c r="N1337" i="14"/>
  <c r="M1098" i="14"/>
  <c r="N1098" i="14"/>
  <c r="M1072" i="14"/>
  <c r="N1072" i="14"/>
  <c r="M808" i="14"/>
  <c r="N808" i="14"/>
  <c r="M189" i="14"/>
  <c r="N189" i="14"/>
  <c r="M154" i="14"/>
  <c r="N154" i="14"/>
  <c r="M1263" i="14"/>
  <c r="N1263" i="14"/>
  <c r="M1201" i="14"/>
  <c r="N1201" i="14"/>
  <c r="M1033" i="14"/>
  <c r="N1033" i="14"/>
  <c r="M766" i="14"/>
  <c r="N766" i="14"/>
  <c r="M616" i="14"/>
  <c r="N616" i="14"/>
  <c r="M466" i="14"/>
  <c r="N466" i="14"/>
  <c r="M288" i="14"/>
  <c r="N288" i="14"/>
  <c r="N1497" i="14"/>
  <c r="N1392" i="14"/>
  <c r="N1380" i="14"/>
  <c r="M1380" i="14"/>
  <c r="N1336" i="14"/>
  <c r="L1492" i="14"/>
  <c r="L1486" i="14"/>
  <c r="M1299" i="14"/>
  <c r="M1206" i="14"/>
  <c r="L1168" i="14"/>
  <c r="M1123" i="14"/>
  <c r="N1123" i="14"/>
  <c r="M1053" i="14"/>
  <c r="L1012" i="14"/>
  <c r="M975" i="14"/>
  <c r="M961" i="14"/>
  <c r="N961" i="14"/>
  <c r="M954" i="14"/>
  <c r="M928" i="14"/>
  <c r="M915" i="14"/>
  <c r="N915" i="14"/>
  <c r="L908" i="14"/>
  <c r="M901" i="14"/>
  <c r="M880" i="14"/>
  <c r="M690" i="14"/>
  <c r="N690" i="14"/>
  <c r="M665" i="14"/>
  <c r="L588" i="14"/>
  <c r="N565" i="14"/>
  <c r="N550" i="14"/>
  <c r="M220" i="14"/>
  <c r="N211" i="14"/>
  <c r="M132" i="14"/>
  <c r="N132" i="14"/>
  <c r="M82" i="14"/>
  <c r="N1002" i="14"/>
  <c r="M1002" i="14"/>
  <c r="M1341" i="14"/>
  <c r="N1341" i="14"/>
  <c r="N1095" i="14"/>
  <c r="M1095" i="14"/>
  <c r="M1484" i="14"/>
  <c r="N1484" i="14"/>
  <c r="N1229" i="14"/>
  <c r="M1229" i="14"/>
  <c r="M1210" i="14"/>
  <c r="N1210" i="14"/>
  <c r="M1069" i="14"/>
  <c r="N1069" i="14"/>
  <c r="M1009" i="14"/>
  <c r="N1009" i="14"/>
  <c r="N906" i="14"/>
  <c r="M906" i="14"/>
  <c r="M872" i="14"/>
  <c r="N872" i="14"/>
  <c r="N840" i="14"/>
  <c r="N785" i="14"/>
  <c r="M785" i="14"/>
  <c r="N696" i="14"/>
  <c r="M696" i="14"/>
  <c r="M613" i="14"/>
  <c r="N613" i="14"/>
  <c r="L471" i="14"/>
  <c r="L431" i="14"/>
  <c r="M129" i="14"/>
  <c r="N129" i="14"/>
  <c r="L73" i="14"/>
  <c r="M20" i="14"/>
  <c r="N20" i="14"/>
  <c r="M1292" i="14"/>
  <c r="N1292" i="14"/>
  <c r="M1011" i="14"/>
  <c r="N1011" i="14"/>
  <c r="M1003" i="14"/>
  <c r="N1003" i="14"/>
  <c r="N934" i="14"/>
  <c r="M934" i="14"/>
  <c r="N894" i="14"/>
  <c r="M894" i="14"/>
  <c r="M756" i="14"/>
  <c r="N756" i="14"/>
  <c r="N424" i="14"/>
  <c r="M424" i="14"/>
  <c r="M1193" i="14"/>
  <c r="N1193" i="14"/>
  <c r="M19" i="14"/>
  <c r="N19" i="14"/>
  <c r="N1063" i="14"/>
  <c r="M1063" i="14"/>
  <c r="M1403" i="14"/>
  <c r="N1403" i="14"/>
  <c r="M1427" i="14"/>
  <c r="N1427" i="14"/>
  <c r="M1409" i="14"/>
  <c r="N1409" i="14"/>
  <c r="N1204" i="14"/>
  <c r="M1198" i="14"/>
  <c r="N1198" i="14"/>
  <c r="N1165" i="14"/>
  <c r="N1094" i="14"/>
  <c r="M939" i="14"/>
  <c r="N939" i="14"/>
  <c r="N899" i="14"/>
  <c r="M899" i="14"/>
  <c r="M724" i="14"/>
  <c r="N724" i="14"/>
  <c r="M716" i="14"/>
  <c r="N716" i="14"/>
  <c r="M679" i="14"/>
  <c r="N679" i="14"/>
  <c r="M562" i="14"/>
  <c r="N562" i="14"/>
  <c r="N501" i="14"/>
  <c r="N494" i="14"/>
  <c r="M494" i="14"/>
  <c r="M344" i="14"/>
  <c r="N344" i="14"/>
  <c r="N319" i="14"/>
  <c r="M319" i="14"/>
  <c r="N255" i="14"/>
  <c r="M225" i="14"/>
  <c r="N225" i="14"/>
  <c r="N218" i="14"/>
  <c r="M218" i="14"/>
  <c r="M863" i="14"/>
  <c r="N863" i="14"/>
  <c r="N1058" i="14"/>
  <c r="M1058" i="14"/>
  <c r="N658" i="14"/>
  <c r="M658" i="14"/>
  <c r="M5" i="14"/>
  <c r="N5" i="14"/>
  <c r="M960" i="14"/>
  <c r="N960" i="14"/>
  <c r="M433" i="14"/>
  <c r="N433" i="14"/>
  <c r="M57" i="14"/>
  <c r="N57" i="14"/>
  <c r="M1089" i="14"/>
  <c r="N1089" i="14"/>
  <c r="M800" i="14"/>
  <c r="N800" i="14"/>
  <c r="N242" i="14"/>
  <c r="M242" i="14"/>
  <c r="M90" i="14"/>
  <c r="N90" i="14"/>
  <c r="M66" i="14"/>
  <c r="N66" i="14"/>
  <c r="M1391" i="14"/>
  <c r="N1391" i="14"/>
  <c r="M600" i="14"/>
  <c r="N600" i="14"/>
  <c r="M11" i="14"/>
  <c r="N11" i="14"/>
  <c r="M697" i="14"/>
  <c r="N697" i="14"/>
  <c r="M580" i="14"/>
  <c r="N580" i="14"/>
  <c r="M209" i="14"/>
  <c r="N209" i="14"/>
  <c r="M1186" i="14"/>
  <c r="N1186" i="14"/>
  <c r="M1159" i="14"/>
  <c r="N1159" i="14"/>
  <c r="M455" i="14"/>
  <c r="N455" i="14"/>
  <c r="M382" i="14"/>
  <c r="N382" i="14"/>
  <c r="N302" i="14"/>
  <c r="M302" i="14"/>
  <c r="M160" i="14"/>
  <c r="N160" i="14"/>
  <c r="N151" i="14"/>
  <c r="M151" i="14"/>
  <c r="M88" i="14"/>
  <c r="N88" i="14"/>
  <c r="L1450" i="14"/>
  <c r="L1396" i="14"/>
  <c r="M1333" i="14"/>
  <c r="M1315" i="14"/>
  <c r="N1315" i="14"/>
  <c r="M1309" i="14"/>
  <c r="N1242" i="14"/>
  <c r="N1222" i="14"/>
  <c r="M1191" i="14"/>
  <c r="N1191" i="14"/>
  <c r="M1179" i="14"/>
  <c r="N1179" i="14"/>
  <c r="L1114" i="14"/>
  <c r="M1051" i="14"/>
  <c r="N1051" i="14"/>
  <c r="N987" i="14"/>
  <c r="M826" i="14"/>
  <c r="N826" i="14"/>
  <c r="M778" i="14"/>
  <c r="N778" i="14"/>
  <c r="M762" i="14"/>
  <c r="N762" i="14"/>
  <c r="L628" i="14"/>
  <c r="N612" i="14"/>
  <c r="N598" i="14"/>
  <c r="M462" i="14"/>
  <c r="N462" i="14"/>
  <c r="N439" i="14"/>
  <c r="M439" i="14"/>
  <c r="M381" i="14"/>
  <c r="N373" i="14"/>
  <c r="N343" i="14"/>
  <c r="M343" i="14"/>
  <c r="M301" i="14"/>
  <c r="N301" i="14"/>
  <c r="M232" i="14"/>
  <c r="N232" i="14"/>
  <c r="M1398" i="14"/>
  <c r="N1398" i="14"/>
  <c r="M1417" i="14"/>
  <c r="N1417" i="14"/>
  <c r="M1385" i="14"/>
  <c r="N1385" i="14"/>
  <c r="M1359" i="14"/>
  <c r="N1359" i="14"/>
  <c r="N1236" i="14"/>
  <c r="M1236" i="14"/>
  <c r="M893" i="14"/>
  <c r="N893" i="14"/>
  <c r="N1209" i="14"/>
  <c r="N1197" i="14"/>
  <c r="N1178" i="14"/>
  <c r="N1126" i="14"/>
  <c r="N1050" i="14"/>
  <c r="M1029" i="14"/>
  <c r="N1029" i="14"/>
  <c r="N912" i="14"/>
  <c r="N898" i="14"/>
  <c r="M864" i="14"/>
  <c r="N864" i="14"/>
  <c r="N852" i="14"/>
  <c r="N761" i="14"/>
  <c r="M761" i="14"/>
  <c r="N695" i="14"/>
  <c r="M695" i="14"/>
  <c r="N687" i="14"/>
  <c r="M678" i="14"/>
  <c r="N678" i="14"/>
  <c r="N578" i="14"/>
  <c r="M578" i="14"/>
  <c r="N515" i="14"/>
  <c r="M470" i="14"/>
  <c r="N470" i="14"/>
  <c r="M405" i="14"/>
  <c r="N405" i="14"/>
  <c r="M239" i="14"/>
  <c r="N239" i="14"/>
  <c r="N217" i="14"/>
  <c r="M217" i="14"/>
  <c r="M828" i="14"/>
  <c r="N828" i="14"/>
  <c r="N581" i="14"/>
  <c r="M581" i="14"/>
  <c r="M518" i="14"/>
  <c r="N518" i="14"/>
  <c r="N481" i="14"/>
  <c r="M481" i="14"/>
  <c r="N346" i="14"/>
  <c r="M346" i="14"/>
  <c r="M337" i="14"/>
  <c r="N337" i="14"/>
  <c r="M187" i="14"/>
  <c r="N187" i="14"/>
  <c r="M1167" i="14"/>
  <c r="N1167" i="14"/>
  <c r="M887" i="14"/>
  <c r="N887" i="14"/>
  <c r="N304" i="14"/>
  <c r="M304" i="14"/>
  <c r="N194" i="14"/>
  <c r="M194" i="14"/>
  <c r="M1457" i="14"/>
  <c r="N1457" i="14"/>
  <c r="N1354" i="14"/>
  <c r="M1354" i="14"/>
  <c r="M1335" i="14"/>
  <c r="N1335" i="14"/>
  <c r="M1146" i="14"/>
  <c r="N1146" i="14"/>
  <c r="N464" i="14"/>
  <c r="M464" i="14"/>
  <c r="N295" i="14"/>
  <c r="M295" i="14"/>
  <c r="N271" i="14"/>
  <c r="M271" i="14"/>
  <c r="N210" i="14"/>
  <c r="M210" i="14"/>
  <c r="N145" i="14"/>
  <c r="M145" i="14"/>
  <c r="M1217" i="14"/>
  <c r="N1217" i="14"/>
  <c r="M1045" i="14"/>
  <c r="N1045" i="14"/>
  <c r="M1031" i="14"/>
  <c r="N1031" i="14"/>
  <c r="M967" i="14"/>
  <c r="N967" i="14"/>
  <c r="M959" i="14"/>
  <c r="N959" i="14"/>
  <c r="M645" i="14"/>
  <c r="N645" i="14"/>
  <c r="M534" i="14"/>
  <c r="N534" i="14"/>
  <c r="M303" i="14"/>
  <c r="N303" i="14"/>
  <c r="M241" i="14"/>
  <c r="N241" i="14"/>
  <c r="M89" i="14"/>
  <c r="N89" i="14"/>
  <c r="M1088" i="14"/>
  <c r="N1088" i="14"/>
  <c r="M1024" i="14"/>
  <c r="N1024" i="14"/>
  <c r="N717" i="14"/>
  <c r="M717" i="14"/>
  <c r="N542" i="14"/>
  <c r="M542" i="14"/>
  <c r="N367" i="14"/>
  <c r="M367" i="14"/>
  <c r="N256" i="14"/>
  <c r="M256" i="14"/>
  <c r="M1328" i="14"/>
  <c r="N1328" i="14"/>
  <c r="M1223" i="14"/>
  <c r="N1223" i="14"/>
  <c r="M1139" i="14"/>
  <c r="N1139" i="14"/>
  <c r="M1010" i="14"/>
  <c r="N1010" i="14"/>
  <c r="M947" i="14"/>
  <c r="N947" i="14"/>
  <c r="N638" i="14"/>
  <c r="M638" i="14"/>
  <c r="M563" i="14"/>
  <c r="N563" i="14"/>
  <c r="N487" i="14"/>
  <c r="M487" i="14"/>
  <c r="N463" i="14"/>
  <c r="M463" i="14"/>
  <c r="N278" i="14"/>
  <c r="M278" i="14"/>
  <c r="N177" i="14"/>
  <c r="M177" i="14"/>
  <c r="M41" i="14"/>
  <c r="N41" i="14"/>
  <c r="N1461" i="14"/>
  <c r="N1444" i="14"/>
  <c r="M1433" i="14"/>
  <c r="N1433" i="14"/>
  <c r="M1365" i="14"/>
  <c r="N1365" i="14"/>
  <c r="N1352" i="14"/>
  <c r="N1321" i="14"/>
  <c r="N1296" i="14"/>
  <c r="M1101" i="14"/>
  <c r="N1101" i="14"/>
  <c r="L1455" i="14"/>
  <c r="M1408" i="14"/>
  <c r="M1346" i="14"/>
  <c r="M1302" i="14"/>
  <c r="L1284" i="14"/>
  <c r="L1172" i="14"/>
  <c r="L1144" i="14"/>
  <c r="M1120" i="14"/>
  <c r="N1120" i="14"/>
  <c r="N1016" i="14"/>
  <c r="M1016" i="14"/>
  <c r="M979" i="14"/>
  <c r="N979" i="14"/>
  <c r="M938" i="14"/>
  <c r="N938" i="14"/>
  <c r="N919" i="14"/>
  <c r="L884" i="14"/>
  <c r="L839" i="14"/>
  <c r="M825" i="14"/>
  <c r="N825" i="14"/>
  <c r="L777" i="14"/>
  <c r="N753" i="14"/>
  <c r="N739" i="14"/>
  <c r="M715" i="14"/>
  <c r="N715" i="14"/>
  <c r="N670" i="14"/>
  <c r="M605" i="14"/>
  <c r="N500" i="14"/>
  <c r="M469" i="14"/>
  <c r="N389" i="14"/>
  <c r="M389" i="14"/>
  <c r="M325" i="14"/>
  <c r="N292" i="14"/>
  <c r="M292" i="14"/>
  <c r="M276" i="14"/>
  <c r="N276" i="14"/>
  <c r="N326" i="14"/>
  <c r="M326" i="14"/>
  <c r="M231" i="14"/>
  <c r="N231" i="14"/>
  <c r="M153" i="14"/>
  <c r="N153" i="14"/>
  <c r="M58" i="14"/>
  <c r="N58" i="14"/>
  <c r="M1152" i="14"/>
  <c r="N1152" i="14"/>
  <c r="N1036" i="14"/>
  <c r="M1036" i="14"/>
  <c r="M791" i="14"/>
  <c r="N791" i="14"/>
  <c r="M685" i="14"/>
  <c r="N685" i="14"/>
  <c r="N657" i="14"/>
  <c r="N505" i="14"/>
  <c r="M505" i="14"/>
  <c r="M461" i="14"/>
  <c r="N461" i="14"/>
  <c r="N416" i="14"/>
  <c r="M416" i="14"/>
  <c r="N342" i="14"/>
  <c r="M342" i="14"/>
  <c r="M274" i="14"/>
  <c r="N274" i="14"/>
  <c r="N170" i="14"/>
  <c r="M170" i="14"/>
  <c r="M140" i="14"/>
  <c r="N140" i="14"/>
  <c r="N528" i="14"/>
  <c r="M528" i="14"/>
  <c r="M498" i="14"/>
  <c r="N498" i="14"/>
  <c r="M28" i="14"/>
  <c r="N28" i="14"/>
  <c r="L1414" i="14"/>
  <c r="L1388" i="14"/>
  <c r="L1220" i="14"/>
  <c r="L1006" i="14"/>
  <c r="N957" i="14"/>
  <c r="L851" i="14"/>
  <c r="L723" i="14"/>
  <c r="N692" i="14"/>
  <c r="M692" i="14"/>
  <c r="M610" i="14"/>
  <c r="N610" i="14"/>
  <c r="N556" i="14"/>
  <c r="N527" i="14"/>
  <c r="M519" i="14"/>
  <c r="N415" i="14"/>
  <c r="M415" i="14"/>
  <c r="L401" i="14"/>
  <c r="L312" i="14"/>
  <c r="N230" i="14"/>
  <c r="M230" i="14"/>
  <c r="L161" i="14"/>
  <c r="L74" i="14"/>
  <c r="M50" i="14"/>
  <c r="N50" i="14"/>
  <c r="L1103" i="14"/>
  <c r="L738" i="14"/>
  <c r="M440" i="14"/>
  <c r="N440" i="14"/>
  <c r="N362" i="14"/>
  <c r="M362" i="14"/>
  <c r="N356" i="14"/>
  <c r="M356" i="14"/>
  <c r="L252" i="14"/>
  <c r="N103" i="14"/>
  <c r="M103" i="14"/>
  <c r="L814" i="14"/>
  <c r="N736" i="14"/>
  <c r="M714" i="14"/>
  <c r="L662" i="14"/>
  <c r="N554" i="14"/>
  <c r="M554" i="14"/>
  <c r="N474" i="14"/>
  <c r="M474" i="14"/>
  <c r="N438" i="14"/>
  <c r="M438" i="14"/>
  <c r="N392" i="14"/>
  <c r="M392" i="14"/>
  <c r="N340" i="14"/>
  <c r="M340" i="14"/>
  <c r="N294" i="14"/>
  <c r="M294" i="14"/>
  <c r="M259" i="14"/>
  <c r="N259" i="14"/>
  <c r="N79" i="14"/>
  <c r="M79" i="14"/>
  <c r="M1078" i="14"/>
  <c r="N1078" i="14"/>
  <c r="M1046" i="14"/>
  <c r="N1046" i="14"/>
  <c r="M968" i="14"/>
  <c r="N968" i="14"/>
  <c r="M721" i="14"/>
  <c r="N721" i="14"/>
  <c r="N570" i="14"/>
  <c r="M570" i="14"/>
  <c r="M540" i="14"/>
  <c r="N540" i="14"/>
  <c r="N525" i="14"/>
  <c r="M525" i="14"/>
  <c r="N422" i="14"/>
  <c r="M422" i="14"/>
  <c r="M265" i="14"/>
  <c r="N265" i="14"/>
  <c r="M250" i="14"/>
  <c r="N250" i="14"/>
  <c r="N116" i="14"/>
  <c r="M116" i="14"/>
  <c r="N1287" i="14"/>
  <c r="M843" i="14"/>
  <c r="N843" i="14"/>
  <c r="N749" i="14"/>
  <c r="M749" i="14"/>
  <c r="M668" i="14"/>
  <c r="N668" i="14"/>
  <c r="N661" i="14"/>
  <c r="M637" i="14"/>
  <c r="N637" i="14"/>
  <c r="M569" i="14"/>
  <c r="L399" i="14"/>
  <c r="N175" i="14"/>
  <c r="M175" i="14"/>
  <c r="M167" i="14"/>
  <c r="N167" i="14"/>
  <c r="M158" i="14"/>
  <c r="M130" i="14"/>
  <c r="M122" i="14"/>
  <c r="N115" i="14"/>
  <c r="L93" i="14"/>
  <c r="N78" i="14"/>
  <c r="M63" i="14"/>
  <c r="N55" i="14"/>
  <c r="M55" i="14"/>
  <c r="M1313" i="14"/>
  <c r="N1313" i="14"/>
  <c r="M1162" i="14"/>
  <c r="N1162" i="14"/>
  <c r="L980" i="14"/>
  <c r="L769" i="14"/>
  <c r="M755" i="14"/>
  <c r="N755" i="14"/>
  <c r="M502" i="14"/>
  <c r="N502" i="14"/>
  <c r="M495" i="14"/>
  <c r="N495" i="14"/>
  <c r="N458" i="14"/>
  <c r="M458" i="14"/>
  <c r="N429" i="14"/>
  <c r="M429" i="14"/>
  <c r="N391" i="14"/>
  <c r="M391" i="14"/>
  <c r="M309" i="14"/>
  <c r="N309" i="14"/>
  <c r="M293" i="14"/>
  <c r="N293" i="14"/>
  <c r="M258" i="14"/>
  <c r="N258" i="14"/>
  <c r="M1083" i="14"/>
  <c r="N1083" i="14"/>
  <c r="M921" i="14"/>
  <c r="N921" i="14"/>
  <c r="M622" i="14"/>
  <c r="N622" i="14"/>
  <c r="N583" i="14"/>
  <c r="M583" i="14"/>
  <c r="N488" i="14"/>
  <c r="M488" i="14"/>
  <c r="L428" i="14"/>
  <c r="L398" i="14"/>
  <c r="M383" i="14"/>
  <c r="N383" i="14"/>
  <c r="M249" i="14"/>
  <c r="N249" i="14"/>
  <c r="M107" i="14"/>
  <c r="N107" i="14"/>
  <c r="L1239" i="14"/>
  <c r="L1039" i="14"/>
  <c r="M794" i="14"/>
  <c r="N794" i="14"/>
  <c r="L788" i="14"/>
  <c r="N643" i="14"/>
  <c r="M643" i="14"/>
  <c r="N546" i="14"/>
  <c r="M546" i="14"/>
  <c r="M538" i="14"/>
  <c r="N538" i="14"/>
  <c r="L524" i="14"/>
  <c r="L480" i="14"/>
  <c r="L412" i="14"/>
  <c r="N338" i="14"/>
  <c r="M338" i="14"/>
  <c r="M235" i="14"/>
  <c r="N235" i="14"/>
  <c r="M669" i="14"/>
  <c r="N669" i="14"/>
  <c r="M522" i="14"/>
  <c r="N522" i="14"/>
  <c r="L374" i="14"/>
  <c r="M316" i="14"/>
  <c r="N316" i="14"/>
  <c r="M174" i="14"/>
  <c r="N174" i="14"/>
  <c r="L35" i="14"/>
  <c r="L942" i="14"/>
  <c r="L916" i="14"/>
  <c r="L846" i="14"/>
  <c r="L820" i="14"/>
  <c r="L774" i="14"/>
  <c r="L737" i="14"/>
  <c r="L682" i="14"/>
  <c r="L601" i="14"/>
  <c r="L549" i="14"/>
  <c r="L453" i="14"/>
  <c r="L432" i="14"/>
  <c r="L403" i="14"/>
  <c r="N101" i="14"/>
  <c r="M101" i="14"/>
  <c r="N86" i="14"/>
  <c r="M86" i="14"/>
  <c r="M54" i="14"/>
  <c r="N54" i="14"/>
  <c r="N47" i="14"/>
  <c r="M47" i="14"/>
  <c r="N25" i="14"/>
  <c r="M25" i="14"/>
  <c r="M186" i="14"/>
  <c r="N186" i="14"/>
  <c r="M120" i="14"/>
  <c r="N120" i="14"/>
  <c r="M783" i="14"/>
  <c r="N783" i="14"/>
  <c r="M741" i="14"/>
  <c r="N741" i="14"/>
  <c r="M673" i="14"/>
  <c r="N673" i="14"/>
  <c r="M624" i="14"/>
  <c r="N624" i="14"/>
  <c r="M335" i="14"/>
  <c r="N335" i="14"/>
  <c r="N171" i="14"/>
  <c r="M171" i="14"/>
  <c r="M148" i="14"/>
  <c r="N148" i="14"/>
  <c r="M91" i="14"/>
  <c r="N91" i="14"/>
  <c r="L1118" i="14"/>
  <c r="L988" i="14"/>
  <c r="L892" i="14"/>
  <c r="M771" i="14"/>
  <c r="N771" i="14"/>
  <c r="N386" i="14"/>
  <c r="M386" i="14"/>
  <c r="N350" i="14"/>
  <c r="M350" i="14"/>
  <c r="M306" i="14"/>
  <c r="N306" i="14"/>
  <c r="M228" i="14"/>
  <c r="N228" i="14"/>
  <c r="M215" i="14"/>
  <c r="N215" i="14"/>
  <c r="L982" i="14"/>
  <c r="L886" i="14"/>
  <c r="L734" i="14"/>
  <c r="L539" i="14"/>
  <c r="M334" i="14"/>
  <c r="N334" i="14"/>
  <c r="M178" i="14"/>
  <c r="N178" i="14"/>
  <c r="M53" i="14"/>
  <c r="N53" i="14"/>
  <c r="M39" i="14"/>
  <c r="N39" i="14"/>
  <c r="M646" i="14"/>
  <c r="N646" i="14"/>
  <c r="N535" i="14"/>
  <c r="M535" i="14"/>
  <c r="N98" i="14"/>
  <c r="M98" i="14"/>
  <c r="M84" i="14"/>
  <c r="N84" i="14"/>
  <c r="M34" i="14"/>
  <c r="L699" i="14"/>
  <c r="L629" i="14"/>
  <c r="L591" i="14"/>
  <c r="L247" i="14"/>
  <c r="M77" i="14"/>
  <c r="N77" i="14"/>
  <c r="M475" i="14"/>
  <c r="N475" i="14"/>
  <c r="M430" i="14"/>
  <c r="N430" i="14"/>
  <c r="M310" i="14"/>
  <c r="N310" i="14"/>
  <c r="M185" i="14"/>
  <c r="N185" i="14"/>
  <c r="L110" i="14"/>
  <c r="M95" i="14"/>
  <c r="N95" i="14"/>
  <c r="L764" i="14"/>
  <c r="L620" i="14"/>
  <c r="L297" i="14"/>
  <c r="L264" i="14"/>
  <c r="L206" i="14"/>
  <c r="L199" i="14"/>
  <c r="L131" i="14"/>
  <c r="N67" i="14"/>
  <c r="M38" i="14"/>
  <c r="L24" i="14"/>
  <c r="L552" i="14"/>
  <c r="L468" i="14"/>
  <c r="N123" i="14"/>
  <c r="M123" i="14"/>
  <c r="L619" i="14"/>
  <c r="L511" i="14"/>
  <c r="L441" i="14"/>
  <c r="L380" i="14"/>
  <c r="L260" i="14"/>
  <c r="M205" i="14"/>
  <c r="N205" i="14"/>
  <c r="M60" i="14"/>
  <c r="N60" i="14"/>
  <c r="N305" i="14"/>
  <c r="M305" i="14"/>
  <c r="M65" i="14"/>
  <c r="N65" i="14"/>
  <c r="M532" i="14"/>
  <c r="N532" i="14"/>
  <c r="M420" i="14"/>
  <c r="N420" i="14"/>
  <c r="M202" i="14"/>
  <c r="N202" i="14"/>
  <c r="L353" i="14"/>
  <c r="L233" i="14"/>
  <c r="M108" i="14"/>
  <c r="N108" i="14"/>
  <c r="L64" i="14"/>
  <c r="M42" i="14"/>
  <c r="N42" i="14"/>
  <c r="L284" i="14"/>
  <c r="M61" i="14"/>
  <c r="N61" i="14"/>
  <c r="L124" i="14"/>
  <c r="L425" i="14"/>
  <c r="L377" i="14"/>
  <c r="L329" i="14"/>
  <c r="M36" i="14"/>
  <c r="N36" i="14"/>
  <c r="N444" i="14"/>
  <c r="N396" i="14"/>
  <c r="N348" i="14"/>
  <c r="N300" i="14"/>
  <c r="M257" i="14"/>
  <c r="N257" i="14"/>
  <c r="M12" i="14"/>
  <c r="N12" i="14"/>
  <c r="L449" i="14"/>
  <c r="L137" i="14"/>
  <c r="L72" i="14"/>
  <c r="M17" i="14"/>
  <c r="N17" i="14"/>
  <c r="M26" i="14"/>
  <c r="N26" i="14"/>
  <c r="L113" i="14"/>
  <c r="L31" i="14"/>
  <c r="L9" i="14"/>
  <c r="L156" i="14"/>
  <c r="R555" i="12"/>
  <c r="S555" i="12" s="1"/>
  <c r="T555" i="12" s="1"/>
  <c r="S7" i="12"/>
  <c r="T7" i="12" s="1"/>
  <c r="R65" i="12"/>
  <c r="R576" i="12"/>
  <c r="S576" i="12"/>
  <c r="T576" i="12" s="1"/>
  <c r="R190" i="12"/>
  <c r="S190" i="12"/>
  <c r="T190" i="12" s="1"/>
  <c r="R16" i="12"/>
  <c r="S16" i="12" s="1"/>
  <c r="T16" i="12" s="1"/>
  <c r="R143" i="12"/>
  <c r="S143" i="12"/>
  <c r="T143" i="12" s="1"/>
  <c r="R146" i="12"/>
  <c r="S146" i="12" s="1"/>
  <c r="T146" i="12" s="1"/>
  <c r="R215" i="12"/>
  <c r="S215" i="12"/>
  <c r="T215" i="12" s="1"/>
  <c r="R3" i="12"/>
  <c r="S3" i="12" s="1"/>
  <c r="T3" i="12" s="1"/>
  <c r="S2" i="12"/>
  <c r="T2" i="12" s="1"/>
  <c r="S240" i="12"/>
  <c r="T240" i="12" s="1"/>
  <c r="S218" i="12"/>
  <c r="T218" i="12" s="1"/>
  <c r="S193" i="12"/>
  <c r="T193" i="12" s="1"/>
  <c r="S168" i="12"/>
  <c r="T168" i="12" s="1"/>
  <c r="S124" i="12"/>
  <c r="T124" i="12" s="1"/>
  <c r="S101" i="12"/>
  <c r="T101" i="12" s="1"/>
  <c r="S88" i="12"/>
  <c r="T88" i="12" s="1"/>
  <c r="S65" i="12"/>
  <c r="T65" i="12" s="1"/>
  <c r="S52" i="12"/>
  <c r="T52" i="12" s="1"/>
  <c r="S29" i="12"/>
  <c r="T29" i="12" s="1"/>
  <c r="S243" i="12"/>
  <c r="T243" i="12" s="1"/>
  <c r="S221" i="12"/>
  <c r="T221" i="12" s="1"/>
  <c r="S196" i="12"/>
  <c r="T196" i="12" s="1"/>
  <c r="S171" i="12"/>
  <c r="T171" i="12" s="1"/>
  <c r="S149" i="12"/>
  <c r="T149" i="12" s="1"/>
  <c r="S114" i="12"/>
  <c r="T114" i="12" s="1"/>
  <c r="S78" i="12"/>
  <c r="T78" i="12" s="1"/>
  <c r="S42" i="12"/>
  <c r="T42" i="12" s="1"/>
  <c r="S6" i="12"/>
  <c r="T6" i="12" s="1"/>
  <c r="A1" i="12"/>
  <c r="L1008" i="7" a="1"/>
  <c r="L1008" i="7" s="1"/>
  <c r="L215" i="7" a="1"/>
  <c r="L215" i="7" s="1"/>
  <c r="L1139" i="7" a="1"/>
  <c r="L1139" i="7" s="1"/>
  <c r="L700" i="7" a="1"/>
  <c r="L700" i="7" s="1"/>
  <c r="L868" i="7" a="1"/>
  <c r="L868" i="7" s="1"/>
  <c r="L733" i="7" a="1"/>
  <c r="L733" i="7" s="1"/>
  <c r="L315" i="7" a="1"/>
  <c r="L315" i="7" s="1"/>
  <c r="L258" i="7" a="1"/>
  <c r="L258" i="7" s="1"/>
  <c r="L231" i="7" a="1"/>
  <c r="L231" i="7" s="1"/>
  <c r="L975" i="7" a="1"/>
  <c r="L975" i="7" s="1"/>
  <c r="L163" i="7" a="1"/>
  <c r="L163" i="7" s="1"/>
  <c r="L817" i="7" a="1"/>
  <c r="L817" i="7" s="1"/>
  <c r="L363" i="7" a="1"/>
  <c r="L363" i="7" s="1"/>
  <c r="L381" i="7" a="1"/>
  <c r="L381" i="7" s="1"/>
  <c r="L432" i="7" a="1"/>
  <c r="L432" i="7" s="1"/>
  <c r="L431" i="7" a="1"/>
  <c r="L431" i="7" s="1"/>
  <c r="L375" i="7" a="1"/>
  <c r="L375" i="7" s="1"/>
  <c r="L1274" i="7" a="1"/>
  <c r="L1274" i="7" s="1"/>
  <c r="L1155" i="7" a="1"/>
  <c r="L1155" i="7" s="1"/>
  <c r="L1089" i="7" a="1"/>
  <c r="L1089" i="7" s="1"/>
  <c r="L257" i="7" a="1"/>
  <c r="L257" i="7" s="1"/>
  <c r="L250" i="7" a="1"/>
  <c r="L250" i="7" s="1"/>
  <c r="L1114" i="7" a="1"/>
  <c r="L1114" i="7" s="1"/>
  <c r="L1304" i="7" a="1"/>
  <c r="L1304" i="7" s="1"/>
  <c r="L1267" i="7" a="1"/>
  <c r="L1267" i="7" s="1"/>
  <c r="L190" i="7" a="1"/>
  <c r="L190" i="7" s="1"/>
  <c r="L117" i="7" a="1"/>
  <c r="L117" i="7" s="1"/>
  <c r="L1160" i="7" a="1"/>
  <c r="L1160" i="7" s="1"/>
  <c r="L110" i="7" a="1"/>
  <c r="L110" i="7" s="1"/>
  <c r="L261" i="7" a="1"/>
  <c r="L261" i="7" s="1"/>
  <c r="L1186" i="7" a="1"/>
  <c r="L1186" i="7" s="1"/>
  <c r="L937" i="7" a="1"/>
  <c r="L937" i="7" s="1"/>
  <c r="L1206" i="7" a="1"/>
  <c r="L1206" i="7" s="1"/>
  <c r="L984" i="7" a="1"/>
  <c r="L984" i="7" s="1"/>
  <c r="L963" i="7" a="1"/>
  <c r="L963" i="7" s="1"/>
  <c r="L1225" i="7" a="1"/>
  <c r="L1225" i="7" s="1"/>
  <c r="L549" i="7" a="1"/>
  <c r="L549" i="7" s="1"/>
  <c r="L146" i="7" a="1"/>
  <c r="L146" i="7" s="1"/>
  <c r="L1154" i="7" a="1"/>
  <c r="L1154" i="7" s="1"/>
  <c r="L631" i="7" a="1"/>
  <c r="L631" i="7" s="1"/>
  <c r="L822" i="7" a="1"/>
  <c r="L822" i="7" s="1"/>
  <c r="L1295" i="7" a="1"/>
  <c r="L1295" i="7" s="1"/>
  <c r="L701" i="7" a="1"/>
  <c r="L701" i="7" s="1"/>
  <c r="L599" i="7" a="1"/>
  <c r="L599" i="7" s="1"/>
  <c r="L1286" i="7" a="1"/>
  <c r="L1286" i="7" s="1"/>
  <c r="L1009" i="7" a="1"/>
  <c r="L1009" i="7" s="1"/>
  <c r="L477" i="7" a="1"/>
  <c r="L477" i="7" s="1"/>
  <c r="L345" i="7" a="1"/>
  <c r="L345" i="7" s="1"/>
  <c r="L471" i="7" a="1"/>
  <c r="L471" i="7" s="1"/>
  <c r="L311" i="7" a="1"/>
  <c r="L311" i="7" s="1"/>
  <c r="L179" i="7" a="1"/>
  <c r="L179" i="7" s="1"/>
  <c r="L1306" i="7" a="1"/>
  <c r="L1306" i="7" s="1"/>
  <c r="L1275" i="7" a="1"/>
  <c r="L1275" i="7" s="1"/>
  <c r="L553" i="7" a="1"/>
  <c r="L553" i="7" s="1"/>
  <c r="L285" i="7" a="1"/>
  <c r="L285" i="7" s="1"/>
  <c r="L186" i="7" a="1"/>
  <c r="L186" i="7" s="1"/>
  <c r="L251" i="7" a="1"/>
  <c r="L251" i="7" s="1"/>
  <c r="L1085" i="7" a="1"/>
  <c r="L1085" i="7" s="1"/>
  <c r="L673" i="7" a="1"/>
  <c r="L673" i="7" s="1"/>
  <c r="L309" i="7" a="1"/>
  <c r="L309" i="7" s="1"/>
  <c r="L527" i="7" a="1"/>
  <c r="L527" i="7" s="1"/>
  <c r="L263" i="7" a="1"/>
  <c r="L263" i="7" s="1"/>
  <c r="L1210" i="7" a="1"/>
  <c r="L1210" i="7" s="1"/>
  <c r="L1156" i="7" a="1"/>
  <c r="L1156" i="7" s="1"/>
  <c r="L1104" i="7" a="1"/>
  <c r="L1104" i="7" s="1"/>
  <c r="L1291" i="7" a="1"/>
  <c r="L1291" i="7" s="1"/>
  <c r="L1110" i="7" a="1"/>
  <c r="L1110" i="7" s="1"/>
  <c r="L938" i="7" a="1"/>
  <c r="L938" i="7" s="1"/>
  <c r="L275" i="7" a="1"/>
  <c r="L275" i="7" s="1"/>
  <c r="L1142" i="7" a="1"/>
  <c r="L1142" i="7" s="1"/>
  <c r="L1129" i="7" a="1"/>
  <c r="L1129" i="7" s="1"/>
  <c r="L725" i="7" a="1"/>
  <c r="L725" i="7" s="1"/>
  <c r="L1302" i="7" a="1"/>
  <c r="L1302" i="7" s="1"/>
  <c r="L797" i="7" a="1"/>
  <c r="L797" i="7" s="1"/>
  <c r="L492" i="7" a="1"/>
  <c r="L492" i="7" s="1"/>
  <c r="L430" i="7" a="1"/>
  <c r="L430" i="7" s="1"/>
  <c r="L943" i="7" a="1"/>
  <c r="L943" i="7" s="1"/>
  <c r="L736" i="7" a="1"/>
  <c r="L736" i="7" s="1"/>
  <c r="L683" i="7" a="1"/>
  <c r="L683" i="7" s="1"/>
  <c r="L504" i="7" a="1"/>
  <c r="L504" i="7" s="1"/>
  <c r="L882" i="7" a="1"/>
  <c r="L882" i="7" s="1"/>
  <c r="L842" i="7" a="1"/>
  <c r="L842" i="7" s="1"/>
  <c r="L645" i="7" a="1"/>
  <c r="L645" i="7" s="1"/>
  <c r="L279" i="7" a="1"/>
  <c r="L279" i="7" s="1"/>
  <c r="L742" i="7" a="1"/>
  <c r="L742" i="7" s="1"/>
  <c r="L497" i="7" a="1"/>
  <c r="L497" i="7" s="1"/>
  <c r="L453" i="7" a="1"/>
  <c r="L453" i="7" s="1"/>
  <c r="L441" i="7" a="1"/>
  <c r="L441" i="7" s="1"/>
  <c r="L1185" i="7" a="1"/>
  <c r="L1185" i="7" s="1"/>
  <c r="L1064" i="7" a="1"/>
  <c r="L1064" i="7" s="1"/>
  <c r="L1241" i="7" a="1"/>
  <c r="L1241" i="7" s="1"/>
  <c r="L1310" i="7" a="1"/>
  <c r="L1310" i="7" s="1"/>
  <c r="L1279" i="7" a="1"/>
  <c r="L1279" i="7" s="1"/>
  <c r="L1263" i="7" a="1"/>
  <c r="L1263" i="7" s="1"/>
  <c r="L1217" i="7" a="1"/>
  <c r="L1217" i="7" s="1"/>
  <c r="L748" i="7" a="1"/>
  <c r="L748" i="7" s="1"/>
  <c r="L542" i="7" a="1"/>
  <c r="L542" i="7" s="1"/>
  <c r="L357" i="7" a="1"/>
  <c r="L357" i="7" s="1"/>
  <c r="L299" i="7" a="1"/>
  <c r="L299" i="7" s="1"/>
  <c r="L237" i="7" a="1"/>
  <c r="L237" i="7" s="1"/>
  <c r="L118" i="7" a="1"/>
  <c r="L118" i="7" s="1"/>
  <c r="L1262" i="7" a="1"/>
  <c r="L1262" i="7" s="1"/>
  <c r="L953" i="7" a="1"/>
  <c r="L953" i="7" s="1"/>
  <c r="L832" i="7" a="1"/>
  <c r="L832" i="7" s="1"/>
  <c r="L729" i="7" a="1"/>
  <c r="L729" i="7" s="1"/>
  <c r="L655" i="7" a="1"/>
  <c r="L655" i="7" s="1"/>
  <c r="L649" i="7" a="1"/>
  <c r="L649" i="7" s="1"/>
  <c r="L621" i="7" a="1"/>
  <c r="L621" i="7" s="1"/>
  <c r="L518" i="7" a="1"/>
  <c r="L518" i="7" s="1"/>
  <c r="L459" i="7" a="1"/>
  <c r="L459" i="7" s="1"/>
  <c r="L403" i="7" a="1"/>
  <c r="L403" i="7" s="1"/>
  <c r="L351" i="7" a="1"/>
  <c r="L351" i="7" s="1"/>
  <c r="L1278" i="7" a="1"/>
  <c r="L1278" i="7" s="1"/>
  <c r="L1216" i="7" a="1"/>
  <c r="L1216" i="7" s="1"/>
  <c r="L530" i="7" a="1"/>
  <c r="L530" i="7" s="1"/>
  <c r="L1239" i="7" a="1"/>
  <c r="L1239" i="7" s="1"/>
  <c r="L978" i="7" a="1"/>
  <c r="L978" i="7" s="1"/>
  <c r="L857" i="7" a="1"/>
  <c r="L857" i="7" s="1"/>
  <c r="L569" i="7" a="1"/>
  <c r="L569" i="7" s="1"/>
  <c r="L230" i="7" a="1"/>
  <c r="L230" i="7" s="1"/>
  <c r="L141" i="7" a="1"/>
  <c r="L141" i="7" s="1"/>
  <c r="L1034" i="7" a="1"/>
  <c r="L1034" i="7" s="1"/>
  <c r="L964" i="7" a="1"/>
  <c r="L964" i="7" s="1"/>
  <c r="L888" i="7" a="1"/>
  <c r="L888" i="7" s="1"/>
  <c r="L786" i="7" a="1"/>
  <c r="L786" i="7" s="1"/>
  <c r="L766" i="7" a="1"/>
  <c r="L766" i="7" s="1"/>
  <c r="L697" i="7" a="1"/>
  <c r="L697" i="7" s="1"/>
  <c r="L397" i="7" a="1"/>
  <c r="L397" i="7" s="1"/>
  <c r="L327" i="7" a="1"/>
  <c r="L327" i="7" s="1"/>
  <c r="L253" i="7" a="1"/>
  <c r="L253" i="7" s="1"/>
  <c r="L134" i="7" a="1"/>
  <c r="L134" i="7" s="1"/>
  <c r="L1250" i="7" a="1"/>
  <c r="L1250" i="7" s="1"/>
  <c r="L1232" i="7" a="1"/>
  <c r="L1232" i="7" s="1"/>
  <c r="L1195" i="7" a="1"/>
  <c r="L1195" i="7" s="1"/>
  <c r="L1170" i="7" a="1"/>
  <c r="L1170" i="7" s="1"/>
  <c r="L1080" i="7" a="1"/>
  <c r="L1080" i="7" s="1"/>
  <c r="L1060" i="7" a="1"/>
  <c r="L1060" i="7" s="1"/>
  <c r="L1021" i="7" a="1"/>
  <c r="L1021" i="7" s="1"/>
  <c r="L913" i="7" a="1"/>
  <c r="L913" i="7" s="1"/>
  <c r="L811" i="7" a="1"/>
  <c r="L811" i="7" s="1"/>
  <c r="L792" i="7" a="1"/>
  <c r="L792" i="7" s="1"/>
  <c r="L715" i="7" a="1"/>
  <c r="L715" i="7" s="1"/>
  <c r="L355" i="7" a="1"/>
  <c r="L355" i="7" s="1"/>
  <c r="L291" i="7" a="1"/>
  <c r="L291" i="7" s="1"/>
  <c r="L271" i="7" a="1"/>
  <c r="L271" i="7" s="1"/>
  <c r="L122" i="7" a="1"/>
  <c r="L122" i="7" s="1"/>
  <c r="L996" i="7" a="1"/>
  <c r="L996" i="7" s="1"/>
  <c r="L1283" i="7" a="1"/>
  <c r="L1283" i="7" s="1"/>
  <c r="L1266" i="7" a="1"/>
  <c r="L1266" i="7" s="1"/>
  <c r="L1255" i="7" a="1"/>
  <c r="L1255" i="7" s="1"/>
  <c r="L1244" i="7" a="1"/>
  <c r="L1244" i="7" s="1"/>
  <c r="L1176" i="7" a="1"/>
  <c r="L1176" i="7" s="1"/>
  <c r="L989" i="7" a="1"/>
  <c r="L989" i="7" s="1"/>
  <c r="L457" i="7" a="1"/>
  <c r="L457" i="7" s="1"/>
  <c r="L1130" i="7" a="1"/>
  <c r="L1130" i="7" s="1"/>
  <c r="L1105" i="7" a="1"/>
  <c r="L1105" i="7" s="1"/>
  <c r="L1059" i="7" a="1"/>
  <c r="L1059" i="7" s="1"/>
  <c r="L1046" i="7" a="1"/>
  <c r="L1046" i="7" s="1"/>
  <c r="L1033" i="7" a="1"/>
  <c r="L1033" i="7" s="1"/>
  <c r="L1014" i="7" a="1"/>
  <c r="L1014" i="7" s="1"/>
  <c r="L545" i="7" a="1"/>
  <c r="L545" i="7" s="1"/>
  <c r="L401" i="7" a="1"/>
  <c r="L401" i="7" s="1"/>
  <c r="L49" i="7" a="1"/>
  <c r="L49" i="7" s="1"/>
  <c r="L1201" i="7" a="1"/>
  <c r="L1201" i="7" s="1"/>
  <c r="L1181" i="7" a="1"/>
  <c r="L1181" i="7" s="1"/>
  <c r="L1282" i="7" a="1"/>
  <c r="L1282" i="7" s="1"/>
  <c r="L1254" i="7" a="1"/>
  <c r="L1254" i="7" s="1"/>
  <c r="L1213" i="7" a="1"/>
  <c r="L1213" i="7" s="1"/>
  <c r="L1092" i="7" a="1"/>
  <c r="L1092" i="7" s="1"/>
  <c r="L950" i="7" a="1"/>
  <c r="L950" i="7" s="1"/>
  <c r="L912" i="7" a="1"/>
  <c r="L912" i="7" s="1"/>
  <c r="L893" i="7" a="1"/>
  <c r="L893" i="7" s="1"/>
  <c r="L867" i="7" a="1"/>
  <c r="L867" i="7" s="1"/>
  <c r="L579" i="7" a="1"/>
  <c r="L579" i="7" s="1"/>
  <c r="L516" i="7" a="1"/>
  <c r="L516" i="7" s="1"/>
  <c r="L177" i="7" a="1"/>
  <c r="L177" i="7" s="1"/>
  <c r="L1294" i="7" a="1"/>
  <c r="L1294" i="7" s="1"/>
  <c r="L1200" i="7" a="1"/>
  <c r="L1200" i="7" s="1"/>
  <c r="L1058" i="7" a="1"/>
  <c r="L1058" i="7" s="1"/>
  <c r="L1039" i="7" a="1"/>
  <c r="L1039" i="7" s="1"/>
  <c r="L962" i="7" a="1"/>
  <c r="L962" i="7" s="1"/>
  <c r="L918" i="7" a="1"/>
  <c r="L918" i="7" s="1"/>
  <c r="L854" i="7" a="1"/>
  <c r="L854" i="7" s="1"/>
  <c r="L841" i="7" a="1"/>
  <c r="L841" i="7" s="1"/>
  <c r="L816" i="7" a="1"/>
  <c r="L816" i="7" s="1"/>
  <c r="L720" i="7" a="1"/>
  <c r="L720" i="7" s="1"/>
  <c r="L595" i="7" a="1"/>
  <c r="L595" i="7" s="1"/>
  <c r="L521" i="7" a="1"/>
  <c r="L521" i="7" s="1"/>
  <c r="L491" i="7" a="1"/>
  <c r="L491" i="7" s="1"/>
  <c r="L170" i="7" a="1"/>
  <c r="L170" i="7" s="1"/>
  <c r="L1299" i="7" a="1"/>
  <c r="L1299" i="7" s="1"/>
  <c r="L1270" i="7" a="1"/>
  <c r="L1270" i="7" s="1"/>
  <c r="L1259" i="7" a="1"/>
  <c r="L1259" i="7" s="1"/>
  <c r="L866" i="7" a="1"/>
  <c r="L866" i="7" s="1"/>
  <c r="L847" i="7" a="1"/>
  <c r="L847" i="7" s="1"/>
  <c r="L750" i="7" a="1"/>
  <c r="L750" i="7" s="1"/>
  <c r="L1287" i="7" a="1"/>
  <c r="L1287" i="7" s="1"/>
  <c r="L1161" i="7" a="1"/>
  <c r="L1161" i="7" s="1"/>
  <c r="L1135" i="7" a="1"/>
  <c r="L1135" i="7" s="1"/>
  <c r="L1071" i="7" a="1"/>
  <c r="L1071" i="7" s="1"/>
  <c r="L987" i="7" a="1"/>
  <c r="L987" i="7" s="1"/>
  <c r="L879" i="7" a="1"/>
  <c r="L879" i="7" s="1"/>
  <c r="L1179" i="7" a="1"/>
  <c r="L1179" i="7" s="1"/>
  <c r="L891" i="7" a="1"/>
  <c r="L891" i="7" s="1"/>
  <c r="L763" i="7" a="1"/>
  <c r="L763" i="7" s="1"/>
  <c r="L571" i="7" a="1"/>
  <c r="L571" i="7" s="1"/>
  <c r="L543" i="7" a="1"/>
  <c r="L543" i="7" s="1"/>
  <c r="L1258" i="7" a="1"/>
  <c r="L1258" i="7" s="1"/>
  <c r="L1235" i="7" a="1"/>
  <c r="L1235" i="7" s="1"/>
  <c r="L1211" i="7" a="1"/>
  <c r="L1211" i="7" s="1"/>
  <c r="L1083" i="7" a="1"/>
  <c r="L1083" i="7" s="1"/>
  <c r="L795" i="7" a="1"/>
  <c r="L795" i="7" s="1"/>
  <c r="L756" i="7" a="1"/>
  <c r="L756" i="7" s="1"/>
  <c r="L427" i="7" a="1"/>
  <c r="L427" i="7" s="1"/>
  <c r="L330" i="7" a="1"/>
  <c r="L330" i="7" s="1"/>
  <c r="L306" i="7" a="1"/>
  <c r="L306" i="7" s="1"/>
  <c r="L214" i="7" a="1"/>
  <c r="L214" i="7" s="1"/>
  <c r="L195" i="7" a="1"/>
  <c r="L195" i="7" s="1"/>
  <c r="L1167" i="7" a="1"/>
  <c r="L1167" i="7" s="1"/>
  <c r="L1043" i="7" a="1"/>
  <c r="L1043" i="7" s="1"/>
  <c r="L1472" i="7" a="1"/>
  <c r="L1472" i="7" s="1"/>
  <c r="L1440" i="7" a="1"/>
  <c r="L1440" i="7" s="1"/>
  <c r="L1399" i="7" a="1"/>
  <c r="L1399" i="7" s="1"/>
  <c r="L1351" i="7" a="1"/>
  <c r="L1351" i="7" s="1"/>
  <c r="L1419" i="7" a="1"/>
  <c r="L1419" i="7" s="1"/>
  <c r="L1371" i="7" a="1"/>
  <c r="L1371" i="7" s="1"/>
  <c r="L1323" i="7" a="1"/>
  <c r="L1323" i="7" s="1"/>
  <c r="L1391" i="7" a="1"/>
  <c r="L1391" i="7" s="1"/>
  <c r="L1343" i="7" a="1"/>
  <c r="L1343" i="7" s="1"/>
  <c r="L1496" i="7" a="1"/>
  <c r="L1496" i="7" s="1"/>
  <c r="L1464" i="7" a="1"/>
  <c r="L1464" i="7" s="1"/>
  <c r="L1411" i="7" a="1"/>
  <c r="L1411" i="7" s="1"/>
  <c r="L1363" i="7" a="1"/>
  <c r="L1363" i="7" s="1"/>
  <c r="L1308" i="7" a="1"/>
  <c r="L1308" i="7" s="1"/>
  <c r="L1431" i="7" a="1"/>
  <c r="L1431" i="7" s="1"/>
  <c r="L1383" i="7" a="1"/>
  <c r="L1383" i="7" s="1"/>
  <c r="L1335" i="7" a="1"/>
  <c r="L1335" i="7" s="1"/>
  <c r="L1488" i="7" a="1"/>
  <c r="L1488" i="7" s="1"/>
  <c r="L1456" i="7" a="1"/>
  <c r="L1456" i="7" s="1"/>
  <c r="L1423" i="7" a="1"/>
  <c r="L1423" i="7" s="1"/>
  <c r="L1375" i="7" a="1"/>
  <c r="L1375" i="7" s="1"/>
  <c r="L1416" i="7" a="1"/>
  <c r="L1416" i="7" s="1"/>
  <c r="L1368" i="7" a="1"/>
  <c r="L1368" i="7" s="1"/>
  <c r="L1320" i="7" a="1"/>
  <c r="L1320" i="7" s="1"/>
  <c r="L1300" i="7" a="1"/>
  <c r="L1300" i="7" s="1"/>
  <c r="L1395" i="7" a="1"/>
  <c r="L1395" i="7" s="1"/>
  <c r="L1347" i="7" a="1"/>
  <c r="L1347" i="7" s="1"/>
  <c r="L1415" i="7" a="1"/>
  <c r="L1415" i="7" s="1"/>
  <c r="L1367" i="7" a="1"/>
  <c r="L1367" i="7" s="1"/>
  <c r="L1319" i="7" a="1"/>
  <c r="L1319" i="7" s="1"/>
  <c r="L1480" i="7" a="1"/>
  <c r="L1480" i="7" s="1"/>
  <c r="L1448" i="7" a="1"/>
  <c r="L1448" i="7" s="1"/>
  <c r="L1435" i="7" a="1"/>
  <c r="L1435" i="7" s="1"/>
  <c r="L1387" i="7" a="1"/>
  <c r="L1387" i="7" s="1"/>
  <c r="L1339" i="7" a="1"/>
  <c r="L1339" i="7" s="1"/>
  <c r="L1407" i="7" a="1"/>
  <c r="L1407" i="7" s="1"/>
  <c r="L1359" i="7" a="1"/>
  <c r="L1359" i="7" s="1"/>
  <c r="L1311" i="7" a="1"/>
  <c r="L1311" i="7" s="1"/>
  <c r="L1427" i="7" a="1"/>
  <c r="L1427" i="7" s="1"/>
  <c r="L1379" i="7" a="1"/>
  <c r="L1379" i="7" s="1"/>
  <c r="L1331" i="7" a="1"/>
  <c r="L1331" i="7" s="1"/>
  <c r="L1173" i="7" a="1"/>
  <c r="L1173" i="7" s="1"/>
  <c r="L1118" i="7" a="1"/>
  <c r="L1118" i="7" s="1"/>
  <c r="L1012" i="7" a="1"/>
  <c r="L1012" i="7" s="1"/>
  <c r="L1006" i="7" a="1"/>
  <c r="L1006" i="7" s="1"/>
  <c r="L968" i="7" a="1"/>
  <c r="L968" i="7" s="1"/>
  <c r="L798" i="7" a="1"/>
  <c r="L798" i="7" s="1"/>
  <c r="L1030" i="7" a="1"/>
  <c r="L1030" i="7" s="1"/>
  <c r="L980" i="7" a="1"/>
  <c r="L980" i="7" s="1"/>
  <c r="L860" i="7" a="1"/>
  <c r="L860" i="7" s="1"/>
  <c r="L746" i="7" a="1"/>
  <c r="L746" i="7" s="1"/>
  <c r="L691" i="7" a="1"/>
  <c r="L691" i="7" s="1"/>
  <c r="L1061" i="7" a="1"/>
  <c r="L1061" i="7" s="1"/>
  <c r="L1036" i="7" a="1"/>
  <c r="L1036" i="7" s="1"/>
  <c r="L809" i="7" a="1"/>
  <c r="L809" i="7" s="1"/>
  <c r="L759" i="7" a="1"/>
  <c r="L759" i="7" s="1"/>
  <c r="L1252" i="7" a="1"/>
  <c r="L1252" i="7" s="1"/>
  <c r="L1086" i="7" a="1"/>
  <c r="L1086" i="7" s="1"/>
  <c r="L1029" i="7" a="1"/>
  <c r="L1029" i="7" s="1"/>
  <c r="L973" i="7" a="1"/>
  <c r="L973" i="7" s="1"/>
  <c r="L935" i="7" a="1"/>
  <c r="L935" i="7" s="1"/>
  <c r="L885" i="7" a="1"/>
  <c r="L885" i="7" s="1"/>
  <c r="L859" i="7" a="1"/>
  <c r="L859" i="7" s="1"/>
  <c r="L834" i="7" a="1"/>
  <c r="L834" i="7" s="1"/>
  <c r="L784" i="7" a="1"/>
  <c r="L784" i="7" s="1"/>
  <c r="L941" i="7" a="1"/>
  <c r="L941" i="7" s="1"/>
  <c r="L922" i="7" a="1"/>
  <c r="L922" i="7" s="1"/>
  <c r="L897" i="7" a="1"/>
  <c r="L897" i="7" s="1"/>
  <c r="L758" i="7" a="1"/>
  <c r="L758" i="7" s="1"/>
  <c r="L751" i="7" a="1"/>
  <c r="L751" i="7" s="1"/>
  <c r="L738" i="7" a="1"/>
  <c r="L738" i="7" s="1"/>
  <c r="L726" i="7" a="1"/>
  <c r="L726" i="7" s="1"/>
  <c r="L770" i="7" a="1"/>
  <c r="L770" i="7" s="1"/>
  <c r="L689" i="7" a="1"/>
  <c r="L689" i="7" s="1"/>
  <c r="L1164" i="7" a="1"/>
  <c r="L1164" i="7" s="1"/>
  <c r="L965" i="7" a="1"/>
  <c r="L965" i="7" s="1"/>
  <c r="L933" i="7" a="1"/>
  <c r="L933" i="7" s="1"/>
  <c r="L877" i="7" a="1"/>
  <c r="L877" i="7" s="1"/>
  <c r="L839" i="7" a="1"/>
  <c r="L839" i="7" s="1"/>
  <c r="L789" i="7" a="1"/>
  <c r="L789" i="7" s="1"/>
  <c r="L451" i="7" a="1"/>
  <c r="L451" i="7" s="1"/>
  <c r="L613" i="7" a="1"/>
  <c r="L613" i="7" s="1"/>
  <c r="L1236" i="7" a="1"/>
  <c r="L1236" i="7" s="1"/>
  <c r="L1187" i="7" a="1"/>
  <c r="L1187" i="7" s="1"/>
  <c r="L1157" i="7" a="1"/>
  <c r="L1157" i="7" s="1"/>
  <c r="L1151" i="7" a="1"/>
  <c r="L1151" i="7" s="1"/>
  <c r="L1127" i="7" a="1"/>
  <c r="L1127" i="7" s="1"/>
  <c r="L1015" i="7" a="1"/>
  <c r="L1015" i="7" s="1"/>
  <c r="L845" i="7" a="1"/>
  <c r="L845" i="7" s="1"/>
  <c r="L826" i="7" a="1"/>
  <c r="L826" i="7" s="1"/>
  <c r="L801" i="7" a="1"/>
  <c r="L801" i="7" s="1"/>
  <c r="L1052" i="7" a="1"/>
  <c r="L1052" i="7" s="1"/>
  <c r="L876" i="7" a="1"/>
  <c r="L876" i="7" s="1"/>
  <c r="L870" i="7" a="1"/>
  <c r="L870" i="7" s="1"/>
  <c r="L533" i="7" a="1"/>
  <c r="L533" i="7" s="1"/>
  <c r="L1145" i="7" a="1"/>
  <c r="L1145" i="7" s="1"/>
  <c r="L1108" i="7" a="1"/>
  <c r="L1108" i="7" s="1"/>
  <c r="L983" i="7" a="1"/>
  <c r="L983" i="7" s="1"/>
  <c r="L926" i="7" a="1"/>
  <c r="L926" i="7" s="1"/>
  <c r="L907" i="7" a="1"/>
  <c r="L907" i="7" s="1"/>
  <c r="L901" i="7" a="1"/>
  <c r="L901" i="7" s="1"/>
  <c r="L895" i="7" a="1"/>
  <c r="L895" i="7" s="1"/>
  <c r="L863" i="7" a="1"/>
  <c r="L863" i="7" s="1"/>
  <c r="L813" i="7" a="1"/>
  <c r="L813" i="7" s="1"/>
  <c r="L520" i="7" a="1"/>
  <c r="L520" i="7" s="1"/>
  <c r="L1162" i="7" a="1"/>
  <c r="L1162" i="7" s="1"/>
  <c r="L1120" i="7" a="1"/>
  <c r="L1120" i="7" s="1"/>
  <c r="L1240" i="7" a="1"/>
  <c r="L1240" i="7" s="1"/>
  <c r="L1214" i="7" a="1"/>
  <c r="L1214" i="7" s="1"/>
  <c r="L1125" i="7" a="1"/>
  <c r="L1125" i="7" s="1"/>
  <c r="L956" i="7" a="1"/>
  <c r="L956" i="7" s="1"/>
  <c r="L780" i="7" a="1"/>
  <c r="L780" i="7" s="1"/>
  <c r="L774" i="7" a="1"/>
  <c r="L774" i="7" s="1"/>
  <c r="L767" i="7" a="1"/>
  <c r="L767" i="7" s="1"/>
  <c r="L754" i="7" a="1"/>
  <c r="L754" i="7" s="1"/>
  <c r="L735" i="7" a="1"/>
  <c r="L735" i="7" s="1"/>
  <c r="L699" i="7" a="1"/>
  <c r="L699" i="7" s="1"/>
  <c r="L1234" i="7" a="1"/>
  <c r="L1234" i="7" s="1"/>
  <c r="L1197" i="7" a="1"/>
  <c r="L1197" i="7" s="1"/>
  <c r="L1143" i="7" a="1"/>
  <c r="L1143" i="7" s="1"/>
  <c r="L1069" i="7" a="1"/>
  <c r="L1069" i="7" s="1"/>
  <c r="L905" i="7" a="1"/>
  <c r="L905" i="7" s="1"/>
  <c r="L855" i="7" a="1"/>
  <c r="L855" i="7" s="1"/>
  <c r="L705" i="7" a="1"/>
  <c r="L705" i="7" s="1"/>
  <c r="L667" i="7" a="1"/>
  <c r="L667" i="7" s="1"/>
  <c r="L501" i="7" a="1"/>
  <c r="L501" i="7" s="1"/>
  <c r="L749" i="7" a="1"/>
  <c r="L749" i="7" s="1"/>
  <c r="L305" i="7" a="1"/>
  <c r="L305" i="7" s="1"/>
  <c r="L495" i="7" a="1"/>
  <c r="L495" i="7" s="1"/>
  <c r="L757" i="7" a="1"/>
  <c r="L757" i="7" s="1"/>
  <c r="L722" i="7" a="1"/>
  <c r="L722" i="7" s="1"/>
  <c r="L643" i="7" a="1"/>
  <c r="L643" i="7" s="1"/>
  <c r="L634" i="7" a="1"/>
  <c r="L634" i="7" s="1"/>
  <c r="L657" i="7" a="1"/>
  <c r="L657" i="7" s="1"/>
  <c r="L607" i="7" a="1"/>
  <c r="L607" i="7" s="1"/>
  <c r="L761" i="7" a="1"/>
  <c r="L761" i="7" s="1"/>
  <c r="L708" i="7" a="1"/>
  <c r="L708" i="7" s="1"/>
  <c r="L638" i="7" a="1"/>
  <c r="L638" i="7" s="1"/>
  <c r="L602" i="7" a="1"/>
  <c r="L602" i="7" s="1"/>
  <c r="L561" i="7" a="1"/>
  <c r="L561" i="7" s="1"/>
  <c r="L597" i="7" a="1"/>
  <c r="L597" i="7" s="1"/>
  <c r="L479" i="7" a="1"/>
  <c r="L479" i="7" s="1"/>
  <c r="L338" i="7" a="1"/>
  <c r="L338" i="7" s="1"/>
  <c r="L765" i="7" a="1"/>
  <c r="L765" i="7" s="1"/>
  <c r="L508" i="7" a="1"/>
  <c r="L508" i="7" s="1"/>
  <c r="L360" i="7" a="1"/>
  <c r="L360" i="7" s="1"/>
  <c r="L769" i="7" a="1"/>
  <c r="L769" i="7" s="1"/>
  <c r="L434" i="7" a="1"/>
  <c r="L434" i="7" s="1"/>
  <c r="L320" i="7" a="1"/>
  <c r="L320" i="7" s="1"/>
  <c r="L393" i="7" a="1"/>
  <c r="L393" i="7" s="1"/>
  <c r="L493" i="7" a="1"/>
  <c r="L493" i="7" s="1"/>
  <c r="L413" i="7" a="1"/>
  <c r="L413" i="7" s="1"/>
  <c r="L536" i="7" a="1"/>
  <c r="L536" i="7" s="1"/>
  <c r="L706" i="7" a="1"/>
  <c r="L706" i="7" s="1"/>
  <c r="L605" i="7" a="1"/>
  <c r="L605" i="7" s="1"/>
  <c r="L531" i="7" a="1"/>
  <c r="L531" i="7" s="1"/>
  <c r="L468" i="7" a="1"/>
  <c r="L468" i="7" s="1"/>
  <c r="L687" i="7" a="1"/>
  <c r="L687" i="7" s="1"/>
  <c r="L682" i="7" a="1"/>
  <c r="L682" i="7" s="1"/>
  <c r="L443" i="7" a="1"/>
  <c r="L443" i="7" s="1"/>
  <c r="L737" i="7" a="1"/>
  <c r="L737" i="7" s="1"/>
  <c r="L554" i="7" a="1"/>
  <c r="L554" i="7" s="1"/>
  <c r="L535" i="7" a="1"/>
  <c r="L535" i="7" s="1"/>
  <c r="L412" i="7" a="1"/>
  <c r="L412" i="7" s="1"/>
  <c r="L318" i="7" a="1"/>
  <c r="L318" i="7" s="1"/>
  <c r="L741" i="7" a="1"/>
  <c r="L741" i="7" s="1"/>
  <c r="L719" i="7" a="1"/>
  <c r="L719" i="7" s="1"/>
  <c r="L710" i="7" a="1"/>
  <c r="L710" i="7" s="1"/>
  <c r="L626" i="7" a="1"/>
  <c r="L626" i="7" s="1"/>
  <c r="L686" i="7" a="1"/>
  <c r="L686" i="7" s="1"/>
  <c r="L745" i="7" a="1"/>
  <c r="L745" i="7" s="1"/>
  <c r="L714" i="7" a="1"/>
  <c r="L714" i="7" s="1"/>
  <c r="L594" i="7" a="1"/>
  <c r="L594" i="7" s="1"/>
  <c r="L558" i="7" a="1"/>
  <c r="L558" i="7" s="1"/>
  <c r="L486" i="7" a="1"/>
  <c r="L486" i="7" s="1"/>
  <c r="L466" i="7" a="1"/>
  <c r="L466" i="7" s="1"/>
  <c r="L411" i="7" a="1"/>
  <c r="L411" i="7" s="1"/>
  <c r="L698" i="7" a="1"/>
  <c r="L698" i="7" s="1"/>
  <c r="L622" i="7" a="1"/>
  <c r="L622" i="7" s="1"/>
  <c r="L525" i="7" a="1"/>
  <c r="L525" i="7" s="1"/>
  <c r="L333" i="7" a="1"/>
  <c r="L333" i="7" s="1"/>
  <c r="L206" i="7" a="1"/>
  <c r="L206" i="7" s="1"/>
  <c r="L245" i="7" a="1"/>
  <c r="L245" i="7" s="1"/>
  <c r="L199" i="7" a="1"/>
  <c r="L199" i="7" s="1"/>
  <c r="L173" i="7" a="1"/>
  <c r="L173" i="7" s="1"/>
  <c r="L383" i="7" a="1"/>
  <c r="L383" i="7" s="1"/>
  <c r="L332" i="7" a="1"/>
  <c r="L332" i="7" s="1"/>
  <c r="L303" i="7" a="1"/>
  <c r="L303" i="7" s="1"/>
  <c r="L260" i="7" a="1"/>
  <c r="L260" i="7" s="1"/>
  <c r="L255" i="7" a="1"/>
  <c r="L255" i="7" s="1"/>
  <c r="L243" i="7" a="1"/>
  <c r="L243" i="7" s="1"/>
  <c r="L321" i="7" a="1"/>
  <c r="L321" i="7" s="1"/>
  <c r="L391" i="7" a="1"/>
  <c r="L391" i="7" s="1"/>
  <c r="L280" i="7" a="1"/>
  <c r="L280" i="7" s="1"/>
  <c r="L670" i="7" a="1"/>
  <c r="L670" i="7" s="1"/>
  <c r="L574" i="7" a="1"/>
  <c r="L574" i="7" s="1"/>
  <c r="L454" i="7" a="1"/>
  <c r="L454" i="7" s="1"/>
  <c r="L358" i="7" a="1"/>
  <c r="L358" i="7" s="1"/>
  <c r="L674" i="7" a="1"/>
  <c r="L674" i="7" s="1"/>
  <c r="L578" i="7" a="1"/>
  <c r="L578" i="7" s="1"/>
  <c r="L418" i="7" a="1"/>
  <c r="L418" i="7" s="1"/>
  <c r="L404" i="7" a="1"/>
  <c r="L404" i="7" s="1"/>
  <c r="L335" i="7" a="1"/>
  <c r="L335" i="7" s="1"/>
  <c r="L301" i="7" a="1"/>
  <c r="L301" i="7" s="1"/>
  <c r="L274" i="7" a="1"/>
  <c r="L274" i="7" s="1"/>
  <c r="L252" i="7" a="1"/>
  <c r="L252" i="7" s="1"/>
  <c r="L220" i="7" a="1"/>
  <c r="L220" i="7" s="1"/>
  <c r="L385" i="7" a="1"/>
  <c r="L385" i="7" s="1"/>
  <c r="L290" i="7" a="1"/>
  <c r="L290" i="7" s="1"/>
  <c r="L284" i="7" a="1"/>
  <c r="L284" i="7" s="1"/>
  <c r="L150" i="7" a="1"/>
  <c r="L150" i="7" s="1"/>
  <c r="L334" i="7" a="1"/>
  <c r="L334" i="7" s="1"/>
  <c r="L319" i="7" a="1"/>
  <c r="L319" i="7" s="1"/>
  <c r="L389" i="7" a="1"/>
  <c r="L389" i="7" s="1"/>
  <c r="L314" i="7" a="1"/>
  <c r="L314" i="7" s="1"/>
  <c r="L614" i="7" a="1"/>
  <c r="L614" i="7" s="1"/>
  <c r="L289" i="7" a="1"/>
  <c r="L289" i="7" s="1"/>
  <c r="L130" i="7" a="1"/>
  <c r="L130" i="7" s="1"/>
  <c r="L204" i="7" a="1"/>
  <c r="L204" i="7" s="1"/>
  <c r="L82" i="7" a="1"/>
  <c r="L82" i="7" s="1"/>
  <c r="L184" i="7" a="1"/>
  <c r="L184" i="7" s="1"/>
  <c r="L109" i="7" a="1"/>
  <c r="L109" i="7" s="1"/>
  <c r="L162" i="7" a="1"/>
  <c r="L162" i="7" s="1"/>
  <c r="L208" i="7" a="1"/>
  <c r="L208" i="7" s="1"/>
  <c r="L108" i="7" a="1"/>
  <c r="L108" i="7" s="1"/>
  <c r="L92" i="7" a="1"/>
  <c r="L92" i="7" s="1"/>
  <c r="L32" i="7" a="1"/>
  <c r="L32" i="7" s="1"/>
  <c r="L268" i="7" a="1"/>
  <c r="L268" i="7" s="1"/>
  <c r="L212" i="7" a="1"/>
  <c r="L212" i="7" s="1"/>
  <c r="L216" i="7" a="1"/>
  <c r="L216" i="7" s="1"/>
  <c r="L197" i="7" a="1"/>
  <c r="L197" i="7" s="1"/>
  <c r="L166" i="7" a="1"/>
  <c r="L166" i="7" s="1"/>
  <c r="L149" i="7" a="1"/>
  <c r="L149" i="7" s="1"/>
  <c r="L133" i="7" a="1"/>
  <c r="L133" i="7" s="1"/>
  <c r="L339" i="7" a="1"/>
  <c r="L339" i="7" s="1"/>
  <c r="L267" i="7" a="1"/>
  <c r="L267" i="7" s="1"/>
  <c r="L312" i="7" a="1"/>
  <c r="L312" i="7" s="1"/>
  <c r="L176" i="7" a="1"/>
  <c r="L176" i="7" s="1"/>
  <c r="L160" i="7" a="1"/>
  <c r="L160" i="7" s="1"/>
  <c r="L248" i="7" a="1"/>
  <c r="L248" i="7" s="1"/>
  <c r="L148" i="7" a="1"/>
  <c r="L148" i="7" s="1"/>
  <c r="L196" i="7" a="1"/>
  <c r="L196" i="7" s="1"/>
  <c r="L165" i="7" a="1"/>
  <c r="L165" i="7" s="1"/>
  <c r="L132" i="7" a="1"/>
  <c r="L132" i="7" s="1"/>
  <c r="L180" i="7" a="1"/>
  <c r="L180" i="7" s="1"/>
  <c r="L219" i="7" a="1"/>
  <c r="L219" i="7" s="1"/>
  <c r="L152" i="7" a="1"/>
  <c r="L152" i="7" s="1"/>
  <c r="L120" i="7" a="1"/>
  <c r="L120" i="7" s="1"/>
  <c r="L104" i="7" a="1"/>
  <c r="L104" i="7" s="1"/>
  <c r="L88" i="7" a="1"/>
  <c r="L88" i="7" s="1"/>
  <c r="L40" i="7" a="1"/>
  <c r="L40" i="7" s="1"/>
  <c r="L276" i="7" a="1"/>
  <c r="L276" i="7" s="1"/>
  <c r="L228" i="7" a="1"/>
  <c r="L228" i="7" s="1"/>
  <c r="L188" i="7" a="1"/>
  <c r="L188" i="7" s="1"/>
  <c r="L136" i="7" a="1"/>
  <c r="L136" i="7" s="1"/>
  <c r="L112" i="7" a="1"/>
  <c r="L112" i="7" s="1"/>
  <c r="L34" i="7" a="1"/>
  <c r="L34" i="7" s="1"/>
  <c r="L76" i="7" a="1"/>
  <c r="L76" i="7" s="1"/>
  <c r="L44" i="7" a="1"/>
  <c r="L44" i="7" s="1"/>
  <c r="L28" i="7" a="1"/>
  <c r="L28" i="7" s="1"/>
  <c r="L200" i="7" a="1"/>
  <c r="L200" i="7" s="1"/>
  <c r="L168" i="7" a="1"/>
  <c r="L168" i="7" s="1"/>
  <c r="L22" i="7" a="1"/>
  <c r="L22" i="7" s="1"/>
  <c r="L80" i="7" a="1"/>
  <c r="L80" i="7" s="1"/>
  <c r="L52" i="7" a="1"/>
  <c r="L52" i="7" s="1"/>
  <c r="L36" i="7" a="1"/>
  <c r="L36" i="7" s="1"/>
  <c r="L14" i="7" a="1"/>
  <c r="L14" i="7" s="1"/>
  <c r="L224" i="7" a="1"/>
  <c r="L224" i="7" s="1"/>
  <c r="L62" i="7" a="1"/>
  <c r="L62" i="7" s="1"/>
  <c r="L46" i="7" a="1"/>
  <c r="L46" i="7" s="1"/>
  <c r="L30" i="7" a="1"/>
  <c r="L30" i="7" s="1"/>
  <c r="M620" i="14" l="1"/>
  <c r="N620" i="14"/>
  <c r="M942" i="14"/>
  <c r="N942" i="14"/>
  <c r="M788" i="14"/>
  <c r="N788" i="14"/>
  <c r="M1172" i="14"/>
  <c r="N1172" i="14"/>
  <c r="M1318" i="14"/>
  <c r="N1318" i="14"/>
  <c r="M364" i="14"/>
  <c r="N364" i="14"/>
  <c r="M113" i="14"/>
  <c r="N113" i="14"/>
  <c r="M284" i="14"/>
  <c r="N284" i="14"/>
  <c r="M441" i="14"/>
  <c r="N441" i="14"/>
  <c r="M777" i="14"/>
  <c r="N777" i="14"/>
  <c r="M619" i="14"/>
  <c r="N619" i="14"/>
  <c r="N398" i="14"/>
  <c r="M398" i="14"/>
  <c r="M312" i="14"/>
  <c r="N312" i="14"/>
  <c r="N1114" i="14"/>
  <c r="M1114" i="14"/>
  <c r="N449" i="14"/>
  <c r="M449" i="14"/>
  <c r="N353" i="14"/>
  <c r="M353" i="14"/>
  <c r="M24" i="14"/>
  <c r="N24" i="14"/>
  <c r="N591" i="14"/>
  <c r="M591" i="14"/>
  <c r="M549" i="14"/>
  <c r="N549" i="14"/>
  <c r="M480" i="14"/>
  <c r="N480" i="14"/>
  <c r="M431" i="14"/>
  <c r="N431" i="14"/>
  <c r="M35" i="14"/>
  <c r="N35" i="14"/>
  <c r="M1006" i="14"/>
  <c r="N1006" i="14"/>
  <c r="M1486" i="14"/>
  <c r="N1486" i="14"/>
  <c r="M161" i="14"/>
  <c r="N161" i="14"/>
  <c r="N539" i="14"/>
  <c r="M539" i="14"/>
  <c r="M982" i="14"/>
  <c r="N982" i="14"/>
  <c r="M699" i="14"/>
  <c r="N699" i="14"/>
  <c r="M682" i="14"/>
  <c r="N682" i="14"/>
  <c r="M980" i="14"/>
  <c r="N980" i="14"/>
  <c r="N1012" i="14"/>
  <c r="M1012" i="14"/>
  <c r="M870" i="14"/>
  <c r="N870" i="14"/>
  <c r="M628" i="14"/>
  <c r="N628" i="14"/>
  <c r="M1492" i="14"/>
  <c r="N1492" i="14"/>
  <c r="M1436" i="14"/>
  <c r="N1436" i="14"/>
  <c r="M1388" i="14"/>
  <c r="N1388" i="14"/>
  <c r="N377" i="14"/>
  <c r="M377" i="14"/>
  <c r="M892" i="14"/>
  <c r="N892" i="14"/>
  <c r="M1103" i="14"/>
  <c r="N1103" i="14"/>
  <c r="M988" i="14"/>
  <c r="N988" i="14"/>
  <c r="N374" i="14"/>
  <c r="M374" i="14"/>
  <c r="M74" i="14"/>
  <c r="N74" i="14"/>
  <c r="N31" i="14"/>
  <c r="M31" i="14"/>
  <c r="N511" i="14"/>
  <c r="M511" i="14"/>
  <c r="M428" i="14"/>
  <c r="N428" i="14"/>
  <c r="N401" i="14"/>
  <c r="M401" i="14"/>
  <c r="M72" i="14"/>
  <c r="N72" i="14"/>
  <c r="M886" i="14"/>
  <c r="N886" i="14"/>
  <c r="M131" i="14"/>
  <c r="N131" i="14"/>
  <c r="N737" i="14"/>
  <c r="M737" i="14"/>
  <c r="M1220" i="14"/>
  <c r="N1220" i="14"/>
  <c r="M1039" i="14"/>
  <c r="N1039" i="14"/>
  <c r="N110" i="14"/>
  <c r="M110" i="14"/>
  <c r="N425" i="14"/>
  <c r="M425" i="14"/>
  <c r="M1455" i="14"/>
  <c r="N1455" i="14"/>
  <c r="M908" i="14"/>
  <c r="N908" i="14"/>
  <c r="M399" i="14"/>
  <c r="N399" i="14"/>
  <c r="M734" i="14"/>
  <c r="N734" i="14"/>
  <c r="M403" i="14"/>
  <c r="N403" i="14"/>
  <c r="M884" i="14"/>
  <c r="N884" i="14"/>
  <c r="M662" i="14"/>
  <c r="N662" i="14"/>
  <c r="M233" i="14"/>
  <c r="N233" i="14"/>
  <c r="M412" i="14"/>
  <c r="N412" i="14"/>
  <c r="M814" i="14"/>
  <c r="N814" i="14"/>
  <c r="M471" i="14"/>
  <c r="N471" i="14"/>
  <c r="N199" i="14"/>
  <c r="M199" i="14"/>
  <c r="M774" i="14"/>
  <c r="N774" i="14"/>
  <c r="M252" i="14"/>
  <c r="N252" i="14"/>
  <c r="N1284" i="14"/>
  <c r="M1284" i="14"/>
  <c r="M738" i="14"/>
  <c r="N738" i="14"/>
  <c r="M1414" i="14"/>
  <c r="N1414" i="14"/>
  <c r="M1118" i="14"/>
  <c r="N1118" i="14"/>
  <c r="N260" i="14"/>
  <c r="M260" i="14"/>
  <c r="M552" i="14"/>
  <c r="N552" i="14"/>
  <c r="M601" i="14"/>
  <c r="N601" i="14"/>
  <c r="N206" i="14"/>
  <c r="M206" i="14"/>
  <c r="M820" i="14"/>
  <c r="N820" i="14"/>
  <c r="M904" i="14"/>
  <c r="N904" i="14"/>
  <c r="M283" i="14"/>
  <c r="N283" i="14"/>
  <c r="M1239" i="14"/>
  <c r="N1239" i="14"/>
  <c r="M588" i="14"/>
  <c r="N588" i="14"/>
  <c r="M156" i="14"/>
  <c r="N156" i="14"/>
  <c r="N73" i="14"/>
  <c r="M73" i="14"/>
  <c r="M468" i="14"/>
  <c r="N468" i="14"/>
  <c r="N247" i="14"/>
  <c r="M247" i="14"/>
  <c r="M629" i="14"/>
  <c r="N629" i="14"/>
  <c r="M769" i="14"/>
  <c r="N769" i="14"/>
  <c r="M264" i="14"/>
  <c r="N264" i="14"/>
  <c r="M846" i="14"/>
  <c r="N846" i="14"/>
  <c r="N723" i="14"/>
  <c r="M723" i="14"/>
  <c r="M1396" i="14"/>
  <c r="N1396" i="14"/>
  <c r="M1168" i="14"/>
  <c r="N1168" i="14"/>
  <c r="M764" i="14"/>
  <c r="N764" i="14"/>
  <c r="N329" i="14"/>
  <c r="M329" i="14"/>
  <c r="M93" i="14"/>
  <c r="N93" i="14"/>
  <c r="M124" i="14"/>
  <c r="N124" i="14"/>
  <c r="M9" i="14"/>
  <c r="N9" i="14"/>
  <c r="M380" i="14"/>
  <c r="N380" i="14"/>
  <c r="M64" i="14"/>
  <c r="N64" i="14"/>
  <c r="M839" i="14"/>
  <c r="N839" i="14"/>
  <c r="M432" i="14"/>
  <c r="N432" i="14"/>
  <c r="M137" i="14"/>
  <c r="N137" i="14"/>
  <c r="M453" i="14"/>
  <c r="N453" i="14"/>
  <c r="M524" i="14"/>
  <c r="N524" i="14"/>
  <c r="M297" i="14"/>
  <c r="N297" i="14"/>
  <c r="M916" i="14"/>
  <c r="N916" i="14"/>
  <c r="M851" i="14"/>
  <c r="N851" i="14"/>
  <c r="M1144" i="14"/>
  <c r="N1144" i="14"/>
  <c r="N1450" i="14"/>
  <c r="M1450" i="14"/>
  <c r="N1300" i="14"/>
  <c r="M1300"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68760C-9DD2-4BC6-8438-CB6DBEBCCEF7}" keepAlive="1" name="Query - Inventory_Clean" description="Connection to the 'Inventory_Clean' query in the workbook." type="5" refreshedVersion="8" background="1" saveData="1">
    <dbPr connection="Provider=Microsoft.Mashup.OleDb.1;Data Source=$Workbook$;Location=Inventory_Clean;Extended Properties=&quot;&quot;" command="SELECT * FROM [Inventory_Clean]"/>
  </connection>
  <connection id="2" xr16:uid="{A308AD03-2B53-41BA-8A9E-2427B9C93547}" keepAlive="1" name="Query - Master_Clean" description="Connection to the 'Master_Clean' query in the workbook." type="5" refreshedVersion="8" background="1" saveData="1">
    <dbPr connection="Provider=Microsoft.Mashup.OleDb.1;Data Source=$Workbook$;Location=Master_Clean;Extended Properties=&quot;&quot;" command="SELECT * FROM [Master_Clean]"/>
  </connection>
  <connection id="3" xr16:uid="{6CF3DD04-9ECD-4C77-B249-2CD430A2981E}" keepAlive="1" name="Query - Supply_Clean" description="Connection to the 'Supply_Clean' query in the workbook." type="5" refreshedVersion="8" background="1" saveData="1">
    <dbPr connection="Provider=Microsoft.Mashup.OleDb.1;Data Source=$Workbook$;Location=Supply_Clean;Extended Properties=&quot;&quot;" command="SELECT * FROM [Supply_Clean]"/>
  </connection>
  <connection id="4" xr16:uid="{52754FA8-8CF9-4FDB-9869-9267941D5A27}" keepAlive="1" name="Query - Transit_Clean" description="Connection to the 'Transit_Clean' query in the workbook." type="5" refreshedVersion="8" background="1" saveData="1">
    <dbPr connection="Provider=Microsoft.Mashup.OleDb.1;Data Source=$Workbook$;Location=Transit_Clean;Extended Properties=&quot;&quot;" command="SELECT * FROM [Transit_Clean]"/>
  </connection>
  <connection id="5" xr16:uid="{252BE879-B330-4133-A09B-B2ACACD93635}" keepAlive="1" name="Query - Transit_Enriched" description="Connection to the 'Transit_Enriched' query in the workbook." type="5" refreshedVersion="8" background="1" saveData="1">
    <dbPr connection="Provider=Microsoft.Mashup.OleDb.1;Data Source=$Workbook$;Location=Transit_Enriched;Extended Properties=&quot;&quot;" command="SELECT * FROM [Transit_Enriched]"/>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<sst xmlns="http://schemas.openxmlformats.org/spreadsheetml/2006/main" count="23513" uniqueCount="1392">
  <si>
    <t>Item_Code</t>
  </si>
  <si>
    <t>Description</t>
  </si>
  <si>
    <t>Category</t>
  </si>
  <si>
    <t>Weight_kg</t>
  </si>
  <si>
    <t>Shelf_Life_Days</t>
  </si>
  <si>
    <t>ABA-1008</t>
  </si>
  <si>
    <t>Abarrotes Secos</t>
  </si>
  <si>
    <t>ABA-1014</t>
  </si>
  <si>
    <t>BOT-1009</t>
  </si>
  <si>
    <t>Botanas Alto Volumen</t>
  </si>
  <si>
    <t>BEB-1005</t>
  </si>
  <si>
    <t>Bebidas Pesadas</t>
  </si>
  <si>
    <t>BEB-1002</t>
  </si>
  <si>
    <t>LAC-1000</t>
  </si>
  <si>
    <t>Lacteos Perecederos</t>
  </si>
  <si>
    <t>BOT-1016</t>
  </si>
  <si>
    <t>Temporada Pack 6</t>
  </si>
  <si>
    <t>Estacional Promo</t>
  </si>
  <si>
    <t>BEB-1000</t>
  </si>
  <si>
    <t>LAC-1014</t>
  </si>
  <si>
    <t>BEB-1012</t>
  </si>
  <si>
    <t>Te Helado 2L</t>
  </si>
  <si>
    <t>PRO-1014</t>
  </si>
  <si>
    <t>LAC-1002</t>
  </si>
  <si>
    <t>BOT-1001</t>
  </si>
  <si>
    <t>LAC-1007</t>
  </si>
  <si>
    <t>Edicion  Especial  Pack  12</t>
  </si>
  <si>
    <t>PRO-1013</t>
  </si>
  <si>
    <t>LAC-1005</t>
  </si>
  <si>
    <t>BOT-1013</t>
  </si>
  <si>
    <t>BOT-1015</t>
  </si>
  <si>
    <t>ABA-1003</t>
  </si>
  <si>
    <t>LAC-1004</t>
  </si>
  <si>
    <t>BEB-1021</t>
  </si>
  <si>
    <t>Agua Mineral 1.5L</t>
  </si>
  <si>
    <t>BEB-1001</t>
  </si>
  <si>
    <t>LAC-1001</t>
  </si>
  <si>
    <t>PRO-1010</t>
  </si>
  <si>
    <t>Edicion Especial Pack 6</t>
  </si>
  <si>
    <t>BEB-1019</t>
  </si>
  <si>
    <t>ABA-1002</t>
  </si>
  <si>
    <t>LAC-1010</t>
  </si>
  <si>
    <t>LAC-1017</t>
  </si>
  <si>
    <t>PRO-1002</t>
  </si>
  <si>
    <t>BOT-1022</t>
  </si>
  <si>
    <t>BEB-1008</t>
  </si>
  <si>
    <t>Agua Mineral 1L</t>
  </si>
  <si>
    <t>ABA-1012</t>
  </si>
  <si>
    <t>BOT-1005</t>
  </si>
  <si>
    <t>BEB-1004</t>
  </si>
  <si>
    <t>LAC-1003</t>
  </si>
  <si>
    <t>BOT-1019</t>
  </si>
  <si>
    <t>LAC-1009</t>
  </si>
  <si>
    <t>LAC-1006</t>
  </si>
  <si>
    <t>ABA-1004</t>
  </si>
  <si>
    <t>BOT-1008</t>
  </si>
  <si>
    <t>BOT-1020</t>
  </si>
  <si>
    <t>ABA-1015</t>
  </si>
  <si>
    <t>ABA-1009</t>
  </si>
  <si>
    <t>ABA-1000</t>
  </si>
  <si>
    <t>BOT-1002</t>
  </si>
  <si>
    <t>BEB-1014</t>
  </si>
  <si>
    <t>ABA-1006</t>
  </si>
  <si>
    <t>BOT-1023</t>
  </si>
  <si>
    <t>BOT-1007</t>
  </si>
  <si>
    <t>LAC-1008</t>
  </si>
  <si>
    <t>BEB-1011</t>
  </si>
  <si>
    <t>LAC-1013</t>
  </si>
  <si>
    <t>BEB-1006</t>
  </si>
  <si>
    <t>PRO-1007</t>
  </si>
  <si>
    <t>BOT-1021</t>
  </si>
  <si>
    <t>ABA-1013</t>
  </si>
  <si>
    <t>BEB-1018</t>
  </si>
  <si>
    <t>Refresco Cola 1L</t>
  </si>
  <si>
    <t>PRO-1004</t>
  </si>
  <si>
    <t>BEB-1010</t>
  </si>
  <si>
    <t>BOT-1010</t>
  </si>
  <si>
    <t>LAC-1011</t>
  </si>
  <si>
    <t>LAC-1015</t>
  </si>
  <si>
    <t>Leche Deslactosada 1.5L</t>
  </si>
  <si>
    <t>ABA-1010</t>
  </si>
  <si>
    <t>BEB-1003</t>
  </si>
  <si>
    <t>Refresco Cola 0.6L</t>
  </si>
  <si>
    <t>BOT-1003</t>
  </si>
  <si>
    <t>LAC-1012</t>
  </si>
  <si>
    <t>PRO-1012</t>
  </si>
  <si>
    <t>Edicion Especial Pack 24</t>
  </si>
  <si>
    <t>BEB-1013</t>
  </si>
  <si>
    <t>PRO-1005</t>
  </si>
  <si>
    <t>BEB-1007</t>
  </si>
  <si>
    <t>Agua Mineral 0.5L</t>
  </si>
  <si>
    <t>PRO-1003</t>
  </si>
  <si>
    <t>LAC-1016</t>
  </si>
  <si>
    <t>BEB-1016</t>
  </si>
  <si>
    <t>Refresco  Cola  2.5L</t>
  </si>
  <si>
    <t>ABA-1019</t>
  </si>
  <si>
    <t>BOT-1004</t>
  </si>
  <si>
    <t>PRO-1001</t>
  </si>
  <si>
    <t>BOT-1018</t>
  </si>
  <si>
    <t>BOT-1012</t>
  </si>
  <si>
    <t>ABA-1007</t>
  </si>
  <si>
    <t>BOT-1000</t>
  </si>
  <si>
    <t>ABA-1011</t>
  </si>
  <si>
    <t>BEB-1020</t>
  </si>
  <si>
    <t>Agua Mineral 2L</t>
  </si>
  <si>
    <t>BEB-1009</t>
  </si>
  <si>
    <t>BOT-1006</t>
  </si>
  <si>
    <t>PRO-1011</t>
  </si>
  <si>
    <t>BEB-1015</t>
  </si>
  <si>
    <t>PRO-1006</t>
  </si>
  <si>
    <t>PRO-1015</t>
  </si>
  <si>
    <t>Order_ID</t>
  </si>
  <si>
    <t>Destination</t>
  </si>
  <si>
    <t>Quantity</t>
  </si>
  <si>
    <t>SO-50312</t>
  </si>
  <si>
    <t>SO-50626</t>
  </si>
  <si>
    <t>SO-51025</t>
  </si>
  <si>
    <t>SO-50101</t>
  </si>
  <si>
    <t>SO-50776</t>
  </si>
  <si>
    <t>SO-50491</t>
  </si>
  <si>
    <t>SO-50006</t>
  </si>
  <si>
    <t>SO-50058</t>
  </si>
  <si>
    <t>SO-51008</t>
  </si>
  <si>
    <t>SO-50262</t>
  </si>
  <si>
    <t>SO-50124</t>
  </si>
  <si>
    <t>SO-50587</t>
  </si>
  <si>
    <t>SO-50469</t>
  </si>
  <si>
    <t>SO-50571</t>
  </si>
  <si>
    <t>SO-50977</t>
  </si>
  <si>
    <t>SO-50478</t>
  </si>
  <si>
    <t>SO-50479</t>
  </si>
  <si>
    <t>SO-51098</t>
  </si>
  <si>
    <t>SO-50126</t>
  </si>
  <si>
    <t>SO-50303</t>
  </si>
  <si>
    <t>SO-50755</t>
  </si>
  <si>
    <t>SO-50863</t>
  </si>
  <si>
    <t>SO-50569</t>
  </si>
  <si>
    <t>SO-50184</t>
  </si>
  <si>
    <t>SO-50960</t>
  </si>
  <si>
    <t>SO-50047</t>
  </si>
  <si>
    <t>SO-50500</t>
  </si>
  <si>
    <t>SO-50875</t>
  </si>
  <si>
    <t>SO-50168</t>
  </si>
  <si>
    <t>SO-51071</t>
  </si>
  <si>
    <t>SO-50197</t>
  </si>
  <si>
    <t>SO-50120</t>
  </si>
  <si>
    <t>SO-50534</t>
  </si>
  <si>
    <t>SO-50596</t>
  </si>
  <si>
    <t>SO-50123</t>
  </si>
  <si>
    <t>SO-51029</t>
  </si>
  <si>
    <t>SO-50385</t>
  </si>
  <si>
    <t>SO-50323</t>
  </si>
  <si>
    <t>SO-50853</t>
  </si>
  <si>
    <t>SO-50751</t>
  </si>
  <si>
    <t>SO-50416</t>
  </si>
  <si>
    <t>SO-50477</t>
  </si>
  <si>
    <t>SO-50415</t>
  </si>
  <si>
    <t>SO-50083</t>
  </si>
  <si>
    <t>SO-50541</t>
  </si>
  <si>
    <t>SO-50495</t>
  </si>
  <si>
    <t>SO-50431</t>
  </si>
  <si>
    <t>SO-50981</t>
  </si>
  <si>
    <t>SO-50149</t>
  </si>
  <si>
    <t>SO-50247</t>
  </si>
  <si>
    <t>SO-50134</t>
  </si>
  <si>
    <t>SO-50404</t>
  </si>
  <si>
    <t>SO-50118</t>
  </si>
  <si>
    <t>SO-51056</t>
  </si>
  <si>
    <t>SO-50474</t>
  </si>
  <si>
    <t>SO-50676</t>
  </si>
  <si>
    <t>SO-51004</t>
  </si>
  <si>
    <t>SO-50205</t>
  </si>
  <si>
    <t>SO-50968</t>
  </si>
  <si>
    <t>SO-50334</t>
  </si>
  <si>
    <t>SO-50199</t>
  </si>
  <si>
    <t>SO-50128</t>
  </si>
  <si>
    <t>SO-50240</t>
  </si>
  <si>
    <t>SO-50754</t>
  </si>
  <si>
    <t>SO-50919</t>
  </si>
  <si>
    <t>SO-50139</t>
  </si>
  <si>
    <t>SO-50591</t>
  </si>
  <si>
    <t>SO-50484</t>
  </si>
  <si>
    <t>SO-50131</t>
  </si>
  <si>
    <t>SO-50338</t>
  </si>
  <si>
    <t>SO-50860</t>
  </si>
  <si>
    <t>SO-50413</t>
  </si>
  <si>
    <t>SO-50671</t>
  </si>
  <si>
    <t>SO-50012</t>
  </si>
  <si>
    <t>SO-50859</t>
  </si>
  <si>
    <t>SO-50890</t>
  </si>
  <si>
    <t>SO-50957</t>
  </si>
  <si>
    <t>SO-50211</t>
  </si>
  <si>
    <t>SO-51069</t>
  </si>
  <si>
    <t>SO-50667</t>
  </si>
  <si>
    <t>SO-50834</t>
  </si>
  <si>
    <t>SO-50098</t>
  </si>
  <si>
    <t>SO-50172</t>
  </si>
  <si>
    <t>SO-50697</t>
  </si>
  <si>
    <t>SO-50163</t>
  </si>
  <si>
    <t>SO-50987</t>
  </si>
  <si>
    <t>SO-50712</t>
  </si>
  <si>
    <t>SO-50583</t>
  </si>
  <si>
    <t>SO-50335</t>
  </si>
  <si>
    <t>SO-51034</t>
  </si>
  <si>
    <t>SO-50129</t>
  </si>
  <si>
    <t>SO-50731</t>
  </si>
  <si>
    <t>SO-50460</t>
  </si>
  <si>
    <t>SO-50004</t>
  </si>
  <si>
    <t>SO-50192</t>
  </si>
  <si>
    <t>SO-50660</t>
  </si>
  <si>
    <t>SO-50656</t>
  </si>
  <si>
    <t>SO-51018</t>
  </si>
  <si>
    <t>SO-50068</t>
  </si>
  <si>
    <t>SO-50165</t>
  </si>
  <si>
    <t>SO-50564</t>
  </si>
  <si>
    <t>SO-50254</t>
  </si>
  <si>
    <t>SO-50231</t>
  </si>
  <si>
    <t>SO-51011</t>
  </si>
  <si>
    <t>SO-50137</t>
  </si>
  <si>
    <t>SO-50767</t>
  </si>
  <si>
    <t>SO-50342</t>
  </si>
  <si>
    <t>SO-50135</t>
  </si>
  <si>
    <t>SO-50846</t>
  </si>
  <si>
    <t>SO-50718</t>
  </si>
  <si>
    <t>SO-50377</t>
  </si>
  <si>
    <t>SO-50362</t>
  </si>
  <si>
    <t>SO-50719</t>
  </si>
  <si>
    <t>SO-51063</t>
  </si>
  <si>
    <t>SO-50341</t>
  </si>
  <si>
    <t>SO-50456</t>
  </si>
  <si>
    <t>SO-50457</t>
  </si>
  <si>
    <t>SO-50838</t>
  </si>
  <si>
    <t>SO-50095</t>
  </si>
  <si>
    <t>SO-51006</t>
  </si>
  <si>
    <t>SO-50758</t>
  </si>
  <si>
    <t>SO-51096</t>
  </si>
  <si>
    <t>SO-50429</t>
  </si>
  <si>
    <t>SO-50170</t>
  </si>
  <si>
    <t>SO-50632</t>
  </si>
  <si>
    <t>SO-50869</t>
  </si>
  <si>
    <t>SO-50462</t>
  </si>
  <si>
    <t>SO-50407</t>
  </si>
  <si>
    <t>SO-50279</t>
  </si>
  <si>
    <t>SO-50851</t>
  </si>
  <si>
    <t>SO-50952</t>
  </si>
  <si>
    <t>SO-50251</t>
  </si>
  <si>
    <t>SO-50156</t>
  </si>
  <si>
    <t>SO-50343</t>
  </si>
  <si>
    <t>SO-50476</t>
  </si>
  <si>
    <t>SO-50634</t>
  </si>
  <si>
    <t>SO-50680</t>
  </si>
  <si>
    <t>SO-50862</t>
  </si>
  <si>
    <t>SO-50146</t>
  </si>
  <si>
    <t>SO-50984</t>
  </si>
  <si>
    <t>SO-50222</t>
  </si>
  <si>
    <t>SO-50590</t>
  </si>
  <si>
    <t>SO-50125</t>
  </si>
  <si>
    <t>SO-50517</t>
  </si>
  <si>
    <t>SO-50225</t>
  </si>
  <si>
    <t>SO-50291</t>
  </si>
  <si>
    <t>SO-50136</t>
  </si>
  <si>
    <t>SO-50629</t>
  </si>
  <si>
    <t>SO-50876</t>
  </si>
  <si>
    <t>SO-50580</t>
  </si>
  <si>
    <t>SO-50732</t>
  </si>
  <si>
    <t>SO-50633</t>
  </si>
  <si>
    <t>SO-50944</t>
  </si>
  <si>
    <t>SO-50053</t>
  </si>
  <si>
    <t>SO-50018</t>
  </si>
  <si>
    <t>SO-50029</t>
  </si>
  <si>
    <t>SO-50572</t>
  </si>
  <si>
    <t>SO-50586</t>
  </si>
  <si>
    <t>SO-50422</t>
  </si>
  <si>
    <t>SO-50072</t>
  </si>
  <si>
    <t>SO-50159</t>
  </si>
  <si>
    <t>SO-50864</t>
  </si>
  <si>
    <t>SO-50847</t>
  </si>
  <si>
    <t>SO-50709</t>
  </si>
  <si>
    <t>SO-50971</t>
  </si>
  <si>
    <t>SO-50214</t>
  </si>
  <si>
    <t>SO-50464</t>
  </si>
  <si>
    <t>SO-50866</t>
  </si>
  <si>
    <t>SO-50453</t>
  </si>
  <si>
    <t>SO-50624</t>
  </si>
  <si>
    <t>SO-50873</t>
  </si>
  <si>
    <t>SO-50887</t>
  </si>
  <si>
    <t>SO-51086</t>
  </si>
  <si>
    <t>SO-50057</t>
  </si>
  <si>
    <t>SO-50837</t>
  </si>
  <si>
    <t>SO-50060</t>
  </si>
  <si>
    <t>SO-50737</t>
  </si>
  <si>
    <t>SO-50403</t>
  </si>
  <si>
    <t>SO-50636</t>
  </si>
  <si>
    <t>SO-50773</t>
  </si>
  <si>
    <t>SO-50820</t>
  </si>
  <si>
    <t>SO-50002</t>
  </si>
  <si>
    <t>SO-50884</t>
  </si>
  <si>
    <t>SO-50043</t>
  </si>
  <si>
    <t>SO-50448</t>
  </si>
  <si>
    <t>SO-51026</t>
  </si>
  <si>
    <t>SO-50514</t>
  </si>
  <si>
    <t>SO-50978</t>
  </si>
  <si>
    <t>SO-50705</t>
  </si>
  <si>
    <t>SO-50645</t>
  </si>
  <si>
    <t>SO-50437</t>
  </si>
  <si>
    <t>SO-50926</t>
  </si>
  <si>
    <t>SO-50430</t>
  </si>
  <si>
    <t>SO-50339</t>
  </si>
  <si>
    <t>SO-50273</t>
  </si>
  <si>
    <t>SO-50679</t>
  </si>
  <si>
    <t>SO-50401</t>
  </si>
  <si>
    <t>SO-50315</t>
  </si>
  <si>
    <t>SO-50602</t>
  </si>
  <si>
    <t>SO-50809</t>
  </si>
  <si>
    <t>SO-50654</t>
  </si>
  <si>
    <t>SO-50161</t>
  </si>
  <si>
    <t>SO-50614</t>
  </si>
  <si>
    <t>SO-50892</t>
  </si>
  <si>
    <t>SO-50321</t>
  </si>
  <si>
    <t>SO-50037</t>
  </si>
  <si>
    <t>SO-50844</t>
  </si>
  <si>
    <t>SO-50346</t>
  </si>
  <si>
    <t>SO-51066</t>
  </si>
  <si>
    <t>SO-50604</t>
  </si>
  <si>
    <t>SO-50041</t>
  </si>
  <si>
    <t>SO-50162</t>
  </si>
  <si>
    <t>SO-50784</t>
  </si>
  <si>
    <t>SO-50507</t>
  </si>
  <si>
    <t>SO-50824</t>
  </si>
  <si>
    <t>SO-50294</t>
  </si>
  <si>
    <t>SO-50985</t>
  </si>
  <si>
    <t>SO-50647</t>
  </si>
  <si>
    <t>SO-50861</t>
  </si>
  <si>
    <t>SO-50090</t>
  </si>
  <si>
    <t>SO-50548</t>
  </si>
  <si>
    <t>SO-50181</t>
  </si>
  <si>
    <t>SO-50921</t>
  </si>
  <si>
    <t>SO-50243</t>
  </si>
  <si>
    <t>SO-50286</t>
  </si>
  <si>
    <t>SO-50685</t>
  </si>
  <si>
    <t>SO-50598</t>
  </si>
  <si>
    <t>SO-50459</t>
  </si>
  <si>
    <t>SO-51050</t>
  </si>
  <si>
    <t>SO-50364</t>
  </si>
  <si>
    <t>SO-50050</t>
  </si>
  <si>
    <t>SO-50226</t>
  </si>
  <si>
    <t>SO-51101</t>
  </si>
  <si>
    <t>SO-50311</t>
  </si>
  <si>
    <t>SO-50249</t>
  </si>
  <si>
    <t>SO-50750</t>
  </si>
  <si>
    <t>SO-50801</t>
  </si>
  <si>
    <t>SO-50738</t>
  </si>
  <si>
    <t>SO-50934</t>
  </si>
  <si>
    <t>SO-50042</t>
  </si>
  <si>
    <t>SO-50328</t>
  </si>
  <si>
    <t>SO-51103</t>
  </si>
  <si>
    <t>SO-50560</t>
  </si>
  <si>
    <t>SO-50419</t>
  </si>
  <si>
    <t>SO-50027</t>
  </si>
  <si>
    <t>SO-50332</t>
  </si>
  <si>
    <t>SO-50720</t>
  </si>
  <si>
    <t>SO-50344</t>
  </si>
  <si>
    <t>SO-50559</t>
  </si>
  <si>
    <t>SO-50078</t>
  </si>
  <si>
    <t>SO-50816</t>
  </si>
  <si>
    <t>SO-51010</t>
  </si>
  <si>
    <t>SO-50535</t>
  </si>
  <si>
    <t>SO-50929</t>
  </si>
  <si>
    <t>SO-51005</t>
  </si>
  <si>
    <t>SO-50523</t>
  </si>
  <si>
    <t>SO-50116</t>
  </si>
  <si>
    <t>SO-50305</t>
  </si>
  <si>
    <t>SO-50521</t>
  </si>
  <si>
    <t>SO-50635</t>
  </si>
  <si>
    <t>SO-51059</t>
  </si>
  <si>
    <t>SO-50186</t>
  </si>
  <si>
    <t>SO-50442</t>
  </si>
  <si>
    <t>SO-50309</t>
  </si>
  <si>
    <t>SO-50951</t>
  </si>
  <si>
    <t>SO-51036</t>
  </si>
  <si>
    <t>SO-51075</t>
  </si>
  <si>
    <t>SO-50603</t>
  </si>
  <si>
    <t>SO-50874</t>
  </si>
  <si>
    <t>SO-50178</t>
  </si>
  <si>
    <t>SO-50389</t>
  </si>
  <si>
    <t>SO-50568</t>
  </si>
  <si>
    <t>SO-50895</t>
  </si>
  <si>
    <t>SO-50433</t>
  </si>
  <si>
    <t>SO-50855</t>
  </si>
  <si>
    <t>SO-50393</t>
  </si>
  <si>
    <t>SO-50147</t>
  </si>
  <si>
    <t>SO-50109</t>
  </si>
  <si>
    <t>SO-51052</t>
  </si>
  <si>
    <t>SO-50606</t>
  </si>
  <si>
    <t>SO-50907</t>
  </si>
  <si>
    <t>SO-50270</t>
  </si>
  <si>
    <t>SO-50599</t>
  </si>
  <si>
    <t>SO-50774</t>
  </si>
  <si>
    <t>SO-50953</t>
  </si>
  <si>
    <t>SO-50716</t>
  </si>
  <si>
    <t>SO-50032</t>
  </si>
  <si>
    <t>SO-50288</t>
  </si>
  <si>
    <t>SO-51023</t>
  </si>
  <si>
    <t>SO-50763</t>
  </si>
  <si>
    <t>SO-50472</t>
  </si>
  <si>
    <t>SO-51028</t>
  </si>
  <si>
    <t>SO-50102</t>
  </si>
  <si>
    <t>SO-50904</t>
  </si>
  <si>
    <t>SO-50912</t>
  </si>
  <si>
    <t>SO-50410</t>
  </si>
  <si>
    <t>SO-50888</t>
  </si>
  <si>
    <t>SO-50044</t>
  </si>
  <si>
    <t>SO-50852</t>
  </si>
  <si>
    <t>SO-50627</t>
  </si>
  <si>
    <t>SO-50373</t>
  </si>
  <si>
    <t>SO-50017</t>
  </si>
  <si>
    <t>SO-50715</t>
  </si>
  <si>
    <t>SO-50670</t>
  </si>
  <si>
    <t>SO-50578</t>
  </si>
  <si>
    <t>SO-50392</t>
  </si>
  <si>
    <t>SO-50544</t>
  </si>
  <si>
    <t>SO-50505</t>
  </si>
  <si>
    <t>SO-51104</t>
  </si>
  <si>
    <t>SO-50399</t>
  </si>
  <si>
    <t>SO-51014</t>
  </si>
  <si>
    <t>SO-50034</t>
  </si>
  <si>
    <t>SO-50829</t>
  </si>
  <si>
    <t>SO-51073</t>
  </si>
  <si>
    <t>SO-50352</t>
  </si>
  <si>
    <t>SO-50076</t>
  </si>
  <si>
    <t>SO-50746</t>
  </si>
  <si>
    <t>SO-51105</t>
  </si>
  <si>
    <t>SO-51054</t>
  </si>
  <si>
    <t>SO-50639</t>
  </si>
  <si>
    <t>SO-50857</t>
  </si>
  <si>
    <t>SO-50900</t>
  </si>
  <si>
    <t>SO-50947</t>
  </si>
  <si>
    <t>SO-50174</t>
  </si>
  <si>
    <t>SO-50424</t>
  </si>
  <si>
    <t>SO-50268</t>
  </si>
  <si>
    <t>SO-50616</t>
  </si>
  <si>
    <t>SO-50717</t>
  </si>
  <si>
    <t>SO-50306</t>
  </si>
  <si>
    <t>SO-50752</t>
  </si>
  <si>
    <t>SO-50927</t>
  </si>
  <si>
    <t>SO-50256</t>
  </si>
  <si>
    <t>SO-50023</t>
  </si>
  <si>
    <t>SO-50726</t>
  </si>
  <si>
    <t>SO-50008</t>
  </si>
  <si>
    <t>SO-50817</t>
  </si>
  <si>
    <t>SO-50395</t>
  </si>
  <si>
    <t>SO-50710</t>
  </si>
  <si>
    <t>SO-50363</t>
  </si>
  <si>
    <t>SO-50969</t>
  </si>
  <si>
    <t>SO-51092</t>
  </si>
  <si>
    <t>SO-50867</t>
  </si>
  <si>
    <t>SO-50207</t>
  </si>
  <si>
    <t>SO-50255</t>
  </si>
  <si>
    <t>SO-50210</t>
  </si>
  <si>
    <t>SO-51043</t>
  </si>
  <si>
    <t>SO-50664</t>
  </si>
  <si>
    <t>SO-50612</t>
  </si>
  <si>
    <t>SO-50980</t>
  </si>
  <si>
    <t>SO-50272</t>
  </si>
  <si>
    <t>SO-50175</t>
  </si>
  <si>
    <t>SO-50167</t>
  </si>
  <si>
    <t>SO-50901</t>
  </si>
  <si>
    <t>SO-50840</t>
  </si>
  <si>
    <t>SO-50487</t>
  </si>
  <si>
    <t>SO-50081</t>
  </si>
  <si>
    <t>SO-50543</t>
  </si>
  <si>
    <t>SO-51077</t>
  </si>
  <si>
    <t>SO-50264</t>
  </si>
  <si>
    <t>SO-50836</t>
  </si>
  <si>
    <t>SO-50526</t>
  </si>
  <si>
    <t>SO-50923</t>
  </si>
  <si>
    <t>SO-50289</t>
  </si>
  <si>
    <t>SO-50380</t>
  </si>
  <si>
    <t>SO-50702</t>
  </si>
  <si>
    <t>SO-50408</t>
  </si>
  <si>
    <t>SO-50015</t>
  </si>
  <si>
    <t>SO-50310</t>
  </si>
  <si>
    <t>SO-50337</t>
  </si>
  <si>
    <t>SO-50982</t>
  </si>
  <si>
    <t>SO-50768</t>
  </si>
  <si>
    <t>SO-50970</t>
  </si>
  <si>
    <t>SO-50983</t>
  </si>
  <si>
    <t>SO-50711</t>
  </si>
  <si>
    <t>SO-50511</t>
  </si>
  <si>
    <t>SO-50528</t>
  </si>
  <si>
    <t>SO-50387</t>
  </si>
  <si>
    <t>SO-50762</t>
  </si>
  <si>
    <t>SO-51051</t>
  </si>
  <si>
    <t>SO-51100</t>
  </si>
  <si>
    <t>SO-50707</t>
  </si>
  <si>
    <t>SO-50182</t>
  </si>
  <si>
    <t>SO-50735</t>
  </si>
  <si>
    <t>SO-50297</t>
  </si>
  <si>
    <t>SO-51097</t>
  </si>
  <si>
    <t>SO-50444</t>
  </si>
  <si>
    <t>SO-51082</t>
  </si>
  <si>
    <t>SO-50622</t>
  </si>
  <si>
    <t>SO-50805</t>
  </si>
  <si>
    <t>SO-51099</t>
  </si>
  <si>
    <t>SO-50547</t>
  </si>
  <si>
    <t>SO-50561</t>
  </si>
  <si>
    <t>SO-50236</t>
  </si>
  <si>
    <t>SO-50579</t>
  </si>
  <si>
    <t>SO-50529</t>
  </si>
  <si>
    <t>SO-51081</t>
  </si>
  <si>
    <t>SO-50877</t>
  </si>
  <si>
    <t>SO-50062</t>
  </si>
  <si>
    <t>SO-50216</t>
  </si>
  <si>
    <t>SO-50554</t>
  </si>
  <si>
    <t>SO-50440</t>
  </si>
  <si>
    <t>SO-50155</t>
  </si>
  <si>
    <t>SO-50553</t>
  </si>
  <si>
    <t>SO-50356</t>
  </si>
  <si>
    <t>SO-50333</t>
  </si>
  <si>
    <t>SO-50035</t>
  </si>
  <si>
    <t>SO-50274</t>
  </si>
  <si>
    <t>SO-50164</t>
  </si>
  <si>
    <t>SO-50195</t>
  </si>
  <si>
    <t>SO-50937</t>
  </si>
  <si>
    <t>SO-50880</t>
  </si>
  <si>
    <t>SO-50896</t>
  </si>
  <si>
    <t>SO-50945</t>
  </si>
  <si>
    <t>SO-50158</t>
  </si>
  <si>
    <t>SO-51013</t>
  </si>
  <si>
    <t>SO-50822</t>
  </si>
  <si>
    <t>SO-50781</t>
  </si>
  <si>
    <t>SO-50931</t>
  </si>
  <si>
    <t>SO-50509</t>
  </si>
  <si>
    <t>SO-50465</t>
  </si>
  <si>
    <t>SO-50849</t>
  </si>
  <si>
    <t>SO-50893</t>
  </si>
  <si>
    <t>SO-50061</t>
  </si>
  <si>
    <t>SO-50298</t>
  </si>
  <si>
    <t>SO-50421</t>
  </si>
  <si>
    <t>SO-50889</t>
  </si>
  <si>
    <t>SO-50825</t>
  </si>
  <si>
    <t>SO-50881</t>
  </si>
  <si>
    <t>SO-51046</t>
  </si>
  <si>
    <t>SO-50739</t>
  </si>
  <si>
    <t>SO-50022</t>
  </si>
  <si>
    <t>SO-50819</t>
  </si>
  <si>
    <t>SO-50556</t>
  </si>
  <si>
    <t>SO-50370</t>
  </si>
  <si>
    <t>SO-50358</t>
  </si>
  <si>
    <t>SO-50285</t>
  </si>
  <si>
    <t>SO-50277</t>
  </si>
  <si>
    <t>SO-50948</t>
  </si>
  <si>
    <t>SO-50145</t>
  </si>
  <si>
    <t>SO-50831</t>
  </si>
  <si>
    <t>SO-50266</t>
  </si>
  <si>
    <t>SO-50140</t>
  </si>
  <si>
    <t>SO-50074</t>
  </si>
  <si>
    <t>SO-50955</t>
  </si>
  <si>
    <t>SO-50103</t>
  </si>
  <si>
    <t>SO-50361</t>
  </si>
  <si>
    <t>SO-50379</t>
  </si>
  <si>
    <t>SO-50950</t>
  </si>
  <si>
    <t>SO-50418</t>
  </si>
  <si>
    <t>SO-50121</t>
  </si>
  <si>
    <t>SO-50659</t>
  </si>
  <si>
    <t>SO-50390</t>
  </si>
  <si>
    <t>SO-50771</t>
  </si>
  <si>
    <t>SO-50351</t>
  </si>
  <si>
    <t>SO-50576</t>
  </si>
  <si>
    <t>SO-50036</t>
  </si>
  <si>
    <t>SO-50209</t>
  </si>
  <si>
    <t>SO-51045</t>
  </si>
  <si>
    <t>SO-50089</t>
  </si>
  <si>
    <t>SO-50066</t>
  </si>
  <si>
    <t>SO-50173</t>
  </si>
  <si>
    <t>SO-50615</t>
  </si>
  <si>
    <t>SO-50040</t>
  </si>
  <si>
    <t>SO-50941</t>
  </si>
  <si>
    <t>SO-50810</t>
  </si>
  <si>
    <t>SO-50320</t>
  </si>
  <si>
    <t>SO-50903</t>
  </si>
  <si>
    <t>SO-50038</t>
  </si>
  <si>
    <t>SO-50372</t>
  </si>
  <si>
    <t>SO-50879</t>
  </si>
  <si>
    <t>SO-50354</t>
  </si>
  <si>
    <t>SO-51090</t>
  </si>
  <si>
    <t>SO-50179</t>
  </si>
  <si>
    <t>SO-50842</t>
  </si>
  <si>
    <t>SO-50520</t>
  </si>
  <si>
    <t>SO-50488</t>
  </si>
  <si>
    <t>SO-50329</t>
  </si>
  <si>
    <t>SO-50466</t>
  </si>
  <si>
    <t>SO-50489</t>
  </si>
  <si>
    <t>SO-50031</t>
  </si>
  <si>
    <t>SO-50151</t>
  </si>
  <si>
    <t>SO-51055</t>
  </si>
  <si>
    <t>SO-50841</t>
  </si>
  <si>
    <t>SO-50455</t>
  </si>
  <si>
    <t>SO-50435</t>
  </si>
  <si>
    <t>SO-50515</t>
  </si>
  <si>
    <t>SO-50909</t>
  </si>
  <si>
    <t>SO-50930</t>
  </si>
  <si>
    <t>SO-50555</t>
  </si>
  <si>
    <t>SO-50686</t>
  </si>
  <si>
    <t>SO-50194</t>
  </si>
  <si>
    <t>SO-50782</t>
  </si>
  <si>
    <t>SO-50911</t>
  </si>
  <si>
    <t>SO-50301</t>
  </si>
  <si>
    <t>SO-50741</t>
  </si>
  <si>
    <t>SO-51038</t>
  </si>
  <si>
    <t>SO-50993</t>
  </si>
  <si>
    <t>SO-50204</t>
  </si>
  <si>
    <t>SO-50219</t>
  </si>
  <si>
    <t>SO-50508</t>
  </si>
  <si>
    <t>SO-51039</t>
  </si>
  <si>
    <t>SO-50353</t>
  </si>
  <si>
    <t>SO-50787</t>
  </si>
  <si>
    <t>SO-50198</t>
  </si>
  <si>
    <t>SO-50200</t>
  </si>
  <si>
    <t>SO-50729</t>
  </si>
  <si>
    <t>SO-50538</t>
  </si>
  <si>
    <t>SO-50812</t>
  </si>
  <si>
    <t>SO-50924</t>
  </si>
  <si>
    <t>SO-50319</t>
  </si>
  <si>
    <t>SO-50976</t>
  </si>
  <si>
    <t>SO-50504</t>
  </si>
  <si>
    <t>SO-50997</t>
  </si>
  <si>
    <t>SO-50683</t>
  </si>
  <si>
    <t>SO-50336</t>
  </si>
  <si>
    <t>SO-50742</t>
  </si>
  <si>
    <t>SO-50690</t>
  </si>
  <si>
    <t>SO-50640</t>
  </si>
  <si>
    <t>SO-50914</t>
  </si>
  <si>
    <t>SO-50212</t>
  </si>
  <si>
    <t>SO-51087</t>
  </si>
  <si>
    <t>SO-50189</t>
  </si>
  <si>
    <t>SO-51001</t>
  </si>
  <si>
    <t>SO-50780</t>
  </si>
  <si>
    <t>SO-51060</t>
  </si>
  <si>
    <t>SO-50701</t>
  </si>
  <si>
    <t>SO-50600</t>
  </si>
  <si>
    <t>SO-50229</t>
  </si>
  <si>
    <t>SO-50284</t>
  </si>
  <si>
    <t>SO-50187</t>
  </si>
  <si>
    <t>SO-50999</t>
  </si>
  <si>
    <t>SO-50112</t>
  </si>
  <si>
    <t>SO-50438</t>
  </si>
  <si>
    <t>SO-50400</t>
  </si>
  <si>
    <t>SO-50141</t>
  </si>
  <si>
    <t>SO-51093</t>
  </si>
  <si>
    <t>SO-50048</t>
  </si>
  <si>
    <t>SO-50427</t>
  </si>
  <si>
    <t>SO-51094</t>
  </si>
  <si>
    <t>SO-50563</t>
  </si>
  <si>
    <t>SO-50450</t>
  </si>
  <si>
    <t>SO-50420</t>
  </si>
  <si>
    <t>SO-50069</t>
  </si>
  <si>
    <t>SO-50653</t>
  </si>
  <si>
    <t>SO-50942</t>
  </si>
  <si>
    <t>SO-50246</t>
  </si>
  <si>
    <t>SO-50003</t>
  </si>
  <si>
    <t>SO-50695</t>
  </si>
  <si>
    <t>SO-50922</t>
  </si>
  <si>
    <t>SO-50687</t>
  </si>
  <si>
    <t>SO-50973</t>
  </si>
  <si>
    <t>SO-50885</t>
  </si>
  <si>
    <t>SO-51002</t>
  </si>
  <si>
    <t>SO-50669</t>
  </si>
  <si>
    <t>SO-50898</t>
  </si>
  <si>
    <t>SO-50545</t>
  </si>
  <si>
    <t>SO-50013</t>
  </si>
  <si>
    <t>SO-50345</t>
  </si>
  <si>
    <t>SO-50245</t>
  </si>
  <si>
    <t>SO-50721</t>
  </si>
  <si>
    <t>SO-50371</t>
  </si>
  <si>
    <t>SO-50807</t>
  </si>
  <si>
    <t>SO-50481</t>
  </si>
  <si>
    <t>SO-50501</t>
  </si>
  <si>
    <t>SO-50650</t>
  </si>
  <si>
    <t>SO-51076</t>
  </si>
  <si>
    <t>SO-51037</t>
  </si>
  <si>
    <t>SO-50552</t>
  </si>
  <si>
    <t>SO-50234</t>
  </si>
  <si>
    <t>SO-50646</t>
  </si>
  <si>
    <t>SO-50530</t>
  </si>
  <si>
    <t>SO-50355</t>
  </si>
  <si>
    <t>SO-50138</t>
  </si>
  <si>
    <t>SO-50713</t>
  </si>
  <si>
    <t>SO-50775</t>
  </si>
  <si>
    <t>SO-50025</t>
  </si>
  <si>
    <t>SO-50516</t>
  </si>
  <si>
    <t>SO-50753</t>
  </si>
  <si>
    <t>SO-50925</t>
  </si>
  <si>
    <t>SO-50096</t>
  </si>
  <si>
    <t>SO-50802</t>
  </si>
  <si>
    <t>SO-51084</t>
  </si>
  <si>
    <t>SO-50411</t>
  </si>
  <si>
    <t>SO-50340</t>
  </si>
  <si>
    <t>SO-50441</t>
  </si>
  <si>
    <t>SO-50756</t>
  </si>
  <si>
    <t>SO-50494</t>
  </si>
  <si>
    <t>SO-50077</t>
  </si>
  <si>
    <t>SO-50386</t>
  </si>
  <si>
    <t>SO-50592</t>
  </si>
  <si>
    <t>SO-51053</t>
  </si>
  <si>
    <t>SO-50005</t>
  </si>
  <si>
    <t>SO-50878</t>
  </si>
  <si>
    <t>SO-50093</t>
  </si>
  <si>
    <t>SO-50843</t>
  </si>
  <si>
    <t>SO-50691</t>
  </si>
  <si>
    <t>SO-50906</t>
  </si>
  <si>
    <t>SO-51074</t>
  </si>
  <si>
    <t>SO-50666</t>
  </si>
  <si>
    <t>SO-50117</t>
  </si>
  <si>
    <t>SO-50405</t>
  </si>
  <si>
    <t>SO-50757</t>
  </si>
  <si>
    <t>SO-50313</t>
  </si>
  <si>
    <t>SO-51048</t>
  </si>
  <si>
    <t>SO-50497</t>
  </si>
  <si>
    <t>SO-50668</t>
  </si>
  <si>
    <t>SO-50677</t>
  </si>
  <si>
    <t>SO-50913</t>
  </si>
  <si>
    <t>SO-50565</t>
  </si>
  <si>
    <t>SO-50661</t>
  </si>
  <si>
    <t>SO-50099</t>
  </si>
  <si>
    <t>SO-50573</t>
  </si>
  <si>
    <t>SO-50798</t>
  </si>
  <si>
    <t>SO-50519</t>
  </si>
  <si>
    <t>SO-50260</t>
  </si>
  <si>
    <t>SO-50865</t>
  </si>
  <si>
    <t>SO-50783</t>
  </si>
  <si>
    <t>SO-50618</t>
  </si>
  <si>
    <t>SO-50848</t>
  </si>
  <si>
    <t>SO-50169</t>
  </si>
  <si>
    <t>SO-50265</t>
  </si>
  <si>
    <t>SO-50376</t>
  </si>
  <si>
    <t>SO-50594</t>
  </si>
  <si>
    <t>SO-50215</t>
  </si>
  <si>
    <t>SO-50946</t>
  </si>
  <si>
    <t>SO-50295</t>
  </si>
  <si>
    <t>SO-50769</t>
  </si>
  <si>
    <t>SO-50269</t>
  </si>
  <si>
    <t>SO-50263</t>
  </si>
  <si>
    <t>SO-50749</t>
  </si>
  <si>
    <t>SO-50643</t>
  </si>
  <si>
    <t>SO-50348</t>
  </si>
  <si>
    <t>SO-50330</t>
  </si>
  <si>
    <t>SO-51017</t>
  </si>
  <si>
    <t>SO-50203</t>
  </si>
  <si>
    <t>SO-51027</t>
  </si>
  <si>
    <t>SO-50658</t>
  </si>
  <si>
    <t>SO-50917</t>
  </si>
  <si>
    <t>SO-50283</t>
  </si>
  <si>
    <t>SO-50252</t>
  </si>
  <si>
    <t>SO-50153</t>
  </si>
  <si>
    <t>SO-50644</t>
  </si>
  <si>
    <t>SO-50107</t>
  </si>
  <si>
    <t>SO-50190</t>
  </si>
  <si>
    <t>SO-50213</t>
  </si>
  <si>
    <t>SO-50995</t>
  </si>
  <si>
    <t>SO-50241</t>
  </si>
  <si>
    <t>SO-50932</t>
  </si>
  <si>
    <t>SO-50059</t>
  </si>
  <si>
    <t>SO-50797</t>
  </si>
  <si>
    <t>SO-50014</t>
  </si>
  <si>
    <t>SO-50811</t>
  </si>
  <si>
    <t>SO-50428</t>
  </si>
  <si>
    <t>SO-50275</t>
  </si>
  <si>
    <t>SO-50974</t>
  </si>
  <si>
    <t>SO-50143</t>
  </si>
  <si>
    <t>SO-50826</t>
  </si>
  <si>
    <t>SO-50046</t>
  </si>
  <si>
    <t>SO-50832</t>
  </si>
  <si>
    <t>SO-50584</t>
  </si>
  <si>
    <t>SO-50150</t>
  </si>
  <si>
    <t>SO-50439</t>
  </si>
  <si>
    <t>SO-50918</t>
  </si>
  <si>
    <t>SO-50795</t>
  </si>
  <si>
    <t>SO-50299</t>
  </si>
  <si>
    <t>SO-50557</t>
  </si>
  <si>
    <t>SO-50943</t>
  </si>
  <si>
    <t>SO-50030</t>
  </si>
  <si>
    <t>SO-50986</t>
  </si>
  <si>
    <t>SO-50512</t>
  </si>
  <si>
    <t>SO-50748</t>
  </si>
  <si>
    <t>SO-50833</t>
  </si>
  <si>
    <t>SO-50845</t>
  </si>
  <si>
    <t>SO-50692</t>
  </si>
  <si>
    <t>SO-50091</t>
  </si>
  <si>
    <t>SO-50067</t>
  </si>
  <si>
    <t>SO-50412</t>
  </si>
  <si>
    <t>SO-50326</t>
  </si>
  <si>
    <t>SO-50220</t>
  </si>
  <si>
    <t>SO-50217</t>
  </si>
  <si>
    <t>SO-50024</t>
  </si>
  <si>
    <t>SO-50609</t>
  </si>
  <si>
    <t>SO-50397</t>
  </si>
  <si>
    <t>SO-51064</t>
  </si>
  <si>
    <t>SO-51058</t>
  </si>
  <si>
    <t>SO-50698</t>
  </si>
  <si>
    <t>SO-51085</t>
  </si>
  <si>
    <t>SO-50823</t>
  </si>
  <si>
    <t>SO-50706</t>
  </si>
  <si>
    <t>SO-50665</t>
  </si>
  <si>
    <t>SO-50933</t>
  </si>
  <si>
    <t>SO-50127</t>
  </si>
  <si>
    <t>SO-50539</t>
  </si>
  <si>
    <t>SO-51057</t>
  </si>
  <si>
    <t>SO-50770</t>
  </si>
  <si>
    <t>SO-50551</t>
  </si>
  <si>
    <t>SO-50607</t>
  </si>
  <si>
    <t>SO-50642</t>
  </si>
  <si>
    <t>SO-50426</t>
  </si>
  <si>
    <t>SO-50375</t>
  </si>
  <si>
    <t>SO-50267</t>
  </si>
  <si>
    <t>SO-50144</t>
  </si>
  <si>
    <t>SO-51061</t>
  </si>
  <si>
    <t>SO-51031</t>
  </si>
  <si>
    <t>SO-50108</t>
  </si>
  <si>
    <t>SO-50122</t>
  </si>
  <si>
    <t>SO-50193</t>
  </si>
  <si>
    <t>SO-50084</t>
  </si>
  <si>
    <t>SO-50920</t>
  </si>
  <si>
    <t>SO-50734</t>
  </si>
  <si>
    <t>SO-50087</t>
  </si>
  <si>
    <t>SO-50086</t>
  </si>
  <si>
    <t>SO-50570</t>
  </si>
  <si>
    <t>SO-50522</t>
  </si>
  <si>
    <t>SO-51047</t>
  </si>
  <si>
    <t>SO-51044</t>
  </si>
  <si>
    <t>SO-50244</t>
  </si>
  <si>
    <t>SO-50740</t>
  </si>
  <si>
    <t>SO-50113</t>
  </si>
  <si>
    <t>SO-50449</t>
  </si>
  <si>
    <t>SO-50347</t>
  </si>
  <si>
    <t>SO-50779</t>
  </si>
  <si>
    <t>SO-50055</t>
  </si>
  <si>
    <t>SO-50897</t>
  </si>
  <si>
    <t>SO-50789</t>
  </si>
  <si>
    <t>SO-50223</t>
  </si>
  <si>
    <t>SO-50318</t>
  </si>
  <si>
    <t>SO-50546</t>
  </si>
  <si>
    <t>SO-50682</t>
  </si>
  <si>
    <t>SO-51083</t>
  </si>
  <si>
    <t>SO-50958</t>
  </si>
  <si>
    <t>SO-51079</t>
  </si>
  <si>
    <t>SO-50792</t>
  </si>
  <si>
    <t>SO-50307</t>
  </si>
  <si>
    <t>SO-50803</t>
  </si>
  <si>
    <t>SO-50080</t>
  </si>
  <si>
    <t>SO-50611</t>
  </si>
  <si>
    <t>SO-50115</t>
  </si>
  <si>
    <t>SO-50991</t>
  </si>
  <si>
    <t>SO-50992</t>
  </si>
  <si>
    <t>SO-51070</t>
  </si>
  <si>
    <t>SO-50815</t>
  </si>
  <si>
    <t>SO-50196</t>
  </si>
  <si>
    <t>SO-50261</t>
  </si>
  <si>
    <t>SO-50314</t>
  </si>
  <si>
    <t>SO-50105</t>
  </si>
  <si>
    <t>SO-50238</t>
  </si>
  <si>
    <t>SO-50033</t>
  </si>
  <si>
    <t>SO-50452</t>
  </si>
  <si>
    <t>SO-50595</t>
  </si>
  <si>
    <t>SO-50049</t>
  </si>
  <si>
    <t>SO-50828</t>
  </si>
  <si>
    <t>SO-50582</t>
  </si>
  <si>
    <t>SO-50979</t>
  </si>
  <si>
    <t>SO-50202</t>
  </si>
  <si>
    <t>SO-50975</t>
  </si>
  <si>
    <t>SO-50148</t>
  </si>
  <si>
    <t>SO-50525</t>
  </si>
  <si>
    <t>SO-50593</t>
  </si>
  <si>
    <t>SO-51065</t>
  </si>
  <si>
    <t>SO-50475</t>
  </si>
  <si>
    <t>SO-51024</t>
  </si>
  <si>
    <t>SO-50417</t>
  </si>
  <si>
    <t>SO-50883</t>
  </si>
  <si>
    <t>SO-50745</t>
  </si>
  <si>
    <t>SO-51040</t>
  </si>
  <si>
    <t>SO-50374</t>
  </si>
  <si>
    <t>SO-51016</t>
  </si>
  <si>
    <t>SO-50016</t>
  </si>
  <si>
    <t>SO-50304</t>
  </si>
  <si>
    <t>SO-50777</t>
  </si>
  <si>
    <t>SO-50549</t>
  </si>
  <si>
    <t>SO-50293</t>
  </si>
  <si>
    <t>SO-50674</t>
  </si>
  <si>
    <t>SO-50954</t>
  </si>
  <si>
    <t>SO-50381</t>
  </si>
  <si>
    <t>SO-50232</t>
  </si>
  <si>
    <t>SO-51012</t>
  </si>
  <si>
    <t>SO-50693</t>
  </si>
  <si>
    <t>SO-50325</t>
  </si>
  <si>
    <t>SO-50114</t>
  </si>
  <si>
    <t>SO-50527</t>
  </si>
  <si>
    <t>SO-50722</t>
  </si>
  <si>
    <t>SO-50085</t>
  </si>
  <si>
    <t>SO-50132</t>
  </si>
  <si>
    <t>SO-50672</t>
  </si>
  <si>
    <t>SO-50490</t>
  </si>
  <si>
    <t>SO-50388</t>
  </si>
  <si>
    <t>SO-50648</t>
  </si>
  <si>
    <t>SO-50482</t>
  </si>
  <si>
    <t>SO-50694</t>
  </si>
  <si>
    <t>SO-50566</t>
  </si>
  <si>
    <t>SO-51042</t>
  </si>
  <si>
    <t>SO-50276</t>
  </si>
  <si>
    <t>SO-50736</t>
  </si>
  <si>
    <t>SO-50239</t>
  </si>
  <si>
    <t>SO-50663</t>
  </si>
  <si>
    <t>SO-50111</t>
  </si>
  <si>
    <t>SO-50870</t>
  </si>
  <si>
    <t>SO-50814</t>
  </si>
  <si>
    <t>SO-50365</t>
  </si>
  <si>
    <t>SO-50026</t>
  </si>
  <si>
    <t>SO-50051</t>
  </si>
  <si>
    <t>SO-51021</t>
  </si>
  <si>
    <t>SO-50425</t>
  </si>
  <si>
    <t>SO-50281</t>
  </si>
  <si>
    <t>SO-50684</t>
  </si>
  <si>
    <t>SO-50733</t>
  </si>
  <si>
    <t>SO-50065</t>
  </si>
  <si>
    <t>SO-50641</t>
  </si>
  <si>
    <t>SO-50183</t>
  </si>
  <si>
    <t>SO-50201</t>
  </si>
  <si>
    <t>SO-50019</t>
  </si>
  <si>
    <t>SO-50966</t>
  </si>
  <si>
    <t>SO-50300</t>
  </si>
  <si>
    <t>SO-50959</t>
  </si>
  <si>
    <t>SO-50052</t>
  </si>
  <si>
    <t>SO-50237</t>
  </si>
  <si>
    <t>SO-50028</t>
  </si>
  <si>
    <t>SO-50799</t>
  </si>
  <si>
    <t>SO-50899</t>
  </si>
  <si>
    <t>SO-50257</t>
  </si>
  <si>
    <t>SO-50830</t>
  </si>
  <si>
    <t>SO-50871</t>
  </si>
  <si>
    <t>SO-50443</t>
  </si>
  <si>
    <t>SO-50764</t>
  </si>
  <si>
    <t>SO-50796</t>
  </si>
  <si>
    <t>SO-50637</t>
  </si>
  <si>
    <t>SO-50574</t>
  </si>
  <si>
    <t>SO-50673</t>
  </si>
  <si>
    <t>SO-50533</t>
  </si>
  <si>
    <t>SO-50271</t>
  </si>
  <si>
    <t>SO-50296</t>
  </si>
  <si>
    <t>SO-50308</t>
  </si>
  <si>
    <t>SO-50996</t>
  </si>
  <si>
    <t>SO-50623</t>
  </si>
  <si>
    <t>SO-50699</t>
  </si>
  <si>
    <t>SO-50316</t>
  </si>
  <si>
    <t>SO-50498</t>
  </si>
  <si>
    <t>SO-50468</t>
  </si>
  <si>
    <t>SO-50496</t>
  </si>
  <si>
    <t>SO-50703</t>
  </si>
  <si>
    <t>SO-50649</t>
  </si>
  <si>
    <t>SO-50021</t>
  </si>
  <si>
    <t>SO-50760</t>
  </si>
  <si>
    <t>SO-50218</t>
  </si>
  <si>
    <t>SO-50446</t>
  </si>
  <si>
    <t>SO-50160</t>
  </si>
  <si>
    <t>SO-50965</t>
  </si>
  <si>
    <t>SO-50558</t>
  </si>
  <si>
    <t>SO-50436</t>
  </si>
  <si>
    <t>SO-50406</t>
  </si>
  <si>
    <t>SO-50367</t>
  </si>
  <si>
    <t>SO-50550</t>
  </si>
  <si>
    <t>SO-50868</t>
  </si>
  <si>
    <t>SO-51003</t>
  </si>
  <si>
    <t>SO-50610</t>
  </si>
  <si>
    <t>SO-50177</t>
  </si>
  <si>
    <t>SO-51022</t>
  </si>
  <si>
    <t>SO-50486</t>
  </si>
  <si>
    <t>SO-50882</t>
  </si>
  <si>
    <t>SO-51102</t>
  </si>
  <si>
    <t>SO-50079</t>
  </si>
  <si>
    <t>SO-50100</t>
  </si>
  <si>
    <t>SO-50324</t>
  </si>
  <si>
    <t>SO-50259</t>
  </si>
  <si>
    <t>SO-50625</t>
  </si>
  <si>
    <t>SO-50562</t>
  </si>
  <si>
    <t>SO-51072</t>
  </si>
  <si>
    <t>SO-50402</t>
  </si>
  <si>
    <t>SO-51030</t>
  </si>
  <si>
    <t>SO-51007</t>
  </si>
  <si>
    <t>SO-50221</t>
  </si>
  <si>
    <t>SO-50447</t>
  </si>
  <si>
    <t>SO-50188</t>
  </si>
  <si>
    <t>SO-50458</t>
  </si>
  <si>
    <t>SO-50608</t>
  </si>
  <si>
    <t>SO-50206</t>
  </si>
  <si>
    <t>SO-50470</t>
  </si>
  <si>
    <t>SO-50854</t>
  </si>
  <si>
    <t>SO-51089</t>
  </si>
  <si>
    <t>SO-50850</t>
  </si>
  <si>
    <t>SO-50794</t>
  </si>
  <si>
    <t>SO-50818</t>
  </si>
  <si>
    <t>SO-50366</t>
  </si>
  <si>
    <t>SO-50630</t>
  </si>
  <si>
    <t>SO-50902</t>
  </si>
  <si>
    <t>SO-50793</t>
  </si>
  <si>
    <t>SO-50759</t>
  </si>
  <si>
    <t>SO-50638</t>
  </si>
  <si>
    <t>SO-50588</t>
  </si>
  <si>
    <t>SO-50230</t>
  </si>
  <si>
    <t>SO-50451</t>
  </si>
  <si>
    <t>SO-51020</t>
  </si>
  <si>
    <t>SO-50657</t>
  </si>
  <si>
    <t>SO-50513</t>
  </si>
  <si>
    <t>SO-50778</t>
  </si>
  <si>
    <t>SO-50369</t>
  </si>
  <si>
    <t>SO-50714</t>
  </si>
  <si>
    <t>SO-50287</t>
  </si>
  <si>
    <t>SO-50962</t>
  </si>
  <si>
    <t>SO-50063</t>
  </si>
  <si>
    <t>SO-50092</t>
  </si>
  <si>
    <t>SO-50082</t>
  </si>
  <si>
    <t>SO-50467</t>
  </si>
  <si>
    <t>SO-50104</t>
  </si>
  <si>
    <t>SO-50152</t>
  </si>
  <si>
    <t>SO-51041</t>
  </si>
  <si>
    <t>SO-50056</t>
  </si>
  <si>
    <t>SO-50073</t>
  </si>
  <si>
    <t>SO-50368</t>
  </si>
  <si>
    <t>SO-50110</t>
  </si>
  <si>
    <t>SO-50075</t>
  </si>
  <si>
    <t>SO-50689</t>
  </si>
  <si>
    <t>SO-51088</t>
  </si>
  <si>
    <t>SO-50394</t>
  </si>
  <si>
    <t>SO-50531</t>
  </si>
  <si>
    <t>SO-50317</t>
  </si>
  <si>
    <t>SO-50302</t>
  </si>
  <si>
    <t>SO-50928</t>
  </si>
  <si>
    <t>SO-50772</t>
  </si>
  <si>
    <t>SO-50908</t>
  </si>
  <si>
    <t>SO-50688</t>
  </si>
  <si>
    <t>SO-50744</t>
  </si>
  <si>
    <t>SO-50171</t>
  </si>
  <si>
    <t>SO-50088</t>
  </si>
  <si>
    <t>SO-50384</t>
  </si>
  <si>
    <t>SO-50483</t>
  </si>
  <si>
    <t>SO-50567</t>
  </si>
  <si>
    <t>SO-50700</t>
  </si>
  <si>
    <t>SO-50378</t>
  </si>
  <si>
    <t>SO-50910</t>
  </si>
  <si>
    <t>SO-50350</t>
  </si>
  <si>
    <t>SO-50790</t>
  </si>
  <si>
    <t>SO-50382</t>
  </si>
  <si>
    <t>SO-50806</t>
  </si>
  <si>
    <t>SO-50327</t>
  </si>
  <si>
    <t>SO-50620</t>
  </si>
  <si>
    <t>SO-50224</t>
  </si>
  <si>
    <t>SO-50349</t>
  </si>
  <si>
    <t>SO-50891</t>
  </si>
  <si>
    <t>SO-50589</t>
  </si>
  <si>
    <t>SO-50471</t>
  </si>
  <si>
    <t>SO-50208</t>
  </si>
  <si>
    <t>SO-50119</t>
  </si>
  <si>
    <t>SO-51015</t>
  </si>
  <si>
    <t>SO-50949</t>
  </si>
  <si>
    <t>SO-50009</t>
  </si>
  <si>
    <t>SO-50039</t>
  </si>
  <si>
    <t>SO-50253</t>
  </si>
  <si>
    <t>SO-50785</t>
  </si>
  <si>
    <t>SO-50106</t>
  </si>
  <si>
    <t>SO-50856</t>
  </si>
  <si>
    <t>SO-50747</t>
  </si>
  <si>
    <t>SO-50499</t>
  </si>
  <si>
    <t>SO-50228</t>
  </si>
  <si>
    <t>SO-50724</t>
  </si>
  <si>
    <t>SO-50166</t>
  </si>
  <si>
    <t>SO-50935</t>
  </si>
  <si>
    <t>SO-51049</t>
  </si>
  <si>
    <t>SO-50142</t>
  </si>
  <si>
    <t>SO-50727</t>
  </si>
  <si>
    <t>SO-50282</t>
  </si>
  <si>
    <t>SO-50007</t>
  </si>
  <si>
    <t>SO-50510</t>
  </si>
  <si>
    <t>SO-50331</t>
  </si>
  <si>
    <t>SO-50963</t>
  </si>
  <si>
    <t>SO-51078</t>
  </si>
  <si>
    <t>SO-50800</t>
  </si>
  <si>
    <t>SO-50506</t>
  </si>
  <si>
    <t>SO-50502</t>
  </si>
  <si>
    <t>SO-50939</t>
  </si>
  <si>
    <t>SO-50493</t>
  </si>
  <si>
    <t>SO-50804</t>
  </si>
  <si>
    <t>SO-50001</t>
  </si>
  <si>
    <t>SO-50154</t>
  </si>
  <si>
    <t>SO-50940</t>
  </si>
  <si>
    <t>SO-50359</t>
  </si>
  <si>
    <t>SO-50258</t>
  </si>
  <si>
    <t>SO-51035</t>
  </si>
  <si>
    <t>SO-50585</t>
  </si>
  <si>
    <t>SO-51009</t>
  </si>
  <si>
    <t>SO-50651</t>
  </si>
  <si>
    <t>SO-51062</t>
  </si>
  <si>
    <t>SO-50011</t>
  </si>
  <si>
    <t>SO-50605</t>
  </si>
  <si>
    <t>SO-50537</t>
  </si>
  <si>
    <t>SO-50045</t>
  </si>
  <si>
    <t>SO-50894</t>
  </si>
  <si>
    <t>SO-50835</t>
  </si>
  <si>
    <t>SO-50631</t>
  </si>
  <si>
    <t>SO-50242</t>
  </si>
  <si>
    <t>SO-50786</t>
  </si>
  <si>
    <t>SO-51091</t>
  </si>
  <si>
    <t>SO-51080</t>
  </si>
  <si>
    <t>SO-50532</t>
  </si>
  <si>
    <t>SO-50130</t>
  </si>
  <si>
    <t>SO-50808</t>
  </si>
  <si>
    <t>SO-50233</t>
  </si>
  <si>
    <t>SO-50989</t>
  </si>
  <si>
    <t>CD-MER</t>
  </si>
  <si>
    <t>CD-LEO</t>
  </si>
  <si>
    <t>CD-CAN</t>
  </si>
  <si>
    <t>CD-TOL</t>
  </si>
  <si>
    <t>CD-TIJ</t>
  </si>
  <si>
    <t>CD-CHI</t>
  </si>
  <si>
    <t>CD-MOR</t>
  </si>
  <si>
    <t>CD-QRO</t>
  </si>
  <si>
    <t>CD-CDMX</t>
  </si>
  <si>
    <t>CD-MTY</t>
  </si>
  <si>
    <t>CD-PUE</t>
  </si>
  <si>
    <t>CD-HER</t>
  </si>
  <si>
    <t>CD-GDL</t>
  </si>
  <si>
    <t>CD-VER</t>
  </si>
  <si>
    <t>CD-SAL</t>
  </si>
  <si>
    <t>BOT-1011</t>
  </si>
  <si>
    <t>PRO-1000</t>
  </si>
  <si>
    <t>PRO-1009</t>
  </si>
  <si>
    <t>ABA-1016</t>
  </si>
  <si>
    <t>BOT-1017</t>
  </si>
  <si>
    <t>BEB-1017</t>
  </si>
  <si>
    <t>ABA-1005</t>
  </si>
  <si>
    <t>PRO-1008</t>
  </si>
  <si>
    <t>ABA-1017</t>
  </si>
  <si>
    <t>BOT-1014</t>
  </si>
  <si>
    <t>XXX-8415</t>
  </si>
  <si>
    <t>ABA-1018</t>
  </si>
  <si>
    <t>ABA-1001</t>
  </si>
  <si>
    <t>XXX-8945</t>
  </si>
  <si>
    <t>XXX-8318</t>
  </si>
  <si>
    <t>XXX-8702</t>
  </si>
  <si>
    <t>XXX-8720</t>
  </si>
  <si>
    <t>XXX-8314</t>
  </si>
  <si>
    <t>XXX-8788</t>
  </si>
  <si>
    <t>XXX-8916</t>
  </si>
  <si>
    <t>XXX-8514</t>
  </si>
  <si>
    <t>XXX-8163</t>
  </si>
  <si>
    <t>XXX-8706</t>
  </si>
  <si>
    <t>Azucar 2Kg</t>
  </si>
  <si>
    <t>Harina 2Kg</t>
  </si>
  <si>
    <t>Papas Fritas 45G</t>
  </si>
  <si>
    <t>Refresco Toronja 355Ml</t>
  </si>
  <si>
    <t>Crema 900Ml</t>
  </si>
  <si>
    <t>Cacahuates 120G</t>
  </si>
  <si>
    <t>Te Helado 1L</t>
  </si>
  <si>
    <t>Frituras Maiz 170G</t>
  </si>
  <si>
    <t>Yogurt Griego 1000G</t>
  </si>
  <si>
    <t>Azucar 1Kg</t>
  </si>
  <si>
    <t>Edicion Limitada 6Pz</t>
  </si>
  <si>
    <t>Botana Mixta 350G</t>
  </si>
  <si>
    <t>Yogurt Bebible 900Ml</t>
  </si>
  <si>
    <t>Cacahuates  60G</t>
  </si>
  <si>
    <t>Arroz 1Kg</t>
  </si>
  <si>
    <t>Combo Fiesta 10Pz</t>
  </si>
  <si>
    <t>Crema 450Ml</t>
  </si>
  <si>
    <t>Botana Mixta 200G</t>
  </si>
  <si>
    <t>Cacahuates 60G</t>
  </si>
  <si>
    <t>Avena 200G</t>
  </si>
  <si>
    <t>Yogurt Bebible 220Ml</t>
  </si>
  <si>
    <t>Bebida Deportiva 355Ml</t>
  </si>
  <si>
    <t>Queso  Fresco  400G</t>
  </si>
  <si>
    <t>Queso Fresco 500G</t>
  </si>
  <si>
    <t>Frituras Maiz 50G</t>
  </si>
  <si>
    <t>Cereal 500G</t>
  </si>
  <si>
    <t>Totopos 300G</t>
  </si>
  <si>
    <t>Crema 200Ml</t>
  </si>
  <si>
    <t>Chicharron 120G</t>
  </si>
  <si>
    <t>Papas Fritas 90G</t>
  </si>
  <si>
    <t>Cereal 300G</t>
  </si>
  <si>
    <t>Chicharron  80G</t>
  </si>
  <si>
    <t>Agua Natural 1.5L</t>
  </si>
  <si>
    <t>Cacahuates 210G</t>
  </si>
  <si>
    <t>Yogurt Griego 500G</t>
  </si>
  <si>
    <t>Refresco Toronja 500Ml</t>
  </si>
  <si>
    <t>Cereal 200G</t>
  </si>
  <si>
    <t>Totopos 500G</t>
  </si>
  <si>
    <t>Bebida Deportiva 500Ml</t>
  </si>
  <si>
    <t>Avena 800G</t>
  </si>
  <si>
    <t>Pack Promocional 12Pz</t>
  </si>
  <si>
    <t>Chicharron 40G</t>
  </si>
  <si>
    <t>Avena 400G</t>
  </si>
  <si>
    <t>Totopos 150G</t>
  </si>
  <si>
    <t>Yogurt Bebible 250Ml</t>
  </si>
  <si>
    <t>Agua Natural 0.5L</t>
  </si>
  <si>
    <t>Pack Promocional 8Pz</t>
  </si>
  <si>
    <t>Botana Mixta 100G</t>
  </si>
  <si>
    <t>Harina 1Kg</t>
  </si>
  <si>
    <t>Edicion Limitada 12Pz</t>
  </si>
  <si>
    <t>Pack  Promocional  12Pz</t>
  </si>
  <si>
    <t>DC</t>
  </si>
  <si>
    <t>Current_Inventory</t>
  </si>
  <si>
    <t>Avg_Daily_Demand</t>
  </si>
  <si>
    <t>Demand_StdDev</t>
  </si>
  <si>
    <t>Lead_Time_Days</t>
  </si>
  <si>
    <t>Lead_Time_StdDev</t>
  </si>
  <si>
    <t>Inv_Quality</t>
  </si>
  <si>
    <t>OK</t>
  </si>
  <si>
    <t>ATIPICO</t>
  </si>
  <si>
    <t>NEGATIVO</t>
  </si>
  <si>
    <t>Origin</t>
  </si>
  <si>
    <t>Dispatch_Date</t>
  </si>
  <si>
    <t>SAP_Status</t>
  </si>
  <si>
    <t>Qty_Quality</t>
  </si>
  <si>
    <t>PL-SUR</t>
  </si>
  <si>
    <t>31/05/2026</t>
  </si>
  <si>
    <t>In Transit</t>
  </si>
  <si>
    <t>02/06/2026</t>
  </si>
  <si>
    <t>Delivered</t>
  </si>
  <si>
    <t>20/05/2026</t>
  </si>
  <si>
    <t>PL-CEN</t>
  </si>
  <si>
    <t>03/06/2026</t>
  </si>
  <si>
    <t>PL-NTE</t>
  </si>
  <si>
    <t>21/05/2026</t>
  </si>
  <si>
    <t>01/06/2026</t>
  </si>
  <si>
    <t>28/05/2026</t>
  </si>
  <si>
    <t>30/05/2026</t>
  </si>
  <si>
    <t>23/05/2026</t>
  </si>
  <si>
    <t>18/05/2026</t>
  </si>
  <si>
    <t>24/05/2026</t>
  </si>
  <si>
    <t>INVALIDO</t>
  </si>
  <si>
    <t>27/05/2026</t>
  </si>
  <si>
    <t>17/05/2026</t>
  </si>
  <si>
    <t>26/05/2026</t>
  </si>
  <si>
    <t>16/05/2026</t>
  </si>
  <si>
    <t>19/05/2026</t>
  </si>
  <si>
    <t>25/05/2026</t>
  </si>
  <si>
    <t>22/05/2026</t>
  </si>
  <si>
    <t>SO-50791</t>
  </si>
  <si>
    <t>SO-50250</t>
  </si>
  <si>
    <t>SO-50071</t>
  </si>
  <si>
    <t>SO-51068</t>
  </si>
  <si>
    <t>SO-50176</t>
  </si>
  <si>
    <t>SO-50708</t>
  </si>
  <si>
    <t>SO-50010</t>
  </si>
  <si>
    <t>SO-50020</t>
  </si>
  <si>
    <t>SO-50577</t>
  </si>
  <si>
    <t>SO-50423</t>
  </si>
  <si>
    <t>SO-50292</t>
  </si>
  <si>
    <t>SO-50655</t>
  </si>
  <si>
    <t>SO-50227</t>
  </si>
  <si>
    <t>SO-50994</t>
  </si>
  <si>
    <t>SO-50617</t>
  </si>
  <si>
    <t>SO-51067</t>
  </si>
  <si>
    <t>SO-50524</t>
  </si>
  <si>
    <t>SO-50383</t>
  </si>
  <si>
    <t>SO-50704</t>
  </si>
  <si>
    <t>SO-50725</t>
  </si>
  <si>
    <t>SO-50094</t>
  </si>
  <si>
    <t>SO-50613</t>
  </si>
  <si>
    <t>SO-50461</t>
  </si>
  <si>
    <t>SO-50696</t>
  </si>
  <si>
    <t>SO-50248</t>
  </si>
  <si>
    <t>SO-50743</t>
  </si>
  <si>
    <t>SO-50678</t>
  </si>
  <si>
    <t>SO-50278</t>
  </si>
  <si>
    <t>SO-50581</t>
  </si>
  <si>
    <t>SO-50454</t>
  </si>
  <si>
    <t>SO-50185</t>
  </si>
  <si>
    <t>SO-50761</t>
  </si>
  <si>
    <t>SO-50290</t>
  </si>
  <si>
    <t>XXX-8909</t>
  </si>
  <si>
    <t>SO-50180</t>
  </si>
  <si>
    <t>SO-50064</t>
  </si>
  <si>
    <t>SO-50097</t>
  </si>
  <si>
    <t>SO-50730</t>
  </si>
  <si>
    <t>SO-50915</t>
  </si>
  <si>
    <t>SO-50434</t>
  </si>
  <si>
    <t>SO-50575</t>
  </si>
  <si>
    <t>SO-50998</t>
  </si>
  <si>
    <t>SO-50070</t>
  </si>
  <si>
    <t>SO-50191</t>
  </si>
  <si>
    <t>SO-50839</t>
  </si>
  <si>
    <t>SO-50967</t>
  </si>
  <si>
    <t>SO-50518</t>
  </si>
  <si>
    <t>SO-50619</t>
  </si>
  <si>
    <t>SO-50235</t>
  </si>
  <si>
    <t>SO-50409</t>
  </si>
  <si>
    <t>SO-50463</t>
  </si>
  <si>
    <t>SO-50601</t>
  </si>
  <si>
    <t>SO-50858</t>
  </si>
  <si>
    <t>SO-51000</t>
  </si>
  <si>
    <t>SO-50157</t>
  </si>
  <si>
    <t>SO-50445</t>
  </si>
  <si>
    <t>SO-50391</t>
  </si>
  <si>
    <t>SO-50964</t>
  </si>
  <si>
    <t>SO-50414</t>
  </si>
  <si>
    <t>SO-50396</t>
  </si>
  <si>
    <t>SO-50628</t>
  </si>
  <si>
    <t>SO-50821</t>
  </si>
  <si>
    <t>SO-50054</t>
  </si>
  <si>
    <t>SO-50621</t>
  </si>
  <si>
    <t>SO-50662</t>
  </si>
  <si>
    <t>SO-50322</t>
  </si>
  <si>
    <t>SO-51095</t>
  </si>
  <si>
    <t>SO-50956</t>
  </si>
  <si>
    <t>SO-50827</t>
  </si>
  <si>
    <t>SO-50728</t>
  </si>
  <si>
    <t>SO-50432</t>
  </si>
  <si>
    <t>SO-50766</t>
  </si>
  <si>
    <t>SO-50360</t>
  </si>
  <si>
    <t>SO-50972</t>
  </si>
  <si>
    <t>SO-50398</t>
  </si>
  <si>
    <t>SO-50652</t>
  </si>
  <si>
    <t>SO-50280</t>
  </si>
  <si>
    <t>SO-50536</t>
  </si>
  <si>
    <t>SO-50872</t>
  </si>
  <si>
    <t>SO-51032</t>
  </si>
  <si>
    <t>SO-50988</t>
  </si>
  <si>
    <t>SO-50788</t>
  </si>
  <si>
    <t>SO-50916</t>
  </si>
  <si>
    <t>SO-50723</t>
  </si>
  <si>
    <t>SO-50542</t>
  </si>
  <si>
    <t>SO-50675</t>
  </si>
  <si>
    <t>SO-50597</t>
  </si>
  <si>
    <t>SO-50540</t>
  </si>
  <si>
    <t>SO-50681</t>
  </si>
  <si>
    <t>SO-51033</t>
  </si>
  <si>
    <t>SO-50938</t>
  </si>
  <si>
    <t>SO-50936</t>
  </si>
  <si>
    <t>SO-51019</t>
  </si>
  <si>
    <t>SO-50473</t>
  </si>
  <si>
    <t>SO-50765</t>
  </si>
  <si>
    <t>SO-50990</t>
  </si>
  <si>
    <t>SO-50485</t>
  </si>
  <si>
    <t>SO-50480</t>
  </si>
  <si>
    <t>SO-50905</t>
  </si>
  <si>
    <t>SO-50492</t>
  </si>
  <si>
    <t>SO-50503</t>
  </si>
  <si>
    <t>SO-50357</t>
  </si>
  <si>
    <t>SO-50961</t>
  </si>
  <si>
    <t>SO-50813</t>
  </si>
  <si>
    <t>SO-50133</t>
  </si>
  <si>
    <t>SO-50886</t>
  </si>
  <si>
    <t>Safety_Stock</t>
  </si>
  <si>
    <t>Reorder_Point</t>
  </si>
  <si>
    <t>In_Transit_Qty</t>
  </si>
  <si>
    <t>Days_Cover</t>
  </si>
  <si>
    <t>Status</t>
  </si>
  <si>
    <t>Match_Status</t>
  </si>
  <si>
    <t>HUERFANO</t>
  </si>
  <si>
    <t>Units_Per_Pallet</t>
  </si>
  <si>
    <t>Pallets_Used</t>
  </si>
  <si>
    <t>Fill_Weight_%</t>
  </si>
  <si>
    <t>Fill_Pallet_%</t>
  </si>
  <si>
    <t>Carga_Flag</t>
  </si>
  <si>
    <t>Eficiencia_%</t>
  </si>
  <si>
    <t>Dias_En_Transito</t>
  </si>
  <si>
    <t>Camiones</t>
  </si>
  <si>
    <t>FEFO_Flag</t>
  </si>
  <si>
    <t>Fantasma_Flag</t>
  </si>
  <si>
    <t>Tipo de Excepción</t>
  </si>
  <si>
    <t>Cantidad</t>
  </si>
  <si>
    <t>Plant</t>
  </si>
  <si>
    <t>Available_Supply</t>
  </si>
  <si>
    <t xml:space="preserve">Demanda_Total_SKU </t>
  </si>
  <si>
    <t>Suministro_SKU</t>
  </si>
  <si>
    <t>Ratio_Cobertura</t>
  </si>
  <si>
    <t xml:space="preserve">Asignacion_Fair_Share </t>
  </si>
  <si>
    <t>Estatus_Suministro</t>
  </si>
  <si>
    <t>Demanda_No_Cubierta</t>
  </si>
  <si>
    <t>Cargas ineficientes</t>
  </si>
  <si>
    <t>FEFO en riesgo</t>
  </si>
  <si>
    <t>Envíos fantasma</t>
  </si>
  <si>
    <t>Órdenes huérfanas</t>
  </si>
  <si>
    <t>Demanda no cubierta (unidades)</t>
  </si>
  <si>
    <t>Row Labels</t>
  </si>
  <si>
    <t>CARGA INEFICIENTE</t>
  </si>
  <si>
    <t>n/a</t>
  </si>
  <si>
    <t>Grand Total</t>
  </si>
  <si>
    <t>Estado de Carga</t>
  </si>
  <si>
    <t>Órdenes</t>
  </si>
  <si>
    <t>FEFO RIESGO</t>
  </si>
  <si>
    <t>Count of FEFO_Flag</t>
  </si>
  <si>
    <t>Cargas Ineficientes</t>
  </si>
  <si>
    <t>FEFO en Riesgo</t>
  </si>
  <si>
    <t>Envíos Fantasma</t>
  </si>
  <si>
    <t>Huérfanas</t>
  </si>
  <si>
    <t>Apex DRP  -  Control Tower de Distribución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</si>
</sst>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8"/>
      <name val="Aptos Narrow"/>
      <family val="2"/>
      <scheme val="minor"/>
    </font>
    <font>
      <b/>
      <sz val="11"/>
      <color theme="1"/>
      <name val="Aptos Narrow"/>
      <family val="2"/>
      <scheme val="minor"/>
    </font>
    <font>
      <sz val="32"/>
      <color theme="1"/>
      <name val="Aptos Narrow"/>
      <family val="2"/>
      <scheme val="minor"/>
    </font>
    <font>
      <sz val="32"/>
      <color theme="1" tint="0.249977111117893"/>
      <name val="Aptos Narrow"/>
      <family val="2"/>
      <scheme val="minor"/>
    </font>
    <font>
      <sz val="14"/>
      <color theme="1"/>
      <name val="Aptos Narrow"/>
      <family val="2"/>
      <scheme val="minor"/>
    </font>
    <font>
      <b/>
      <sz val="14"/>
      <color theme="1"/>
      <name val="Aptos Narrow"/>
      <family val="2"/>
      <scheme val="minor"/>
    </font>
    <font>
      <b/>
      <sz val="20"/>
      <color theme="1"/>
      <name val="Aptos Narrow"/>
      <family val="2"/>
      <scheme val="minor"/>
    </font>
  </fonts>
  <fills count="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2" fillId="0" borderId="0" xfId="0" applyFont="1"/>
    <xf numFmtId="0" fontId="3" fillId="0" borderId="0" xfId="0" applyFont="1"/>
    <xf numFmtId="0" fontId="5" fillId="0" borderId="0" xfId="0" applyFont="1"/>
    <xf numFmtId="0" fontId="0" fillId="0" borderId="0" xfId="0" applyAlignment="1">
      <alignment horizontal="center"/>
    </xf>
    <xf numFmtId="0" fontId="6" fillId="0" borderId="0" xfId="0" applyFont="1" applyAlignment="1">
      <alignment horizontal="center"/>
    </xf>
    <xf numFmtId="0" fontId="4" fillId="2" borderId="0" xfId="0" applyFont="1" applyFill="1" applyAlignment="1">
      <alignment horizontal="center"/>
    </xf>
    <xf numFmtId="0" fontId="4" fillId="3" borderId="0" xfId="0" applyFont="1" applyFill="1" applyAlignment="1">
      <alignment horizontal="center"/>
    </xf>
    <xf numFmtId="0" fontId="4" fillId="4" borderId="0" xfId="0" applyFont="1" applyFill="1" applyAlignment="1">
      <alignment horizontal="center"/>
    </xf>
    <xf numFmtId="0" fontId="7" fillId="0" borderId="0" xfId="0" applyFont="1" applyAlignment="1">
      <alignment horizontal="center"/>
    </xf>
  </cellXfs>
  <cellStyles count="1">
    <cellStyle name="Normal" xfId="0" builtinId="0"/>
  </cellStyles>
  <dxfs count="21">
    <dxf>
      <fill>
        <patternFill>
          <bgColor rgb="FFFF0000"/>
        </patternFill>
      </fill>
    </dxf>
    <dxf>
      <fill>
        <patternFill>
          <bgColor theme="9"/>
        </patternFill>
      </fil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[Apex_DRP_Model.xlsx]Dashboard!PivotTable1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Eficiencia de Carga de Camiones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
        <c:idx val="2"/>
        <c:spPr>
          <a:solidFill>
            <a:schemeClr val="accent6">
              <a:lumMod val="50000"/>
            </a:schemeClr>
          </a:solidFill>
          <a:ln>
            <a:noFill/>
          </a:ln>
          <a:effectLst/>
        </c:spPr>
      </c:pivotFmt>
    </c:pivotFmts>
    <c:plotArea>
      <c:layout/>
      <c:barChart>
        <c:barDir val="col"/>
        <c:grouping val="clustered"/>
        <c:varyColors val="0"/>
        <c:ser>
          <c:idx val="0"/>
          <c:order val="0"/>
          <c:tx>
            <c:strRef>
              <c:f>Dashboard!$B$4</c:f>
              <c:strCache>
                <c:ptCount val="1"/>
                <c:pt idx="0">
                  <c:v>Total</c:v>
                </c:pt>
              </c:strCache>
            </c:strRef>
          </c:tx>
          <c:spPr>
            <a:solidFill>
              <a:schemeClr val="tx1">
                <a:lumMod val="50000"/>
                <a:lumOff val="50000"/>
              </a:schemeClr>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2-E855-4270-9336-04D941D56738}"/>
              </c:ext>
            </c:extLst>
          </c:dPt>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03-E855-4270-9336-04D941D56738}"/>
              </c:ext>
            </c:extLst>
          </c:dPt>
          <c:cat>
            <c:strRef>
              <c:f>Dashboard!$A$5:$A$8</c:f>
              <c:strCache>
                <c:ptCount val="3"/>
                <c:pt idx="0">
                  <c:v>CARGA INEFICIENTE</c:v>
                </c:pt>
                <c:pt idx="1">
                  <c:v>n/a</c:v>
                </c:pt>
                <c:pt idx="2">
                  <c:v>OK</c:v>
                </c:pt>
              </c:strCache>
            </c:strRef>
          </c:cat>
          <c:val>
            <c:numRef>
              <c:f>Dashboard!$B$5:$B$8</c:f>
              <c:numCache>
                <c:formatCode>General</c:formatCode>
                <c:ptCount val="3"/>
                <c:pt idx="0">
                  <c:v>361</c:v>
                </c:pt>
                <c:pt idx="1">
                  <c:v>12</c:v>
                </c:pt>
                <c:pt idx="2">
                  <c:v>732</c:v>
                </c:pt>
              </c:numCache>
            </c:numRef>
          </c:val>
          <c:extLst>
            <c:ext xmlns:c16="http://schemas.microsoft.com/office/drawing/2014/chart" uri="{C3380CC4-5D6E-409C-BE32-E72D297353CC}">
              <c16:uniqueId val="{00000000-E855-4270-9336-04D941D56738}"/>
            </c:ext>
          </c:extLst>
        </c:ser>
        <c:dLbls>
          <c:showLegendKey val="0"/>
          <c:showVal val="0"/>
          <c:showCatName val="0"/>
          <c:showSerName val="0"/>
          <c:showPercent val="0"/>
          <c:showBubbleSize val="0"/>
        </c:dLbls>
        <c:gapWidth val="219"/>
        <c:overlap val="-27"/>
        <c:axId val="68033504"/>
        <c:axId val="68034944"/>
      </c:barChart>
      <c:catAx>
        <c:axId val="6803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34944"/>
        <c:crosses val="autoZero"/>
        <c:auto val="1"/>
        <c:lblAlgn val="ctr"/>
        <c:lblOffset val="100"/>
        <c:noMultiLvlLbl val="0"/>
      </c:catAx>
      <c:valAx>
        <c:axId val="6803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3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Excepciones por Tipo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2060"/>
            </a:solidFill>
            <a:ln>
              <a:noFill/>
            </a:ln>
            <a:effectLst/>
          </c:spPr>
          <c:invertIfNegative val="0"/>
          <c:cat>
            <c:strRef>
              <c:f>Excepciones!$A$2:$A$5</c:f>
              <c:strCache>
                <c:ptCount val="4"/>
                <c:pt idx="0">
                  <c:v>Cargas ineficientes</c:v>
                </c:pt>
                <c:pt idx="1">
                  <c:v>FEFO en riesgo</c:v>
                </c:pt>
                <c:pt idx="2">
                  <c:v>Envíos fantasma</c:v>
                </c:pt>
                <c:pt idx="3">
                  <c:v>Órdenes huérfanas</c:v>
                </c:pt>
              </c:strCache>
            </c:strRef>
          </c:cat>
          <c:val>
            <c:numRef>
              <c:f>Excepciones!$B$2:$B$5</c:f>
              <c:numCache>
                <c:formatCode>General</c:formatCode>
                <c:ptCount val="4"/>
                <c:pt idx="0">
                  <c:v>361</c:v>
                </c:pt>
                <c:pt idx="1">
                  <c:v>45</c:v>
                </c:pt>
                <c:pt idx="2">
                  <c:v>51</c:v>
                </c:pt>
                <c:pt idx="3">
                  <c:v>12</c:v>
                </c:pt>
              </c:numCache>
            </c:numRef>
          </c:val>
          <c:extLst>
            <c:ext xmlns:c16="http://schemas.microsoft.com/office/drawing/2014/chart" uri="{C3380CC4-5D6E-409C-BE32-E72D297353CC}">
              <c16:uniqueId val="{00000000-902A-4B53-923A-63BBBDD97E07}"/>
            </c:ext>
          </c:extLst>
        </c:ser>
        <c:dLbls>
          <c:showLegendKey val="0"/>
          <c:showVal val="0"/>
          <c:showCatName val="0"/>
          <c:showSerName val="0"/>
          <c:showPercent val="0"/>
          <c:showBubbleSize val="0"/>
        </c:dLbls>
        <c:gapWidth val="219"/>
        <c:overlap val="-27"/>
        <c:axId val="795730015"/>
        <c:axId val="795731935"/>
      </c:barChart>
      <c:catAx>
        <c:axId val="79573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731935"/>
        <c:crosses val="autoZero"/>
        <c:auto val="1"/>
        <c:lblAlgn val="ctr"/>
        <c:lblOffset val="100"/>
        <c:noMultiLvlLbl val="0"/>
      </c:catAx>
      <c:valAx>
        <c:axId val="795731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73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640150</xdr:colOff>
      <xdr:row>3</xdr:row>
      <xdr:rowOff>14086</xdr:rowOff>
    </xdr:from>
    <xdr:to>
      <xdr:col>10</xdr:col>
      <xdr:colOff>29739</xdr:colOff>
      <xdr:row>20</xdr:row>
      <xdr:rowOff>94744</xdr:rowOff>
    </xdr:to>
    <xdr:graphicFrame macro="">
      <xdr:nvGraphicFramePr>
        <xdr:cNvPr id="2" name="Chart 1">
          <a:extLst>
            <a:ext uri="{FF2B5EF4-FFF2-40B4-BE49-F238E27FC236}">
              <a16:creationId xmlns:a16="http://schemas.microsoft.com/office/drawing/2014/main" id="{892243E1-CC30-5896-08F1-27E5A59C47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34237</xdr:colOff>
      <xdr:row>5</xdr:row>
      <xdr:rowOff>96860</xdr:rowOff>
    </xdr:from>
    <xdr:to>
      <xdr:col>12</xdr:col>
      <xdr:colOff>571870</xdr:colOff>
      <xdr:row>18</xdr:row>
      <xdr:rowOff>11464</xdr:rowOff>
    </xdr:to>
    <mc:AlternateContent xmlns:mc="http://schemas.openxmlformats.org/markup-compatibility/2006">
      <mc:Choice xmlns:a14="http://schemas.microsoft.com/office/drawing/2010/main" Requires="a14">
        <xdr:graphicFrame macro="">
          <xdr:nvGraphicFramePr>
            <xdr:cNvPr id="3" name="Destination">
              <a:extLst>
                <a:ext uri="{FF2B5EF4-FFF2-40B4-BE49-F238E27FC236}">
                  <a16:creationId xmlns:a16="http://schemas.microsoft.com/office/drawing/2014/main" id="{3D468AA3-E964-ABFC-6BF4-5A016EB07E9D}"/>
                </a:ext>
              </a:extLst>
            </xdr:cNvPr>
            <xdr:cNvGraphicFramePr/>
          </xdr:nvGraphicFramePr>
          <xdr:xfrm>
            <a:off x="0" y="0"/>
            <a:ext cx="0" cy="0"/>
          </xdr:xfrm>
          <a:graphic>
            <a:graphicData uri="http://schemas.microsoft.com/office/drawing/2010/slicer">
              <sle:slicer xmlns:sle="http://schemas.microsoft.com/office/drawing/2010/slicer" name="Destination"/>
            </a:graphicData>
          </a:graphic>
        </xdr:graphicFrame>
      </mc:Choice>
      <mc:Fallback>
        <xdr:sp macro="" textlink="">
          <xdr:nvSpPr>
            <xdr:cNvPr id="0" name=""/>
            <xdr:cNvSpPr>
              <a:spLocks noTextEdit="1"/>
            </xdr:cNvSpPr>
          </xdr:nvSpPr>
          <xdr:spPr>
            <a:xfrm>
              <a:off x="12336142" y="1554918"/>
              <a:ext cx="1827171" cy="2640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628245</xdr:colOff>
      <xdr:row>21</xdr:row>
      <xdr:rowOff>70931</xdr:rowOff>
    </xdr:from>
    <xdr:to>
      <xdr:col>10</xdr:col>
      <xdr:colOff>32651</xdr:colOff>
      <xdr:row>36</xdr:row>
      <xdr:rowOff>115381</xdr:rowOff>
    </xdr:to>
    <xdr:graphicFrame macro="">
      <xdr:nvGraphicFramePr>
        <xdr:cNvPr id="4" name="Chart 3">
          <a:extLst>
            <a:ext uri="{FF2B5EF4-FFF2-40B4-BE49-F238E27FC236}">
              <a16:creationId xmlns:a16="http://schemas.microsoft.com/office/drawing/2014/main" id="{1EA0C10C-7935-40DD-B913-4F2B01DFE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ricio Javier Pérez Fajardo" refreshedDate="46178.006092939817" createdVersion="8" refreshedVersion="8" minRefreshableVersion="3" recordCount="1105" xr:uid="{E5E9586E-845B-4F87-87EF-8911E32782C1}">
  <cacheSource type="worksheet">
    <worksheetSource ref="A1:V1106" sheet="Analisis_Transito"/>
  </cacheSource>
  <cacheFields count="22">
    <cacheField name="Order_ID" numFmtId="0">
      <sharedItems/>
    </cacheField>
    <cacheField name="Origin" numFmtId="0">
      <sharedItems/>
    </cacheField>
    <cacheField name="Destination" numFmtId="0">
      <sharedItems count="15">
        <s v="CD-MER"/>
        <s v="CD-HER"/>
        <s v="CD-SAL"/>
        <s v="CD-VER"/>
        <s v="CD-LEO"/>
        <s v="CD-TOL"/>
        <s v="CD-CAN"/>
        <s v="CD-GDL"/>
        <s v="CD-PUE"/>
        <s v="CD-QRO"/>
        <s v="CD-TIJ"/>
        <s v="CD-CHI"/>
        <s v="CD-MOR"/>
        <s v="CD-CDMX"/>
        <s v="CD-MTY"/>
      </sharedItems>
    </cacheField>
    <cacheField name="Item_Code" numFmtId="0">
      <sharedItems/>
    </cacheField>
    <cacheField name="Quantity" numFmtId="0">
      <sharedItems containsSemiMixedTypes="0" containsString="0" containsNumber="1" containsInteger="1" minValue="-100" maxValue="3779"/>
    </cacheField>
    <cacheField name="Dispatch_Date" numFmtId="14">
      <sharedItems containsSemiMixedTypes="0" containsNonDate="0" containsDate="1" containsString="0" minDate="2026-05-16T00:00:00" maxDate="2026-06-04T00:00:00"/>
    </cacheField>
    <cacheField name="SAP_Status" numFmtId="0">
      <sharedItems/>
    </cacheField>
    <cacheField name="Qty_Quality" numFmtId="0">
      <sharedItems/>
    </cacheField>
    <cacheField name="Weight_kg" numFmtId="0">
      <sharedItems containsSemiMixedTypes="0" containsString="0" containsNumber="1" minValue="0" maxValue="23.39"/>
    </cacheField>
    <cacheField name="Units_Per_Pallet" numFmtId="0">
      <sharedItems containsSemiMixedTypes="0" containsString="0" containsNumber="1" containsInteger="1" minValue="0" maxValue="147"/>
    </cacheField>
    <cacheField name="Shelf_Life_Days" numFmtId="0">
      <sharedItems containsSemiMixedTypes="0" containsString="0" containsNumber="1" containsInteger="1" minValue="0" maxValue="530"/>
    </cacheField>
    <cacheField name="Match_Status" numFmtId="0">
      <sharedItems/>
    </cacheField>
    <cacheField name="Dias_En_Transito" numFmtId="0">
      <sharedItems containsSemiMixedTypes="0" containsString="0" containsNumber="1" containsInteger="1" minValue="1" maxValue="19"/>
    </cacheField>
    <cacheField name="Field14" caption="Field14" numFmtId="0">
      <sharedItems containsNonDate="0" containsString="0" containsBlank="1"/>
    </cacheField>
    <cacheField name="Pallets_Used" numFmtId="0">
      <sharedItems containsMixedTypes="1" containsNumber="1" minValue="-1.0526315789473684" maxValue="74.387755102040813"/>
    </cacheField>
    <cacheField name="Fill_Weight_%" numFmtId="0">
      <sharedItems containsMixedTypes="1" containsNumber="1" minValue="-5.916666666666667" maxValue="96.953249999999997"/>
    </cacheField>
    <cacheField name="Fill_Pallet_%" numFmtId="0">
      <sharedItems containsMixedTypes="1" containsNumber="1" minValue="-3.1897926634768736" maxValue="225.417439703154"/>
    </cacheField>
    <cacheField name="Camiones" numFmtId="0">
      <sharedItems containsMixedTypes="1" containsNumber="1" containsInteger="1" minValue="0" maxValue="3"/>
    </cacheField>
    <cacheField name="Eficiencia_%" numFmtId="0">
      <sharedItems containsMixedTypes="1" containsNumber="1" minValue="3.6012296881862098" maxValue="96.953249999999997"/>
    </cacheField>
    <cacheField name="Carga_Flag" numFmtId="0">
      <sharedItems count="3">
        <s v="OK"/>
        <s v="CARGA INEFICIENTE"/>
        <s v="n/a"/>
      </sharedItems>
    </cacheField>
    <cacheField name="FEFO_Flag" numFmtId="0">
      <sharedItems count="3">
        <s v="OK"/>
        <s v="FEFO RIESGO"/>
        <s v="n/a"/>
      </sharedItems>
    </cacheField>
    <cacheField name="Fantasma_Flag" numFmtId="0">
      <sharedItems/>
    </cacheField>
  </cacheFields>
  <extLst>
    <ext xmlns:x14="http://schemas.microsoft.com/office/spreadsheetml/2009/9/main" uri="{725AE2AE-9491-48be-B2B4-4EB974FC3084}">
      <x14:pivotCacheDefinition pivotCacheId="16786880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5">
  <r>
    <s v="SO-50312"/>
    <s v="PL-SUR"/>
    <x v="0"/>
    <s v="LAC-1013"/>
    <n v="2260"/>
    <d v="2026-05-31T00:00:00"/>
    <s v="In Transit"/>
    <s v="OK"/>
    <n v="8.32"/>
    <n v="98"/>
    <n v="16"/>
    <s v="OK"/>
    <n v="4"/>
    <m/>
    <n v="23.061224489795919"/>
    <n v="78.346666666666664"/>
    <n v="69.882498453927028"/>
    <n v="1"/>
    <n v="78.346666666666664"/>
    <x v="0"/>
    <x v="0"/>
    <s v="OK"/>
  </r>
  <r>
    <s v="SO-50335"/>
    <s v="PL-NTE"/>
    <x v="1"/>
    <s v="LAC-1013"/>
    <n v="2769"/>
    <d v="2026-06-02T00:00:00"/>
    <s v="Delivered"/>
    <s v="OK"/>
    <n v="8.32"/>
    <n v="98"/>
    <n v="16"/>
    <s v="OK"/>
    <n v="2"/>
    <m/>
    <n v="28.255102040816325"/>
    <n v="95.992000000000004"/>
    <n v="85.621521335807046"/>
    <n v="1"/>
    <n v="95.992000000000004"/>
    <x v="0"/>
    <x v="0"/>
    <s v="OK"/>
  </r>
  <r>
    <s v="SO-50334"/>
    <s v="PL-NTE"/>
    <x v="2"/>
    <s v="ABA-1008"/>
    <n v="2157"/>
    <d v="2026-06-02T00:00:00"/>
    <s v="In Transit"/>
    <s v="OK"/>
    <n v="10.6"/>
    <n v="96"/>
    <n v="445"/>
    <s v="OK"/>
    <n v="2"/>
    <m/>
    <n v="22.46875"/>
    <n v="95.267499999999998"/>
    <n v="68.087121212121218"/>
    <n v="1"/>
    <n v="95.267499999999998"/>
    <x v="0"/>
    <x v="0"/>
    <s v="OK"/>
  </r>
  <r>
    <s v="SO-50098"/>
    <s v="PL-CEN"/>
    <x v="3"/>
    <s v="ABA-1008"/>
    <n v="2130"/>
    <d v="2026-06-01T00:00:00"/>
    <s v="In Transit"/>
    <s v="OK"/>
    <n v="10.6"/>
    <n v="96"/>
    <n v="445"/>
    <s v="OK"/>
    <n v="3"/>
    <m/>
    <n v="22.1875"/>
    <n v="94.075000000000003"/>
    <n v="67.234848484848484"/>
    <n v="1"/>
    <n v="94.075000000000003"/>
    <x v="0"/>
    <x v="0"/>
    <s v="OK"/>
  </r>
  <r>
    <s v="SO-50626"/>
    <s v="PL-SUR"/>
    <x v="4"/>
    <s v="BOT-1001"/>
    <n v="1998"/>
    <d v="2026-06-02T00:00:00"/>
    <s v="Delivered"/>
    <s v="OK"/>
    <n v="6.95"/>
    <n v="66"/>
    <n v="95"/>
    <s v="OK"/>
    <n v="2"/>
    <m/>
    <n v="30.272727272727273"/>
    <n v="57.858750000000001"/>
    <n v="91.735537190082653"/>
    <n v="1"/>
    <n v="91.735537190082653"/>
    <x v="0"/>
    <x v="0"/>
    <s v="OK"/>
  </r>
  <r>
    <s v="SO-51098"/>
    <s v="PL-CEN"/>
    <x v="5"/>
    <s v="BOT-1001"/>
    <n v="2091"/>
    <d v="2026-05-28T00:00:00"/>
    <s v="In Transit"/>
    <s v="OK"/>
    <n v="6.95"/>
    <n v="66"/>
    <n v="95"/>
    <s v="OK"/>
    <n v="7"/>
    <m/>
    <n v="31.681818181818183"/>
    <n v="60.551875000000003"/>
    <n v="96.005509641873289"/>
    <n v="1"/>
    <n v="96.005509641873289"/>
    <x v="0"/>
    <x v="0"/>
    <s v="FANTASMA"/>
  </r>
  <r>
    <s v="SO-51025"/>
    <s v="PL-SUR"/>
    <x v="6"/>
    <s v="LAC-1003"/>
    <n v="2320"/>
    <d v="2026-05-20T00:00:00"/>
    <s v="In Transit"/>
    <s v="OK"/>
    <n v="9.02"/>
    <n v="114"/>
    <n v="18"/>
    <s v="OK"/>
    <n v="15"/>
    <m/>
    <n v="20.350877192982455"/>
    <n v="87.193333333333328"/>
    <n v="61.669324827219562"/>
    <n v="1"/>
    <n v="87.193333333333328"/>
    <x v="0"/>
    <x v="1"/>
    <s v="FANTASMA"/>
  </r>
  <r>
    <s v="SO-50981"/>
    <s v="PL-SUR"/>
    <x v="7"/>
    <s v="LAC-1003"/>
    <n v="2296"/>
    <d v="2026-06-03T00:00:00"/>
    <s v="In Transit"/>
    <s v="OK"/>
    <n v="9.02"/>
    <n v="114"/>
    <n v="18"/>
    <s v="OK"/>
    <n v="1"/>
    <m/>
    <n v="20.140350877192983"/>
    <n v="86.291333333333327"/>
    <n v="61.03136629452419"/>
    <n v="1"/>
    <n v="86.291333333333327"/>
    <x v="0"/>
    <x v="0"/>
    <s v="OK"/>
  </r>
  <r>
    <s v="SO-50240"/>
    <s v="PL-CEN"/>
    <x v="8"/>
    <s v="BOT-1009"/>
    <n v="997"/>
    <d v="2026-06-03T00:00:00"/>
    <s v="In Transit"/>
    <s v="OK"/>
    <n v="5.25"/>
    <n v="76"/>
    <n v="104"/>
    <s v="OK"/>
    <n v="1"/>
    <m/>
    <n v="13.118421052631579"/>
    <n v="21.809374999999999"/>
    <n v="39.752791068580542"/>
    <n v="1"/>
    <n v="39.752791068580542"/>
    <x v="1"/>
    <x v="0"/>
    <s v="OK"/>
  </r>
  <r>
    <s v="SO-50101"/>
    <s v="PL-CEN"/>
    <x v="5"/>
    <s v="BOT-1011"/>
    <n v="2534"/>
    <d v="2026-06-03T00:00:00"/>
    <s v="In Transit"/>
    <s v="OK"/>
    <n v="3.43"/>
    <n v="88"/>
    <n v="109"/>
    <s v="OK"/>
    <n v="1"/>
    <m/>
    <n v="28.795454545454547"/>
    <n v="36.21508333333334"/>
    <n v="87.258953168044087"/>
    <n v="1"/>
    <n v="87.258953168044087"/>
    <x v="0"/>
    <x v="0"/>
    <s v="OK"/>
  </r>
  <r>
    <s v="SO-50596"/>
    <s v="PL-CEN"/>
    <x v="9"/>
    <s v="BOT-1011"/>
    <n v="2712"/>
    <d v="2026-06-02T00:00:00"/>
    <s v="In Transit"/>
    <s v="OK"/>
    <n v="3.43"/>
    <n v="88"/>
    <n v="109"/>
    <s v="OK"/>
    <n v="2"/>
    <m/>
    <n v="30.818181818181817"/>
    <n v="38.759"/>
    <n v="93.388429752066116"/>
    <n v="1"/>
    <n v="93.388429752066116"/>
    <x v="0"/>
    <x v="0"/>
    <s v="OK"/>
  </r>
  <r>
    <s v="SO-50083"/>
    <s v="PL-CEN"/>
    <x v="3"/>
    <s v="BEB-1005"/>
    <n v="901"/>
    <d v="2026-06-03T00:00:00"/>
    <s v="In Transit"/>
    <s v="OK"/>
    <n v="14.2"/>
    <n v="95"/>
    <n v="277"/>
    <s v="OK"/>
    <n v="1"/>
    <m/>
    <n v="9.4842105263157901"/>
    <n v="53.309166666666663"/>
    <n v="28.740031897926638"/>
    <n v="1"/>
    <n v="53.309166666666663"/>
    <x v="1"/>
    <x v="0"/>
    <s v="OK"/>
  </r>
  <r>
    <s v="SO-50671"/>
    <s v="PL-SUR"/>
    <x v="7"/>
    <s v="BEB-1005"/>
    <n v="1391"/>
    <d v="2026-06-03T00:00:00"/>
    <s v="In Transit"/>
    <s v="OK"/>
    <n v="14.2"/>
    <n v="95"/>
    <n v="277"/>
    <s v="OK"/>
    <n v="1"/>
    <m/>
    <n v="14.642105263157895"/>
    <n v="82.30083333333333"/>
    <n v="44.370015948963314"/>
    <n v="1"/>
    <n v="82.30083333333333"/>
    <x v="0"/>
    <x v="0"/>
    <s v="OK"/>
  </r>
  <r>
    <s v="SO-50957"/>
    <s v="PL-SUR"/>
    <x v="6"/>
    <s v="BEB-1005"/>
    <n v="991"/>
    <d v="2026-06-02T00:00:00"/>
    <s v="Delivered"/>
    <s v="OK"/>
    <n v="14.2"/>
    <n v="95"/>
    <n v="277"/>
    <s v="OK"/>
    <n v="2"/>
    <m/>
    <n v="10.43157894736842"/>
    <n v="58.634166666666665"/>
    <n v="31.610845295055817"/>
    <n v="1"/>
    <n v="58.634166666666665"/>
    <x v="1"/>
    <x v="0"/>
    <s v="OK"/>
  </r>
  <r>
    <s v="SO-50776"/>
    <s v="PL-SUR"/>
    <x v="4"/>
    <s v="PRO-1000"/>
    <n v="1036"/>
    <d v="2026-06-03T00:00:00"/>
    <s v="In Transit"/>
    <s v="OK"/>
    <n v="12.51"/>
    <n v="73"/>
    <n v="75"/>
    <s v="OK"/>
    <n v="1"/>
    <m/>
    <n v="14.191780821917808"/>
    <n v="54.0015"/>
    <n v="43.005396430053963"/>
    <n v="1"/>
    <n v="54.0015"/>
    <x v="1"/>
    <x v="0"/>
    <s v="OK"/>
  </r>
  <r>
    <s v="SO-50477"/>
    <s v="PL-CEN"/>
    <x v="3"/>
    <s v="PRO-1000"/>
    <n v="704"/>
    <d v="2026-06-02T00:00:00"/>
    <s v="In Transit"/>
    <s v="OK"/>
    <n v="12.51"/>
    <n v="73"/>
    <n v="75"/>
    <s v="OK"/>
    <n v="2"/>
    <m/>
    <n v="9.6438356164383556"/>
    <n v="36.695999999999998"/>
    <n v="29.223744292237441"/>
    <n v="1"/>
    <n v="36.695999999999998"/>
    <x v="1"/>
    <x v="0"/>
    <s v="OK"/>
  </r>
  <r>
    <s v="SO-50404"/>
    <s v="PL-NTE"/>
    <x v="10"/>
    <s v="PRO-1000"/>
    <n v="615"/>
    <d v="2026-06-02T00:00:00"/>
    <s v="In Transit"/>
    <s v="OK"/>
    <n v="12.51"/>
    <n v="73"/>
    <n v="75"/>
    <s v="OK"/>
    <n v="2"/>
    <m/>
    <n v="8.4246575342465757"/>
    <n v="32.056874999999998"/>
    <n v="25.529265255292653"/>
    <n v="1"/>
    <n v="32.056874999999998"/>
    <x v="1"/>
    <x v="0"/>
    <s v="OK"/>
  </r>
  <r>
    <s v="SO-50667"/>
    <s v="PL-SUR"/>
    <x v="4"/>
    <s v="PRO-1000"/>
    <n v="1515"/>
    <d v="2026-06-02T00:00:00"/>
    <s v="In Transit"/>
    <s v="OK"/>
    <n v="12.51"/>
    <n v="73"/>
    <n v="75"/>
    <s v="OK"/>
    <n v="2"/>
    <m/>
    <n v="20.753424657534246"/>
    <n v="78.969375000000014"/>
    <n v="62.889165628891654"/>
    <n v="1"/>
    <n v="78.969375000000014"/>
    <x v="0"/>
    <x v="0"/>
    <s v="OK"/>
  </r>
  <r>
    <s v="SO-50987"/>
    <s v="PL-CEN"/>
    <x v="3"/>
    <s v="PRO-1000"/>
    <n v="1830"/>
    <d v="2026-06-01T00:00:00"/>
    <s v="In Transit"/>
    <s v="OK"/>
    <n v="12.51"/>
    <n v="73"/>
    <n v="75"/>
    <s v="OK"/>
    <n v="3"/>
    <m/>
    <n v="25.068493150684933"/>
    <n v="95.388750000000002"/>
    <n v="75.965130759651316"/>
    <n v="1"/>
    <n v="95.388750000000002"/>
    <x v="0"/>
    <x v="0"/>
    <s v="OK"/>
  </r>
  <r>
    <s v="SO-50583"/>
    <s v="PL-CEN"/>
    <x v="8"/>
    <s v="PRO-1000"/>
    <n v="1610"/>
    <d v="2026-06-03T00:00:00"/>
    <s v="In Transit"/>
    <s v="OK"/>
    <n v="12.51"/>
    <n v="73"/>
    <n v="75"/>
    <s v="OK"/>
    <n v="1"/>
    <m/>
    <n v="22.054794520547944"/>
    <n v="83.921249999999986"/>
    <n v="66.832710668327096"/>
    <n v="1"/>
    <n v="83.921249999999986"/>
    <x v="0"/>
    <x v="0"/>
    <s v="OK"/>
  </r>
  <r>
    <s v="SO-50491"/>
    <s v="PL-NTE"/>
    <x v="10"/>
    <s v="PRO-1005"/>
    <n v="530"/>
    <d v="2026-05-31T00:00:00"/>
    <s v="In Transit"/>
    <s v="OK"/>
    <n v="11.02"/>
    <n v="69"/>
    <n v="86"/>
    <s v="OK"/>
    <n v="4"/>
    <m/>
    <n v="7.6811594202898554"/>
    <n v="24.33583333333333"/>
    <n v="23.276240667545018"/>
    <n v="1"/>
    <n v="24.33583333333333"/>
    <x v="1"/>
    <x v="0"/>
    <s v="OK"/>
  </r>
  <r>
    <s v="SO-51018"/>
    <s v="PL-SUR"/>
    <x v="6"/>
    <s v="LAC-1000"/>
    <n v="2426"/>
    <d v="2026-05-18T00:00:00"/>
    <s v="In Transit"/>
    <s v="OK"/>
    <n v="8.18"/>
    <n v="90"/>
    <n v="29"/>
    <s v="OK"/>
    <n v="17"/>
    <m/>
    <n v="26.955555555555556"/>
    <n v="82.686166666666665"/>
    <n v="81.683501683501675"/>
    <n v="1"/>
    <n v="82.686166666666665"/>
    <x v="0"/>
    <x v="1"/>
    <s v="FANTASMA"/>
  </r>
  <r>
    <s v="SO-50006"/>
    <s v="PL-SUR"/>
    <x v="4"/>
    <s v="PRO-1009"/>
    <n v="1089"/>
    <d v="2026-06-03T00:00:00"/>
    <s v="In Transit"/>
    <s v="OK"/>
    <n v="11.96"/>
    <n v="101"/>
    <n v="90"/>
    <s v="OK"/>
    <n v="1"/>
    <m/>
    <n v="10.782178217821782"/>
    <n v="54.268499999999996"/>
    <n v="32.673267326732677"/>
    <n v="1"/>
    <n v="54.268499999999996"/>
    <x v="1"/>
    <x v="0"/>
    <s v="OK"/>
  </r>
  <r>
    <s v="SO-50058"/>
    <s v="PL-NTE"/>
    <x v="11"/>
    <s v="LAC-1002"/>
    <n v="2802"/>
    <d v="2026-06-03T00:00:00"/>
    <s v="In Transit"/>
    <s v="OK"/>
    <n v="7.71"/>
    <n v="101"/>
    <n v="23"/>
    <s v="OK"/>
    <n v="1"/>
    <m/>
    <n v="27.742574257425744"/>
    <n v="90.01424999999999"/>
    <n v="84.068406840684077"/>
    <n v="1"/>
    <n v="90.01424999999999"/>
    <x v="0"/>
    <x v="0"/>
    <s v="OK"/>
  </r>
  <r>
    <s v="SO-50163"/>
    <s v="PL-NTE"/>
    <x v="2"/>
    <s v="LAC-1002"/>
    <n v="1188"/>
    <d v="2026-06-02T00:00:00"/>
    <s v="In Transit"/>
    <s v="OK"/>
    <n v="7.71"/>
    <n v="101"/>
    <n v="23"/>
    <s v="OK"/>
    <n v="2"/>
    <m/>
    <n v="11.762376237623762"/>
    <n v="38.164499999999997"/>
    <n v="35.64356435643564"/>
    <n v="1"/>
    <n v="38.164499999999997"/>
    <x v="1"/>
    <x v="0"/>
    <s v="OK"/>
  </r>
  <r>
    <s v="SO-51008"/>
    <s v="PL-SUR"/>
    <x v="12"/>
    <s v="LAC-1016"/>
    <n v="1766"/>
    <d v="2026-05-21T00:00:00"/>
    <s v="In Transit"/>
    <s v="OK"/>
    <n v="10.9"/>
    <n v="131"/>
    <n v="22"/>
    <s v="OK"/>
    <n v="14"/>
    <m/>
    <n v="13.480916030534351"/>
    <n v="80.205833333333345"/>
    <n v="40.851260698588945"/>
    <n v="1"/>
    <n v="80.205833333333345"/>
    <x v="0"/>
    <x v="1"/>
    <s v="FANTASMA"/>
  </r>
  <r>
    <s v="SO-50123"/>
    <s v="PL-CEN"/>
    <x v="5"/>
    <s v="LAC-1016"/>
    <n v="2117"/>
    <d v="2026-06-02T00:00:00"/>
    <s v="In Transit"/>
    <s v="OK"/>
    <n v="10.9"/>
    <n v="131"/>
    <n v="22"/>
    <s v="OK"/>
    <n v="2"/>
    <m/>
    <n v="16.16030534351145"/>
    <n v="96.147083333333327"/>
    <n v="48.970622253065002"/>
    <n v="1"/>
    <n v="96.147083333333327"/>
    <x v="0"/>
    <x v="0"/>
    <s v="OK"/>
  </r>
  <r>
    <s v="SO-50385"/>
    <s v="PL-NTE"/>
    <x v="11"/>
    <s v="LAC-1016"/>
    <n v="734"/>
    <d v="2026-06-02T00:00:00"/>
    <s v="In Transit"/>
    <s v="OK"/>
    <n v="10.9"/>
    <n v="131"/>
    <n v="22"/>
    <s v="OK"/>
    <n v="2"/>
    <m/>
    <n v="5.6030534351145036"/>
    <n v="33.335833333333333"/>
    <n v="16.978949803377283"/>
    <n v="1"/>
    <n v="33.335833333333333"/>
    <x v="1"/>
    <x v="0"/>
    <s v="OK"/>
  </r>
  <r>
    <s v="SO-50564"/>
    <s v="PL-NTE"/>
    <x v="10"/>
    <s v="BEB-1000"/>
    <n v="1252"/>
    <d v="2026-06-02T00:00:00"/>
    <s v="In Transit"/>
    <s v="OK"/>
    <n v="16.489999999999998"/>
    <n v="102"/>
    <n v="315"/>
    <s v="OK"/>
    <n v="2"/>
    <m/>
    <n v="12.274509803921569"/>
    <n v="86.022833333333324"/>
    <n v="37.195484254307786"/>
    <n v="1"/>
    <n v="86.022833333333324"/>
    <x v="0"/>
    <x v="0"/>
    <s v="OK"/>
  </r>
  <r>
    <s v="SO-50262"/>
    <s v="PL-SUR"/>
    <x v="12"/>
    <s v="LAC-1014"/>
    <n v="2414"/>
    <d v="2026-06-02T00:00:00"/>
    <s v="In Transit"/>
    <s v="OK"/>
    <n v="8.0500000000000007"/>
    <n v="147"/>
    <n v="28"/>
    <s v="OK"/>
    <n v="2"/>
    <m/>
    <n v="16.421768707482993"/>
    <n v="80.969583333333333"/>
    <n v="49.762935477221191"/>
    <n v="1"/>
    <n v="80.969583333333333"/>
    <x v="0"/>
    <x v="0"/>
    <s v="OK"/>
  </r>
  <r>
    <s v="SO-50165"/>
    <s v="PL-SUR"/>
    <x v="0"/>
    <s v="LAC-1014"/>
    <n v="2494"/>
    <d v="2026-06-03T00:00:00"/>
    <s v="In Transit"/>
    <s v="OK"/>
    <n v="8.0500000000000007"/>
    <n v="147"/>
    <n v="28"/>
    <s v="OK"/>
    <n v="1"/>
    <m/>
    <n v="16.965986394557824"/>
    <n v="83.65291666666667"/>
    <n v="51.412079983508555"/>
    <n v="1"/>
    <n v="83.65291666666667"/>
    <x v="0"/>
    <x v="0"/>
    <s v="OK"/>
  </r>
  <r>
    <s v="SO-50168"/>
    <s v="PL-CEN"/>
    <x v="13"/>
    <s v="BOT-1017"/>
    <n v="1253"/>
    <d v="2026-06-03T00:00:00"/>
    <s v="In Transit"/>
    <s v="OK"/>
    <n v="3.75"/>
    <n v="41"/>
    <n v="106"/>
    <s v="OK"/>
    <n v="1"/>
    <m/>
    <n v="30.560975609756099"/>
    <n v="19.578125"/>
    <n v="92.609016999260902"/>
    <n v="1"/>
    <n v="92.609016999260902"/>
    <x v="0"/>
    <x v="0"/>
    <s v="OK"/>
  </r>
  <r>
    <s v="SO-50124"/>
    <s v="PL-NTE"/>
    <x v="10"/>
    <s v="BEB-1006"/>
    <n v="736"/>
    <d v="2026-06-01T00:00:00"/>
    <s v="In Transit"/>
    <s v="OK"/>
    <n v="17.18"/>
    <n v="81"/>
    <n v="293"/>
    <s v="OK"/>
    <n v="3"/>
    <m/>
    <n v="9.0864197530864192"/>
    <n v="52.685333333333325"/>
    <n v="27.534605312383086"/>
    <n v="1"/>
    <n v="52.685333333333325"/>
    <x v="1"/>
    <x v="0"/>
    <s v="OK"/>
  </r>
  <r>
    <s v="SO-50587"/>
    <s v="PL-CEN"/>
    <x v="5"/>
    <s v="ABA-1011"/>
    <n v="2027"/>
    <d v="2026-06-02T00:00:00"/>
    <s v="In Transit"/>
    <s v="OK"/>
    <n v="9.9499999999999993"/>
    <n v="106"/>
    <n v="376"/>
    <s v="OK"/>
    <n v="2"/>
    <m/>
    <n v="19.122641509433961"/>
    <n v="84.036041666666662"/>
    <n v="57.947398513436241"/>
    <n v="1"/>
    <n v="84.036041666666662"/>
    <x v="0"/>
    <x v="0"/>
    <s v="OK"/>
  </r>
  <r>
    <s v="SO-50129"/>
    <s v="PL-NTE"/>
    <x v="11"/>
    <s v="ABA-1017"/>
    <n v="2054"/>
    <d v="2026-06-01T00:00:00"/>
    <s v="In Transit"/>
    <s v="OK"/>
    <n v="10.96"/>
    <n v="128"/>
    <n v="520"/>
    <s v="OK"/>
    <n v="3"/>
    <m/>
    <n v="16.046875"/>
    <n v="93.799333333333337"/>
    <n v="48.626893939393938"/>
    <n v="1"/>
    <n v="93.799333333333337"/>
    <x v="0"/>
    <x v="0"/>
    <s v="OK"/>
  </r>
  <r>
    <s v="SO-50469"/>
    <s v="PL-CEN"/>
    <x v="9"/>
    <s v="BOT-1015"/>
    <n v="1628"/>
    <d v="2026-06-02T00:00:00"/>
    <s v="In Transit"/>
    <s v="OK"/>
    <n v="3.64"/>
    <n v="62"/>
    <n v="114"/>
    <s v="OK"/>
    <n v="2"/>
    <m/>
    <n v="26.258064516129032"/>
    <n v="24.691333333333336"/>
    <n v="79.569892473118273"/>
    <n v="1"/>
    <n v="79.569892473118273"/>
    <x v="0"/>
    <x v="0"/>
    <s v="OK"/>
  </r>
  <r>
    <s v="SO-50431"/>
    <s v="PL-CEN"/>
    <x v="5"/>
    <s v="BOT-1015"/>
    <n v="1894"/>
    <d v="2026-06-02T00:00:00"/>
    <s v="In Transit"/>
    <s v="OK"/>
    <n v="3.64"/>
    <n v="62"/>
    <n v="114"/>
    <s v="OK"/>
    <n v="2"/>
    <m/>
    <n v="30.548387096774192"/>
    <n v="28.725666666666665"/>
    <n v="92.570869990224821"/>
    <n v="1"/>
    <n v="92.570869990224821"/>
    <x v="0"/>
    <x v="0"/>
    <s v="OK"/>
  </r>
  <r>
    <s v="SO-50676"/>
    <s v="PL-SUR"/>
    <x v="6"/>
    <s v="BOT-1015"/>
    <n v="920"/>
    <d v="2026-06-03T00:00:00"/>
    <s v="In Transit"/>
    <s v="OK"/>
    <n v="3.64"/>
    <n v="62"/>
    <n v="114"/>
    <s v="OK"/>
    <n v="1"/>
    <m/>
    <n v="14.838709677419354"/>
    <n v="13.953333333333335"/>
    <n v="44.965786901270768"/>
    <n v="1"/>
    <n v="44.965786901270768"/>
    <x v="1"/>
    <x v="0"/>
    <s v="OK"/>
  </r>
  <r>
    <s v="SO-50571"/>
    <s v="PL-CEN"/>
    <x v="13"/>
    <s v="ABA-1006"/>
    <n v="851"/>
    <d v="2026-06-03T00:00:00"/>
    <s v="In Transit"/>
    <s v="OK"/>
    <n v="12.39"/>
    <n v="134"/>
    <n v="446"/>
    <s v="OK"/>
    <n v="1"/>
    <m/>
    <n v="6.3507462686567164"/>
    <n v="43.932875000000003"/>
    <n v="19.244685662596112"/>
    <n v="1"/>
    <n v="43.932875000000003"/>
    <x v="1"/>
    <x v="0"/>
    <s v="OK"/>
  </r>
  <r>
    <s v="SO-50139"/>
    <s v="PL-CEN"/>
    <x v="3"/>
    <s v="ABA-1006"/>
    <n v="1109"/>
    <d v="2026-06-02T00:00:00"/>
    <s v="In Transit"/>
    <s v="OK"/>
    <n v="12.39"/>
    <n v="134"/>
    <n v="446"/>
    <s v="OK"/>
    <n v="2"/>
    <m/>
    <n v="8.2761194029850742"/>
    <n v="57.252124999999999"/>
    <n v="25.079149706015375"/>
    <n v="1"/>
    <n v="57.252124999999999"/>
    <x v="1"/>
    <x v="0"/>
    <s v="OK"/>
  </r>
  <r>
    <s v="SO-50128"/>
    <s v="PL-CEN"/>
    <x v="13"/>
    <s v="PRO-1014"/>
    <n v="1891"/>
    <d v="2026-06-03T00:00:00"/>
    <s v="In Transit"/>
    <s v="OK"/>
    <n v="5.27"/>
    <n v="60"/>
    <n v="129"/>
    <s v="OK"/>
    <n v="1"/>
    <m/>
    <n v="31.516666666666666"/>
    <n v="41.523208333333336"/>
    <n v="95.505050505050505"/>
    <n v="1"/>
    <n v="95.505050505050505"/>
    <x v="0"/>
    <x v="0"/>
    <s v="OK"/>
  </r>
  <r>
    <s v="SO-50977"/>
    <s v="PL-NTE"/>
    <x v="14"/>
    <s v="ABA-1016"/>
    <n v="1347"/>
    <d v="2026-06-03T00:00:00"/>
    <s v="In Transit"/>
    <s v="OK"/>
    <n v="15.52"/>
    <n v="121"/>
    <n v="517"/>
    <s v="OK"/>
    <n v="1"/>
    <m/>
    <n v="11.132231404958677"/>
    <n v="87.105999999999995"/>
    <n v="33.734034560480843"/>
    <n v="1"/>
    <n v="87.105999999999995"/>
    <x v="0"/>
    <x v="0"/>
    <s v="OK"/>
  </r>
  <r>
    <s v="SO-50534"/>
    <s v="PL-CEN"/>
    <x v="9"/>
    <s v="ABA-1016"/>
    <n v="782"/>
    <d v="2026-06-02T00:00:00"/>
    <s v="In Transit"/>
    <s v="OK"/>
    <n v="15.52"/>
    <n v="121"/>
    <n v="517"/>
    <s v="OK"/>
    <n v="2"/>
    <m/>
    <n v="6.4628099173553721"/>
    <n v="50.569333333333333"/>
    <n v="19.58427247683446"/>
    <n v="1"/>
    <n v="50.569333333333333"/>
    <x v="1"/>
    <x v="0"/>
    <s v="OK"/>
  </r>
  <r>
    <s v="SO-50541"/>
    <s v="PL-NTE"/>
    <x v="14"/>
    <s v="ABA-1016"/>
    <n v="850"/>
    <d v="2026-06-03T00:00:00"/>
    <s v="In Transit"/>
    <s v="OK"/>
    <n v="15.52"/>
    <n v="121"/>
    <n v="517"/>
    <s v="OK"/>
    <n v="1"/>
    <m/>
    <n v="7.0247933884297522"/>
    <n v="54.966666666666661"/>
    <n v="21.287252692211371"/>
    <n v="1"/>
    <n v="54.966666666666661"/>
    <x v="1"/>
    <x v="0"/>
    <s v="OK"/>
  </r>
  <r>
    <s v="SO-50660"/>
    <s v="PL-SUR"/>
    <x v="0"/>
    <s v="BOT-1014"/>
    <n v="1504"/>
    <d v="2026-06-03T00:00:00"/>
    <s v="In Transit"/>
    <s v="OK"/>
    <n v="3.92"/>
    <n v="49"/>
    <n v="98"/>
    <s v="OK"/>
    <n v="1"/>
    <m/>
    <n v="30.693877551020407"/>
    <n v="24.565333333333335"/>
    <n v="93.011750154607299"/>
    <n v="1"/>
    <n v="93.011750154607299"/>
    <x v="0"/>
    <x v="0"/>
    <s v="OK"/>
  </r>
  <r>
    <s v="SO-50478"/>
    <s v="PL-SUR"/>
    <x v="4"/>
    <s v="BOT-1003"/>
    <n v="1770"/>
    <d v="2026-06-02T00:00:00"/>
    <s v="In Transit"/>
    <s v="OK"/>
    <n v="5.92"/>
    <n v="57"/>
    <n v="92"/>
    <s v="OK"/>
    <n v="2"/>
    <m/>
    <n v="31.05263157894737"/>
    <n v="43.66"/>
    <n v="94.098883572567786"/>
    <n v="1"/>
    <n v="94.098883572567786"/>
    <x v="0"/>
    <x v="0"/>
    <s v="OK"/>
  </r>
  <r>
    <s v="SO-50479"/>
    <s v="PL-CEN"/>
    <x v="8"/>
    <s v="BEB-1014"/>
    <n v="852"/>
    <d v="2026-06-03T00:00:00"/>
    <s v="In Transit"/>
    <s v="OK"/>
    <n v="12.41"/>
    <n v="95"/>
    <n v="227"/>
    <s v="OK"/>
    <n v="1"/>
    <m/>
    <n v="8.9684210526315784"/>
    <n v="44.055499999999995"/>
    <n v="27.177033492822964"/>
    <n v="1"/>
    <n v="44.055499999999995"/>
    <x v="1"/>
    <x v="0"/>
    <s v="OK"/>
  </r>
  <r>
    <s v="SO-50134"/>
    <s v="PL-NTE"/>
    <x v="14"/>
    <s v="BEB-1014"/>
    <n v="1588"/>
    <d v="2026-06-03T00:00:00"/>
    <s v="In Transit"/>
    <s v="OK"/>
    <n v="12.41"/>
    <n v="95"/>
    <n v="227"/>
    <s v="OK"/>
    <n v="1"/>
    <m/>
    <n v="16.715789473684211"/>
    <n v="82.112833333333342"/>
    <n v="50.653907496012764"/>
    <n v="1"/>
    <n v="82.112833333333342"/>
    <x v="0"/>
    <x v="0"/>
    <s v="OK"/>
  </r>
  <r>
    <s v="SO-50919"/>
    <s v="PL-SUR"/>
    <x v="7"/>
    <s v="BEB-1014"/>
    <n v="1710"/>
    <d v="2026-06-03T00:00:00"/>
    <s v="In Transit"/>
    <s v="OK"/>
    <n v="12.41"/>
    <n v="95"/>
    <n v="227"/>
    <s v="OK"/>
    <n v="1"/>
    <m/>
    <n v="18"/>
    <n v="88.421250000000001"/>
    <n v="54.54545454545454"/>
    <n v="1"/>
    <n v="88.421250000000001"/>
    <x v="0"/>
    <x v="0"/>
    <s v="OK"/>
  </r>
  <r>
    <s v="SO-50126"/>
    <s v="PL-CEN"/>
    <x v="8"/>
    <s v="BOT-1013"/>
    <n v="641"/>
    <d v="2026-06-03T00:00:00"/>
    <s v="In Transit"/>
    <s v="OK"/>
    <n v="4"/>
    <n v="58"/>
    <n v="112"/>
    <s v="OK"/>
    <n v="1"/>
    <m/>
    <n v="11.051724137931034"/>
    <n v="10.683333333333334"/>
    <n v="33.49007314524556"/>
    <n v="1"/>
    <n v="33.49007314524556"/>
    <x v="1"/>
    <x v="0"/>
    <s v="OK"/>
  </r>
  <r>
    <s v="SO-50755"/>
    <s v="PL-NTE"/>
    <x v="14"/>
    <s v="BOT-1013"/>
    <n v="1625"/>
    <d v="2026-06-03T00:00:00"/>
    <s v="In Transit"/>
    <s v="OK"/>
    <n v="4"/>
    <n v="58"/>
    <n v="112"/>
    <s v="OK"/>
    <n v="1"/>
    <m/>
    <n v="28.017241379310345"/>
    <n v="27.083333333333332"/>
    <n v="84.900731452455588"/>
    <n v="1"/>
    <n v="84.900731452455588"/>
    <x v="0"/>
    <x v="0"/>
    <s v="OK"/>
  </r>
  <r>
    <s v="SO-50834"/>
    <s v="PL-SUR"/>
    <x v="4"/>
    <s v="BOT-1013"/>
    <n v="1749"/>
    <d v="2026-06-03T00:00:00"/>
    <s v="In Transit"/>
    <s v="OK"/>
    <n v="4"/>
    <n v="58"/>
    <n v="112"/>
    <s v="OK"/>
    <n v="1"/>
    <m/>
    <n v="30.155172413793103"/>
    <n v="29.15"/>
    <n v="91.379310344827587"/>
    <n v="1"/>
    <n v="91.379310344827587"/>
    <x v="0"/>
    <x v="0"/>
    <s v="OK"/>
  </r>
  <r>
    <s v="SO-50303"/>
    <s v="PL-SUR"/>
    <x v="12"/>
    <s v="BEB-1021"/>
    <n v="1372"/>
    <d v="2026-06-03T00:00:00"/>
    <s v="In Transit"/>
    <s v="OK"/>
    <n v="16.28"/>
    <n v="90"/>
    <n v="280"/>
    <s v="OK"/>
    <n v="1"/>
    <m/>
    <n v="15.244444444444444"/>
    <n v="93.067333333333337"/>
    <n v="46.195286195286194"/>
    <n v="1"/>
    <n v="93.067333333333337"/>
    <x v="0"/>
    <x v="0"/>
    <s v="OK"/>
  </r>
  <r>
    <s v="SO-50859"/>
    <s v="PL-NTE"/>
    <x v="10"/>
    <s v="PRO-1008"/>
    <n v="1614"/>
    <d v="2026-05-31T00:00:00"/>
    <s v="In Transit"/>
    <s v="OK"/>
    <n v="11.98"/>
    <n v="86"/>
    <n v="123"/>
    <s v="OK"/>
    <n v="4"/>
    <m/>
    <n v="18.767441860465116"/>
    <n v="80.5655"/>
    <n v="56.871035940803381"/>
    <n v="1"/>
    <n v="80.5655"/>
    <x v="0"/>
    <x v="0"/>
    <s v="OK"/>
  </r>
  <r>
    <s v="SO-50192"/>
    <s v="PL-SUR"/>
    <x v="7"/>
    <s v="PRO-1008"/>
    <n v="1928"/>
    <d v="2026-06-03T00:00:00"/>
    <s v="In Transit"/>
    <s v="OK"/>
    <n v="11.98"/>
    <n v="86"/>
    <n v="123"/>
    <s v="OK"/>
    <n v="1"/>
    <m/>
    <n v="22.418604651162791"/>
    <n v="96.239333333333349"/>
    <n v="67.935165609584217"/>
    <n v="1"/>
    <n v="96.239333333333349"/>
    <x v="0"/>
    <x v="0"/>
    <s v="OK"/>
  </r>
  <r>
    <s v="SO-50863"/>
    <s v="PL-NTE"/>
    <x v="11"/>
    <s v="BEB-1020"/>
    <n v="1211"/>
    <d v="2026-06-02T00:00:00"/>
    <s v="In Transit"/>
    <s v="OK"/>
    <n v="16.66"/>
    <n v="85"/>
    <n v="333"/>
    <s v="OK"/>
    <n v="2"/>
    <m/>
    <n v="14.247058823529411"/>
    <n v="84.063583333333327"/>
    <n v="43.172905525846701"/>
    <n v="1"/>
    <n v="84.063583333333327"/>
    <x v="0"/>
    <x v="0"/>
    <s v="OK"/>
  </r>
  <r>
    <s v="SO-50211"/>
    <s v="PL-NTE"/>
    <x v="10"/>
    <s v="LAC-1005"/>
    <n v="2117"/>
    <d v="2026-06-03T00:00:00"/>
    <s v="In Transit"/>
    <s v="OK"/>
    <n v="8.94"/>
    <n v="100"/>
    <n v="17"/>
    <s v="OK"/>
    <n v="1"/>
    <m/>
    <n v="21.17"/>
    <n v="78.858249999999998"/>
    <n v="64.151515151515156"/>
    <n v="1"/>
    <n v="78.858249999999998"/>
    <x v="0"/>
    <x v="0"/>
    <s v="OK"/>
  </r>
  <r>
    <s v="SO-50569"/>
    <s v="PL-CEN"/>
    <x v="9"/>
    <s v="ABA-1004"/>
    <n v="1559"/>
    <d v="2026-06-02T00:00:00"/>
    <s v="In Transit"/>
    <s v="OK"/>
    <n v="12.85"/>
    <n v="91"/>
    <n v="297"/>
    <s v="OK"/>
    <n v="2"/>
    <m/>
    <n v="17.131868131868131"/>
    <n v="83.471458333333331"/>
    <n v="51.914751914751911"/>
    <n v="1"/>
    <n v="83.471458333333331"/>
    <x v="0"/>
    <x v="0"/>
    <s v="OK"/>
  </r>
  <r>
    <s v="SO-50416"/>
    <s v="PL-SUR"/>
    <x v="12"/>
    <s v="ABA-1004"/>
    <n v="1677"/>
    <d v="2026-06-03T00:00:00"/>
    <s v="In Transit"/>
    <s v="OK"/>
    <n v="12.85"/>
    <n v="91"/>
    <n v="297"/>
    <s v="OK"/>
    <n v="1"/>
    <m/>
    <n v="18.428571428571427"/>
    <n v="89.789375000000007"/>
    <n v="55.844155844155843"/>
    <n v="1"/>
    <n v="89.789375000000007"/>
    <x v="0"/>
    <x v="0"/>
    <s v="OK"/>
  </r>
  <r>
    <s v="SO-50184"/>
    <s v="PL-SUR"/>
    <x v="12"/>
    <s v="BOT-1018"/>
    <n v="1447"/>
    <d v="2026-06-03T00:00:00"/>
    <s v="In Transit"/>
    <s v="OK"/>
    <n v="6.23"/>
    <n v="78"/>
    <n v="99"/>
    <s v="OK"/>
    <n v="1"/>
    <m/>
    <n v="18.551282051282051"/>
    <n v="37.561708333333335"/>
    <n v="56.216006216006221"/>
    <n v="1"/>
    <n v="56.216006216006221"/>
    <x v="1"/>
    <x v="0"/>
    <s v="OK"/>
  </r>
  <r>
    <s v="SO-50960"/>
    <s v="PL-CEN"/>
    <x v="13"/>
    <s v="ABA-1013"/>
    <n v="848"/>
    <d v="2026-06-03T00:00:00"/>
    <s v="In Transit"/>
    <s v="OK"/>
    <n v="12.02"/>
    <n v="75"/>
    <n v="402"/>
    <s v="OK"/>
    <n v="1"/>
    <m/>
    <n v="11.306666666666667"/>
    <n v="42.470666666666659"/>
    <n v="34.262626262626263"/>
    <n v="1"/>
    <n v="42.470666666666659"/>
    <x v="1"/>
    <x v="0"/>
    <s v="OK"/>
  </r>
  <r>
    <s v="SO-50118"/>
    <s v="PL-NTE"/>
    <x v="10"/>
    <s v="ABA-1013"/>
    <n v="1592"/>
    <d v="2026-05-30T00:00:00"/>
    <s v="In Transit"/>
    <s v="OK"/>
    <n v="12.02"/>
    <n v="75"/>
    <n v="402"/>
    <s v="OK"/>
    <n v="5"/>
    <m/>
    <n v="21.226666666666667"/>
    <n v="79.73266666666666"/>
    <n v="64.323232323232332"/>
    <n v="1"/>
    <n v="79.73266666666666"/>
    <x v="0"/>
    <x v="0"/>
    <s v="OK"/>
  </r>
  <r>
    <s v="SO-50338"/>
    <s v="PL-NTE"/>
    <x v="11"/>
    <s v="ABA-1013"/>
    <n v="589"/>
    <d v="2026-06-02T00:00:00"/>
    <s v="In Transit"/>
    <s v="OK"/>
    <n v="12.02"/>
    <n v="75"/>
    <n v="402"/>
    <s v="OK"/>
    <n v="2"/>
    <m/>
    <n v="7.8533333333333335"/>
    <n v="29.499083333333331"/>
    <n v="23.797979797979799"/>
    <n v="1"/>
    <n v="29.499083333333331"/>
    <x v="1"/>
    <x v="0"/>
    <s v="OK"/>
  </r>
  <r>
    <s v="SO-50047"/>
    <s v="PL-NTE"/>
    <x v="1"/>
    <s v="BEB-1009"/>
    <n v="1120"/>
    <d v="2026-06-01T00:00:00"/>
    <s v="In Transit"/>
    <s v="OK"/>
    <n v="18.170000000000002"/>
    <n v="61"/>
    <n v="188"/>
    <s v="OK"/>
    <n v="3"/>
    <m/>
    <n v="18.360655737704917"/>
    <n v="84.793333333333337"/>
    <n v="55.638350720317931"/>
    <n v="1"/>
    <n v="84.793333333333337"/>
    <x v="0"/>
    <x v="0"/>
    <s v="OK"/>
  </r>
  <r>
    <s v="SO-50500"/>
    <s v="PL-NTE"/>
    <x v="1"/>
    <s v="PRO-1002"/>
    <n v="2134"/>
    <d v="2026-06-03T00:00:00"/>
    <s v="In Transit"/>
    <s v="OK"/>
    <n v="9.6999999999999993"/>
    <n v="98"/>
    <n v="115"/>
    <s v="OK"/>
    <n v="1"/>
    <m/>
    <n v="21.775510204081634"/>
    <n v="86.249166666666667"/>
    <n v="65.986394557823132"/>
    <n v="1"/>
    <n v="86.249166666666667"/>
    <x v="0"/>
    <x v="0"/>
    <s v="OK"/>
  </r>
  <r>
    <s v="SO-50875"/>
    <s v="PL-SUR"/>
    <x v="7"/>
    <s v="PRO-1002"/>
    <n v="557"/>
    <d v="2026-06-03T00:00:00"/>
    <s v="In Transit"/>
    <s v="OK"/>
    <n v="9.6999999999999993"/>
    <n v="98"/>
    <n v="115"/>
    <s v="OK"/>
    <n v="1"/>
    <m/>
    <n v="5.6836734693877551"/>
    <n v="22.512083333333333"/>
    <n v="17.223252937538653"/>
    <n v="1"/>
    <n v="22.512083333333333"/>
    <x v="1"/>
    <x v="0"/>
    <s v="OK"/>
  </r>
  <r>
    <s v="SO-51071"/>
    <s v="PL-CEN"/>
    <x v="13"/>
    <s v="BEB-1017"/>
    <n v="1028"/>
    <d v="2026-06-02T00:00:00"/>
    <s v="In Transit"/>
    <s v="OK"/>
    <n v="21.3"/>
    <n v="108"/>
    <n v="345"/>
    <s v="OK"/>
    <n v="2"/>
    <m/>
    <n v="9.518518518518519"/>
    <n v="91.235000000000014"/>
    <n v="28.843995510662179"/>
    <n v="1"/>
    <n v="91.235000000000014"/>
    <x v="0"/>
    <x v="0"/>
    <s v="OK"/>
  </r>
  <r>
    <s v="SO-50068"/>
    <s v="PL-CEN"/>
    <x v="3"/>
    <s v="PRO-1010"/>
    <n v="1565"/>
    <d v="2026-06-03T00:00:00"/>
    <s v="In Transit"/>
    <s v="OK"/>
    <n v="7.76"/>
    <n v="86"/>
    <n v="112"/>
    <s v="OK"/>
    <n v="1"/>
    <m/>
    <n v="18.197674418604652"/>
    <n v="50.601666666666667"/>
    <n v="55.144467935165608"/>
    <n v="1"/>
    <n v="55.144467935165608"/>
    <x v="1"/>
    <x v="0"/>
    <s v="OK"/>
  </r>
  <r>
    <s v="SO-50197"/>
    <s v="PL-SUR"/>
    <x v="6"/>
    <s v="BOT-1020"/>
    <n v="1267"/>
    <d v="2026-06-03T00:00:00"/>
    <s v="In Transit"/>
    <s v="OK"/>
    <n v="6.27"/>
    <n v="67"/>
    <n v="90"/>
    <s v="OK"/>
    <n v="1"/>
    <m/>
    <n v="18.910447761194028"/>
    <n v="33.100375"/>
    <n v="57.304387155133419"/>
    <n v="1"/>
    <n v="57.304387155133419"/>
    <x v="1"/>
    <x v="0"/>
    <s v="OK"/>
  </r>
  <r>
    <s v="SO-50172"/>
    <s v="PL-CEN"/>
    <x v="8"/>
    <s v="BOT-1020"/>
    <n v="661"/>
    <d v="2026-06-03T00:00:00"/>
    <s v="In Transit"/>
    <s v="OK"/>
    <n v="6.27"/>
    <n v="67"/>
    <n v="90"/>
    <s v="OK"/>
    <n v="1"/>
    <m/>
    <n v="9.8656716417910442"/>
    <n v="17.268625"/>
    <n v="29.895974672094074"/>
    <n v="1"/>
    <n v="29.895974672094074"/>
    <x v="1"/>
    <x v="0"/>
    <s v="OK"/>
  </r>
  <r>
    <s v="SO-50120"/>
    <s v="PL-CEN"/>
    <x v="13"/>
    <s v="BOT-1004"/>
    <n v="1763"/>
    <d v="2026-06-03T00:00:00"/>
    <s v="In Transit"/>
    <s v="OK"/>
    <n v="4.43"/>
    <n v="63"/>
    <n v="115"/>
    <s v="OK"/>
    <n v="1"/>
    <m/>
    <n v="27.984126984126984"/>
    <n v="32.542041666666663"/>
    <n v="84.800384800384805"/>
    <n v="1"/>
    <n v="84.800384800384805"/>
    <x v="0"/>
    <x v="0"/>
    <s v="OK"/>
  </r>
  <r>
    <s v="SO-50460"/>
    <s v="PL-SUR"/>
    <x v="4"/>
    <s v="BOT-1004"/>
    <n v="1173"/>
    <d v="2026-06-02T00:00:00"/>
    <s v="In Transit"/>
    <s v="OK"/>
    <n v="4.43"/>
    <n v="63"/>
    <n v="115"/>
    <s v="OK"/>
    <n v="2"/>
    <m/>
    <n v="18.61904761904762"/>
    <n v="21.651624999999996"/>
    <n v="56.421356421356428"/>
    <n v="1"/>
    <n v="56.421356421356428"/>
    <x v="1"/>
    <x v="0"/>
    <s v="OK"/>
  </r>
  <r>
    <s v="SO-50131"/>
    <s v="PL-SUR"/>
    <x v="12"/>
    <s v="LAC-1010"/>
    <n v="1251"/>
    <d v="2026-06-03T00:00:00"/>
    <s v="In Transit"/>
    <s v="OK"/>
    <n v="6.24"/>
    <n v="146"/>
    <n v="24"/>
    <s v="OK"/>
    <n v="1"/>
    <m/>
    <n v="8.5684931506849313"/>
    <n v="32.526000000000003"/>
    <n v="25.965130759651306"/>
    <n v="1"/>
    <n v="32.526000000000003"/>
    <x v="1"/>
    <x v="0"/>
    <s v="OK"/>
  </r>
  <r>
    <s v="SO-50731"/>
    <s v="PL-NTE"/>
    <x v="1"/>
    <s v="LAC-1010"/>
    <n v="3695"/>
    <d v="2026-05-31T00:00:00"/>
    <s v="In Transit"/>
    <s v="OK"/>
    <n v="6.24"/>
    <n v="146"/>
    <n v="24"/>
    <s v="OK"/>
    <n v="4"/>
    <m/>
    <n v="25.30821917808219"/>
    <n v="96.07"/>
    <n v="76.691573266915725"/>
    <n v="1"/>
    <n v="96.07"/>
    <x v="0"/>
    <x v="0"/>
    <s v="OK"/>
  </r>
  <r>
    <s v="SO-51029"/>
    <s v="PL-NTE"/>
    <x v="10"/>
    <s v="LAC-1015"/>
    <n v="1961"/>
    <d v="2026-05-20T00:00:00"/>
    <s v="In Transit"/>
    <s v="OK"/>
    <n v="11.26"/>
    <n v="129"/>
    <n v="24"/>
    <s v="OK"/>
    <n v="15"/>
    <m/>
    <n v="15.2015503875969"/>
    <n v="92.003583333333339"/>
    <n v="46.065304204839094"/>
    <n v="1"/>
    <n v="92.003583333333339"/>
    <x v="0"/>
    <x v="1"/>
    <s v="FANTASMA"/>
  </r>
  <r>
    <s v="SO-51056"/>
    <s v="PL-CEN"/>
    <x v="13"/>
    <s v="BEB-1008"/>
    <n v="1093"/>
    <d v="2026-06-02T00:00:00"/>
    <s v="In Transit"/>
    <s v="OK"/>
    <n v="17.47"/>
    <n v="65"/>
    <n v="216"/>
    <s v="OK"/>
    <n v="2"/>
    <m/>
    <n v="16.815384615384616"/>
    <n v="79.561291666666662"/>
    <n v="50.955710955710956"/>
    <n v="1"/>
    <n v="79.561291666666662"/>
    <x v="0"/>
    <x v="0"/>
    <s v="OK"/>
  </r>
  <r>
    <s v="SO-50323"/>
    <s v="PL-SUR"/>
    <x v="12"/>
    <s v="ABA-1005"/>
    <n v="1531"/>
    <d v="2026-06-03T00:00:00"/>
    <s v="In Transit"/>
    <s v="OK"/>
    <n v="13.31"/>
    <n v="89"/>
    <n v="313"/>
    <s v="OK"/>
    <n v="1"/>
    <m/>
    <n v="17.202247191011235"/>
    <n v="84.906708333333341"/>
    <n v="52.128021790943137"/>
    <n v="1"/>
    <n v="84.906708333333341"/>
    <x v="0"/>
    <x v="0"/>
    <s v="OK"/>
  </r>
  <r>
    <s v="SO-50495"/>
    <s v="PL-NTE"/>
    <x v="2"/>
    <s v="ABA-1012"/>
    <n v="1446"/>
    <d v="2026-06-02T00:00:00"/>
    <s v="In Transit"/>
    <s v="OK"/>
    <n v="15.14"/>
    <n v="117"/>
    <n v="484"/>
    <s v="OK"/>
    <n v="2"/>
    <m/>
    <n v="12.358974358974359"/>
    <n v="91.21850000000002"/>
    <n v="37.45143745143745"/>
    <n v="1"/>
    <n v="91.21850000000002"/>
    <x v="0"/>
    <x v="0"/>
    <s v="OK"/>
  </r>
  <r>
    <s v="SO-50754"/>
    <s v="PL-NTE"/>
    <x v="11"/>
    <s v="ABA-1012"/>
    <n v="1431"/>
    <d v="2026-06-02T00:00:00"/>
    <s v="In Transit"/>
    <s v="OK"/>
    <n v="15.14"/>
    <n v="117"/>
    <n v="484"/>
    <s v="OK"/>
    <n v="2"/>
    <m/>
    <n v="12.23076923076923"/>
    <n v="90.27225"/>
    <n v="37.06293706293706"/>
    <n v="1"/>
    <n v="90.27225"/>
    <x v="0"/>
    <x v="0"/>
    <s v="OK"/>
  </r>
  <r>
    <s v="SO-50853"/>
    <s v="PL-SUR"/>
    <x v="7"/>
    <s v="BEB-1003"/>
    <n v="929"/>
    <d v="2026-06-03T00:00:00"/>
    <s v="In Transit"/>
    <s v="OK"/>
    <n v="20.5"/>
    <n v="64"/>
    <n v="359"/>
    <s v="OK"/>
    <n v="1"/>
    <m/>
    <n v="14.515625"/>
    <n v="79.35208333333334"/>
    <n v="43.986742424242422"/>
    <n v="1"/>
    <n v="79.35208333333334"/>
    <x v="0"/>
    <x v="0"/>
    <s v="OK"/>
  </r>
  <r>
    <s v="SO-50751"/>
    <s v="PL-CEN"/>
    <x v="3"/>
    <s v="BOT-1005"/>
    <n v="1891"/>
    <d v="2026-06-02T00:00:00"/>
    <s v="Delivered"/>
    <s v="OK"/>
    <n v="5.49"/>
    <n v="62"/>
    <n v="91"/>
    <s v="OK"/>
    <n v="2"/>
    <m/>
    <n v="30.5"/>
    <n v="43.256625"/>
    <n v="92.424242424242422"/>
    <n v="1"/>
    <n v="92.424242424242422"/>
    <x v="0"/>
    <x v="0"/>
    <s v="OK"/>
  </r>
  <r>
    <s v="SO-50004"/>
    <s v="PL-CEN"/>
    <x v="8"/>
    <s v="BOT-1005"/>
    <n v="565"/>
    <d v="2026-06-03T00:00:00"/>
    <s v="In Transit"/>
    <s v="OK"/>
    <n v="5.49"/>
    <n v="62"/>
    <n v="91"/>
    <s v="OK"/>
    <n v="1"/>
    <m/>
    <n v="9.112903225806452"/>
    <n v="12.924375"/>
    <n v="27.614858260019552"/>
    <n v="1"/>
    <n v="27.614858260019552"/>
    <x v="1"/>
    <x v="0"/>
    <s v="OK"/>
  </r>
  <r>
    <s v="SO-50415"/>
    <s v="PL-CEN"/>
    <x v="13"/>
    <s v="BEB-1015"/>
    <n v="976"/>
    <d v="2026-06-03T00:00:00"/>
    <s v="In Transit"/>
    <s v="OK"/>
    <n v="19.95"/>
    <n v="78"/>
    <n v="276"/>
    <s v="OK"/>
    <n v="1"/>
    <m/>
    <n v="12.512820512820513"/>
    <n v="81.13"/>
    <n v="37.917637917637919"/>
    <n v="1"/>
    <n v="81.13"/>
    <x v="0"/>
    <x v="0"/>
    <s v="OK"/>
  </r>
  <r>
    <s v="SO-50199"/>
    <s v="PL-SUR"/>
    <x v="7"/>
    <s v="BEB-1015"/>
    <n v="1003"/>
    <d v="2026-06-03T00:00:00"/>
    <s v="In Transit"/>
    <s v="OK"/>
    <n v="19.95"/>
    <n v="78"/>
    <n v="276"/>
    <s v="OK"/>
    <n v="1"/>
    <m/>
    <n v="12.858974358974359"/>
    <n v="83.374374999999986"/>
    <n v="38.966588966588965"/>
    <n v="1"/>
    <n v="83.374374999999986"/>
    <x v="0"/>
    <x v="0"/>
    <s v="OK"/>
  </r>
  <r>
    <s v="SO-50413"/>
    <s v="PL-NTE"/>
    <x v="1"/>
    <s v="BEB-1015"/>
    <n v="1151"/>
    <d v="2026-06-01T00:00:00"/>
    <s v="In Transit"/>
    <s v="OK"/>
    <n v="19.95"/>
    <n v="78"/>
    <n v="276"/>
    <s v="OK"/>
    <n v="3"/>
    <m/>
    <n v="14.756410256410257"/>
    <n v="95.67687500000001"/>
    <n v="44.716394716394717"/>
    <n v="1"/>
    <n v="95.67687500000001"/>
    <x v="0"/>
    <x v="0"/>
    <s v="OK"/>
  </r>
  <r>
    <s v="SO-50012"/>
    <s v="PL-CEN"/>
    <x v="9"/>
    <s v="BEB-1015"/>
    <n v="491"/>
    <d v="2026-06-02T00:00:00"/>
    <s v="In Transit"/>
    <s v="OK"/>
    <n v="19.95"/>
    <n v="78"/>
    <n v="276"/>
    <s v="OK"/>
    <n v="2"/>
    <m/>
    <n v="6.2948717948717947"/>
    <n v="40.814374999999998"/>
    <n v="19.075369075369075"/>
    <n v="1"/>
    <n v="40.814374999999998"/>
    <x v="1"/>
    <x v="0"/>
    <s v="OK"/>
  </r>
  <r>
    <s v="SO-50697"/>
    <s v="PL-CEN"/>
    <x v="5"/>
    <s v="BEB-1015"/>
    <n v="1162"/>
    <d v="2026-06-03T00:00:00"/>
    <s v="In Transit"/>
    <s v="OK"/>
    <n v="19.95"/>
    <n v="78"/>
    <n v="276"/>
    <s v="OK"/>
    <n v="1"/>
    <m/>
    <n v="14.897435897435898"/>
    <n v="96.591250000000002"/>
    <n v="45.143745143745143"/>
    <n v="1"/>
    <n v="96.591250000000002"/>
    <x v="0"/>
    <x v="0"/>
    <s v="OK"/>
  </r>
  <r>
    <s v="SO-50149"/>
    <s v="PL-SUR"/>
    <x v="6"/>
    <s v="LAC-1006"/>
    <n v="2124"/>
    <d v="2026-06-03T00:00:00"/>
    <s v="In Transit"/>
    <s v="OK"/>
    <n v="10.029999999999999"/>
    <n v="126"/>
    <n v="17"/>
    <s v="OK"/>
    <n v="1"/>
    <m/>
    <n v="16.857142857142858"/>
    <n v="88.765499999999989"/>
    <n v="51.082251082251084"/>
    <n v="1"/>
    <n v="88.765499999999989"/>
    <x v="0"/>
    <x v="0"/>
    <s v="OK"/>
  </r>
  <r>
    <s v="SO-50247"/>
    <s v="PL-NTE"/>
    <x v="1"/>
    <s v="BOT-1000"/>
    <n v="1878"/>
    <d v="2026-06-01T00:00:00"/>
    <s v="In Transit"/>
    <s v="OK"/>
    <n v="3.56"/>
    <n v="64"/>
    <n v="92"/>
    <s v="OK"/>
    <n v="3"/>
    <m/>
    <n v="29.34375"/>
    <n v="27.857000000000003"/>
    <n v="88.920454545454547"/>
    <n v="1"/>
    <n v="88.920454545454547"/>
    <x v="0"/>
    <x v="0"/>
    <s v="OK"/>
  </r>
  <r>
    <s v="SO-50474"/>
    <s v="PL-NTE"/>
    <x v="2"/>
    <s v="PRO-1003"/>
    <n v="1579"/>
    <d v="2026-06-02T00:00:00"/>
    <s v="In Transit"/>
    <s v="OK"/>
    <n v="13.9"/>
    <n v="69"/>
    <n v="106"/>
    <s v="OK"/>
    <n v="2"/>
    <m/>
    <n v="22.884057971014492"/>
    <n v="91.450416666666683"/>
    <n v="69.345630215195428"/>
    <n v="1"/>
    <n v="91.450416666666683"/>
    <x v="0"/>
    <x v="0"/>
    <s v="OK"/>
  </r>
  <r>
    <s v="SO-50656"/>
    <s v="PL-SUR"/>
    <x v="0"/>
    <s v="PRO-1003"/>
    <n v="1444"/>
    <d v="2026-06-02T00:00:00"/>
    <s v="In Transit"/>
    <s v="OK"/>
    <n v="13.9"/>
    <n v="69"/>
    <n v="106"/>
    <s v="OK"/>
    <n v="2"/>
    <m/>
    <n v="20.927536231884059"/>
    <n v="83.631666666666675"/>
    <n v="63.416776460254724"/>
    <n v="1"/>
    <n v="83.631666666666675"/>
    <x v="0"/>
    <x v="0"/>
    <s v="OK"/>
  </r>
  <r>
    <s v="SO-51004"/>
    <s v="PL-SUR"/>
    <x v="0"/>
    <s v="LAC-1008"/>
    <n v="2215"/>
    <d v="2026-05-23T00:00:00"/>
    <s v="In Transit"/>
    <s v="OK"/>
    <n v="9.8000000000000007"/>
    <n v="83"/>
    <n v="15"/>
    <s v="OK"/>
    <n v="12"/>
    <m/>
    <n v="26.686746987951807"/>
    <n v="90.44583333333334"/>
    <n v="80.868930266520621"/>
    <n v="1"/>
    <n v="90.44583333333334"/>
    <x v="0"/>
    <x v="1"/>
    <s v="FANTASMA"/>
  </r>
  <r>
    <s v="SO-51034"/>
    <s v="PL-NTE"/>
    <x v="14"/>
    <s v="LAC-1008"/>
    <n v="2025"/>
    <d v="2026-05-23T00:00:00"/>
    <s v="In Transit"/>
    <s v="OK"/>
    <n v="9.8000000000000007"/>
    <n v="83"/>
    <n v="15"/>
    <s v="OK"/>
    <n v="12"/>
    <m/>
    <n v="24.397590361445783"/>
    <n v="82.6875"/>
    <n v="73.932092004381161"/>
    <n v="1"/>
    <n v="82.6875"/>
    <x v="0"/>
    <x v="1"/>
    <s v="FANTASMA"/>
  </r>
  <r>
    <s v="SO-50205"/>
    <s v="PL-CEN"/>
    <x v="5"/>
    <s v="BEB-1016"/>
    <n v="826"/>
    <d v="2026-06-03T00:00:00"/>
    <s v="In Transit"/>
    <s v="OK"/>
    <n v="0"/>
    <n v="98"/>
    <n v="359"/>
    <s v="OK"/>
    <n v="1"/>
    <m/>
    <n v="8.4285714285714288"/>
    <n v="0"/>
    <n v="25.541125541125542"/>
    <n v="1"/>
    <n v="25.541125541125542"/>
    <x v="1"/>
    <x v="0"/>
    <s v="OK"/>
  </r>
  <r>
    <s v="SO-50968"/>
    <s v="PL-NTE"/>
    <x v="1"/>
    <s v="PRO-1006"/>
    <n v="1859"/>
    <d v="2026-06-01T00:00:00"/>
    <s v="In Transit"/>
    <s v="OK"/>
    <n v="12.09"/>
    <n v="80"/>
    <n v="138"/>
    <s v="OK"/>
    <n v="3"/>
    <m/>
    <n v="23.237500000000001"/>
    <n v="93.647125000000003"/>
    <n v="70.416666666666671"/>
    <n v="1"/>
    <n v="93.647125000000003"/>
    <x v="0"/>
    <x v="0"/>
    <s v="OK"/>
  </r>
  <r>
    <s v="SO-50890"/>
    <s v="PL-CEN"/>
    <x v="5"/>
    <s v="PRO-1006"/>
    <n v="1899"/>
    <d v="2026-06-03T00:00:00"/>
    <s v="In Transit"/>
    <s v="OK"/>
    <n v="12.09"/>
    <n v="80"/>
    <n v="138"/>
    <s v="OK"/>
    <n v="1"/>
    <m/>
    <n v="23.737500000000001"/>
    <n v="95.662125000000003"/>
    <n v="71.931818181818187"/>
    <n v="1"/>
    <n v="95.662125000000003"/>
    <x v="0"/>
    <x v="0"/>
    <s v="OK"/>
  </r>
  <r>
    <s v="SO-50591"/>
    <s v="PL-SUR"/>
    <x v="6"/>
    <s v="LAC-1012"/>
    <n v="609"/>
    <d v="2026-05-31T00:00:00"/>
    <s v="In Transit"/>
    <s v="OK"/>
    <n v="9.8699999999999992"/>
    <n v="88"/>
    <n v="25"/>
    <s v="OK"/>
    <n v="4"/>
    <m/>
    <n v="6.9204545454545459"/>
    <n v="25.045125000000002"/>
    <n v="20.971074380165291"/>
    <n v="1"/>
    <n v="25.045125000000002"/>
    <x v="1"/>
    <x v="0"/>
    <s v="OK"/>
  </r>
  <r>
    <s v="SO-50484"/>
    <s v="PL-NTE"/>
    <x v="2"/>
    <s v="BEB-1007"/>
    <n v="1491"/>
    <d v="2026-06-03T00:00:00"/>
    <s v="In Transit"/>
    <s v="OK"/>
    <n v="13.67"/>
    <n v="78"/>
    <n v="247"/>
    <s v="OK"/>
    <n v="1"/>
    <m/>
    <n v="19.115384615384617"/>
    <n v="84.924875"/>
    <n v="57.925407925407931"/>
    <n v="1"/>
    <n v="84.924875"/>
    <x v="0"/>
    <x v="0"/>
    <s v="OK"/>
  </r>
  <r>
    <s v="SO-50860"/>
    <s v="PL-CEN"/>
    <x v="13"/>
    <s v="PRO-1015"/>
    <n v="3302"/>
    <d v="2026-06-03T00:00:00"/>
    <s v="In Transit"/>
    <s v="OK"/>
    <n v="6.16"/>
    <n v="104"/>
    <n v="67"/>
    <s v="OK"/>
    <n v="1"/>
    <m/>
    <n v="31.75"/>
    <n v="84.751333333333335"/>
    <n v="96.212121212121218"/>
    <n v="1"/>
    <n v="96.212121212121218"/>
    <x v="0"/>
    <x v="0"/>
    <s v="OK"/>
  </r>
  <r>
    <s v="SO-51069"/>
    <s v="PL-SUR"/>
    <x v="4"/>
    <s v="ABA-1010"/>
    <n v="2523"/>
    <d v="2026-06-01T00:00:00"/>
    <s v="In Transit"/>
    <s v="OK"/>
    <n v="8.75"/>
    <n v="123"/>
    <n v="341"/>
    <s v="OK"/>
    <n v="3"/>
    <m/>
    <n v="20.512195121951219"/>
    <n v="91.984375"/>
    <n v="62.158167036215815"/>
    <n v="1"/>
    <n v="91.984375"/>
    <x v="0"/>
    <x v="0"/>
    <s v="OK"/>
  </r>
  <r>
    <s v="SO-50712"/>
    <s v="PL-NTE"/>
    <x v="10"/>
    <s v="ABA-1019"/>
    <n v="1279"/>
    <d v="2026-05-31T00:00:00"/>
    <s v="In Transit"/>
    <s v="OK"/>
    <n v="14.82"/>
    <n v="132"/>
    <n v="373"/>
    <s v="OK"/>
    <n v="4"/>
    <m/>
    <n v="9.6893939393939394"/>
    <n v="78.978249999999989"/>
    <n v="29.361799816345268"/>
    <n v="1"/>
    <n v="78.978249999999989"/>
    <x v="0"/>
    <x v="0"/>
    <s v="OK"/>
  </r>
  <r>
    <s v="SO-50254"/>
    <s v="PL-SUR"/>
    <x v="7"/>
    <s v="ABA-1003"/>
    <n v="2461"/>
    <d v="2026-06-03T00:00:00"/>
    <s v="In Transit"/>
    <s v="OK"/>
    <n v="8.67"/>
    <n v="124"/>
    <n v="512"/>
    <s v="OK"/>
    <n v="1"/>
    <m/>
    <n v="19.846774193548388"/>
    <n v="88.903624999999991"/>
    <n v="60.141739980449657"/>
    <n v="1"/>
    <n v="88.903624999999991"/>
    <x v="0"/>
    <x v="0"/>
    <s v="OK"/>
  </r>
  <r>
    <s v="SO-50231"/>
    <s v="PL-NTE"/>
    <x v="11"/>
    <s v="BEB-1003"/>
    <n v="1039"/>
    <d v="2026-06-02T00:00:00"/>
    <s v="In Transit"/>
    <s v="OK"/>
    <n v="20.5"/>
    <n v="64"/>
    <n v="359"/>
    <s v="OK"/>
    <n v="2"/>
    <m/>
    <n v="16.234375"/>
    <n v="88.747916666666669"/>
    <n v="49.195075757575758"/>
    <n v="1"/>
    <n v="88.747916666666669"/>
    <x v="0"/>
    <x v="0"/>
    <s v="OK"/>
  </r>
  <r>
    <s v="SO-51011"/>
    <s v="PL-SUR"/>
    <x v="4"/>
    <s v="LAC-1005"/>
    <n v="2399"/>
    <d v="2026-05-24T00:00:00"/>
    <s v="In Transit"/>
    <s v="OK"/>
    <n v="8.94"/>
    <n v="100"/>
    <n v="17"/>
    <s v="OK"/>
    <n v="11"/>
    <m/>
    <n v="23.99"/>
    <n v="89.362749999999991"/>
    <n v="72.696969696969688"/>
    <n v="1"/>
    <n v="89.362749999999991"/>
    <x v="0"/>
    <x v="1"/>
    <s v="FANTASMA"/>
  </r>
  <r>
    <s v="SO-50137"/>
    <s v="PL-CEN"/>
    <x v="5"/>
    <s v="BEB-1004"/>
    <n v="450"/>
    <d v="2026-06-03T00:00:00"/>
    <s v="In Transit"/>
    <s v="OK"/>
    <n v="21.99"/>
    <n v="67"/>
    <n v="213"/>
    <s v="OK"/>
    <n v="1"/>
    <m/>
    <n v="6.7164179104477615"/>
    <n v="41.231250000000003"/>
    <n v="20.3527815468114"/>
    <n v="1"/>
    <n v="41.231250000000003"/>
    <x v="1"/>
    <x v="0"/>
    <s v="OK"/>
  </r>
  <r>
    <s v="SO-50767"/>
    <s v="PL-CEN"/>
    <x v="8"/>
    <s v="ABA-1003"/>
    <n v="943"/>
    <d v="2026-06-03T00:00:00"/>
    <s v="In Transit"/>
    <s v="OK"/>
    <n v="8.67"/>
    <n v="124"/>
    <n v="512"/>
    <s v="OK"/>
    <n v="1"/>
    <m/>
    <n v="7.604838709677419"/>
    <n v="34.065874999999998"/>
    <n v="23.044965786901269"/>
    <n v="1"/>
    <n v="34.065874999999998"/>
    <x v="1"/>
    <x v="0"/>
    <s v="OK"/>
  </r>
  <r>
    <s v="SO-50342"/>
    <s v="PL-NTE"/>
    <x v="10"/>
    <s v="BEB-1013"/>
    <n v="1141"/>
    <d v="2026-05-30T00:00:00"/>
    <s v="In Transit"/>
    <s v="OK"/>
    <n v="17.28"/>
    <n v="97"/>
    <n v="271"/>
    <s v="OK"/>
    <n v="5"/>
    <m/>
    <n v="11.762886597938145"/>
    <n v="82.152000000000001"/>
    <n v="35.645110902842866"/>
    <n v="1"/>
    <n v="82.152000000000001"/>
    <x v="0"/>
    <x v="0"/>
    <s v="OK"/>
  </r>
  <r>
    <s v="SO-50135"/>
    <s v="PL-NTE"/>
    <x v="2"/>
    <s v="PRO-1004"/>
    <n v="548"/>
    <d v="2026-06-02T00:00:00"/>
    <s v="In Transit"/>
    <s v="OK"/>
    <n v="12.77"/>
    <n v="96"/>
    <n v="122"/>
    <s v="OK"/>
    <n v="2"/>
    <m/>
    <n v="5.708333333333333"/>
    <n v="29.15816666666667"/>
    <n v="17.297979797979799"/>
    <n v="1"/>
    <n v="29.15816666666667"/>
    <x v="1"/>
    <x v="0"/>
    <s v="OK"/>
  </r>
  <r>
    <s v="SO-50846"/>
    <s v="PL-SUR"/>
    <x v="12"/>
    <s v="PRO-1013"/>
    <n v="1074"/>
    <d v="2026-06-03T00:00:00"/>
    <s v="In Transit"/>
    <s v="OK"/>
    <n v="4.37"/>
    <n v="58"/>
    <n v="92"/>
    <s v="OK"/>
    <n v="1"/>
    <m/>
    <n v="18.517241379310345"/>
    <n v="19.55575"/>
    <n v="56.112852664576806"/>
    <n v="1"/>
    <n v="56.112852664576806"/>
    <x v="1"/>
    <x v="0"/>
    <s v="OK"/>
  </r>
  <r>
    <s v="SO-50718"/>
    <s v="PL-SUR"/>
    <x v="6"/>
    <s v="ABA-1004"/>
    <n v="1507"/>
    <d v="2026-05-30T00:00:00"/>
    <s v="In Transit"/>
    <s v="OK"/>
    <n v="12.85"/>
    <n v="91"/>
    <n v="297"/>
    <s v="OK"/>
    <n v="5"/>
    <m/>
    <n v="16.560439560439562"/>
    <n v="80.687291666666667"/>
    <n v="50.183150183150182"/>
    <n v="1"/>
    <n v="80.687291666666667"/>
    <x v="0"/>
    <x v="0"/>
    <s v="OK"/>
  </r>
  <r>
    <s v="SO-50377"/>
    <s v="PL-SUR"/>
    <x v="0"/>
    <s v="BEB-1011"/>
    <n v="874"/>
    <d v="2026-06-03T00:00:00"/>
    <s v="In Transit"/>
    <s v="OK"/>
    <n v="23.39"/>
    <n v="79"/>
    <n v="329"/>
    <s v="OK"/>
    <n v="1"/>
    <m/>
    <n v="11.063291139240507"/>
    <n v="85.178583333333336"/>
    <n v="33.525124664365165"/>
    <n v="1"/>
    <n v="85.178583333333336"/>
    <x v="0"/>
    <x v="0"/>
    <s v="OK"/>
  </r>
  <r>
    <s v="SO-50362"/>
    <s v="PL-SUR"/>
    <x v="0"/>
    <s v="LAC-1007"/>
    <n v="669"/>
    <d v="2026-05-31T00:00:00"/>
    <s v="In Transit"/>
    <s v="OK"/>
    <n v="10.37"/>
    <n v="100"/>
    <n v="24"/>
    <s v="OK"/>
    <n v="4"/>
    <m/>
    <n v="6.69"/>
    <n v="28.906375000000001"/>
    <n v="20.272727272727273"/>
    <n v="1"/>
    <n v="28.906375000000001"/>
    <x v="1"/>
    <x v="0"/>
    <s v="OK"/>
  </r>
  <r>
    <s v="SO-50719"/>
    <s v="PL-NTE"/>
    <x v="11"/>
    <s v="LAC-1003"/>
    <n v="2319"/>
    <d v="2026-06-02T00:00:00"/>
    <s v="In Transit"/>
    <s v="OK"/>
    <n v="9.02"/>
    <n v="114"/>
    <n v="18"/>
    <s v="OK"/>
    <n v="2"/>
    <m/>
    <n v="20.342105263157894"/>
    <n v="87.155749999999983"/>
    <n v="61.642743221690587"/>
    <n v="1"/>
    <n v="87.155749999999983"/>
    <x v="0"/>
    <x v="0"/>
    <s v="OK"/>
  </r>
  <r>
    <s v="SO-51063"/>
    <s v="PL-NTE"/>
    <x v="10"/>
    <s v="PRO-1011"/>
    <n v="2368"/>
    <d v="2026-06-02T00:00:00"/>
    <s v="In Transit"/>
    <s v="OK"/>
    <n v="4.3600000000000003"/>
    <n v="88"/>
    <n v="108"/>
    <s v="OK"/>
    <n v="2"/>
    <m/>
    <n v="26.90909090909091"/>
    <n v="43.018666666666675"/>
    <n v="81.542699724517902"/>
    <n v="1"/>
    <n v="81.542699724517902"/>
    <x v="0"/>
    <x v="0"/>
    <s v="OK"/>
  </r>
  <r>
    <s v="SO-50341"/>
    <s v="PL-SUR"/>
    <x v="4"/>
    <s v="BEB-1020"/>
    <n v="1306"/>
    <d v="2026-06-02T00:00:00"/>
    <s v="In Transit"/>
    <s v="OK"/>
    <n v="16.66"/>
    <n v="85"/>
    <n v="333"/>
    <s v="OK"/>
    <n v="2"/>
    <m/>
    <n v="15.364705882352942"/>
    <n v="90.658166666666659"/>
    <n v="46.559714795008915"/>
    <n v="1"/>
    <n v="90.658166666666659"/>
    <x v="0"/>
    <x v="0"/>
    <s v="OK"/>
  </r>
  <r>
    <s v="SO-50456"/>
    <s v="PL-CEN"/>
    <x v="8"/>
    <s v="BOT-1017"/>
    <n v="1070"/>
    <d v="2026-06-03T00:00:00"/>
    <s v="In Transit"/>
    <s v="OK"/>
    <n v="3.75"/>
    <n v="41"/>
    <n v="106"/>
    <s v="OK"/>
    <n v="1"/>
    <m/>
    <n v="26.097560975609756"/>
    <n v="16.71875"/>
    <n v="79.083518107908361"/>
    <n v="1"/>
    <n v="79.083518107908361"/>
    <x v="0"/>
    <x v="0"/>
    <s v="OK"/>
  </r>
  <r>
    <s v="SO-50457"/>
    <s v="PL-CEN"/>
    <x v="3"/>
    <s v="ABA-1015"/>
    <n v="2324"/>
    <d v="2026-06-03T00:00:00"/>
    <s v="In Transit"/>
    <s v="OK"/>
    <n v="8.19"/>
    <n v="82"/>
    <n v="317"/>
    <s v="OK"/>
    <n v="1"/>
    <m/>
    <n v="28.341463414634145"/>
    <n v="79.306499999999986"/>
    <n v="85.883222468588315"/>
    <n v="1"/>
    <n v="85.883222468588315"/>
    <x v="0"/>
    <x v="0"/>
    <s v="OK"/>
  </r>
  <r>
    <s v="SO-50838"/>
    <s v="PL-SUR"/>
    <x v="4"/>
    <s v="ABA-1015"/>
    <n v="2122"/>
    <d v="2026-06-03T00:00:00"/>
    <s v="In Transit"/>
    <s v="OK"/>
    <n v="8.19"/>
    <n v="82"/>
    <n v="317"/>
    <s v="OK"/>
    <n v="1"/>
    <m/>
    <n v="25.878048780487806"/>
    <n v="72.413249999999991"/>
    <n v="78.418329637841836"/>
    <n v="1"/>
    <n v="78.418329637841836"/>
    <x v="0"/>
    <x v="0"/>
    <s v="OK"/>
  </r>
  <r>
    <s v="SO-50095"/>
    <s v="PL-CEN"/>
    <x v="13"/>
    <s v="PRO-1012"/>
    <n v="-25"/>
    <d v="2026-06-03T00:00:00"/>
    <s v="In Transit"/>
    <s v="INVALIDO"/>
    <n v="6.87"/>
    <n v="101"/>
    <n v="62"/>
    <s v="OK"/>
    <n v="1"/>
    <m/>
    <n v="-0.24752475247524752"/>
    <n v="-0.71562500000000007"/>
    <n v="-0.75007500750075007"/>
    <n v="0"/>
    <s v=""/>
    <x v="0"/>
    <x v="0"/>
    <s v="OK"/>
  </r>
  <r>
    <s v="SO-51006"/>
    <s v="PL-SUR"/>
    <x v="0"/>
    <s v="LAC-1011"/>
    <n v="3779"/>
    <d v="2026-05-21T00:00:00"/>
    <s v="In Transit"/>
    <s v="OK"/>
    <n v="6.1"/>
    <n v="137"/>
    <n v="17"/>
    <s v="OK"/>
    <n v="14"/>
    <m/>
    <n v="27.583941605839417"/>
    <n v="96.049583333333317"/>
    <n v="83.587701835877027"/>
    <n v="1"/>
    <n v="96.049583333333317"/>
    <x v="0"/>
    <x v="1"/>
    <s v="FANTASMA"/>
  </r>
  <r>
    <s v="SO-50758"/>
    <s v="PL-NTE"/>
    <x v="10"/>
    <s v="BOT-1000"/>
    <n v="1217"/>
    <d v="2026-06-01T00:00:00"/>
    <s v="In Transit"/>
    <s v="OK"/>
    <n v="3.56"/>
    <n v="64"/>
    <n v="92"/>
    <s v="OK"/>
    <n v="3"/>
    <m/>
    <n v="19.015625"/>
    <n v="18.052166666666668"/>
    <n v="57.623106060606055"/>
    <n v="1"/>
    <n v="57.623106060606055"/>
    <x v="1"/>
    <x v="0"/>
    <s v="OK"/>
  </r>
  <r>
    <s v="SO-51096"/>
    <s v="PL-SUR"/>
    <x v="7"/>
    <s v="LAC-1005"/>
    <n v="1002"/>
    <d v="2026-05-27T00:00:00"/>
    <s v="In Transit"/>
    <s v="OK"/>
    <n v="8.94"/>
    <n v="100"/>
    <n v="17"/>
    <s v="OK"/>
    <n v="8"/>
    <m/>
    <n v="10.02"/>
    <n v="37.3245"/>
    <n v="30.363636363636363"/>
    <n v="1"/>
    <n v="37.3245"/>
    <x v="1"/>
    <x v="1"/>
    <s v="FANTASMA"/>
  </r>
  <r>
    <s v="SO-50429"/>
    <s v="PL-NTE"/>
    <x v="11"/>
    <s v="BOT-1013"/>
    <n v="612"/>
    <d v="2026-06-02T00:00:00"/>
    <s v="In Transit"/>
    <s v="OK"/>
    <n v="4"/>
    <n v="58"/>
    <n v="112"/>
    <s v="OK"/>
    <n v="2"/>
    <m/>
    <n v="10.551724137931034"/>
    <n v="10.199999999999999"/>
    <n v="31.974921630094045"/>
    <n v="1"/>
    <n v="31.974921630094045"/>
    <x v="1"/>
    <x v="0"/>
    <s v="OK"/>
  </r>
  <r>
    <s v="SO-50170"/>
    <s v="PL-NTE"/>
    <x v="1"/>
    <s v="BEB-1003"/>
    <n v="1043"/>
    <d v="2026-06-02T00:00:00"/>
    <s v="In Transit"/>
    <s v="OK"/>
    <n v="20.5"/>
    <n v="64"/>
    <n v="359"/>
    <s v="OK"/>
    <n v="2"/>
    <m/>
    <n v="16.296875"/>
    <n v="89.089583333333337"/>
    <n v="49.384469696969695"/>
    <n v="1"/>
    <n v="89.089583333333337"/>
    <x v="0"/>
    <x v="0"/>
    <s v="OK"/>
  </r>
  <r>
    <s v="SO-50632"/>
    <s v="PL-SUR"/>
    <x v="6"/>
    <s v="ABA-1010"/>
    <n v="2269"/>
    <d v="2026-06-02T00:00:00"/>
    <s v="In Transit"/>
    <s v="OK"/>
    <n v="8.75"/>
    <n v="123"/>
    <n v="341"/>
    <s v="OK"/>
    <n v="2"/>
    <m/>
    <n v="18.447154471544714"/>
    <n v="82.723958333333343"/>
    <n v="55.900468095590043"/>
    <n v="1"/>
    <n v="82.723958333333343"/>
    <x v="0"/>
    <x v="0"/>
    <s v="OK"/>
  </r>
  <r>
    <s v="SO-50869"/>
    <s v="PL-CEN"/>
    <x v="3"/>
    <s v="LAC-1010"/>
    <n v="3469"/>
    <d v="2026-06-02T00:00:00"/>
    <s v="In Transit"/>
    <s v="OK"/>
    <n v="6.24"/>
    <n v="146"/>
    <n v="24"/>
    <s v="OK"/>
    <n v="2"/>
    <m/>
    <n v="23.760273972602739"/>
    <n v="90.194000000000003"/>
    <n v="72.000830220008311"/>
    <n v="1"/>
    <n v="90.194000000000003"/>
    <x v="0"/>
    <x v="0"/>
    <s v="OK"/>
  </r>
  <r>
    <s v="SO-50462"/>
    <s v="PL-NTE"/>
    <x v="10"/>
    <s v="PRO-1000"/>
    <n v="1622"/>
    <d v="2026-06-01T00:00:00"/>
    <s v="In Transit"/>
    <s v="OK"/>
    <n v="12.51"/>
    <n v="73"/>
    <n v="75"/>
    <s v="OK"/>
    <n v="3"/>
    <m/>
    <n v="22.219178082191782"/>
    <n v="84.546750000000003"/>
    <n v="67.330842673308439"/>
    <n v="1"/>
    <n v="84.546750000000003"/>
    <x v="0"/>
    <x v="0"/>
    <s v="OK"/>
  </r>
  <r>
    <s v="SO-50407"/>
    <s v="PL-CEN"/>
    <x v="5"/>
    <s v="BOT-1022"/>
    <n v="1527"/>
    <d v="2026-06-02T00:00:00"/>
    <s v="In Transit"/>
    <s v="OK"/>
    <n v="3.48"/>
    <n v="55"/>
    <n v="118"/>
    <s v="OK"/>
    <n v="2"/>
    <m/>
    <n v="27.763636363636362"/>
    <n v="22.141500000000001"/>
    <n v="84.132231404958674"/>
    <n v="1"/>
    <n v="84.132231404958674"/>
    <x v="0"/>
    <x v="0"/>
    <s v="OK"/>
  </r>
  <r>
    <s v="SO-50279"/>
    <s v="PL-NTE"/>
    <x v="1"/>
    <s v="BEB-1008"/>
    <n v="574"/>
    <d v="2026-05-31T00:00:00"/>
    <s v="In Transit"/>
    <s v="OK"/>
    <n v="17.47"/>
    <n v="65"/>
    <n v="216"/>
    <s v="OK"/>
    <n v="4"/>
    <m/>
    <n v="8.8307692307692314"/>
    <n v="41.782416666666663"/>
    <n v="26.759906759906759"/>
    <n v="1"/>
    <n v="41.782416666666663"/>
    <x v="1"/>
    <x v="0"/>
    <s v="OK"/>
  </r>
  <r>
    <s v="SO-50851"/>
    <s v="PL-CEN"/>
    <x v="8"/>
    <s v="BEB-1008"/>
    <n v="1265"/>
    <d v="2026-06-03T00:00:00"/>
    <s v="In Transit"/>
    <s v="OK"/>
    <n v="17.47"/>
    <n v="65"/>
    <n v="216"/>
    <s v="OK"/>
    <n v="1"/>
    <m/>
    <n v="19.46153846153846"/>
    <n v="92.08145833333333"/>
    <n v="58.974358974358964"/>
    <n v="1"/>
    <n v="92.08145833333333"/>
    <x v="0"/>
    <x v="0"/>
    <s v="OK"/>
  </r>
  <r>
    <s v="SO-50952"/>
    <s v="PL-SUR"/>
    <x v="0"/>
    <s v="BEB-1011"/>
    <n v="952"/>
    <d v="2026-06-01T00:00:00"/>
    <s v="In Transit"/>
    <s v="OK"/>
    <n v="23.39"/>
    <n v="79"/>
    <n v="329"/>
    <s v="OK"/>
    <n v="3"/>
    <m/>
    <n v="12.050632911392405"/>
    <n v="92.780333333333331"/>
    <n v="36.517069428461838"/>
    <n v="1"/>
    <n v="92.780333333333331"/>
    <x v="0"/>
    <x v="0"/>
    <s v="OK"/>
  </r>
  <r>
    <s v="SO-50251"/>
    <s v="PL-NTE"/>
    <x v="1"/>
    <s v="BEB-1015"/>
    <n v="1009"/>
    <d v="2026-06-02T00:00:00"/>
    <s v="In Transit"/>
    <s v="OK"/>
    <n v="19.95"/>
    <n v="78"/>
    <n v="276"/>
    <s v="OK"/>
    <n v="2"/>
    <m/>
    <n v="12.935897435897436"/>
    <n v="83.873124999999987"/>
    <n v="39.199689199689203"/>
    <n v="1"/>
    <n v="83.873124999999987"/>
    <x v="0"/>
    <x v="0"/>
    <s v="OK"/>
  </r>
  <r>
    <s v="SO-50156"/>
    <s v="PL-SUR"/>
    <x v="12"/>
    <s v="BOT-1020"/>
    <n v="595"/>
    <d v="2026-06-03T00:00:00"/>
    <s v="In Transit"/>
    <s v="OK"/>
    <n v="6.27"/>
    <n v="67"/>
    <n v="90"/>
    <s v="OK"/>
    <n v="1"/>
    <m/>
    <n v="8.8805970149253728"/>
    <n v="15.544374999999999"/>
    <n v="26.910900045228402"/>
    <n v="1"/>
    <n v="26.910900045228402"/>
    <x v="1"/>
    <x v="0"/>
    <s v="OK"/>
  </r>
  <r>
    <s v="SO-50343"/>
    <s v="PL-CEN"/>
    <x v="3"/>
    <s v="BEB-1003"/>
    <n v="1020"/>
    <d v="2026-06-02T00:00:00"/>
    <s v="In Transit"/>
    <s v="OK"/>
    <n v="20.5"/>
    <n v="64"/>
    <n v="359"/>
    <s v="OK"/>
    <n v="2"/>
    <m/>
    <n v="15.9375"/>
    <n v="87.125"/>
    <n v="48.295454545454547"/>
    <n v="1"/>
    <n v="87.125"/>
    <x v="0"/>
    <x v="0"/>
    <s v="OK"/>
  </r>
  <r>
    <s v="SO-50476"/>
    <s v="PL-SUR"/>
    <x v="4"/>
    <s v="ABA-1016"/>
    <n v="380"/>
    <d v="2026-06-02T00:00:00"/>
    <s v="In Transit"/>
    <s v="OK"/>
    <n v="15.52"/>
    <n v="121"/>
    <n v="517"/>
    <s v="OK"/>
    <n v="2"/>
    <m/>
    <n v="3.1404958677685952"/>
    <n v="24.573333333333331"/>
    <n v="9.5166541447533177"/>
    <n v="1"/>
    <n v="24.573333333333331"/>
    <x v="1"/>
    <x v="0"/>
    <s v="OK"/>
  </r>
  <r>
    <s v="SO-50634"/>
    <s v="PL-CEN"/>
    <x v="9"/>
    <s v="ABA-1017"/>
    <n v="1929"/>
    <d v="2026-06-03T00:00:00"/>
    <s v="In Transit"/>
    <s v="OK"/>
    <n v="10.96"/>
    <n v="128"/>
    <n v="520"/>
    <s v="OK"/>
    <n v="1"/>
    <m/>
    <n v="15.0703125"/>
    <n v="88.090999999999994"/>
    <n v="45.667613636363633"/>
    <n v="1"/>
    <n v="88.090999999999994"/>
    <x v="0"/>
    <x v="0"/>
    <s v="OK"/>
  </r>
  <r>
    <s v="SO-50680"/>
    <s v="PL-SUR"/>
    <x v="4"/>
    <s v="ABA-1005"/>
    <n v="1442"/>
    <d v="2026-06-02T00:00:00"/>
    <s v="In Transit"/>
    <s v="OK"/>
    <n v="13.31"/>
    <n v="89"/>
    <n v="313"/>
    <s v="OK"/>
    <n v="2"/>
    <m/>
    <n v="16.202247191011235"/>
    <n v="79.970916666666668"/>
    <n v="49.097718760640106"/>
    <n v="1"/>
    <n v="79.970916666666668"/>
    <x v="0"/>
    <x v="0"/>
    <s v="OK"/>
  </r>
  <r>
    <s v="SO-50862"/>
    <s v="PL-NTE"/>
    <x v="2"/>
    <s v="BEB-1006"/>
    <n v="590"/>
    <d v="2026-06-02T00:00:00"/>
    <s v="In Transit"/>
    <s v="OK"/>
    <n v="17.18"/>
    <n v="81"/>
    <n v="293"/>
    <s v="OK"/>
    <n v="2"/>
    <m/>
    <n v="7.283950617283951"/>
    <n v="42.234166666666667"/>
    <n v="22.072577628133185"/>
    <n v="1"/>
    <n v="42.234166666666667"/>
    <x v="1"/>
    <x v="0"/>
    <s v="OK"/>
  </r>
  <r>
    <s v="SO-50146"/>
    <s v="PL-NTE"/>
    <x v="1"/>
    <s v="PRO-1001"/>
    <n v="2137"/>
    <d v="2026-06-01T00:00:00"/>
    <s v="In Transit"/>
    <s v="OK"/>
    <n v="9.57"/>
    <n v="92"/>
    <n v="122"/>
    <s v="OK"/>
    <n v="3"/>
    <m/>
    <n v="23.228260869565219"/>
    <n v="85.212874999999997"/>
    <n v="70.388669301712781"/>
    <n v="1"/>
    <n v="85.212874999999997"/>
    <x v="0"/>
    <x v="0"/>
    <s v="OK"/>
  </r>
  <r>
    <s v="SO-50984"/>
    <s v="PL-SUR"/>
    <x v="6"/>
    <s v="ABA-1013"/>
    <n v="1895"/>
    <d v="2026-06-03T00:00:00"/>
    <s v="In Transit"/>
    <s v="OK"/>
    <n v="12.02"/>
    <n v="75"/>
    <n v="402"/>
    <s v="OK"/>
    <n v="1"/>
    <m/>
    <n v="25.266666666666666"/>
    <n v="94.907916666666665"/>
    <n v="76.565656565656553"/>
    <n v="1"/>
    <n v="94.907916666666665"/>
    <x v="0"/>
    <x v="0"/>
    <s v="OK"/>
  </r>
  <r>
    <s v="SO-50222"/>
    <s v="PL-NTE"/>
    <x v="11"/>
    <s v="PRO-1000"/>
    <n v="518"/>
    <d v="2026-06-03T00:00:00"/>
    <s v="In Transit"/>
    <s v="OK"/>
    <n v="12.51"/>
    <n v="73"/>
    <n v="75"/>
    <s v="OK"/>
    <n v="1"/>
    <m/>
    <n v="7.095890410958904"/>
    <n v="27.00075"/>
    <n v="21.502698215026982"/>
    <n v="1"/>
    <n v="27.00075"/>
    <x v="1"/>
    <x v="0"/>
    <s v="OK"/>
  </r>
  <r>
    <s v="SO-50590"/>
    <s v="PL-NTE"/>
    <x v="2"/>
    <s v="ABA-1003"/>
    <n v="2509"/>
    <d v="2026-06-02T00:00:00"/>
    <s v="In Transit"/>
    <s v="OK"/>
    <n v="8.67"/>
    <n v="124"/>
    <n v="512"/>
    <s v="OK"/>
    <n v="2"/>
    <m/>
    <n v="20.233870967741936"/>
    <n v="90.637625"/>
    <n v="61.314760508308893"/>
    <n v="1"/>
    <n v="90.637625"/>
    <x v="0"/>
    <x v="0"/>
    <s v="OK"/>
  </r>
  <r>
    <s v="SO-50125"/>
    <s v="PL-NTE"/>
    <x v="2"/>
    <s v="ABA-1017"/>
    <n v="1158"/>
    <d v="2026-06-02T00:00:00"/>
    <s v="In Transit"/>
    <s v="OK"/>
    <n v="10.96"/>
    <n v="128"/>
    <n v="520"/>
    <s v="OK"/>
    <n v="2"/>
    <m/>
    <n v="9.046875"/>
    <n v="52.881999999999998"/>
    <n v="27.41477272727273"/>
    <n v="1"/>
    <n v="52.881999999999998"/>
    <x v="1"/>
    <x v="0"/>
    <s v="OK"/>
  </r>
  <r>
    <s v="SO-50517"/>
    <s v="PL-SUR"/>
    <x v="0"/>
    <s v="BEB-1020"/>
    <n v="1180"/>
    <d v="2026-06-02T00:00:00"/>
    <s v="In Transit"/>
    <s v="OK"/>
    <n v="16.66"/>
    <n v="85"/>
    <n v="333"/>
    <s v="OK"/>
    <n v="2"/>
    <m/>
    <n v="13.882352941176471"/>
    <n v="81.911666666666662"/>
    <n v="42.067736185383247"/>
    <n v="1"/>
    <n v="81.911666666666662"/>
    <x v="0"/>
    <x v="0"/>
    <s v="OK"/>
  </r>
  <r>
    <s v="SO-50225"/>
    <s v="PL-SUR"/>
    <x v="7"/>
    <s v="ABA-1015"/>
    <n v="2304"/>
    <d v="2026-06-03T00:00:00"/>
    <s v="In Transit"/>
    <s v="OK"/>
    <n v="8.19"/>
    <n v="82"/>
    <n v="317"/>
    <s v="OK"/>
    <n v="1"/>
    <m/>
    <n v="28.097560975609756"/>
    <n v="78.623999999999995"/>
    <n v="85.144124168514409"/>
    <n v="1"/>
    <n v="85.144124168514409"/>
    <x v="0"/>
    <x v="0"/>
    <s v="OK"/>
  </r>
  <r>
    <s v="SO-50291"/>
    <s v="PL-SUR"/>
    <x v="4"/>
    <s v="LAC-1003"/>
    <n v="2516"/>
    <d v="2026-06-02T00:00:00"/>
    <s v="In Transit"/>
    <s v="OK"/>
    <n v="9.02"/>
    <n v="114"/>
    <n v="18"/>
    <s v="OK"/>
    <n v="2"/>
    <m/>
    <n v="22.07017543859649"/>
    <n v="94.559666666666658"/>
    <n v="66.879319510898455"/>
    <n v="1"/>
    <n v="94.559666666666658"/>
    <x v="0"/>
    <x v="0"/>
    <s v="OK"/>
  </r>
  <r>
    <s v="SO-50136"/>
    <s v="PL-SUR"/>
    <x v="6"/>
    <s v="BEB-1019"/>
    <n v="1333"/>
    <d v="2026-05-30T00:00:00"/>
    <s v="In Transit"/>
    <s v="OK"/>
    <n v="14.35"/>
    <n v="70"/>
    <n v="240"/>
    <s v="OK"/>
    <n v="5"/>
    <m/>
    <n v="19.042857142857144"/>
    <n v="79.702291666666653"/>
    <n v="57.705627705627712"/>
    <n v="1"/>
    <n v="79.702291666666653"/>
    <x v="0"/>
    <x v="0"/>
    <s v="OK"/>
  </r>
  <r>
    <s v="SO-50629"/>
    <s v="PL-SUR"/>
    <x v="0"/>
    <s v="LAC-1002"/>
    <n v="2825"/>
    <d v="2026-05-31T00:00:00"/>
    <s v="In Transit"/>
    <s v="OK"/>
    <n v="7.71"/>
    <n v="101"/>
    <n v="23"/>
    <s v="OK"/>
    <n v="4"/>
    <m/>
    <n v="27.970297029702969"/>
    <n v="90.753124999999997"/>
    <n v="84.758475847584762"/>
    <n v="1"/>
    <n v="90.753124999999997"/>
    <x v="0"/>
    <x v="0"/>
    <s v="OK"/>
  </r>
  <r>
    <s v="SO-50876"/>
    <s v="PL-CEN"/>
    <x v="3"/>
    <s v="LAC-1016"/>
    <n v="1757"/>
    <d v="2026-06-03T00:00:00"/>
    <s v="In Transit"/>
    <s v="OK"/>
    <n v="10.9"/>
    <n v="131"/>
    <n v="22"/>
    <s v="OK"/>
    <n v="1"/>
    <m/>
    <n v="13.412213740458014"/>
    <n v="79.797083333333333"/>
    <n v="40.643071940781859"/>
    <n v="1"/>
    <n v="79.797083333333333"/>
    <x v="0"/>
    <x v="0"/>
    <s v="OK"/>
  </r>
  <r>
    <s v="SO-50580"/>
    <s v="PL-CEN"/>
    <x v="13"/>
    <s v="PRO-1011"/>
    <n v="2623"/>
    <d v="2026-06-03T00:00:00"/>
    <s v="In Transit"/>
    <s v="OK"/>
    <n v="4.3600000000000003"/>
    <n v="88"/>
    <n v="108"/>
    <s v="OK"/>
    <n v="1"/>
    <m/>
    <n v="29.806818181818183"/>
    <n v="47.651166666666668"/>
    <n v="90.323691460055102"/>
    <n v="1"/>
    <n v="90.323691460055102"/>
    <x v="0"/>
    <x v="0"/>
    <s v="OK"/>
  </r>
  <r>
    <s v="SO-50732"/>
    <s v="PL-CEN"/>
    <x v="9"/>
    <s v="BOT-1008"/>
    <n v="1798"/>
    <d v="2026-06-03T00:00:00"/>
    <s v="In Transit"/>
    <s v="OK"/>
    <n v="3.48"/>
    <n v="66"/>
    <n v="112"/>
    <s v="OK"/>
    <n v="1"/>
    <m/>
    <n v="27.242424242424242"/>
    <n v="26.070999999999998"/>
    <n v="82.552800734618913"/>
    <n v="1"/>
    <n v="82.552800734618913"/>
    <x v="0"/>
    <x v="0"/>
    <s v="OK"/>
  </r>
  <r>
    <s v="SO-50633"/>
    <s v="PL-NTE"/>
    <x v="11"/>
    <s v="BOT-1007"/>
    <n v="3645"/>
    <d v="2026-06-02T00:00:00"/>
    <s v="In Transit"/>
    <s v="OK"/>
    <n v="0"/>
    <n v="49"/>
    <n v="104"/>
    <s v="OK"/>
    <n v="2"/>
    <m/>
    <n v="74.387755102040813"/>
    <n v="0"/>
    <n v="225.417439703154"/>
    <n v="3"/>
    <n v="75.139146567718001"/>
    <x v="0"/>
    <x v="0"/>
    <s v="OK"/>
  </r>
  <r>
    <s v="SO-50944"/>
    <s v="PL-SUR"/>
    <x v="4"/>
    <s v="BOT-1013"/>
    <n v="1536"/>
    <d v="2026-06-03T00:00:00"/>
    <s v="In Transit"/>
    <s v="OK"/>
    <n v="4"/>
    <n v="58"/>
    <n v="112"/>
    <s v="OK"/>
    <n v="1"/>
    <m/>
    <n v="26.482758620689655"/>
    <n v="25.6"/>
    <n v="80.250783699059554"/>
    <n v="1"/>
    <n v="80.250783699059554"/>
    <x v="0"/>
    <x v="0"/>
    <s v="OK"/>
  </r>
  <r>
    <s v="SO-50053"/>
    <s v="PL-SUR"/>
    <x v="0"/>
    <s v="BOT-1008"/>
    <n v="1736"/>
    <d v="2026-06-01T00:00:00"/>
    <s v="Delivered"/>
    <s v="OK"/>
    <n v="3.48"/>
    <n v="66"/>
    <n v="112"/>
    <s v="OK"/>
    <n v="3"/>
    <m/>
    <n v="26.303030303030305"/>
    <n v="25.172000000000001"/>
    <n v="79.706152433425174"/>
    <n v="1"/>
    <n v="79.706152433425174"/>
    <x v="0"/>
    <x v="0"/>
    <s v="OK"/>
  </r>
  <r>
    <s v="SO-50018"/>
    <s v="PL-NTE"/>
    <x v="14"/>
    <s v="BEB-1009"/>
    <n v="1198"/>
    <d v="2026-06-03T00:00:00"/>
    <s v="In Transit"/>
    <s v="OK"/>
    <n v="18.170000000000002"/>
    <n v="61"/>
    <n v="188"/>
    <s v="OK"/>
    <n v="1"/>
    <m/>
    <n v="19.639344262295083"/>
    <n v="90.698583333333346"/>
    <n v="59.513164431197218"/>
    <n v="1"/>
    <n v="90.698583333333346"/>
    <x v="0"/>
    <x v="0"/>
    <s v="OK"/>
  </r>
  <r>
    <s v="SO-50029"/>
    <s v="PL-CEN"/>
    <x v="3"/>
    <s v="LAC-1014"/>
    <n v="1147"/>
    <d v="2026-06-02T00:00:00"/>
    <s v="In Transit"/>
    <s v="OK"/>
    <n v="8.0500000000000007"/>
    <n v="147"/>
    <n v="28"/>
    <s v="OK"/>
    <n v="2"/>
    <m/>
    <n v="7.8027210884353737"/>
    <n v="38.472291666666671"/>
    <n v="23.644609358895071"/>
    <n v="1"/>
    <n v="38.472291666666671"/>
    <x v="1"/>
    <x v="0"/>
    <s v="OK"/>
  </r>
  <r>
    <s v="SO-50572"/>
    <s v="PL-SUR"/>
    <x v="4"/>
    <s v="ABA-1005"/>
    <n v="1646"/>
    <d v="2026-06-02T00:00:00"/>
    <s v="In Transit"/>
    <s v="OK"/>
    <n v="13.31"/>
    <n v="89"/>
    <n v="313"/>
    <s v="OK"/>
    <n v="2"/>
    <m/>
    <n v="18.49438202247191"/>
    <n v="91.284416666666672"/>
    <n v="56.043581886278517"/>
    <n v="1"/>
    <n v="91.284416666666672"/>
    <x v="0"/>
    <x v="0"/>
    <s v="OK"/>
  </r>
  <r>
    <s v="SO-50586"/>
    <s v="PL-NTE"/>
    <x v="14"/>
    <s v="BEB-1016"/>
    <n v="415"/>
    <d v="2026-06-03T00:00:00"/>
    <s v="In Transit"/>
    <s v="OK"/>
    <n v="0"/>
    <n v="98"/>
    <n v="359"/>
    <s v="OK"/>
    <n v="1"/>
    <m/>
    <n v="4.2346938775510203"/>
    <n v="0"/>
    <n v="12.832405689548546"/>
    <n v="1"/>
    <n v="12.832405689548546"/>
    <x v="1"/>
    <x v="0"/>
    <s v="OK"/>
  </r>
  <r>
    <s v="SO-50422"/>
    <s v="PL-SUR"/>
    <x v="4"/>
    <s v="ABA-1003"/>
    <n v="2305"/>
    <d v="2026-06-03T00:00:00"/>
    <s v="In Transit"/>
    <s v="OK"/>
    <n v="8.67"/>
    <n v="124"/>
    <n v="512"/>
    <s v="OK"/>
    <n v="1"/>
    <m/>
    <n v="18.588709677419356"/>
    <n v="83.268124999999998"/>
    <n v="56.329423264907142"/>
    <n v="1"/>
    <n v="83.268124999999998"/>
    <x v="0"/>
    <x v="0"/>
    <s v="OK"/>
  </r>
  <r>
    <s v="SO-50072"/>
    <s v="PL-CEN"/>
    <x v="3"/>
    <s v="LAC-1015"/>
    <n v="1235"/>
    <d v="2026-06-02T00:00:00"/>
    <s v="In Transit"/>
    <s v="OK"/>
    <n v="11.26"/>
    <n v="129"/>
    <n v="24"/>
    <s v="OK"/>
    <n v="2"/>
    <m/>
    <n v="9.5736434108527124"/>
    <n v="57.942083333333336"/>
    <n v="29.011040638947616"/>
    <n v="1"/>
    <n v="57.942083333333336"/>
    <x v="1"/>
    <x v="0"/>
    <s v="OK"/>
  </r>
  <r>
    <s v="SO-50159"/>
    <s v="PL-SUR"/>
    <x v="0"/>
    <s v="PRO-1010"/>
    <n v="2215"/>
    <d v="2026-06-03T00:00:00"/>
    <s v="In Transit"/>
    <s v="OK"/>
    <n v="7.76"/>
    <n v="86"/>
    <n v="112"/>
    <s v="OK"/>
    <n v="1"/>
    <m/>
    <n v="25.755813953488371"/>
    <n v="71.618333333333325"/>
    <n v="78.047921071176887"/>
    <n v="1"/>
    <n v="78.047921071176887"/>
    <x v="0"/>
    <x v="0"/>
    <s v="OK"/>
  </r>
  <r>
    <s v="SO-50864"/>
    <s v="PL-SUR"/>
    <x v="4"/>
    <s v="ABA-1015"/>
    <n v="1030"/>
    <d v="2026-06-02T00:00:00"/>
    <s v="In Transit"/>
    <s v="OK"/>
    <n v="8.19"/>
    <n v="82"/>
    <n v="317"/>
    <s v="OK"/>
    <n v="2"/>
    <m/>
    <n v="12.560975609756097"/>
    <n v="35.148749999999993"/>
    <n v="38.063562453806355"/>
    <n v="1"/>
    <n v="38.063562453806355"/>
    <x v="1"/>
    <x v="0"/>
    <s v="OK"/>
  </r>
  <r>
    <s v="SO-50847"/>
    <s v="PL-NTE"/>
    <x v="10"/>
    <s v="BOT-1021"/>
    <n v="709"/>
    <d v="2026-06-03T00:00:00"/>
    <s v="In Transit"/>
    <s v="OK"/>
    <n v="5.04"/>
    <n v="47"/>
    <n v="96"/>
    <s v="OK"/>
    <n v="1"/>
    <m/>
    <n v="15.085106382978724"/>
    <n v="14.888999999999999"/>
    <n v="45.712443584784012"/>
    <n v="1"/>
    <n v="45.712443584784012"/>
    <x v="1"/>
    <x v="0"/>
    <s v="OK"/>
  </r>
  <r>
    <s v="SO-50709"/>
    <s v="PL-NTE"/>
    <x v="2"/>
    <s v="ABA-1017"/>
    <n v="0"/>
    <d v="2026-06-02T00:00:00"/>
    <s v="In Transit"/>
    <s v="OK"/>
    <n v="10.96"/>
    <n v="128"/>
    <n v="520"/>
    <s v="OK"/>
    <n v="2"/>
    <m/>
    <n v="0"/>
    <n v="0"/>
    <n v="0"/>
    <n v="0"/>
    <s v=""/>
    <x v="0"/>
    <x v="0"/>
    <s v="OK"/>
  </r>
  <r>
    <s v="SO-50971"/>
    <s v="PL-CEN"/>
    <x v="3"/>
    <s v="BEB-1020"/>
    <n v="1317"/>
    <d v="2026-06-01T00:00:00"/>
    <s v="In Transit"/>
    <s v="OK"/>
    <n v="16.66"/>
    <n v="85"/>
    <n v="333"/>
    <s v="OK"/>
    <n v="3"/>
    <m/>
    <n v="15.494117647058824"/>
    <n v="91.421750000000003"/>
    <n v="46.951871657754012"/>
    <n v="1"/>
    <n v="91.421750000000003"/>
    <x v="0"/>
    <x v="0"/>
    <s v="OK"/>
  </r>
  <r>
    <s v="SO-50214"/>
    <s v="PL-NTE"/>
    <x v="1"/>
    <s v="LAC-1009"/>
    <n v="1706"/>
    <d v="2026-05-31T00:00:00"/>
    <s v="In Transit"/>
    <s v="OK"/>
    <n v="11.01"/>
    <n v="98"/>
    <n v="16"/>
    <s v="OK"/>
    <n v="4"/>
    <m/>
    <n v="17.408163265306122"/>
    <n v="78.262749999999997"/>
    <n v="52.752009894867037"/>
    <n v="1"/>
    <n v="78.262749999999997"/>
    <x v="0"/>
    <x v="0"/>
    <s v="OK"/>
  </r>
  <r>
    <s v="SO-50464"/>
    <s v="PL-NTE"/>
    <x v="1"/>
    <s v="BOT-1000"/>
    <n v="2001"/>
    <d v="2026-06-03T00:00:00"/>
    <s v="In Transit"/>
    <s v="OK"/>
    <n v="3.56"/>
    <n v="64"/>
    <n v="92"/>
    <s v="OK"/>
    <n v="1"/>
    <m/>
    <n v="31.265625"/>
    <n v="29.6815"/>
    <n v="94.744318181818173"/>
    <n v="1"/>
    <n v="94.744318181818173"/>
    <x v="0"/>
    <x v="0"/>
    <s v="OK"/>
  </r>
  <r>
    <s v="SO-50866"/>
    <s v="PL-NTE"/>
    <x v="2"/>
    <s v="BOT-1012"/>
    <n v="1036"/>
    <d v="2026-06-02T00:00:00"/>
    <s v="In Transit"/>
    <s v="OK"/>
    <n v="4.26"/>
    <n v="68"/>
    <n v="117"/>
    <s v="OK"/>
    <n v="2"/>
    <m/>
    <n v="15.235294117647058"/>
    <n v="18.388999999999999"/>
    <n v="46.167557932263811"/>
    <n v="1"/>
    <n v="46.167557932263811"/>
    <x v="1"/>
    <x v="0"/>
    <s v="OK"/>
  </r>
  <r>
    <s v="SO-50453"/>
    <s v="PL-CEN"/>
    <x v="5"/>
    <s v="LAC-1002"/>
    <n v="2910"/>
    <d v="2026-06-03T00:00:00"/>
    <s v="In Transit"/>
    <s v="OK"/>
    <n v="7.71"/>
    <n v="101"/>
    <n v="23"/>
    <s v="OK"/>
    <n v="1"/>
    <m/>
    <n v="28.811881188118811"/>
    <n v="93.483750000000001"/>
    <n v="87.308730873087299"/>
    <n v="1"/>
    <n v="93.483750000000001"/>
    <x v="0"/>
    <x v="0"/>
    <s v="OK"/>
  </r>
  <r>
    <s v="SO-50624"/>
    <s v="PL-CEN"/>
    <x v="5"/>
    <s v="XXX-8415"/>
    <n v="768"/>
    <d v="2026-06-03T00:00:00"/>
    <s v="In Transit"/>
    <s v="OK"/>
    <n v="0"/>
    <n v="0"/>
    <n v="0"/>
    <s v="HUERFANO"/>
    <n v="1"/>
    <m/>
    <s v="n/a"/>
    <s v="n/a"/>
    <s v="n/a"/>
    <s v="n/a"/>
    <s v="n/a"/>
    <x v="2"/>
    <x v="2"/>
    <s v="n/a"/>
  </r>
  <r>
    <s v="SO-50873"/>
    <s v="PL-CEN"/>
    <x v="13"/>
    <s v="LAC-1009"/>
    <n v="1863"/>
    <d v="2026-06-03T00:00:00"/>
    <s v="In Transit"/>
    <s v="OK"/>
    <n v="11.01"/>
    <n v="98"/>
    <n v="16"/>
    <s v="OK"/>
    <n v="1"/>
    <m/>
    <n v="19.010204081632654"/>
    <n v="85.465125000000015"/>
    <n v="57.606679035250465"/>
    <n v="1"/>
    <n v="85.465125000000015"/>
    <x v="0"/>
    <x v="0"/>
    <s v="OK"/>
  </r>
  <r>
    <s v="SO-50887"/>
    <s v="PL-CEN"/>
    <x v="9"/>
    <s v="PRO-1011"/>
    <n v="2718"/>
    <d v="2026-06-03T00:00:00"/>
    <s v="In Transit"/>
    <s v="OK"/>
    <n v="4.3600000000000003"/>
    <n v="88"/>
    <n v="108"/>
    <s v="OK"/>
    <n v="1"/>
    <m/>
    <n v="30.886363636363637"/>
    <n v="49.377000000000002"/>
    <n v="93.59504132231406"/>
    <n v="1"/>
    <n v="93.59504132231406"/>
    <x v="0"/>
    <x v="0"/>
    <s v="OK"/>
  </r>
  <r>
    <s v="SO-51086"/>
    <s v="PL-CEN"/>
    <x v="13"/>
    <s v="BOT-1017"/>
    <n v="1098"/>
    <d v="2026-06-01T00:00:00"/>
    <s v="In Transit"/>
    <s v="OK"/>
    <n v="3.75"/>
    <n v="41"/>
    <n v="106"/>
    <s v="OK"/>
    <n v="3"/>
    <m/>
    <n v="26.780487804878049"/>
    <n v="17.15625"/>
    <n v="81.152993348115302"/>
    <n v="1"/>
    <n v="81.152993348115302"/>
    <x v="0"/>
    <x v="0"/>
    <s v="OK"/>
  </r>
  <r>
    <s v="SO-50057"/>
    <s v="PL-SUR"/>
    <x v="6"/>
    <s v="BEB-1007"/>
    <n v="1515"/>
    <d v="2026-06-03T00:00:00"/>
    <s v="In Transit"/>
    <s v="OK"/>
    <n v="13.67"/>
    <n v="78"/>
    <n v="247"/>
    <s v="OK"/>
    <n v="1"/>
    <m/>
    <n v="19.423076923076923"/>
    <n v="86.29187499999999"/>
    <n v="58.857808857808855"/>
    <n v="1"/>
    <n v="86.29187499999999"/>
    <x v="0"/>
    <x v="0"/>
    <s v="OK"/>
  </r>
  <r>
    <s v="SO-50837"/>
    <s v="PL-SUR"/>
    <x v="0"/>
    <s v="ABA-1007"/>
    <n v="2204"/>
    <d v="2026-06-02T00:00:00"/>
    <s v="In Transit"/>
    <s v="OK"/>
    <n v="9.7899999999999991"/>
    <n v="123"/>
    <n v="334"/>
    <s v="OK"/>
    <n v="2"/>
    <m/>
    <n v="17.918699186991869"/>
    <n v="89.904833333333329"/>
    <n v="54.299088445429909"/>
    <n v="1"/>
    <n v="89.904833333333329"/>
    <x v="0"/>
    <x v="0"/>
    <s v="OK"/>
  </r>
  <r>
    <s v="SO-50060"/>
    <s v="PL-NTE"/>
    <x v="10"/>
    <s v="LAC-1012"/>
    <n v="819"/>
    <d v="2026-06-02T00:00:00"/>
    <s v="In Transit"/>
    <s v="OK"/>
    <n v="9.8699999999999992"/>
    <n v="88"/>
    <n v="25"/>
    <s v="OK"/>
    <n v="2"/>
    <m/>
    <n v="9.3068181818181817"/>
    <n v="33.681374999999996"/>
    <n v="28.202479338842974"/>
    <n v="1"/>
    <n v="33.681374999999996"/>
    <x v="1"/>
    <x v="0"/>
    <s v="OK"/>
  </r>
  <r>
    <s v="SO-50737"/>
    <s v="PL-CEN"/>
    <x v="13"/>
    <s v="BEB-1007"/>
    <n v="645"/>
    <d v="2026-06-03T00:00:00"/>
    <s v="In Transit"/>
    <s v="OK"/>
    <n v="13.67"/>
    <n v="78"/>
    <n v="247"/>
    <s v="OK"/>
    <n v="1"/>
    <m/>
    <n v="8.2692307692307701"/>
    <n v="36.738124999999997"/>
    <n v="25.058275058275058"/>
    <n v="1"/>
    <n v="36.738124999999997"/>
    <x v="1"/>
    <x v="0"/>
    <s v="OK"/>
  </r>
  <r>
    <s v="SO-50403"/>
    <s v="PL-SUR"/>
    <x v="12"/>
    <s v="BOT-1009"/>
    <n v="2421"/>
    <d v="2026-06-03T00:00:00"/>
    <s v="In Transit"/>
    <s v="OK"/>
    <n v="5.25"/>
    <n v="76"/>
    <n v="104"/>
    <s v="OK"/>
    <n v="1"/>
    <m/>
    <n v="31.855263157894736"/>
    <n v="52.959374999999994"/>
    <n v="96.5311004784689"/>
    <n v="1"/>
    <n v="96.5311004784689"/>
    <x v="0"/>
    <x v="0"/>
    <s v="OK"/>
  </r>
  <r>
    <s v="SO-50636"/>
    <s v="PL-NTE"/>
    <x v="10"/>
    <s v="PRO-1001"/>
    <n v="1008"/>
    <d v="2026-06-01T00:00:00"/>
    <s v="In Transit"/>
    <s v="OK"/>
    <n v="9.57"/>
    <n v="92"/>
    <n v="122"/>
    <s v="OK"/>
    <n v="3"/>
    <m/>
    <n v="10.956521739130435"/>
    <n v="40.193999999999996"/>
    <n v="33.201581027667984"/>
    <n v="1"/>
    <n v="40.193999999999996"/>
    <x v="1"/>
    <x v="0"/>
    <s v="OK"/>
  </r>
  <r>
    <s v="SO-50773"/>
    <s v="PL-CEN"/>
    <x v="9"/>
    <s v="ABA-1000"/>
    <n v="614"/>
    <d v="2026-06-03T00:00:00"/>
    <s v="In Transit"/>
    <s v="OK"/>
    <n v="15.2"/>
    <n v="135"/>
    <n v="361"/>
    <s v="OK"/>
    <n v="1"/>
    <m/>
    <n v="4.5481481481481483"/>
    <n v="38.886666666666663"/>
    <n v="13.782267115600449"/>
    <n v="1"/>
    <n v="38.886666666666663"/>
    <x v="1"/>
    <x v="0"/>
    <s v="OK"/>
  </r>
  <r>
    <s v="SO-50820"/>
    <s v="PL-SUR"/>
    <x v="7"/>
    <s v="BEB-1015"/>
    <n v="347"/>
    <d v="2026-06-03T00:00:00"/>
    <s v="In Transit"/>
    <s v="OK"/>
    <n v="19.95"/>
    <n v="78"/>
    <n v="276"/>
    <s v="OK"/>
    <n v="1"/>
    <m/>
    <n v="4.4487179487179489"/>
    <n v="28.844374999999999"/>
    <n v="13.480963480963482"/>
    <n v="1"/>
    <n v="28.844374999999999"/>
    <x v="1"/>
    <x v="0"/>
    <s v="OK"/>
  </r>
  <r>
    <s v="SO-50002"/>
    <s v="PL-NTE"/>
    <x v="11"/>
    <s v="BOT-1011"/>
    <n v="2595"/>
    <d v="2026-06-02T00:00:00"/>
    <s v="In Transit"/>
    <s v="OK"/>
    <n v="3.43"/>
    <n v="88"/>
    <n v="109"/>
    <s v="OK"/>
    <n v="2"/>
    <m/>
    <n v="29.488636363636363"/>
    <n v="37.086874999999999"/>
    <n v="89.359504132231407"/>
    <n v="1"/>
    <n v="89.359504132231407"/>
    <x v="0"/>
    <x v="0"/>
    <s v="OK"/>
  </r>
  <r>
    <s v="SO-50884"/>
    <s v="PL-SUR"/>
    <x v="4"/>
    <s v="BOT-1010"/>
    <n v="1145"/>
    <d v="2026-06-02T00:00:00"/>
    <s v="In Transit"/>
    <s v="OK"/>
    <n v="5.09"/>
    <n v="40"/>
    <n v="90"/>
    <s v="OK"/>
    <n v="2"/>
    <m/>
    <n v="28.625"/>
    <n v="24.283541666666668"/>
    <n v="86.742424242424249"/>
    <n v="1"/>
    <n v="86.742424242424249"/>
    <x v="0"/>
    <x v="0"/>
    <s v="OK"/>
  </r>
  <r>
    <s v="SO-50043"/>
    <s v="PL-NTE"/>
    <x v="1"/>
    <s v="ABA-1004"/>
    <n v="1788"/>
    <d v="2026-06-01T00:00:00"/>
    <s v="In Transit"/>
    <s v="OK"/>
    <n v="12.85"/>
    <n v="91"/>
    <n v="297"/>
    <s v="OK"/>
    <n v="3"/>
    <m/>
    <n v="19.64835164835165"/>
    <n v="95.732500000000002"/>
    <n v="59.540459540459544"/>
    <n v="1"/>
    <n v="95.732500000000002"/>
    <x v="0"/>
    <x v="0"/>
    <s v="OK"/>
  </r>
  <r>
    <s v="SO-50448"/>
    <s v="PL-NTE"/>
    <x v="1"/>
    <s v="BEB-1015"/>
    <n v="1159"/>
    <d v="2026-05-31T00:00:00"/>
    <s v="In Transit"/>
    <s v="OK"/>
    <n v="19.95"/>
    <n v="78"/>
    <n v="276"/>
    <s v="OK"/>
    <n v="4"/>
    <m/>
    <n v="14.858974358974359"/>
    <n v="96.341875000000002"/>
    <n v="45.027195027195027"/>
    <n v="1"/>
    <n v="96.341875000000002"/>
    <x v="0"/>
    <x v="0"/>
    <s v="OK"/>
  </r>
  <r>
    <s v="SO-51026"/>
    <s v="PL-SUR"/>
    <x v="0"/>
    <s v="LAC-1010"/>
    <n v="3205"/>
    <d v="2026-05-17T00:00:00"/>
    <s v="In Transit"/>
    <s v="OK"/>
    <n v="6.24"/>
    <n v="146"/>
    <n v="24"/>
    <s v="OK"/>
    <n v="18"/>
    <m/>
    <n v="21.952054794520549"/>
    <n v="83.33"/>
    <n v="66.52137816521379"/>
    <n v="1"/>
    <n v="83.33"/>
    <x v="0"/>
    <x v="1"/>
    <s v="FANTASMA"/>
  </r>
  <r>
    <s v="SO-50514"/>
    <s v="PL-CEN"/>
    <x v="13"/>
    <s v="LAC-1006"/>
    <n v="1397"/>
    <d v="2026-06-03T00:00:00"/>
    <s v="In Transit"/>
    <s v="OK"/>
    <n v="10.029999999999999"/>
    <n v="126"/>
    <n v="17"/>
    <s v="OK"/>
    <n v="1"/>
    <m/>
    <n v="11.087301587301587"/>
    <n v="58.382958333333335"/>
    <n v="33.597883597883602"/>
    <n v="1"/>
    <n v="58.382958333333335"/>
    <x v="1"/>
    <x v="0"/>
    <s v="OK"/>
  </r>
  <r>
    <s v="SO-50978"/>
    <s v="PL-SUR"/>
    <x v="7"/>
    <s v="BOT-1020"/>
    <n v="1287"/>
    <d v="2026-06-03T00:00:00"/>
    <s v="In Transit"/>
    <s v="OK"/>
    <n v="6.27"/>
    <n v="67"/>
    <n v="90"/>
    <s v="OK"/>
    <n v="1"/>
    <m/>
    <n v="19.208955223880597"/>
    <n v="33.622874999999993"/>
    <n v="58.208955223880601"/>
    <n v="1"/>
    <n v="58.208955223880601"/>
    <x v="1"/>
    <x v="0"/>
    <s v="OK"/>
  </r>
  <r>
    <s v="SO-50705"/>
    <s v="PL-CEN"/>
    <x v="9"/>
    <s v="BEB-1003"/>
    <n v="1103"/>
    <d v="2026-06-03T00:00:00"/>
    <s v="Delivered"/>
    <s v="OK"/>
    <n v="20.5"/>
    <n v="64"/>
    <n v="359"/>
    <s v="OK"/>
    <n v="1"/>
    <m/>
    <n v="17.234375"/>
    <n v="94.214583333333337"/>
    <n v="52.225378787878782"/>
    <n v="1"/>
    <n v="94.214583333333337"/>
    <x v="0"/>
    <x v="0"/>
    <s v="OK"/>
  </r>
  <r>
    <s v="SO-50645"/>
    <s v="PL-CEN"/>
    <x v="9"/>
    <s v="BOT-1016"/>
    <n v="1158"/>
    <d v="2026-06-02T00:00:00"/>
    <s v="In Transit"/>
    <s v="OK"/>
    <n v="5.53"/>
    <n v="42"/>
    <n v="114"/>
    <s v="OK"/>
    <n v="2"/>
    <m/>
    <n v="27.571428571428573"/>
    <n v="26.682250000000003"/>
    <n v="83.549783549783555"/>
    <n v="1"/>
    <n v="83.549783549783555"/>
    <x v="0"/>
    <x v="0"/>
    <s v="OK"/>
  </r>
  <r>
    <s v="SO-50437"/>
    <s v="PL-CEN"/>
    <x v="9"/>
    <s v="LAC-1015"/>
    <n v="1706"/>
    <d v="2026-06-03T00:00:00"/>
    <s v="In Transit"/>
    <s v="OK"/>
    <n v="11.26"/>
    <n v="129"/>
    <n v="24"/>
    <s v="OK"/>
    <n v="1"/>
    <m/>
    <n v="13.224806201550388"/>
    <n v="80.039833333333348"/>
    <n v="40.075170307728449"/>
    <n v="1"/>
    <n v="80.039833333333348"/>
    <x v="0"/>
    <x v="0"/>
    <s v="OK"/>
  </r>
  <r>
    <s v="SO-50926"/>
    <s v="PL-NTE"/>
    <x v="11"/>
    <s v="BOT-1010"/>
    <n v="602"/>
    <d v="2026-06-01T00:00:00"/>
    <s v="In Transit"/>
    <s v="OK"/>
    <n v="5.09"/>
    <n v="40"/>
    <n v="90"/>
    <s v="OK"/>
    <n v="3"/>
    <m/>
    <n v="15.05"/>
    <n v="12.767416666666668"/>
    <n v="45.606060606060609"/>
    <n v="1"/>
    <n v="45.606060606060609"/>
    <x v="1"/>
    <x v="0"/>
    <s v="OK"/>
  </r>
  <r>
    <s v="SO-50430"/>
    <s v="PL-NTE"/>
    <x v="14"/>
    <s v="BEB-1006"/>
    <n v="1147"/>
    <d v="2026-06-03T00:00:00"/>
    <s v="Delivered"/>
    <s v="OK"/>
    <n v="17.18"/>
    <n v="81"/>
    <n v="293"/>
    <s v="OK"/>
    <n v="1"/>
    <m/>
    <n v="14.160493827160494"/>
    <n v="82.106083333333331"/>
    <n v="42.910587355031801"/>
    <n v="1"/>
    <n v="82.106083333333331"/>
    <x v="0"/>
    <x v="0"/>
    <s v="OK"/>
  </r>
  <r>
    <s v="SO-50339"/>
    <s v="PL-CEN"/>
    <x v="3"/>
    <s v="PRO-1011"/>
    <n v="2526"/>
    <d v="2026-06-03T00:00:00"/>
    <s v="In Transit"/>
    <s v="OK"/>
    <n v="4.3600000000000003"/>
    <n v="88"/>
    <n v="108"/>
    <s v="OK"/>
    <n v="1"/>
    <m/>
    <n v="28.704545454545453"/>
    <n v="45.889000000000003"/>
    <n v="86.983471074380162"/>
    <n v="1"/>
    <n v="86.983471074380162"/>
    <x v="0"/>
    <x v="0"/>
    <s v="OK"/>
  </r>
  <r>
    <s v="SO-50273"/>
    <s v="PL-CEN"/>
    <x v="13"/>
    <s v="BOT-1018"/>
    <n v="2153"/>
    <d v="2026-06-03T00:00:00"/>
    <s v="In Transit"/>
    <s v="OK"/>
    <n v="6.23"/>
    <n v="78"/>
    <n v="99"/>
    <s v="OK"/>
    <n v="1"/>
    <m/>
    <n v="27.602564102564102"/>
    <n v="55.888291666666667"/>
    <n v="83.644133644133646"/>
    <n v="1"/>
    <n v="83.644133644133646"/>
    <x v="0"/>
    <x v="0"/>
    <s v="OK"/>
  </r>
  <r>
    <s v="SO-50679"/>
    <s v="PL-NTE"/>
    <x v="1"/>
    <s v="BEB-1016"/>
    <n v="1339"/>
    <d v="2026-06-03T00:00:00"/>
    <s v="In Transit"/>
    <s v="OK"/>
    <n v="0"/>
    <n v="98"/>
    <n v="359"/>
    <s v="OK"/>
    <n v="1"/>
    <m/>
    <n v="13.663265306122449"/>
    <n v="0"/>
    <n v="41.403834260977121"/>
    <n v="1"/>
    <n v="41.403834260977121"/>
    <x v="1"/>
    <x v="0"/>
    <s v="OK"/>
  </r>
  <r>
    <s v="SO-50401"/>
    <s v="PL-NTE"/>
    <x v="2"/>
    <s v="BOT-1015"/>
    <n v="1653"/>
    <d v="2026-06-02T00:00:00"/>
    <s v="In Transit"/>
    <s v="OK"/>
    <n v="3.64"/>
    <n v="62"/>
    <n v="114"/>
    <s v="OK"/>
    <n v="2"/>
    <m/>
    <n v="26.661290322580644"/>
    <n v="25.070500000000003"/>
    <n v="80.791788856304976"/>
    <n v="1"/>
    <n v="80.791788856304976"/>
    <x v="0"/>
    <x v="0"/>
    <s v="OK"/>
  </r>
  <r>
    <s v="SO-50315"/>
    <s v="PL-CEN"/>
    <x v="13"/>
    <s v="BOT-1005"/>
    <n v="777"/>
    <d v="2026-06-03T00:00:00"/>
    <s v="In Transit"/>
    <s v="OK"/>
    <n v="5.49"/>
    <n v="62"/>
    <n v="91"/>
    <s v="OK"/>
    <n v="1"/>
    <m/>
    <n v="12.53225806451613"/>
    <n v="17.773875000000004"/>
    <n v="37.976539589442822"/>
    <n v="1"/>
    <n v="37.976539589442822"/>
    <x v="1"/>
    <x v="0"/>
    <s v="OK"/>
  </r>
  <r>
    <s v="SO-50602"/>
    <s v="PL-SUR"/>
    <x v="0"/>
    <s v="ABA-1004"/>
    <n v="1660"/>
    <d v="2026-05-31T00:00:00"/>
    <s v="In Transit"/>
    <s v="OK"/>
    <n v="12.85"/>
    <n v="91"/>
    <n v="297"/>
    <s v="OK"/>
    <n v="4"/>
    <m/>
    <n v="18.241758241758241"/>
    <n v="88.879166666666663"/>
    <n v="55.27805527805527"/>
    <n v="1"/>
    <n v="88.879166666666663"/>
    <x v="0"/>
    <x v="0"/>
    <s v="OK"/>
  </r>
  <r>
    <s v="SO-50809"/>
    <s v="PL-NTE"/>
    <x v="11"/>
    <s v="PRO-1003"/>
    <n v="1639"/>
    <d v="2026-06-01T00:00:00"/>
    <s v="In Transit"/>
    <s v="OK"/>
    <n v="13.9"/>
    <n v="69"/>
    <n v="106"/>
    <s v="OK"/>
    <n v="3"/>
    <m/>
    <n v="23.753623188405797"/>
    <n v="94.925416666666678"/>
    <n v="71.980676328502412"/>
    <n v="1"/>
    <n v="94.925416666666678"/>
    <x v="0"/>
    <x v="0"/>
    <s v="OK"/>
  </r>
  <r>
    <s v="SO-50654"/>
    <s v="PL-CEN"/>
    <x v="8"/>
    <s v="BOT-1013"/>
    <n v="1691"/>
    <d v="2026-06-03T00:00:00"/>
    <s v="In Transit"/>
    <s v="OK"/>
    <n v="4"/>
    <n v="58"/>
    <n v="112"/>
    <s v="OK"/>
    <n v="1"/>
    <m/>
    <n v="29.155172413793103"/>
    <n v="28.183333333333334"/>
    <n v="88.349007314524556"/>
    <n v="1"/>
    <n v="88.349007314524556"/>
    <x v="0"/>
    <x v="0"/>
    <s v="OK"/>
  </r>
  <r>
    <s v="SO-50161"/>
    <s v="PL-NTE"/>
    <x v="10"/>
    <s v="BEB-1020"/>
    <n v="368"/>
    <d v="2026-06-01T00:00:00"/>
    <s v="In Transit"/>
    <s v="OK"/>
    <n v="16.66"/>
    <n v="85"/>
    <n v="333"/>
    <s v="OK"/>
    <n v="3"/>
    <m/>
    <n v="4.3294117647058821"/>
    <n v="25.545333333333335"/>
    <n v="13.119429590017825"/>
    <n v="1"/>
    <n v="25.545333333333335"/>
    <x v="1"/>
    <x v="0"/>
    <s v="OK"/>
  </r>
  <r>
    <s v="SO-50614"/>
    <s v="PL-SUR"/>
    <x v="7"/>
    <s v="PRO-1006"/>
    <n v="1916"/>
    <d v="2026-06-03T00:00:00"/>
    <s v="In Transit"/>
    <s v="OK"/>
    <n v="12.09"/>
    <n v="80"/>
    <n v="138"/>
    <s v="OK"/>
    <n v="1"/>
    <m/>
    <n v="23.95"/>
    <n v="96.518499999999989"/>
    <n v="72.575757575757578"/>
    <n v="1"/>
    <n v="96.518499999999989"/>
    <x v="0"/>
    <x v="0"/>
    <s v="OK"/>
  </r>
  <r>
    <s v="SO-50892"/>
    <s v="PL-CEN"/>
    <x v="5"/>
    <s v="PRO-1001"/>
    <n v="850"/>
    <d v="2026-06-03T00:00:00"/>
    <s v="In Transit"/>
    <s v="OK"/>
    <n v="9.57"/>
    <n v="92"/>
    <n v="122"/>
    <s v="OK"/>
    <n v="1"/>
    <m/>
    <n v="9.2391304347826093"/>
    <n v="33.893749999999997"/>
    <n v="27.997364953886695"/>
    <n v="1"/>
    <n v="33.893749999999997"/>
    <x v="1"/>
    <x v="0"/>
    <s v="OK"/>
  </r>
  <r>
    <s v="SO-50321"/>
    <s v="PL-NTE"/>
    <x v="10"/>
    <s v="BEB-1010"/>
    <n v="852"/>
    <d v="2026-05-30T00:00:00"/>
    <s v="In Transit"/>
    <s v="OK"/>
    <n v="0"/>
    <n v="71"/>
    <n v="192"/>
    <s v="OK"/>
    <n v="5"/>
    <m/>
    <n v="12"/>
    <n v="0"/>
    <n v="36.363636363636367"/>
    <n v="1"/>
    <n v="36.363636363636367"/>
    <x v="1"/>
    <x v="0"/>
    <s v="OK"/>
  </r>
  <r>
    <s v="SO-50037"/>
    <s v="PL-NTE"/>
    <x v="14"/>
    <s v="PRO-1002"/>
    <n v="2372"/>
    <d v="2026-06-03T00:00:00"/>
    <s v="In Transit"/>
    <s v="OK"/>
    <n v="9.6999999999999993"/>
    <n v="98"/>
    <n v="115"/>
    <s v="OK"/>
    <n v="1"/>
    <m/>
    <n v="24.204081632653061"/>
    <n v="95.868333333333325"/>
    <n v="73.345701917130484"/>
    <n v="1"/>
    <n v="95.868333333333325"/>
    <x v="0"/>
    <x v="0"/>
    <s v="OK"/>
  </r>
  <r>
    <s v="SO-50844"/>
    <s v="PL-NTE"/>
    <x v="10"/>
    <s v="BEB-1003"/>
    <n v="1107"/>
    <d v="2026-06-03T00:00:00"/>
    <s v="In Transit"/>
    <s v="OK"/>
    <n v="20.5"/>
    <n v="64"/>
    <n v="359"/>
    <s v="OK"/>
    <n v="1"/>
    <m/>
    <n v="17.296875"/>
    <n v="94.556249999999991"/>
    <n v="52.414772727272727"/>
    <n v="1"/>
    <n v="94.556249999999991"/>
    <x v="0"/>
    <x v="0"/>
    <s v="OK"/>
  </r>
  <r>
    <s v="SO-50346"/>
    <s v="PL-SUR"/>
    <x v="6"/>
    <s v="LAC-1002"/>
    <n v="2449"/>
    <d v="2026-06-03T00:00:00"/>
    <s v="In Transit"/>
    <s v="OK"/>
    <n v="7.71"/>
    <n v="101"/>
    <n v="23"/>
    <s v="OK"/>
    <n v="1"/>
    <m/>
    <n v="24.247524752475247"/>
    <n v="78.674125000000004"/>
    <n v="73.477347734773474"/>
    <n v="1"/>
    <n v="78.674125000000004"/>
    <x v="0"/>
    <x v="0"/>
    <s v="OK"/>
  </r>
  <r>
    <s v="SO-51066"/>
    <s v="PL-CEN"/>
    <x v="13"/>
    <s v="BOT-1008"/>
    <n v="2068"/>
    <d v="2026-06-02T00:00:00"/>
    <s v="In Transit"/>
    <s v="OK"/>
    <n v="3.48"/>
    <n v="66"/>
    <n v="112"/>
    <s v="OK"/>
    <n v="2"/>
    <m/>
    <n v="31.333333333333332"/>
    <n v="29.986000000000001"/>
    <n v="94.949494949494948"/>
    <n v="1"/>
    <n v="94.949494949494948"/>
    <x v="0"/>
    <x v="0"/>
    <s v="OK"/>
  </r>
  <r>
    <s v="SO-50604"/>
    <s v="PL-SUR"/>
    <x v="7"/>
    <s v="PRO-1007"/>
    <n v="1576"/>
    <d v="2026-06-03T00:00:00"/>
    <s v="In Transit"/>
    <s v="OK"/>
    <n v="13.13"/>
    <n v="82"/>
    <n v="105"/>
    <s v="OK"/>
    <n v="1"/>
    <m/>
    <n v="19.219512195121951"/>
    <n v="86.220333333333329"/>
    <n v="58.240946045824096"/>
    <n v="1"/>
    <n v="86.220333333333329"/>
    <x v="0"/>
    <x v="0"/>
    <s v="OK"/>
  </r>
  <r>
    <s v="SO-50041"/>
    <s v="PL-CEN"/>
    <x v="13"/>
    <s v="BEB-1013"/>
    <n v="1125"/>
    <d v="2026-06-03T00:00:00"/>
    <s v="In Transit"/>
    <s v="OK"/>
    <n v="17.28"/>
    <n v="97"/>
    <n v="271"/>
    <s v="OK"/>
    <n v="1"/>
    <m/>
    <n v="11.597938144329897"/>
    <n v="81"/>
    <n v="35.145267104029983"/>
    <n v="1"/>
    <n v="81"/>
    <x v="0"/>
    <x v="0"/>
    <s v="OK"/>
  </r>
  <r>
    <s v="SO-50162"/>
    <s v="PL-SUR"/>
    <x v="4"/>
    <s v="PRO-1005"/>
    <n v="1862"/>
    <d v="2026-06-03T00:00:00"/>
    <s v="In Transit"/>
    <s v="OK"/>
    <n v="11.02"/>
    <n v="69"/>
    <n v="86"/>
    <s v="OK"/>
    <n v="1"/>
    <m/>
    <n v="26.985507246376812"/>
    <n v="85.496833333333328"/>
    <n v="81.774264382960041"/>
    <n v="1"/>
    <n v="85.496833333333328"/>
    <x v="0"/>
    <x v="0"/>
    <s v="OK"/>
  </r>
  <r>
    <s v="SO-50784"/>
    <s v="PL-NTE"/>
    <x v="2"/>
    <s v="BEB-1010"/>
    <n v="781"/>
    <d v="2026-06-03T00:00:00"/>
    <s v="In Transit"/>
    <s v="OK"/>
    <n v="0"/>
    <n v="71"/>
    <n v="192"/>
    <s v="OK"/>
    <n v="1"/>
    <m/>
    <n v="11"/>
    <n v="0"/>
    <n v="33.333333333333329"/>
    <n v="1"/>
    <n v="33.333333333333329"/>
    <x v="1"/>
    <x v="0"/>
    <s v="OK"/>
  </r>
  <r>
    <s v="SO-50507"/>
    <s v="PL-NTE"/>
    <x v="11"/>
    <s v="LAC-1014"/>
    <n v="647"/>
    <d v="2026-06-01T00:00:00"/>
    <s v="In Transit"/>
    <s v="OK"/>
    <n v="8.0500000000000007"/>
    <n v="147"/>
    <n v="28"/>
    <s v="OK"/>
    <n v="3"/>
    <m/>
    <n v="4.4013605442176873"/>
    <n v="21.701458333333335"/>
    <n v="13.337456194599051"/>
    <n v="1"/>
    <n v="21.701458333333335"/>
    <x v="1"/>
    <x v="0"/>
    <s v="OK"/>
  </r>
  <r>
    <s v="SO-50824"/>
    <s v="PL-SUR"/>
    <x v="0"/>
    <s v="PRO-1008"/>
    <n v="474"/>
    <d v="2026-06-01T00:00:00"/>
    <s v="In Transit"/>
    <s v="OK"/>
    <n v="11.98"/>
    <n v="86"/>
    <n v="123"/>
    <s v="OK"/>
    <n v="3"/>
    <m/>
    <n v="5.5116279069767442"/>
    <n v="23.660500000000003"/>
    <n v="16.701902748414376"/>
    <n v="1"/>
    <n v="23.660500000000003"/>
    <x v="1"/>
    <x v="0"/>
    <s v="OK"/>
  </r>
  <r>
    <s v="SO-50294"/>
    <s v="PL-SUR"/>
    <x v="12"/>
    <s v="ABA-1005"/>
    <n v="690"/>
    <d v="2026-06-02T00:00:00"/>
    <s v="In Transit"/>
    <s v="OK"/>
    <n v="13.31"/>
    <n v="89"/>
    <n v="313"/>
    <s v="OK"/>
    <n v="2"/>
    <m/>
    <n v="7.7528089887640448"/>
    <n v="38.266249999999999"/>
    <n v="23.493360572012257"/>
    <n v="1"/>
    <n v="38.266249999999999"/>
    <x v="1"/>
    <x v="0"/>
    <s v="OK"/>
  </r>
  <r>
    <s v="SO-50985"/>
    <s v="PL-SUR"/>
    <x v="0"/>
    <s v="BEB-1019"/>
    <n v="636"/>
    <d v="2026-06-02T00:00:00"/>
    <s v="In Transit"/>
    <s v="OK"/>
    <n v="14.35"/>
    <n v="70"/>
    <n v="240"/>
    <s v="OK"/>
    <n v="2"/>
    <m/>
    <n v="9.0857142857142854"/>
    <n v="38.027500000000003"/>
    <n v="27.532467532467532"/>
    <n v="1"/>
    <n v="38.027500000000003"/>
    <x v="1"/>
    <x v="0"/>
    <s v="OK"/>
  </r>
  <r>
    <s v="SO-50647"/>
    <s v="PL-SUR"/>
    <x v="0"/>
    <s v="LAC-1015"/>
    <n v="2046"/>
    <d v="2026-06-02T00:00:00"/>
    <s v="In Transit"/>
    <s v="OK"/>
    <n v="11.26"/>
    <n v="129"/>
    <n v="24"/>
    <s v="OK"/>
    <n v="2"/>
    <m/>
    <n v="15.86046511627907"/>
    <n v="95.991500000000002"/>
    <n v="48.062015503875969"/>
    <n v="1"/>
    <n v="95.991500000000002"/>
    <x v="0"/>
    <x v="0"/>
    <s v="OK"/>
  </r>
  <r>
    <s v="SO-50861"/>
    <s v="PL-CEN"/>
    <x v="3"/>
    <s v="ABA-1012"/>
    <n v="1301"/>
    <d v="2026-06-03T00:00:00"/>
    <s v="In Transit"/>
    <s v="OK"/>
    <n v="15.14"/>
    <n v="117"/>
    <n v="484"/>
    <s v="OK"/>
    <n v="1"/>
    <m/>
    <n v="11.119658119658119"/>
    <n v="82.071416666666664"/>
    <n v="33.695933695933697"/>
    <n v="1"/>
    <n v="82.071416666666664"/>
    <x v="0"/>
    <x v="0"/>
    <s v="OK"/>
  </r>
  <r>
    <s v="SO-50090"/>
    <s v="PL-SUR"/>
    <x v="12"/>
    <s v="BOT-1018"/>
    <n v="2110"/>
    <d v="2026-06-03T00:00:00"/>
    <s v="In Transit"/>
    <s v="OK"/>
    <n v="6.23"/>
    <n v="78"/>
    <n v="99"/>
    <s v="OK"/>
    <n v="1"/>
    <m/>
    <n v="27.051282051282051"/>
    <n v="54.772083333333335"/>
    <n v="81.973581973581972"/>
    <n v="1"/>
    <n v="81.973581973581972"/>
    <x v="0"/>
    <x v="0"/>
    <s v="OK"/>
  </r>
  <r>
    <s v="SO-50548"/>
    <s v="PL-CEN"/>
    <x v="9"/>
    <s v="BEB-1015"/>
    <n v="1074"/>
    <d v="2026-06-03T00:00:00"/>
    <s v="Delivered"/>
    <s v="OK"/>
    <n v="19.95"/>
    <n v="78"/>
    <n v="276"/>
    <s v="OK"/>
    <n v="1"/>
    <m/>
    <n v="13.76923076923077"/>
    <n v="89.276250000000005"/>
    <n v="41.724941724941729"/>
    <n v="1"/>
    <n v="89.276250000000005"/>
    <x v="0"/>
    <x v="0"/>
    <s v="OK"/>
  </r>
  <r>
    <s v="SO-50181"/>
    <s v="PL-NTE"/>
    <x v="10"/>
    <s v="BEB-1004"/>
    <n v="873"/>
    <d v="2026-05-31T00:00:00"/>
    <s v="In Transit"/>
    <s v="OK"/>
    <n v="21.99"/>
    <n v="67"/>
    <n v="213"/>
    <s v="OK"/>
    <n v="4"/>
    <m/>
    <n v="13.029850746268657"/>
    <n v="79.988624999999999"/>
    <n v="39.484396200814118"/>
    <n v="1"/>
    <n v="79.988624999999999"/>
    <x v="0"/>
    <x v="0"/>
    <s v="OK"/>
  </r>
  <r>
    <s v="SO-50921"/>
    <s v="PL-NTE"/>
    <x v="1"/>
    <s v="PRO-1015"/>
    <n v="2975"/>
    <d v="2026-06-02T00:00:00"/>
    <s v="In Transit"/>
    <s v="OK"/>
    <n v="6.16"/>
    <n v="104"/>
    <n v="67"/>
    <s v="OK"/>
    <n v="2"/>
    <m/>
    <n v="28.60576923076923"/>
    <n v="76.358333333333334"/>
    <n v="86.684149184149177"/>
    <n v="1"/>
    <n v="86.684149184149177"/>
    <x v="0"/>
    <x v="0"/>
    <s v="OK"/>
  </r>
  <r>
    <s v="SO-50243"/>
    <s v="PL-SUR"/>
    <x v="6"/>
    <s v="PRO-1012"/>
    <n v="3142"/>
    <d v="2026-06-02T00:00:00"/>
    <s v="In Transit"/>
    <s v="OK"/>
    <n v="6.87"/>
    <n v="101"/>
    <n v="62"/>
    <s v="OK"/>
    <n v="2"/>
    <m/>
    <n v="31.10891089108911"/>
    <n v="89.939750000000004"/>
    <n v="94.269426942694267"/>
    <n v="1"/>
    <n v="94.269426942694267"/>
    <x v="0"/>
    <x v="0"/>
    <s v="OK"/>
  </r>
  <r>
    <s v="SO-50286"/>
    <s v="PL-CEN"/>
    <x v="3"/>
    <s v="PRO-1005"/>
    <n v="2034"/>
    <d v="2026-06-01T00:00:00"/>
    <s v="In Transit"/>
    <s v="OK"/>
    <n v="11.02"/>
    <n v="69"/>
    <n v="86"/>
    <s v="OK"/>
    <n v="3"/>
    <m/>
    <n v="29.478260869565219"/>
    <n v="93.394500000000008"/>
    <n v="89.328063241106719"/>
    <n v="1"/>
    <n v="93.394500000000008"/>
    <x v="0"/>
    <x v="0"/>
    <s v="OK"/>
  </r>
  <r>
    <s v="SO-50685"/>
    <s v="PL-NTE"/>
    <x v="10"/>
    <s v="LAC-1015"/>
    <n v="1738"/>
    <d v="2026-06-01T00:00:00"/>
    <s v="In Transit"/>
    <s v="OK"/>
    <n v="11.26"/>
    <n v="129"/>
    <n v="24"/>
    <s v="OK"/>
    <n v="3"/>
    <m/>
    <n v="13.472868217054264"/>
    <n v="81.541166666666669"/>
    <n v="40.826873385012924"/>
    <n v="1"/>
    <n v="81.541166666666669"/>
    <x v="0"/>
    <x v="0"/>
    <s v="OK"/>
  </r>
  <r>
    <s v="SO-50598"/>
    <s v="PL-SUR"/>
    <x v="12"/>
    <s v="LAC-1004"/>
    <n v="1644"/>
    <d v="2026-06-03T00:00:00"/>
    <s v="In Transit"/>
    <s v="OK"/>
    <n v="11.45"/>
    <n v="93"/>
    <n v="16"/>
    <s v="OK"/>
    <n v="1"/>
    <m/>
    <n v="17.677419354838708"/>
    <n v="78.43249999999999"/>
    <n v="53.567937438905176"/>
    <n v="1"/>
    <n v="78.43249999999999"/>
    <x v="0"/>
    <x v="0"/>
    <s v="OK"/>
  </r>
  <r>
    <s v="SO-50459"/>
    <s v="PL-SUR"/>
    <x v="12"/>
    <s v="BEB-1012"/>
    <n v="1380"/>
    <d v="2026-06-03T00:00:00"/>
    <s v="In Transit"/>
    <s v="OK"/>
    <n v="15.66"/>
    <n v="72"/>
    <n v="306"/>
    <s v="OK"/>
    <n v="1"/>
    <m/>
    <n v="19.166666666666668"/>
    <n v="90.045000000000002"/>
    <n v="58.08080808080809"/>
    <n v="1"/>
    <n v="90.045000000000002"/>
    <x v="0"/>
    <x v="0"/>
    <s v="OK"/>
  </r>
  <r>
    <s v="SO-51050"/>
    <s v="PL-CEN"/>
    <x v="8"/>
    <s v="BEB-1000"/>
    <n v="427"/>
    <d v="2026-06-03T00:00:00"/>
    <s v="In Transit"/>
    <s v="OK"/>
    <n v="16.489999999999998"/>
    <n v="102"/>
    <n v="315"/>
    <s v="OK"/>
    <n v="1"/>
    <m/>
    <n v="4.1862745098039218"/>
    <n v="29.338458333333335"/>
    <n v="12.685680332739157"/>
    <n v="1"/>
    <n v="29.338458333333335"/>
    <x v="1"/>
    <x v="0"/>
    <s v="OK"/>
  </r>
  <r>
    <s v="SO-50364"/>
    <s v="PL-NTE"/>
    <x v="2"/>
    <s v="LAC-1009"/>
    <n v="1092"/>
    <d v="2026-06-03T00:00:00"/>
    <s v="In Transit"/>
    <s v="OK"/>
    <n v="11.01"/>
    <n v="98"/>
    <n v="16"/>
    <s v="OK"/>
    <n v="1"/>
    <m/>
    <n v="11.142857142857142"/>
    <n v="50.095500000000001"/>
    <n v="33.766233766233768"/>
    <n v="1"/>
    <n v="50.095500000000001"/>
    <x v="1"/>
    <x v="0"/>
    <s v="OK"/>
  </r>
  <r>
    <s v="SO-50050"/>
    <s v="PL-SUR"/>
    <x v="7"/>
    <s v="ABA-1005"/>
    <n v="1736"/>
    <d v="2026-06-03T00:00:00"/>
    <s v="In Transit"/>
    <s v="OK"/>
    <n v="13.31"/>
    <n v="89"/>
    <n v="313"/>
    <s v="OK"/>
    <n v="1"/>
    <m/>
    <n v="19.50561797752809"/>
    <n v="96.275666666666666"/>
    <n v="59.107933265236632"/>
    <n v="1"/>
    <n v="96.275666666666666"/>
    <x v="0"/>
    <x v="0"/>
    <s v="OK"/>
  </r>
  <r>
    <s v="SO-50226"/>
    <s v="PL-CEN"/>
    <x v="13"/>
    <s v="BEB-1011"/>
    <n v="886"/>
    <d v="2026-06-03T00:00:00"/>
    <s v="Delivered"/>
    <s v="OK"/>
    <n v="23.39"/>
    <n v="79"/>
    <n v="329"/>
    <s v="OK"/>
    <n v="1"/>
    <m/>
    <n v="11.215189873417721"/>
    <n v="86.348083333333335"/>
    <n v="33.985423858841578"/>
    <n v="1"/>
    <n v="86.348083333333335"/>
    <x v="0"/>
    <x v="0"/>
    <s v="OK"/>
  </r>
  <r>
    <s v="SO-51101"/>
    <s v="PL-SUR"/>
    <x v="4"/>
    <s v="BOT-1012"/>
    <n v="1752"/>
    <d v="2026-05-28T00:00:00"/>
    <s v="In Transit"/>
    <s v="OK"/>
    <n v="4.26"/>
    <n v="68"/>
    <n v="117"/>
    <s v="OK"/>
    <n v="7"/>
    <m/>
    <n v="25.764705882352942"/>
    <n v="31.097999999999999"/>
    <n v="78.074866310160431"/>
    <n v="1"/>
    <n v="78.074866310160431"/>
    <x v="0"/>
    <x v="0"/>
    <s v="FANTASMA"/>
  </r>
  <r>
    <s v="SO-50311"/>
    <s v="PL-CEN"/>
    <x v="8"/>
    <s v="BEB-1017"/>
    <n v="984"/>
    <d v="2026-06-03T00:00:00"/>
    <s v="In Transit"/>
    <s v="OK"/>
    <n v="21.3"/>
    <n v="108"/>
    <n v="345"/>
    <s v="OK"/>
    <n v="1"/>
    <m/>
    <n v="9.1111111111111107"/>
    <n v="87.330000000000013"/>
    <n v="27.609427609427605"/>
    <n v="1"/>
    <n v="87.330000000000013"/>
    <x v="0"/>
    <x v="0"/>
    <s v="OK"/>
  </r>
  <r>
    <s v="SO-50249"/>
    <s v="PL-CEN"/>
    <x v="5"/>
    <s v="LAC-1013"/>
    <n v="2323"/>
    <d v="2026-06-03T00:00:00"/>
    <s v="In Transit"/>
    <s v="OK"/>
    <n v="8.32"/>
    <n v="98"/>
    <n v="16"/>
    <s v="OK"/>
    <n v="1"/>
    <m/>
    <n v="23.704081632653061"/>
    <n v="80.530666666666676"/>
    <n v="71.830550401978982"/>
    <n v="1"/>
    <n v="80.530666666666676"/>
    <x v="0"/>
    <x v="0"/>
    <s v="OK"/>
  </r>
  <r>
    <s v="SO-50750"/>
    <s v="PL-CEN"/>
    <x v="5"/>
    <s v="BOT-1004"/>
    <n v="1875"/>
    <d v="2026-06-02T00:00:00"/>
    <s v="In Transit"/>
    <s v="OK"/>
    <n v="4.43"/>
    <n v="63"/>
    <n v="115"/>
    <s v="OK"/>
    <n v="2"/>
    <m/>
    <n v="29.761904761904763"/>
    <n v="34.609375"/>
    <n v="90.187590187590189"/>
    <n v="1"/>
    <n v="90.187590187590189"/>
    <x v="0"/>
    <x v="0"/>
    <s v="OK"/>
  </r>
  <r>
    <s v="SO-50801"/>
    <s v="PL-SUR"/>
    <x v="6"/>
    <s v="BOT-1007"/>
    <n v="2303"/>
    <d v="2026-06-01T00:00:00"/>
    <s v="In Transit"/>
    <s v="OK"/>
    <n v="0"/>
    <n v="49"/>
    <n v="104"/>
    <s v="OK"/>
    <n v="3"/>
    <m/>
    <n v="47"/>
    <n v="0"/>
    <n v="142.42424242424244"/>
    <n v="2"/>
    <n v="71.212121212121218"/>
    <x v="1"/>
    <x v="0"/>
    <s v="OK"/>
  </r>
  <r>
    <s v="SO-50738"/>
    <s v="PL-CEN"/>
    <x v="8"/>
    <s v="BOT-1013"/>
    <n v="1637"/>
    <d v="2026-06-03T00:00:00"/>
    <s v="In Transit"/>
    <s v="OK"/>
    <n v="4"/>
    <n v="58"/>
    <n v="112"/>
    <s v="OK"/>
    <n v="1"/>
    <m/>
    <n v="28.224137931034484"/>
    <n v="27.283333333333331"/>
    <n v="85.5276907001045"/>
    <n v="1"/>
    <n v="85.5276907001045"/>
    <x v="0"/>
    <x v="0"/>
    <s v="OK"/>
  </r>
  <r>
    <s v="SO-50934"/>
    <s v="PL-CEN"/>
    <x v="3"/>
    <s v="PRO-1013"/>
    <n v="423"/>
    <d v="2026-06-01T00:00:00"/>
    <s v="In Transit"/>
    <s v="OK"/>
    <n v="4.37"/>
    <n v="58"/>
    <n v="92"/>
    <s v="OK"/>
    <n v="3"/>
    <m/>
    <n v="7.2931034482758621"/>
    <n v="7.7021249999999997"/>
    <n v="22.100313479623821"/>
    <n v="1"/>
    <n v="22.100313479623821"/>
    <x v="1"/>
    <x v="0"/>
    <s v="OK"/>
  </r>
  <r>
    <s v="SO-50042"/>
    <s v="PL-NTE"/>
    <x v="1"/>
    <s v="BOT-1002"/>
    <n v="1307"/>
    <d v="2026-06-02T00:00:00"/>
    <s v="In Transit"/>
    <s v="OK"/>
    <n v="3.02"/>
    <n v="84"/>
    <n v="111"/>
    <s v="OK"/>
    <n v="2"/>
    <m/>
    <n v="15.55952380952381"/>
    <n v="16.446416666666668"/>
    <n v="47.150072150072155"/>
    <n v="1"/>
    <n v="47.150072150072155"/>
    <x v="1"/>
    <x v="0"/>
    <s v="OK"/>
  </r>
  <r>
    <s v="SO-50328"/>
    <s v="PL-SUR"/>
    <x v="4"/>
    <s v="BEB-1003"/>
    <n v="1067"/>
    <d v="2026-06-02T00:00:00"/>
    <s v="In Transit"/>
    <s v="OK"/>
    <n v="20.5"/>
    <n v="64"/>
    <n v="359"/>
    <s v="OK"/>
    <n v="2"/>
    <m/>
    <n v="16.671875"/>
    <n v="91.139583333333334"/>
    <n v="50.520833333333336"/>
    <n v="1"/>
    <n v="91.139583333333334"/>
    <x v="0"/>
    <x v="0"/>
    <s v="OK"/>
  </r>
  <r>
    <s v="SO-51103"/>
    <s v="PL-SUR"/>
    <x v="7"/>
    <s v="BEB-1010"/>
    <n v="188"/>
    <d v="2026-05-26T00:00:00"/>
    <s v="In Transit"/>
    <s v="OK"/>
    <n v="0"/>
    <n v="71"/>
    <n v="192"/>
    <s v="OK"/>
    <n v="9"/>
    <m/>
    <n v="2.647887323943662"/>
    <n v="0"/>
    <n v="8.0239009816474614"/>
    <n v="1"/>
    <n v="8.0239009816474614"/>
    <x v="1"/>
    <x v="0"/>
    <s v="FANTASMA"/>
  </r>
  <r>
    <s v="SO-50560"/>
    <s v="PL-SUR"/>
    <x v="0"/>
    <s v="BEB-1008"/>
    <n v="634"/>
    <d v="2026-06-03T00:00:00"/>
    <s v="In Transit"/>
    <s v="OK"/>
    <n v="17.47"/>
    <n v="65"/>
    <n v="216"/>
    <s v="OK"/>
    <n v="1"/>
    <m/>
    <n v="9.7538461538461547"/>
    <n v="46.149916666666662"/>
    <n v="29.557109557109563"/>
    <n v="1"/>
    <n v="46.149916666666662"/>
    <x v="1"/>
    <x v="0"/>
    <s v="OK"/>
  </r>
  <r>
    <s v="SO-50419"/>
    <s v="PL-NTE"/>
    <x v="1"/>
    <s v="PRO-1010"/>
    <n v="2592"/>
    <d v="2026-06-01T00:00:00"/>
    <s v="In Transit"/>
    <s v="OK"/>
    <n v="7.76"/>
    <n v="86"/>
    <n v="112"/>
    <s v="OK"/>
    <n v="3"/>
    <m/>
    <n v="30.13953488372093"/>
    <n v="83.807999999999993"/>
    <n v="91.331923890063422"/>
    <n v="1"/>
    <n v="91.331923890063422"/>
    <x v="0"/>
    <x v="0"/>
    <s v="OK"/>
  </r>
  <r>
    <s v="SO-50027"/>
    <s v="PL-NTE"/>
    <x v="11"/>
    <s v="PRO-1008"/>
    <n v="1113"/>
    <d v="2026-06-03T00:00:00"/>
    <s v="In Transit"/>
    <s v="OK"/>
    <n v="11.98"/>
    <n v="86"/>
    <n v="123"/>
    <s v="OK"/>
    <n v="1"/>
    <m/>
    <n v="12.94186046511628"/>
    <n v="55.557250000000003"/>
    <n v="39.217758985200845"/>
    <n v="1"/>
    <n v="55.557250000000003"/>
    <x v="1"/>
    <x v="0"/>
    <s v="OK"/>
  </r>
  <r>
    <s v="SO-50332"/>
    <s v="PL-NTE"/>
    <x v="1"/>
    <s v="BEB-1016"/>
    <n v="651"/>
    <d v="2026-06-03T00:00:00"/>
    <s v="In Transit"/>
    <s v="OK"/>
    <n v="0"/>
    <n v="98"/>
    <n v="359"/>
    <s v="OK"/>
    <n v="1"/>
    <m/>
    <n v="6.6428571428571432"/>
    <n v="0"/>
    <n v="20.129870129870131"/>
    <n v="1"/>
    <n v="20.129870129870131"/>
    <x v="1"/>
    <x v="0"/>
    <s v="OK"/>
  </r>
  <r>
    <s v="SO-50720"/>
    <s v="PL-CEN"/>
    <x v="9"/>
    <s v="LAC-1001"/>
    <n v="2148"/>
    <d v="2026-06-03T00:00:00"/>
    <s v="In Transit"/>
    <s v="OK"/>
    <n v="7.51"/>
    <n v="83"/>
    <n v="18"/>
    <s v="OK"/>
    <n v="1"/>
    <m/>
    <n v="25.879518072289155"/>
    <n v="67.214500000000001"/>
    <n v="78.42278203723987"/>
    <n v="1"/>
    <n v="78.42278203723987"/>
    <x v="0"/>
    <x v="0"/>
    <s v="OK"/>
  </r>
  <r>
    <s v="SO-50344"/>
    <s v="PL-SUR"/>
    <x v="6"/>
    <s v="BOT-1017"/>
    <n v="1148"/>
    <d v="2026-06-01T00:00:00"/>
    <s v="In Transit"/>
    <s v="OK"/>
    <n v="3.75"/>
    <n v="41"/>
    <n v="106"/>
    <s v="OK"/>
    <n v="3"/>
    <m/>
    <n v="28"/>
    <n v="17.9375"/>
    <n v="84.848484848484844"/>
    <n v="1"/>
    <n v="84.848484848484844"/>
    <x v="0"/>
    <x v="0"/>
    <s v="OK"/>
  </r>
  <r>
    <s v="SO-50559"/>
    <s v="PL-SUR"/>
    <x v="6"/>
    <s v="BEB-1017"/>
    <n v="976"/>
    <d v="2026-05-30T00:00:00"/>
    <s v="In Transit"/>
    <s v="OK"/>
    <n v="21.3"/>
    <n v="108"/>
    <n v="345"/>
    <s v="OK"/>
    <n v="5"/>
    <m/>
    <n v="9.0370370370370363"/>
    <n v="86.61999999999999"/>
    <n v="27.38496071829405"/>
    <n v="1"/>
    <n v="86.61999999999999"/>
    <x v="0"/>
    <x v="0"/>
    <s v="OK"/>
  </r>
  <r>
    <s v="SO-50078"/>
    <s v="PL-NTE"/>
    <x v="2"/>
    <s v="PRO-1002"/>
    <n v="682"/>
    <d v="2026-06-02T00:00:00"/>
    <s v="In Transit"/>
    <s v="OK"/>
    <n v="9.6999999999999993"/>
    <n v="98"/>
    <n v="115"/>
    <s v="OK"/>
    <n v="2"/>
    <m/>
    <n v="6.9591836734693882"/>
    <n v="27.564166666666669"/>
    <n v="21.088435374149661"/>
    <n v="1"/>
    <n v="27.564166666666669"/>
    <x v="1"/>
    <x v="0"/>
    <s v="OK"/>
  </r>
  <r>
    <s v="SO-50816"/>
    <s v="PL-SUR"/>
    <x v="4"/>
    <s v="BEB-1016"/>
    <n v="1515"/>
    <d v="2026-06-03T00:00:00"/>
    <s v="In Transit"/>
    <s v="OK"/>
    <n v="0"/>
    <n v="98"/>
    <n v="359"/>
    <s v="OK"/>
    <n v="1"/>
    <m/>
    <n v="15.459183673469388"/>
    <n v="0"/>
    <n v="46.846011131725419"/>
    <n v="1"/>
    <n v="46.846011131725419"/>
    <x v="1"/>
    <x v="0"/>
    <s v="OK"/>
  </r>
  <r>
    <s v="SO-51010"/>
    <s v="PL-NTE"/>
    <x v="10"/>
    <s v="LAC-1002"/>
    <n v="2920"/>
    <d v="2026-05-20T00:00:00"/>
    <s v="In Transit"/>
    <s v="OK"/>
    <n v="7.71"/>
    <n v="101"/>
    <n v="23"/>
    <s v="OK"/>
    <n v="15"/>
    <m/>
    <n v="28.910891089108912"/>
    <n v="93.805000000000007"/>
    <n v="87.608760876087615"/>
    <n v="1"/>
    <n v="93.805000000000007"/>
    <x v="0"/>
    <x v="1"/>
    <s v="FANTASMA"/>
  </r>
  <r>
    <s v="SO-50535"/>
    <s v="PL-CEN"/>
    <x v="9"/>
    <s v="PRO-1013"/>
    <n v="1621"/>
    <d v="2026-06-03T00:00:00"/>
    <s v="In Transit"/>
    <s v="OK"/>
    <n v="4.37"/>
    <n v="58"/>
    <n v="92"/>
    <s v="OK"/>
    <n v="1"/>
    <m/>
    <n v="27.948275862068964"/>
    <n v="29.515708333333336"/>
    <n v="84.691745036572613"/>
    <n v="1"/>
    <n v="84.691745036572613"/>
    <x v="0"/>
    <x v="0"/>
    <s v="OK"/>
  </r>
  <r>
    <s v="SO-50929"/>
    <s v="PL-SUR"/>
    <x v="4"/>
    <s v="PRO-1013"/>
    <n v="1772"/>
    <d v="2026-06-03T00:00:00"/>
    <s v="Delivered"/>
    <s v="OK"/>
    <n v="4.37"/>
    <n v="58"/>
    <n v="92"/>
    <s v="OK"/>
    <n v="1"/>
    <m/>
    <n v="30.551724137931036"/>
    <n v="32.265166666666666"/>
    <n v="92.580982236154654"/>
    <n v="1"/>
    <n v="92.580982236154654"/>
    <x v="0"/>
    <x v="0"/>
    <s v="OK"/>
  </r>
  <r>
    <s v="SO-51005"/>
    <s v="PL-NTE"/>
    <x v="14"/>
    <s v="LAC-1015"/>
    <n v="644"/>
    <d v="2026-05-16T00:00:00"/>
    <s v="Delivered"/>
    <s v="OK"/>
    <n v="11.26"/>
    <n v="129"/>
    <n v="24"/>
    <s v="OK"/>
    <n v="19"/>
    <m/>
    <n v="4.9922480620155039"/>
    <n v="30.214333333333332"/>
    <n v="15.128024430350012"/>
    <n v="1"/>
    <n v="30.214333333333332"/>
    <x v="1"/>
    <x v="1"/>
    <s v="OK"/>
  </r>
  <r>
    <s v="SO-50523"/>
    <s v="PL-CEN"/>
    <x v="9"/>
    <s v="BEB-1011"/>
    <n v="383"/>
    <d v="2026-06-03T00:00:00"/>
    <s v="In Transit"/>
    <s v="OK"/>
    <n v="23.39"/>
    <n v="79"/>
    <n v="329"/>
    <s v="OK"/>
    <n v="1"/>
    <m/>
    <n v="4.8481012658227849"/>
    <n v="37.326541666666671"/>
    <n v="14.691215957038741"/>
    <n v="1"/>
    <n v="37.326541666666671"/>
    <x v="1"/>
    <x v="0"/>
    <s v="OK"/>
  </r>
  <r>
    <s v="SO-50116"/>
    <s v="PL-SUR"/>
    <x v="12"/>
    <s v="ABA-1006"/>
    <n v="1569"/>
    <d v="2026-06-02T00:00:00"/>
    <s v="In Transit"/>
    <s v="OK"/>
    <n v="12.39"/>
    <n v="134"/>
    <n v="446"/>
    <s v="OK"/>
    <n v="2"/>
    <m/>
    <n v="11.708955223880597"/>
    <n v="80.999624999999995"/>
    <n v="35.481682496607867"/>
    <n v="1"/>
    <n v="80.999624999999995"/>
    <x v="0"/>
    <x v="0"/>
    <s v="OK"/>
  </r>
  <r>
    <s v="SO-50305"/>
    <s v="PL-SUR"/>
    <x v="6"/>
    <s v="BEB-1016"/>
    <n v="557"/>
    <d v="2026-06-02T00:00:00"/>
    <s v="In Transit"/>
    <s v="OK"/>
    <n v="0"/>
    <n v="98"/>
    <n v="359"/>
    <s v="OK"/>
    <n v="2"/>
    <m/>
    <n v="5.6836734693877551"/>
    <n v="0"/>
    <n v="17.223252937538653"/>
    <n v="1"/>
    <n v="17.223252937538653"/>
    <x v="1"/>
    <x v="0"/>
    <s v="OK"/>
  </r>
  <r>
    <s v="SO-50521"/>
    <s v="PL-CEN"/>
    <x v="8"/>
    <s v="PRO-1013"/>
    <n v="1788"/>
    <d v="2026-06-03T00:00:00"/>
    <s v="In Transit"/>
    <s v="OK"/>
    <n v="4.37"/>
    <n v="58"/>
    <n v="92"/>
    <s v="OK"/>
    <n v="1"/>
    <m/>
    <n v="30.827586206896552"/>
    <n v="32.5565"/>
    <n v="93.416927899686513"/>
    <n v="1"/>
    <n v="93.416927899686513"/>
    <x v="0"/>
    <x v="0"/>
    <s v="OK"/>
  </r>
  <r>
    <s v="SO-50635"/>
    <s v="PL-NTE"/>
    <x v="10"/>
    <s v="LAC-1012"/>
    <n v="1997"/>
    <d v="2026-06-01T00:00:00"/>
    <s v="In Transit"/>
    <s v="OK"/>
    <n v="9.8699999999999992"/>
    <n v="88"/>
    <n v="25"/>
    <s v="OK"/>
    <n v="3"/>
    <m/>
    <n v="22.693181818181817"/>
    <n v="82.126625000000004"/>
    <n v="68.767217630853992"/>
    <n v="1"/>
    <n v="82.126625000000004"/>
    <x v="0"/>
    <x v="0"/>
    <s v="OK"/>
  </r>
  <r>
    <s v="SO-51059"/>
    <s v="PL-CEN"/>
    <x v="5"/>
    <s v="BEB-1002"/>
    <n v="82"/>
    <d v="2026-06-01T00:00:00"/>
    <s v="In Transit"/>
    <s v="OK"/>
    <n v="0"/>
    <n v="69"/>
    <n v="291"/>
    <s v="OK"/>
    <n v="3"/>
    <m/>
    <n v="1.1884057971014492"/>
    <n v="0"/>
    <n v="3.6012296881862098"/>
    <n v="1"/>
    <n v="3.6012296881862098"/>
    <x v="1"/>
    <x v="0"/>
    <s v="OK"/>
  </r>
  <r>
    <s v="SO-50186"/>
    <s v="PL-CEN"/>
    <x v="5"/>
    <s v="BEB-1014"/>
    <n v="-25"/>
    <d v="2026-06-03T00:00:00"/>
    <s v="In Transit"/>
    <s v="INVALIDO"/>
    <n v="12.41"/>
    <n v="95"/>
    <n v="227"/>
    <s v="OK"/>
    <n v="1"/>
    <m/>
    <n v="-0.26315789473684209"/>
    <n v="-1.2927083333333333"/>
    <n v="-0.79744816586921841"/>
    <n v="0"/>
    <s v=""/>
    <x v="0"/>
    <x v="0"/>
    <s v="OK"/>
  </r>
  <r>
    <s v="SO-50442"/>
    <s v="PL-CEN"/>
    <x v="8"/>
    <s v="LAC-1016"/>
    <n v="1165"/>
    <d v="2026-06-03T00:00:00"/>
    <s v="In Transit"/>
    <s v="OK"/>
    <n v="10.9"/>
    <n v="131"/>
    <n v="22"/>
    <s v="OK"/>
    <n v="1"/>
    <m/>
    <n v="8.8931297709923669"/>
    <n v="52.91041666666667"/>
    <n v="26.948878093916264"/>
    <n v="1"/>
    <n v="52.91041666666667"/>
    <x v="1"/>
    <x v="0"/>
    <s v="OK"/>
  </r>
  <r>
    <s v="SO-50309"/>
    <s v="PL-SUR"/>
    <x v="7"/>
    <s v="BEB-1003"/>
    <n v="925"/>
    <d v="2026-06-03T00:00:00"/>
    <s v="In Transit"/>
    <s v="OK"/>
    <n v="20.5"/>
    <n v="64"/>
    <n v="359"/>
    <s v="OK"/>
    <n v="1"/>
    <m/>
    <n v="14.453125"/>
    <n v="79.010416666666671"/>
    <n v="43.797348484848484"/>
    <n v="1"/>
    <n v="79.010416666666671"/>
    <x v="0"/>
    <x v="0"/>
    <s v="OK"/>
  </r>
  <r>
    <s v="SO-50951"/>
    <s v="PL-NTE"/>
    <x v="2"/>
    <s v="ABA-1018"/>
    <n v="1954"/>
    <d v="2026-06-02T00:00:00"/>
    <s v="In Transit"/>
    <s v="OK"/>
    <n v="11.43"/>
    <n v="128"/>
    <n v="530"/>
    <s v="OK"/>
    <n v="2"/>
    <m/>
    <n v="15.265625"/>
    <n v="93.059250000000006"/>
    <n v="46.259469696969695"/>
    <n v="1"/>
    <n v="93.059250000000006"/>
    <x v="0"/>
    <x v="0"/>
    <s v="OK"/>
  </r>
  <r>
    <s v="SO-51036"/>
    <s v="PL-CEN"/>
    <x v="5"/>
    <s v="LAC-1016"/>
    <n v="1936"/>
    <d v="2026-05-19T00:00:00"/>
    <s v="In Transit"/>
    <s v="OK"/>
    <n v="10.9"/>
    <n v="131"/>
    <n v="22"/>
    <s v="OK"/>
    <n v="16"/>
    <m/>
    <n v="14.778625954198473"/>
    <n v="87.926666666666677"/>
    <n v="44.783715012722645"/>
    <n v="1"/>
    <n v="87.926666666666677"/>
    <x v="0"/>
    <x v="1"/>
    <s v="FANTASMA"/>
  </r>
  <r>
    <s v="SO-51075"/>
    <s v="PL-NTE"/>
    <x v="11"/>
    <s v="PRO-1015"/>
    <n v="3068"/>
    <d v="2026-06-03T00:00:00"/>
    <s v="In Transit"/>
    <s v="OK"/>
    <n v="6.16"/>
    <n v="104"/>
    <n v="67"/>
    <s v="OK"/>
    <n v="1"/>
    <m/>
    <n v="29.5"/>
    <n v="78.745333333333335"/>
    <n v="89.393939393939391"/>
    <n v="1"/>
    <n v="89.393939393939391"/>
    <x v="0"/>
    <x v="0"/>
    <s v="OK"/>
  </r>
  <r>
    <s v="SO-50603"/>
    <s v="PL-CEN"/>
    <x v="8"/>
    <s v="BOT-1018"/>
    <n v="2072"/>
    <d v="2026-06-03T00:00:00"/>
    <s v="In Transit"/>
    <s v="OK"/>
    <n v="6.23"/>
    <n v="78"/>
    <n v="99"/>
    <s v="OK"/>
    <n v="1"/>
    <m/>
    <n v="26.564102564102566"/>
    <n v="53.785666666666678"/>
    <n v="80.497280497280499"/>
    <n v="1"/>
    <n v="80.497280497280499"/>
    <x v="0"/>
    <x v="0"/>
    <s v="OK"/>
  </r>
  <r>
    <s v="SO-50874"/>
    <s v="PL-NTE"/>
    <x v="2"/>
    <s v="BOT-1014"/>
    <n v="1552"/>
    <d v="2026-06-02T00:00:00"/>
    <s v="In Transit"/>
    <s v="OK"/>
    <n v="3.92"/>
    <n v="49"/>
    <n v="98"/>
    <s v="OK"/>
    <n v="2"/>
    <m/>
    <n v="31.673469387755102"/>
    <n v="25.349333333333334"/>
    <n v="95.980210265924555"/>
    <n v="1"/>
    <n v="95.980210265924555"/>
    <x v="0"/>
    <x v="0"/>
    <s v="OK"/>
  </r>
  <r>
    <s v="SO-50178"/>
    <s v="PL-CEN"/>
    <x v="13"/>
    <s v="BEB-1003"/>
    <n v="935"/>
    <d v="2026-06-03T00:00:00"/>
    <s v="In Transit"/>
    <s v="OK"/>
    <n v="20.5"/>
    <n v="64"/>
    <n v="359"/>
    <s v="OK"/>
    <n v="1"/>
    <m/>
    <n v="14.609375"/>
    <n v="79.864583333333343"/>
    <n v="44.270833333333329"/>
    <n v="1"/>
    <n v="79.864583333333343"/>
    <x v="0"/>
    <x v="0"/>
    <s v="OK"/>
  </r>
  <r>
    <s v="SO-50389"/>
    <s v="PL-SUR"/>
    <x v="6"/>
    <s v="ABA-1012"/>
    <n v="1481"/>
    <d v="2026-06-01T00:00:00"/>
    <s v="In Transit"/>
    <s v="OK"/>
    <n v="15.14"/>
    <n v="117"/>
    <n v="484"/>
    <s v="OK"/>
    <n v="3"/>
    <m/>
    <n v="12.658119658119658"/>
    <n v="93.426416666666668"/>
    <n v="38.357938357938352"/>
    <n v="1"/>
    <n v="93.426416666666668"/>
    <x v="0"/>
    <x v="0"/>
    <s v="OK"/>
  </r>
  <r>
    <s v="SO-50568"/>
    <s v="PL-CEN"/>
    <x v="9"/>
    <s v="BEB-1019"/>
    <n v="1390"/>
    <d v="2026-06-02T00:00:00"/>
    <s v="In Transit"/>
    <s v="OK"/>
    <n v="14.35"/>
    <n v="70"/>
    <n v="240"/>
    <s v="OK"/>
    <n v="2"/>
    <m/>
    <n v="19.857142857142858"/>
    <n v="83.110416666666666"/>
    <n v="60.173160173160177"/>
    <n v="1"/>
    <n v="83.110416666666666"/>
    <x v="0"/>
    <x v="0"/>
    <s v="OK"/>
  </r>
  <r>
    <s v="SO-50895"/>
    <s v="PL-SUR"/>
    <x v="0"/>
    <s v="PRO-1010"/>
    <n v="2675"/>
    <d v="2026-06-03T00:00:00"/>
    <s v="In Transit"/>
    <s v="OK"/>
    <n v="7.76"/>
    <n v="86"/>
    <n v="112"/>
    <s v="OK"/>
    <n v="1"/>
    <m/>
    <n v="31.104651162790699"/>
    <n v="86.49166666666666"/>
    <n v="94.256518675123317"/>
    <n v="1"/>
    <n v="94.256518675123317"/>
    <x v="0"/>
    <x v="0"/>
    <s v="OK"/>
  </r>
  <r>
    <s v="SO-50433"/>
    <s v="PL-SUR"/>
    <x v="7"/>
    <s v="PRO-1012"/>
    <n v="2898"/>
    <d v="2026-06-03T00:00:00"/>
    <s v="In Transit"/>
    <s v="OK"/>
    <n v="6.87"/>
    <n v="101"/>
    <n v="62"/>
    <s v="OK"/>
    <n v="1"/>
    <m/>
    <n v="28.693069306930692"/>
    <n v="82.955250000000007"/>
    <n v="86.948694869486943"/>
    <n v="1"/>
    <n v="86.948694869486943"/>
    <x v="0"/>
    <x v="0"/>
    <s v="OK"/>
  </r>
  <r>
    <s v="SO-50855"/>
    <s v="PL-CEN"/>
    <x v="5"/>
    <s v="BOT-1005"/>
    <n v="1790"/>
    <d v="2026-06-03T00:00:00"/>
    <s v="In Transit"/>
    <s v="OK"/>
    <n v="5.49"/>
    <n v="62"/>
    <n v="91"/>
    <s v="OK"/>
    <n v="1"/>
    <m/>
    <n v="28.870967741935484"/>
    <n v="40.946249999999999"/>
    <n v="87.48778103616813"/>
    <n v="1"/>
    <n v="87.48778103616813"/>
    <x v="0"/>
    <x v="0"/>
    <s v="OK"/>
  </r>
  <r>
    <s v="SO-50393"/>
    <s v="PL-NTE"/>
    <x v="2"/>
    <s v="BOT-1008"/>
    <n v="2032"/>
    <d v="2026-06-03T00:00:00"/>
    <s v="In Transit"/>
    <s v="OK"/>
    <n v="3.48"/>
    <n v="66"/>
    <n v="112"/>
    <s v="OK"/>
    <n v="1"/>
    <m/>
    <n v="30.787878787878789"/>
    <n v="29.464000000000002"/>
    <n v="93.296602387511484"/>
    <n v="1"/>
    <n v="93.296602387511484"/>
    <x v="0"/>
    <x v="0"/>
    <s v="OK"/>
  </r>
  <r>
    <s v="SO-50147"/>
    <s v="PL-NTE"/>
    <x v="2"/>
    <s v="BOT-1023"/>
    <n v="1271"/>
    <d v="2026-06-03T00:00:00"/>
    <s v="In Transit"/>
    <s v="OK"/>
    <n v="4.29"/>
    <n v="44"/>
    <n v="111"/>
    <s v="OK"/>
    <n v="1"/>
    <m/>
    <n v="28.886363636363637"/>
    <n v="22.719125000000002"/>
    <n v="87.534435261707983"/>
    <n v="1"/>
    <n v="87.534435261707983"/>
    <x v="0"/>
    <x v="0"/>
    <s v="OK"/>
  </r>
  <r>
    <s v="SO-50109"/>
    <s v="PL-CEN"/>
    <x v="3"/>
    <s v="ABA-1019"/>
    <n v="1531"/>
    <d v="2026-06-02T00:00:00"/>
    <s v="In Transit"/>
    <s v="OK"/>
    <n v="14.82"/>
    <n v="132"/>
    <n v="373"/>
    <s v="OK"/>
    <n v="2"/>
    <m/>
    <n v="11.598484848484848"/>
    <n v="94.53925000000001"/>
    <n v="35.146923783287413"/>
    <n v="1"/>
    <n v="94.53925000000001"/>
    <x v="0"/>
    <x v="0"/>
    <s v="OK"/>
  </r>
  <r>
    <s v="SO-51052"/>
    <s v="PL-NTE"/>
    <x v="1"/>
    <s v="ABA-1009"/>
    <n v="1573"/>
    <d v="2026-06-02T00:00:00"/>
    <s v="In Transit"/>
    <s v="OK"/>
    <n v="14.79"/>
    <n v="124"/>
    <n v="423"/>
    <s v="OK"/>
    <n v="2"/>
    <m/>
    <n v="12.685483870967742"/>
    <n v="96.93612499999999"/>
    <n v="38.44086021505376"/>
    <n v="1"/>
    <n v="96.93612499999999"/>
    <x v="0"/>
    <x v="0"/>
    <s v="OK"/>
  </r>
  <r>
    <s v="SO-50606"/>
    <s v="PL-CEN"/>
    <x v="9"/>
    <s v="ABA-1005"/>
    <n v="1476"/>
    <d v="2026-06-02T00:00:00"/>
    <s v="In Transit"/>
    <s v="OK"/>
    <n v="13.31"/>
    <n v="89"/>
    <n v="313"/>
    <s v="OK"/>
    <n v="2"/>
    <m/>
    <n v="16.584269662921347"/>
    <n v="81.856500000000011"/>
    <n v="50.255362614913167"/>
    <n v="1"/>
    <n v="81.856500000000011"/>
    <x v="0"/>
    <x v="0"/>
    <s v="OK"/>
  </r>
  <r>
    <s v="SO-50907"/>
    <s v="PL-CEN"/>
    <x v="9"/>
    <s v="PRO-1004"/>
    <n v="596"/>
    <d v="2026-06-02T00:00:00"/>
    <s v="In Transit"/>
    <s v="OK"/>
    <n v="12.77"/>
    <n v="96"/>
    <n v="122"/>
    <s v="OK"/>
    <n v="2"/>
    <m/>
    <n v="6.208333333333333"/>
    <n v="31.712166666666668"/>
    <n v="18.813131313131311"/>
    <n v="1"/>
    <n v="31.712166666666668"/>
    <x v="1"/>
    <x v="0"/>
    <s v="OK"/>
  </r>
  <r>
    <s v="SO-50270"/>
    <s v="PL-CEN"/>
    <x v="9"/>
    <s v="BEB-1009"/>
    <n v="1222"/>
    <d v="2026-06-02T00:00:00"/>
    <s v="In Transit"/>
    <s v="OK"/>
    <n v="18.170000000000002"/>
    <n v="61"/>
    <n v="188"/>
    <s v="OK"/>
    <n v="2"/>
    <m/>
    <n v="20.032786885245901"/>
    <n v="92.515583333333339"/>
    <n v="60.705414803775462"/>
    <n v="1"/>
    <n v="92.515583333333339"/>
    <x v="0"/>
    <x v="0"/>
    <s v="OK"/>
  </r>
  <r>
    <s v="SO-50599"/>
    <s v="PL-SUR"/>
    <x v="7"/>
    <s v="BEB-1010"/>
    <n v="1554"/>
    <d v="2026-06-03T00:00:00"/>
    <s v="In Transit"/>
    <s v="OK"/>
    <n v="0"/>
    <n v="71"/>
    <n v="192"/>
    <s v="OK"/>
    <n v="1"/>
    <m/>
    <n v="21.887323943661972"/>
    <n v="0"/>
    <n v="66.325224071702948"/>
    <n v="1"/>
    <n v="66.325224071702948"/>
    <x v="1"/>
    <x v="0"/>
    <s v="OK"/>
  </r>
  <r>
    <s v="SO-50774"/>
    <s v="PL-NTE"/>
    <x v="1"/>
    <s v="ABA-1014"/>
    <n v="2045"/>
    <d v="2026-06-01T00:00:00"/>
    <s v="In Transit"/>
    <s v="OK"/>
    <n v="9.56"/>
    <n v="136"/>
    <n v="345"/>
    <s v="OK"/>
    <n v="3"/>
    <m/>
    <n v="15.036764705882353"/>
    <n v="81.459166666666675"/>
    <n v="45.565953654188952"/>
    <n v="1"/>
    <n v="81.459166666666675"/>
    <x v="0"/>
    <x v="0"/>
    <s v="OK"/>
  </r>
  <r>
    <s v="SO-50953"/>
    <s v="PL-CEN"/>
    <x v="3"/>
    <s v="ABA-1012"/>
    <n v="1344"/>
    <d v="2026-06-01T00:00:00"/>
    <s v="In Transit"/>
    <s v="OK"/>
    <n v="15.14"/>
    <n v="117"/>
    <n v="484"/>
    <s v="OK"/>
    <n v="3"/>
    <m/>
    <n v="11.487179487179487"/>
    <n v="84.784000000000006"/>
    <n v="34.809634809634808"/>
    <n v="1"/>
    <n v="84.784000000000006"/>
    <x v="0"/>
    <x v="0"/>
    <s v="OK"/>
  </r>
  <r>
    <s v="SO-50716"/>
    <s v="PL-CEN"/>
    <x v="9"/>
    <s v="BEB-1014"/>
    <n v="1607"/>
    <d v="2026-06-03T00:00:00"/>
    <s v="In Transit"/>
    <s v="OK"/>
    <n v="12.41"/>
    <n v="95"/>
    <n v="227"/>
    <s v="OK"/>
    <n v="1"/>
    <m/>
    <n v="16.91578947368421"/>
    <n v="83.095291666666654"/>
    <n v="51.259968102073358"/>
    <n v="1"/>
    <n v="83.095291666666654"/>
    <x v="0"/>
    <x v="0"/>
    <s v="OK"/>
  </r>
  <r>
    <s v="SO-50032"/>
    <s v="PL-NTE"/>
    <x v="1"/>
    <s v="BEB-1012"/>
    <n v="1481"/>
    <d v="2026-06-01T00:00:00"/>
    <s v="In Transit"/>
    <s v="OK"/>
    <n v="15.66"/>
    <n v="72"/>
    <n v="306"/>
    <s v="OK"/>
    <n v="3"/>
    <m/>
    <n v="20.569444444444443"/>
    <n v="96.635249999999999"/>
    <n v="62.331649831649827"/>
    <n v="1"/>
    <n v="96.635249999999999"/>
    <x v="0"/>
    <x v="0"/>
    <s v="OK"/>
  </r>
  <r>
    <s v="SO-50288"/>
    <s v="PL-CEN"/>
    <x v="3"/>
    <s v="LAC-1002"/>
    <n v="2698"/>
    <d v="2026-06-01T00:00:00"/>
    <s v="In Transit"/>
    <s v="OK"/>
    <n v="7.71"/>
    <n v="101"/>
    <n v="23"/>
    <s v="OK"/>
    <n v="3"/>
    <m/>
    <n v="26.712871287128714"/>
    <n v="86.673249999999996"/>
    <n v="80.948094809480949"/>
    <n v="1"/>
    <n v="86.673249999999996"/>
    <x v="0"/>
    <x v="0"/>
    <s v="OK"/>
  </r>
  <r>
    <s v="SO-51023"/>
    <s v="PL-CEN"/>
    <x v="13"/>
    <s v="LAC-1007"/>
    <n v="1888"/>
    <d v="2026-05-19T00:00:00"/>
    <s v="In Transit"/>
    <s v="OK"/>
    <n v="10.37"/>
    <n v="100"/>
    <n v="24"/>
    <s v="OK"/>
    <n v="16"/>
    <m/>
    <n v="18.88"/>
    <n v="81.577333333333328"/>
    <n v="57.212121212121211"/>
    <n v="1"/>
    <n v="81.577333333333328"/>
    <x v="0"/>
    <x v="1"/>
    <s v="FANTASMA"/>
  </r>
  <r>
    <s v="SO-50763"/>
    <s v="PL-CEN"/>
    <x v="3"/>
    <s v="BOT-1019"/>
    <n v="2659"/>
    <d v="2026-06-02T00:00:00"/>
    <s v="In Transit"/>
    <s v="OK"/>
    <n v="3.44"/>
    <n v="85"/>
    <n v="102"/>
    <s v="OK"/>
    <n v="2"/>
    <m/>
    <n v="31.28235294117647"/>
    <n v="38.112333333333332"/>
    <n v="94.795008912655959"/>
    <n v="1"/>
    <n v="94.795008912655959"/>
    <x v="0"/>
    <x v="0"/>
    <s v="OK"/>
  </r>
  <r>
    <s v="SO-50472"/>
    <s v="PL-NTE"/>
    <x v="10"/>
    <s v="PRO-1005"/>
    <n v="584"/>
    <d v="2026-06-03T00:00:00"/>
    <s v="In Transit"/>
    <s v="OK"/>
    <n v="11.02"/>
    <n v="69"/>
    <n v="86"/>
    <s v="OK"/>
    <n v="1"/>
    <m/>
    <n v="8.4637681159420293"/>
    <n v="26.815333333333331"/>
    <n v="25.6477821695213"/>
    <n v="1"/>
    <n v="26.815333333333331"/>
    <x v="1"/>
    <x v="0"/>
    <s v="OK"/>
  </r>
  <r>
    <s v="SO-51028"/>
    <s v="PL-NTE"/>
    <x v="11"/>
    <s v="LAC-1001"/>
    <n v="2438"/>
    <d v="2026-05-21T00:00:00"/>
    <s v="In Transit"/>
    <s v="OK"/>
    <n v="7.51"/>
    <n v="83"/>
    <n v="18"/>
    <s v="OK"/>
    <n v="14"/>
    <m/>
    <n v="29.373493975903614"/>
    <n v="76.289083333333338"/>
    <n v="89.010587805768523"/>
    <n v="1"/>
    <n v="89.010587805768523"/>
    <x v="0"/>
    <x v="1"/>
    <s v="FANTASMA"/>
  </r>
  <r>
    <s v="SO-50102"/>
    <s v="PL-NTE"/>
    <x v="11"/>
    <s v="BOT-1022"/>
    <n v="1485"/>
    <d v="2026-06-01T00:00:00"/>
    <s v="In Transit"/>
    <s v="OK"/>
    <n v="3.48"/>
    <n v="55"/>
    <n v="118"/>
    <s v="OK"/>
    <n v="3"/>
    <m/>
    <n v="27"/>
    <n v="21.532500000000002"/>
    <n v="81.818181818181827"/>
    <n v="1"/>
    <n v="81.818181818181827"/>
    <x v="0"/>
    <x v="0"/>
    <s v="OK"/>
  </r>
  <r>
    <s v="SO-50904"/>
    <s v="PL-NTE"/>
    <x v="2"/>
    <s v="LAC-1005"/>
    <n v="2500"/>
    <d v="2026-06-02T00:00:00"/>
    <s v="In Transit"/>
    <s v="OK"/>
    <n v="8.94"/>
    <n v="100"/>
    <n v="17"/>
    <s v="OK"/>
    <n v="2"/>
    <m/>
    <n v="25"/>
    <n v="93.125"/>
    <n v="75.757575757575751"/>
    <n v="1"/>
    <n v="93.125"/>
    <x v="0"/>
    <x v="0"/>
    <s v="OK"/>
  </r>
  <r>
    <s v="SO-50912"/>
    <s v="PL-CEN"/>
    <x v="3"/>
    <s v="LAC-1005"/>
    <n v="2296"/>
    <d v="2026-06-01T00:00:00"/>
    <s v="In Transit"/>
    <s v="OK"/>
    <n v="8.94"/>
    <n v="100"/>
    <n v="17"/>
    <s v="OK"/>
    <n v="3"/>
    <m/>
    <n v="22.96"/>
    <n v="85.525999999999996"/>
    <n v="69.575757575757578"/>
    <n v="1"/>
    <n v="85.525999999999996"/>
    <x v="0"/>
    <x v="0"/>
    <s v="OK"/>
  </r>
  <r>
    <s v="SO-50410"/>
    <s v="PL-CEN"/>
    <x v="13"/>
    <s v="PRO-1005"/>
    <n v="1032"/>
    <d v="2026-06-03T00:00:00"/>
    <s v="In Transit"/>
    <s v="OK"/>
    <n v="11.02"/>
    <n v="69"/>
    <n v="86"/>
    <s v="OK"/>
    <n v="1"/>
    <m/>
    <n v="14.956521739130435"/>
    <n v="47.386000000000003"/>
    <n v="45.322793148880109"/>
    <n v="1"/>
    <n v="47.386000000000003"/>
    <x v="1"/>
    <x v="0"/>
    <s v="OK"/>
  </r>
  <r>
    <s v="SO-50888"/>
    <s v="PL-CEN"/>
    <x v="8"/>
    <s v="BOT-1000"/>
    <n v="1968"/>
    <d v="2026-06-03T00:00:00"/>
    <s v="In Transit"/>
    <s v="OK"/>
    <n v="3.56"/>
    <n v="64"/>
    <n v="92"/>
    <s v="OK"/>
    <n v="1"/>
    <m/>
    <n v="30.75"/>
    <n v="29.192"/>
    <n v="93.181818181818173"/>
    <n v="1"/>
    <n v="93.181818181818173"/>
    <x v="0"/>
    <x v="0"/>
    <s v="OK"/>
  </r>
  <r>
    <s v="SO-50044"/>
    <s v="PL-CEN"/>
    <x v="9"/>
    <s v="BEB-1017"/>
    <n v="441"/>
    <d v="2026-06-02T00:00:00"/>
    <s v="In Transit"/>
    <s v="OK"/>
    <n v="21.3"/>
    <n v="108"/>
    <n v="345"/>
    <s v="OK"/>
    <n v="2"/>
    <m/>
    <n v="4.083333333333333"/>
    <n v="39.138750000000009"/>
    <n v="12.373737373737374"/>
    <n v="1"/>
    <n v="39.138750000000009"/>
    <x v="1"/>
    <x v="0"/>
    <s v="OK"/>
  </r>
  <r>
    <s v="SO-50852"/>
    <s v="PL-NTE"/>
    <x v="11"/>
    <s v="PRO-1010"/>
    <n v="1158"/>
    <d v="2026-06-01T00:00:00"/>
    <s v="In Transit"/>
    <s v="OK"/>
    <n v="7.76"/>
    <n v="86"/>
    <n v="112"/>
    <s v="OK"/>
    <n v="3"/>
    <m/>
    <n v="13.465116279069768"/>
    <n v="37.442"/>
    <n v="40.803382663847785"/>
    <n v="1"/>
    <n v="40.803382663847785"/>
    <x v="1"/>
    <x v="0"/>
    <s v="OK"/>
  </r>
  <r>
    <s v="SO-50627"/>
    <s v="PL-NTE"/>
    <x v="11"/>
    <s v="BOT-1000"/>
    <n v="2044"/>
    <d v="2026-06-01T00:00:00"/>
    <s v="In Transit"/>
    <s v="OK"/>
    <n v="3.56"/>
    <n v="64"/>
    <n v="92"/>
    <s v="OK"/>
    <n v="3"/>
    <m/>
    <n v="31.9375"/>
    <n v="30.319333333333336"/>
    <n v="96.780303030303031"/>
    <n v="1"/>
    <n v="96.780303030303031"/>
    <x v="0"/>
    <x v="0"/>
    <s v="OK"/>
  </r>
  <r>
    <s v="SO-50373"/>
    <s v="PL-CEN"/>
    <x v="9"/>
    <s v="LAC-1009"/>
    <n v="554"/>
    <d v="2026-06-03T00:00:00"/>
    <s v="Delivered"/>
    <s v="OK"/>
    <n v="11.01"/>
    <n v="98"/>
    <n v="16"/>
    <s v="OK"/>
    <n v="1"/>
    <m/>
    <n v="5.6530612244897958"/>
    <n v="25.414750000000002"/>
    <n v="17.130488559059987"/>
    <n v="1"/>
    <n v="25.414750000000002"/>
    <x v="1"/>
    <x v="0"/>
    <s v="OK"/>
  </r>
  <r>
    <s v="SO-50017"/>
    <s v="PL-CEN"/>
    <x v="3"/>
    <s v="BOT-1006"/>
    <n v="1152"/>
    <d v="2026-06-03T00:00:00"/>
    <s v="Delivered"/>
    <s v="OK"/>
    <n v="4.24"/>
    <n v="41"/>
    <n v="111"/>
    <s v="OK"/>
    <n v="1"/>
    <m/>
    <n v="28.097560975609756"/>
    <n v="20.352"/>
    <n v="85.144124168514409"/>
    <n v="1"/>
    <n v="85.144124168514409"/>
    <x v="0"/>
    <x v="0"/>
    <s v="OK"/>
  </r>
  <r>
    <s v="SO-50715"/>
    <s v="PL-NTE"/>
    <x v="14"/>
    <s v="BOT-1016"/>
    <n v="1280"/>
    <d v="2026-06-03T00:00:00"/>
    <s v="In Transit"/>
    <s v="OK"/>
    <n v="5.53"/>
    <n v="42"/>
    <n v="114"/>
    <s v="OK"/>
    <n v="1"/>
    <m/>
    <n v="30.476190476190474"/>
    <n v="29.493333333333339"/>
    <n v="92.352092352092356"/>
    <n v="1"/>
    <n v="92.352092352092356"/>
    <x v="0"/>
    <x v="0"/>
    <s v="OK"/>
  </r>
  <r>
    <s v="SO-50670"/>
    <s v="PL-SUR"/>
    <x v="6"/>
    <s v="ABA-1016"/>
    <n v="1382"/>
    <d v="2026-06-01T00:00:00"/>
    <s v="In Transit"/>
    <s v="OK"/>
    <n v="15.52"/>
    <n v="121"/>
    <n v="517"/>
    <s v="OK"/>
    <n v="3"/>
    <m/>
    <n v="11.421487603305785"/>
    <n v="89.36933333333333"/>
    <n v="34.610568494866015"/>
    <n v="1"/>
    <n v="89.36933333333333"/>
    <x v="0"/>
    <x v="0"/>
    <s v="OK"/>
  </r>
  <r>
    <s v="SO-50578"/>
    <s v="PL-NTE"/>
    <x v="1"/>
    <s v="PRO-1015"/>
    <n v="2965"/>
    <d v="2026-05-31T00:00:00"/>
    <s v="Delivered"/>
    <s v="OK"/>
    <n v="6.16"/>
    <n v="104"/>
    <n v="67"/>
    <s v="OK"/>
    <n v="4"/>
    <m/>
    <n v="28.509615384615383"/>
    <n v="76.101666666666674"/>
    <n v="86.392773892773889"/>
    <n v="1"/>
    <n v="86.392773892773889"/>
    <x v="0"/>
    <x v="0"/>
    <s v="OK"/>
  </r>
  <r>
    <s v="SO-50392"/>
    <s v="PL-CEN"/>
    <x v="5"/>
    <s v="BOT-1002"/>
    <n v="1371"/>
    <d v="2026-06-03T00:00:00"/>
    <s v="In Transit"/>
    <s v="OK"/>
    <n v="3.02"/>
    <n v="84"/>
    <n v="111"/>
    <s v="OK"/>
    <n v="1"/>
    <m/>
    <n v="16.321428571428573"/>
    <n v="17.251749999999998"/>
    <n v="49.458874458874462"/>
    <n v="1"/>
    <n v="49.458874458874462"/>
    <x v="1"/>
    <x v="0"/>
    <s v="OK"/>
  </r>
  <r>
    <s v="SO-50544"/>
    <s v="PL-NTE"/>
    <x v="10"/>
    <s v="ABA-1006"/>
    <n v="1613"/>
    <d v="2026-05-31T00:00:00"/>
    <s v="In Transit"/>
    <s v="OK"/>
    <n v="12.39"/>
    <n v="134"/>
    <n v="446"/>
    <s v="OK"/>
    <n v="4"/>
    <m/>
    <n v="12.037313432835822"/>
    <n v="83.271124999999998"/>
    <n v="36.476707372229761"/>
    <n v="1"/>
    <n v="83.271124999999998"/>
    <x v="0"/>
    <x v="0"/>
    <s v="OK"/>
  </r>
  <r>
    <s v="SO-50505"/>
    <s v="PL-CEN"/>
    <x v="3"/>
    <s v="BEB-1005"/>
    <n v="1470"/>
    <d v="2026-06-02T00:00:00"/>
    <s v="In Transit"/>
    <s v="OK"/>
    <n v="14.2"/>
    <n v="95"/>
    <n v="277"/>
    <s v="OK"/>
    <n v="2"/>
    <m/>
    <n v="15.473684210526315"/>
    <n v="86.975000000000009"/>
    <n v="46.889952153110045"/>
    <n v="1"/>
    <n v="86.975000000000009"/>
    <x v="0"/>
    <x v="0"/>
    <s v="OK"/>
  </r>
  <r>
    <s v="SO-51104"/>
    <s v="PL-SUR"/>
    <x v="7"/>
    <s v="ABA-1013"/>
    <n v="635"/>
    <d v="2026-05-26T00:00:00"/>
    <s v="In Transit"/>
    <s v="OK"/>
    <n v="12.02"/>
    <n v="75"/>
    <n v="402"/>
    <s v="OK"/>
    <n v="9"/>
    <m/>
    <n v="8.4666666666666668"/>
    <n v="31.802916666666665"/>
    <n v="25.656565656565654"/>
    <n v="1"/>
    <n v="31.802916666666665"/>
    <x v="1"/>
    <x v="0"/>
    <s v="FANTASMA"/>
  </r>
  <r>
    <s v="SO-50399"/>
    <s v="PL-CEN"/>
    <x v="9"/>
    <s v="LAC-1011"/>
    <n v="1155"/>
    <d v="2026-06-02T00:00:00"/>
    <s v="In Transit"/>
    <s v="OK"/>
    <n v="6.1"/>
    <n v="137"/>
    <n v="17"/>
    <s v="OK"/>
    <n v="2"/>
    <m/>
    <n v="8.4306569343065689"/>
    <n v="29.356249999999999"/>
    <n v="25.54744525547445"/>
    <n v="1"/>
    <n v="29.356249999999999"/>
    <x v="1"/>
    <x v="0"/>
    <s v="OK"/>
  </r>
  <r>
    <s v="SO-51014"/>
    <s v="PL-NTE"/>
    <x v="11"/>
    <s v="LAC-1013"/>
    <n v="1575"/>
    <d v="2026-05-25T00:00:00"/>
    <s v="In Transit"/>
    <s v="OK"/>
    <n v="8.32"/>
    <n v="98"/>
    <n v="16"/>
    <s v="OK"/>
    <n v="10"/>
    <m/>
    <n v="16.071428571428573"/>
    <n v="54.6"/>
    <n v="48.701298701298704"/>
    <n v="1"/>
    <n v="54.6"/>
    <x v="1"/>
    <x v="1"/>
    <s v="FANTASMA"/>
  </r>
  <r>
    <s v="SO-50034"/>
    <s v="PL-CEN"/>
    <x v="8"/>
    <s v="BOT-1023"/>
    <n v="1255"/>
    <d v="2026-06-03T00:00:00"/>
    <s v="In Transit"/>
    <s v="OK"/>
    <n v="4.29"/>
    <n v="44"/>
    <n v="111"/>
    <s v="OK"/>
    <n v="1"/>
    <m/>
    <n v="28.522727272727273"/>
    <n v="22.433124999999997"/>
    <n v="86.432506887052341"/>
    <n v="1"/>
    <n v="86.432506887052341"/>
    <x v="0"/>
    <x v="0"/>
    <s v="OK"/>
  </r>
  <r>
    <s v="SO-50829"/>
    <s v="PL-NTE"/>
    <x v="1"/>
    <s v="BEB-1019"/>
    <n v="610"/>
    <d v="2026-06-02T00:00:00"/>
    <s v="In Transit"/>
    <s v="OK"/>
    <n v="14.35"/>
    <n v="70"/>
    <n v="240"/>
    <s v="OK"/>
    <n v="2"/>
    <m/>
    <n v="8.7142857142857135"/>
    <n v="36.472916666666663"/>
    <n v="26.406926406926406"/>
    <n v="1"/>
    <n v="36.472916666666663"/>
    <x v="1"/>
    <x v="0"/>
    <s v="OK"/>
  </r>
  <r>
    <s v="SO-51073"/>
    <s v="PL-CEN"/>
    <x v="5"/>
    <s v="BOT-1021"/>
    <n v="1435"/>
    <d v="2026-06-01T00:00:00"/>
    <s v="In Transit"/>
    <s v="OK"/>
    <n v="5.04"/>
    <n v="47"/>
    <n v="96"/>
    <s v="OK"/>
    <n v="3"/>
    <m/>
    <n v="30.531914893617021"/>
    <n v="30.135000000000002"/>
    <n v="92.520954223081887"/>
    <n v="1"/>
    <n v="92.520954223081887"/>
    <x v="0"/>
    <x v="0"/>
    <s v="OK"/>
  </r>
  <r>
    <s v="SO-50352"/>
    <s v="PL-SUR"/>
    <x v="12"/>
    <s v="PRO-1014"/>
    <n v="1613"/>
    <d v="2026-06-03T00:00:00"/>
    <s v="In Transit"/>
    <s v="OK"/>
    <n v="5.27"/>
    <n v="60"/>
    <n v="129"/>
    <s v="OK"/>
    <n v="1"/>
    <m/>
    <n v="26.883333333333333"/>
    <n v="35.418791666666664"/>
    <n v="81.464646464646464"/>
    <n v="1"/>
    <n v="81.464646464646464"/>
    <x v="0"/>
    <x v="0"/>
    <s v="OK"/>
  </r>
  <r>
    <s v="SO-50076"/>
    <s v="PL-SUR"/>
    <x v="0"/>
    <s v="BOT-1001"/>
    <n v="1914"/>
    <d v="2026-06-03T00:00:00"/>
    <s v="In Transit"/>
    <s v="OK"/>
    <n v="6.95"/>
    <n v="66"/>
    <n v="95"/>
    <s v="OK"/>
    <n v="1"/>
    <m/>
    <n v="29"/>
    <n v="55.426249999999996"/>
    <n v="87.878787878787875"/>
    <n v="1"/>
    <n v="87.878787878787875"/>
    <x v="0"/>
    <x v="0"/>
    <s v="OK"/>
  </r>
  <r>
    <s v="SO-50746"/>
    <s v="PL-NTE"/>
    <x v="1"/>
    <s v="BEB-1016"/>
    <n v="955"/>
    <d v="2026-06-03T00:00:00"/>
    <s v="Delivered"/>
    <s v="OK"/>
    <n v="0"/>
    <n v="98"/>
    <n v="359"/>
    <s v="OK"/>
    <n v="1"/>
    <m/>
    <n v="9.7448979591836729"/>
    <n v="0"/>
    <n v="29.529993815708099"/>
    <n v="1"/>
    <n v="29.529993815708099"/>
    <x v="1"/>
    <x v="0"/>
    <s v="OK"/>
  </r>
  <r>
    <s v="SO-51105"/>
    <s v="PL-CEN"/>
    <x v="13"/>
    <s v="ABA-1005"/>
    <n v="1685"/>
    <d v="2026-05-28T00:00:00"/>
    <s v="In Transit"/>
    <s v="OK"/>
    <n v="13.31"/>
    <n v="89"/>
    <n v="313"/>
    <s v="OK"/>
    <n v="7"/>
    <m/>
    <n v="18.932584269662922"/>
    <n v="93.447291666666672"/>
    <n v="57.371467483827033"/>
    <n v="1"/>
    <n v="93.447291666666672"/>
    <x v="0"/>
    <x v="0"/>
    <s v="FANTASMA"/>
  </r>
  <r>
    <s v="SO-51054"/>
    <s v="PL-SUR"/>
    <x v="7"/>
    <s v="PRO-1001"/>
    <n v="1963"/>
    <d v="2026-06-02T00:00:00"/>
    <s v="Delivered"/>
    <s v="OK"/>
    <n v="9.57"/>
    <n v="92"/>
    <n v="122"/>
    <s v="OK"/>
    <n v="2"/>
    <m/>
    <n v="21.336956521739129"/>
    <n v="78.274625"/>
    <n v="64.657444005270094"/>
    <n v="1"/>
    <n v="78.274625"/>
    <x v="0"/>
    <x v="0"/>
    <s v="OK"/>
  </r>
  <r>
    <s v="SO-50639"/>
    <s v="PL-SUR"/>
    <x v="7"/>
    <s v="ABA-1005"/>
    <n v="661"/>
    <d v="2026-06-03T00:00:00"/>
    <s v="In Transit"/>
    <s v="OK"/>
    <n v="13.31"/>
    <n v="89"/>
    <n v="313"/>
    <s v="OK"/>
    <n v="1"/>
    <m/>
    <n v="7.4269662921348312"/>
    <n v="36.657958333333333"/>
    <n v="22.505958461014643"/>
    <n v="1"/>
    <n v="36.657958333333333"/>
    <x v="1"/>
    <x v="0"/>
    <s v="OK"/>
  </r>
  <r>
    <s v="SO-50857"/>
    <s v="PL-CEN"/>
    <x v="9"/>
    <s v="BOT-1021"/>
    <n v="664"/>
    <d v="2026-06-03T00:00:00"/>
    <s v="In Transit"/>
    <s v="OK"/>
    <n v="5.04"/>
    <n v="47"/>
    <n v="96"/>
    <s v="OK"/>
    <n v="1"/>
    <m/>
    <n v="14.127659574468085"/>
    <n v="13.944000000000001"/>
    <n v="42.81108961960026"/>
    <n v="1"/>
    <n v="42.81108961960026"/>
    <x v="1"/>
    <x v="0"/>
    <s v="OK"/>
  </r>
  <r>
    <s v="SO-50900"/>
    <s v="PL-CEN"/>
    <x v="3"/>
    <s v="LAC-1008"/>
    <n v="1408"/>
    <d v="2026-06-02T00:00:00"/>
    <s v="In Transit"/>
    <s v="OK"/>
    <n v="9.8000000000000007"/>
    <n v="83"/>
    <n v="15"/>
    <s v="OK"/>
    <n v="2"/>
    <m/>
    <n v="16.963855421686748"/>
    <n v="57.493333333333339"/>
    <n v="51.405622489959846"/>
    <n v="1"/>
    <n v="57.493333333333339"/>
    <x v="1"/>
    <x v="0"/>
    <s v="OK"/>
  </r>
  <r>
    <s v="SO-50947"/>
    <s v="PL-NTE"/>
    <x v="2"/>
    <s v="BOT-1017"/>
    <n v="1127"/>
    <d v="2026-06-02T00:00:00"/>
    <s v="In Transit"/>
    <s v="OK"/>
    <n v="3.75"/>
    <n v="41"/>
    <n v="106"/>
    <s v="OK"/>
    <n v="2"/>
    <m/>
    <n v="27.487804878048781"/>
    <n v="17.609375"/>
    <n v="83.296378418329638"/>
    <n v="1"/>
    <n v="83.296378418329638"/>
    <x v="0"/>
    <x v="0"/>
    <s v="OK"/>
  </r>
  <r>
    <s v="SO-50174"/>
    <s v="PL-SUR"/>
    <x v="4"/>
    <s v="BOT-1013"/>
    <n v="1840"/>
    <d v="2026-06-02T00:00:00"/>
    <s v="In Transit"/>
    <s v="OK"/>
    <n v="4"/>
    <n v="58"/>
    <n v="112"/>
    <s v="OK"/>
    <n v="2"/>
    <m/>
    <n v="31.724137931034484"/>
    <n v="30.666666666666664"/>
    <n v="96.133751306165109"/>
    <n v="1"/>
    <n v="96.133751306165109"/>
    <x v="0"/>
    <x v="0"/>
    <s v="OK"/>
  </r>
  <r>
    <s v="SO-50424"/>
    <s v="PL-NTE"/>
    <x v="2"/>
    <s v="BOT-1002"/>
    <n v="2649"/>
    <d v="2026-06-02T00:00:00"/>
    <s v="In Transit"/>
    <s v="OK"/>
    <n v="3.02"/>
    <n v="84"/>
    <n v="111"/>
    <s v="OK"/>
    <n v="2"/>
    <m/>
    <n v="31.535714285714285"/>
    <n v="33.333250000000007"/>
    <n v="95.562770562770567"/>
    <n v="1"/>
    <n v="95.562770562770567"/>
    <x v="0"/>
    <x v="0"/>
    <s v="OK"/>
  </r>
  <r>
    <s v="SO-50268"/>
    <s v="PL-CEN"/>
    <x v="9"/>
    <s v="ABA-1016"/>
    <n v="799"/>
    <d v="2026-06-03T00:00:00"/>
    <s v="In Transit"/>
    <s v="OK"/>
    <n v="15.52"/>
    <n v="121"/>
    <n v="517"/>
    <s v="OK"/>
    <n v="1"/>
    <m/>
    <n v="6.6033057851239674"/>
    <n v="51.66866666666666"/>
    <n v="20.010017530678688"/>
    <n v="1"/>
    <n v="51.66866666666666"/>
    <x v="1"/>
    <x v="0"/>
    <s v="OK"/>
  </r>
  <r>
    <s v="SO-50616"/>
    <s v="PL-CEN"/>
    <x v="9"/>
    <s v="BEB-1021"/>
    <n v="849"/>
    <d v="2026-06-03T00:00:00"/>
    <s v="In Transit"/>
    <s v="OK"/>
    <n v="16.28"/>
    <n v="90"/>
    <n v="280"/>
    <s v="OK"/>
    <n v="1"/>
    <m/>
    <n v="9.4333333333333336"/>
    <n v="57.590499999999999"/>
    <n v="28.585858585858588"/>
    <n v="1"/>
    <n v="57.590499999999999"/>
    <x v="1"/>
    <x v="0"/>
    <s v="OK"/>
  </r>
  <r>
    <s v="SO-50717"/>
    <s v="PL-NTE"/>
    <x v="2"/>
    <s v="BOT-1008"/>
    <n v="2038"/>
    <d v="2026-06-03T00:00:00"/>
    <s v="In Transit"/>
    <s v="OK"/>
    <n v="3.48"/>
    <n v="66"/>
    <n v="112"/>
    <s v="OK"/>
    <n v="1"/>
    <m/>
    <n v="30.878787878787879"/>
    <n v="29.550999999999998"/>
    <n v="93.572084481175395"/>
    <n v="1"/>
    <n v="93.572084481175395"/>
    <x v="0"/>
    <x v="0"/>
    <s v="OK"/>
  </r>
  <r>
    <s v="SO-50306"/>
    <s v="PL-CEN"/>
    <x v="3"/>
    <s v="ABA-1004"/>
    <n v="725"/>
    <d v="2026-06-03T00:00:00"/>
    <s v="In Transit"/>
    <s v="OK"/>
    <n v="12.85"/>
    <n v="91"/>
    <n v="297"/>
    <s v="OK"/>
    <n v="1"/>
    <m/>
    <n v="7.9670329670329672"/>
    <n v="38.817708333333336"/>
    <n v="24.142524142524145"/>
    <n v="1"/>
    <n v="38.817708333333336"/>
    <x v="1"/>
    <x v="0"/>
    <s v="OK"/>
  </r>
  <r>
    <s v="SO-50752"/>
    <s v="PL-SUR"/>
    <x v="0"/>
    <s v="BOT-1007"/>
    <n v="2076"/>
    <d v="2026-06-01T00:00:00"/>
    <s v="In Transit"/>
    <s v="OK"/>
    <n v="0"/>
    <n v="49"/>
    <n v="104"/>
    <s v="OK"/>
    <n v="3"/>
    <m/>
    <n v="42.367346938775512"/>
    <n v="0"/>
    <n v="128.38589981447123"/>
    <n v="2"/>
    <n v="64.192949907235615"/>
    <x v="1"/>
    <x v="0"/>
    <s v="OK"/>
  </r>
  <r>
    <s v="SO-50927"/>
    <s v="PL-NTE"/>
    <x v="1"/>
    <s v="BOT-1000"/>
    <n v="1914"/>
    <d v="2026-05-31T00:00:00"/>
    <s v="In Transit"/>
    <s v="OK"/>
    <n v="3.56"/>
    <n v="64"/>
    <n v="92"/>
    <s v="OK"/>
    <n v="4"/>
    <m/>
    <n v="29.90625"/>
    <n v="28.390999999999998"/>
    <n v="90.625"/>
    <n v="1"/>
    <n v="90.625"/>
    <x v="0"/>
    <x v="0"/>
    <s v="OK"/>
  </r>
  <r>
    <s v="SO-50256"/>
    <s v="PL-CEN"/>
    <x v="13"/>
    <s v="PRO-1012"/>
    <n v="2795"/>
    <d v="2026-06-03T00:00:00"/>
    <s v="In Transit"/>
    <s v="OK"/>
    <n v="6.87"/>
    <n v="101"/>
    <n v="62"/>
    <s v="OK"/>
    <n v="1"/>
    <m/>
    <n v="27.673267326732674"/>
    <n v="80.006875000000008"/>
    <n v="83.858385838583857"/>
    <n v="1"/>
    <n v="83.858385838583857"/>
    <x v="0"/>
    <x v="0"/>
    <s v="OK"/>
  </r>
  <r>
    <s v="SO-50023"/>
    <s v="PL-NTE"/>
    <x v="2"/>
    <s v="ABA-1001"/>
    <n v="1304"/>
    <d v="2026-06-02T00:00:00"/>
    <s v="In Transit"/>
    <s v="OK"/>
    <n v="0"/>
    <n v="100"/>
    <n v="512"/>
    <s v="OK"/>
    <n v="2"/>
    <m/>
    <n v="13.04"/>
    <n v="0"/>
    <n v="39.515151515151516"/>
    <n v="1"/>
    <n v="39.515151515151516"/>
    <x v="1"/>
    <x v="0"/>
    <s v="OK"/>
  </r>
  <r>
    <s v="SO-50726"/>
    <s v="PL-SUR"/>
    <x v="7"/>
    <s v="BEB-1012"/>
    <n v="1429"/>
    <d v="2026-06-03T00:00:00"/>
    <s v="In Transit"/>
    <s v="OK"/>
    <n v="15.66"/>
    <n v="72"/>
    <n v="306"/>
    <s v="OK"/>
    <n v="1"/>
    <m/>
    <n v="19.847222222222221"/>
    <n v="93.242249999999999"/>
    <n v="60.14309764309764"/>
    <n v="1"/>
    <n v="93.242249999999999"/>
    <x v="0"/>
    <x v="0"/>
    <s v="OK"/>
  </r>
  <r>
    <s v="SO-50008"/>
    <s v="PL-SUR"/>
    <x v="12"/>
    <s v="BOT-1017"/>
    <n v="1138"/>
    <d v="2026-06-02T00:00:00"/>
    <s v="In Transit"/>
    <s v="OK"/>
    <n v="3.75"/>
    <n v="41"/>
    <n v="106"/>
    <s v="OK"/>
    <n v="2"/>
    <m/>
    <n v="27.756097560975611"/>
    <n v="17.78125"/>
    <n v="84.109386548410953"/>
    <n v="1"/>
    <n v="84.109386548410953"/>
    <x v="0"/>
    <x v="0"/>
    <s v="OK"/>
  </r>
  <r>
    <s v="SO-50817"/>
    <s v="PL-CEN"/>
    <x v="5"/>
    <s v="XXX-8945"/>
    <n v="906"/>
    <d v="2026-06-02T00:00:00"/>
    <s v="In Transit"/>
    <s v="OK"/>
    <n v="0"/>
    <n v="0"/>
    <n v="0"/>
    <s v="HUERFANO"/>
    <n v="2"/>
    <m/>
    <s v="n/a"/>
    <s v="n/a"/>
    <s v="n/a"/>
    <s v="n/a"/>
    <s v="n/a"/>
    <x v="2"/>
    <x v="2"/>
    <s v="n/a"/>
  </r>
  <r>
    <s v="SO-50395"/>
    <s v="PL-CEN"/>
    <x v="9"/>
    <s v="ABA-1007"/>
    <n v="2220"/>
    <d v="2026-06-02T00:00:00"/>
    <s v="In Transit"/>
    <s v="OK"/>
    <n v="9.7899999999999991"/>
    <n v="123"/>
    <n v="334"/>
    <s v="OK"/>
    <n v="2"/>
    <m/>
    <n v="18.048780487804876"/>
    <n v="90.557500000000005"/>
    <n v="54.693274205469322"/>
    <n v="1"/>
    <n v="90.557500000000005"/>
    <x v="0"/>
    <x v="0"/>
    <s v="OK"/>
  </r>
  <r>
    <s v="SO-50710"/>
    <s v="PL-SUR"/>
    <x v="0"/>
    <s v="LAC-1013"/>
    <n v="1131"/>
    <d v="2026-06-01T00:00:00"/>
    <s v="In Transit"/>
    <s v="OK"/>
    <n v="8.32"/>
    <n v="98"/>
    <n v="16"/>
    <s v="OK"/>
    <n v="3"/>
    <m/>
    <n v="11.540816326530612"/>
    <n v="39.207999999999998"/>
    <n v="34.972170686456401"/>
    <n v="1"/>
    <n v="39.207999999999998"/>
    <x v="1"/>
    <x v="0"/>
    <s v="OK"/>
  </r>
  <r>
    <s v="SO-50363"/>
    <s v="PL-SUR"/>
    <x v="0"/>
    <s v="LAC-1016"/>
    <n v="812"/>
    <d v="2026-06-03T00:00:00"/>
    <s v="In Transit"/>
    <s v="OK"/>
    <n v="10.9"/>
    <n v="131"/>
    <n v="22"/>
    <s v="OK"/>
    <n v="1"/>
    <m/>
    <n v="6.1984732824427482"/>
    <n v="36.878333333333337"/>
    <n v="18.783252371038632"/>
    <n v="1"/>
    <n v="36.878333333333337"/>
    <x v="1"/>
    <x v="0"/>
    <s v="OK"/>
  </r>
  <r>
    <s v="SO-50969"/>
    <s v="PL-CEN"/>
    <x v="9"/>
    <s v="LAC-1010"/>
    <n v="3234"/>
    <d v="2026-06-03T00:00:00"/>
    <s v="Delivered"/>
    <s v="OK"/>
    <n v="6.24"/>
    <n v="146"/>
    <n v="24"/>
    <s v="OK"/>
    <n v="1"/>
    <m/>
    <n v="22.150684931506849"/>
    <n v="84.084000000000003"/>
    <n v="67.123287671232873"/>
    <n v="1"/>
    <n v="84.084000000000003"/>
    <x v="0"/>
    <x v="0"/>
    <s v="OK"/>
  </r>
  <r>
    <s v="SO-51092"/>
    <s v="PL-CEN"/>
    <x v="5"/>
    <s v="PRO-1015"/>
    <n v="3257"/>
    <d v="2026-05-26T00:00:00"/>
    <s v="In Transit"/>
    <s v="OK"/>
    <n v="6.16"/>
    <n v="104"/>
    <n v="67"/>
    <s v="OK"/>
    <n v="9"/>
    <m/>
    <n v="31.317307692307693"/>
    <n v="83.596333333333334"/>
    <n v="94.900932400932405"/>
    <n v="1"/>
    <n v="94.900932400932405"/>
    <x v="0"/>
    <x v="0"/>
    <s v="FANTASMA"/>
  </r>
  <r>
    <s v="SO-50867"/>
    <s v="PL-CEN"/>
    <x v="9"/>
    <s v="PRO-1000"/>
    <n v="1594"/>
    <d v="2026-06-03T00:00:00"/>
    <s v="In Transit"/>
    <s v="OK"/>
    <n v="12.51"/>
    <n v="73"/>
    <n v="75"/>
    <s v="OK"/>
    <n v="1"/>
    <m/>
    <n v="21.835616438356166"/>
    <n v="83.087249999999983"/>
    <n v="66.168534661685356"/>
    <n v="1"/>
    <n v="83.087249999999983"/>
    <x v="0"/>
    <x v="0"/>
    <s v="OK"/>
  </r>
  <r>
    <s v="SO-50207"/>
    <s v="PL-SUR"/>
    <x v="7"/>
    <s v="LAC-1002"/>
    <n v="2667"/>
    <d v="2026-06-03T00:00:00"/>
    <s v="In Transit"/>
    <s v="OK"/>
    <n v="7.71"/>
    <n v="101"/>
    <n v="23"/>
    <s v="OK"/>
    <n v="1"/>
    <m/>
    <n v="26.405940594059405"/>
    <n v="85.677374999999998"/>
    <n v="80.018001800180016"/>
    <n v="1"/>
    <n v="85.677374999999998"/>
    <x v="0"/>
    <x v="0"/>
    <s v="OK"/>
  </r>
  <r>
    <s v="SO-50255"/>
    <s v="PL-CEN"/>
    <x v="5"/>
    <s v="ABA-1012"/>
    <n v="1446"/>
    <d v="2026-06-02T00:00:00"/>
    <s v="In Transit"/>
    <s v="OK"/>
    <n v="15.14"/>
    <n v="117"/>
    <n v="484"/>
    <s v="OK"/>
    <n v="2"/>
    <m/>
    <n v="12.358974358974359"/>
    <n v="91.21850000000002"/>
    <n v="37.45143745143745"/>
    <n v="1"/>
    <n v="91.21850000000002"/>
    <x v="0"/>
    <x v="0"/>
    <s v="OK"/>
  </r>
  <r>
    <s v="SO-50210"/>
    <s v="PL-CEN"/>
    <x v="3"/>
    <s v="ABA-1008"/>
    <n v="1004"/>
    <d v="2026-06-01T00:00:00"/>
    <s v="In Transit"/>
    <s v="OK"/>
    <n v="10.6"/>
    <n v="96"/>
    <n v="445"/>
    <s v="OK"/>
    <n v="3"/>
    <m/>
    <n v="10.458333333333334"/>
    <n v="44.343333333333327"/>
    <n v="31.691919191919194"/>
    <n v="1"/>
    <n v="44.343333333333327"/>
    <x v="1"/>
    <x v="0"/>
    <s v="OK"/>
  </r>
  <r>
    <s v="SO-51043"/>
    <s v="PL-CEN"/>
    <x v="9"/>
    <s v="BEB-1008"/>
    <n v="1181"/>
    <d v="2026-06-02T00:00:00"/>
    <s v="In Transit"/>
    <s v="OK"/>
    <n v="17.47"/>
    <n v="65"/>
    <n v="216"/>
    <s v="OK"/>
    <n v="2"/>
    <m/>
    <n v="18.169230769230769"/>
    <n v="85.966958333333338"/>
    <n v="55.058275058275051"/>
    <n v="1"/>
    <n v="85.966958333333338"/>
    <x v="0"/>
    <x v="0"/>
    <s v="OK"/>
  </r>
  <r>
    <s v="SO-50664"/>
    <s v="PL-NTE"/>
    <x v="1"/>
    <s v="ABA-1015"/>
    <n v="2198"/>
    <d v="2026-06-02T00:00:00"/>
    <s v="In Transit"/>
    <s v="OK"/>
    <n v="8.19"/>
    <n v="82"/>
    <n v="317"/>
    <s v="OK"/>
    <n v="2"/>
    <m/>
    <n v="26.804878048780488"/>
    <n v="75.006749999999997"/>
    <n v="81.226903178122683"/>
    <n v="1"/>
    <n v="81.226903178122683"/>
    <x v="0"/>
    <x v="0"/>
    <s v="OK"/>
  </r>
  <r>
    <s v="SO-50612"/>
    <s v="PL-NTE"/>
    <x v="2"/>
    <s v="LAC-1009"/>
    <n v="2071"/>
    <d v="2026-06-02T00:00:00"/>
    <s v="In Transit"/>
    <s v="OK"/>
    <n v="11.01"/>
    <n v="98"/>
    <n v="16"/>
    <s v="OK"/>
    <n v="2"/>
    <m/>
    <n v="21.132653061224488"/>
    <n v="95.007124999999988"/>
    <n v="64.038342609771178"/>
    <n v="1"/>
    <n v="95.007124999999988"/>
    <x v="0"/>
    <x v="0"/>
    <s v="OK"/>
  </r>
  <r>
    <s v="SO-50980"/>
    <s v="PL-NTE"/>
    <x v="2"/>
    <s v="ABA-1007"/>
    <n v="1268"/>
    <d v="2026-06-03T00:00:00"/>
    <s v="Delivered"/>
    <s v="OK"/>
    <n v="9.7899999999999991"/>
    <n v="123"/>
    <n v="334"/>
    <s v="OK"/>
    <n v="1"/>
    <m/>
    <n v="10.308943089430894"/>
    <n v="51.723833333333339"/>
    <n v="31.23922148312392"/>
    <n v="1"/>
    <n v="51.723833333333339"/>
    <x v="1"/>
    <x v="0"/>
    <s v="OK"/>
  </r>
  <r>
    <s v="SO-50272"/>
    <s v="PL-NTE"/>
    <x v="1"/>
    <s v="BOT-1012"/>
    <n v="545"/>
    <d v="2026-05-31T00:00:00"/>
    <s v="Delivered"/>
    <s v="OK"/>
    <n v="4.26"/>
    <n v="68"/>
    <n v="117"/>
    <s v="OK"/>
    <n v="4"/>
    <m/>
    <n v="8.014705882352942"/>
    <n v="9.6737499999999983"/>
    <n v="24.286987522281642"/>
    <n v="1"/>
    <n v="24.286987522281642"/>
    <x v="1"/>
    <x v="0"/>
    <s v="OK"/>
  </r>
  <r>
    <s v="SO-50175"/>
    <s v="PL-CEN"/>
    <x v="13"/>
    <s v="ABA-1018"/>
    <n v="1655"/>
    <d v="2026-06-03T00:00:00"/>
    <s v="In Transit"/>
    <s v="OK"/>
    <n v="11.43"/>
    <n v="128"/>
    <n v="530"/>
    <s v="OK"/>
    <n v="1"/>
    <m/>
    <n v="12.9296875"/>
    <n v="78.819374999999994"/>
    <n v="39.180871212121211"/>
    <n v="1"/>
    <n v="78.819374999999994"/>
    <x v="0"/>
    <x v="0"/>
    <s v="OK"/>
  </r>
  <r>
    <s v="SO-50167"/>
    <s v="PL-SUR"/>
    <x v="0"/>
    <s v="LAC-1012"/>
    <n v="2192"/>
    <d v="2026-06-01T00:00:00"/>
    <s v="In Transit"/>
    <s v="OK"/>
    <n v="9.8699999999999992"/>
    <n v="88"/>
    <n v="25"/>
    <s v="OK"/>
    <n v="3"/>
    <m/>
    <n v="24.90909090909091"/>
    <n v="90.145999999999987"/>
    <n v="75.482093663911854"/>
    <n v="1"/>
    <n v="90.145999999999987"/>
    <x v="0"/>
    <x v="0"/>
    <s v="OK"/>
  </r>
  <r>
    <s v="SO-50901"/>
    <s v="PL-CEN"/>
    <x v="3"/>
    <s v="LAC-1005"/>
    <n v="2382"/>
    <d v="2026-06-01T00:00:00"/>
    <s v="In Transit"/>
    <s v="OK"/>
    <n v="8.94"/>
    <n v="100"/>
    <n v="17"/>
    <s v="OK"/>
    <n v="3"/>
    <m/>
    <n v="23.82"/>
    <n v="88.729500000000002"/>
    <n v="72.181818181818187"/>
    <n v="1"/>
    <n v="88.729500000000002"/>
    <x v="0"/>
    <x v="0"/>
    <s v="OK"/>
  </r>
  <r>
    <s v="SO-50840"/>
    <s v="PL-SUR"/>
    <x v="7"/>
    <s v="ABA-1007"/>
    <n v="771"/>
    <d v="2026-06-03T00:00:00"/>
    <s v="In Transit"/>
    <s v="OK"/>
    <n v="9.7899999999999991"/>
    <n v="123"/>
    <n v="334"/>
    <s v="OK"/>
    <n v="1"/>
    <m/>
    <n v="6.2682926829268295"/>
    <n v="31.450374999999998"/>
    <n v="18.99482631189948"/>
    <n v="1"/>
    <n v="31.450374999999998"/>
    <x v="1"/>
    <x v="0"/>
    <s v="OK"/>
  </r>
  <r>
    <s v="SO-50487"/>
    <s v="PL-SUR"/>
    <x v="0"/>
    <s v="ABA-1008"/>
    <n v="2119"/>
    <d v="2026-06-01T00:00:00"/>
    <s v="In Transit"/>
    <s v="OK"/>
    <n v="10.6"/>
    <n v="96"/>
    <n v="445"/>
    <s v="OK"/>
    <n v="3"/>
    <m/>
    <n v="22.072916666666668"/>
    <n v="93.589166666666657"/>
    <n v="66.88762626262627"/>
    <n v="1"/>
    <n v="93.589166666666657"/>
    <x v="0"/>
    <x v="0"/>
    <s v="OK"/>
  </r>
  <r>
    <s v="SO-50081"/>
    <s v="PL-SUR"/>
    <x v="6"/>
    <s v="XXX-8318"/>
    <n v="1319"/>
    <d v="2026-06-03T00:00:00"/>
    <s v="In Transit"/>
    <s v="OK"/>
    <n v="0"/>
    <n v="0"/>
    <n v="0"/>
    <s v="HUERFANO"/>
    <n v="1"/>
    <m/>
    <s v="n/a"/>
    <s v="n/a"/>
    <s v="n/a"/>
    <s v="n/a"/>
    <s v="n/a"/>
    <x v="2"/>
    <x v="2"/>
    <s v="n/a"/>
  </r>
  <r>
    <s v="SO-50543"/>
    <s v="PL-SUR"/>
    <x v="12"/>
    <s v="BEB-1020"/>
    <n v="1377"/>
    <d v="2026-06-02T00:00:00"/>
    <s v="In Transit"/>
    <s v="OK"/>
    <n v="16.66"/>
    <n v="85"/>
    <n v="333"/>
    <s v="OK"/>
    <n v="2"/>
    <m/>
    <n v="16.2"/>
    <n v="95.586749999999995"/>
    <n v="49.090909090909093"/>
    <n v="1"/>
    <n v="95.586749999999995"/>
    <x v="0"/>
    <x v="0"/>
    <s v="OK"/>
  </r>
  <r>
    <s v="SO-51077"/>
    <s v="PL-SUR"/>
    <x v="12"/>
    <s v="LAC-1015"/>
    <n v="1676"/>
    <d v="2026-06-03T00:00:00"/>
    <s v="In Transit"/>
    <s v="OK"/>
    <n v="11.26"/>
    <n v="129"/>
    <n v="24"/>
    <s v="OK"/>
    <n v="1"/>
    <m/>
    <n v="12.992248062015504"/>
    <n v="78.632333333333321"/>
    <n v="39.370448672774252"/>
    <n v="1"/>
    <n v="78.632333333333321"/>
    <x v="0"/>
    <x v="0"/>
    <s v="OK"/>
  </r>
  <r>
    <s v="SO-50264"/>
    <s v="PL-SUR"/>
    <x v="4"/>
    <s v="BOT-1009"/>
    <n v="1994"/>
    <d v="2026-06-03T00:00:00"/>
    <s v="In Transit"/>
    <s v="OK"/>
    <n v="5.25"/>
    <n v="76"/>
    <n v="104"/>
    <s v="OK"/>
    <n v="1"/>
    <m/>
    <n v="26.236842105263158"/>
    <n v="43.618749999999999"/>
    <n v="79.505582137161085"/>
    <n v="1"/>
    <n v="79.505582137161085"/>
    <x v="0"/>
    <x v="0"/>
    <s v="OK"/>
  </r>
  <r>
    <s v="SO-50836"/>
    <s v="PL-SUR"/>
    <x v="4"/>
    <s v="LAC-1008"/>
    <n v="544"/>
    <d v="2026-06-02T00:00:00"/>
    <s v="In Transit"/>
    <s v="OK"/>
    <n v="9.8000000000000007"/>
    <n v="83"/>
    <n v="15"/>
    <s v="OK"/>
    <n v="2"/>
    <m/>
    <n v="6.5542168674698793"/>
    <n v="22.213333333333338"/>
    <n v="19.86126323475721"/>
    <n v="1"/>
    <n v="22.213333333333338"/>
    <x v="1"/>
    <x v="0"/>
    <s v="OK"/>
  </r>
  <r>
    <s v="SO-50526"/>
    <s v="PL-SUR"/>
    <x v="4"/>
    <s v="LAC-1005"/>
    <n v="2407"/>
    <d v="2026-06-02T00:00:00"/>
    <s v="In Transit"/>
    <s v="OK"/>
    <n v="8.94"/>
    <n v="100"/>
    <n v="17"/>
    <s v="OK"/>
    <n v="2"/>
    <m/>
    <n v="24.07"/>
    <n v="89.660749999999993"/>
    <n v="72.939393939393938"/>
    <n v="1"/>
    <n v="89.660749999999993"/>
    <x v="0"/>
    <x v="0"/>
    <s v="OK"/>
  </r>
  <r>
    <s v="SO-50923"/>
    <s v="PL-SUR"/>
    <x v="12"/>
    <s v="ABA-1018"/>
    <n v="1771"/>
    <d v="2026-06-03T00:00:00"/>
    <s v="In Transit"/>
    <s v="OK"/>
    <n v="11.43"/>
    <n v="128"/>
    <n v="530"/>
    <s v="OK"/>
    <n v="1"/>
    <m/>
    <n v="13.8359375"/>
    <n v="84.343874999999997"/>
    <n v="41.927083333333329"/>
    <n v="1"/>
    <n v="84.343874999999997"/>
    <x v="0"/>
    <x v="0"/>
    <s v="OK"/>
  </r>
  <r>
    <s v="SO-50289"/>
    <s v="PL-CEN"/>
    <x v="9"/>
    <s v="BEB-1000"/>
    <n v="538"/>
    <d v="2026-06-02T00:00:00"/>
    <s v="In Transit"/>
    <s v="OK"/>
    <n v="16.489999999999998"/>
    <n v="102"/>
    <n v="315"/>
    <s v="OK"/>
    <n v="2"/>
    <m/>
    <n v="5.2745098039215685"/>
    <n v="36.965083333333332"/>
    <n v="15.983363042186571"/>
    <n v="1"/>
    <n v="36.965083333333332"/>
    <x v="1"/>
    <x v="0"/>
    <s v="OK"/>
  </r>
  <r>
    <s v="SO-50380"/>
    <s v="PL-CEN"/>
    <x v="9"/>
    <s v="ABA-1008"/>
    <n v="708"/>
    <d v="2026-06-03T00:00:00"/>
    <s v="In Transit"/>
    <s v="OK"/>
    <n v="10.6"/>
    <n v="96"/>
    <n v="445"/>
    <s v="OK"/>
    <n v="1"/>
    <m/>
    <n v="7.375"/>
    <n v="31.270000000000003"/>
    <n v="22.348484848484848"/>
    <n v="1"/>
    <n v="31.270000000000003"/>
    <x v="1"/>
    <x v="0"/>
    <s v="OK"/>
  </r>
  <r>
    <s v="SO-50702"/>
    <s v="PL-SUR"/>
    <x v="0"/>
    <s v="ABA-1017"/>
    <n v="1736"/>
    <d v="2026-06-02T00:00:00"/>
    <s v="In Transit"/>
    <s v="OK"/>
    <n v="10.96"/>
    <n v="128"/>
    <n v="520"/>
    <s v="OK"/>
    <n v="2"/>
    <m/>
    <n v="13.5625"/>
    <n v="79.277333333333345"/>
    <n v="41.098484848484851"/>
    <n v="1"/>
    <n v="79.277333333333345"/>
    <x v="0"/>
    <x v="0"/>
    <s v="OK"/>
  </r>
  <r>
    <s v="SO-50408"/>
    <s v="PL-CEN"/>
    <x v="8"/>
    <s v="PRO-1011"/>
    <n v="722"/>
    <d v="2026-06-03T00:00:00"/>
    <s v="In Transit"/>
    <s v="OK"/>
    <n v="4.3600000000000003"/>
    <n v="88"/>
    <n v="108"/>
    <s v="OK"/>
    <n v="1"/>
    <m/>
    <n v="8.204545454545455"/>
    <n v="13.116333333333333"/>
    <n v="24.862258953168045"/>
    <n v="1"/>
    <n v="24.862258953168045"/>
    <x v="1"/>
    <x v="0"/>
    <s v="OK"/>
  </r>
  <r>
    <s v="SO-50015"/>
    <s v="PL-NTE"/>
    <x v="14"/>
    <s v="ABA-1011"/>
    <n v="1953"/>
    <d v="2026-06-03T00:00:00"/>
    <s v="In Transit"/>
    <s v="OK"/>
    <n v="9.9499999999999993"/>
    <n v="106"/>
    <n v="376"/>
    <s v="OK"/>
    <n v="1"/>
    <m/>
    <n v="18.424528301886792"/>
    <n v="80.968124999999986"/>
    <n v="55.831903945111492"/>
    <n v="1"/>
    <n v="80.968124999999986"/>
    <x v="0"/>
    <x v="0"/>
    <s v="OK"/>
  </r>
  <r>
    <s v="SO-50310"/>
    <s v="PL-NTE"/>
    <x v="2"/>
    <s v="ABA-1018"/>
    <n v="1912"/>
    <d v="2026-06-03T00:00:00"/>
    <s v="In Transit"/>
    <s v="OK"/>
    <n v="11.43"/>
    <n v="128"/>
    <n v="530"/>
    <s v="OK"/>
    <n v="1"/>
    <m/>
    <n v="14.9375"/>
    <n v="91.058999999999997"/>
    <n v="45.265151515151516"/>
    <n v="1"/>
    <n v="91.058999999999997"/>
    <x v="0"/>
    <x v="0"/>
    <s v="OK"/>
  </r>
  <r>
    <s v="SO-50337"/>
    <s v="PL-SUR"/>
    <x v="4"/>
    <s v="LAC-1001"/>
    <n v="2459"/>
    <d v="2026-06-02T00:00:00"/>
    <s v="In Transit"/>
    <s v="OK"/>
    <n v="7.51"/>
    <n v="83"/>
    <n v="18"/>
    <s v="OK"/>
    <n v="2"/>
    <m/>
    <n v="29.626506024096386"/>
    <n v="76.946208333333331"/>
    <n v="89.777290982110259"/>
    <n v="1"/>
    <n v="89.777290982110259"/>
    <x v="0"/>
    <x v="0"/>
    <s v="OK"/>
  </r>
  <r>
    <s v="SO-50982"/>
    <s v="PL-NTE"/>
    <x v="10"/>
    <s v="BOT-1010"/>
    <n v="1216"/>
    <d v="2026-06-02T00:00:00"/>
    <s v="In Transit"/>
    <s v="OK"/>
    <n v="5.09"/>
    <n v="40"/>
    <n v="90"/>
    <s v="OK"/>
    <n v="2"/>
    <m/>
    <n v="30.4"/>
    <n v="25.789333333333332"/>
    <n v="92.12121212121211"/>
    <n v="1"/>
    <n v="92.12121212121211"/>
    <x v="0"/>
    <x v="0"/>
    <s v="OK"/>
  </r>
  <r>
    <s v="SO-50768"/>
    <s v="PL-NTE"/>
    <x v="2"/>
    <s v="PRO-1011"/>
    <n v="2362"/>
    <d v="2026-06-02T00:00:00"/>
    <s v="In Transit"/>
    <s v="OK"/>
    <n v="4.3600000000000003"/>
    <n v="88"/>
    <n v="108"/>
    <s v="OK"/>
    <n v="2"/>
    <m/>
    <n v="26.84090909090909"/>
    <n v="42.909666666666674"/>
    <n v="81.336088154269973"/>
    <n v="1"/>
    <n v="81.336088154269973"/>
    <x v="0"/>
    <x v="0"/>
    <s v="OK"/>
  </r>
  <r>
    <s v="SO-50970"/>
    <s v="PL-CEN"/>
    <x v="5"/>
    <s v="ABA-1002"/>
    <n v="1539"/>
    <d v="2026-06-02T00:00:00"/>
    <s v="In Transit"/>
    <s v="OK"/>
    <n v="15.1"/>
    <n v="74"/>
    <n v="443"/>
    <s v="OK"/>
    <n v="2"/>
    <m/>
    <n v="20.797297297297298"/>
    <n v="96.828749999999985"/>
    <n v="63.022113022113025"/>
    <n v="1"/>
    <n v="96.828749999999985"/>
    <x v="0"/>
    <x v="0"/>
    <s v="OK"/>
  </r>
  <r>
    <s v="SO-50983"/>
    <s v="PL-SUR"/>
    <x v="12"/>
    <s v="PRO-1000"/>
    <n v="1743"/>
    <d v="2026-06-03T00:00:00"/>
    <s v="In Transit"/>
    <s v="OK"/>
    <n v="12.51"/>
    <n v="73"/>
    <n v="75"/>
    <s v="OK"/>
    <n v="1"/>
    <m/>
    <n v="23.876712328767123"/>
    <n v="90.853875000000002"/>
    <n v="72.353673723536744"/>
    <n v="1"/>
    <n v="90.853875000000002"/>
    <x v="0"/>
    <x v="0"/>
    <s v="OK"/>
  </r>
  <r>
    <s v="SO-50711"/>
    <s v="PL-SUR"/>
    <x v="6"/>
    <s v="PRO-1005"/>
    <n v="1978"/>
    <d v="2026-06-03T00:00:00"/>
    <s v="In Transit"/>
    <s v="OK"/>
    <n v="11.02"/>
    <n v="69"/>
    <n v="86"/>
    <s v="OK"/>
    <n v="1"/>
    <m/>
    <n v="28.666666666666668"/>
    <n v="90.823166666666651"/>
    <n v="86.868686868686879"/>
    <n v="1"/>
    <n v="90.823166666666651"/>
    <x v="0"/>
    <x v="0"/>
    <s v="OK"/>
  </r>
  <r>
    <s v="SO-50511"/>
    <s v="PL-CEN"/>
    <x v="8"/>
    <s v="ABA-1017"/>
    <n v="1774"/>
    <d v="2026-06-03T00:00:00"/>
    <s v="Delivered"/>
    <s v="OK"/>
    <n v="10.96"/>
    <n v="128"/>
    <n v="520"/>
    <s v="OK"/>
    <n v="1"/>
    <m/>
    <n v="13.859375"/>
    <n v="81.012666666666661"/>
    <n v="41.998106060606062"/>
    <n v="1"/>
    <n v="81.012666666666661"/>
    <x v="0"/>
    <x v="0"/>
    <s v="OK"/>
  </r>
  <r>
    <s v="SO-50528"/>
    <s v="PL-SUR"/>
    <x v="0"/>
    <s v="BEB-1000"/>
    <n v="520"/>
    <d v="2026-06-02T00:00:00"/>
    <s v="In Transit"/>
    <s v="OK"/>
    <n v="16.489999999999998"/>
    <n v="102"/>
    <n v="315"/>
    <s v="OK"/>
    <n v="2"/>
    <m/>
    <n v="5.0980392156862742"/>
    <n v="35.728333333333332"/>
    <n v="15.448603683897799"/>
    <n v="1"/>
    <n v="35.728333333333332"/>
    <x v="1"/>
    <x v="0"/>
    <s v="OK"/>
  </r>
  <r>
    <s v="SO-50387"/>
    <s v="PL-SUR"/>
    <x v="4"/>
    <s v="BOT-1011"/>
    <n v="2639"/>
    <d v="2026-06-02T00:00:00"/>
    <s v="In Transit"/>
    <s v="OK"/>
    <n v="3.43"/>
    <n v="88"/>
    <n v="109"/>
    <s v="OK"/>
    <n v="2"/>
    <m/>
    <n v="29.988636363636363"/>
    <n v="37.715708333333339"/>
    <n v="90.874655647382923"/>
    <n v="1"/>
    <n v="90.874655647382923"/>
    <x v="0"/>
    <x v="0"/>
    <s v="OK"/>
  </r>
  <r>
    <s v="SO-50762"/>
    <s v="PL-CEN"/>
    <x v="13"/>
    <s v="BOT-1008"/>
    <n v="1165"/>
    <d v="2026-06-03T00:00:00"/>
    <s v="In Transit"/>
    <s v="OK"/>
    <n v="3.48"/>
    <n v="66"/>
    <n v="112"/>
    <s v="OK"/>
    <n v="1"/>
    <m/>
    <n v="17.651515151515152"/>
    <n v="16.892499999999998"/>
    <n v="53.489439853076213"/>
    <n v="1"/>
    <n v="53.489439853076213"/>
    <x v="1"/>
    <x v="0"/>
    <s v="OK"/>
  </r>
  <r>
    <s v="SO-51051"/>
    <s v="PL-CEN"/>
    <x v="3"/>
    <s v="BOT-1023"/>
    <n v="1147"/>
    <d v="2026-06-02T00:00:00"/>
    <s v="In Transit"/>
    <s v="OK"/>
    <n v="4.29"/>
    <n v="44"/>
    <n v="111"/>
    <s v="OK"/>
    <n v="2"/>
    <m/>
    <n v="26.068181818181817"/>
    <n v="20.502624999999998"/>
    <n v="78.994490358126711"/>
    <n v="1"/>
    <n v="78.994490358126711"/>
    <x v="0"/>
    <x v="0"/>
    <s v="OK"/>
  </r>
  <r>
    <s v="SO-51100"/>
    <s v="PL-SUR"/>
    <x v="12"/>
    <s v="LAC-1001"/>
    <n v="2459"/>
    <d v="2026-05-28T00:00:00"/>
    <s v="In Transit"/>
    <s v="OK"/>
    <n v="7.51"/>
    <n v="83"/>
    <n v="18"/>
    <s v="OK"/>
    <n v="7"/>
    <m/>
    <n v="29.626506024096386"/>
    <n v="76.946208333333331"/>
    <n v="89.777290982110259"/>
    <n v="1"/>
    <n v="89.777290982110259"/>
    <x v="0"/>
    <x v="1"/>
    <s v="FANTASMA"/>
  </r>
  <r>
    <s v="SO-50707"/>
    <s v="PL-CEN"/>
    <x v="13"/>
    <s v="ABA-1014"/>
    <n v="705"/>
    <d v="2026-06-03T00:00:00"/>
    <s v="In Transit"/>
    <s v="OK"/>
    <n v="9.56"/>
    <n v="136"/>
    <n v="345"/>
    <s v="OK"/>
    <n v="1"/>
    <m/>
    <n v="5.1838235294117645"/>
    <n v="28.0825"/>
    <n v="15.708556149732619"/>
    <n v="1"/>
    <n v="28.0825"/>
    <x v="1"/>
    <x v="0"/>
    <s v="OK"/>
  </r>
  <r>
    <s v="SO-50182"/>
    <s v="PL-NTE"/>
    <x v="2"/>
    <s v="ABA-1012"/>
    <n v="1429"/>
    <d v="2026-06-02T00:00:00"/>
    <s v="Delivered"/>
    <s v="OK"/>
    <n v="15.14"/>
    <n v="117"/>
    <n v="484"/>
    <s v="OK"/>
    <n v="2"/>
    <m/>
    <n v="12.213675213675213"/>
    <n v="90.146083333333337"/>
    <n v="37.011137011137009"/>
    <n v="1"/>
    <n v="90.146083333333337"/>
    <x v="0"/>
    <x v="0"/>
    <s v="OK"/>
  </r>
  <r>
    <s v="SO-50735"/>
    <s v="PL-CEN"/>
    <x v="13"/>
    <s v="ABA-1005"/>
    <n v="1422"/>
    <d v="2026-06-03T00:00:00"/>
    <s v="In Transit"/>
    <s v="OK"/>
    <n v="13.31"/>
    <n v="89"/>
    <n v="313"/>
    <s v="OK"/>
    <n v="1"/>
    <m/>
    <n v="15.97752808988764"/>
    <n v="78.861750000000001"/>
    <n v="48.416751787538303"/>
    <n v="1"/>
    <n v="78.861750000000001"/>
    <x v="0"/>
    <x v="0"/>
    <s v="OK"/>
  </r>
  <r>
    <s v="SO-50297"/>
    <s v="PL-CEN"/>
    <x v="9"/>
    <s v="BOT-1006"/>
    <n v="332"/>
    <d v="2026-06-03T00:00:00"/>
    <s v="In Transit"/>
    <s v="OK"/>
    <n v="4.24"/>
    <n v="41"/>
    <n v="111"/>
    <s v="OK"/>
    <n v="1"/>
    <m/>
    <n v="8.0975609756097562"/>
    <n v="5.865333333333334"/>
    <n v="24.538063562453807"/>
    <n v="1"/>
    <n v="24.538063562453807"/>
    <x v="1"/>
    <x v="0"/>
    <s v="OK"/>
  </r>
  <r>
    <s v="SO-51097"/>
    <s v="PL-SUR"/>
    <x v="12"/>
    <s v="LAC-1003"/>
    <n v="1451"/>
    <d v="2026-05-27T00:00:00"/>
    <s v="In Transit"/>
    <s v="OK"/>
    <n v="9.02"/>
    <n v="114"/>
    <n v="18"/>
    <s v="OK"/>
    <n v="8"/>
    <m/>
    <n v="12.728070175438596"/>
    <n v="54.533416666666653"/>
    <n v="38.569909622541196"/>
    <n v="1"/>
    <n v="54.533416666666653"/>
    <x v="1"/>
    <x v="1"/>
    <s v="FANTASMA"/>
  </r>
  <r>
    <s v="SO-50444"/>
    <s v="PL-SUR"/>
    <x v="7"/>
    <s v="PRO-1003"/>
    <n v="1524"/>
    <d v="2026-06-03T00:00:00"/>
    <s v="Delivered"/>
    <s v="OK"/>
    <n v="13.9"/>
    <n v="69"/>
    <n v="106"/>
    <s v="OK"/>
    <n v="1"/>
    <m/>
    <n v="22.086956521739129"/>
    <n v="88.265000000000001"/>
    <n v="66.93017127799736"/>
    <n v="1"/>
    <n v="88.265000000000001"/>
    <x v="0"/>
    <x v="0"/>
    <s v="OK"/>
  </r>
  <r>
    <s v="SO-51082"/>
    <s v="PL-NTE"/>
    <x v="14"/>
    <s v="BOT-1015"/>
    <n v="1746"/>
    <d v="2026-06-02T00:00:00"/>
    <s v="Delivered"/>
    <s v="OK"/>
    <n v="3.64"/>
    <n v="62"/>
    <n v="114"/>
    <s v="OK"/>
    <n v="2"/>
    <m/>
    <n v="28.161290322580644"/>
    <n v="26.481000000000005"/>
    <n v="85.337243401759537"/>
    <n v="1"/>
    <n v="85.337243401759537"/>
    <x v="0"/>
    <x v="0"/>
    <s v="OK"/>
  </r>
  <r>
    <s v="SO-50622"/>
    <s v="PL-CEN"/>
    <x v="13"/>
    <s v="LAC-1009"/>
    <n v="1009"/>
    <d v="2026-06-03T00:00:00"/>
    <s v="Delivered"/>
    <s v="OK"/>
    <n v="11.01"/>
    <n v="98"/>
    <n v="16"/>
    <s v="OK"/>
    <n v="1"/>
    <m/>
    <n v="10.295918367346939"/>
    <n v="46.287875"/>
    <n v="31.199752628324056"/>
    <n v="1"/>
    <n v="46.287875"/>
    <x v="1"/>
    <x v="0"/>
    <s v="OK"/>
  </r>
  <r>
    <s v="SO-50805"/>
    <s v="PL-SUR"/>
    <x v="12"/>
    <s v="BEB-1012"/>
    <n v="1299"/>
    <d v="2026-06-02T00:00:00"/>
    <s v="In Transit"/>
    <s v="OK"/>
    <n v="15.66"/>
    <n v="72"/>
    <n v="306"/>
    <s v="OK"/>
    <n v="2"/>
    <m/>
    <n v="18.041666666666668"/>
    <n v="84.759749999999997"/>
    <n v="54.671717171717169"/>
    <n v="1"/>
    <n v="84.759749999999997"/>
    <x v="0"/>
    <x v="0"/>
    <s v="OK"/>
  </r>
  <r>
    <s v="SO-51099"/>
    <s v="PL-SUR"/>
    <x v="12"/>
    <s v="PRO-1004"/>
    <n v="1079"/>
    <d v="2026-05-26T00:00:00"/>
    <s v="Delivered"/>
    <s v="OK"/>
    <n v="12.77"/>
    <n v="96"/>
    <n v="122"/>
    <s v="OK"/>
    <n v="9"/>
    <m/>
    <n v="11.239583333333334"/>
    <n v="57.411791666666666"/>
    <n v="34.05934343434344"/>
    <n v="1"/>
    <n v="57.411791666666666"/>
    <x v="1"/>
    <x v="0"/>
    <s v="OK"/>
  </r>
  <r>
    <s v="SO-50547"/>
    <s v="PL-NTE"/>
    <x v="1"/>
    <s v="BEB-1014"/>
    <n v="1102"/>
    <d v="2026-06-03T00:00:00"/>
    <s v="In Transit"/>
    <s v="OK"/>
    <n v="12.41"/>
    <n v="95"/>
    <n v="227"/>
    <s v="OK"/>
    <n v="1"/>
    <m/>
    <n v="11.6"/>
    <n v="56.982583333333338"/>
    <n v="35.151515151515149"/>
    <n v="1"/>
    <n v="56.982583333333338"/>
    <x v="1"/>
    <x v="0"/>
    <s v="OK"/>
  </r>
  <r>
    <s v="SO-50561"/>
    <s v="PL-NTE"/>
    <x v="10"/>
    <s v="PRO-1014"/>
    <n v="1858"/>
    <d v="2026-06-02T00:00:00"/>
    <s v="In Transit"/>
    <s v="OK"/>
    <n v="5.27"/>
    <n v="60"/>
    <n v="129"/>
    <s v="OK"/>
    <n v="2"/>
    <m/>
    <n v="30.966666666666665"/>
    <n v="40.798583333333333"/>
    <n v="93.838383838383834"/>
    <n v="1"/>
    <n v="93.838383838383834"/>
    <x v="0"/>
    <x v="0"/>
    <s v="OK"/>
  </r>
  <r>
    <s v="SO-50236"/>
    <s v="PL-CEN"/>
    <x v="8"/>
    <s v="ABA-1016"/>
    <n v="1474"/>
    <d v="2026-06-03T00:00:00"/>
    <s v="Delivered"/>
    <s v="OK"/>
    <n v="15.52"/>
    <n v="121"/>
    <n v="517"/>
    <s v="OK"/>
    <n v="1"/>
    <m/>
    <n v="12.181818181818182"/>
    <n v="95.318666666666658"/>
    <n v="36.914600550964188"/>
    <n v="1"/>
    <n v="95.318666666666658"/>
    <x v="0"/>
    <x v="0"/>
    <s v="OK"/>
  </r>
  <r>
    <s v="SO-50579"/>
    <s v="PL-CEN"/>
    <x v="8"/>
    <s v="BEB-1005"/>
    <n v="901"/>
    <d v="2026-06-03T00:00:00"/>
    <s v="In Transit"/>
    <s v="OK"/>
    <n v="14.2"/>
    <n v="95"/>
    <n v="277"/>
    <s v="OK"/>
    <n v="1"/>
    <m/>
    <n v="9.4842105263157901"/>
    <n v="53.309166666666663"/>
    <n v="28.740031897926638"/>
    <n v="1"/>
    <n v="53.309166666666663"/>
    <x v="1"/>
    <x v="0"/>
    <s v="OK"/>
  </r>
  <r>
    <s v="SO-50529"/>
    <s v="PL-SUR"/>
    <x v="7"/>
    <s v="ABA-1005"/>
    <n v="777"/>
    <d v="2026-06-03T00:00:00"/>
    <s v="In Transit"/>
    <s v="OK"/>
    <n v="13.31"/>
    <n v="89"/>
    <n v="313"/>
    <s v="OK"/>
    <n v="1"/>
    <m/>
    <n v="8.7303370786516847"/>
    <n v="43.091125000000005"/>
    <n v="26.455566905005107"/>
    <n v="1"/>
    <n v="43.091125000000005"/>
    <x v="1"/>
    <x v="0"/>
    <s v="OK"/>
  </r>
  <r>
    <s v="SO-51081"/>
    <s v="PL-SUR"/>
    <x v="4"/>
    <s v="LAC-1012"/>
    <n v="1931"/>
    <d v="2026-06-02T00:00:00"/>
    <s v="In Transit"/>
    <s v="OK"/>
    <n v="9.8699999999999992"/>
    <n v="88"/>
    <n v="25"/>
    <s v="OK"/>
    <n v="2"/>
    <m/>
    <n v="21.943181818181817"/>
    <n v="79.412374999999997"/>
    <n v="66.494490358126711"/>
    <n v="1"/>
    <n v="79.412374999999997"/>
    <x v="0"/>
    <x v="0"/>
    <s v="OK"/>
  </r>
  <r>
    <s v="SO-50877"/>
    <s v="PL-CEN"/>
    <x v="5"/>
    <s v="PRO-1001"/>
    <n v="2339"/>
    <d v="2026-06-02T00:00:00"/>
    <s v="Delivered"/>
    <s v="OK"/>
    <n v="9.57"/>
    <n v="92"/>
    <n v="122"/>
    <s v="OK"/>
    <n v="2"/>
    <m/>
    <n v="25.423913043478262"/>
    <n v="93.267624999999995"/>
    <n v="77.042160737812921"/>
    <n v="1"/>
    <n v="93.267624999999995"/>
    <x v="0"/>
    <x v="0"/>
    <s v="OK"/>
  </r>
  <r>
    <s v="SO-50062"/>
    <s v="PL-SUR"/>
    <x v="12"/>
    <s v="PRO-1009"/>
    <n v="1691"/>
    <d v="2026-06-02T00:00:00"/>
    <s v="In Transit"/>
    <s v="OK"/>
    <n v="11.96"/>
    <n v="101"/>
    <n v="90"/>
    <s v="OK"/>
    <n v="2"/>
    <m/>
    <n v="16.742574257425744"/>
    <n v="84.268166666666673"/>
    <n v="50.735073507350734"/>
    <n v="1"/>
    <n v="84.268166666666673"/>
    <x v="0"/>
    <x v="0"/>
    <s v="OK"/>
  </r>
  <r>
    <s v="SO-50216"/>
    <s v="PL-CEN"/>
    <x v="3"/>
    <s v="ABA-1019"/>
    <n v="1401"/>
    <d v="2026-06-01T00:00:00"/>
    <s v="In Transit"/>
    <s v="OK"/>
    <n v="14.82"/>
    <n v="132"/>
    <n v="373"/>
    <s v="OK"/>
    <n v="3"/>
    <m/>
    <n v="10.613636363636363"/>
    <n v="86.511749999999992"/>
    <n v="32.162534435261705"/>
    <n v="1"/>
    <n v="86.511749999999992"/>
    <x v="0"/>
    <x v="0"/>
    <s v="OK"/>
  </r>
  <r>
    <s v="SO-50554"/>
    <s v="PL-CEN"/>
    <x v="9"/>
    <s v="BOT-1009"/>
    <n v="2037"/>
    <d v="2026-06-02T00:00:00"/>
    <s v="In Transit"/>
    <s v="OK"/>
    <n v="5.25"/>
    <n v="76"/>
    <n v="104"/>
    <s v="OK"/>
    <n v="2"/>
    <m/>
    <n v="26.80263157894737"/>
    <n v="44.559375000000003"/>
    <n v="81.220095693779911"/>
    <n v="1"/>
    <n v="81.220095693779911"/>
    <x v="0"/>
    <x v="0"/>
    <s v="OK"/>
  </r>
  <r>
    <s v="SO-50440"/>
    <s v="PL-NTE"/>
    <x v="10"/>
    <s v="LAC-1015"/>
    <n v="1884"/>
    <d v="2026-06-01T00:00:00"/>
    <s v="In Transit"/>
    <s v="OK"/>
    <n v="11.26"/>
    <n v="129"/>
    <n v="24"/>
    <s v="OK"/>
    <n v="3"/>
    <m/>
    <n v="14.604651162790697"/>
    <n v="88.390999999999991"/>
    <n v="44.256518675123324"/>
    <n v="1"/>
    <n v="88.390999999999991"/>
    <x v="0"/>
    <x v="0"/>
    <s v="OK"/>
  </r>
  <r>
    <s v="SO-50155"/>
    <s v="PL-NTE"/>
    <x v="14"/>
    <s v="XXX-8702"/>
    <n v="3193"/>
    <d v="2026-06-03T00:00:00"/>
    <s v="In Transit"/>
    <s v="OK"/>
    <n v="0"/>
    <n v="0"/>
    <n v="0"/>
    <s v="HUERFANO"/>
    <n v="1"/>
    <m/>
    <s v="n/a"/>
    <s v="n/a"/>
    <s v="n/a"/>
    <s v="n/a"/>
    <s v="n/a"/>
    <x v="2"/>
    <x v="2"/>
    <s v="n/a"/>
  </r>
  <r>
    <s v="SO-50553"/>
    <s v="PL-CEN"/>
    <x v="8"/>
    <s v="LAC-1015"/>
    <n v="2029"/>
    <d v="2026-06-03T00:00:00"/>
    <s v="In Transit"/>
    <s v="OK"/>
    <n v="11.26"/>
    <n v="129"/>
    <n v="24"/>
    <s v="OK"/>
    <n v="1"/>
    <m/>
    <n v="15.728682170542635"/>
    <n v="95.193916666666667"/>
    <n v="47.662673244068593"/>
    <n v="1"/>
    <n v="95.193916666666667"/>
    <x v="0"/>
    <x v="0"/>
    <s v="OK"/>
  </r>
  <r>
    <s v="SO-50356"/>
    <s v="PL-SUR"/>
    <x v="4"/>
    <s v="BEB-1005"/>
    <n v="536"/>
    <d v="2026-06-02T00:00:00"/>
    <s v="In Transit"/>
    <s v="OK"/>
    <n v="14.2"/>
    <n v="95"/>
    <n v="277"/>
    <s v="OK"/>
    <n v="2"/>
    <m/>
    <n v="5.6421052631578945"/>
    <n v="31.713333333333331"/>
    <n v="17.097288676236044"/>
    <n v="1"/>
    <n v="31.713333333333331"/>
    <x v="1"/>
    <x v="0"/>
    <s v="OK"/>
  </r>
  <r>
    <s v="SO-50333"/>
    <s v="PL-CEN"/>
    <x v="9"/>
    <s v="PRO-1001"/>
    <n v="1026"/>
    <d v="2026-06-03T00:00:00"/>
    <s v="In Transit"/>
    <s v="OK"/>
    <n v="9.57"/>
    <n v="92"/>
    <n v="122"/>
    <s v="OK"/>
    <n v="1"/>
    <m/>
    <n v="11.152173913043478"/>
    <n v="40.911749999999998"/>
    <n v="33.794466403162055"/>
    <n v="1"/>
    <n v="40.911749999999998"/>
    <x v="1"/>
    <x v="0"/>
    <s v="OK"/>
  </r>
  <r>
    <s v="SO-50035"/>
    <s v="PL-CEN"/>
    <x v="8"/>
    <s v="LAC-1006"/>
    <n v="1912"/>
    <d v="2026-06-03T00:00:00"/>
    <s v="In Transit"/>
    <s v="OK"/>
    <n v="10.029999999999999"/>
    <n v="126"/>
    <n v="17"/>
    <s v="OK"/>
    <n v="1"/>
    <m/>
    <n v="15.174603174603174"/>
    <n v="79.905666666666662"/>
    <n v="45.983645983645985"/>
    <n v="1"/>
    <n v="79.905666666666662"/>
    <x v="0"/>
    <x v="0"/>
    <s v="OK"/>
  </r>
  <r>
    <s v="SO-50274"/>
    <s v="PL-SUR"/>
    <x v="6"/>
    <s v="ABA-1005"/>
    <n v="1731"/>
    <d v="2026-05-31T00:00:00"/>
    <s v="Delivered"/>
    <s v="OK"/>
    <n v="13.31"/>
    <n v="89"/>
    <n v="313"/>
    <s v="OK"/>
    <n v="4"/>
    <m/>
    <n v="19.44943820224719"/>
    <n v="95.998374999999996"/>
    <n v="58.937691521961177"/>
    <n v="1"/>
    <n v="95.998374999999996"/>
    <x v="0"/>
    <x v="0"/>
    <s v="OK"/>
  </r>
  <r>
    <s v="SO-50164"/>
    <s v="PL-SUR"/>
    <x v="0"/>
    <s v="BEB-1004"/>
    <n v="399"/>
    <d v="2026-06-03T00:00:00"/>
    <s v="In Transit"/>
    <s v="OK"/>
    <n v="21.99"/>
    <n v="67"/>
    <n v="213"/>
    <s v="OK"/>
    <n v="1"/>
    <m/>
    <n v="5.955223880597015"/>
    <n v="36.558374999999998"/>
    <n v="18.046132971506108"/>
    <n v="1"/>
    <n v="36.558374999999998"/>
    <x v="1"/>
    <x v="0"/>
    <s v="OK"/>
  </r>
  <r>
    <s v="SO-50195"/>
    <s v="PL-CEN"/>
    <x v="13"/>
    <s v="LAC-1009"/>
    <n v="2097"/>
    <d v="2026-06-03T00:00:00"/>
    <s v="In Transit"/>
    <s v="OK"/>
    <n v="11.01"/>
    <n v="98"/>
    <n v="16"/>
    <s v="OK"/>
    <n v="1"/>
    <m/>
    <n v="21.397959183673468"/>
    <n v="96.199875000000006"/>
    <n v="64.842300556586267"/>
    <n v="1"/>
    <n v="96.199875000000006"/>
    <x v="0"/>
    <x v="0"/>
    <s v="OK"/>
  </r>
  <r>
    <s v="SO-50937"/>
    <s v="PL-SUR"/>
    <x v="7"/>
    <s v="ABA-1017"/>
    <n v="2102"/>
    <d v="2026-06-03T00:00:00"/>
    <s v="In Transit"/>
    <s v="OK"/>
    <n v="10.96"/>
    <n v="128"/>
    <n v="520"/>
    <s v="OK"/>
    <n v="1"/>
    <m/>
    <n v="16.421875"/>
    <n v="95.991333333333344"/>
    <n v="49.763257575757578"/>
    <n v="1"/>
    <n v="95.991333333333344"/>
    <x v="0"/>
    <x v="0"/>
    <s v="OK"/>
  </r>
  <r>
    <s v="SO-50880"/>
    <s v="PL-CEN"/>
    <x v="3"/>
    <s v="BEB-1007"/>
    <n v="1567"/>
    <d v="2026-06-02T00:00:00"/>
    <s v="In Transit"/>
    <s v="OK"/>
    <n v="13.67"/>
    <n v="78"/>
    <n v="247"/>
    <s v="OK"/>
    <n v="2"/>
    <m/>
    <n v="20.089743589743591"/>
    <n v="89.253708333333321"/>
    <n v="60.878010878010883"/>
    <n v="1"/>
    <n v="89.253708333333321"/>
    <x v="0"/>
    <x v="0"/>
    <s v="OK"/>
  </r>
  <r>
    <s v="SO-50896"/>
    <s v="PL-NTE"/>
    <x v="14"/>
    <s v="LAC-1009"/>
    <n v="1701"/>
    <d v="2026-06-03T00:00:00"/>
    <s v="In Transit"/>
    <s v="OK"/>
    <n v="11.01"/>
    <n v="98"/>
    <n v="16"/>
    <s v="OK"/>
    <n v="1"/>
    <m/>
    <n v="17.357142857142858"/>
    <n v="78.033374999999992"/>
    <n v="52.597402597402599"/>
    <n v="1"/>
    <n v="78.033374999999992"/>
    <x v="0"/>
    <x v="0"/>
    <s v="OK"/>
  </r>
  <r>
    <s v="SO-50945"/>
    <s v="PL-CEN"/>
    <x v="3"/>
    <s v="BEB-1007"/>
    <n v="1685"/>
    <d v="2026-06-01T00:00:00"/>
    <s v="In Transit"/>
    <s v="OK"/>
    <n v="13.67"/>
    <n v="78"/>
    <n v="247"/>
    <s v="OK"/>
    <n v="3"/>
    <m/>
    <n v="21.602564102564102"/>
    <n v="95.974791666666675"/>
    <n v="65.462315462315459"/>
    <n v="1"/>
    <n v="95.974791666666675"/>
    <x v="0"/>
    <x v="0"/>
    <s v="OK"/>
  </r>
  <r>
    <s v="SO-50158"/>
    <s v="PL-SUR"/>
    <x v="4"/>
    <s v="PRO-1001"/>
    <n v="2057"/>
    <d v="2026-06-02T00:00:00"/>
    <s v="In Transit"/>
    <s v="OK"/>
    <n v="9.57"/>
    <n v="92"/>
    <n v="122"/>
    <s v="OK"/>
    <n v="2"/>
    <m/>
    <n v="22.358695652173914"/>
    <n v="82.022874999999999"/>
    <n v="67.753623188405797"/>
    <n v="1"/>
    <n v="82.022874999999999"/>
    <x v="0"/>
    <x v="0"/>
    <s v="OK"/>
  </r>
  <r>
    <s v="SO-51013"/>
    <s v="PL-SUR"/>
    <x v="6"/>
    <s v="LAC-1016"/>
    <n v="2083"/>
    <d v="2026-05-17T00:00:00"/>
    <s v="In Transit"/>
    <s v="OK"/>
    <n v="10.9"/>
    <n v="131"/>
    <n v="22"/>
    <s v="OK"/>
    <n v="18"/>
    <m/>
    <n v="15.900763358778626"/>
    <n v="94.602916666666673"/>
    <n v="48.184131390238264"/>
    <n v="1"/>
    <n v="94.602916666666673"/>
    <x v="0"/>
    <x v="1"/>
    <s v="FANTASMA"/>
  </r>
  <r>
    <s v="SO-50822"/>
    <s v="PL-SUR"/>
    <x v="0"/>
    <s v="PRO-1001"/>
    <n v="752"/>
    <d v="2026-06-02T00:00:00"/>
    <s v="In Transit"/>
    <s v="OK"/>
    <n v="9.57"/>
    <n v="92"/>
    <n v="122"/>
    <s v="OK"/>
    <n v="2"/>
    <m/>
    <n v="8.1739130434782616"/>
    <n v="29.986000000000001"/>
    <n v="24.76943346508564"/>
    <n v="1"/>
    <n v="29.986000000000001"/>
    <x v="1"/>
    <x v="0"/>
    <s v="OK"/>
  </r>
  <r>
    <s v="SO-50781"/>
    <s v="PL-CEN"/>
    <x v="8"/>
    <s v="PRO-1003"/>
    <n v="882"/>
    <d v="2026-06-03T00:00:00"/>
    <s v="In Transit"/>
    <s v="OK"/>
    <n v="13.9"/>
    <n v="69"/>
    <n v="106"/>
    <s v="OK"/>
    <n v="1"/>
    <m/>
    <n v="12.782608695652174"/>
    <n v="51.08250000000001"/>
    <n v="38.735177865612648"/>
    <n v="1"/>
    <n v="51.08250000000001"/>
    <x v="1"/>
    <x v="0"/>
    <s v="OK"/>
  </r>
  <r>
    <s v="SO-50931"/>
    <s v="PL-NTE"/>
    <x v="11"/>
    <s v="PRO-1014"/>
    <n v="1828"/>
    <d v="2026-06-01T00:00:00"/>
    <s v="In Transit"/>
    <s v="OK"/>
    <n v="5.27"/>
    <n v="60"/>
    <n v="129"/>
    <s v="OK"/>
    <n v="3"/>
    <m/>
    <n v="30.466666666666665"/>
    <n v="40.139833333333328"/>
    <n v="92.323232323232318"/>
    <n v="1"/>
    <n v="92.323232323232318"/>
    <x v="0"/>
    <x v="0"/>
    <s v="OK"/>
  </r>
  <r>
    <s v="SO-50509"/>
    <s v="PL-CEN"/>
    <x v="9"/>
    <s v="BOT-1013"/>
    <n v="1567"/>
    <d v="2026-06-02T00:00:00"/>
    <s v="In Transit"/>
    <s v="OK"/>
    <n v="4"/>
    <n v="58"/>
    <n v="112"/>
    <s v="OK"/>
    <n v="2"/>
    <m/>
    <n v="27.017241379310345"/>
    <n v="26.116666666666667"/>
    <n v="81.870428422152557"/>
    <n v="1"/>
    <n v="81.870428422152557"/>
    <x v="0"/>
    <x v="0"/>
    <s v="OK"/>
  </r>
  <r>
    <s v="SO-50465"/>
    <s v="PL-CEN"/>
    <x v="5"/>
    <s v="BEB-1009"/>
    <n v="1262"/>
    <d v="2026-06-02T00:00:00"/>
    <s v="In Transit"/>
    <s v="OK"/>
    <n v="18.170000000000002"/>
    <n v="61"/>
    <n v="188"/>
    <s v="OK"/>
    <n v="2"/>
    <m/>
    <n v="20.688524590163933"/>
    <n v="95.543916666666675"/>
    <n v="62.692498758072524"/>
    <n v="1"/>
    <n v="95.543916666666675"/>
    <x v="0"/>
    <x v="0"/>
    <s v="OK"/>
  </r>
  <r>
    <s v="SO-50849"/>
    <s v="PL-NTE"/>
    <x v="11"/>
    <s v="BEB-1018"/>
    <n v="1135"/>
    <d v="2026-06-01T00:00:00"/>
    <s v="In Transit"/>
    <s v="OK"/>
    <n v="19.170000000000002"/>
    <n v="119"/>
    <n v="196"/>
    <s v="OK"/>
    <n v="3"/>
    <m/>
    <n v="9.53781512605042"/>
    <n v="90.658124999999998"/>
    <n v="28.902470078940667"/>
    <n v="1"/>
    <n v="90.658124999999998"/>
    <x v="0"/>
    <x v="0"/>
    <s v="OK"/>
  </r>
  <r>
    <s v="SO-50893"/>
    <s v="PL-SUR"/>
    <x v="4"/>
    <s v="BOT-1023"/>
    <n v="709"/>
    <d v="2026-06-02T00:00:00"/>
    <s v="Delivered"/>
    <s v="OK"/>
    <n v="4.29"/>
    <n v="44"/>
    <n v="111"/>
    <s v="OK"/>
    <n v="2"/>
    <m/>
    <n v="16.113636363636363"/>
    <n v="12.673375"/>
    <n v="48.829201101928369"/>
    <n v="1"/>
    <n v="48.829201101928369"/>
    <x v="1"/>
    <x v="0"/>
    <s v="OK"/>
  </r>
  <r>
    <s v="SO-50061"/>
    <s v="PL-NTE"/>
    <x v="10"/>
    <s v="LAC-1008"/>
    <n v="2325"/>
    <d v="2026-06-03T00:00:00"/>
    <s v="In Transit"/>
    <s v="OK"/>
    <n v="9.8000000000000007"/>
    <n v="83"/>
    <n v="15"/>
    <s v="OK"/>
    <n v="1"/>
    <m/>
    <n v="28.012048192771083"/>
    <n v="94.9375"/>
    <n v="84.884994523548741"/>
    <n v="1"/>
    <n v="94.9375"/>
    <x v="0"/>
    <x v="0"/>
    <s v="OK"/>
  </r>
  <r>
    <s v="SO-50298"/>
    <s v="PL-NTE"/>
    <x v="10"/>
    <s v="LAC-1009"/>
    <n v="623"/>
    <d v="2026-06-03T00:00:00"/>
    <s v="In Transit"/>
    <s v="OK"/>
    <n v="11.01"/>
    <n v="98"/>
    <n v="16"/>
    <s v="OK"/>
    <n v="1"/>
    <m/>
    <n v="6.3571428571428568"/>
    <n v="28.580125000000002"/>
    <n v="19.264069264069263"/>
    <n v="1"/>
    <n v="28.580125000000002"/>
    <x v="1"/>
    <x v="0"/>
    <s v="OK"/>
  </r>
  <r>
    <s v="SO-50421"/>
    <s v="PL-SUR"/>
    <x v="12"/>
    <s v="ABA-1011"/>
    <n v="2088"/>
    <d v="2026-06-03T00:00:00"/>
    <s v="Delivered"/>
    <s v="OK"/>
    <n v="9.9499999999999993"/>
    <n v="106"/>
    <n v="376"/>
    <s v="OK"/>
    <n v="1"/>
    <m/>
    <n v="19.69811320754717"/>
    <n v="86.564999999999998"/>
    <n v="59.691252144082327"/>
    <n v="1"/>
    <n v="86.564999999999998"/>
    <x v="0"/>
    <x v="0"/>
    <s v="OK"/>
  </r>
  <r>
    <s v="SO-50889"/>
    <s v="PL-NTE"/>
    <x v="11"/>
    <s v="LAC-1002"/>
    <n v="2902"/>
    <d v="2026-06-02T00:00:00"/>
    <s v="In Transit"/>
    <s v="OK"/>
    <n v="7.71"/>
    <n v="101"/>
    <n v="23"/>
    <s v="OK"/>
    <n v="2"/>
    <m/>
    <n v="28.732673267326732"/>
    <n v="93.226749999999996"/>
    <n v="87.068706870687066"/>
    <n v="1"/>
    <n v="93.226749999999996"/>
    <x v="0"/>
    <x v="0"/>
    <s v="OK"/>
  </r>
  <r>
    <s v="SO-50825"/>
    <s v="PL-NTE"/>
    <x v="14"/>
    <s v="BOT-1014"/>
    <n v="1454"/>
    <d v="2026-06-03T00:00:00"/>
    <s v="In Transit"/>
    <s v="OK"/>
    <n v="3.92"/>
    <n v="49"/>
    <n v="98"/>
    <s v="OK"/>
    <n v="1"/>
    <m/>
    <n v="29.673469387755102"/>
    <n v="23.748666666666669"/>
    <n v="89.919604205318493"/>
    <n v="1"/>
    <n v="89.919604205318493"/>
    <x v="0"/>
    <x v="0"/>
    <s v="OK"/>
  </r>
  <r>
    <s v="SO-50881"/>
    <s v="PL-NTE"/>
    <x v="14"/>
    <s v="BOT-1004"/>
    <n v="1189"/>
    <d v="2026-06-03T00:00:00"/>
    <s v="In Transit"/>
    <s v="OK"/>
    <n v="4.43"/>
    <n v="63"/>
    <n v="115"/>
    <s v="OK"/>
    <n v="1"/>
    <m/>
    <n v="18.873015873015873"/>
    <n v="21.946958333333331"/>
    <n v="57.190957190957192"/>
    <n v="1"/>
    <n v="57.190957190957192"/>
    <x v="1"/>
    <x v="0"/>
    <s v="OK"/>
  </r>
  <r>
    <s v="SO-51046"/>
    <s v="PL-NTE"/>
    <x v="14"/>
    <s v="ABA-1016"/>
    <n v="1337"/>
    <d v="2026-06-03T00:00:00"/>
    <s v="In Transit"/>
    <s v="OK"/>
    <n v="15.52"/>
    <n v="121"/>
    <n v="517"/>
    <s v="OK"/>
    <n v="1"/>
    <m/>
    <n v="11.049586776859504"/>
    <n v="86.459333333333319"/>
    <n v="33.483596293513649"/>
    <n v="1"/>
    <n v="86.459333333333319"/>
    <x v="0"/>
    <x v="0"/>
    <s v="OK"/>
  </r>
  <r>
    <s v="SO-50739"/>
    <s v="PL-NTE"/>
    <x v="1"/>
    <s v="BEB-1015"/>
    <n v="964"/>
    <d v="2026-06-02T00:00:00"/>
    <s v="In Transit"/>
    <s v="OK"/>
    <n v="19.95"/>
    <n v="78"/>
    <n v="276"/>
    <s v="OK"/>
    <n v="2"/>
    <m/>
    <n v="12.358974358974359"/>
    <n v="80.132499999999993"/>
    <n v="37.45143745143745"/>
    <n v="1"/>
    <n v="80.132499999999993"/>
    <x v="0"/>
    <x v="0"/>
    <s v="OK"/>
  </r>
  <r>
    <s v="SO-50022"/>
    <s v="PL-SUR"/>
    <x v="0"/>
    <s v="BOT-1020"/>
    <n v="604"/>
    <d v="2026-05-31T00:00:00"/>
    <s v="In Transit"/>
    <s v="OK"/>
    <n v="6.27"/>
    <n v="67"/>
    <n v="90"/>
    <s v="OK"/>
    <n v="4"/>
    <m/>
    <n v="9.0149253731343286"/>
    <n v="15.779499999999999"/>
    <n v="27.317955676164633"/>
    <n v="1"/>
    <n v="27.317955676164633"/>
    <x v="1"/>
    <x v="0"/>
    <s v="OK"/>
  </r>
  <r>
    <s v="SO-50819"/>
    <s v="PL-CEN"/>
    <x v="5"/>
    <s v="BOT-1020"/>
    <n v="1794"/>
    <d v="2026-06-03T00:00:00"/>
    <s v="In Transit"/>
    <s v="OK"/>
    <n v="6.27"/>
    <n v="67"/>
    <n v="90"/>
    <s v="OK"/>
    <n v="1"/>
    <m/>
    <n v="26.776119402985074"/>
    <n v="46.868249999999996"/>
    <n v="81.139755766621434"/>
    <n v="1"/>
    <n v="81.139755766621434"/>
    <x v="0"/>
    <x v="0"/>
    <s v="OK"/>
  </r>
  <r>
    <s v="SO-50556"/>
    <s v="PL-NTE"/>
    <x v="11"/>
    <s v="LAC-1003"/>
    <n v="755"/>
    <d v="2026-06-01T00:00:00"/>
    <s v="In Transit"/>
    <s v="OK"/>
    <n v="9.02"/>
    <n v="114"/>
    <n v="18"/>
    <s v="OK"/>
    <n v="3"/>
    <m/>
    <n v="6.6228070175438596"/>
    <n v="28.375416666666663"/>
    <n v="20.069112174375331"/>
    <n v="1"/>
    <n v="28.375416666666663"/>
    <x v="1"/>
    <x v="0"/>
    <s v="OK"/>
  </r>
  <r>
    <s v="SO-50370"/>
    <s v="PL-SUR"/>
    <x v="7"/>
    <s v="BOT-1012"/>
    <n v="847"/>
    <d v="2026-06-03T00:00:00"/>
    <s v="In Transit"/>
    <s v="OK"/>
    <n v="4.26"/>
    <n v="68"/>
    <n v="117"/>
    <s v="OK"/>
    <n v="1"/>
    <m/>
    <n v="12.455882352941176"/>
    <n v="15.034249999999998"/>
    <n v="37.745098039215684"/>
    <n v="1"/>
    <n v="37.745098039215684"/>
    <x v="1"/>
    <x v="0"/>
    <s v="OK"/>
  </r>
  <r>
    <s v="SO-50358"/>
    <s v="PL-CEN"/>
    <x v="8"/>
    <s v="PRO-1000"/>
    <n v="659"/>
    <d v="2026-06-03T00:00:00"/>
    <s v="In Transit"/>
    <s v="OK"/>
    <n v="12.51"/>
    <n v="73"/>
    <n v="75"/>
    <s v="OK"/>
    <n v="1"/>
    <m/>
    <n v="9.0273972602739718"/>
    <n v="34.350375"/>
    <n v="27.355749273557489"/>
    <n v="1"/>
    <n v="34.350375"/>
    <x v="1"/>
    <x v="0"/>
    <s v="OK"/>
  </r>
  <r>
    <s v="SO-50285"/>
    <s v="PL-CEN"/>
    <x v="8"/>
    <s v="PRO-1014"/>
    <n v="794"/>
    <d v="2026-06-03T00:00:00"/>
    <s v="In Transit"/>
    <s v="OK"/>
    <n v="5.27"/>
    <n v="60"/>
    <n v="129"/>
    <s v="OK"/>
    <n v="1"/>
    <m/>
    <n v="13.233333333333333"/>
    <n v="17.434916666666666"/>
    <n v="40.101010101010097"/>
    <n v="1"/>
    <n v="40.101010101010097"/>
    <x v="1"/>
    <x v="0"/>
    <s v="OK"/>
  </r>
  <r>
    <s v="SO-50277"/>
    <s v="PL-CEN"/>
    <x v="8"/>
    <s v="PRO-1004"/>
    <n v="1614"/>
    <d v="2026-06-03T00:00:00"/>
    <s v="In Transit"/>
    <s v="OK"/>
    <n v="12.77"/>
    <n v="96"/>
    <n v="122"/>
    <s v="OK"/>
    <n v="1"/>
    <m/>
    <n v="16.8125"/>
    <n v="85.878249999999994"/>
    <n v="50.946969696969703"/>
    <n v="1"/>
    <n v="85.878249999999994"/>
    <x v="0"/>
    <x v="0"/>
    <s v="OK"/>
  </r>
  <r>
    <s v="SO-50948"/>
    <s v="PL-CEN"/>
    <x v="9"/>
    <s v="LAC-1011"/>
    <n v="3571"/>
    <d v="2026-06-03T00:00:00"/>
    <s v="In Transit"/>
    <s v="OK"/>
    <n v="6.1"/>
    <n v="137"/>
    <n v="17"/>
    <s v="OK"/>
    <n v="1"/>
    <m/>
    <n v="26.065693430656935"/>
    <n v="90.762916666666655"/>
    <n v="78.986949789869499"/>
    <n v="1"/>
    <n v="90.762916666666655"/>
    <x v="0"/>
    <x v="0"/>
    <s v="OK"/>
  </r>
  <r>
    <s v="SO-50145"/>
    <s v="PL-NTE"/>
    <x v="1"/>
    <s v="PRO-1003"/>
    <n v="1397"/>
    <d v="2026-05-31T00:00:00"/>
    <s v="In Transit"/>
    <s v="OK"/>
    <n v="13.9"/>
    <n v="69"/>
    <n v="106"/>
    <s v="OK"/>
    <n v="4"/>
    <m/>
    <n v="20.246376811594203"/>
    <n v="80.90958333333333"/>
    <n v="61.352657004830924"/>
    <n v="1"/>
    <n v="80.90958333333333"/>
    <x v="0"/>
    <x v="0"/>
    <s v="OK"/>
  </r>
  <r>
    <s v="SO-50831"/>
    <s v="PL-NTE"/>
    <x v="1"/>
    <s v="BEB-1013"/>
    <n v="394"/>
    <d v="2026-06-03T00:00:00"/>
    <s v="In Transit"/>
    <s v="OK"/>
    <n v="17.28"/>
    <n v="97"/>
    <n v="271"/>
    <s v="OK"/>
    <n v="1"/>
    <m/>
    <n v="4.0618556701030926"/>
    <n v="28.368000000000006"/>
    <n v="12.308653545766948"/>
    <n v="1"/>
    <n v="28.368000000000006"/>
    <x v="1"/>
    <x v="0"/>
    <s v="OK"/>
  </r>
  <r>
    <s v="SO-50266"/>
    <s v="PL-NTE"/>
    <x v="10"/>
    <s v="PRO-1014"/>
    <n v="461"/>
    <d v="2026-06-02T00:00:00"/>
    <s v="In Transit"/>
    <s v="OK"/>
    <n v="5.27"/>
    <n v="60"/>
    <n v="129"/>
    <s v="OK"/>
    <n v="2"/>
    <m/>
    <n v="7.6833333333333336"/>
    <n v="10.122791666666666"/>
    <n v="23.282828282828284"/>
    <n v="1"/>
    <n v="23.282828282828284"/>
    <x v="1"/>
    <x v="0"/>
    <s v="OK"/>
  </r>
  <r>
    <s v="SO-50140"/>
    <s v="PL-NTE"/>
    <x v="11"/>
    <s v="LAC-1009"/>
    <n v="1743"/>
    <d v="2026-06-01T00:00:00"/>
    <s v="Delivered"/>
    <s v="OK"/>
    <n v="11.01"/>
    <n v="98"/>
    <n v="16"/>
    <s v="OK"/>
    <n v="3"/>
    <m/>
    <n v="17.785714285714285"/>
    <n v="79.960125000000005"/>
    <n v="53.896103896103895"/>
    <n v="1"/>
    <n v="79.960125000000005"/>
    <x v="0"/>
    <x v="0"/>
    <s v="OK"/>
  </r>
  <r>
    <s v="SO-50074"/>
    <s v="PL-NTE"/>
    <x v="11"/>
    <s v="BEB-1007"/>
    <n v="1480"/>
    <d v="2026-06-01T00:00:00"/>
    <s v="In Transit"/>
    <s v="OK"/>
    <n v="13.67"/>
    <n v="78"/>
    <n v="247"/>
    <s v="OK"/>
    <n v="3"/>
    <m/>
    <n v="18.974358974358974"/>
    <n v="84.298333333333332"/>
    <n v="57.498057498057499"/>
    <n v="1"/>
    <n v="84.298333333333332"/>
    <x v="0"/>
    <x v="0"/>
    <s v="OK"/>
  </r>
  <r>
    <s v="SO-50955"/>
    <s v="PL-CEN"/>
    <x v="9"/>
    <s v="ABA-1010"/>
    <n v="2141"/>
    <d v="2026-06-02T00:00:00"/>
    <s v="In Transit"/>
    <s v="OK"/>
    <n v="8.75"/>
    <n v="123"/>
    <n v="341"/>
    <s v="OK"/>
    <n v="2"/>
    <m/>
    <n v="17.40650406504065"/>
    <n v="78.057291666666657"/>
    <n v="52.746982015274703"/>
    <n v="1"/>
    <n v="78.057291666666657"/>
    <x v="0"/>
    <x v="0"/>
    <s v="OK"/>
  </r>
  <r>
    <s v="SO-50103"/>
    <s v="PL-SUR"/>
    <x v="6"/>
    <s v="BEB-1008"/>
    <n v="1270"/>
    <d v="2026-06-02T00:00:00"/>
    <s v="In Transit"/>
    <s v="OK"/>
    <n v="17.47"/>
    <n v="65"/>
    <n v="216"/>
    <s v="OK"/>
    <n v="2"/>
    <m/>
    <n v="19.53846153846154"/>
    <n v="92.445416666666659"/>
    <n v="59.207459207459209"/>
    <n v="1"/>
    <n v="92.445416666666659"/>
    <x v="0"/>
    <x v="0"/>
    <s v="OK"/>
  </r>
  <r>
    <s v="SO-50361"/>
    <s v="PL-CEN"/>
    <x v="13"/>
    <s v="BEB-1001"/>
    <n v="645"/>
    <d v="2026-06-03T00:00:00"/>
    <s v="In Transit"/>
    <s v="OK"/>
    <n v="19.18"/>
    <n v="95"/>
    <n v="208"/>
    <s v="OK"/>
    <n v="1"/>
    <m/>
    <n v="6.7894736842105265"/>
    <n v="51.546250000000008"/>
    <n v="20.574162679425839"/>
    <n v="1"/>
    <n v="51.546250000000008"/>
    <x v="1"/>
    <x v="0"/>
    <s v="OK"/>
  </r>
  <r>
    <s v="SO-50379"/>
    <s v="PL-NTE"/>
    <x v="1"/>
    <s v="XXX-8720"/>
    <n v="300"/>
    <d v="2026-06-02T00:00:00"/>
    <s v="Delivered"/>
    <s v="OK"/>
    <n v="0"/>
    <n v="0"/>
    <n v="0"/>
    <s v="HUERFANO"/>
    <n v="2"/>
    <m/>
    <s v="n/a"/>
    <s v="n/a"/>
    <s v="n/a"/>
    <s v="n/a"/>
    <s v="n/a"/>
    <x v="2"/>
    <x v="2"/>
    <s v="n/a"/>
  </r>
  <r>
    <s v="SO-50950"/>
    <s v="PL-CEN"/>
    <x v="13"/>
    <s v="BOT-1014"/>
    <n v="1492"/>
    <d v="2026-06-03T00:00:00"/>
    <s v="In Transit"/>
    <s v="OK"/>
    <n v="3.92"/>
    <n v="49"/>
    <n v="98"/>
    <s v="OK"/>
    <n v="1"/>
    <m/>
    <n v="30.448979591836736"/>
    <n v="24.369333333333334"/>
    <n v="92.269635126777985"/>
    <n v="1"/>
    <n v="92.269635126777985"/>
    <x v="0"/>
    <x v="0"/>
    <s v="OK"/>
  </r>
  <r>
    <s v="SO-50418"/>
    <s v="PL-NTE"/>
    <x v="11"/>
    <s v="BOT-1002"/>
    <n v="2328"/>
    <d v="2026-06-03T00:00:00"/>
    <s v="In Transit"/>
    <s v="OK"/>
    <n v="3.02"/>
    <n v="84"/>
    <n v="111"/>
    <s v="OK"/>
    <n v="1"/>
    <m/>
    <n v="27.714285714285715"/>
    <n v="29.294000000000004"/>
    <n v="83.98268398268398"/>
    <n v="1"/>
    <n v="83.98268398268398"/>
    <x v="0"/>
    <x v="0"/>
    <s v="OK"/>
  </r>
  <r>
    <s v="SO-50121"/>
    <s v="PL-SUR"/>
    <x v="7"/>
    <s v="ABA-1017"/>
    <n v="785"/>
    <d v="2026-06-03T00:00:00"/>
    <s v="Delivered"/>
    <s v="OK"/>
    <n v="10.96"/>
    <n v="128"/>
    <n v="520"/>
    <s v="OK"/>
    <n v="1"/>
    <m/>
    <n v="6.1328125"/>
    <n v="35.848333333333336"/>
    <n v="18.584280303030305"/>
    <n v="1"/>
    <n v="35.848333333333336"/>
    <x v="1"/>
    <x v="0"/>
    <s v="OK"/>
  </r>
  <r>
    <s v="SO-50659"/>
    <s v="PL-SUR"/>
    <x v="12"/>
    <s v="LAC-1017"/>
    <n v="3097"/>
    <d v="2026-06-02T00:00:00"/>
    <s v="In Transit"/>
    <s v="OK"/>
    <n v="7.45"/>
    <n v="147"/>
    <n v="28"/>
    <s v="OK"/>
    <n v="2"/>
    <m/>
    <n v="21.068027210884352"/>
    <n v="96.136041666666671"/>
    <n v="63.842506699649547"/>
    <n v="1"/>
    <n v="96.136041666666671"/>
    <x v="0"/>
    <x v="0"/>
    <s v="OK"/>
  </r>
  <r>
    <s v="SO-50390"/>
    <s v="PL-SUR"/>
    <x v="12"/>
    <s v="BOT-1013"/>
    <n v="1771"/>
    <d v="2026-06-03T00:00:00"/>
    <s v="In Transit"/>
    <s v="OK"/>
    <n v="4"/>
    <n v="58"/>
    <n v="112"/>
    <s v="OK"/>
    <n v="1"/>
    <m/>
    <n v="30.53448275862069"/>
    <n v="29.516666666666669"/>
    <n v="92.52873563218391"/>
    <n v="1"/>
    <n v="92.52873563218391"/>
    <x v="0"/>
    <x v="0"/>
    <s v="OK"/>
  </r>
  <r>
    <s v="SO-50771"/>
    <s v="PL-CEN"/>
    <x v="13"/>
    <s v="ABA-1001"/>
    <n v="664"/>
    <d v="2026-06-03T00:00:00"/>
    <s v="In Transit"/>
    <s v="OK"/>
    <n v="0"/>
    <n v="100"/>
    <n v="512"/>
    <s v="OK"/>
    <n v="1"/>
    <m/>
    <n v="6.64"/>
    <n v="0"/>
    <n v="20.121212121212121"/>
    <n v="1"/>
    <n v="20.121212121212121"/>
    <x v="1"/>
    <x v="0"/>
    <s v="OK"/>
  </r>
  <r>
    <s v="SO-50351"/>
    <s v="PL-NTE"/>
    <x v="1"/>
    <s v="BEB-1013"/>
    <n v="1309"/>
    <d v="2026-06-01T00:00:00"/>
    <s v="In Transit"/>
    <s v="OK"/>
    <n v="17.28"/>
    <n v="97"/>
    <n v="271"/>
    <s v="OK"/>
    <n v="3"/>
    <m/>
    <n v="13.494845360824742"/>
    <n v="94.248000000000005"/>
    <n v="40.893470790378004"/>
    <n v="1"/>
    <n v="94.248000000000005"/>
    <x v="0"/>
    <x v="0"/>
    <s v="OK"/>
  </r>
  <r>
    <s v="SO-50576"/>
    <s v="PL-SUR"/>
    <x v="12"/>
    <s v="BOT-1008"/>
    <n v="2089"/>
    <d v="2026-06-02T00:00:00"/>
    <s v="In Transit"/>
    <s v="OK"/>
    <n v="3.48"/>
    <n v="66"/>
    <n v="112"/>
    <s v="OK"/>
    <n v="2"/>
    <m/>
    <n v="31.651515151515152"/>
    <n v="30.290500000000005"/>
    <n v="95.913682277318642"/>
    <n v="1"/>
    <n v="95.913682277318642"/>
    <x v="0"/>
    <x v="0"/>
    <s v="OK"/>
  </r>
  <r>
    <s v="SO-50036"/>
    <s v="PL-CEN"/>
    <x v="9"/>
    <s v="PRO-1009"/>
    <n v="1886"/>
    <d v="2026-06-03T00:00:00"/>
    <s v="In Transit"/>
    <s v="OK"/>
    <n v="11.96"/>
    <n v="101"/>
    <n v="90"/>
    <s v="OK"/>
    <n v="1"/>
    <m/>
    <n v="18.673267326732674"/>
    <n v="93.985666666666674"/>
    <n v="56.58565856585659"/>
    <n v="1"/>
    <n v="93.985666666666674"/>
    <x v="0"/>
    <x v="0"/>
    <s v="OK"/>
  </r>
  <r>
    <s v="SO-50209"/>
    <s v="PL-SUR"/>
    <x v="6"/>
    <s v="BOT-1000"/>
    <n v="2004"/>
    <d v="2026-06-02T00:00:00"/>
    <s v="In Transit"/>
    <s v="OK"/>
    <n v="3.56"/>
    <n v="64"/>
    <n v="92"/>
    <s v="OK"/>
    <n v="2"/>
    <m/>
    <n v="31.3125"/>
    <n v="29.725999999999996"/>
    <n v="94.88636363636364"/>
    <n v="1"/>
    <n v="94.88636363636364"/>
    <x v="0"/>
    <x v="0"/>
    <s v="OK"/>
  </r>
  <r>
    <s v="SO-51045"/>
    <s v="PL-CEN"/>
    <x v="3"/>
    <s v="ABA-1004"/>
    <n v="1786"/>
    <d v="2026-06-02T00:00:00"/>
    <s v="In Transit"/>
    <s v="OK"/>
    <n v="12.85"/>
    <n v="91"/>
    <n v="297"/>
    <s v="OK"/>
    <n v="2"/>
    <m/>
    <n v="19.626373626373628"/>
    <n v="95.625416666666666"/>
    <n v="59.473859473859477"/>
    <n v="1"/>
    <n v="95.625416666666666"/>
    <x v="0"/>
    <x v="0"/>
    <s v="OK"/>
  </r>
  <r>
    <s v="SO-50089"/>
    <s v="PL-NTE"/>
    <x v="1"/>
    <s v="PRO-1001"/>
    <n v="2394"/>
    <d v="2026-06-01T00:00:00"/>
    <s v="In Transit"/>
    <s v="OK"/>
    <n v="9.57"/>
    <n v="92"/>
    <n v="122"/>
    <s v="OK"/>
    <n v="3"/>
    <m/>
    <n v="26.021739130434781"/>
    <n v="95.460750000000004"/>
    <n v="78.853754940711468"/>
    <n v="1"/>
    <n v="95.460750000000004"/>
    <x v="0"/>
    <x v="0"/>
    <s v="OK"/>
  </r>
  <r>
    <s v="SO-50066"/>
    <s v="PL-NTE"/>
    <x v="1"/>
    <s v="BOT-1015"/>
    <n v="1737"/>
    <d v="2026-06-02T00:00:00"/>
    <s v="In Transit"/>
    <s v="OK"/>
    <n v="3.64"/>
    <n v="62"/>
    <n v="114"/>
    <s v="OK"/>
    <n v="2"/>
    <m/>
    <n v="28.016129032258064"/>
    <n v="26.3445"/>
    <n v="84.897360703812325"/>
    <n v="1"/>
    <n v="84.897360703812325"/>
    <x v="0"/>
    <x v="0"/>
    <s v="OK"/>
  </r>
  <r>
    <s v="SO-50173"/>
    <s v="PL-NTE"/>
    <x v="10"/>
    <s v="BEB-1008"/>
    <n v="421"/>
    <d v="2026-06-03T00:00:00"/>
    <s v="In Transit"/>
    <s v="OK"/>
    <n v="17.47"/>
    <n v="65"/>
    <n v="216"/>
    <s v="OK"/>
    <n v="1"/>
    <m/>
    <n v="6.476923076923077"/>
    <n v="30.645291666666669"/>
    <n v="19.627039627039629"/>
    <n v="1"/>
    <n v="30.645291666666669"/>
    <x v="1"/>
    <x v="0"/>
    <s v="OK"/>
  </r>
  <r>
    <s v="SO-50615"/>
    <s v="PL-SUR"/>
    <x v="0"/>
    <s v="BEB-1012"/>
    <n v="1317"/>
    <d v="2026-06-02T00:00:00"/>
    <s v="Delivered"/>
    <s v="OK"/>
    <n v="15.66"/>
    <n v="72"/>
    <n v="306"/>
    <s v="OK"/>
    <n v="2"/>
    <m/>
    <n v="18.291666666666668"/>
    <n v="85.934250000000006"/>
    <n v="55.429292929292927"/>
    <n v="1"/>
    <n v="85.934250000000006"/>
    <x v="0"/>
    <x v="0"/>
    <s v="OK"/>
  </r>
  <r>
    <s v="SO-50040"/>
    <s v="PL-CEN"/>
    <x v="8"/>
    <s v="PRO-1009"/>
    <n v="1580"/>
    <d v="2026-06-03T00:00:00"/>
    <s v="In Transit"/>
    <s v="OK"/>
    <n v="11.96"/>
    <n v="101"/>
    <n v="90"/>
    <s v="OK"/>
    <n v="1"/>
    <m/>
    <n v="15.643564356435643"/>
    <n v="78.736666666666679"/>
    <n v="47.404740474047401"/>
    <n v="1"/>
    <n v="78.736666666666679"/>
    <x v="0"/>
    <x v="0"/>
    <s v="OK"/>
  </r>
  <r>
    <s v="SO-50941"/>
    <s v="PL-CEN"/>
    <x v="9"/>
    <s v="BEB-1008"/>
    <n v="1170"/>
    <d v="2026-06-02T00:00:00"/>
    <s v="In Transit"/>
    <s v="OK"/>
    <n v="17.47"/>
    <n v="65"/>
    <n v="216"/>
    <s v="OK"/>
    <n v="2"/>
    <m/>
    <n v="18"/>
    <n v="85.166249999999991"/>
    <n v="54.54545454545454"/>
    <n v="1"/>
    <n v="85.166249999999991"/>
    <x v="0"/>
    <x v="0"/>
    <s v="OK"/>
  </r>
  <r>
    <s v="SO-50810"/>
    <s v="PL-SUR"/>
    <x v="6"/>
    <s v="LAC-1014"/>
    <n v="986"/>
    <d v="2026-06-03T00:00:00"/>
    <s v="In Transit"/>
    <s v="OK"/>
    <n v="8.0500000000000007"/>
    <n v="147"/>
    <n v="28"/>
    <s v="OK"/>
    <n v="1"/>
    <m/>
    <n v="6.7074829931972788"/>
    <n v="33.072083333333339"/>
    <n v="20.325706039991754"/>
    <n v="1"/>
    <n v="33.072083333333339"/>
    <x v="1"/>
    <x v="0"/>
    <s v="OK"/>
  </r>
  <r>
    <s v="SO-50320"/>
    <s v="PL-SUR"/>
    <x v="0"/>
    <s v="LAC-1007"/>
    <n v="1857"/>
    <d v="2026-06-01T00:00:00"/>
    <s v="In Transit"/>
    <s v="OK"/>
    <n v="10.37"/>
    <n v="100"/>
    <n v="24"/>
    <s v="OK"/>
    <n v="3"/>
    <m/>
    <n v="18.57"/>
    <n v="80.237875000000003"/>
    <n v="56.272727272727273"/>
    <n v="1"/>
    <n v="80.237875000000003"/>
    <x v="0"/>
    <x v="0"/>
    <s v="OK"/>
  </r>
  <r>
    <s v="SO-50903"/>
    <s v="PL-CEN"/>
    <x v="8"/>
    <s v="BOT-1015"/>
    <n v="1978"/>
    <d v="2026-06-03T00:00:00"/>
    <s v="In Transit"/>
    <s v="OK"/>
    <n v="3.64"/>
    <n v="62"/>
    <n v="114"/>
    <s v="OK"/>
    <n v="1"/>
    <m/>
    <n v="31.903225806451612"/>
    <n v="29.99966666666667"/>
    <n v="96.67644183773217"/>
    <n v="1"/>
    <n v="96.67644183773217"/>
    <x v="0"/>
    <x v="0"/>
    <s v="OK"/>
  </r>
  <r>
    <s v="SO-50038"/>
    <s v="PL-SUR"/>
    <x v="7"/>
    <s v="ABA-1018"/>
    <n v="869"/>
    <d v="2026-06-03T00:00:00"/>
    <s v="In Transit"/>
    <s v="OK"/>
    <n v="11.43"/>
    <n v="128"/>
    <n v="530"/>
    <s v="OK"/>
    <n v="1"/>
    <m/>
    <n v="6.7890625"/>
    <n v="41.386125"/>
    <n v="20.572916666666664"/>
    <n v="1"/>
    <n v="41.386125"/>
    <x v="1"/>
    <x v="0"/>
    <s v="OK"/>
  </r>
  <r>
    <s v="SO-50372"/>
    <s v="PL-SUR"/>
    <x v="4"/>
    <s v="LAC-1015"/>
    <n v="1914"/>
    <d v="2026-06-03T00:00:00"/>
    <s v="In Transit"/>
    <s v="OK"/>
    <n v="11.26"/>
    <n v="129"/>
    <n v="24"/>
    <s v="OK"/>
    <n v="1"/>
    <m/>
    <n v="14.837209302325581"/>
    <n v="89.79849999999999"/>
    <n v="44.961240310077514"/>
    <n v="1"/>
    <n v="89.79849999999999"/>
    <x v="0"/>
    <x v="0"/>
    <s v="OK"/>
  </r>
  <r>
    <s v="SO-50879"/>
    <s v="PL-NTE"/>
    <x v="1"/>
    <s v="LAC-1004"/>
    <n v="466"/>
    <d v="2026-06-03T00:00:00"/>
    <s v="In Transit"/>
    <s v="OK"/>
    <n v="11.45"/>
    <n v="93"/>
    <n v="16"/>
    <s v="OK"/>
    <n v="1"/>
    <m/>
    <n v="5.010752688172043"/>
    <n v="22.232083333333332"/>
    <n v="15.184099055066797"/>
    <n v="1"/>
    <n v="22.232083333333332"/>
    <x v="1"/>
    <x v="0"/>
    <s v="OK"/>
  </r>
  <r>
    <s v="SO-50354"/>
    <s v="PL-CEN"/>
    <x v="3"/>
    <s v="BEB-1015"/>
    <n v="661"/>
    <d v="2026-06-02T00:00:00"/>
    <s v="In Transit"/>
    <s v="OK"/>
    <n v="19.95"/>
    <n v="78"/>
    <n v="276"/>
    <s v="OK"/>
    <n v="2"/>
    <m/>
    <n v="8.4743589743589745"/>
    <n v="54.945625"/>
    <n v="25.679875679875678"/>
    <n v="1"/>
    <n v="54.945625"/>
    <x v="1"/>
    <x v="0"/>
    <s v="OK"/>
  </r>
  <r>
    <s v="SO-51090"/>
    <s v="PL-NTE"/>
    <x v="14"/>
    <s v="PRO-1012"/>
    <n v="2813"/>
    <d v="2026-06-01T00:00:00"/>
    <s v="In Transit"/>
    <s v="OK"/>
    <n v="6.87"/>
    <n v="101"/>
    <n v="62"/>
    <s v="OK"/>
    <n v="3"/>
    <m/>
    <n v="27.85148514851485"/>
    <n v="80.522125000000003"/>
    <n v="84.398439843984391"/>
    <n v="1"/>
    <n v="84.398439843984391"/>
    <x v="0"/>
    <x v="0"/>
    <s v="OK"/>
  </r>
  <r>
    <s v="SO-50179"/>
    <s v="PL-NTE"/>
    <x v="2"/>
    <s v="BOT-1011"/>
    <n v="2543"/>
    <d v="2026-06-03T00:00:00"/>
    <s v="In Transit"/>
    <s v="OK"/>
    <n v="3.43"/>
    <n v="88"/>
    <n v="109"/>
    <s v="OK"/>
    <n v="1"/>
    <m/>
    <n v="28.897727272727273"/>
    <n v="36.343708333333332"/>
    <n v="87.568870523415981"/>
    <n v="1"/>
    <n v="87.568870523415981"/>
    <x v="0"/>
    <x v="0"/>
    <s v="OK"/>
  </r>
  <r>
    <s v="SO-50842"/>
    <s v="PL-SUR"/>
    <x v="6"/>
    <s v="PRO-1000"/>
    <n v="1541"/>
    <d v="2026-06-03T00:00:00"/>
    <s v="In Transit"/>
    <s v="OK"/>
    <n v="12.51"/>
    <n v="73"/>
    <n v="75"/>
    <s v="OK"/>
    <n v="1"/>
    <m/>
    <n v="21.109589041095891"/>
    <n v="80.324624999999997"/>
    <n v="63.968451639684517"/>
    <n v="1"/>
    <n v="80.324624999999997"/>
    <x v="0"/>
    <x v="0"/>
    <s v="OK"/>
  </r>
  <r>
    <s v="SO-50520"/>
    <s v="PL-NTE"/>
    <x v="10"/>
    <s v="PRO-1000"/>
    <n v="1066"/>
    <d v="2026-05-31T00:00:00"/>
    <s v="In Transit"/>
    <s v="OK"/>
    <n v="12.51"/>
    <n v="73"/>
    <n v="75"/>
    <s v="OK"/>
    <n v="4"/>
    <m/>
    <n v="14.602739726027398"/>
    <n v="55.565249999999999"/>
    <n v="44.250726442507265"/>
    <n v="1"/>
    <n v="55.565249999999999"/>
    <x v="1"/>
    <x v="0"/>
    <s v="OK"/>
  </r>
  <r>
    <s v="SO-50488"/>
    <s v="PL-SUR"/>
    <x v="6"/>
    <s v="BOT-1014"/>
    <n v="1350"/>
    <d v="2026-05-30T00:00:00"/>
    <s v="In Transit"/>
    <s v="OK"/>
    <n v="3.92"/>
    <n v="49"/>
    <n v="98"/>
    <s v="OK"/>
    <n v="5"/>
    <m/>
    <n v="27.551020408163264"/>
    <n v="22.05"/>
    <n v="83.48794063079778"/>
    <n v="1"/>
    <n v="83.48794063079778"/>
    <x v="0"/>
    <x v="0"/>
    <s v="OK"/>
  </r>
  <r>
    <s v="SO-50329"/>
    <s v="PL-NTE"/>
    <x v="1"/>
    <s v="BOT-1003"/>
    <n v="1534"/>
    <d v="2026-06-03T00:00:00"/>
    <s v="In Transit"/>
    <s v="OK"/>
    <n v="5.92"/>
    <n v="57"/>
    <n v="92"/>
    <s v="OK"/>
    <n v="1"/>
    <m/>
    <n v="26.912280701754387"/>
    <n v="37.838666666666668"/>
    <n v="81.552365762892094"/>
    <n v="1"/>
    <n v="81.552365762892094"/>
    <x v="0"/>
    <x v="0"/>
    <s v="OK"/>
  </r>
  <r>
    <s v="SO-50466"/>
    <s v="PL-NTE"/>
    <x v="11"/>
    <s v="BEB-1000"/>
    <n v="436"/>
    <d v="2026-06-01T00:00:00"/>
    <s v="In Transit"/>
    <s v="OK"/>
    <n v="16.489999999999998"/>
    <n v="102"/>
    <n v="315"/>
    <s v="OK"/>
    <n v="3"/>
    <m/>
    <n v="4.2745098039215685"/>
    <n v="29.956833333333332"/>
    <n v="12.95306001188354"/>
    <n v="1"/>
    <n v="29.956833333333332"/>
    <x v="1"/>
    <x v="0"/>
    <s v="OK"/>
  </r>
  <r>
    <s v="SO-50489"/>
    <s v="PL-CEN"/>
    <x v="9"/>
    <s v="BEB-1015"/>
    <n v="1086"/>
    <d v="2026-06-03T00:00:00"/>
    <s v="In Transit"/>
    <s v="OK"/>
    <n v="19.95"/>
    <n v="78"/>
    <n v="276"/>
    <s v="OK"/>
    <n v="1"/>
    <m/>
    <n v="13.923076923076923"/>
    <n v="90.273750000000007"/>
    <n v="42.191142191142191"/>
    <n v="1"/>
    <n v="90.273750000000007"/>
    <x v="0"/>
    <x v="0"/>
    <s v="OK"/>
  </r>
  <r>
    <s v="SO-50031"/>
    <s v="PL-SUR"/>
    <x v="4"/>
    <s v="LAC-1006"/>
    <n v="910"/>
    <d v="2026-06-03T00:00:00"/>
    <s v="In Transit"/>
    <s v="OK"/>
    <n v="10.029999999999999"/>
    <n v="126"/>
    <n v="17"/>
    <s v="OK"/>
    <n v="1"/>
    <m/>
    <n v="7.2222222222222223"/>
    <n v="38.03041666666666"/>
    <n v="21.885521885521886"/>
    <n v="1"/>
    <n v="38.03041666666666"/>
    <x v="1"/>
    <x v="0"/>
    <s v="OK"/>
  </r>
  <r>
    <s v="SO-50151"/>
    <s v="PL-NTE"/>
    <x v="11"/>
    <s v="BOT-1008"/>
    <n v="1868"/>
    <d v="2026-06-01T00:00:00"/>
    <s v="In Transit"/>
    <s v="OK"/>
    <n v="3.48"/>
    <n v="66"/>
    <n v="112"/>
    <s v="OK"/>
    <n v="3"/>
    <m/>
    <n v="28.303030303030305"/>
    <n v="27.085999999999999"/>
    <n v="85.766758494031222"/>
    <n v="1"/>
    <n v="85.766758494031222"/>
    <x v="0"/>
    <x v="0"/>
    <s v="OK"/>
  </r>
  <r>
    <s v="SO-51055"/>
    <s v="PL-NTE"/>
    <x v="2"/>
    <s v="ABA-1003"/>
    <n v="863"/>
    <d v="2026-06-02T00:00:00"/>
    <s v="In Transit"/>
    <s v="OK"/>
    <n v="8.67"/>
    <n v="124"/>
    <n v="512"/>
    <s v="OK"/>
    <n v="2"/>
    <m/>
    <n v="6.959677419354839"/>
    <n v="31.175875000000001"/>
    <n v="21.089931573802541"/>
    <n v="1"/>
    <n v="31.175875000000001"/>
    <x v="1"/>
    <x v="0"/>
    <s v="OK"/>
  </r>
  <r>
    <s v="SO-50841"/>
    <s v="PL-NTE"/>
    <x v="14"/>
    <s v="ABA-1013"/>
    <n v="1661"/>
    <d v="2026-06-03T00:00:00"/>
    <s v="In Transit"/>
    <s v="OK"/>
    <n v="12.02"/>
    <n v="75"/>
    <n v="402"/>
    <s v="OK"/>
    <n v="1"/>
    <m/>
    <n v="22.146666666666668"/>
    <n v="83.188416666666654"/>
    <n v="67.111111111111114"/>
    <n v="1"/>
    <n v="83.188416666666654"/>
    <x v="0"/>
    <x v="0"/>
    <s v="OK"/>
  </r>
  <r>
    <s v="SO-50455"/>
    <s v="PL-NTE"/>
    <x v="10"/>
    <s v="ABA-1011"/>
    <n v="2035"/>
    <d v="2026-06-01T00:00:00"/>
    <s v="In Transit"/>
    <s v="OK"/>
    <n v="9.9499999999999993"/>
    <n v="106"/>
    <n v="376"/>
    <s v="OK"/>
    <n v="3"/>
    <m/>
    <n v="19.19811320754717"/>
    <n v="84.36770833333334"/>
    <n v="58.176100628930818"/>
    <n v="1"/>
    <n v="84.36770833333334"/>
    <x v="0"/>
    <x v="0"/>
    <s v="OK"/>
  </r>
  <r>
    <s v="SO-50435"/>
    <s v="PL-SUR"/>
    <x v="0"/>
    <s v="BEB-1001"/>
    <n v="1173"/>
    <d v="2026-06-01T00:00:00"/>
    <s v="In Transit"/>
    <s v="OK"/>
    <n v="19.18"/>
    <n v="95"/>
    <n v="208"/>
    <s v="OK"/>
    <n v="3"/>
    <m/>
    <n v="12.347368421052632"/>
    <n v="93.742249999999999"/>
    <n v="37.416267942583737"/>
    <n v="1"/>
    <n v="93.742249999999999"/>
    <x v="0"/>
    <x v="0"/>
    <s v="OK"/>
  </r>
  <r>
    <s v="SO-50515"/>
    <s v="PL-CEN"/>
    <x v="13"/>
    <s v="BOT-1019"/>
    <n v="754"/>
    <d v="2026-06-03T00:00:00"/>
    <s v="In Transit"/>
    <s v="OK"/>
    <n v="3.44"/>
    <n v="85"/>
    <n v="102"/>
    <s v="OK"/>
    <n v="1"/>
    <m/>
    <n v="8.8705882352941181"/>
    <n v="10.807333333333332"/>
    <n v="26.880570409982173"/>
    <n v="1"/>
    <n v="26.880570409982173"/>
    <x v="1"/>
    <x v="0"/>
    <s v="OK"/>
  </r>
  <r>
    <s v="SO-50909"/>
    <s v="PL-NTE"/>
    <x v="2"/>
    <s v="LAC-1009"/>
    <n v="1842"/>
    <d v="2026-06-02T00:00:00"/>
    <s v="In Transit"/>
    <s v="OK"/>
    <n v="11.01"/>
    <n v="98"/>
    <n v="16"/>
    <s v="OK"/>
    <n v="2"/>
    <m/>
    <n v="18.795918367346939"/>
    <n v="84.501750000000001"/>
    <n v="56.957328385899821"/>
    <n v="1"/>
    <n v="84.501750000000001"/>
    <x v="0"/>
    <x v="0"/>
    <s v="OK"/>
  </r>
  <r>
    <s v="SO-50930"/>
    <s v="PL-SUR"/>
    <x v="7"/>
    <s v="BEB-1009"/>
    <n v="1214"/>
    <d v="2026-06-03T00:00:00"/>
    <s v="In Transit"/>
    <s v="OK"/>
    <n v="18.170000000000002"/>
    <n v="61"/>
    <n v="188"/>
    <s v="OK"/>
    <n v="1"/>
    <m/>
    <n v="19.901639344262296"/>
    <n v="91.909916666666675"/>
    <n v="60.307998012916052"/>
    <n v="1"/>
    <n v="91.909916666666675"/>
    <x v="0"/>
    <x v="0"/>
    <s v="OK"/>
  </r>
  <r>
    <s v="SO-50555"/>
    <s v="PL-CEN"/>
    <x v="9"/>
    <s v="ABA-1006"/>
    <n v="554"/>
    <d v="2026-06-03T00:00:00"/>
    <s v="In Transit"/>
    <s v="OK"/>
    <n v="12.39"/>
    <n v="134"/>
    <n v="446"/>
    <s v="OK"/>
    <n v="1"/>
    <m/>
    <n v="4.1343283582089549"/>
    <n v="28.600249999999999"/>
    <n v="12.528267752148349"/>
    <n v="1"/>
    <n v="28.600249999999999"/>
    <x v="1"/>
    <x v="0"/>
    <s v="OK"/>
  </r>
  <r>
    <s v="SO-50686"/>
    <s v="PL-SUR"/>
    <x v="4"/>
    <s v="BOT-1015"/>
    <n v="1979"/>
    <d v="2026-06-03T00:00:00"/>
    <s v="In Transit"/>
    <s v="OK"/>
    <n v="3.64"/>
    <n v="62"/>
    <n v="114"/>
    <s v="OK"/>
    <n v="1"/>
    <m/>
    <n v="31.919354838709676"/>
    <n v="30.014833333333335"/>
    <n v="96.725317693059623"/>
    <n v="1"/>
    <n v="96.725317693059623"/>
    <x v="0"/>
    <x v="0"/>
    <s v="OK"/>
  </r>
  <r>
    <s v="SO-50194"/>
    <s v="PL-SUR"/>
    <x v="7"/>
    <s v="BOT-1003"/>
    <n v="1739"/>
    <d v="2026-06-03T00:00:00"/>
    <s v="In Transit"/>
    <s v="OK"/>
    <n v="5.92"/>
    <n v="57"/>
    <n v="92"/>
    <s v="OK"/>
    <n v="1"/>
    <m/>
    <n v="30.508771929824562"/>
    <n v="42.895333333333326"/>
    <n v="92.450824029771397"/>
    <n v="1"/>
    <n v="92.450824029771397"/>
    <x v="0"/>
    <x v="0"/>
    <s v="OK"/>
  </r>
  <r>
    <s v="SO-50782"/>
    <s v="PL-NTE"/>
    <x v="2"/>
    <s v="LAC-1016"/>
    <n v="1976"/>
    <d v="2026-06-02T00:00:00"/>
    <s v="In Transit"/>
    <s v="OK"/>
    <n v="10.9"/>
    <n v="131"/>
    <n v="22"/>
    <s v="OK"/>
    <n v="2"/>
    <m/>
    <n v="15.083969465648854"/>
    <n v="89.743333333333339"/>
    <n v="45.70899838075411"/>
    <n v="1"/>
    <n v="89.743333333333339"/>
    <x v="0"/>
    <x v="0"/>
    <s v="OK"/>
  </r>
  <r>
    <s v="SO-50911"/>
    <s v="PL-NTE"/>
    <x v="1"/>
    <s v="LAC-1009"/>
    <n v="1901"/>
    <d v="2026-05-31T00:00:00"/>
    <s v="In Transit"/>
    <s v="OK"/>
    <n v="11.01"/>
    <n v="98"/>
    <n v="16"/>
    <s v="OK"/>
    <n v="4"/>
    <m/>
    <n v="19.397959183673468"/>
    <n v="87.20837499999999"/>
    <n v="58.781694495980204"/>
    <n v="1"/>
    <n v="87.20837499999999"/>
    <x v="0"/>
    <x v="0"/>
    <s v="OK"/>
  </r>
  <r>
    <s v="SO-50301"/>
    <s v="PL-SUR"/>
    <x v="7"/>
    <s v="PRO-1002"/>
    <n v="2333"/>
    <d v="2026-06-03T00:00:00"/>
    <s v="In Transit"/>
    <s v="OK"/>
    <n v="9.6999999999999993"/>
    <n v="98"/>
    <n v="115"/>
    <s v="OK"/>
    <n v="1"/>
    <m/>
    <n v="23.806122448979593"/>
    <n v="94.292083333333338"/>
    <n v="72.139764996907857"/>
    <n v="1"/>
    <n v="94.292083333333338"/>
    <x v="0"/>
    <x v="0"/>
    <s v="OK"/>
  </r>
  <r>
    <s v="SO-50741"/>
    <s v="PL-NTE"/>
    <x v="2"/>
    <s v="PRO-1000"/>
    <n v="1765"/>
    <d v="2026-06-03T00:00:00"/>
    <s v="In Transit"/>
    <s v="OK"/>
    <n v="12.51"/>
    <n v="73"/>
    <n v="75"/>
    <s v="OK"/>
    <n v="1"/>
    <m/>
    <n v="24.17808219178082"/>
    <n v="92.000624999999985"/>
    <n v="73.266915732669162"/>
    <n v="1"/>
    <n v="92.000624999999985"/>
    <x v="0"/>
    <x v="0"/>
    <s v="OK"/>
  </r>
  <r>
    <s v="SO-51038"/>
    <s v="PL-SUR"/>
    <x v="4"/>
    <s v="LAC-1009"/>
    <n v="1951"/>
    <d v="2026-05-23T00:00:00"/>
    <s v="In Transit"/>
    <s v="OK"/>
    <n v="11.01"/>
    <n v="98"/>
    <n v="16"/>
    <s v="OK"/>
    <n v="12"/>
    <m/>
    <n v="19.908163265306122"/>
    <n v="89.502124999999992"/>
    <n v="60.327767470624615"/>
    <n v="1"/>
    <n v="89.502124999999992"/>
    <x v="0"/>
    <x v="1"/>
    <s v="FANTASMA"/>
  </r>
  <r>
    <s v="SO-50993"/>
    <s v="PL-NTE"/>
    <x v="2"/>
    <s v="BOT-1017"/>
    <n v="396"/>
    <d v="2026-06-03T00:00:00"/>
    <s v="Delivered"/>
    <s v="OK"/>
    <n v="3.75"/>
    <n v="41"/>
    <n v="106"/>
    <s v="OK"/>
    <n v="1"/>
    <m/>
    <n v="9.6585365853658534"/>
    <n v="6.1875"/>
    <n v="29.268292682926827"/>
    <n v="1"/>
    <n v="29.268292682926827"/>
    <x v="1"/>
    <x v="0"/>
    <s v="OK"/>
  </r>
  <r>
    <s v="SO-50204"/>
    <s v="PL-SUR"/>
    <x v="12"/>
    <s v="BOT-1015"/>
    <n v="1975"/>
    <d v="2026-06-03T00:00:00"/>
    <s v="Delivered"/>
    <s v="OK"/>
    <n v="3.64"/>
    <n v="62"/>
    <n v="114"/>
    <s v="OK"/>
    <n v="1"/>
    <m/>
    <n v="31.85483870967742"/>
    <n v="29.954166666666666"/>
    <n v="96.529814271749757"/>
    <n v="1"/>
    <n v="96.529814271749757"/>
    <x v="0"/>
    <x v="0"/>
    <s v="OK"/>
  </r>
  <r>
    <s v="SO-50219"/>
    <s v="PL-SUR"/>
    <x v="7"/>
    <s v="BOT-1005"/>
    <n v="1132"/>
    <d v="2026-06-03T00:00:00"/>
    <s v="In Transit"/>
    <s v="OK"/>
    <n v="5.49"/>
    <n v="62"/>
    <n v="91"/>
    <s v="OK"/>
    <n v="1"/>
    <m/>
    <n v="18.258064516129032"/>
    <n v="25.894500000000004"/>
    <n v="55.327468230694031"/>
    <n v="1"/>
    <n v="55.327468230694031"/>
    <x v="1"/>
    <x v="0"/>
    <s v="OK"/>
  </r>
  <r>
    <s v="SO-50508"/>
    <s v="PL-CEN"/>
    <x v="5"/>
    <s v="ABA-1019"/>
    <n v="1378"/>
    <d v="2026-06-02T00:00:00"/>
    <s v="In Transit"/>
    <s v="OK"/>
    <n v="14.82"/>
    <n v="132"/>
    <n v="373"/>
    <s v="OK"/>
    <n v="2"/>
    <m/>
    <n v="10.439393939393939"/>
    <n v="85.091499999999996"/>
    <n v="31.634527089072545"/>
    <n v="1"/>
    <n v="85.091499999999996"/>
    <x v="0"/>
    <x v="0"/>
    <s v="OK"/>
  </r>
  <r>
    <s v="SO-51039"/>
    <s v="PL-NTE"/>
    <x v="1"/>
    <s v="LAC-1009"/>
    <n v="2058"/>
    <d v="2026-05-24T00:00:00"/>
    <s v="In Transit"/>
    <s v="OK"/>
    <n v="11.01"/>
    <n v="98"/>
    <n v="16"/>
    <s v="OK"/>
    <n v="11"/>
    <m/>
    <n v="21"/>
    <n v="94.410749999999993"/>
    <n v="63.636363636363633"/>
    <n v="1"/>
    <n v="94.410749999999993"/>
    <x v="0"/>
    <x v="1"/>
    <s v="FANTASMA"/>
  </r>
  <r>
    <s v="SO-50353"/>
    <s v="PL-NTE"/>
    <x v="10"/>
    <s v="PRO-1003"/>
    <n v="1652"/>
    <d v="2026-06-02T00:00:00"/>
    <s v="In Transit"/>
    <s v="OK"/>
    <n v="13.9"/>
    <n v="69"/>
    <n v="106"/>
    <s v="OK"/>
    <n v="2"/>
    <m/>
    <n v="23.942028985507246"/>
    <n v="95.678333333333327"/>
    <n v="72.551602986385603"/>
    <n v="1"/>
    <n v="95.678333333333327"/>
    <x v="0"/>
    <x v="0"/>
    <s v="OK"/>
  </r>
  <r>
    <s v="SO-50787"/>
    <s v="PL-NTE"/>
    <x v="11"/>
    <s v="BOT-1013"/>
    <n v="1109"/>
    <d v="2026-06-02T00:00:00"/>
    <s v="In Transit"/>
    <s v="OK"/>
    <n v="4"/>
    <n v="58"/>
    <n v="112"/>
    <s v="OK"/>
    <n v="2"/>
    <m/>
    <n v="19.120689655172413"/>
    <n v="18.483333333333331"/>
    <n v="57.941483803552764"/>
    <n v="1"/>
    <n v="57.941483803552764"/>
    <x v="1"/>
    <x v="0"/>
    <s v="OK"/>
  </r>
  <r>
    <s v="SO-50198"/>
    <s v="PL-CEN"/>
    <x v="3"/>
    <s v="BOT-1018"/>
    <n v="1196"/>
    <d v="2026-06-03T00:00:00"/>
    <s v="In Transit"/>
    <s v="OK"/>
    <n v="6.23"/>
    <n v="78"/>
    <n v="99"/>
    <s v="OK"/>
    <n v="1"/>
    <m/>
    <n v="15.333333333333334"/>
    <n v="31.046166666666668"/>
    <n v="46.464646464646464"/>
    <n v="1"/>
    <n v="46.464646464646464"/>
    <x v="1"/>
    <x v="0"/>
    <s v="OK"/>
  </r>
  <r>
    <s v="SO-50200"/>
    <s v="PL-SUR"/>
    <x v="12"/>
    <s v="BOT-1016"/>
    <n v="1300"/>
    <d v="2026-06-02T00:00:00"/>
    <s v="In Transit"/>
    <s v="OK"/>
    <n v="5.53"/>
    <n v="42"/>
    <n v="114"/>
    <s v="OK"/>
    <n v="2"/>
    <m/>
    <n v="30.952380952380953"/>
    <n v="29.954166666666666"/>
    <n v="93.795093795093791"/>
    <n v="1"/>
    <n v="93.795093795093791"/>
    <x v="0"/>
    <x v="0"/>
    <s v="OK"/>
  </r>
  <r>
    <s v="SO-50729"/>
    <s v="PL-NTE"/>
    <x v="10"/>
    <s v="BEB-1004"/>
    <n v="957"/>
    <d v="2026-06-01T00:00:00"/>
    <s v="In Transit"/>
    <s v="OK"/>
    <n v="21.99"/>
    <n v="67"/>
    <n v="213"/>
    <s v="OK"/>
    <n v="3"/>
    <m/>
    <n v="14.283582089552239"/>
    <n v="87.685124999999999"/>
    <n v="43.283582089552233"/>
    <n v="1"/>
    <n v="87.685124999999999"/>
    <x v="0"/>
    <x v="0"/>
    <s v="OK"/>
  </r>
  <r>
    <s v="SO-50538"/>
    <s v="PL-NTE"/>
    <x v="11"/>
    <s v="BOT-1014"/>
    <n v="1297"/>
    <d v="2026-06-03T00:00:00"/>
    <s v="Delivered"/>
    <s v="OK"/>
    <n v="3.92"/>
    <n v="49"/>
    <n v="98"/>
    <s v="OK"/>
    <n v="1"/>
    <m/>
    <n v="26.469387755102041"/>
    <n v="21.184333333333331"/>
    <n v="80.210265924551635"/>
    <n v="1"/>
    <n v="80.210265924551635"/>
    <x v="0"/>
    <x v="0"/>
    <s v="OK"/>
  </r>
  <r>
    <s v="SO-50812"/>
    <s v="PL-SUR"/>
    <x v="0"/>
    <s v="BEB-1010"/>
    <n v="2551"/>
    <d v="2026-06-02T00:00:00"/>
    <s v="In Transit"/>
    <s v="OK"/>
    <n v="0"/>
    <n v="71"/>
    <n v="192"/>
    <s v="OK"/>
    <n v="2"/>
    <m/>
    <n v="35.929577464788736"/>
    <n v="0"/>
    <n v="108.87750746905678"/>
    <n v="2"/>
    <n v="54.43875373452839"/>
    <x v="1"/>
    <x v="0"/>
    <s v="OK"/>
  </r>
  <r>
    <s v="SO-50924"/>
    <s v="PL-SUR"/>
    <x v="0"/>
    <s v="BEB-1018"/>
    <n v="1009"/>
    <d v="2026-06-01T00:00:00"/>
    <s v="In Transit"/>
    <s v="OK"/>
    <n v="19.170000000000002"/>
    <n v="119"/>
    <n v="196"/>
    <s v="OK"/>
    <n v="3"/>
    <m/>
    <n v="8.4789915966386555"/>
    <n v="80.593875000000011"/>
    <n v="25.693913929208044"/>
    <n v="1"/>
    <n v="80.593875000000011"/>
    <x v="0"/>
    <x v="0"/>
    <s v="OK"/>
  </r>
  <r>
    <s v="SO-50319"/>
    <s v="PL-NTE"/>
    <x v="10"/>
    <s v="XXX-8314"/>
    <n v="1959"/>
    <d v="2026-05-30T00:00:00"/>
    <s v="In Transit"/>
    <s v="OK"/>
    <n v="0"/>
    <n v="0"/>
    <n v="0"/>
    <s v="HUERFANO"/>
    <n v="5"/>
    <m/>
    <s v="n/a"/>
    <s v="n/a"/>
    <s v="n/a"/>
    <s v="n/a"/>
    <s v="n/a"/>
    <x v="2"/>
    <x v="2"/>
    <s v="n/a"/>
  </r>
  <r>
    <s v="SO-50976"/>
    <s v="PL-SUR"/>
    <x v="7"/>
    <s v="ABA-1012"/>
    <n v="592"/>
    <d v="2026-06-03T00:00:00"/>
    <s v="In Transit"/>
    <s v="OK"/>
    <n v="15.14"/>
    <n v="117"/>
    <n v="484"/>
    <s v="OK"/>
    <n v="1"/>
    <m/>
    <n v="5.0598290598290596"/>
    <n v="37.345333333333336"/>
    <n v="15.332815332815333"/>
    <n v="1"/>
    <n v="37.345333333333336"/>
    <x v="1"/>
    <x v="0"/>
    <s v="OK"/>
  </r>
  <r>
    <s v="SO-50504"/>
    <s v="PL-SUR"/>
    <x v="0"/>
    <s v="BOT-1012"/>
    <n v="1989"/>
    <d v="2026-06-02T00:00:00"/>
    <s v="In Transit"/>
    <s v="OK"/>
    <n v="4.26"/>
    <n v="68"/>
    <n v="117"/>
    <s v="OK"/>
    <n v="2"/>
    <m/>
    <n v="29.25"/>
    <n v="35.304749999999999"/>
    <n v="88.63636363636364"/>
    <n v="1"/>
    <n v="88.63636363636364"/>
    <x v="0"/>
    <x v="0"/>
    <s v="OK"/>
  </r>
  <r>
    <s v="SO-50997"/>
    <s v="PL-SUR"/>
    <x v="7"/>
    <s v="PRO-1005"/>
    <n v="1297"/>
    <d v="2026-06-03T00:00:00"/>
    <s v="In Transit"/>
    <s v="OK"/>
    <n v="11.02"/>
    <n v="69"/>
    <n v="86"/>
    <s v="OK"/>
    <n v="1"/>
    <m/>
    <n v="18.797101449275363"/>
    <n v="59.553916666666659"/>
    <n v="56.960913482652622"/>
    <n v="1"/>
    <n v="59.553916666666659"/>
    <x v="1"/>
    <x v="0"/>
    <s v="OK"/>
  </r>
  <r>
    <s v="SO-50683"/>
    <s v="PL-SUR"/>
    <x v="6"/>
    <s v="BOT-1012"/>
    <n v="1917"/>
    <d v="2026-05-30T00:00:00"/>
    <s v="In Transit"/>
    <s v="OK"/>
    <n v="4.26"/>
    <n v="68"/>
    <n v="117"/>
    <s v="OK"/>
    <n v="5"/>
    <m/>
    <n v="28.191176470588236"/>
    <n v="34.026749999999993"/>
    <n v="85.427807486631011"/>
    <n v="1"/>
    <n v="85.427807486631011"/>
    <x v="0"/>
    <x v="0"/>
    <s v="OK"/>
  </r>
  <r>
    <s v="SO-50336"/>
    <s v="PL-SUR"/>
    <x v="12"/>
    <s v="BOT-1010"/>
    <n v="1151"/>
    <d v="2026-06-03T00:00:00"/>
    <s v="In Transit"/>
    <s v="OK"/>
    <n v="5.09"/>
    <n v="40"/>
    <n v="90"/>
    <s v="OK"/>
    <n v="1"/>
    <m/>
    <n v="28.774999999999999"/>
    <n v="24.410791666666668"/>
    <n v="87.196969696969688"/>
    <n v="1"/>
    <n v="87.196969696969688"/>
    <x v="0"/>
    <x v="0"/>
    <s v="OK"/>
  </r>
  <r>
    <s v="SO-50742"/>
    <s v="PL-NTE"/>
    <x v="1"/>
    <s v="ABA-1018"/>
    <n v="1769"/>
    <d v="2026-05-31T00:00:00"/>
    <s v="In Transit"/>
    <s v="OK"/>
    <n v="11.43"/>
    <n v="128"/>
    <n v="530"/>
    <s v="OK"/>
    <n v="4"/>
    <m/>
    <n v="13.8203125"/>
    <n v="84.24862499999999"/>
    <n v="41.879734848484851"/>
    <n v="1"/>
    <n v="84.24862499999999"/>
    <x v="0"/>
    <x v="0"/>
    <s v="OK"/>
  </r>
  <r>
    <s v="SO-50690"/>
    <s v="PL-NTE"/>
    <x v="11"/>
    <s v="PRO-1012"/>
    <n v="2962"/>
    <d v="2026-06-02T00:00:00"/>
    <s v="In Transit"/>
    <s v="OK"/>
    <n v="6.87"/>
    <n v="101"/>
    <n v="62"/>
    <s v="OK"/>
    <n v="2"/>
    <m/>
    <n v="29.326732673267326"/>
    <n v="84.787249999999986"/>
    <n v="88.868886888688863"/>
    <n v="1"/>
    <n v="88.868886888688863"/>
    <x v="0"/>
    <x v="0"/>
    <s v="OK"/>
  </r>
  <r>
    <s v="SO-50640"/>
    <s v="PL-NTE"/>
    <x v="11"/>
    <s v="BEB-1009"/>
    <n v="329"/>
    <d v="2026-06-02T00:00:00"/>
    <s v="In Transit"/>
    <s v="OK"/>
    <n v="18.170000000000002"/>
    <n v="61"/>
    <n v="188"/>
    <s v="OK"/>
    <n v="2"/>
    <m/>
    <n v="5.3934426229508201"/>
    <n v="24.908041666666666"/>
    <n v="16.343765524093396"/>
    <n v="1"/>
    <n v="24.908041666666666"/>
    <x v="1"/>
    <x v="0"/>
    <s v="OK"/>
  </r>
  <r>
    <s v="SO-50914"/>
    <s v="PL-CEN"/>
    <x v="8"/>
    <s v="BOT-1017"/>
    <n v="556"/>
    <d v="2026-06-03T00:00:00"/>
    <s v="Delivered"/>
    <s v="OK"/>
    <n v="3.75"/>
    <n v="41"/>
    <n v="106"/>
    <s v="OK"/>
    <n v="1"/>
    <m/>
    <n v="13.560975609756097"/>
    <n v="8.6875"/>
    <n v="41.093865484109386"/>
    <n v="1"/>
    <n v="41.093865484109386"/>
    <x v="1"/>
    <x v="0"/>
    <s v="OK"/>
  </r>
  <r>
    <s v="SO-50212"/>
    <s v="PL-CEN"/>
    <x v="5"/>
    <s v="BEB-1000"/>
    <n v="1227"/>
    <d v="2026-06-02T00:00:00"/>
    <s v="In Transit"/>
    <s v="OK"/>
    <n v="16.489999999999998"/>
    <n v="102"/>
    <n v="315"/>
    <s v="OK"/>
    <n v="2"/>
    <m/>
    <n v="12.029411764705882"/>
    <n v="84.305125000000004"/>
    <n v="36.452762923351159"/>
    <n v="1"/>
    <n v="84.305125000000004"/>
    <x v="0"/>
    <x v="0"/>
    <s v="OK"/>
  </r>
  <r>
    <s v="SO-51087"/>
    <s v="PL-CEN"/>
    <x v="5"/>
    <s v="LAC-1004"/>
    <n v="510"/>
    <d v="2026-06-02T00:00:00"/>
    <s v="In Transit"/>
    <s v="OK"/>
    <n v="11.45"/>
    <n v="93"/>
    <n v="16"/>
    <s v="OK"/>
    <n v="2"/>
    <m/>
    <n v="5.4838709677419351"/>
    <n v="24.331249999999997"/>
    <n v="16.617790811339198"/>
    <n v="1"/>
    <n v="24.331249999999997"/>
    <x v="1"/>
    <x v="0"/>
    <s v="OK"/>
  </r>
  <r>
    <s v="SO-50189"/>
    <s v="PL-NTE"/>
    <x v="14"/>
    <s v="PRO-1006"/>
    <n v="1750"/>
    <d v="2026-06-03T00:00:00"/>
    <s v="Delivered"/>
    <s v="OK"/>
    <n v="12.09"/>
    <n v="80"/>
    <n v="138"/>
    <s v="OK"/>
    <n v="1"/>
    <m/>
    <n v="21.875"/>
    <n v="88.15625"/>
    <n v="66.287878787878782"/>
    <n v="1"/>
    <n v="88.15625"/>
    <x v="0"/>
    <x v="0"/>
    <s v="OK"/>
  </r>
  <r>
    <s v="SO-51001"/>
    <s v="PL-CEN"/>
    <x v="5"/>
    <s v="LAC-1013"/>
    <n v="811"/>
    <d v="2026-05-25T00:00:00"/>
    <s v="In Transit"/>
    <s v="OK"/>
    <n v="8.32"/>
    <n v="98"/>
    <n v="16"/>
    <s v="OK"/>
    <n v="10"/>
    <m/>
    <n v="8.2755102040816322"/>
    <n v="28.114666666666672"/>
    <n v="25.077303648732219"/>
    <n v="1"/>
    <n v="28.114666666666672"/>
    <x v="1"/>
    <x v="1"/>
    <s v="FANTASMA"/>
  </r>
  <r>
    <s v="SO-50780"/>
    <s v="PL-CEN"/>
    <x v="9"/>
    <s v="LAC-1005"/>
    <n v="2545"/>
    <d v="2026-06-03T00:00:00"/>
    <s v="In Transit"/>
    <s v="OK"/>
    <n v="8.94"/>
    <n v="100"/>
    <n v="17"/>
    <s v="OK"/>
    <n v="1"/>
    <m/>
    <n v="25.45"/>
    <n v="94.801249999999996"/>
    <n v="77.121212121212125"/>
    <n v="1"/>
    <n v="94.801249999999996"/>
    <x v="0"/>
    <x v="0"/>
    <s v="OK"/>
  </r>
  <r>
    <s v="SO-51060"/>
    <s v="PL-CEN"/>
    <x v="8"/>
    <s v="LAC-1014"/>
    <n v="2557"/>
    <d v="2026-06-02T00:00:00"/>
    <s v="In Transit"/>
    <s v="OK"/>
    <n v="8.0500000000000007"/>
    <n v="147"/>
    <n v="28"/>
    <s v="OK"/>
    <n v="2"/>
    <m/>
    <n v="17.394557823129251"/>
    <n v="85.766041666666666"/>
    <n v="52.710781282209851"/>
    <n v="1"/>
    <n v="85.766041666666666"/>
    <x v="0"/>
    <x v="0"/>
    <s v="OK"/>
  </r>
  <r>
    <s v="SO-50701"/>
    <s v="PL-CEN"/>
    <x v="3"/>
    <s v="LAC-1002"/>
    <n v="2561"/>
    <d v="2026-06-03T00:00:00"/>
    <s v="In Transit"/>
    <s v="OK"/>
    <n v="7.71"/>
    <n v="101"/>
    <n v="23"/>
    <s v="OK"/>
    <n v="1"/>
    <m/>
    <n v="25.356435643564357"/>
    <n v="82.272125000000003"/>
    <n v="76.837683768376834"/>
    <n v="1"/>
    <n v="82.272125000000003"/>
    <x v="0"/>
    <x v="0"/>
    <s v="OK"/>
  </r>
  <r>
    <s v="SO-50600"/>
    <s v="PL-SUR"/>
    <x v="0"/>
    <s v="BOT-1020"/>
    <n v="2010"/>
    <d v="2026-06-03T00:00:00"/>
    <s v="In Transit"/>
    <s v="OK"/>
    <n v="6.27"/>
    <n v="67"/>
    <n v="90"/>
    <s v="OK"/>
    <n v="1"/>
    <m/>
    <n v="30"/>
    <n v="52.511249999999997"/>
    <n v="90.909090909090907"/>
    <n v="1"/>
    <n v="90.909090909090907"/>
    <x v="0"/>
    <x v="0"/>
    <s v="OK"/>
  </r>
  <r>
    <s v="SO-50229"/>
    <s v="PL-NTE"/>
    <x v="10"/>
    <s v="BOT-1006"/>
    <n v="1104"/>
    <d v="2026-06-02T00:00:00"/>
    <s v="In Transit"/>
    <s v="OK"/>
    <n v="4.24"/>
    <n v="41"/>
    <n v="111"/>
    <s v="OK"/>
    <n v="2"/>
    <m/>
    <n v="26.926829268292682"/>
    <n v="19.503999999999998"/>
    <n v="81.596452328159643"/>
    <n v="1"/>
    <n v="81.596452328159643"/>
    <x v="0"/>
    <x v="0"/>
    <s v="OK"/>
  </r>
  <r>
    <s v="SO-50284"/>
    <s v="PL-SUR"/>
    <x v="0"/>
    <s v="LAC-1007"/>
    <n v="1981"/>
    <d v="2026-06-02T00:00:00"/>
    <s v="In Transit"/>
    <s v="OK"/>
    <n v="10.37"/>
    <n v="100"/>
    <n v="24"/>
    <s v="OK"/>
    <n v="2"/>
    <m/>
    <n v="19.809999999999999"/>
    <n v="85.59570833333332"/>
    <n v="60.030303030303024"/>
    <n v="1"/>
    <n v="85.59570833333332"/>
    <x v="0"/>
    <x v="0"/>
    <s v="OK"/>
  </r>
  <r>
    <s v="SO-50187"/>
    <s v="PL-CEN"/>
    <x v="8"/>
    <s v="ABA-1009"/>
    <n v="1573"/>
    <d v="2026-06-03T00:00:00"/>
    <s v="In Transit"/>
    <s v="OK"/>
    <n v="14.79"/>
    <n v="124"/>
    <n v="423"/>
    <s v="OK"/>
    <n v="1"/>
    <m/>
    <n v="12.685483870967742"/>
    <n v="96.93612499999999"/>
    <n v="38.44086021505376"/>
    <n v="1"/>
    <n v="96.93612499999999"/>
    <x v="0"/>
    <x v="0"/>
    <s v="OK"/>
  </r>
  <r>
    <s v="SO-50999"/>
    <s v="PL-SUR"/>
    <x v="7"/>
    <s v="ABA-1003"/>
    <n v="1415"/>
    <d v="2026-06-03T00:00:00"/>
    <s v="In Transit"/>
    <s v="OK"/>
    <n v="8.67"/>
    <n v="124"/>
    <n v="512"/>
    <s v="OK"/>
    <n v="1"/>
    <m/>
    <n v="11.411290322580646"/>
    <n v="51.116874999999993"/>
    <n v="34.579667644183779"/>
    <n v="1"/>
    <n v="51.116874999999993"/>
    <x v="1"/>
    <x v="0"/>
    <s v="OK"/>
  </r>
  <r>
    <s v="SO-50112"/>
    <s v="PL-NTE"/>
    <x v="10"/>
    <s v="PRO-1000"/>
    <n v="687"/>
    <d v="2026-06-02T00:00:00"/>
    <s v="In Transit"/>
    <s v="OK"/>
    <n v="12.51"/>
    <n v="73"/>
    <n v="75"/>
    <s v="OK"/>
    <n v="2"/>
    <m/>
    <n v="9.4109589041095898"/>
    <n v="35.809874999999998"/>
    <n v="28.518057285180575"/>
    <n v="1"/>
    <n v="35.809874999999998"/>
    <x v="1"/>
    <x v="0"/>
    <s v="OK"/>
  </r>
  <r>
    <s v="SO-50438"/>
    <s v="PL-CEN"/>
    <x v="9"/>
    <s v="BOT-1021"/>
    <n v="1457"/>
    <d v="2026-06-03T00:00:00"/>
    <s v="In Transit"/>
    <s v="OK"/>
    <n v="5.04"/>
    <n v="47"/>
    <n v="96"/>
    <s v="OK"/>
    <n v="1"/>
    <m/>
    <n v="31"/>
    <n v="30.596999999999998"/>
    <n v="93.939393939393938"/>
    <n v="1"/>
    <n v="93.939393939393938"/>
    <x v="0"/>
    <x v="0"/>
    <s v="OK"/>
  </r>
  <r>
    <s v="SO-50400"/>
    <s v="PL-SUR"/>
    <x v="4"/>
    <s v="BEB-1002"/>
    <n v="1257"/>
    <d v="2026-06-03T00:00:00"/>
    <s v="In Transit"/>
    <s v="OK"/>
    <n v="0"/>
    <n v="69"/>
    <n v="291"/>
    <s v="OK"/>
    <n v="1"/>
    <m/>
    <n v="18.217391304347824"/>
    <n v="0"/>
    <n v="55.204216073781289"/>
    <n v="1"/>
    <n v="55.204216073781289"/>
    <x v="1"/>
    <x v="0"/>
    <s v="OK"/>
  </r>
  <r>
    <s v="SO-50141"/>
    <s v="PL-NTE"/>
    <x v="11"/>
    <s v="BEB-1005"/>
    <n v="935"/>
    <d v="2026-06-02T00:00:00"/>
    <s v="In Transit"/>
    <s v="OK"/>
    <n v="14.2"/>
    <n v="95"/>
    <n v="277"/>
    <s v="OK"/>
    <n v="2"/>
    <m/>
    <n v="9.8421052631578956"/>
    <n v="55.320833333333333"/>
    <n v="29.824561403508774"/>
    <n v="1"/>
    <n v="55.320833333333333"/>
    <x v="1"/>
    <x v="0"/>
    <s v="OK"/>
  </r>
  <r>
    <s v="SO-51093"/>
    <s v="PL-NTE"/>
    <x v="14"/>
    <s v="ABA-1019"/>
    <n v="797"/>
    <d v="2026-05-28T00:00:00"/>
    <s v="In Transit"/>
    <s v="OK"/>
    <n v="14.82"/>
    <n v="132"/>
    <n v="373"/>
    <s v="OK"/>
    <n v="7"/>
    <m/>
    <n v="6.0378787878787881"/>
    <n v="49.214750000000002"/>
    <n v="18.296602387511481"/>
    <n v="1"/>
    <n v="49.214750000000002"/>
    <x v="1"/>
    <x v="0"/>
    <s v="FANTASMA"/>
  </r>
  <r>
    <s v="SO-50048"/>
    <s v="PL-CEN"/>
    <x v="9"/>
    <s v="ABA-1006"/>
    <n v="1003"/>
    <d v="2026-06-03T00:00:00"/>
    <s v="In Transit"/>
    <s v="OK"/>
    <n v="12.39"/>
    <n v="134"/>
    <n v="446"/>
    <s v="OK"/>
    <n v="1"/>
    <m/>
    <n v="7.4850746268656714"/>
    <n v="51.779874999999997"/>
    <n v="22.682044323835367"/>
    <n v="1"/>
    <n v="51.779874999999997"/>
    <x v="1"/>
    <x v="0"/>
    <s v="OK"/>
  </r>
  <r>
    <s v="SO-50427"/>
    <s v="PL-NTE"/>
    <x v="10"/>
    <s v="BEB-1001"/>
    <n v="1096"/>
    <d v="2026-06-02T00:00:00"/>
    <s v="In Transit"/>
    <s v="OK"/>
    <n v="19.18"/>
    <n v="95"/>
    <n v="208"/>
    <s v="OK"/>
    <n v="2"/>
    <m/>
    <n v="11.536842105263158"/>
    <n v="87.588666666666654"/>
    <n v="34.960127591706538"/>
    <n v="1"/>
    <n v="87.588666666666654"/>
    <x v="0"/>
    <x v="0"/>
    <s v="OK"/>
  </r>
  <r>
    <s v="SO-51094"/>
    <s v="PL-CEN"/>
    <x v="5"/>
    <s v="BOT-1012"/>
    <n v="1928"/>
    <d v="2026-05-27T00:00:00"/>
    <s v="In Transit"/>
    <s v="OK"/>
    <n v="4.26"/>
    <n v="68"/>
    <n v="117"/>
    <s v="OK"/>
    <n v="8"/>
    <m/>
    <n v="28.352941176470587"/>
    <n v="34.221999999999994"/>
    <n v="85.918003565062378"/>
    <n v="1"/>
    <n v="85.918003565062378"/>
    <x v="0"/>
    <x v="0"/>
    <s v="FANTASMA"/>
  </r>
  <r>
    <s v="SO-50563"/>
    <s v="PL-CEN"/>
    <x v="13"/>
    <s v="ABA-1000"/>
    <n v="1296"/>
    <d v="2026-06-03T00:00:00"/>
    <s v="Delivered"/>
    <s v="OK"/>
    <n v="15.2"/>
    <n v="135"/>
    <n v="361"/>
    <s v="OK"/>
    <n v="1"/>
    <m/>
    <n v="9.6"/>
    <n v="82.080000000000013"/>
    <n v="29.09090909090909"/>
    <n v="1"/>
    <n v="82.080000000000013"/>
    <x v="0"/>
    <x v="0"/>
    <s v="OK"/>
  </r>
  <r>
    <s v="SO-50450"/>
    <s v="PL-CEN"/>
    <x v="8"/>
    <s v="ABA-1013"/>
    <n v="1683"/>
    <d v="2026-06-03T00:00:00"/>
    <s v="In Transit"/>
    <s v="OK"/>
    <n v="12.02"/>
    <n v="75"/>
    <n v="402"/>
    <s v="OK"/>
    <n v="1"/>
    <m/>
    <n v="22.44"/>
    <n v="84.29025"/>
    <n v="68"/>
    <n v="1"/>
    <n v="84.29025"/>
    <x v="0"/>
    <x v="0"/>
    <s v="OK"/>
  </r>
  <r>
    <s v="SO-50420"/>
    <s v="PL-CEN"/>
    <x v="9"/>
    <s v="BOT-1013"/>
    <n v="1623"/>
    <d v="2026-06-02T00:00:00"/>
    <s v="In Transit"/>
    <s v="OK"/>
    <n v="4"/>
    <n v="58"/>
    <n v="112"/>
    <s v="OK"/>
    <n v="2"/>
    <m/>
    <n v="27.982758620689655"/>
    <n v="27.05"/>
    <n v="84.796238244514115"/>
    <n v="1"/>
    <n v="84.796238244514115"/>
    <x v="0"/>
    <x v="0"/>
    <s v="OK"/>
  </r>
  <r>
    <s v="SO-50069"/>
    <s v="PL-CEN"/>
    <x v="5"/>
    <s v="BEB-1007"/>
    <n v="1524"/>
    <d v="2026-06-03T00:00:00"/>
    <s v="In Transit"/>
    <s v="OK"/>
    <n v="13.67"/>
    <n v="78"/>
    <n v="247"/>
    <s v="OK"/>
    <n v="1"/>
    <m/>
    <n v="19.53846153846154"/>
    <n v="86.80449999999999"/>
    <n v="59.207459207459209"/>
    <n v="1"/>
    <n v="86.80449999999999"/>
    <x v="0"/>
    <x v="0"/>
    <s v="OK"/>
  </r>
  <r>
    <s v="SO-50653"/>
    <s v="PL-SUR"/>
    <x v="0"/>
    <s v="PRO-1000"/>
    <n v="1778"/>
    <d v="2026-06-01T00:00:00"/>
    <s v="In Transit"/>
    <s v="OK"/>
    <n v="12.51"/>
    <n v="73"/>
    <n v="75"/>
    <s v="OK"/>
    <n v="3"/>
    <m/>
    <n v="24.356164383561644"/>
    <n v="92.678249999999991"/>
    <n v="73.80655873806559"/>
    <n v="1"/>
    <n v="92.678249999999991"/>
    <x v="0"/>
    <x v="0"/>
    <s v="OK"/>
  </r>
  <r>
    <s v="SO-50942"/>
    <s v="PL-CEN"/>
    <x v="9"/>
    <s v="LAC-1010"/>
    <n v="3427"/>
    <d v="2026-06-02T00:00:00"/>
    <s v="In Transit"/>
    <s v="OK"/>
    <n v="6.24"/>
    <n v="146"/>
    <n v="24"/>
    <s v="OK"/>
    <n v="2"/>
    <m/>
    <n v="23.472602739726028"/>
    <n v="89.102000000000004"/>
    <n v="71.129099211290992"/>
    <n v="1"/>
    <n v="89.102000000000004"/>
    <x v="0"/>
    <x v="0"/>
    <s v="OK"/>
  </r>
  <r>
    <s v="SO-50246"/>
    <s v="PL-SUR"/>
    <x v="4"/>
    <s v="LAC-1008"/>
    <n v="1919"/>
    <d v="2026-06-02T00:00:00"/>
    <s v="In Transit"/>
    <s v="OK"/>
    <n v="9.8000000000000007"/>
    <n v="83"/>
    <n v="15"/>
    <s v="OK"/>
    <n v="2"/>
    <m/>
    <n v="23.120481927710845"/>
    <n v="78.359166666666667"/>
    <n v="70.062066447608615"/>
    <n v="1"/>
    <n v="78.359166666666667"/>
    <x v="0"/>
    <x v="0"/>
    <s v="OK"/>
  </r>
  <r>
    <s v="SO-50003"/>
    <s v="PL-CEN"/>
    <x v="5"/>
    <s v="ABA-1013"/>
    <n v="1603"/>
    <d v="2026-06-03T00:00:00"/>
    <s v="In Transit"/>
    <s v="OK"/>
    <n v="12.02"/>
    <n v="75"/>
    <n v="402"/>
    <s v="OK"/>
    <n v="1"/>
    <m/>
    <n v="21.373333333333335"/>
    <n v="80.283583333333326"/>
    <n v="64.767676767676775"/>
    <n v="1"/>
    <n v="80.283583333333326"/>
    <x v="0"/>
    <x v="0"/>
    <s v="OK"/>
  </r>
  <r>
    <s v="SO-50695"/>
    <s v="PL-SUR"/>
    <x v="4"/>
    <s v="LAC-1004"/>
    <n v="1975"/>
    <d v="2026-06-03T00:00:00"/>
    <s v="In Transit"/>
    <s v="OK"/>
    <n v="11.45"/>
    <n v="93"/>
    <n v="16"/>
    <s v="OK"/>
    <n v="1"/>
    <m/>
    <n v="21.236559139784948"/>
    <n v="94.223958333333329"/>
    <n v="64.353209514499838"/>
    <n v="1"/>
    <n v="94.223958333333329"/>
    <x v="0"/>
    <x v="0"/>
    <s v="OK"/>
  </r>
  <r>
    <s v="SO-50922"/>
    <s v="PL-CEN"/>
    <x v="13"/>
    <s v="BOT-1022"/>
    <n v="685"/>
    <d v="2026-06-03T00:00:00"/>
    <s v="In Transit"/>
    <s v="OK"/>
    <n v="3.48"/>
    <n v="55"/>
    <n v="118"/>
    <s v="OK"/>
    <n v="1"/>
    <m/>
    <n v="12.454545454545455"/>
    <n v="9.932500000000001"/>
    <n v="37.741046831955927"/>
    <n v="1"/>
    <n v="37.741046831955927"/>
    <x v="1"/>
    <x v="0"/>
    <s v="OK"/>
  </r>
  <r>
    <s v="SO-50687"/>
    <s v="PL-SUR"/>
    <x v="12"/>
    <s v="BOT-1021"/>
    <n v="753"/>
    <d v="2026-06-02T00:00:00"/>
    <s v="In Transit"/>
    <s v="OK"/>
    <n v="5.04"/>
    <n v="47"/>
    <n v="96"/>
    <s v="OK"/>
    <n v="2"/>
    <m/>
    <n v="16.021276595744681"/>
    <n v="15.812999999999999"/>
    <n v="48.549323017408128"/>
    <n v="1"/>
    <n v="48.549323017408128"/>
    <x v="1"/>
    <x v="0"/>
    <s v="OK"/>
  </r>
  <r>
    <s v="SO-50973"/>
    <s v="PL-SUR"/>
    <x v="6"/>
    <s v="BOT-1014"/>
    <n v="1447"/>
    <d v="2026-05-31T00:00:00"/>
    <s v="In Transit"/>
    <s v="OK"/>
    <n v="3.92"/>
    <n v="49"/>
    <n v="98"/>
    <s v="OK"/>
    <n v="4"/>
    <m/>
    <n v="29.530612244897959"/>
    <n v="23.634333333333331"/>
    <n v="89.486703772418068"/>
    <n v="1"/>
    <n v="89.486703772418068"/>
    <x v="0"/>
    <x v="0"/>
    <s v="OK"/>
  </r>
  <r>
    <s v="SO-50885"/>
    <s v="PL-NTE"/>
    <x v="10"/>
    <s v="BOT-1019"/>
    <n v="2198"/>
    <d v="2026-06-03T00:00:00"/>
    <s v="In Transit"/>
    <s v="OK"/>
    <n v="3.44"/>
    <n v="85"/>
    <n v="102"/>
    <s v="OK"/>
    <n v="1"/>
    <m/>
    <n v="25.858823529411765"/>
    <n v="31.504666666666665"/>
    <n v="78.360071301247771"/>
    <n v="1"/>
    <n v="78.360071301247771"/>
    <x v="0"/>
    <x v="0"/>
    <s v="OK"/>
  </r>
  <r>
    <s v="SO-51002"/>
    <s v="PL-NTE"/>
    <x v="11"/>
    <s v="LAC-1006"/>
    <n v="1403"/>
    <d v="2026-05-21T00:00:00"/>
    <s v="Delivered"/>
    <s v="OK"/>
    <n v="10.029999999999999"/>
    <n v="126"/>
    <n v="17"/>
    <s v="OK"/>
    <n v="14"/>
    <m/>
    <n v="11.134920634920634"/>
    <n v="58.633708333333324"/>
    <n v="33.742183742183741"/>
    <n v="1"/>
    <n v="58.633708333333324"/>
    <x v="1"/>
    <x v="1"/>
    <s v="OK"/>
  </r>
  <r>
    <s v="SO-50669"/>
    <s v="PL-SUR"/>
    <x v="7"/>
    <s v="BEB-1012"/>
    <n v="1364"/>
    <d v="2026-06-03T00:00:00"/>
    <s v="Delivered"/>
    <s v="OK"/>
    <n v="15.66"/>
    <n v="72"/>
    <n v="306"/>
    <s v="OK"/>
    <n v="1"/>
    <m/>
    <n v="18.944444444444443"/>
    <n v="89.001000000000005"/>
    <n v="57.407407407407405"/>
    <n v="1"/>
    <n v="89.001000000000005"/>
    <x v="0"/>
    <x v="0"/>
    <s v="OK"/>
  </r>
  <r>
    <s v="SO-50898"/>
    <s v="PL-SUR"/>
    <x v="6"/>
    <s v="BEB-1009"/>
    <n v="316"/>
    <d v="2026-05-30T00:00:00"/>
    <s v="In Transit"/>
    <s v="OK"/>
    <n v="18.170000000000002"/>
    <n v="61"/>
    <n v="188"/>
    <s v="OK"/>
    <n v="5"/>
    <m/>
    <n v="5.1803278688524594"/>
    <n v="23.923833333333334"/>
    <n v="15.697963238946846"/>
    <n v="1"/>
    <n v="23.923833333333334"/>
    <x v="1"/>
    <x v="0"/>
    <s v="OK"/>
  </r>
  <r>
    <s v="SO-50545"/>
    <s v="PL-NTE"/>
    <x v="14"/>
    <s v="ABA-1006"/>
    <n v="1003"/>
    <d v="2026-06-03T00:00:00"/>
    <s v="In Transit"/>
    <s v="OK"/>
    <n v="12.39"/>
    <n v="134"/>
    <n v="446"/>
    <s v="OK"/>
    <n v="1"/>
    <m/>
    <n v="7.4850746268656714"/>
    <n v="51.779874999999997"/>
    <n v="22.682044323835367"/>
    <n v="1"/>
    <n v="51.779874999999997"/>
    <x v="1"/>
    <x v="0"/>
    <s v="OK"/>
  </r>
  <r>
    <s v="SO-50013"/>
    <s v="PL-NTE"/>
    <x v="1"/>
    <s v="BOT-1006"/>
    <n v="1200"/>
    <d v="2026-05-31T00:00:00"/>
    <s v="In Transit"/>
    <s v="OK"/>
    <n v="4.24"/>
    <n v="41"/>
    <n v="111"/>
    <s v="OK"/>
    <n v="4"/>
    <m/>
    <n v="29.26829268292683"/>
    <n v="21.2"/>
    <n v="88.69179600886919"/>
    <n v="1"/>
    <n v="88.69179600886919"/>
    <x v="0"/>
    <x v="0"/>
    <s v="OK"/>
  </r>
  <r>
    <s v="SO-50345"/>
    <s v="PL-CEN"/>
    <x v="3"/>
    <s v="PRO-1002"/>
    <n v="1432"/>
    <d v="2026-06-01T00:00:00"/>
    <s v="In Transit"/>
    <s v="OK"/>
    <n v="9.6999999999999993"/>
    <n v="98"/>
    <n v="115"/>
    <s v="OK"/>
    <n v="3"/>
    <m/>
    <n v="14.612244897959183"/>
    <n v="57.876666666666665"/>
    <n v="44.279529993815707"/>
    <n v="1"/>
    <n v="57.876666666666665"/>
    <x v="1"/>
    <x v="0"/>
    <s v="OK"/>
  </r>
  <r>
    <s v="SO-50245"/>
    <s v="PL-SUR"/>
    <x v="6"/>
    <s v="BEB-1013"/>
    <n v="1123"/>
    <d v="2026-06-03T00:00:00"/>
    <s v="In Transit"/>
    <s v="OK"/>
    <n v="17.28"/>
    <n v="97"/>
    <n v="271"/>
    <s v="OK"/>
    <n v="1"/>
    <m/>
    <n v="11.577319587628866"/>
    <n v="80.856000000000009"/>
    <n v="35.082786629178379"/>
    <n v="1"/>
    <n v="80.856000000000009"/>
    <x v="0"/>
    <x v="0"/>
    <s v="OK"/>
  </r>
  <r>
    <s v="SO-50721"/>
    <s v="PL-SUR"/>
    <x v="7"/>
    <s v="PRO-1011"/>
    <n v="1294"/>
    <d v="2026-06-03T00:00:00"/>
    <s v="In Transit"/>
    <s v="OK"/>
    <n v="4.3600000000000003"/>
    <n v="88"/>
    <n v="108"/>
    <s v="OK"/>
    <n v="1"/>
    <m/>
    <n v="14.704545454545455"/>
    <n v="23.507666666666669"/>
    <n v="44.559228650137747"/>
    <n v="1"/>
    <n v="44.559228650137747"/>
    <x v="1"/>
    <x v="0"/>
    <s v="OK"/>
  </r>
  <r>
    <s v="SO-50371"/>
    <s v="PL-CEN"/>
    <x v="3"/>
    <s v="ABA-1004"/>
    <n v="1595"/>
    <d v="2026-06-03T00:00:00"/>
    <s v="In Transit"/>
    <s v="OK"/>
    <n v="12.85"/>
    <n v="91"/>
    <n v="297"/>
    <s v="OK"/>
    <n v="1"/>
    <m/>
    <n v="17.527472527472529"/>
    <n v="85.398958333333326"/>
    <n v="53.113553113553117"/>
    <n v="1"/>
    <n v="85.398958333333326"/>
    <x v="0"/>
    <x v="0"/>
    <s v="OK"/>
  </r>
  <r>
    <s v="SO-50807"/>
    <s v="PL-CEN"/>
    <x v="13"/>
    <s v="PRO-1001"/>
    <n v="2394"/>
    <d v="2026-06-03T00:00:00"/>
    <s v="In Transit"/>
    <s v="OK"/>
    <n v="9.57"/>
    <n v="92"/>
    <n v="122"/>
    <s v="OK"/>
    <n v="1"/>
    <m/>
    <n v="26.021739130434781"/>
    <n v="95.460750000000004"/>
    <n v="78.853754940711468"/>
    <n v="1"/>
    <n v="95.460750000000004"/>
    <x v="0"/>
    <x v="0"/>
    <s v="OK"/>
  </r>
  <r>
    <s v="SO-50481"/>
    <s v="PL-SUR"/>
    <x v="7"/>
    <s v="BEB-1019"/>
    <n v="1318"/>
    <d v="2026-06-03T00:00:00"/>
    <s v="In Transit"/>
    <s v="OK"/>
    <n v="14.35"/>
    <n v="70"/>
    <n v="240"/>
    <s v="OK"/>
    <n v="1"/>
    <m/>
    <n v="18.828571428571429"/>
    <n v="78.805416666666659"/>
    <n v="57.056277056277061"/>
    <n v="1"/>
    <n v="78.805416666666659"/>
    <x v="0"/>
    <x v="0"/>
    <s v="OK"/>
  </r>
  <r>
    <s v="SO-50501"/>
    <s v="PL-SUR"/>
    <x v="0"/>
    <s v="ABA-1009"/>
    <n v="1447"/>
    <d v="2026-05-31T00:00:00"/>
    <s v="In Transit"/>
    <s v="OK"/>
    <n v="14.79"/>
    <n v="124"/>
    <n v="423"/>
    <s v="OK"/>
    <n v="4"/>
    <m/>
    <n v="11.669354838709678"/>
    <n v="89.171374999999983"/>
    <n v="35.36168132942327"/>
    <n v="1"/>
    <n v="89.171374999999983"/>
    <x v="0"/>
    <x v="0"/>
    <s v="OK"/>
  </r>
  <r>
    <s v="SO-50650"/>
    <s v="PL-CEN"/>
    <x v="13"/>
    <s v="ABA-1009"/>
    <n v="1501"/>
    <d v="2026-06-03T00:00:00"/>
    <s v="Delivered"/>
    <s v="OK"/>
    <n v="14.79"/>
    <n v="124"/>
    <n v="423"/>
    <s v="OK"/>
    <n v="1"/>
    <m/>
    <n v="12.10483870967742"/>
    <n v="92.499124999999992"/>
    <n v="36.681329423264906"/>
    <n v="1"/>
    <n v="92.499124999999992"/>
    <x v="0"/>
    <x v="0"/>
    <s v="OK"/>
  </r>
  <r>
    <s v="SO-51076"/>
    <s v="PL-SUR"/>
    <x v="7"/>
    <s v="LAC-1013"/>
    <n v="582"/>
    <d v="2026-06-02T00:00:00"/>
    <s v="In Transit"/>
    <s v="OK"/>
    <n v="8.32"/>
    <n v="98"/>
    <n v="16"/>
    <s v="OK"/>
    <n v="2"/>
    <m/>
    <n v="5.9387755102040813"/>
    <n v="20.175999999999998"/>
    <n v="17.996289424860855"/>
    <n v="1"/>
    <n v="20.175999999999998"/>
    <x v="1"/>
    <x v="0"/>
    <s v="OK"/>
  </r>
  <r>
    <s v="SO-51037"/>
    <s v="PL-CEN"/>
    <x v="8"/>
    <s v="LAC-1003"/>
    <n v="2230"/>
    <d v="2026-05-21T00:00:00"/>
    <s v="In Transit"/>
    <s v="OK"/>
    <n v="9.02"/>
    <n v="114"/>
    <n v="18"/>
    <s v="OK"/>
    <n v="14"/>
    <m/>
    <n v="19.561403508771932"/>
    <n v="83.810833333333321"/>
    <n v="59.276980329611916"/>
    <n v="1"/>
    <n v="83.810833333333321"/>
    <x v="0"/>
    <x v="1"/>
    <s v="FANTASMA"/>
  </r>
  <r>
    <s v="SO-50552"/>
    <s v="PL-SUR"/>
    <x v="12"/>
    <s v="BOT-1012"/>
    <n v="2115"/>
    <d v="2026-06-03T00:00:00"/>
    <s v="In Transit"/>
    <s v="OK"/>
    <n v="4.26"/>
    <n v="68"/>
    <n v="117"/>
    <s v="OK"/>
    <n v="1"/>
    <m/>
    <n v="31.102941176470587"/>
    <n v="37.541249999999998"/>
    <n v="94.251336898395721"/>
    <n v="1"/>
    <n v="94.251336898395721"/>
    <x v="0"/>
    <x v="0"/>
    <s v="OK"/>
  </r>
  <r>
    <s v="SO-50234"/>
    <s v="PL-SUR"/>
    <x v="0"/>
    <s v="PRO-1014"/>
    <n v="1701"/>
    <d v="2026-06-03T00:00:00"/>
    <s v="In Transit"/>
    <s v="OK"/>
    <n v="5.27"/>
    <n v="60"/>
    <n v="129"/>
    <s v="OK"/>
    <n v="1"/>
    <m/>
    <n v="28.35"/>
    <n v="37.351124999999996"/>
    <n v="85.909090909090907"/>
    <n v="1"/>
    <n v="85.909090909090907"/>
    <x v="0"/>
    <x v="0"/>
    <s v="OK"/>
  </r>
  <r>
    <s v="SO-50646"/>
    <s v="PL-NTE"/>
    <x v="1"/>
    <s v="LAC-1003"/>
    <n v="624"/>
    <d v="2026-06-03T00:00:00"/>
    <s v="In Transit"/>
    <s v="OK"/>
    <n v="9.02"/>
    <n v="114"/>
    <n v="18"/>
    <s v="OK"/>
    <n v="1"/>
    <m/>
    <n v="5.4736842105263159"/>
    <n v="23.451999999999998"/>
    <n v="16.586921850079744"/>
    <n v="1"/>
    <n v="23.451999999999998"/>
    <x v="1"/>
    <x v="0"/>
    <s v="OK"/>
  </r>
  <r>
    <s v="SO-50530"/>
    <s v="PL-CEN"/>
    <x v="9"/>
    <s v="LAC-1006"/>
    <n v="1983"/>
    <d v="2026-06-02T00:00:00"/>
    <s v="In Transit"/>
    <s v="OK"/>
    <n v="10.029999999999999"/>
    <n v="126"/>
    <n v="17"/>
    <s v="OK"/>
    <n v="2"/>
    <m/>
    <n v="15.738095238095237"/>
    <n v="82.872874999999993"/>
    <n v="47.691197691197686"/>
    <n v="1"/>
    <n v="82.872874999999993"/>
    <x v="0"/>
    <x v="0"/>
    <s v="OK"/>
  </r>
  <r>
    <s v="SO-50355"/>
    <s v="PL-SUR"/>
    <x v="4"/>
    <s v="ABA-1008"/>
    <n v="1911"/>
    <d v="2026-06-02T00:00:00"/>
    <s v="In Transit"/>
    <s v="OK"/>
    <n v="10.6"/>
    <n v="96"/>
    <n v="445"/>
    <s v="OK"/>
    <n v="2"/>
    <m/>
    <n v="19.90625"/>
    <n v="84.402499999999989"/>
    <n v="60.321969696969703"/>
    <n v="1"/>
    <n v="84.402499999999989"/>
    <x v="0"/>
    <x v="0"/>
    <s v="OK"/>
  </r>
  <r>
    <s v="SO-50138"/>
    <s v="PL-SUR"/>
    <x v="0"/>
    <s v="LAC-1001"/>
    <n v="1006"/>
    <d v="2026-06-02T00:00:00"/>
    <s v="In Transit"/>
    <s v="OK"/>
    <n v="7.51"/>
    <n v="83"/>
    <n v="18"/>
    <s v="OK"/>
    <n v="2"/>
    <m/>
    <n v="12.120481927710843"/>
    <n v="31.479416666666665"/>
    <n v="36.728733114275279"/>
    <n v="1"/>
    <n v="36.728733114275279"/>
    <x v="1"/>
    <x v="0"/>
    <s v="OK"/>
  </r>
  <r>
    <s v="SO-50713"/>
    <s v="PL-CEN"/>
    <x v="8"/>
    <s v="BEB-1014"/>
    <n v="1097"/>
    <d v="2026-06-03T00:00:00"/>
    <s v="In Transit"/>
    <s v="OK"/>
    <n v="12.41"/>
    <n v="95"/>
    <n v="227"/>
    <s v="OK"/>
    <n v="1"/>
    <m/>
    <n v="11.547368421052632"/>
    <n v="56.724041666666672"/>
    <n v="34.992025518341308"/>
    <n v="1"/>
    <n v="56.724041666666672"/>
    <x v="1"/>
    <x v="0"/>
    <s v="OK"/>
  </r>
  <r>
    <s v="SO-50775"/>
    <s v="PL-NTE"/>
    <x v="14"/>
    <s v="PRO-1009"/>
    <n v="831"/>
    <d v="2026-06-03T00:00:00"/>
    <s v="In Transit"/>
    <s v="OK"/>
    <n v="11.96"/>
    <n v="101"/>
    <n v="90"/>
    <s v="OK"/>
    <n v="1"/>
    <m/>
    <n v="8.227722772277227"/>
    <n v="41.411500000000004"/>
    <n v="24.932493249324931"/>
    <n v="1"/>
    <n v="41.411500000000004"/>
    <x v="1"/>
    <x v="0"/>
    <s v="OK"/>
  </r>
  <r>
    <s v="SO-50025"/>
    <s v="PL-SUR"/>
    <x v="7"/>
    <s v="LAC-1016"/>
    <n v="1981"/>
    <d v="2026-06-03T00:00:00"/>
    <s v="In Transit"/>
    <s v="OK"/>
    <n v="10.9"/>
    <n v="131"/>
    <n v="22"/>
    <s v="OK"/>
    <n v="1"/>
    <m/>
    <n v="15.122137404580153"/>
    <n v="89.970416666666679"/>
    <n v="45.824658801758041"/>
    <n v="1"/>
    <n v="89.970416666666679"/>
    <x v="0"/>
    <x v="0"/>
    <s v="OK"/>
  </r>
  <r>
    <s v="SO-50516"/>
    <s v="PL-SUR"/>
    <x v="7"/>
    <s v="BEB-1013"/>
    <n v="1173"/>
    <d v="2026-06-03T00:00:00"/>
    <s v="In Transit"/>
    <s v="OK"/>
    <n v="17.28"/>
    <n v="97"/>
    <n v="271"/>
    <s v="OK"/>
    <n v="1"/>
    <m/>
    <n v="12.092783505154639"/>
    <n v="84.456000000000003"/>
    <n v="36.644798500468603"/>
    <n v="1"/>
    <n v="84.456000000000003"/>
    <x v="0"/>
    <x v="0"/>
    <s v="OK"/>
  </r>
  <r>
    <s v="SO-50753"/>
    <s v="PL-CEN"/>
    <x v="13"/>
    <s v="PRO-1015"/>
    <n v="3298"/>
    <d v="2026-06-03T00:00:00"/>
    <s v="In Transit"/>
    <s v="OK"/>
    <n v="6.16"/>
    <n v="104"/>
    <n v="67"/>
    <s v="OK"/>
    <n v="1"/>
    <m/>
    <n v="31.71153846153846"/>
    <n v="84.648666666666671"/>
    <n v="96.095571095571088"/>
    <n v="1"/>
    <n v="96.095571095571088"/>
    <x v="0"/>
    <x v="0"/>
    <s v="OK"/>
  </r>
  <r>
    <s v="SO-50925"/>
    <s v="PL-NTE"/>
    <x v="1"/>
    <s v="BEB-1013"/>
    <n v="1186"/>
    <d v="2026-06-01T00:00:00"/>
    <s v="In Transit"/>
    <s v="OK"/>
    <n v="17.28"/>
    <n v="97"/>
    <n v="271"/>
    <s v="OK"/>
    <n v="3"/>
    <m/>
    <n v="12.226804123711339"/>
    <n v="85.39200000000001"/>
    <n v="37.050921587004062"/>
    <n v="1"/>
    <n v="85.39200000000001"/>
    <x v="0"/>
    <x v="0"/>
    <s v="OK"/>
  </r>
  <r>
    <s v="SO-50096"/>
    <s v="PL-SUR"/>
    <x v="6"/>
    <s v="BEB-1009"/>
    <n v="1163"/>
    <d v="2026-06-03T00:00:00"/>
    <s v="In Transit"/>
    <s v="OK"/>
    <n v="18.170000000000002"/>
    <n v="61"/>
    <n v="188"/>
    <s v="OK"/>
    <n v="1"/>
    <m/>
    <n v="19.065573770491802"/>
    <n v="88.048791666666688"/>
    <n v="57.774465971187283"/>
    <n v="1"/>
    <n v="88.048791666666688"/>
    <x v="0"/>
    <x v="0"/>
    <s v="OK"/>
  </r>
  <r>
    <s v="SO-50802"/>
    <s v="PL-CEN"/>
    <x v="8"/>
    <s v="BOT-1021"/>
    <n v="1462"/>
    <d v="2026-06-03T00:00:00"/>
    <s v="In Transit"/>
    <s v="OK"/>
    <n v="5.04"/>
    <n v="47"/>
    <n v="96"/>
    <s v="OK"/>
    <n v="1"/>
    <m/>
    <n v="31.106382978723403"/>
    <n v="30.702000000000002"/>
    <n v="94.261766602192125"/>
    <n v="1"/>
    <n v="94.261766602192125"/>
    <x v="0"/>
    <x v="0"/>
    <s v="OK"/>
  </r>
  <r>
    <s v="SO-51084"/>
    <s v="PL-SUR"/>
    <x v="4"/>
    <s v="BOT-1003"/>
    <n v="1815"/>
    <d v="2026-06-02T00:00:00"/>
    <s v="In Transit"/>
    <s v="OK"/>
    <n v="5.92"/>
    <n v="57"/>
    <n v="92"/>
    <s v="OK"/>
    <n v="2"/>
    <m/>
    <n v="31.842105263157894"/>
    <n v="44.769999999999996"/>
    <n v="96.491228070175438"/>
    <n v="1"/>
    <n v="96.491228070175438"/>
    <x v="0"/>
    <x v="0"/>
    <s v="OK"/>
  </r>
  <r>
    <s v="SO-50411"/>
    <s v="PL-CEN"/>
    <x v="9"/>
    <s v="BOT-1012"/>
    <n v="2009"/>
    <d v="2026-06-02T00:00:00"/>
    <s v="In Transit"/>
    <s v="OK"/>
    <n v="4.26"/>
    <n v="68"/>
    <n v="117"/>
    <s v="OK"/>
    <n v="2"/>
    <m/>
    <n v="29.544117647058822"/>
    <n v="35.659750000000003"/>
    <n v="89.52762923351159"/>
    <n v="1"/>
    <n v="89.52762923351159"/>
    <x v="0"/>
    <x v="0"/>
    <s v="OK"/>
  </r>
  <r>
    <s v="SO-50340"/>
    <s v="PL-SUR"/>
    <x v="12"/>
    <s v="BEB-1014"/>
    <n v="1620"/>
    <d v="2026-06-02T00:00:00"/>
    <s v="In Transit"/>
    <s v="OK"/>
    <n v="12.41"/>
    <n v="95"/>
    <n v="227"/>
    <s v="OK"/>
    <n v="2"/>
    <m/>
    <n v="17.05263157894737"/>
    <n v="83.767500000000013"/>
    <n v="51.674641148325364"/>
    <n v="1"/>
    <n v="83.767500000000013"/>
    <x v="0"/>
    <x v="0"/>
    <s v="OK"/>
  </r>
  <r>
    <s v="SO-50441"/>
    <s v="PL-NTE"/>
    <x v="2"/>
    <s v="BEB-1008"/>
    <n v="1331"/>
    <d v="2026-06-02T00:00:00"/>
    <s v="In Transit"/>
    <s v="OK"/>
    <n v="17.47"/>
    <n v="65"/>
    <n v="216"/>
    <s v="OK"/>
    <n v="2"/>
    <m/>
    <n v="20.476923076923075"/>
    <n v="96.885708333333326"/>
    <n v="62.051282051282044"/>
    <n v="1"/>
    <n v="96.885708333333326"/>
    <x v="0"/>
    <x v="0"/>
    <s v="OK"/>
  </r>
  <r>
    <s v="SO-50756"/>
    <s v="PL-SUR"/>
    <x v="0"/>
    <s v="BEB-1018"/>
    <n v="1200"/>
    <d v="2026-06-03T00:00:00"/>
    <s v="In Transit"/>
    <s v="OK"/>
    <n v="19.170000000000002"/>
    <n v="119"/>
    <n v="196"/>
    <s v="OK"/>
    <n v="1"/>
    <m/>
    <n v="10.084033613445378"/>
    <n v="95.850000000000009"/>
    <n v="30.557677616501145"/>
    <n v="1"/>
    <n v="95.850000000000009"/>
    <x v="0"/>
    <x v="0"/>
    <s v="OK"/>
  </r>
  <r>
    <s v="SO-50494"/>
    <s v="PL-CEN"/>
    <x v="9"/>
    <s v="LAC-1010"/>
    <n v="3286"/>
    <d v="2026-06-02T00:00:00"/>
    <s v="In Transit"/>
    <s v="OK"/>
    <n v="6.24"/>
    <n v="146"/>
    <n v="24"/>
    <s v="OK"/>
    <n v="2"/>
    <m/>
    <n v="22.506849315068493"/>
    <n v="85.436000000000007"/>
    <n v="68.202573682025729"/>
    <n v="1"/>
    <n v="85.436000000000007"/>
    <x v="0"/>
    <x v="0"/>
    <s v="OK"/>
  </r>
  <r>
    <s v="SO-50077"/>
    <s v="PL-NTE"/>
    <x v="2"/>
    <s v="ABA-1012"/>
    <n v="1263"/>
    <d v="2026-06-03T00:00:00"/>
    <s v="Delivered"/>
    <s v="OK"/>
    <n v="15.14"/>
    <n v="117"/>
    <n v="484"/>
    <s v="OK"/>
    <n v="1"/>
    <m/>
    <n v="10.794871794871796"/>
    <n v="79.674250000000001"/>
    <n v="32.711732711732715"/>
    <n v="1"/>
    <n v="79.674250000000001"/>
    <x v="0"/>
    <x v="0"/>
    <s v="OK"/>
  </r>
  <r>
    <s v="SO-50386"/>
    <s v="PL-NTE"/>
    <x v="1"/>
    <s v="BOT-1023"/>
    <n v="367"/>
    <d v="2026-06-01T00:00:00"/>
    <s v="In Transit"/>
    <s v="OK"/>
    <n v="4.29"/>
    <n v="44"/>
    <n v="111"/>
    <s v="OK"/>
    <n v="3"/>
    <m/>
    <n v="8.3409090909090917"/>
    <n v="6.5601250000000002"/>
    <n v="25.275482093663914"/>
    <n v="1"/>
    <n v="25.275482093663914"/>
    <x v="1"/>
    <x v="0"/>
    <s v="OK"/>
  </r>
  <r>
    <s v="SO-50592"/>
    <s v="PL-NTE"/>
    <x v="14"/>
    <s v="PRO-1008"/>
    <n v="1703"/>
    <d v="2026-06-03T00:00:00"/>
    <s v="In Transit"/>
    <s v="OK"/>
    <n v="11.98"/>
    <n v="86"/>
    <n v="123"/>
    <s v="OK"/>
    <n v="1"/>
    <m/>
    <n v="19.802325581395348"/>
    <n v="85.008083333333346"/>
    <n v="60.007047216349541"/>
    <n v="1"/>
    <n v="85.008083333333346"/>
    <x v="0"/>
    <x v="0"/>
    <s v="OK"/>
  </r>
  <r>
    <s v="SO-51053"/>
    <s v="PL-CEN"/>
    <x v="8"/>
    <s v="BOT-1001"/>
    <n v="1783"/>
    <d v="2026-06-01T00:00:00"/>
    <s v="In Transit"/>
    <s v="OK"/>
    <n v="6.95"/>
    <n v="66"/>
    <n v="95"/>
    <s v="OK"/>
    <n v="3"/>
    <m/>
    <n v="27.015151515151516"/>
    <n v="51.632708333333333"/>
    <n v="81.864095500459129"/>
    <n v="1"/>
    <n v="81.864095500459129"/>
    <x v="0"/>
    <x v="0"/>
    <s v="OK"/>
  </r>
  <r>
    <s v="SO-50005"/>
    <s v="PL-SUR"/>
    <x v="6"/>
    <s v="ABA-1005"/>
    <n v="1552"/>
    <d v="2026-06-01T00:00:00"/>
    <s v="In Transit"/>
    <s v="OK"/>
    <n v="13.31"/>
    <n v="89"/>
    <n v="313"/>
    <s v="OK"/>
    <n v="3"/>
    <m/>
    <n v="17.438202247191011"/>
    <n v="86.071333333333328"/>
    <n v="52.843037112700031"/>
    <n v="1"/>
    <n v="86.071333333333328"/>
    <x v="0"/>
    <x v="0"/>
    <s v="OK"/>
  </r>
  <r>
    <s v="SO-50878"/>
    <s v="PL-NTE"/>
    <x v="10"/>
    <s v="BEB-1005"/>
    <n v="1514"/>
    <d v="2026-06-03T00:00:00"/>
    <s v="In Transit"/>
    <s v="OK"/>
    <n v="14.2"/>
    <n v="95"/>
    <n v="277"/>
    <s v="OK"/>
    <n v="1"/>
    <m/>
    <n v="15.936842105263159"/>
    <n v="89.578333333333333"/>
    <n v="48.293460925039881"/>
    <n v="1"/>
    <n v="89.578333333333333"/>
    <x v="0"/>
    <x v="0"/>
    <s v="OK"/>
  </r>
  <r>
    <s v="SO-50093"/>
    <s v="PL-SUR"/>
    <x v="7"/>
    <s v="ABA-1018"/>
    <n v="1914"/>
    <d v="2026-06-03T00:00:00"/>
    <s v="In Transit"/>
    <s v="OK"/>
    <n v="11.43"/>
    <n v="128"/>
    <n v="530"/>
    <s v="OK"/>
    <n v="1"/>
    <m/>
    <n v="14.953125"/>
    <n v="91.154250000000005"/>
    <n v="45.3125"/>
    <n v="1"/>
    <n v="91.154250000000005"/>
    <x v="0"/>
    <x v="0"/>
    <s v="OK"/>
  </r>
  <r>
    <s v="SO-50843"/>
    <s v="PL-SUR"/>
    <x v="0"/>
    <s v="PRO-1004"/>
    <n v="1552"/>
    <d v="2026-05-31T00:00:00"/>
    <s v="In Transit"/>
    <s v="OK"/>
    <n v="12.77"/>
    <n v="96"/>
    <n v="122"/>
    <s v="OK"/>
    <n v="4"/>
    <m/>
    <n v="16.166666666666668"/>
    <n v="82.579333333333338"/>
    <n v="48.989898989898997"/>
    <n v="1"/>
    <n v="82.579333333333338"/>
    <x v="0"/>
    <x v="0"/>
    <s v="OK"/>
  </r>
  <r>
    <s v="SO-50691"/>
    <s v="PL-NTE"/>
    <x v="1"/>
    <s v="PRO-1002"/>
    <n v="2117"/>
    <d v="2026-06-03T00:00:00"/>
    <s v="In Transit"/>
    <s v="OK"/>
    <n v="9.6999999999999993"/>
    <n v="98"/>
    <n v="115"/>
    <s v="OK"/>
    <n v="1"/>
    <m/>
    <n v="21.602040816326532"/>
    <n v="85.562083333333334"/>
    <n v="65.460729746444031"/>
    <n v="1"/>
    <n v="85.562083333333334"/>
    <x v="0"/>
    <x v="0"/>
    <s v="OK"/>
  </r>
  <r>
    <s v="SO-50906"/>
    <s v="PL-NTE"/>
    <x v="11"/>
    <s v="ABA-1015"/>
    <n v="2182"/>
    <d v="2026-06-02T00:00:00"/>
    <s v="Delivered"/>
    <s v="OK"/>
    <n v="8.19"/>
    <n v="82"/>
    <n v="317"/>
    <s v="OK"/>
    <n v="2"/>
    <m/>
    <n v="26.609756097560975"/>
    <n v="74.46074999999999"/>
    <n v="80.635624538063567"/>
    <n v="1"/>
    <n v="80.635624538063567"/>
    <x v="0"/>
    <x v="0"/>
    <s v="OK"/>
  </r>
  <r>
    <s v="SO-51074"/>
    <s v="PL-SUR"/>
    <x v="0"/>
    <s v="ABA-1018"/>
    <n v="1786"/>
    <d v="2026-06-01T00:00:00"/>
    <s v="In Transit"/>
    <s v="OK"/>
    <n v="11.43"/>
    <n v="128"/>
    <n v="530"/>
    <s v="OK"/>
    <n v="3"/>
    <m/>
    <n v="13.953125"/>
    <n v="85.058250000000001"/>
    <n v="42.282196969696969"/>
    <n v="1"/>
    <n v="85.058250000000001"/>
    <x v="0"/>
    <x v="0"/>
    <s v="OK"/>
  </r>
  <r>
    <s v="SO-50666"/>
    <s v="PL-SUR"/>
    <x v="4"/>
    <s v="PRO-1008"/>
    <n v="1865"/>
    <d v="2026-06-03T00:00:00"/>
    <s v="In Transit"/>
    <s v="OK"/>
    <n v="11.98"/>
    <n v="86"/>
    <n v="123"/>
    <s v="OK"/>
    <n v="1"/>
    <m/>
    <n v="21.686046511627907"/>
    <n v="93.094583333333333"/>
    <n v="65.715292459478505"/>
    <n v="1"/>
    <n v="93.094583333333333"/>
    <x v="0"/>
    <x v="0"/>
    <s v="OK"/>
  </r>
  <r>
    <s v="SO-50117"/>
    <s v="PL-NTE"/>
    <x v="11"/>
    <s v="BOT-1012"/>
    <n v="1831"/>
    <d v="2026-06-01T00:00:00"/>
    <s v="In Transit"/>
    <s v="OK"/>
    <n v="4.26"/>
    <n v="68"/>
    <n v="117"/>
    <s v="OK"/>
    <n v="3"/>
    <m/>
    <n v="26.926470588235293"/>
    <n v="32.500249999999994"/>
    <n v="81.595365418894829"/>
    <n v="1"/>
    <n v="81.595365418894829"/>
    <x v="0"/>
    <x v="0"/>
    <s v="OK"/>
  </r>
  <r>
    <s v="SO-50405"/>
    <s v="PL-CEN"/>
    <x v="3"/>
    <s v="LAC-1001"/>
    <n v="927"/>
    <d v="2026-06-01T00:00:00"/>
    <s v="In Transit"/>
    <s v="OK"/>
    <n v="7.51"/>
    <n v="83"/>
    <n v="18"/>
    <s v="OK"/>
    <n v="3"/>
    <m/>
    <n v="11.168674698795181"/>
    <n v="29.007374999999996"/>
    <n v="33.844468784227821"/>
    <n v="1"/>
    <n v="33.844468784227821"/>
    <x v="1"/>
    <x v="0"/>
    <s v="OK"/>
  </r>
  <r>
    <s v="SO-50757"/>
    <s v="PL-NTE"/>
    <x v="11"/>
    <s v="ABA-1005"/>
    <n v="1485"/>
    <d v="2026-06-01T00:00:00"/>
    <s v="In Transit"/>
    <s v="OK"/>
    <n v="13.31"/>
    <n v="89"/>
    <n v="313"/>
    <s v="OK"/>
    <n v="3"/>
    <m/>
    <n v="16.685393258426966"/>
    <n v="82.355625000000003"/>
    <n v="50.561797752808992"/>
    <n v="1"/>
    <n v="82.355625000000003"/>
    <x v="0"/>
    <x v="0"/>
    <s v="OK"/>
  </r>
  <r>
    <s v="SO-50313"/>
    <s v="PL-NTE"/>
    <x v="11"/>
    <s v="BEB-1006"/>
    <n v="1348"/>
    <d v="2026-06-01T00:00:00"/>
    <s v="In Transit"/>
    <s v="OK"/>
    <n v="17.18"/>
    <n v="81"/>
    <n v="293"/>
    <s v="OK"/>
    <n v="3"/>
    <m/>
    <n v="16.641975308641975"/>
    <n v="96.49433333333333"/>
    <n v="50.430228208005978"/>
    <n v="1"/>
    <n v="96.49433333333333"/>
    <x v="0"/>
    <x v="0"/>
    <s v="OK"/>
  </r>
  <r>
    <s v="SO-51048"/>
    <s v="PL-NTE"/>
    <x v="1"/>
    <s v="PRO-1007"/>
    <n v="1483"/>
    <d v="2026-06-02T00:00:00"/>
    <s v="In Transit"/>
    <s v="OK"/>
    <n v="13.13"/>
    <n v="82"/>
    <n v="105"/>
    <s v="OK"/>
    <n v="2"/>
    <m/>
    <n v="18.085365853658537"/>
    <n v="81.132458333333332"/>
    <n v="54.804138950480421"/>
    <n v="1"/>
    <n v="81.132458333333332"/>
    <x v="0"/>
    <x v="0"/>
    <s v="OK"/>
  </r>
  <r>
    <s v="SO-50497"/>
    <s v="PL-SUR"/>
    <x v="12"/>
    <s v="BOT-1019"/>
    <n v="2626"/>
    <d v="2026-06-03T00:00:00"/>
    <s v="In Transit"/>
    <s v="OK"/>
    <n v="3.44"/>
    <n v="85"/>
    <n v="102"/>
    <s v="OK"/>
    <n v="1"/>
    <m/>
    <n v="30.894117647058824"/>
    <n v="37.639333333333333"/>
    <n v="93.618538324420669"/>
    <n v="1"/>
    <n v="93.618538324420669"/>
    <x v="0"/>
    <x v="0"/>
    <s v="OK"/>
  </r>
  <r>
    <s v="SO-50668"/>
    <s v="PL-SUR"/>
    <x v="7"/>
    <s v="BEB-1017"/>
    <n v="1071"/>
    <d v="2026-06-03T00:00:00"/>
    <s v="In Transit"/>
    <s v="OK"/>
    <n v="21.3"/>
    <n v="108"/>
    <n v="345"/>
    <s v="OK"/>
    <n v="1"/>
    <m/>
    <n v="9.9166666666666661"/>
    <n v="95.051249999999996"/>
    <n v="30.050505050505048"/>
    <n v="1"/>
    <n v="95.051249999999996"/>
    <x v="0"/>
    <x v="0"/>
    <s v="OK"/>
  </r>
  <r>
    <s v="SO-50677"/>
    <s v="PL-CEN"/>
    <x v="13"/>
    <s v="PRO-1011"/>
    <n v="2498"/>
    <d v="2026-06-03T00:00:00"/>
    <s v="In Transit"/>
    <s v="OK"/>
    <n v="4.3600000000000003"/>
    <n v="88"/>
    <n v="108"/>
    <s v="OK"/>
    <n v="1"/>
    <m/>
    <n v="28.386363636363637"/>
    <n v="45.380333333333333"/>
    <n v="86.019283746556468"/>
    <n v="1"/>
    <n v="86.019283746556468"/>
    <x v="0"/>
    <x v="0"/>
    <s v="OK"/>
  </r>
  <r>
    <s v="SO-50913"/>
    <s v="PL-CEN"/>
    <x v="5"/>
    <s v="BEB-1010"/>
    <n v="986"/>
    <d v="2026-06-02T00:00:00"/>
    <s v="In Transit"/>
    <s v="OK"/>
    <n v="0"/>
    <n v="71"/>
    <n v="192"/>
    <s v="OK"/>
    <n v="2"/>
    <m/>
    <n v="13.887323943661972"/>
    <n v="0"/>
    <n v="42.082799829278706"/>
    <n v="1"/>
    <n v="42.082799829278706"/>
    <x v="1"/>
    <x v="0"/>
    <s v="OK"/>
  </r>
  <r>
    <s v="SO-50565"/>
    <s v="PL-NTE"/>
    <x v="10"/>
    <s v="PRO-1008"/>
    <n v="1802"/>
    <d v="2026-05-31T00:00:00"/>
    <s v="In Transit"/>
    <s v="OK"/>
    <n v="11.98"/>
    <n v="86"/>
    <n v="123"/>
    <s v="OK"/>
    <n v="4"/>
    <m/>
    <n v="20.953488372093023"/>
    <n v="89.949833333333331"/>
    <n v="63.495419309372799"/>
    <n v="1"/>
    <n v="89.949833333333331"/>
    <x v="0"/>
    <x v="0"/>
    <s v="OK"/>
  </r>
  <r>
    <s v="SO-50661"/>
    <s v="PL-SUR"/>
    <x v="4"/>
    <s v="BOT-1007"/>
    <n v="1330"/>
    <d v="2026-06-03T00:00:00"/>
    <s v="In Transit"/>
    <s v="OK"/>
    <n v="0"/>
    <n v="49"/>
    <n v="104"/>
    <s v="OK"/>
    <n v="1"/>
    <m/>
    <n v="27.142857142857142"/>
    <n v="0"/>
    <n v="82.251082251082252"/>
    <n v="1"/>
    <n v="82.251082251082252"/>
    <x v="0"/>
    <x v="0"/>
    <s v="OK"/>
  </r>
  <r>
    <s v="SO-50099"/>
    <s v="PL-NTE"/>
    <x v="2"/>
    <s v="BEB-1009"/>
    <n v="1093"/>
    <d v="2026-06-02T00:00:00"/>
    <s v="In Transit"/>
    <s v="OK"/>
    <n v="18.170000000000002"/>
    <n v="61"/>
    <n v="188"/>
    <s v="OK"/>
    <n v="2"/>
    <m/>
    <n v="17.918032786885245"/>
    <n v="82.749208333333328"/>
    <n v="54.297069051167412"/>
    <n v="1"/>
    <n v="82.749208333333328"/>
    <x v="0"/>
    <x v="0"/>
    <s v="OK"/>
  </r>
  <r>
    <s v="SO-50573"/>
    <s v="PL-CEN"/>
    <x v="8"/>
    <s v="LAC-1012"/>
    <n v="2333"/>
    <d v="2026-06-03T00:00:00"/>
    <s v="In Transit"/>
    <s v="OK"/>
    <n v="9.8699999999999992"/>
    <n v="88"/>
    <n v="25"/>
    <s v="OK"/>
    <n v="1"/>
    <m/>
    <n v="26.511363636363637"/>
    <n v="95.944624999999988"/>
    <n v="80.337465564738295"/>
    <n v="1"/>
    <n v="95.944624999999988"/>
    <x v="0"/>
    <x v="0"/>
    <s v="OK"/>
  </r>
  <r>
    <s v="SO-50798"/>
    <s v="PL-CEN"/>
    <x v="5"/>
    <s v="PRO-1008"/>
    <n v="1729"/>
    <d v="2026-06-02T00:00:00"/>
    <s v="In Transit"/>
    <s v="OK"/>
    <n v="11.98"/>
    <n v="86"/>
    <n v="123"/>
    <s v="OK"/>
    <n v="2"/>
    <m/>
    <n v="20.104651162790699"/>
    <n v="86.305916666666675"/>
    <n v="60.923185341789996"/>
    <n v="1"/>
    <n v="86.305916666666675"/>
    <x v="0"/>
    <x v="0"/>
    <s v="OK"/>
  </r>
  <r>
    <s v="SO-50519"/>
    <s v="PL-SUR"/>
    <x v="12"/>
    <s v="LAC-1017"/>
    <n v="3115"/>
    <d v="2026-06-03T00:00:00"/>
    <s v="In Transit"/>
    <s v="OK"/>
    <n v="7.45"/>
    <n v="147"/>
    <n v="28"/>
    <s v="OK"/>
    <n v="1"/>
    <m/>
    <n v="21.19047619047619"/>
    <n v="96.694791666666674"/>
    <n v="64.213564213564212"/>
    <n v="1"/>
    <n v="96.694791666666674"/>
    <x v="0"/>
    <x v="0"/>
    <s v="OK"/>
  </r>
  <r>
    <s v="SO-50260"/>
    <s v="PL-CEN"/>
    <x v="8"/>
    <s v="ABA-1006"/>
    <n v="1513"/>
    <d v="2026-06-03T00:00:00"/>
    <s v="In Transit"/>
    <s v="OK"/>
    <n v="12.39"/>
    <n v="134"/>
    <n v="446"/>
    <s v="OK"/>
    <n v="1"/>
    <m/>
    <n v="11.291044776119403"/>
    <n v="78.108625000000004"/>
    <n v="34.215287200361828"/>
    <n v="1"/>
    <n v="78.108625000000004"/>
    <x v="0"/>
    <x v="0"/>
    <s v="OK"/>
  </r>
  <r>
    <s v="SO-50865"/>
    <s v="PL-NTE"/>
    <x v="14"/>
    <s v="PRO-1002"/>
    <n v="2363"/>
    <d v="2026-06-03T00:00:00"/>
    <s v="In Transit"/>
    <s v="OK"/>
    <n v="9.6999999999999993"/>
    <n v="98"/>
    <n v="115"/>
    <s v="OK"/>
    <n v="1"/>
    <m/>
    <n v="24.112244897959183"/>
    <n v="95.504583333333329"/>
    <n v="73.067408781694496"/>
    <n v="1"/>
    <n v="95.504583333333329"/>
    <x v="0"/>
    <x v="0"/>
    <s v="OK"/>
  </r>
  <r>
    <s v="SO-50783"/>
    <s v="PL-SUR"/>
    <x v="12"/>
    <s v="LAC-1010"/>
    <n v="3666"/>
    <d v="2026-06-02T00:00:00"/>
    <s v="In Transit"/>
    <s v="OK"/>
    <n v="6.24"/>
    <n v="146"/>
    <n v="24"/>
    <s v="OK"/>
    <n v="2"/>
    <m/>
    <n v="25.109589041095891"/>
    <n v="95.316000000000003"/>
    <n v="76.089663760896642"/>
    <n v="1"/>
    <n v="95.316000000000003"/>
    <x v="0"/>
    <x v="0"/>
    <s v="OK"/>
  </r>
  <r>
    <s v="SO-50618"/>
    <s v="PL-SUR"/>
    <x v="6"/>
    <s v="BEB-1003"/>
    <n v="397"/>
    <d v="2026-06-03T00:00:00"/>
    <s v="In Transit"/>
    <s v="OK"/>
    <n v="20.5"/>
    <n v="64"/>
    <n v="359"/>
    <s v="OK"/>
    <n v="1"/>
    <m/>
    <n v="6.203125"/>
    <n v="33.910416666666663"/>
    <n v="18.797348484848484"/>
    <n v="1"/>
    <n v="33.910416666666663"/>
    <x v="1"/>
    <x v="0"/>
    <s v="OK"/>
  </r>
  <r>
    <s v="SO-50848"/>
    <s v="PL-CEN"/>
    <x v="13"/>
    <s v="BEB-1000"/>
    <n v="1239"/>
    <d v="2026-06-03T00:00:00"/>
    <s v="In Transit"/>
    <s v="OK"/>
    <n v="16.489999999999998"/>
    <n v="102"/>
    <n v="315"/>
    <s v="OK"/>
    <n v="1"/>
    <m/>
    <n v="12.147058823529411"/>
    <n v="85.12962499999999"/>
    <n v="36.809269162210342"/>
    <n v="1"/>
    <n v="85.12962499999999"/>
    <x v="0"/>
    <x v="0"/>
    <s v="OK"/>
  </r>
  <r>
    <s v="SO-50169"/>
    <s v="PL-SUR"/>
    <x v="0"/>
    <s v="BOT-1007"/>
    <n v="1169"/>
    <d v="2026-06-02T00:00:00"/>
    <s v="In Transit"/>
    <s v="OK"/>
    <n v="0"/>
    <n v="49"/>
    <n v="104"/>
    <s v="OK"/>
    <n v="2"/>
    <m/>
    <n v="23.857142857142858"/>
    <n v="0"/>
    <n v="72.294372294372295"/>
    <n v="1"/>
    <n v="72.294372294372295"/>
    <x v="1"/>
    <x v="0"/>
    <s v="OK"/>
  </r>
  <r>
    <s v="SO-50265"/>
    <s v="PL-SUR"/>
    <x v="0"/>
    <s v="ABA-1017"/>
    <n v="1042"/>
    <d v="2026-05-31T00:00:00"/>
    <s v="Delivered"/>
    <s v="OK"/>
    <n v="10.96"/>
    <n v="128"/>
    <n v="520"/>
    <s v="OK"/>
    <n v="4"/>
    <m/>
    <n v="8.140625"/>
    <n v="47.584666666666678"/>
    <n v="24.668560606060606"/>
    <n v="1"/>
    <n v="47.584666666666678"/>
    <x v="1"/>
    <x v="0"/>
    <s v="OK"/>
  </r>
  <r>
    <s v="SO-50376"/>
    <s v="PL-CEN"/>
    <x v="13"/>
    <s v="BOT-1009"/>
    <n v="2246"/>
    <d v="2026-06-03T00:00:00"/>
    <s v="In Transit"/>
    <s v="OK"/>
    <n v="5.25"/>
    <n v="76"/>
    <n v="104"/>
    <s v="OK"/>
    <n v="1"/>
    <m/>
    <n v="29.55263157894737"/>
    <n v="49.131250000000001"/>
    <n v="89.553429027113239"/>
    <n v="1"/>
    <n v="89.553429027113239"/>
    <x v="0"/>
    <x v="0"/>
    <s v="OK"/>
  </r>
  <r>
    <s v="SO-50594"/>
    <s v="PL-SUR"/>
    <x v="0"/>
    <s v="ABA-1019"/>
    <n v="1479"/>
    <d v="2026-06-01T00:00:00"/>
    <s v="Delivered"/>
    <s v="OK"/>
    <n v="14.82"/>
    <n v="132"/>
    <n v="373"/>
    <s v="OK"/>
    <n v="3"/>
    <m/>
    <n v="11.204545454545455"/>
    <n v="91.328249999999997"/>
    <n v="33.953168044077138"/>
    <n v="1"/>
    <n v="91.328249999999997"/>
    <x v="0"/>
    <x v="0"/>
    <s v="OK"/>
  </r>
  <r>
    <s v="SO-50215"/>
    <s v="PL-SUR"/>
    <x v="4"/>
    <s v="ABA-1010"/>
    <n v="871"/>
    <d v="2026-06-02T00:00:00"/>
    <s v="In Transit"/>
    <s v="OK"/>
    <n v="8.75"/>
    <n v="123"/>
    <n v="341"/>
    <s v="OK"/>
    <n v="2"/>
    <m/>
    <n v="7.0813008130081299"/>
    <n v="31.755208333333336"/>
    <n v="21.458487312145849"/>
    <n v="1"/>
    <n v="31.755208333333336"/>
    <x v="1"/>
    <x v="0"/>
    <s v="OK"/>
  </r>
  <r>
    <s v="SO-50946"/>
    <s v="PL-CEN"/>
    <x v="13"/>
    <s v="ABA-1000"/>
    <n v="1331"/>
    <d v="2026-06-03T00:00:00"/>
    <s v="In Transit"/>
    <s v="OK"/>
    <n v="15.2"/>
    <n v="135"/>
    <n v="361"/>
    <s v="OK"/>
    <n v="1"/>
    <m/>
    <n v="9.8592592592592592"/>
    <n v="84.296666666666667"/>
    <n v="29.876543209876544"/>
    <n v="1"/>
    <n v="84.296666666666667"/>
    <x v="0"/>
    <x v="0"/>
    <s v="OK"/>
  </r>
  <r>
    <s v="SO-50295"/>
    <s v="PL-SUR"/>
    <x v="4"/>
    <s v="ABA-1013"/>
    <n v="1083"/>
    <d v="2026-06-03T00:00:00"/>
    <s v="In Transit"/>
    <s v="OK"/>
    <n v="12.02"/>
    <n v="75"/>
    <n v="402"/>
    <s v="OK"/>
    <n v="1"/>
    <m/>
    <n v="14.44"/>
    <n v="54.240250000000003"/>
    <n v="43.757575757575758"/>
    <n v="1"/>
    <n v="54.240250000000003"/>
    <x v="1"/>
    <x v="0"/>
    <s v="OK"/>
  </r>
  <r>
    <s v="SO-50769"/>
    <s v="PL-NTE"/>
    <x v="2"/>
    <s v="LAC-1014"/>
    <n v="2638"/>
    <d v="2026-06-02T00:00:00"/>
    <s v="In Transit"/>
    <s v="OK"/>
    <n v="8.0500000000000007"/>
    <n v="147"/>
    <n v="28"/>
    <s v="OK"/>
    <n v="2"/>
    <m/>
    <n v="17.945578231292519"/>
    <n v="88.482916666666682"/>
    <n v="54.380540094825811"/>
    <n v="1"/>
    <n v="88.482916666666682"/>
    <x v="0"/>
    <x v="0"/>
    <s v="OK"/>
  </r>
  <r>
    <s v="SO-50269"/>
    <s v="PL-NTE"/>
    <x v="1"/>
    <s v="BOT-1013"/>
    <n v="969"/>
    <d v="2026-06-03T00:00:00"/>
    <s v="In Transit"/>
    <s v="OK"/>
    <n v="4"/>
    <n v="58"/>
    <n v="112"/>
    <s v="OK"/>
    <n v="1"/>
    <m/>
    <n v="16.706896551724139"/>
    <n v="16.150000000000002"/>
    <n v="50.626959247648905"/>
    <n v="1"/>
    <n v="50.626959247648905"/>
    <x v="1"/>
    <x v="0"/>
    <s v="OK"/>
  </r>
  <r>
    <s v="SO-50263"/>
    <s v="PL-CEN"/>
    <x v="9"/>
    <s v="BOT-1011"/>
    <n v="1190"/>
    <d v="2026-06-02T00:00:00"/>
    <s v="In Transit"/>
    <s v="OK"/>
    <n v="3.43"/>
    <n v="88"/>
    <n v="109"/>
    <s v="OK"/>
    <n v="2"/>
    <m/>
    <n v="13.522727272727273"/>
    <n v="17.007083333333334"/>
    <n v="40.977961432506888"/>
    <n v="1"/>
    <n v="40.977961432506888"/>
    <x v="1"/>
    <x v="0"/>
    <s v="OK"/>
  </r>
  <r>
    <s v="SO-50749"/>
    <s v="PL-SUR"/>
    <x v="0"/>
    <s v="PRO-1013"/>
    <n v="1540"/>
    <d v="2026-06-01T00:00:00"/>
    <s v="Delivered"/>
    <s v="OK"/>
    <n v="4.37"/>
    <n v="58"/>
    <n v="92"/>
    <s v="OK"/>
    <n v="3"/>
    <m/>
    <n v="26.551724137931036"/>
    <n v="28.040833333333332"/>
    <n v="80.459770114942529"/>
    <n v="1"/>
    <n v="80.459770114942529"/>
    <x v="0"/>
    <x v="0"/>
    <s v="OK"/>
  </r>
  <r>
    <s v="SO-50643"/>
    <s v="PL-SUR"/>
    <x v="7"/>
    <s v="LAC-1008"/>
    <n v="1917"/>
    <d v="2026-06-03T00:00:00"/>
    <s v="In Transit"/>
    <s v="OK"/>
    <n v="9.8000000000000007"/>
    <n v="83"/>
    <n v="15"/>
    <s v="OK"/>
    <n v="1"/>
    <m/>
    <n v="23.096385542168676"/>
    <n v="78.277500000000018"/>
    <n v="69.989047097480835"/>
    <n v="1"/>
    <n v="78.277500000000018"/>
    <x v="0"/>
    <x v="0"/>
    <s v="OK"/>
  </r>
  <r>
    <s v="SO-50348"/>
    <s v="PL-NTE"/>
    <x v="1"/>
    <s v="BEB-1009"/>
    <n v="1056"/>
    <d v="2026-06-03T00:00:00"/>
    <s v="In Transit"/>
    <s v="OK"/>
    <n v="18.170000000000002"/>
    <n v="61"/>
    <n v="188"/>
    <s v="OK"/>
    <n v="1"/>
    <m/>
    <n v="17.311475409836067"/>
    <n v="79.947999999999993"/>
    <n v="52.459016393442624"/>
    <n v="1"/>
    <n v="79.947999999999993"/>
    <x v="0"/>
    <x v="0"/>
    <s v="OK"/>
  </r>
  <r>
    <s v="SO-50330"/>
    <s v="PL-SUR"/>
    <x v="0"/>
    <s v="BEB-1002"/>
    <n v="377"/>
    <d v="2026-06-01T00:00:00"/>
    <s v="Delivered"/>
    <s v="OK"/>
    <n v="0"/>
    <n v="69"/>
    <n v="291"/>
    <s v="OK"/>
    <n v="3"/>
    <m/>
    <n v="5.4637681159420293"/>
    <n v="0"/>
    <n v="16.55687307861221"/>
    <n v="1"/>
    <n v="16.55687307861221"/>
    <x v="1"/>
    <x v="0"/>
    <s v="OK"/>
  </r>
  <r>
    <s v="SO-51017"/>
    <s v="PL-SUR"/>
    <x v="6"/>
    <s v="LAC-1011"/>
    <n v="2105"/>
    <d v="2026-05-22T00:00:00"/>
    <s v="In Transit"/>
    <s v="OK"/>
    <n v="6.1"/>
    <n v="137"/>
    <n v="17"/>
    <s v="OK"/>
    <n v="13"/>
    <m/>
    <n v="15.364963503649635"/>
    <n v="53.502083333333331"/>
    <n v="46.560495465604959"/>
    <n v="1"/>
    <n v="53.502083333333331"/>
    <x v="1"/>
    <x v="1"/>
    <s v="FANTASMA"/>
  </r>
  <r>
    <s v="SO-50203"/>
    <s v="PL-CEN"/>
    <x v="13"/>
    <s v="LAC-1005"/>
    <n v="2566"/>
    <d v="2026-06-03T00:00:00"/>
    <s v="Delivered"/>
    <s v="OK"/>
    <n v="8.94"/>
    <n v="100"/>
    <n v="17"/>
    <s v="OK"/>
    <n v="1"/>
    <m/>
    <n v="25.66"/>
    <n v="95.583499999999987"/>
    <n v="77.757575757575765"/>
    <n v="1"/>
    <n v="95.583499999999987"/>
    <x v="0"/>
    <x v="0"/>
    <s v="OK"/>
  </r>
  <r>
    <s v="SO-51027"/>
    <s v="PL-SUR"/>
    <x v="4"/>
    <s v="LAC-1004"/>
    <n v="1911"/>
    <d v="2026-05-22T00:00:00"/>
    <s v="In Transit"/>
    <s v="OK"/>
    <n v="11.45"/>
    <n v="93"/>
    <n v="16"/>
    <s v="OK"/>
    <n v="13"/>
    <m/>
    <n v="20.548387096774192"/>
    <n v="91.170624999999987"/>
    <n v="62.267839687194524"/>
    <n v="1"/>
    <n v="91.170624999999987"/>
    <x v="0"/>
    <x v="1"/>
    <s v="FANTASMA"/>
  </r>
  <r>
    <s v="SO-50658"/>
    <s v="PL-NTE"/>
    <x v="14"/>
    <s v="ABA-1013"/>
    <n v="1826"/>
    <d v="2026-06-03T00:00:00"/>
    <s v="In Transit"/>
    <s v="OK"/>
    <n v="12.02"/>
    <n v="75"/>
    <n v="402"/>
    <s v="OK"/>
    <n v="1"/>
    <m/>
    <n v="24.346666666666668"/>
    <n v="91.45216666666667"/>
    <n v="73.777777777777771"/>
    <n v="1"/>
    <n v="91.45216666666667"/>
    <x v="0"/>
    <x v="0"/>
    <s v="OK"/>
  </r>
  <r>
    <s v="SO-50917"/>
    <s v="PL-SUR"/>
    <x v="4"/>
    <s v="BEB-1021"/>
    <n v="845"/>
    <d v="2026-06-02T00:00:00"/>
    <s v="In Transit"/>
    <s v="OK"/>
    <n v="16.28"/>
    <n v="90"/>
    <n v="280"/>
    <s v="OK"/>
    <n v="2"/>
    <m/>
    <n v="9.3888888888888893"/>
    <n v="57.319166666666668"/>
    <n v="28.451178451178453"/>
    <n v="1"/>
    <n v="57.319166666666668"/>
    <x v="1"/>
    <x v="0"/>
    <s v="OK"/>
  </r>
  <r>
    <s v="SO-50283"/>
    <s v="PL-NTE"/>
    <x v="14"/>
    <s v="BOT-1004"/>
    <n v="866"/>
    <d v="2026-06-03T00:00:00"/>
    <s v="In Transit"/>
    <s v="OK"/>
    <n v="4.43"/>
    <n v="63"/>
    <n v="115"/>
    <s v="OK"/>
    <n v="1"/>
    <m/>
    <n v="13.746031746031745"/>
    <n v="15.984916666666665"/>
    <n v="41.654641654641651"/>
    <n v="1"/>
    <n v="41.654641654641651"/>
    <x v="1"/>
    <x v="0"/>
    <s v="OK"/>
  </r>
  <r>
    <s v="SO-50252"/>
    <s v="PL-CEN"/>
    <x v="9"/>
    <s v="BEB-1017"/>
    <n v="417"/>
    <d v="2026-06-02T00:00:00"/>
    <s v="In Transit"/>
    <s v="OK"/>
    <n v="21.3"/>
    <n v="108"/>
    <n v="345"/>
    <s v="OK"/>
    <n v="2"/>
    <m/>
    <n v="3.8611111111111112"/>
    <n v="37.008749999999999"/>
    <n v="11.700336700336699"/>
    <n v="1"/>
    <n v="37.008749999999999"/>
    <x v="1"/>
    <x v="0"/>
    <s v="OK"/>
  </r>
  <r>
    <s v="SO-50153"/>
    <s v="PL-SUR"/>
    <x v="4"/>
    <s v="BOT-1000"/>
    <n v="870"/>
    <d v="2026-06-03T00:00:00"/>
    <s v="In Transit"/>
    <s v="OK"/>
    <n v="3.56"/>
    <n v="64"/>
    <n v="92"/>
    <s v="OK"/>
    <n v="1"/>
    <m/>
    <n v="13.59375"/>
    <n v="12.904999999999999"/>
    <n v="41.19318181818182"/>
    <n v="1"/>
    <n v="41.19318181818182"/>
    <x v="1"/>
    <x v="0"/>
    <s v="OK"/>
  </r>
  <r>
    <s v="SO-50644"/>
    <s v="PL-SUR"/>
    <x v="12"/>
    <s v="BOT-1010"/>
    <n v="345"/>
    <d v="2026-06-02T00:00:00"/>
    <s v="Delivered"/>
    <s v="OK"/>
    <n v="5.09"/>
    <n v="40"/>
    <n v="90"/>
    <s v="OK"/>
    <n v="2"/>
    <m/>
    <n v="8.625"/>
    <n v="7.3168750000000005"/>
    <n v="26.136363636363637"/>
    <n v="1"/>
    <n v="26.136363636363637"/>
    <x v="1"/>
    <x v="0"/>
    <s v="OK"/>
  </r>
  <r>
    <s v="SO-50107"/>
    <s v="PL-SUR"/>
    <x v="0"/>
    <s v="ABA-1005"/>
    <n v="973"/>
    <d v="2026-05-31T00:00:00"/>
    <s v="In Transit"/>
    <s v="OK"/>
    <n v="13.31"/>
    <n v="89"/>
    <n v="313"/>
    <s v="OK"/>
    <n v="4"/>
    <m/>
    <n v="10.932584269662922"/>
    <n v="53.960958333333345"/>
    <n v="33.129043241402798"/>
    <n v="1"/>
    <n v="53.960958333333345"/>
    <x v="1"/>
    <x v="0"/>
    <s v="OK"/>
  </r>
  <r>
    <s v="SO-50190"/>
    <s v="PL-CEN"/>
    <x v="8"/>
    <s v="XXX-8788"/>
    <n v="723"/>
    <d v="2026-06-03T00:00:00"/>
    <s v="In Transit"/>
    <s v="OK"/>
    <n v="0"/>
    <n v="0"/>
    <n v="0"/>
    <s v="HUERFANO"/>
    <n v="1"/>
    <m/>
    <s v="n/a"/>
    <s v="n/a"/>
    <s v="n/a"/>
    <s v="n/a"/>
    <s v="n/a"/>
    <x v="2"/>
    <x v="2"/>
    <s v="n/a"/>
  </r>
  <r>
    <s v="SO-50213"/>
    <s v="PL-NTE"/>
    <x v="10"/>
    <s v="BOT-1014"/>
    <n v="429"/>
    <d v="2026-06-02T00:00:00"/>
    <s v="In Transit"/>
    <s v="OK"/>
    <n v="3.92"/>
    <n v="49"/>
    <n v="98"/>
    <s v="OK"/>
    <n v="2"/>
    <m/>
    <n v="8.7551020408163271"/>
    <n v="7.0070000000000006"/>
    <n v="26.530612244897959"/>
    <n v="1"/>
    <n v="26.530612244897959"/>
    <x v="1"/>
    <x v="0"/>
    <s v="OK"/>
  </r>
  <r>
    <s v="SO-50995"/>
    <s v="PL-SUR"/>
    <x v="7"/>
    <s v="BOT-1020"/>
    <n v="2072"/>
    <d v="2026-06-03T00:00:00"/>
    <s v="In Transit"/>
    <s v="OK"/>
    <n v="6.27"/>
    <n v="67"/>
    <n v="90"/>
    <s v="OK"/>
    <n v="1"/>
    <m/>
    <n v="30.925373134328357"/>
    <n v="54.130999999999993"/>
    <n v="93.713251922207135"/>
    <n v="1"/>
    <n v="93.713251922207135"/>
    <x v="0"/>
    <x v="0"/>
    <s v="OK"/>
  </r>
  <r>
    <s v="SO-50241"/>
    <s v="PL-NTE"/>
    <x v="11"/>
    <s v="ABA-1019"/>
    <n v="1563"/>
    <d v="2026-06-03T00:00:00"/>
    <s v="In Transit"/>
    <s v="OK"/>
    <n v="14.82"/>
    <n v="132"/>
    <n v="373"/>
    <s v="OK"/>
    <n v="1"/>
    <m/>
    <n v="11.840909090909092"/>
    <n v="96.515249999999995"/>
    <n v="35.88154269972452"/>
    <n v="1"/>
    <n v="96.515249999999995"/>
    <x v="0"/>
    <x v="0"/>
    <s v="OK"/>
  </r>
  <r>
    <s v="SO-50932"/>
    <s v="PL-SUR"/>
    <x v="7"/>
    <s v="LAC-1017"/>
    <n v="2616"/>
    <d v="2026-06-03T00:00:00"/>
    <s v="In Transit"/>
    <s v="OK"/>
    <n v="7.45"/>
    <n v="147"/>
    <n v="28"/>
    <s v="OK"/>
    <n v="1"/>
    <m/>
    <n v="17.795918367346939"/>
    <n v="81.204999999999998"/>
    <n v="53.927025355596783"/>
    <n v="1"/>
    <n v="81.204999999999998"/>
    <x v="0"/>
    <x v="0"/>
    <s v="OK"/>
  </r>
  <r>
    <s v="SO-50059"/>
    <s v="PL-NTE"/>
    <x v="14"/>
    <s v="LAC-1003"/>
    <n v="2087"/>
    <d v="2026-06-03T00:00:00"/>
    <s v="In Transit"/>
    <s v="OK"/>
    <n v="9.02"/>
    <n v="114"/>
    <n v="18"/>
    <s v="OK"/>
    <n v="1"/>
    <m/>
    <n v="18.307017543859651"/>
    <n v="78.436416666666659"/>
    <n v="55.475810738968633"/>
    <n v="1"/>
    <n v="78.436416666666659"/>
    <x v="0"/>
    <x v="0"/>
    <s v="OK"/>
  </r>
  <r>
    <s v="SO-50797"/>
    <s v="PL-SUR"/>
    <x v="7"/>
    <s v="PRO-1014"/>
    <n v="1705"/>
    <d v="2026-06-03T00:00:00"/>
    <s v="In Transit"/>
    <s v="OK"/>
    <n v="5.27"/>
    <n v="60"/>
    <n v="129"/>
    <s v="OK"/>
    <n v="1"/>
    <m/>
    <n v="28.416666666666668"/>
    <n v="37.438958333333325"/>
    <n v="86.111111111111114"/>
    <n v="1"/>
    <n v="86.111111111111114"/>
    <x v="0"/>
    <x v="0"/>
    <s v="OK"/>
  </r>
  <r>
    <s v="SO-50014"/>
    <s v="PL-NTE"/>
    <x v="2"/>
    <s v="BOT-1021"/>
    <n v="491"/>
    <d v="2026-06-03T00:00:00"/>
    <s v="In Transit"/>
    <s v="OK"/>
    <n v="5.04"/>
    <n v="47"/>
    <n v="96"/>
    <s v="OK"/>
    <n v="1"/>
    <m/>
    <n v="10.446808510638299"/>
    <n v="10.311"/>
    <n v="31.656995486782723"/>
    <n v="1"/>
    <n v="31.656995486782723"/>
    <x v="1"/>
    <x v="0"/>
    <s v="OK"/>
  </r>
  <r>
    <s v="SO-50811"/>
    <s v="PL-NTE"/>
    <x v="2"/>
    <s v="BEB-1011"/>
    <n v="804"/>
    <d v="2026-06-02T00:00:00"/>
    <s v="In Transit"/>
    <s v="OK"/>
    <n v="23.39"/>
    <n v="79"/>
    <n v="329"/>
    <s v="OK"/>
    <n v="2"/>
    <m/>
    <n v="10.177215189873417"/>
    <n v="78.356500000000011"/>
    <n v="30.840046029919442"/>
    <n v="1"/>
    <n v="78.356500000000011"/>
    <x v="0"/>
    <x v="0"/>
    <s v="OK"/>
  </r>
  <r>
    <s v="SO-50428"/>
    <s v="PL-SUR"/>
    <x v="12"/>
    <s v="ABA-1004"/>
    <n v="1683"/>
    <d v="2026-06-03T00:00:00"/>
    <s v="In Transit"/>
    <s v="OK"/>
    <n v="12.85"/>
    <n v="91"/>
    <n v="297"/>
    <s v="OK"/>
    <n v="1"/>
    <m/>
    <n v="18.494505494505493"/>
    <n v="90.110624999999999"/>
    <n v="56.043956043956037"/>
    <n v="1"/>
    <n v="90.110624999999999"/>
    <x v="0"/>
    <x v="0"/>
    <s v="OK"/>
  </r>
  <r>
    <s v="SO-50275"/>
    <s v="PL-NTE"/>
    <x v="2"/>
    <s v="BEB-1017"/>
    <n v="951"/>
    <d v="2026-06-03T00:00:00"/>
    <s v="In Transit"/>
    <s v="OK"/>
    <n v="21.3"/>
    <n v="108"/>
    <n v="345"/>
    <s v="OK"/>
    <n v="1"/>
    <m/>
    <n v="8.8055555555555554"/>
    <n v="84.40124999999999"/>
    <n v="26.683501683501682"/>
    <n v="1"/>
    <n v="84.40124999999999"/>
    <x v="0"/>
    <x v="0"/>
    <s v="OK"/>
  </r>
  <r>
    <s v="SO-50974"/>
    <s v="PL-CEN"/>
    <x v="8"/>
    <s v="LAC-1006"/>
    <n v="879"/>
    <d v="2026-06-03T00:00:00"/>
    <s v="Delivered"/>
    <s v="OK"/>
    <n v="10.029999999999999"/>
    <n v="126"/>
    <n v="17"/>
    <s v="OK"/>
    <n v="1"/>
    <m/>
    <n v="6.9761904761904763"/>
    <n v="36.734874999999995"/>
    <n v="21.139971139971138"/>
    <n v="1"/>
    <n v="36.734874999999995"/>
    <x v="1"/>
    <x v="0"/>
    <s v="OK"/>
  </r>
  <r>
    <s v="SO-50143"/>
    <s v="PL-SUR"/>
    <x v="6"/>
    <s v="BEB-1005"/>
    <n v="-100"/>
    <d v="2026-06-01T00:00:00"/>
    <s v="In Transit"/>
    <s v="INVALIDO"/>
    <n v="14.2"/>
    <n v="95"/>
    <n v="277"/>
    <s v="OK"/>
    <n v="3"/>
    <m/>
    <n v="-1.0526315789473684"/>
    <n v="-5.916666666666667"/>
    <n v="-3.1897926634768736"/>
    <n v="0"/>
    <s v=""/>
    <x v="0"/>
    <x v="0"/>
    <s v="OK"/>
  </r>
  <r>
    <s v="SO-50826"/>
    <s v="PL-CEN"/>
    <x v="3"/>
    <s v="BOT-1017"/>
    <n v="1093"/>
    <d v="2026-06-03T00:00:00"/>
    <s v="In Transit"/>
    <s v="OK"/>
    <n v="3.75"/>
    <n v="41"/>
    <n v="106"/>
    <s v="OK"/>
    <n v="1"/>
    <m/>
    <n v="26.658536585365855"/>
    <n v="17.078125"/>
    <n v="80.783444198078342"/>
    <n v="1"/>
    <n v="80.783444198078342"/>
    <x v="0"/>
    <x v="0"/>
    <s v="OK"/>
  </r>
  <r>
    <s v="SO-50046"/>
    <s v="PL-NTE"/>
    <x v="10"/>
    <s v="LAC-1013"/>
    <n v="2673"/>
    <d v="2026-05-30T00:00:00"/>
    <s v="In Transit"/>
    <s v="OK"/>
    <n v="8.32"/>
    <n v="98"/>
    <n v="16"/>
    <s v="OK"/>
    <n v="5"/>
    <m/>
    <n v="27.275510204081634"/>
    <n v="92.664000000000001"/>
    <n v="82.653061224489804"/>
    <n v="1"/>
    <n v="92.664000000000001"/>
    <x v="0"/>
    <x v="1"/>
    <s v="OK"/>
  </r>
  <r>
    <s v="SO-50832"/>
    <s v="PL-CEN"/>
    <x v="13"/>
    <s v="ABA-1007"/>
    <n v="2046"/>
    <d v="2026-06-03T00:00:00"/>
    <s v="In Transit"/>
    <s v="OK"/>
    <n v="9.7899999999999991"/>
    <n v="123"/>
    <n v="334"/>
    <s v="OK"/>
    <n v="1"/>
    <m/>
    <n v="16.634146341463413"/>
    <n v="83.459749999999985"/>
    <n v="50.40650406504065"/>
    <n v="1"/>
    <n v="83.459749999999985"/>
    <x v="0"/>
    <x v="0"/>
    <s v="OK"/>
  </r>
  <r>
    <s v="SO-50584"/>
    <s v="PL-SUR"/>
    <x v="4"/>
    <s v="ABA-1019"/>
    <n v="1483"/>
    <d v="2026-06-03T00:00:00"/>
    <s v="In Transit"/>
    <s v="OK"/>
    <n v="14.82"/>
    <n v="132"/>
    <n v="373"/>
    <s v="OK"/>
    <n v="1"/>
    <m/>
    <n v="11.234848484848484"/>
    <n v="91.575250000000011"/>
    <n v="34.04499540863177"/>
    <n v="1"/>
    <n v="91.575250000000011"/>
    <x v="0"/>
    <x v="0"/>
    <s v="OK"/>
  </r>
  <r>
    <s v="SO-50150"/>
    <s v="PL-CEN"/>
    <x v="3"/>
    <s v="PRO-1011"/>
    <n v="962"/>
    <d v="2026-06-03T00:00:00"/>
    <s v="In Transit"/>
    <s v="OK"/>
    <n v="4.3600000000000003"/>
    <n v="88"/>
    <n v="108"/>
    <s v="OK"/>
    <n v="1"/>
    <m/>
    <n v="10.931818181818182"/>
    <n v="17.476333333333336"/>
    <n v="33.126721763085399"/>
    <n v="1"/>
    <n v="33.126721763085399"/>
    <x v="1"/>
    <x v="0"/>
    <s v="OK"/>
  </r>
  <r>
    <s v="SO-50439"/>
    <s v="PL-NTE"/>
    <x v="11"/>
    <s v="BEB-1006"/>
    <n v="1343"/>
    <d v="2026-06-03T00:00:00"/>
    <s v="In Transit"/>
    <s v="OK"/>
    <n v="17.18"/>
    <n v="81"/>
    <n v="293"/>
    <s v="OK"/>
    <n v="1"/>
    <m/>
    <n v="16.580246913580247"/>
    <n v="96.136416666666662"/>
    <n v="50.243172465394693"/>
    <n v="1"/>
    <n v="96.136416666666662"/>
    <x v="0"/>
    <x v="0"/>
    <s v="OK"/>
  </r>
  <r>
    <s v="SO-50918"/>
    <s v="PL-NTE"/>
    <x v="2"/>
    <s v="ABA-1001"/>
    <n v="1175"/>
    <d v="2026-06-02T00:00:00"/>
    <s v="In Transit"/>
    <s v="OK"/>
    <n v="0"/>
    <n v="100"/>
    <n v="512"/>
    <s v="OK"/>
    <n v="2"/>
    <m/>
    <n v="11.75"/>
    <n v="0"/>
    <n v="35.606060606060609"/>
    <n v="1"/>
    <n v="35.606060606060609"/>
    <x v="1"/>
    <x v="0"/>
    <s v="OK"/>
  </r>
  <r>
    <s v="SO-50795"/>
    <s v="PL-NTE"/>
    <x v="2"/>
    <s v="PRO-1005"/>
    <n v="1859"/>
    <d v="2026-06-02T00:00:00"/>
    <s v="In Transit"/>
    <s v="OK"/>
    <n v="11.02"/>
    <n v="69"/>
    <n v="86"/>
    <s v="OK"/>
    <n v="2"/>
    <m/>
    <n v="26.942028985507246"/>
    <n v="85.359083333333331"/>
    <n v="81.642512077294683"/>
    <n v="1"/>
    <n v="85.359083333333331"/>
    <x v="0"/>
    <x v="0"/>
    <s v="OK"/>
  </r>
  <r>
    <s v="SO-50299"/>
    <s v="PL-CEN"/>
    <x v="9"/>
    <s v="BEB-1003"/>
    <n v="1046"/>
    <d v="2026-06-02T00:00:00"/>
    <s v="In Transit"/>
    <s v="OK"/>
    <n v="20.5"/>
    <n v="64"/>
    <n v="359"/>
    <s v="OK"/>
    <n v="2"/>
    <m/>
    <n v="16.34375"/>
    <n v="89.345833333333331"/>
    <n v="49.526515151515149"/>
    <n v="1"/>
    <n v="89.345833333333331"/>
    <x v="0"/>
    <x v="0"/>
    <s v="OK"/>
  </r>
  <r>
    <s v="SO-50557"/>
    <s v="PL-NTE"/>
    <x v="1"/>
    <s v="ABA-1012"/>
    <n v="1516"/>
    <d v="2026-06-03T00:00:00"/>
    <s v="In Transit"/>
    <s v="OK"/>
    <n v="15.14"/>
    <n v="117"/>
    <n v="484"/>
    <s v="OK"/>
    <n v="1"/>
    <m/>
    <n v="12.957264957264957"/>
    <n v="95.634333333333345"/>
    <n v="39.264439264439268"/>
    <n v="1"/>
    <n v="95.634333333333345"/>
    <x v="0"/>
    <x v="0"/>
    <s v="OK"/>
  </r>
  <r>
    <s v="SO-50943"/>
    <s v="PL-SUR"/>
    <x v="7"/>
    <s v="BOT-1016"/>
    <n v="431"/>
    <d v="2026-06-03T00:00:00"/>
    <s v="In Transit"/>
    <s v="OK"/>
    <n v="5.53"/>
    <n v="42"/>
    <n v="114"/>
    <s v="OK"/>
    <n v="1"/>
    <m/>
    <n v="10.261904761904763"/>
    <n v="9.9309583333333347"/>
    <n v="31.096681096681099"/>
    <n v="1"/>
    <n v="31.096681096681099"/>
    <x v="1"/>
    <x v="0"/>
    <s v="OK"/>
  </r>
  <r>
    <s v="SO-50030"/>
    <s v="PL-NTE"/>
    <x v="1"/>
    <s v="LAC-1014"/>
    <n v="2833"/>
    <d v="2026-06-03T00:00:00"/>
    <s v="In Transit"/>
    <s v="OK"/>
    <n v="8.0500000000000007"/>
    <n v="147"/>
    <n v="28"/>
    <s v="OK"/>
    <n v="1"/>
    <m/>
    <n v="19.272108843537413"/>
    <n v="95.023541666666674"/>
    <n v="58.400329828901256"/>
    <n v="1"/>
    <n v="95.023541666666674"/>
    <x v="0"/>
    <x v="0"/>
    <s v="OK"/>
  </r>
  <r>
    <s v="SO-50986"/>
    <s v="PL-CEN"/>
    <x v="13"/>
    <s v="BEB-1010"/>
    <n v="1269"/>
    <d v="2026-06-03T00:00:00"/>
    <s v="In Transit"/>
    <s v="OK"/>
    <n v="0"/>
    <n v="71"/>
    <n v="192"/>
    <s v="OK"/>
    <n v="1"/>
    <m/>
    <n v="17.87323943661972"/>
    <n v="0"/>
    <n v="54.161331626120365"/>
    <n v="1"/>
    <n v="54.161331626120365"/>
    <x v="1"/>
    <x v="0"/>
    <s v="OK"/>
  </r>
  <r>
    <s v="SO-50512"/>
    <s v="PL-SUR"/>
    <x v="0"/>
    <s v="LAC-1016"/>
    <n v="756"/>
    <d v="2026-06-01T00:00:00"/>
    <s v="In Transit"/>
    <s v="OK"/>
    <n v="10.9"/>
    <n v="131"/>
    <n v="22"/>
    <s v="OK"/>
    <n v="3"/>
    <m/>
    <n v="5.770992366412214"/>
    <n v="34.335000000000001"/>
    <n v="17.487855655794586"/>
    <n v="1"/>
    <n v="34.335000000000001"/>
    <x v="1"/>
    <x v="0"/>
    <s v="OK"/>
  </r>
  <r>
    <s v="SO-50748"/>
    <s v="PL-NTE"/>
    <x v="1"/>
    <s v="BEB-1008"/>
    <n v="1118"/>
    <d v="2026-06-02T00:00:00"/>
    <s v="In Transit"/>
    <s v="OK"/>
    <n v="17.47"/>
    <n v="65"/>
    <n v="216"/>
    <s v="OK"/>
    <n v="2"/>
    <m/>
    <n v="17.2"/>
    <n v="81.381083333333322"/>
    <n v="52.121212121212125"/>
    <n v="1"/>
    <n v="81.381083333333322"/>
    <x v="0"/>
    <x v="0"/>
    <s v="OK"/>
  </r>
  <r>
    <s v="SO-50833"/>
    <s v="PL-CEN"/>
    <x v="13"/>
    <s v="BEB-1014"/>
    <n v="1769"/>
    <d v="2026-06-03T00:00:00"/>
    <s v="In Transit"/>
    <s v="OK"/>
    <n v="12.41"/>
    <n v="95"/>
    <n v="227"/>
    <s v="OK"/>
    <n v="1"/>
    <m/>
    <n v="18.621052631578948"/>
    <n v="91.472041666666669"/>
    <n v="56.427432216905906"/>
    <n v="1"/>
    <n v="91.472041666666669"/>
    <x v="0"/>
    <x v="0"/>
    <s v="OK"/>
  </r>
  <r>
    <s v="SO-50845"/>
    <s v="PL-NTE"/>
    <x v="11"/>
    <s v="BOT-1012"/>
    <n v="2015"/>
    <d v="2026-06-02T00:00:00"/>
    <s v="In Transit"/>
    <s v="OK"/>
    <n v="4.26"/>
    <n v="68"/>
    <n v="117"/>
    <s v="OK"/>
    <n v="2"/>
    <m/>
    <n v="29.632352941176471"/>
    <n v="35.766249999999999"/>
    <n v="89.795008912655973"/>
    <n v="1"/>
    <n v="89.795008912655973"/>
    <x v="0"/>
    <x v="0"/>
    <s v="OK"/>
  </r>
  <r>
    <s v="SO-50692"/>
    <s v="PL-SUR"/>
    <x v="12"/>
    <s v="PRO-1002"/>
    <n v="2129"/>
    <d v="2026-06-03T00:00:00"/>
    <s v="In Transit"/>
    <s v="OK"/>
    <n v="9.6999999999999993"/>
    <n v="98"/>
    <n v="115"/>
    <s v="OK"/>
    <n v="1"/>
    <m/>
    <n v="21.724489795918366"/>
    <n v="86.047083333333333"/>
    <n v="65.831787260358681"/>
    <n v="1"/>
    <n v="86.047083333333333"/>
    <x v="0"/>
    <x v="0"/>
    <s v="OK"/>
  </r>
  <r>
    <s v="SO-50091"/>
    <s v="PL-NTE"/>
    <x v="1"/>
    <s v="BOT-1011"/>
    <n v="2645"/>
    <d v="2026-06-01T00:00:00"/>
    <s v="In Transit"/>
    <s v="OK"/>
    <n v="3.43"/>
    <n v="88"/>
    <n v="109"/>
    <s v="OK"/>
    <n v="3"/>
    <m/>
    <n v="30.056818181818183"/>
    <n v="37.801458333333336"/>
    <n v="91.081267217630852"/>
    <n v="1"/>
    <n v="91.081267217630852"/>
    <x v="0"/>
    <x v="0"/>
    <s v="OK"/>
  </r>
  <r>
    <s v="SO-50067"/>
    <s v="PL-NTE"/>
    <x v="1"/>
    <s v="BEB-1007"/>
    <n v="509"/>
    <d v="2026-06-02T00:00:00"/>
    <s v="In Transit"/>
    <s v="OK"/>
    <n v="13.67"/>
    <n v="78"/>
    <n v="247"/>
    <s v="OK"/>
    <n v="2"/>
    <m/>
    <n v="6.5256410256410255"/>
    <n v="28.991791666666668"/>
    <n v="19.774669774669775"/>
    <n v="1"/>
    <n v="28.991791666666668"/>
    <x v="1"/>
    <x v="0"/>
    <s v="OK"/>
  </r>
  <r>
    <s v="SO-50412"/>
    <s v="PL-NTE"/>
    <x v="10"/>
    <s v="BOT-1010"/>
    <n v="428"/>
    <d v="2026-06-01T00:00:00"/>
    <s v="In Transit"/>
    <s v="OK"/>
    <n v="5.09"/>
    <n v="40"/>
    <n v="90"/>
    <s v="OK"/>
    <n v="3"/>
    <m/>
    <n v="10.7"/>
    <n v="9.0771666666666668"/>
    <n v="32.424242424242422"/>
    <n v="1"/>
    <n v="32.424242424242422"/>
    <x v="1"/>
    <x v="0"/>
    <s v="OK"/>
  </r>
  <r>
    <s v="SO-50326"/>
    <s v="PL-NTE"/>
    <x v="2"/>
    <s v="PRO-1015"/>
    <n v="2870"/>
    <d v="2026-06-02T00:00:00"/>
    <s v="In Transit"/>
    <s v="OK"/>
    <n v="6.16"/>
    <n v="104"/>
    <n v="67"/>
    <s v="OK"/>
    <n v="2"/>
    <m/>
    <n v="27.596153846153847"/>
    <n v="73.663333333333341"/>
    <n v="83.624708624708617"/>
    <n v="1"/>
    <n v="83.624708624708617"/>
    <x v="0"/>
    <x v="0"/>
    <s v="OK"/>
  </r>
  <r>
    <s v="SO-50220"/>
    <s v="PL-CEN"/>
    <x v="5"/>
    <s v="LAC-1014"/>
    <n v="1419"/>
    <d v="2026-06-03T00:00:00"/>
    <s v="In Transit"/>
    <s v="OK"/>
    <n v="8.0500000000000007"/>
    <n v="147"/>
    <n v="28"/>
    <s v="OK"/>
    <n v="1"/>
    <m/>
    <n v="9.6530612244897966"/>
    <n v="47.595625000000005"/>
    <n v="29.251700680272112"/>
    <n v="1"/>
    <n v="47.595625000000005"/>
    <x v="1"/>
    <x v="0"/>
    <s v="OK"/>
  </r>
  <r>
    <s v="SO-50217"/>
    <s v="PL-CEN"/>
    <x v="13"/>
    <s v="LAC-1013"/>
    <n v="2701"/>
    <d v="2026-06-03T00:00:00"/>
    <s v="In Transit"/>
    <s v="OK"/>
    <n v="8.32"/>
    <n v="98"/>
    <n v="16"/>
    <s v="OK"/>
    <n v="1"/>
    <m/>
    <n v="27.561224489795919"/>
    <n v="93.634666666666661"/>
    <n v="83.518862090290654"/>
    <n v="1"/>
    <n v="93.634666666666661"/>
    <x v="0"/>
    <x v="0"/>
    <s v="OK"/>
  </r>
  <r>
    <s v="SO-50024"/>
    <s v="PL-NTE"/>
    <x v="1"/>
    <s v="BOT-1013"/>
    <n v="1691"/>
    <d v="2026-06-02T00:00:00"/>
    <s v="In Transit"/>
    <s v="OK"/>
    <n v="4"/>
    <n v="58"/>
    <n v="112"/>
    <s v="OK"/>
    <n v="2"/>
    <m/>
    <n v="29.155172413793103"/>
    <n v="28.183333333333334"/>
    <n v="88.349007314524556"/>
    <n v="1"/>
    <n v="88.349007314524556"/>
    <x v="0"/>
    <x v="0"/>
    <s v="OK"/>
  </r>
  <r>
    <s v="SO-50609"/>
    <s v="PL-SUR"/>
    <x v="7"/>
    <s v="PRO-1003"/>
    <n v="1490"/>
    <d v="2026-06-03T00:00:00"/>
    <s v="In Transit"/>
    <s v="OK"/>
    <n v="13.9"/>
    <n v="69"/>
    <n v="106"/>
    <s v="OK"/>
    <n v="1"/>
    <m/>
    <n v="21.594202898550726"/>
    <n v="86.295833333333334"/>
    <n v="65.436978480456744"/>
    <n v="1"/>
    <n v="86.295833333333334"/>
    <x v="0"/>
    <x v="0"/>
    <s v="OK"/>
  </r>
  <r>
    <s v="SO-50397"/>
    <s v="PL-SUR"/>
    <x v="12"/>
    <s v="LAC-1014"/>
    <n v="848"/>
    <d v="2026-06-03T00:00:00"/>
    <s v="In Transit"/>
    <s v="OK"/>
    <n v="8.0500000000000007"/>
    <n v="147"/>
    <n v="28"/>
    <s v="OK"/>
    <n v="1"/>
    <m/>
    <n v="5.7687074829931975"/>
    <n v="28.443333333333339"/>
    <n v="17.480931766646052"/>
    <n v="1"/>
    <n v="28.443333333333339"/>
    <x v="1"/>
    <x v="0"/>
    <s v="OK"/>
  </r>
  <r>
    <s v="SO-51064"/>
    <s v="PL-NTE"/>
    <x v="14"/>
    <s v="BOT-1023"/>
    <n v="1314"/>
    <d v="2026-06-01T00:00:00"/>
    <s v="In Transit"/>
    <s v="OK"/>
    <n v="4.29"/>
    <n v="44"/>
    <n v="111"/>
    <s v="OK"/>
    <n v="3"/>
    <m/>
    <n v="29.863636363636363"/>
    <n v="23.487750000000002"/>
    <n v="90.495867768595033"/>
    <n v="1"/>
    <n v="90.495867768595033"/>
    <x v="0"/>
    <x v="0"/>
    <s v="OK"/>
  </r>
  <r>
    <s v="SO-51058"/>
    <s v="PL-CEN"/>
    <x v="5"/>
    <s v="ABA-1000"/>
    <n v="1300"/>
    <d v="2026-06-01T00:00:00"/>
    <s v="In Transit"/>
    <s v="OK"/>
    <n v="15.2"/>
    <n v="135"/>
    <n v="361"/>
    <s v="OK"/>
    <n v="3"/>
    <m/>
    <n v="9.6296296296296298"/>
    <n v="82.333333333333343"/>
    <n v="29.180695847362514"/>
    <n v="1"/>
    <n v="82.333333333333343"/>
    <x v="0"/>
    <x v="0"/>
    <s v="OK"/>
  </r>
  <r>
    <s v="SO-50698"/>
    <s v="PL-CEN"/>
    <x v="9"/>
    <s v="LAC-1001"/>
    <n v="2180"/>
    <d v="2026-06-03T00:00:00"/>
    <s v="In Transit"/>
    <s v="OK"/>
    <n v="7.51"/>
    <n v="83"/>
    <n v="18"/>
    <s v="OK"/>
    <n v="1"/>
    <m/>
    <n v="26.265060240963855"/>
    <n v="68.215833333333336"/>
    <n v="79.5910916392844"/>
    <n v="1"/>
    <n v="79.5910916392844"/>
    <x v="0"/>
    <x v="0"/>
    <s v="OK"/>
  </r>
  <r>
    <s v="SO-51085"/>
    <s v="PL-SUR"/>
    <x v="6"/>
    <s v="BEB-1005"/>
    <n v="1532"/>
    <d v="2026-06-03T00:00:00"/>
    <s v="In Transit"/>
    <s v="OK"/>
    <n v="14.2"/>
    <n v="95"/>
    <n v="277"/>
    <s v="OK"/>
    <n v="1"/>
    <m/>
    <n v="16.126315789473683"/>
    <n v="90.643333333333317"/>
    <n v="48.867623604465706"/>
    <n v="1"/>
    <n v="90.643333333333317"/>
    <x v="0"/>
    <x v="0"/>
    <s v="OK"/>
  </r>
  <r>
    <s v="SO-50823"/>
    <s v="PL-SUR"/>
    <x v="4"/>
    <s v="LAC-1008"/>
    <n v="801"/>
    <d v="2026-06-03T00:00:00"/>
    <s v="In Transit"/>
    <s v="OK"/>
    <n v="9.8000000000000007"/>
    <n v="83"/>
    <n v="15"/>
    <s v="OK"/>
    <n v="1"/>
    <m/>
    <n v="9.6506024096385534"/>
    <n v="32.707500000000003"/>
    <n v="29.244249726177436"/>
    <n v="1"/>
    <n v="32.707500000000003"/>
    <x v="1"/>
    <x v="0"/>
    <s v="OK"/>
  </r>
  <r>
    <s v="SO-50706"/>
    <s v="PL-CEN"/>
    <x v="3"/>
    <s v="ABA-1007"/>
    <n v="2014"/>
    <d v="2026-06-01T00:00:00"/>
    <s v="In Transit"/>
    <s v="OK"/>
    <n v="9.7899999999999991"/>
    <n v="123"/>
    <n v="334"/>
    <s v="OK"/>
    <n v="3"/>
    <m/>
    <n v="16.373983739837399"/>
    <n v="82.154416666666648"/>
    <n v="49.618132544961817"/>
    <n v="1"/>
    <n v="82.154416666666648"/>
    <x v="0"/>
    <x v="0"/>
    <s v="OK"/>
  </r>
  <r>
    <s v="SO-50665"/>
    <s v="PL-NTE"/>
    <x v="10"/>
    <s v="PRO-1002"/>
    <n v="2119"/>
    <d v="2026-06-01T00:00:00"/>
    <s v="In Transit"/>
    <s v="OK"/>
    <n v="9.6999999999999993"/>
    <n v="98"/>
    <n v="115"/>
    <s v="OK"/>
    <n v="3"/>
    <m/>
    <n v="21.622448979591837"/>
    <n v="85.642916666666665"/>
    <n v="65.522572665429806"/>
    <n v="1"/>
    <n v="85.642916666666665"/>
    <x v="0"/>
    <x v="0"/>
    <s v="OK"/>
  </r>
  <r>
    <s v="SO-50933"/>
    <s v="PL-CEN"/>
    <x v="9"/>
    <s v="PRO-1012"/>
    <n v="3074"/>
    <d v="2026-06-02T00:00:00"/>
    <s v="In Transit"/>
    <s v="OK"/>
    <n v="6.87"/>
    <n v="101"/>
    <n v="62"/>
    <s v="OK"/>
    <n v="2"/>
    <m/>
    <n v="30.435643564356436"/>
    <n v="87.993250000000003"/>
    <n v="92.229222922292237"/>
    <n v="1"/>
    <n v="92.229222922292237"/>
    <x v="0"/>
    <x v="0"/>
    <s v="OK"/>
  </r>
  <r>
    <s v="SO-50127"/>
    <s v="PL-NTE"/>
    <x v="14"/>
    <s v="BEB-1000"/>
    <n v="1349"/>
    <d v="2026-06-03T00:00:00"/>
    <s v="In Transit"/>
    <s v="OK"/>
    <n v="16.489999999999998"/>
    <n v="102"/>
    <n v="315"/>
    <s v="OK"/>
    <n v="1"/>
    <m/>
    <n v="13.225490196078431"/>
    <n v="92.687541666666661"/>
    <n v="40.07724301841948"/>
    <n v="1"/>
    <n v="92.687541666666661"/>
    <x v="0"/>
    <x v="0"/>
    <s v="OK"/>
  </r>
  <r>
    <s v="SO-50539"/>
    <s v="PL-CEN"/>
    <x v="9"/>
    <s v="PRO-1005"/>
    <n v="1209"/>
    <d v="2026-06-02T00:00:00"/>
    <s v="In Transit"/>
    <s v="OK"/>
    <n v="11.02"/>
    <n v="69"/>
    <n v="86"/>
    <s v="OK"/>
    <n v="2"/>
    <m/>
    <n v="17.521739130434781"/>
    <n v="55.513249999999999"/>
    <n v="53.096179183135703"/>
    <n v="1"/>
    <n v="55.513249999999999"/>
    <x v="1"/>
    <x v="0"/>
    <s v="OK"/>
  </r>
  <r>
    <s v="SO-51057"/>
    <s v="PL-CEN"/>
    <x v="5"/>
    <s v="ABA-1005"/>
    <n v="1447"/>
    <d v="2026-06-02T00:00:00"/>
    <s v="Delivered"/>
    <s v="OK"/>
    <n v="13.31"/>
    <n v="89"/>
    <n v="313"/>
    <s v="OK"/>
    <n v="2"/>
    <m/>
    <n v="16.258426966292134"/>
    <n v="80.248208333333338"/>
    <n v="49.26796050391556"/>
    <n v="1"/>
    <n v="80.248208333333338"/>
    <x v="0"/>
    <x v="0"/>
    <s v="OK"/>
  </r>
  <r>
    <s v="SO-50770"/>
    <s v="PL-CEN"/>
    <x v="9"/>
    <s v="PRO-1015"/>
    <n v="3239"/>
    <d v="2026-06-02T00:00:00"/>
    <s v="In Transit"/>
    <s v="OK"/>
    <n v="6.16"/>
    <n v="104"/>
    <n v="67"/>
    <s v="OK"/>
    <n v="2"/>
    <m/>
    <n v="31.14423076923077"/>
    <n v="83.134333333333345"/>
    <n v="94.376456876456885"/>
    <n v="1"/>
    <n v="94.376456876456885"/>
    <x v="0"/>
    <x v="0"/>
    <s v="OK"/>
  </r>
  <r>
    <s v="SO-50551"/>
    <s v="PL-NTE"/>
    <x v="10"/>
    <s v="ABA-1001"/>
    <n v="722"/>
    <d v="2026-06-01T00:00:00"/>
    <s v="In Transit"/>
    <s v="OK"/>
    <n v="0"/>
    <n v="100"/>
    <n v="512"/>
    <s v="OK"/>
    <n v="3"/>
    <m/>
    <n v="7.22"/>
    <n v="0"/>
    <n v="21.878787878787879"/>
    <n v="1"/>
    <n v="21.878787878787879"/>
    <x v="1"/>
    <x v="0"/>
    <s v="OK"/>
  </r>
  <r>
    <s v="SO-50607"/>
    <s v="PL-NTE"/>
    <x v="14"/>
    <s v="ABA-1015"/>
    <n v="1209"/>
    <d v="2026-06-03T00:00:00"/>
    <s v="In Transit"/>
    <s v="OK"/>
    <n v="8.19"/>
    <n v="82"/>
    <n v="317"/>
    <s v="OK"/>
    <n v="1"/>
    <m/>
    <n v="14.74390243902439"/>
    <n v="41.257124999999995"/>
    <n v="44.67849223946785"/>
    <n v="1"/>
    <n v="44.67849223946785"/>
    <x v="1"/>
    <x v="0"/>
    <s v="OK"/>
  </r>
  <r>
    <s v="SO-50642"/>
    <s v="PL-CEN"/>
    <x v="3"/>
    <s v="XXX-8916"/>
    <n v="2624"/>
    <d v="2026-06-01T00:00:00"/>
    <s v="In Transit"/>
    <s v="OK"/>
    <n v="0"/>
    <n v="0"/>
    <n v="0"/>
    <s v="HUERFANO"/>
    <n v="3"/>
    <m/>
    <s v="n/a"/>
    <s v="n/a"/>
    <s v="n/a"/>
    <s v="n/a"/>
    <s v="n/a"/>
    <x v="2"/>
    <x v="2"/>
    <s v="n/a"/>
  </r>
  <r>
    <s v="SO-50426"/>
    <s v="PL-CEN"/>
    <x v="13"/>
    <s v="BOT-1000"/>
    <n v="1881"/>
    <d v="2026-06-03T00:00:00"/>
    <s v="In Transit"/>
    <s v="OK"/>
    <n v="3.56"/>
    <n v="64"/>
    <n v="92"/>
    <s v="OK"/>
    <n v="1"/>
    <m/>
    <n v="29.390625"/>
    <n v="27.901500000000002"/>
    <n v="89.0625"/>
    <n v="1"/>
    <n v="89.0625"/>
    <x v="0"/>
    <x v="0"/>
    <s v="OK"/>
  </r>
  <r>
    <s v="SO-50375"/>
    <s v="PL-CEN"/>
    <x v="3"/>
    <s v="BOT-1012"/>
    <n v="1798"/>
    <d v="2026-06-01T00:00:00"/>
    <s v="In Transit"/>
    <s v="OK"/>
    <n v="4.26"/>
    <n v="68"/>
    <n v="117"/>
    <s v="OK"/>
    <n v="3"/>
    <m/>
    <n v="26.441176470588236"/>
    <n v="31.914499999999997"/>
    <n v="80.124777183600713"/>
    <n v="1"/>
    <n v="80.124777183600713"/>
    <x v="0"/>
    <x v="0"/>
    <s v="OK"/>
  </r>
  <r>
    <s v="SO-50267"/>
    <s v="PL-SUR"/>
    <x v="4"/>
    <s v="ABA-1002"/>
    <n v="1249"/>
    <d v="2026-06-02T00:00:00"/>
    <s v="In Transit"/>
    <s v="OK"/>
    <n v="15.1"/>
    <n v="74"/>
    <n v="443"/>
    <s v="OK"/>
    <n v="2"/>
    <m/>
    <n v="16.878378378378379"/>
    <n v="78.582916666666662"/>
    <n v="51.146601146601142"/>
    <n v="1"/>
    <n v="78.582916666666662"/>
    <x v="0"/>
    <x v="0"/>
    <s v="OK"/>
  </r>
  <r>
    <s v="SO-50144"/>
    <s v="PL-SUR"/>
    <x v="6"/>
    <s v="BOT-1023"/>
    <n v="622"/>
    <d v="2026-06-03T00:00:00"/>
    <s v="In Transit"/>
    <s v="OK"/>
    <n v="4.29"/>
    <n v="44"/>
    <n v="111"/>
    <s v="OK"/>
    <n v="1"/>
    <m/>
    <n v="14.136363636363637"/>
    <n v="11.11825"/>
    <n v="42.837465564738295"/>
    <n v="1"/>
    <n v="42.837465564738295"/>
    <x v="1"/>
    <x v="0"/>
    <s v="OK"/>
  </r>
  <r>
    <s v="SO-51061"/>
    <s v="PL-NTE"/>
    <x v="14"/>
    <s v="ABA-1017"/>
    <n v="2046"/>
    <d v="2026-06-02T00:00:00"/>
    <s v="In Transit"/>
    <s v="OK"/>
    <n v="10.96"/>
    <n v="128"/>
    <n v="520"/>
    <s v="OK"/>
    <n v="2"/>
    <m/>
    <n v="15.984375"/>
    <n v="93.434000000000012"/>
    <n v="48.4375"/>
    <n v="1"/>
    <n v="93.434000000000012"/>
    <x v="0"/>
    <x v="0"/>
    <s v="OK"/>
  </r>
  <r>
    <s v="SO-51031"/>
    <s v="PL-SUR"/>
    <x v="4"/>
    <s v="LAC-1015"/>
    <n v="1718"/>
    <d v="2026-05-18T00:00:00"/>
    <s v="In Transit"/>
    <s v="OK"/>
    <n v="11.26"/>
    <n v="129"/>
    <n v="24"/>
    <s v="OK"/>
    <n v="17"/>
    <m/>
    <n v="13.317829457364342"/>
    <n v="80.602833333333336"/>
    <n v="40.357058961710123"/>
    <n v="1"/>
    <n v="80.602833333333336"/>
    <x v="0"/>
    <x v="1"/>
    <s v="FANTASMA"/>
  </r>
  <r>
    <s v="SO-50108"/>
    <s v="PL-SUR"/>
    <x v="12"/>
    <s v="BOT-1016"/>
    <n v="1196"/>
    <d v="2026-06-03T00:00:00"/>
    <s v="In Transit"/>
    <s v="OK"/>
    <n v="5.53"/>
    <n v="42"/>
    <n v="114"/>
    <s v="OK"/>
    <n v="1"/>
    <m/>
    <n v="28.476190476190474"/>
    <n v="27.557833333333331"/>
    <n v="86.291486291486279"/>
    <n v="1"/>
    <n v="86.291486291486279"/>
    <x v="0"/>
    <x v="0"/>
    <s v="OK"/>
  </r>
  <r>
    <s v="SO-50122"/>
    <s v="PL-SUR"/>
    <x v="0"/>
    <s v="BOT-1011"/>
    <n v="2796"/>
    <d v="2026-05-31T00:00:00"/>
    <s v="In Transit"/>
    <s v="OK"/>
    <n v="3.43"/>
    <n v="88"/>
    <n v="109"/>
    <s v="OK"/>
    <n v="4"/>
    <m/>
    <n v="31.772727272727273"/>
    <n v="39.959500000000006"/>
    <n v="96.280991735537185"/>
    <n v="1"/>
    <n v="96.280991735537185"/>
    <x v="0"/>
    <x v="0"/>
    <s v="OK"/>
  </r>
  <r>
    <s v="SO-50193"/>
    <s v="PL-SUR"/>
    <x v="12"/>
    <s v="PRO-1010"/>
    <n v="2719"/>
    <d v="2026-06-02T00:00:00"/>
    <s v="In Transit"/>
    <s v="OK"/>
    <n v="7.76"/>
    <n v="86"/>
    <n v="112"/>
    <s v="OK"/>
    <n v="2"/>
    <m/>
    <n v="31.61627906976744"/>
    <n v="87.914333333333332"/>
    <n v="95.806906272022559"/>
    <n v="1"/>
    <n v="95.806906272022559"/>
    <x v="0"/>
    <x v="0"/>
    <s v="OK"/>
  </r>
  <r>
    <s v="SO-50084"/>
    <s v="PL-CEN"/>
    <x v="3"/>
    <s v="BEB-1010"/>
    <n v="1773"/>
    <d v="2026-06-01T00:00:00"/>
    <s v="In Transit"/>
    <s v="OK"/>
    <n v="0"/>
    <n v="71"/>
    <n v="192"/>
    <s v="OK"/>
    <n v="3"/>
    <m/>
    <n v="24.971830985915492"/>
    <n v="0"/>
    <n v="75.672215108834834"/>
    <n v="1"/>
    <n v="75.672215108834834"/>
    <x v="0"/>
    <x v="0"/>
    <s v="OK"/>
  </r>
  <r>
    <s v="SO-50920"/>
    <s v="PL-CEN"/>
    <x v="5"/>
    <s v="ABA-1001"/>
    <n v="1848"/>
    <d v="2026-06-03T00:00:00"/>
    <s v="In Transit"/>
    <s v="OK"/>
    <n v="0"/>
    <n v="100"/>
    <n v="512"/>
    <s v="OK"/>
    <n v="1"/>
    <m/>
    <n v="18.48"/>
    <n v="0"/>
    <n v="56.000000000000007"/>
    <n v="1"/>
    <n v="56.000000000000007"/>
    <x v="1"/>
    <x v="0"/>
    <s v="OK"/>
  </r>
  <r>
    <s v="SO-50734"/>
    <s v="PL-NTE"/>
    <x v="2"/>
    <s v="PRO-1003"/>
    <n v="1380"/>
    <d v="2026-06-02T00:00:00"/>
    <s v="In Transit"/>
    <s v="OK"/>
    <n v="13.9"/>
    <n v="69"/>
    <n v="106"/>
    <s v="OK"/>
    <n v="2"/>
    <m/>
    <n v="20"/>
    <n v="79.924999999999997"/>
    <n v="60.606060606060609"/>
    <n v="1"/>
    <n v="79.924999999999997"/>
    <x v="0"/>
    <x v="0"/>
    <s v="OK"/>
  </r>
  <r>
    <s v="SO-50087"/>
    <s v="PL-CEN"/>
    <x v="5"/>
    <s v="BOT-1018"/>
    <n v="2398"/>
    <d v="2026-06-03T00:00:00"/>
    <s v="In Transit"/>
    <s v="OK"/>
    <n v="6.23"/>
    <n v="78"/>
    <n v="99"/>
    <s v="OK"/>
    <n v="1"/>
    <m/>
    <n v="30.743589743589745"/>
    <n v="62.248083333333341"/>
    <n v="93.162393162393158"/>
    <n v="1"/>
    <n v="93.162393162393158"/>
    <x v="0"/>
    <x v="0"/>
    <s v="OK"/>
  </r>
  <r>
    <s v="SO-50086"/>
    <s v="PL-CEN"/>
    <x v="3"/>
    <s v="ABA-1008"/>
    <n v="1787"/>
    <d v="2026-06-01T00:00:00"/>
    <s v="In Transit"/>
    <s v="OK"/>
    <n v="10.6"/>
    <n v="96"/>
    <n v="445"/>
    <s v="OK"/>
    <n v="3"/>
    <m/>
    <n v="18.614583333333332"/>
    <n v="78.925833333333344"/>
    <n v="56.407828282828277"/>
    <n v="1"/>
    <n v="78.925833333333344"/>
    <x v="0"/>
    <x v="0"/>
    <s v="OK"/>
  </r>
  <r>
    <s v="SO-50570"/>
    <s v="PL-CEN"/>
    <x v="9"/>
    <s v="BOT-1022"/>
    <n v="818"/>
    <d v="2026-06-02T00:00:00"/>
    <s v="In Transit"/>
    <s v="OK"/>
    <n v="3.48"/>
    <n v="55"/>
    <n v="118"/>
    <s v="OK"/>
    <n v="2"/>
    <m/>
    <n v="14.872727272727273"/>
    <n v="11.860999999999999"/>
    <n v="45.068870523415974"/>
    <n v="1"/>
    <n v="45.068870523415974"/>
    <x v="1"/>
    <x v="0"/>
    <s v="OK"/>
  </r>
  <r>
    <s v="SO-50522"/>
    <s v="PL-CEN"/>
    <x v="5"/>
    <s v="BEB-1004"/>
    <n v="547"/>
    <d v="2026-06-02T00:00:00"/>
    <s v="In Transit"/>
    <s v="OK"/>
    <n v="21.99"/>
    <n v="67"/>
    <n v="213"/>
    <s v="OK"/>
    <n v="2"/>
    <m/>
    <n v="8.1641791044776113"/>
    <n v="50.118874999999996"/>
    <n v="24.739936680235186"/>
    <n v="1"/>
    <n v="50.118874999999996"/>
    <x v="1"/>
    <x v="0"/>
    <s v="OK"/>
  </r>
  <r>
    <s v="SO-51047"/>
    <s v="PL-CEN"/>
    <x v="5"/>
    <s v="ABA-1009"/>
    <n v="537"/>
    <d v="2026-06-03T00:00:00"/>
    <s v="In Transit"/>
    <s v="OK"/>
    <n v="14.79"/>
    <n v="124"/>
    <n v="423"/>
    <s v="OK"/>
    <n v="1"/>
    <m/>
    <n v="4.330645161290323"/>
    <n v="33.092624999999998"/>
    <n v="13.123167155425222"/>
    <n v="1"/>
    <n v="33.092624999999998"/>
    <x v="1"/>
    <x v="0"/>
    <s v="OK"/>
  </r>
  <r>
    <s v="SO-51044"/>
    <s v="PL-NTE"/>
    <x v="2"/>
    <s v="LAC-1017"/>
    <n v="1225"/>
    <d v="2026-06-02T00:00:00"/>
    <s v="Delivered"/>
    <s v="OK"/>
    <n v="7.45"/>
    <n v="147"/>
    <n v="28"/>
    <s v="OK"/>
    <n v="2"/>
    <m/>
    <n v="8.3333333333333339"/>
    <n v="38.026041666666664"/>
    <n v="25.252525252525253"/>
    <n v="1"/>
    <n v="38.026041666666664"/>
    <x v="1"/>
    <x v="0"/>
    <s v="OK"/>
  </r>
  <r>
    <s v="SO-50244"/>
    <s v="PL-SUR"/>
    <x v="0"/>
    <s v="PRO-1014"/>
    <n v="1559"/>
    <d v="2026-06-02T00:00:00"/>
    <s v="In Transit"/>
    <s v="OK"/>
    <n v="5.27"/>
    <n v="60"/>
    <n v="129"/>
    <s v="OK"/>
    <n v="2"/>
    <m/>
    <n v="25.983333333333334"/>
    <n v="34.233041666666658"/>
    <n v="78.737373737373744"/>
    <n v="1"/>
    <n v="78.737373737373744"/>
    <x v="0"/>
    <x v="0"/>
    <s v="OK"/>
  </r>
  <r>
    <s v="SO-50740"/>
    <s v="PL-SUR"/>
    <x v="0"/>
    <s v="LAC-1012"/>
    <n v="1105"/>
    <d v="2026-06-01T00:00:00"/>
    <s v="In Transit"/>
    <s v="OK"/>
    <n v="9.8699999999999992"/>
    <n v="88"/>
    <n v="25"/>
    <s v="OK"/>
    <n v="3"/>
    <m/>
    <n v="12.556818181818182"/>
    <n v="45.443124999999995"/>
    <n v="38.050964187327821"/>
    <n v="1"/>
    <n v="45.443124999999995"/>
    <x v="1"/>
    <x v="0"/>
    <s v="OK"/>
  </r>
  <r>
    <s v="SO-50113"/>
    <s v="PL-NTE"/>
    <x v="2"/>
    <s v="BEB-1017"/>
    <n v="894"/>
    <d v="2026-06-03T00:00:00"/>
    <s v="In Transit"/>
    <s v="OK"/>
    <n v="21.3"/>
    <n v="108"/>
    <n v="345"/>
    <s v="OK"/>
    <n v="1"/>
    <m/>
    <n v="8.2777777777777786"/>
    <n v="79.342500000000001"/>
    <n v="25.084175084175087"/>
    <n v="1"/>
    <n v="79.342500000000001"/>
    <x v="0"/>
    <x v="0"/>
    <s v="OK"/>
  </r>
  <r>
    <s v="SO-50449"/>
    <s v="PL-CEN"/>
    <x v="5"/>
    <s v="PRO-1013"/>
    <n v="1621"/>
    <d v="2026-06-03T00:00:00"/>
    <s v="In Transit"/>
    <s v="OK"/>
    <n v="4.37"/>
    <n v="58"/>
    <n v="92"/>
    <s v="OK"/>
    <n v="1"/>
    <m/>
    <n v="27.948275862068964"/>
    <n v="29.515708333333336"/>
    <n v="84.691745036572613"/>
    <n v="1"/>
    <n v="84.691745036572613"/>
    <x v="0"/>
    <x v="0"/>
    <s v="OK"/>
  </r>
  <r>
    <s v="SO-50347"/>
    <s v="PL-CEN"/>
    <x v="8"/>
    <s v="PRO-1007"/>
    <n v="1705"/>
    <d v="2026-06-03T00:00:00"/>
    <s v="In Transit"/>
    <s v="OK"/>
    <n v="13.13"/>
    <n v="82"/>
    <n v="105"/>
    <s v="OK"/>
    <n v="1"/>
    <m/>
    <n v="20.792682926829269"/>
    <n v="93.277708333333337"/>
    <n v="63.00813008130082"/>
    <n v="1"/>
    <n v="93.277708333333337"/>
    <x v="0"/>
    <x v="0"/>
    <s v="OK"/>
  </r>
  <r>
    <s v="SO-50779"/>
    <s v="PL-NTE"/>
    <x v="14"/>
    <s v="BEB-1007"/>
    <n v="1469"/>
    <d v="2026-06-03T00:00:00"/>
    <s v="In Transit"/>
    <s v="OK"/>
    <n v="13.67"/>
    <n v="78"/>
    <n v="247"/>
    <s v="OK"/>
    <n v="1"/>
    <m/>
    <n v="18.833333333333332"/>
    <n v="83.671791666666664"/>
    <n v="57.070707070707073"/>
    <n v="1"/>
    <n v="83.671791666666664"/>
    <x v="0"/>
    <x v="0"/>
    <s v="OK"/>
  </r>
  <r>
    <s v="SO-50055"/>
    <s v="PL-CEN"/>
    <x v="9"/>
    <s v="LAC-1015"/>
    <n v="2013"/>
    <d v="2026-06-03T00:00:00"/>
    <s v="In Transit"/>
    <s v="OK"/>
    <n v="11.26"/>
    <n v="129"/>
    <n v="24"/>
    <s v="OK"/>
    <n v="1"/>
    <m/>
    <n v="15.604651162790697"/>
    <n v="94.443250000000006"/>
    <n v="47.286821705426348"/>
    <n v="1"/>
    <n v="94.443250000000006"/>
    <x v="0"/>
    <x v="0"/>
    <s v="OK"/>
  </r>
  <r>
    <s v="SO-50897"/>
    <s v="PL-NTE"/>
    <x v="14"/>
    <s v="LAC-1012"/>
    <n v="2271"/>
    <d v="2026-06-03T00:00:00"/>
    <s v="In Transit"/>
    <s v="OK"/>
    <n v="9.8699999999999992"/>
    <n v="88"/>
    <n v="25"/>
    <s v="OK"/>
    <n v="1"/>
    <m/>
    <n v="25.806818181818183"/>
    <n v="93.394874999999985"/>
    <n v="78.202479338842977"/>
    <n v="1"/>
    <n v="93.394874999999985"/>
    <x v="0"/>
    <x v="0"/>
    <s v="OK"/>
  </r>
  <r>
    <s v="SO-50789"/>
    <s v="PL-CEN"/>
    <x v="3"/>
    <s v="ABA-1006"/>
    <n v="655"/>
    <d v="2026-06-03T00:00:00"/>
    <s v="In Transit"/>
    <s v="OK"/>
    <n v="12.39"/>
    <n v="134"/>
    <n v="446"/>
    <s v="OK"/>
    <n v="1"/>
    <m/>
    <n v="4.8880597014925371"/>
    <n v="33.814375000000005"/>
    <n v="14.812302125734961"/>
    <n v="1"/>
    <n v="33.814375000000005"/>
    <x v="1"/>
    <x v="0"/>
    <s v="OK"/>
  </r>
  <r>
    <s v="SO-50223"/>
    <s v="PL-NTE"/>
    <x v="2"/>
    <s v="BOT-1014"/>
    <n v="1300"/>
    <d v="2026-06-03T00:00:00"/>
    <s v="In Transit"/>
    <s v="OK"/>
    <n v="3.92"/>
    <n v="49"/>
    <n v="98"/>
    <s v="OK"/>
    <n v="1"/>
    <m/>
    <n v="26.530612244897959"/>
    <n v="21.233333333333334"/>
    <n v="80.395794681508974"/>
    <n v="1"/>
    <n v="80.395794681508974"/>
    <x v="0"/>
    <x v="0"/>
    <s v="OK"/>
  </r>
  <r>
    <s v="SO-50318"/>
    <s v="PL-SUR"/>
    <x v="6"/>
    <s v="LAC-1002"/>
    <n v="2886"/>
    <d v="2026-06-02T00:00:00"/>
    <s v="In Transit"/>
    <s v="OK"/>
    <n v="7.71"/>
    <n v="101"/>
    <n v="23"/>
    <s v="OK"/>
    <n v="2"/>
    <m/>
    <n v="28.574257425742573"/>
    <n v="92.712750000000014"/>
    <n v="86.588658865886586"/>
    <n v="1"/>
    <n v="92.712750000000014"/>
    <x v="0"/>
    <x v="0"/>
    <s v="OK"/>
  </r>
  <r>
    <s v="SO-50546"/>
    <s v="PL-CEN"/>
    <x v="8"/>
    <s v="BEB-1011"/>
    <n v="473"/>
    <d v="2026-06-03T00:00:00"/>
    <s v="In Transit"/>
    <s v="OK"/>
    <n v="23.39"/>
    <n v="79"/>
    <n v="329"/>
    <s v="OK"/>
    <n v="1"/>
    <m/>
    <n v="5.9873417721518987"/>
    <n v="46.097791666666673"/>
    <n v="18.143459915611814"/>
    <n v="1"/>
    <n v="46.097791666666673"/>
    <x v="1"/>
    <x v="0"/>
    <s v="OK"/>
  </r>
  <r>
    <s v="SO-50682"/>
    <s v="PL-CEN"/>
    <x v="5"/>
    <s v="ABA-1000"/>
    <n v="1466"/>
    <d v="2026-06-03T00:00:00"/>
    <s v="In Transit"/>
    <s v="OK"/>
    <n v="15.2"/>
    <n v="135"/>
    <n v="361"/>
    <s v="OK"/>
    <n v="1"/>
    <m/>
    <n v="10.859259259259259"/>
    <n v="92.846666666666664"/>
    <n v="32.906846240179568"/>
    <n v="1"/>
    <n v="92.846666666666664"/>
    <x v="0"/>
    <x v="0"/>
    <s v="OK"/>
  </r>
  <r>
    <s v="SO-51083"/>
    <s v="PL-NTE"/>
    <x v="1"/>
    <s v="BEB-1005"/>
    <n v="1585"/>
    <d v="2026-06-02T00:00:00"/>
    <s v="In Transit"/>
    <s v="OK"/>
    <n v="14.2"/>
    <n v="95"/>
    <n v="277"/>
    <s v="OK"/>
    <n v="2"/>
    <m/>
    <n v="16.684210526315791"/>
    <n v="93.779166666666669"/>
    <n v="50.558213716108455"/>
    <n v="1"/>
    <n v="93.779166666666669"/>
    <x v="0"/>
    <x v="0"/>
    <s v="OK"/>
  </r>
  <r>
    <s v="SO-50958"/>
    <s v="PL-CEN"/>
    <x v="9"/>
    <s v="ABA-1009"/>
    <n v="1484"/>
    <d v="2026-06-03T00:00:00"/>
    <s v="In Transit"/>
    <s v="OK"/>
    <n v="14.79"/>
    <n v="124"/>
    <n v="423"/>
    <s v="OK"/>
    <n v="1"/>
    <m/>
    <n v="11.96774193548387"/>
    <n v="91.451499999999982"/>
    <n v="36.26588465298142"/>
    <n v="1"/>
    <n v="91.451499999999982"/>
    <x v="0"/>
    <x v="0"/>
    <s v="OK"/>
  </r>
  <r>
    <s v="SO-51079"/>
    <s v="PL-SUR"/>
    <x v="4"/>
    <s v="BEB-1017"/>
    <n v="919"/>
    <d v="2026-06-01T00:00:00"/>
    <s v="In Transit"/>
    <s v="OK"/>
    <n v="21.3"/>
    <n v="108"/>
    <n v="345"/>
    <s v="OK"/>
    <n v="3"/>
    <m/>
    <n v="8.5092592592592595"/>
    <n v="81.561250000000001"/>
    <n v="25.785634118967454"/>
    <n v="1"/>
    <n v="81.561250000000001"/>
    <x v="0"/>
    <x v="0"/>
    <s v="OK"/>
  </r>
  <r>
    <s v="SO-50792"/>
    <s v="PL-CEN"/>
    <x v="5"/>
    <s v="BOT-1015"/>
    <n v="1934"/>
    <d v="2026-06-02T00:00:00"/>
    <s v="In Transit"/>
    <s v="OK"/>
    <n v="3.64"/>
    <n v="62"/>
    <n v="114"/>
    <s v="OK"/>
    <n v="2"/>
    <m/>
    <n v="31.193548387096776"/>
    <n v="29.332333333333331"/>
    <n v="94.525904203323563"/>
    <n v="1"/>
    <n v="94.525904203323563"/>
    <x v="0"/>
    <x v="0"/>
    <s v="OK"/>
  </r>
  <r>
    <s v="SO-50307"/>
    <s v="PL-NTE"/>
    <x v="14"/>
    <s v="LAC-1004"/>
    <n v="1686"/>
    <d v="2026-06-03T00:00:00"/>
    <s v="In Transit"/>
    <s v="OK"/>
    <n v="11.45"/>
    <n v="93"/>
    <n v="16"/>
    <s v="OK"/>
    <n v="1"/>
    <m/>
    <n v="18.129032258064516"/>
    <n v="80.436249999999987"/>
    <n v="54.936461388074285"/>
    <n v="1"/>
    <n v="80.436249999999987"/>
    <x v="0"/>
    <x v="0"/>
    <s v="OK"/>
  </r>
  <r>
    <s v="SO-50803"/>
    <s v="PL-SUR"/>
    <x v="0"/>
    <s v="LAC-1012"/>
    <n v="959"/>
    <d v="2026-05-31T00:00:00"/>
    <s v="Delivered"/>
    <s v="OK"/>
    <n v="9.8699999999999992"/>
    <n v="88"/>
    <n v="25"/>
    <s v="OK"/>
    <n v="4"/>
    <m/>
    <n v="10.897727272727273"/>
    <n v="39.438875000000003"/>
    <n v="33.023415977961434"/>
    <n v="1"/>
    <n v="39.438875000000003"/>
    <x v="1"/>
    <x v="0"/>
    <s v="OK"/>
  </r>
  <r>
    <s v="SO-50080"/>
    <s v="PL-CEN"/>
    <x v="8"/>
    <s v="BEB-1015"/>
    <n v="953"/>
    <d v="2026-06-03T00:00:00"/>
    <s v="In Transit"/>
    <s v="OK"/>
    <n v="19.95"/>
    <n v="78"/>
    <n v="276"/>
    <s v="OK"/>
    <n v="1"/>
    <m/>
    <n v="12.217948717948717"/>
    <n v="79.218125000000001"/>
    <n v="37.024087024087024"/>
    <n v="1"/>
    <n v="79.218125000000001"/>
    <x v="0"/>
    <x v="0"/>
    <s v="OK"/>
  </r>
  <r>
    <s v="SO-50611"/>
    <s v="PL-NTE"/>
    <x v="1"/>
    <s v="PRO-1011"/>
    <n v="2573"/>
    <d v="2026-05-31T00:00:00"/>
    <s v="In Transit"/>
    <s v="OK"/>
    <n v="4.3600000000000003"/>
    <n v="88"/>
    <n v="108"/>
    <s v="OK"/>
    <n v="4"/>
    <m/>
    <n v="29.238636363636363"/>
    <n v="46.742833333333337"/>
    <n v="88.601928374655643"/>
    <n v="1"/>
    <n v="88.601928374655643"/>
    <x v="0"/>
    <x v="0"/>
    <s v="OK"/>
  </r>
  <r>
    <s v="SO-50115"/>
    <s v="PL-SUR"/>
    <x v="6"/>
    <s v="BEB-1013"/>
    <n v="1304"/>
    <d v="2026-05-31T00:00:00"/>
    <s v="In Transit"/>
    <s v="OK"/>
    <n v="17.28"/>
    <n v="97"/>
    <n v="271"/>
    <s v="OK"/>
    <n v="4"/>
    <m/>
    <n v="13.443298969072165"/>
    <n v="93.888000000000019"/>
    <n v="40.73726960324899"/>
    <n v="1"/>
    <n v="93.888000000000019"/>
    <x v="0"/>
    <x v="0"/>
    <s v="OK"/>
  </r>
  <r>
    <s v="SO-50991"/>
    <s v="PL-CEN"/>
    <x v="8"/>
    <s v="BEB-1016"/>
    <n v="-100"/>
    <d v="2026-06-03T00:00:00"/>
    <s v="In Transit"/>
    <s v="INVALIDO"/>
    <n v="0"/>
    <n v="98"/>
    <n v="359"/>
    <s v="OK"/>
    <n v="1"/>
    <m/>
    <n v="-1.0204081632653061"/>
    <n v="0"/>
    <n v="-3.0921459492888066"/>
    <n v="0"/>
    <s v=""/>
    <x v="0"/>
    <x v="0"/>
    <s v="OK"/>
  </r>
  <r>
    <s v="SO-50992"/>
    <s v="PL-CEN"/>
    <x v="3"/>
    <s v="PRO-1006"/>
    <n v="837"/>
    <d v="2026-06-01T00:00:00"/>
    <s v="In Transit"/>
    <s v="OK"/>
    <n v="12.09"/>
    <n v="80"/>
    <n v="138"/>
    <s v="OK"/>
    <n v="3"/>
    <m/>
    <n v="10.4625"/>
    <n v="42.163874999999997"/>
    <n v="31.704545454545457"/>
    <n v="1"/>
    <n v="42.163874999999997"/>
    <x v="1"/>
    <x v="0"/>
    <s v="OK"/>
  </r>
  <r>
    <s v="SO-51070"/>
    <s v="PL-SUR"/>
    <x v="12"/>
    <s v="PRO-1012"/>
    <n v="3076"/>
    <d v="2026-06-03T00:00:00"/>
    <s v="In Transit"/>
    <s v="OK"/>
    <n v="6.87"/>
    <n v="101"/>
    <n v="62"/>
    <s v="OK"/>
    <n v="1"/>
    <m/>
    <n v="30.455445544554454"/>
    <n v="88.0505"/>
    <n v="92.289228922892292"/>
    <n v="1"/>
    <n v="92.289228922892292"/>
    <x v="0"/>
    <x v="0"/>
    <s v="OK"/>
  </r>
  <r>
    <s v="SO-50815"/>
    <s v="PL-SUR"/>
    <x v="12"/>
    <s v="LAC-1001"/>
    <n v="1071"/>
    <d v="2026-06-02T00:00:00"/>
    <s v="In Transit"/>
    <s v="OK"/>
    <n v="7.51"/>
    <n v="83"/>
    <n v="18"/>
    <s v="OK"/>
    <n v="2"/>
    <m/>
    <n v="12.903614457831326"/>
    <n v="33.513375000000003"/>
    <n v="39.101861993428258"/>
    <n v="1"/>
    <n v="39.101861993428258"/>
    <x v="1"/>
    <x v="0"/>
    <s v="OK"/>
  </r>
  <r>
    <s v="SO-50196"/>
    <s v="PL-NTE"/>
    <x v="2"/>
    <s v="PRO-1001"/>
    <n v="2343"/>
    <d v="2026-06-03T00:00:00"/>
    <s v="In Transit"/>
    <s v="OK"/>
    <n v="9.57"/>
    <n v="92"/>
    <n v="122"/>
    <s v="OK"/>
    <n v="1"/>
    <m/>
    <n v="25.467391304347824"/>
    <n v="93.427125000000018"/>
    <n v="77.173913043478265"/>
    <n v="1"/>
    <n v="93.427125000000018"/>
    <x v="0"/>
    <x v="0"/>
    <s v="OK"/>
  </r>
  <r>
    <s v="SO-50261"/>
    <s v="PL-CEN"/>
    <x v="9"/>
    <s v="BEB-1020"/>
    <n v="1274"/>
    <d v="2026-06-03T00:00:00"/>
    <s v="In Transit"/>
    <s v="OK"/>
    <n v="16.66"/>
    <n v="85"/>
    <n v="333"/>
    <s v="OK"/>
    <n v="1"/>
    <m/>
    <n v="14.988235294117647"/>
    <n v="88.436833333333325"/>
    <n v="45.418894830659532"/>
    <n v="1"/>
    <n v="88.436833333333325"/>
    <x v="0"/>
    <x v="0"/>
    <s v="OK"/>
  </r>
  <r>
    <s v="SO-50314"/>
    <s v="PL-NTE"/>
    <x v="10"/>
    <s v="LAC-1002"/>
    <n v="2690"/>
    <d v="2026-06-01T00:00:00"/>
    <s v="In Transit"/>
    <s v="OK"/>
    <n v="7.71"/>
    <n v="101"/>
    <n v="23"/>
    <s v="OK"/>
    <n v="3"/>
    <m/>
    <n v="26.633663366336634"/>
    <n v="86.416250000000005"/>
    <n v="80.708070807080716"/>
    <n v="1"/>
    <n v="86.416250000000005"/>
    <x v="0"/>
    <x v="0"/>
    <s v="OK"/>
  </r>
  <r>
    <s v="SO-50105"/>
    <s v="PL-CEN"/>
    <x v="13"/>
    <s v="BOT-1014"/>
    <n v="1300"/>
    <d v="2026-06-03T00:00:00"/>
    <s v="In Transit"/>
    <s v="OK"/>
    <n v="3.92"/>
    <n v="49"/>
    <n v="98"/>
    <s v="OK"/>
    <n v="1"/>
    <m/>
    <n v="26.530612244897959"/>
    <n v="21.233333333333334"/>
    <n v="80.395794681508974"/>
    <n v="1"/>
    <n v="80.395794681508974"/>
    <x v="0"/>
    <x v="0"/>
    <s v="OK"/>
  </r>
  <r>
    <s v="SO-50238"/>
    <s v="PL-SUR"/>
    <x v="12"/>
    <s v="PRO-1005"/>
    <n v="980"/>
    <d v="2026-06-02T00:00:00"/>
    <s v="In Transit"/>
    <s v="OK"/>
    <n v="11.02"/>
    <n v="69"/>
    <n v="86"/>
    <s v="OK"/>
    <n v="2"/>
    <m/>
    <n v="14.202898550724637"/>
    <n v="44.998333333333335"/>
    <n v="43.039086517347386"/>
    <n v="1"/>
    <n v="44.998333333333335"/>
    <x v="1"/>
    <x v="0"/>
    <s v="OK"/>
  </r>
  <r>
    <s v="SO-50033"/>
    <s v="PL-NTE"/>
    <x v="2"/>
    <s v="PRO-1000"/>
    <n v="1824"/>
    <d v="2026-06-02T00:00:00"/>
    <s v="In Transit"/>
    <s v="OK"/>
    <n v="12.51"/>
    <n v="73"/>
    <n v="75"/>
    <s v="OK"/>
    <n v="2"/>
    <m/>
    <n v="24.986301369863014"/>
    <n v="95.075999999999993"/>
    <n v="75.716064757160652"/>
    <n v="1"/>
    <n v="95.075999999999993"/>
    <x v="0"/>
    <x v="0"/>
    <s v="OK"/>
  </r>
  <r>
    <s v="SO-50452"/>
    <s v="PL-NTE"/>
    <x v="1"/>
    <s v="PRO-1015"/>
    <n v="1248"/>
    <d v="2026-05-31T00:00:00"/>
    <s v="In Transit"/>
    <s v="OK"/>
    <n v="6.16"/>
    <n v="104"/>
    <n v="67"/>
    <s v="OK"/>
    <n v="4"/>
    <m/>
    <n v="12"/>
    <n v="32.031999999999996"/>
    <n v="36.363636363636367"/>
    <n v="1"/>
    <n v="36.363636363636367"/>
    <x v="1"/>
    <x v="0"/>
    <s v="OK"/>
  </r>
  <r>
    <s v="SO-50595"/>
    <s v="PL-NTE"/>
    <x v="11"/>
    <s v="BEB-1009"/>
    <n v="1163"/>
    <d v="2026-06-03T00:00:00"/>
    <s v="In Transit"/>
    <s v="OK"/>
    <n v="18.170000000000002"/>
    <n v="61"/>
    <n v="188"/>
    <s v="OK"/>
    <n v="1"/>
    <m/>
    <n v="19.065573770491802"/>
    <n v="88.048791666666688"/>
    <n v="57.774465971187283"/>
    <n v="1"/>
    <n v="88.048791666666688"/>
    <x v="0"/>
    <x v="0"/>
    <s v="OK"/>
  </r>
  <r>
    <s v="SO-50049"/>
    <s v="PL-NTE"/>
    <x v="2"/>
    <s v="BEB-1006"/>
    <n v="814"/>
    <d v="2026-06-02T00:00:00"/>
    <s v="In Transit"/>
    <s v="OK"/>
    <n v="17.18"/>
    <n v="81"/>
    <n v="293"/>
    <s v="OK"/>
    <n v="2"/>
    <m/>
    <n v="10.049382716049383"/>
    <n v="58.268833333333333"/>
    <n v="30.452674897119341"/>
    <n v="1"/>
    <n v="58.268833333333333"/>
    <x v="1"/>
    <x v="0"/>
    <s v="OK"/>
  </r>
  <r>
    <s v="SO-50828"/>
    <s v="PL-CEN"/>
    <x v="3"/>
    <s v="ABA-1000"/>
    <n v="573"/>
    <d v="2026-06-02T00:00:00"/>
    <s v="In Transit"/>
    <s v="OK"/>
    <n v="15.2"/>
    <n v="135"/>
    <n v="361"/>
    <s v="OK"/>
    <n v="2"/>
    <m/>
    <n v="4.2444444444444445"/>
    <n v="36.29"/>
    <n v="12.861952861952863"/>
    <n v="1"/>
    <n v="36.29"/>
    <x v="1"/>
    <x v="0"/>
    <s v="OK"/>
  </r>
  <r>
    <s v="SO-50582"/>
    <s v="PL-SUR"/>
    <x v="6"/>
    <s v="LAC-1002"/>
    <n v="2499"/>
    <d v="2026-05-31T00:00:00"/>
    <s v="Delivered"/>
    <s v="OK"/>
    <n v="7.71"/>
    <n v="101"/>
    <n v="23"/>
    <s v="OK"/>
    <n v="4"/>
    <m/>
    <n v="24.742574257425744"/>
    <n v="80.280375000000006"/>
    <n v="74.977497749774983"/>
    <n v="1"/>
    <n v="80.280375000000006"/>
    <x v="0"/>
    <x v="0"/>
    <s v="OK"/>
  </r>
  <r>
    <s v="SO-50979"/>
    <s v="PL-NTE"/>
    <x v="2"/>
    <s v="BOT-1020"/>
    <n v="2050"/>
    <d v="2026-06-03T00:00:00"/>
    <s v="In Transit"/>
    <s v="OK"/>
    <n v="6.27"/>
    <n v="67"/>
    <n v="90"/>
    <s v="OK"/>
    <n v="1"/>
    <m/>
    <n v="30.597014925373134"/>
    <n v="53.556250000000006"/>
    <n v="92.718227046585255"/>
    <n v="1"/>
    <n v="92.718227046585255"/>
    <x v="0"/>
    <x v="0"/>
    <s v="OK"/>
  </r>
  <r>
    <s v="SO-50202"/>
    <s v="PL-SUR"/>
    <x v="7"/>
    <s v="LAC-1006"/>
    <n v="1926"/>
    <d v="2026-06-03T00:00:00"/>
    <s v="In Transit"/>
    <s v="OK"/>
    <n v="10.029999999999999"/>
    <n v="126"/>
    <n v="17"/>
    <s v="OK"/>
    <n v="1"/>
    <m/>
    <n v="15.285714285714286"/>
    <n v="80.490750000000006"/>
    <n v="46.320346320346324"/>
    <n v="1"/>
    <n v="80.490750000000006"/>
    <x v="0"/>
    <x v="0"/>
    <s v="OK"/>
  </r>
  <r>
    <s v="SO-50975"/>
    <s v="PL-SUR"/>
    <x v="4"/>
    <s v="BOT-1021"/>
    <n v="1263"/>
    <d v="2026-06-03T00:00:00"/>
    <s v="In Transit"/>
    <s v="OK"/>
    <n v="5.04"/>
    <n v="47"/>
    <n v="96"/>
    <s v="OK"/>
    <n v="1"/>
    <m/>
    <n v="26.872340425531913"/>
    <n v="26.523000000000003"/>
    <n v="81.431334622823982"/>
    <n v="1"/>
    <n v="81.431334622823982"/>
    <x v="0"/>
    <x v="0"/>
    <s v="OK"/>
  </r>
  <r>
    <s v="SO-50148"/>
    <s v="PL-SUR"/>
    <x v="4"/>
    <s v="ABA-1007"/>
    <n v="1954"/>
    <d v="2026-06-02T00:00:00"/>
    <s v="In Transit"/>
    <s v="OK"/>
    <n v="9.7899999999999991"/>
    <n v="123"/>
    <n v="334"/>
    <s v="OK"/>
    <n v="2"/>
    <m/>
    <n v="15.886178861788618"/>
    <n v="79.706916666666658"/>
    <n v="48.139935944813992"/>
    <n v="1"/>
    <n v="79.706916666666658"/>
    <x v="0"/>
    <x v="0"/>
    <s v="OK"/>
  </r>
  <r>
    <s v="SO-50525"/>
    <s v="PL-CEN"/>
    <x v="13"/>
    <s v="BEB-1014"/>
    <n v="1565"/>
    <d v="2026-06-03T00:00:00"/>
    <s v="In Transit"/>
    <s v="OK"/>
    <n v="12.41"/>
    <n v="95"/>
    <n v="227"/>
    <s v="OK"/>
    <n v="1"/>
    <m/>
    <n v="16.473684210526315"/>
    <n v="80.923541666666679"/>
    <n v="49.920255183413076"/>
    <n v="1"/>
    <n v="80.923541666666679"/>
    <x v="0"/>
    <x v="0"/>
    <s v="OK"/>
  </r>
  <r>
    <s v="SO-50593"/>
    <s v="PL-NTE"/>
    <x v="11"/>
    <s v="LAC-1006"/>
    <n v="498"/>
    <d v="2026-06-01T00:00:00"/>
    <s v="In Transit"/>
    <s v="OK"/>
    <n v="10.029999999999999"/>
    <n v="126"/>
    <n v="17"/>
    <s v="OK"/>
    <n v="3"/>
    <m/>
    <n v="3.9523809523809526"/>
    <n v="20.812249999999999"/>
    <n v="11.976911976911978"/>
    <n v="1"/>
    <n v="20.812249999999999"/>
    <x v="1"/>
    <x v="0"/>
    <s v="OK"/>
  </r>
  <r>
    <s v="SO-51065"/>
    <s v="PL-SUR"/>
    <x v="4"/>
    <s v="BEB-1008"/>
    <n v="1139"/>
    <d v="2026-06-02T00:00:00"/>
    <s v="In Transit"/>
    <s v="OK"/>
    <n v="17.47"/>
    <n v="65"/>
    <n v="216"/>
    <s v="OK"/>
    <n v="2"/>
    <m/>
    <n v="17.523076923076925"/>
    <n v="82.909708333333327"/>
    <n v="53.100233100233105"/>
    <n v="1"/>
    <n v="82.909708333333327"/>
    <x v="0"/>
    <x v="0"/>
    <s v="OK"/>
  </r>
  <r>
    <s v="SO-50475"/>
    <s v="PL-NTE"/>
    <x v="1"/>
    <s v="BOT-1011"/>
    <n v="1576"/>
    <d v="2026-06-02T00:00:00"/>
    <s v="In Transit"/>
    <s v="OK"/>
    <n v="3.43"/>
    <n v="88"/>
    <n v="109"/>
    <s v="OK"/>
    <n v="2"/>
    <m/>
    <n v="17.90909090909091"/>
    <n v="22.523666666666667"/>
    <n v="54.269972451790636"/>
    <n v="1"/>
    <n v="54.269972451790636"/>
    <x v="1"/>
    <x v="0"/>
    <s v="OK"/>
  </r>
  <r>
    <s v="SO-51024"/>
    <s v="PL-NTE"/>
    <x v="14"/>
    <s v="LAC-1010"/>
    <n v="3039"/>
    <d v="2026-05-19T00:00:00"/>
    <s v="In Transit"/>
    <s v="OK"/>
    <n v="6.24"/>
    <n v="146"/>
    <n v="24"/>
    <s v="OK"/>
    <n v="16"/>
    <m/>
    <n v="20.815068493150687"/>
    <n v="79.01400000000001"/>
    <n v="63.075965130759656"/>
    <n v="1"/>
    <n v="79.01400000000001"/>
    <x v="0"/>
    <x v="1"/>
    <s v="FANTASMA"/>
  </r>
  <r>
    <s v="SO-50417"/>
    <s v="PL-SUR"/>
    <x v="4"/>
    <s v="PRO-1004"/>
    <n v="575"/>
    <d v="2026-06-03T00:00:00"/>
    <s v="In Transit"/>
    <s v="OK"/>
    <n v="12.77"/>
    <n v="96"/>
    <n v="122"/>
    <s v="OK"/>
    <n v="1"/>
    <m/>
    <n v="5.989583333333333"/>
    <n v="30.594791666666666"/>
    <n v="18.150252525252526"/>
    <n v="1"/>
    <n v="30.594791666666666"/>
    <x v="1"/>
    <x v="0"/>
    <s v="OK"/>
  </r>
  <r>
    <s v="SO-50883"/>
    <s v="PL-SUR"/>
    <x v="4"/>
    <s v="BEB-1017"/>
    <n v="407"/>
    <d v="2026-06-03T00:00:00"/>
    <s v="In Transit"/>
    <s v="OK"/>
    <n v="21.3"/>
    <n v="108"/>
    <n v="345"/>
    <s v="OK"/>
    <n v="1"/>
    <m/>
    <n v="3.7685185185185186"/>
    <n v="36.121249999999996"/>
    <n v="11.419753086419753"/>
    <n v="1"/>
    <n v="36.121249999999996"/>
    <x v="1"/>
    <x v="0"/>
    <s v="OK"/>
  </r>
  <r>
    <s v="SO-50745"/>
    <s v="PL-SUR"/>
    <x v="4"/>
    <s v="BOT-1020"/>
    <n v="1801"/>
    <d v="2026-06-02T00:00:00"/>
    <s v="In Transit"/>
    <s v="OK"/>
    <n v="6.27"/>
    <n v="67"/>
    <n v="90"/>
    <s v="OK"/>
    <n v="2"/>
    <m/>
    <n v="26.880597014925375"/>
    <n v="47.051124999999992"/>
    <n v="81.456354590682949"/>
    <n v="1"/>
    <n v="81.456354590682949"/>
    <x v="0"/>
    <x v="0"/>
    <s v="OK"/>
  </r>
  <r>
    <s v="SO-51040"/>
    <s v="PL-NTE"/>
    <x v="2"/>
    <s v="LAC-1001"/>
    <n v="1550"/>
    <d v="2026-05-24T00:00:00"/>
    <s v="In Transit"/>
    <s v="OK"/>
    <n v="7.51"/>
    <n v="83"/>
    <n v="18"/>
    <s v="OK"/>
    <n v="11"/>
    <m/>
    <n v="18.674698795180724"/>
    <n v="48.502083333333331"/>
    <n v="56.589996349032504"/>
    <n v="1"/>
    <n v="56.589996349032504"/>
    <x v="1"/>
    <x v="1"/>
    <s v="FANTASMA"/>
  </r>
  <r>
    <s v="SO-50374"/>
    <s v="PL-SUR"/>
    <x v="0"/>
    <s v="PRO-1009"/>
    <n v="1017"/>
    <d v="2026-06-02T00:00:00"/>
    <s v="In Transit"/>
    <s v="OK"/>
    <n v="11.96"/>
    <n v="101"/>
    <n v="90"/>
    <s v="OK"/>
    <n v="2"/>
    <m/>
    <n v="10.069306930693068"/>
    <n v="50.680500000000009"/>
    <n v="30.51305130513051"/>
    <n v="1"/>
    <n v="50.680500000000009"/>
    <x v="1"/>
    <x v="0"/>
    <s v="OK"/>
  </r>
  <r>
    <s v="SO-51016"/>
    <s v="PL-SUR"/>
    <x v="0"/>
    <s v="LAC-1014"/>
    <n v="2367"/>
    <d v="2026-05-17T00:00:00"/>
    <s v="In Transit"/>
    <s v="OK"/>
    <n v="8.0500000000000007"/>
    <n v="147"/>
    <n v="28"/>
    <s v="OK"/>
    <n v="18"/>
    <m/>
    <n v="16.102040816326532"/>
    <n v="79.393125000000012"/>
    <n v="48.794063079777374"/>
    <n v="1"/>
    <n v="79.393125000000012"/>
    <x v="0"/>
    <x v="1"/>
    <s v="FANTASMA"/>
  </r>
  <r>
    <s v="SO-50016"/>
    <s v="PL-CEN"/>
    <x v="5"/>
    <s v="BOT-1007"/>
    <n v="1343"/>
    <d v="2026-06-02T00:00:00"/>
    <s v="In Transit"/>
    <s v="OK"/>
    <n v="0"/>
    <n v="49"/>
    <n v="104"/>
    <s v="OK"/>
    <n v="2"/>
    <m/>
    <n v="27.408163265306122"/>
    <n v="0"/>
    <n v="83.055040197897341"/>
    <n v="1"/>
    <n v="83.055040197897341"/>
    <x v="0"/>
    <x v="0"/>
    <s v="OK"/>
  </r>
  <r>
    <s v="SO-50304"/>
    <s v="PL-SUR"/>
    <x v="0"/>
    <s v="LAC-1013"/>
    <n v="2545"/>
    <d v="2026-06-03T00:00:00"/>
    <s v="In Transit"/>
    <s v="OK"/>
    <n v="8.32"/>
    <n v="98"/>
    <n v="16"/>
    <s v="OK"/>
    <n v="1"/>
    <m/>
    <n v="25.969387755102041"/>
    <n v="88.226666666666674"/>
    <n v="78.695114409400119"/>
    <n v="1"/>
    <n v="88.226666666666674"/>
    <x v="0"/>
    <x v="0"/>
    <s v="OK"/>
  </r>
  <r>
    <s v="SO-50777"/>
    <s v="PL-CEN"/>
    <x v="5"/>
    <s v="BOT-1016"/>
    <n v="371"/>
    <d v="2026-06-03T00:00:00"/>
    <s v="In Transit"/>
    <s v="OK"/>
    <n v="5.53"/>
    <n v="42"/>
    <n v="114"/>
    <s v="OK"/>
    <n v="1"/>
    <m/>
    <n v="8.8333333333333339"/>
    <n v="8.5484583333333344"/>
    <n v="26.767676767676768"/>
    <n v="1"/>
    <n v="26.767676767676768"/>
    <x v="1"/>
    <x v="0"/>
    <s v="OK"/>
  </r>
  <r>
    <s v="SO-50549"/>
    <s v="PL-SUR"/>
    <x v="7"/>
    <s v="BEB-1019"/>
    <n v="1439"/>
    <d v="2026-06-03T00:00:00"/>
    <s v="In Transit"/>
    <s v="OK"/>
    <n v="14.35"/>
    <n v="70"/>
    <n v="240"/>
    <s v="OK"/>
    <n v="1"/>
    <m/>
    <n v="20.557142857142857"/>
    <n v="86.040208333333325"/>
    <n v="62.294372294372295"/>
    <n v="1"/>
    <n v="86.040208333333325"/>
    <x v="0"/>
    <x v="0"/>
    <s v="OK"/>
  </r>
  <r>
    <s v="SO-50293"/>
    <s v="PL-CEN"/>
    <x v="5"/>
    <s v="PRO-1011"/>
    <n v="2305"/>
    <d v="2026-06-03T00:00:00"/>
    <s v="In Transit"/>
    <s v="OK"/>
    <n v="4.3600000000000003"/>
    <n v="88"/>
    <n v="108"/>
    <s v="OK"/>
    <n v="1"/>
    <m/>
    <n v="26.193181818181817"/>
    <n v="41.874166666666675"/>
    <n v="79.373278236914587"/>
    <n v="1"/>
    <n v="79.373278236914587"/>
    <x v="0"/>
    <x v="0"/>
    <s v="OK"/>
  </r>
  <r>
    <s v="SO-50674"/>
    <s v="PL-CEN"/>
    <x v="13"/>
    <s v="PRO-1009"/>
    <n v="1631"/>
    <d v="2026-06-03T00:00:00"/>
    <s v="In Transit"/>
    <s v="OK"/>
    <n v="11.96"/>
    <n v="101"/>
    <n v="90"/>
    <s v="OK"/>
    <n v="1"/>
    <m/>
    <n v="16.14851485148515"/>
    <n v="81.278166666666678"/>
    <n v="48.934893489348937"/>
    <n v="1"/>
    <n v="81.278166666666678"/>
    <x v="0"/>
    <x v="0"/>
    <s v="OK"/>
  </r>
  <r>
    <s v="SO-50954"/>
    <s v="PL-CEN"/>
    <x v="5"/>
    <s v="LAC-1003"/>
    <n v="2292"/>
    <d v="2026-06-02T00:00:00"/>
    <s v="In Transit"/>
    <s v="OK"/>
    <n v="9.02"/>
    <n v="114"/>
    <n v="18"/>
    <s v="OK"/>
    <n v="2"/>
    <m/>
    <n v="20.105263157894736"/>
    <n v="86.141000000000005"/>
    <n v="60.925039872408291"/>
    <n v="1"/>
    <n v="86.141000000000005"/>
    <x v="0"/>
    <x v="0"/>
    <s v="OK"/>
  </r>
  <r>
    <s v="SO-50381"/>
    <s v="PL-CEN"/>
    <x v="3"/>
    <s v="PRO-1001"/>
    <n v="1026"/>
    <d v="2026-06-03T00:00:00"/>
    <s v="In Transit"/>
    <s v="OK"/>
    <n v="9.57"/>
    <n v="92"/>
    <n v="122"/>
    <s v="OK"/>
    <n v="1"/>
    <m/>
    <n v="11.152173913043478"/>
    <n v="40.911749999999998"/>
    <n v="33.794466403162055"/>
    <n v="1"/>
    <n v="40.911749999999998"/>
    <x v="1"/>
    <x v="0"/>
    <s v="OK"/>
  </r>
  <r>
    <s v="SO-50232"/>
    <s v="PL-NTE"/>
    <x v="14"/>
    <s v="BOT-1009"/>
    <n v="688"/>
    <d v="2026-06-03T00:00:00"/>
    <s v="In Transit"/>
    <s v="OK"/>
    <n v="5.25"/>
    <n v="76"/>
    <n v="104"/>
    <s v="OK"/>
    <n v="1"/>
    <m/>
    <n v="9.0526315789473681"/>
    <n v="15.049999999999999"/>
    <n v="27.432216905901115"/>
    <n v="1"/>
    <n v="27.432216905901115"/>
    <x v="1"/>
    <x v="0"/>
    <s v="OK"/>
  </r>
  <r>
    <s v="SO-51012"/>
    <s v="PL-NTE"/>
    <x v="10"/>
    <s v="LAC-1014"/>
    <n v="2806"/>
    <d v="2026-05-17T00:00:00"/>
    <s v="In Transit"/>
    <s v="OK"/>
    <n v="8.0500000000000007"/>
    <n v="147"/>
    <n v="28"/>
    <s v="OK"/>
    <n v="18"/>
    <m/>
    <n v="19.088435374149661"/>
    <n v="94.117916666666673"/>
    <n v="57.843743558029281"/>
    <n v="1"/>
    <n v="94.117916666666673"/>
    <x v="0"/>
    <x v="1"/>
    <s v="FANTASMA"/>
  </r>
  <r>
    <s v="SO-50693"/>
    <s v="PL-CEN"/>
    <x v="8"/>
    <s v="ABA-1007"/>
    <n v="1958"/>
    <d v="2026-06-03T00:00:00"/>
    <s v="In Transit"/>
    <s v="OK"/>
    <n v="9.7899999999999991"/>
    <n v="123"/>
    <n v="334"/>
    <s v="OK"/>
    <n v="1"/>
    <m/>
    <n v="15.918699186991869"/>
    <n v="79.870083333333326"/>
    <n v="48.238482384823847"/>
    <n v="1"/>
    <n v="79.870083333333326"/>
    <x v="0"/>
    <x v="0"/>
    <s v="OK"/>
  </r>
  <r>
    <s v="SO-50325"/>
    <s v="PL-NTE"/>
    <x v="1"/>
    <s v="ABA-1019"/>
    <n v="1438"/>
    <d v="2026-06-03T00:00:00"/>
    <s v="In Transit"/>
    <s v="OK"/>
    <n v="14.82"/>
    <n v="132"/>
    <n v="373"/>
    <s v="OK"/>
    <n v="1"/>
    <m/>
    <n v="10.893939393939394"/>
    <n v="88.796499999999995"/>
    <n v="33.011937557392109"/>
    <n v="1"/>
    <n v="88.796499999999995"/>
    <x v="0"/>
    <x v="0"/>
    <s v="OK"/>
  </r>
  <r>
    <s v="SO-50114"/>
    <s v="PL-NTE"/>
    <x v="10"/>
    <s v="BEB-1014"/>
    <n v="1833"/>
    <d v="2026-06-03T00:00:00"/>
    <s v="In Transit"/>
    <s v="OK"/>
    <n v="12.41"/>
    <n v="95"/>
    <n v="227"/>
    <s v="OK"/>
    <n v="1"/>
    <m/>
    <n v="19.294736842105262"/>
    <n v="94.781374999999997"/>
    <n v="58.468899521531092"/>
    <n v="1"/>
    <n v="94.781374999999997"/>
    <x v="0"/>
    <x v="0"/>
    <s v="OK"/>
  </r>
  <r>
    <s v="SO-50527"/>
    <s v="PL-SUR"/>
    <x v="0"/>
    <s v="ABA-1001"/>
    <n v="2259"/>
    <d v="2026-06-02T00:00:00"/>
    <s v="In Transit"/>
    <s v="OK"/>
    <n v="0"/>
    <n v="100"/>
    <n v="512"/>
    <s v="OK"/>
    <n v="2"/>
    <m/>
    <n v="22.59"/>
    <n v="0"/>
    <n v="68.454545454545453"/>
    <n v="1"/>
    <n v="68.454545454545453"/>
    <x v="1"/>
    <x v="0"/>
    <s v="OK"/>
  </r>
  <r>
    <s v="SO-50722"/>
    <s v="PL-SUR"/>
    <x v="12"/>
    <s v="ABA-1005"/>
    <n v="689"/>
    <d v="2026-06-02T00:00:00"/>
    <s v="In Transit"/>
    <s v="OK"/>
    <n v="13.31"/>
    <n v="89"/>
    <n v="313"/>
    <s v="OK"/>
    <n v="2"/>
    <m/>
    <n v="7.7415730337078648"/>
    <n v="38.210791666666665"/>
    <n v="23.459312223357166"/>
    <n v="1"/>
    <n v="38.210791666666665"/>
    <x v="1"/>
    <x v="0"/>
    <s v="OK"/>
  </r>
  <r>
    <s v="SO-50085"/>
    <s v="PL-CEN"/>
    <x v="8"/>
    <s v="PRO-1000"/>
    <n v="1603"/>
    <d v="2026-06-03T00:00:00"/>
    <s v="In Transit"/>
    <s v="OK"/>
    <n v="12.51"/>
    <n v="73"/>
    <n v="75"/>
    <s v="OK"/>
    <n v="1"/>
    <m/>
    <n v="21.958904109589042"/>
    <n v="83.556374999999989"/>
    <n v="66.542133665421346"/>
    <n v="1"/>
    <n v="83.556374999999989"/>
    <x v="0"/>
    <x v="0"/>
    <s v="OK"/>
  </r>
  <r>
    <s v="SO-50132"/>
    <s v="PL-CEN"/>
    <x v="5"/>
    <s v="PRO-1006"/>
    <n v="718"/>
    <d v="2026-06-03T00:00:00"/>
    <s v="In Transit"/>
    <s v="OK"/>
    <n v="12.09"/>
    <n v="80"/>
    <n v="138"/>
    <s v="OK"/>
    <n v="1"/>
    <m/>
    <n v="8.9749999999999996"/>
    <n v="36.169250000000005"/>
    <n v="27.196969696969695"/>
    <n v="1"/>
    <n v="36.169250000000005"/>
    <x v="1"/>
    <x v="0"/>
    <s v="OK"/>
  </r>
  <r>
    <s v="SO-50672"/>
    <s v="PL-NTE"/>
    <x v="10"/>
    <s v="LAC-1010"/>
    <n v="3116"/>
    <d v="2026-05-30T00:00:00"/>
    <s v="In Transit"/>
    <s v="OK"/>
    <n v="6.24"/>
    <n v="146"/>
    <n v="24"/>
    <s v="OK"/>
    <n v="5"/>
    <m/>
    <n v="21.342465753424658"/>
    <n v="81.016000000000005"/>
    <n v="64.674138646741383"/>
    <n v="1"/>
    <n v="81.016000000000005"/>
    <x v="0"/>
    <x v="0"/>
    <s v="OK"/>
  </r>
  <r>
    <s v="SO-50490"/>
    <s v="PL-CEN"/>
    <x v="9"/>
    <s v="PRO-1004"/>
    <n v="1815"/>
    <d v="2026-06-02T00:00:00"/>
    <s v="In Transit"/>
    <s v="OK"/>
    <n v="12.77"/>
    <n v="96"/>
    <n v="122"/>
    <s v="OK"/>
    <n v="2"/>
    <m/>
    <n v="18.90625"/>
    <n v="96.57312499999999"/>
    <n v="57.291666666666664"/>
    <n v="1"/>
    <n v="96.57312499999999"/>
    <x v="0"/>
    <x v="0"/>
    <s v="OK"/>
  </r>
  <r>
    <s v="SO-50388"/>
    <s v="PL-CEN"/>
    <x v="13"/>
    <s v="BOT-1013"/>
    <n v="684"/>
    <d v="2026-06-03T00:00:00"/>
    <s v="In Transit"/>
    <s v="OK"/>
    <n v="4"/>
    <n v="58"/>
    <n v="112"/>
    <s v="OK"/>
    <n v="1"/>
    <m/>
    <n v="11.793103448275861"/>
    <n v="11.4"/>
    <n v="35.736677115987462"/>
    <n v="1"/>
    <n v="35.736677115987462"/>
    <x v="1"/>
    <x v="0"/>
    <s v="OK"/>
  </r>
  <r>
    <s v="SO-50648"/>
    <s v="PL-NTE"/>
    <x v="2"/>
    <s v="BOT-1008"/>
    <n v="1938"/>
    <d v="2026-06-03T00:00:00"/>
    <s v="In Transit"/>
    <s v="OK"/>
    <n v="3.48"/>
    <n v="66"/>
    <n v="112"/>
    <s v="OK"/>
    <n v="1"/>
    <m/>
    <n v="29.363636363636363"/>
    <n v="28.100999999999999"/>
    <n v="88.980716253443532"/>
    <n v="1"/>
    <n v="88.980716253443532"/>
    <x v="0"/>
    <x v="0"/>
    <s v="OK"/>
  </r>
  <r>
    <s v="SO-50482"/>
    <s v="PL-SUR"/>
    <x v="6"/>
    <s v="BOT-1012"/>
    <n v="2074"/>
    <d v="2026-06-01T00:00:00"/>
    <s v="In Transit"/>
    <s v="OK"/>
    <n v="4.26"/>
    <n v="68"/>
    <n v="117"/>
    <s v="OK"/>
    <n v="3"/>
    <m/>
    <n v="30.5"/>
    <n v="36.813499999999998"/>
    <n v="92.424242424242422"/>
    <n v="1"/>
    <n v="92.424242424242422"/>
    <x v="0"/>
    <x v="0"/>
    <s v="OK"/>
  </r>
  <r>
    <s v="SO-50694"/>
    <s v="PL-CEN"/>
    <x v="13"/>
    <s v="BEB-1011"/>
    <n v="939"/>
    <d v="2026-06-03T00:00:00"/>
    <s v="Delivered"/>
    <s v="OK"/>
    <n v="23.39"/>
    <n v="79"/>
    <n v="329"/>
    <s v="OK"/>
    <n v="1"/>
    <m/>
    <n v="11.886075949367088"/>
    <n v="91.513374999999996"/>
    <n v="36.018411967779059"/>
    <n v="1"/>
    <n v="91.513374999999996"/>
    <x v="0"/>
    <x v="0"/>
    <s v="OK"/>
  </r>
  <r>
    <s v="SO-50566"/>
    <s v="PL-NTE"/>
    <x v="10"/>
    <s v="ABA-1011"/>
    <n v="649"/>
    <d v="2026-06-02T00:00:00"/>
    <s v="In Transit"/>
    <s v="OK"/>
    <n v="9.9499999999999993"/>
    <n v="106"/>
    <n v="376"/>
    <s v="OK"/>
    <n v="2"/>
    <m/>
    <n v="6.1226415094339623"/>
    <n v="26.906458333333333"/>
    <n v="18.553459119496857"/>
    <n v="1"/>
    <n v="26.906458333333333"/>
    <x v="1"/>
    <x v="0"/>
    <s v="OK"/>
  </r>
  <r>
    <s v="SO-51042"/>
    <s v="PL-SUR"/>
    <x v="7"/>
    <s v="ABA-1015"/>
    <n v="2361"/>
    <d v="2026-06-02T00:00:00"/>
    <s v="In Transit"/>
    <s v="OK"/>
    <n v="8.19"/>
    <n v="82"/>
    <n v="317"/>
    <s v="OK"/>
    <n v="2"/>
    <m/>
    <n v="28.792682926829269"/>
    <n v="80.569125"/>
    <n v="87.250554323725055"/>
    <n v="1"/>
    <n v="87.250554323725055"/>
    <x v="0"/>
    <x v="0"/>
    <s v="OK"/>
  </r>
  <r>
    <s v="SO-50276"/>
    <s v="PL-NTE"/>
    <x v="11"/>
    <s v="BOT-1007"/>
    <n v="1690"/>
    <d v="2026-06-02T00:00:00"/>
    <s v="In Transit"/>
    <s v="OK"/>
    <n v="0"/>
    <n v="49"/>
    <n v="104"/>
    <s v="OK"/>
    <n v="2"/>
    <m/>
    <n v="34.489795918367349"/>
    <n v="0"/>
    <n v="104.51453308596166"/>
    <n v="2"/>
    <n v="52.25726654298083"/>
    <x v="1"/>
    <x v="0"/>
    <s v="OK"/>
  </r>
  <r>
    <s v="SO-50736"/>
    <s v="PL-SUR"/>
    <x v="6"/>
    <s v="XXX-8514"/>
    <n v="1238"/>
    <d v="2026-06-01T00:00:00"/>
    <s v="In Transit"/>
    <s v="OK"/>
    <n v="0"/>
    <n v="0"/>
    <n v="0"/>
    <s v="HUERFANO"/>
    <n v="3"/>
    <m/>
    <s v="n/a"/>
    <s v="n/a"/>
    <s v="n/a"/>
    <s v="n/a"/>
    <s v="n/a"/>
    <x v="2"/>
    <x v="2"/>
    <s v="n/a"/>
  </r>
  <r>
    <s v="SO-50239"/>
    <s v="PL-CEN"/>
    <x v="8"/>
    <s v="LAC-1017"/>
    <n v="825"/>
    <d v="2026-06-03T00:00:00"/>
    <s v="In Transit"/>
    <s v="OK"/>
    <n v="7.45"/>
    <n v="147"/>
    <n v="28"/>
    <s v="OK"/>
    <n v="1"/>
    <m/>
    <n v="5.6122448979591839"/>
    <n v="25.609375"/>
    <n v="17.006802721088434"/>
    <n v="1"/>
    <n v="25.609375"/>
    <x v="1"/>
    <x v="0"/>
    <s v="OK"/>
  </r>
  <r>
    <s v="SO-50663"/>
    <s v="PL-NTE"/>
    <x v="1"/>
    <s v="ABA-1017"/>
    <n v="1846"/>
    <d v="2026-06-01T00:00:00"/>
    <s v="In Transit"/>
    <s v="OK"/>
    <n v="10.96"/>
    <n v="128"/>
    <n v="520"/>
    <s v="OK"/>
    <n v="3"/>
    <m/>
    <n v="14.421875"/>
    <n v="84.300666666666672"/>
    <n v="43.702651515151516"/>
    <n v="1"/>
    <n v="84.300666666666672"/>
    <x v="0"/>
    <x v="0"/>
    <s v="OK"/>
  </r>
  <r>
    <s v="SO-50111"/>
    <s v="PL-SUR"/>
    <x v="7"/>
    <s v="ABA-1006"/>
    <n v="574"/>
    <d v="2026-06-03T00:00:00"/>
    <s v="In Transit"/>
    <s v="OK"/>
    <n v="12.39"/>
    <n v="134"/>
    <n v="446"/>
    <s v="OK"/>
    <n v="1"/>
    <m/>
    <n v="4.2835820895522385"/>
    <n v="29.632750000000001"/>
    <n v="12.980551786521936"/>
    <n v="1"/>
    <n v="29.632750000000001"/>
    <x v="1"/>
    <x v="0"/>
    <s v="OK"/>
  </r>
  <r>
    <s v="SO-50870"/>
    <s v="PL-CEN"/>
    <x v="8"/>
    <s v="BOT-1012"/>
    <n v="2055"/>
    <d v="2026-06-03T00:00:00"/>
    <s v="In Transit"/>
    <s v="OK"/>
    <n v="4.26"/>
    <n v="68"/>
    <n v="117"/>
    <s v="OK"/>
    <n v="1"/>
    <m/>
    <n v="30.220588235294116"/>
    <n v="36.47625"/>
    <n v="91.577540106951872"/>
    <n v="1"/>
    <n v="91.577540106951872"/>
    <x v="0"/>
    <x v="0"/>
    <s v="OK"/>
  </r>
  <r>
    <s v="SO-50814"/>
    <s v="PL-NTE"/>
    <x v="2"/>
    <s v="PRO-1011"/>
    <n v="2648"/>
    <d v="2026-06-02T00:00:00"/>
    <s v="In Transit"/>
    <s v="OK"/>
    <n v="4.3600000000000003"/>
    <n v="88"/>
    <n v="108"/>
    <s v="OK"/>
    <n v="2"/>
    <m/>
    <n v="30.09090909090909"/>
    <n v="48.105333333333341"/>
    <n v="91.184573002754817"/>
    <n v="1"/>
    <n v="91.184573002754817"/>
    <x v="0"/>
    <x v="0"/>
    <s v="OK"/>
  </r>
  <r>
    <s v="SO-50365"/>
    <s v="PL-CEN"/>
    <x v="13"/>
    <s v="ABA-1017"/>
    <n v="1889"/>
    <d v="2026-06-03T00:00:00"/>
    <s v="In Transit"/>
    <s v="OK"/>
    <n v="10.96"/>
    <n v="128"/>
    <n v="520"/>
    <s v="OK"/>
    <n v="1"/>
    <m/>
    <n v="14.7578125"/>
    <n v="86.26433333333334"/>
    <n v="44.720643939393938"/>
    <n v="1"/>
    <n v="86.26433333333334"/>
    <x v="0"/>
    <x v="0"/>
    <s v="OK"/>
  </r>
  <r>
    <s v="SO-50026"/>
    <s v="PL-NTE"/>
    <x v="1"/>
    <s v="ABA-1005"/>
    <n v="637"/>
    <d v="2026-05-31T00:00:00"/>
    <s v="In Transit"/>
    <s v="OK"/>
    <n v="13.31"/>
    <n v="89"/>
    <n v="313"/>
    <s v="OK"/>
    <n v="4"/>
    <m/>
    <n v="7.1573033707865168"/>
    <n v="35.326958333333337"/>
    <n v="21.688798093292476"/>
    <n v="1"/>
    <n v="35.326958333333337"/>
    <x v="1"/>
    <x v="0"/>
    <s v="OK"/>
  </r>
  <r>
    <s v="SO-50051"/>
    <s v="PL-SUR"/>
    <x v="0"/>
    <s v="BEB-1001"/>
    <n v="1039"/>
    <d v="2026-06-03T00:00:00"/>
    <s v="In Transit"/>
    <s v="OK"/>
    <n v="19.18"/>
    <n v="95"/>
    <n v="208"/>
    <s v="OK"/>
    <n v="1"/>
    <m/>
    <n v="10.936842105263159"/>
    <n v="83.033416666666668"/>
    <n v="33.141945773524725"/>
    <n v="1"/>
    <n v="83.033416666666668"/>
    <x v="0"/>
    <x v="0"/>
    <s v="OK"/>
  </r>
  <r>
    <s v="SO-51021"/>
    <s v="PL-CEN"/>
    <x v="13"/>
    <s v="LAC-1007"/>
    <n v="1205"/>
    <d v="2026-05-17T00:00:00"/>
    <s v="In Transit"/>
    <s v="OK"/>
    <n v="10.37"/>
    <n v="100"/>
    <n v="24"/>
    <s v="OK"/>
    <n v="18"/>
    <m/>
    <n v="12.05"/>
    <n v="52.066041666666663"/>
    <n v="36.515151515151516"/>
    <n v="1"/>
    <n v="52.066041666666663"/>
    <x v="1"/>
    <x v="1"/>
    <s v="FANTASMA"/>
  </r>
  <r>
    <s v="SO-50425"/>
    <s v="PL-NTE"/>
    <x v="10"/>
    <s v="BOT-1007"/>
    <n v="1522"/>
    <d v="2026-05-31T00:00:00"/>
    <s v="In Transit"/>
    <s v="OK"/>
    <n v="0"/>
    <n v="49"/>
    <n v="104"/>
    <s v="OK"/>
    <n v="4"/>
    <m/>
    <n v="31.061224489795919"/>
    <n v="0"/>
    <n v="94.124922696351263"/>
    <n v="1"/>
    <n v="94.124922696351263"/>
    <x v="0"/>
    <x v="0"/>
    <s v="OK"/>
  </r>
  <r>
    <s v="SO-50281"/>
    <s v="PL-CEN"/>
    <x v="13"/>
    <s v="ABA-1005"/>
    <n v="395"/>
    <d v="2026-06-03T00:00:00"/>
    <s v="In Transit"/>
    <s v="OK"/>
    <n v="13.31"/>
    <n v="89"/>
    <n v="313"/>
    <s v="OK"/>
    <n v="1"/>
    <m/>
    <n v="4.4382022471910112"/>
    <n v="21.906041666666663"/>
    <n v="13.449097718760639"/>
    <n v="1"/>
    <n v="21.906041666666663"/>
    <x v="1"/>
    <x v="0"/>
    <s v="OK"/>
  </r>
  <r>
    <s v="SO-50684"/>
    <s v="PL-SUR"/>
    <x v="0"/>
    <s v="BEB-1021"/>
    <n v="1288"/>
    <d v="2026-06-03T00:00:00"/>
    <s v="In Transit"/>
    <s v="OK"/>
    <n v="16.28"/>
    <n v="90"/>
    <n v="280"/>
    <s v="OK"/>
    <n v="1"/>
    <m/>
    <n v="14.311111111111112"/>
    <n v="87.369333333333344"/>
    <n v="43.36700336700337"/>
    <n v="1"/>
    <n v="87.369333333333344"/>
    <x v="0"/>
    <x v="0"/>
    <s v="OK"/>
  </r>
  <r>
    <s v="SO-50733"/>
    <s v="PL-SUR"/>
    <x v="0"/>
    <s v="LAC-1000"/>
    <n v="2829"/>
    <d v="2026-06-01T00:00:00"/>
    <s v="In Transit"/>
    <s v="OK"/>
    <n v="8.18"/>
    <n v="90"/>
    <n v="29"/>
    <s v="OK"/>
    <n v="3"/>
    <m/>
    <n v="31.433333333333334"/>
    <n v="96.421749999999989"/>
    <n v="95.25252525252526"/>
    <n v="1"/>
    <n v="96.421749999999989"/>
    <x v="0"/>
    <x v="0"/>
    <s v="OK"/>
  </r>
  <r>
    <s v="SO-50065"/>
    <s v="PL-CEN"/>
    <x v="9"/>
    <s v="BEB-1019"/>
    <n v="1506"/>
    <d v="2026-06-02T00:00:00"/>
    <s v="In Transit"/>
    <s v="OK"/>
    <n v="14.35"/>
    <n v="70"/>
    <n v="240"/>
    <s v="OK"/>
    <n v="2"/>
    <m/>
    <n v="21.514285714285716"/>
    <n v="90.046250000000001"/>
    <n v="65.194805194805213"/>
    <n v="1"/>
    <n v="90.046250000000001"/>
    <x v="0"/>
    <x v="0"/>
    <s v="OK"/>
  </r>
  <r>
    <s v="SO-50641"/>
    <s v="PL-CEN"/>
    <x v="9"/>
    <s v="BOT-1022"/>
    <n v="647"/>
    <d v="2026-06-02T00:00:00"/>
    <s v="In Transit"/>
    <s v="OK"/>
    <n v="3.48"/>
    <n v="55"/>
    <n v="118"/>
    <s v="OK"/>
    <n v="2"/>
    <m/>
    <n v="11.763636363636364"/>
    <n v="9.3814999999999991"/>
    <n v="35.647382920110196"/>
    <n v="1"/>
    <n v="35.647382920110196"/>
    <x v="1"/>
    <x v="0"/>
    <s v="OK"/>
  </r>
  <r>
    <s v="SO-50183"/>
    <s v="PL-CEN"/>
    <x v="8"/>
    <s v="BOT-1022"/>
    <n v="1438"/>
    <d v="2026-06-03T00:00:00"/>
    <s v="In Transit"/>
    <s v="OK"/>
    <n v="3.48"/>
    <n v="55"/>
    <n v="118"/>
    <s v="OK"/>
    <n v="1"/>
    <m/>
    <n v="26.145454545454545"/>
    <n v="20.850999999999999"/>
    <n v="79.228650137741042"/>
    <n v="1"/>
    <n v="79.228650137741042"/>
    <x v="0"/>
    <x v="0"/>
    <s v="OK"/>
  </r>
  <r>
    <s v="SO-50201"/>
    <s v="PL-CEN"/>
    <x v="5"/>
    <s v="BOT-1017"/>
    <n v="448"/>
    <d v="2026-06-03T00:00:00"/>
    <s v="In Transit"/>
    <s v="OK"/>
    <n v="3.75"/>
    <n v="41"/>
    <n v="106"/>
    <s v="OK"/>
    <n v="1"/>
    <m/>
    <n v="10.926829268292684"/>
    <n v="7.0000000000000009"/>
    <n v="33.111603843311158"/>
    <n v="1"/>
    <n v="33.111603843311158"/>
    <x v="1"/>
    <x v="0"/>
    <s v="OK"/>
  </r>
  <r>
    <s v="SO-50019"/>
    <s v="PL-SUR"/>
    <x v="12"/>
    <s v="ABA-1016"/>
    <n v="1294"/>
    <d v="2026-06-02T00:00:00"/>
    <s v="In Transit"/>
    <s v="OK"/>
    <n v="15.52"/>
    <n v="121"/>
    <n v="517"/>
    <s v="OK"/>
    <n v="2"/>
    <m/>
    <n v="10.694214876033058"/>
    <n v="83.678666666666672"/>
    <n v="32.406711745554723"/>
    <n v="1"/>
    <n v="83.678666666666672"/>
    <x v="0"/>
    <x v="0"/>
    <s v="OK"/>
  </r>
  <r>
    <s v="SO-50966"/>
    <s v="PL-CEN"/>
    <x v="5"/>
    <s v="ABA-1018"/>
    <n v="2018"/>
    <d v="2026-06-02T00:00:00"/>
    <s v="In Transit"/>
    <s v="OK"/>
    <n v="11.43"/>
    <n v="128"/>
    <n v="530"/>
    <s v="OK"/>
    <n v="2"/>
    <m/>
    <n v="15.765625"/>
    <n v="96.107249999999993"/>
    <n v="47.774621212121211"/>
    <n v="1"/>
    <n v="96.107249999999993"/>
    <x v="0"/>
    <x v="0"/>
    <s v="OK"/>
  </r>
  <r>
    <s v="SO-50300"/>
    <s v="PL-CEN"/>
    <x v="8"/>
    <s v="BOT-1021"/>
    <n v="1468"/>
    <d v="2026-06-03T00:00:00"/>
    <s v="Delivered"/>
    <s v="OK"/>
    <n v="5.04"/>
    <n v="47"/>
    <n v="96"/>
    <s v="OK"/>
    <n v="1"/>
    <m/>
    <n v="31.23404255319149"/>
    <n v="30.827999999999999"/>
    <n v="94.648613797549956"/>
    <n v="1"/>
    <n v="94.648613797549956"/>
    <x v="0"/>
    <x v="0"/>
    <s v="OK"/>
  </r>
  <r>
    <s v="SO-50959"/>
    <s v="PL-SUR"/>
    <x v="7"/>
    <s v="BOT-1002"/>
    <n v="2581"/>
    <d v="2026-06-03T00:00:00"/>
    <s v="In Transit"/>
    <s v="OK"/>
    <n v="3.02"/>
    <n v="84"/>
    <n v="111"/>
    <s v="OK"/>
    <n v="1"/>
    <m/>
    <n v="30.726190476190474"/>
    <n v="32.477583333333335"/>
    <n v="93.109668109668107"/>
    <n v="1"/>
    <n v="93.109668109668107"/>
    <x v="0"/>
    <x v="0"/>
    <s v="OK"/>
  </r>
  <r>
    <s v="SO-50052"/>
    <s v="PL-NTE"/>
    <x v="2"/>
    <s v="PRO-1012"/>
    <n v="884"/>
    <d v="2026-06-02T00:00:00"/>
    <s v="In Transit"/>
    <s v="OK"/>
    <n v="6.87"/>
    <n v="101"/>
    <n v="62"/>
    <s v="OK"/>
    <n v="2"/>
    <m/>
    <n v="8.7524752475247531"/>
    <n v="25.304500000000001"/>
    <n v="26.522652265226526"/>
    <n v="1"/>
    <n v="26.522652265226526"/>
    <x v="1"/>
    <x v="0"/>
    <s v="OK"/>
  </r>
  <r>
    <s v="SO-50237"/>
    <s v="PL-CEN"/>
    <x v="3"/>
    <s v="BOT-1002"/>
    <n v="675"/>
    <d v="2026-06-03T00:00:00"/>
    <s v="In Transit"/>
    <s v="OK"/>
    <n v="3.02"/>
    <n v="84"/>
    <n v="111"/>
    <s v="OK"/>
    <n v="1"/>
    <m/>
    <n v="8.0357142857142865"/>
    <n v="8.4937500000000004"/>
    <n v="24.350649350649352"/>
    <n v="1"/>
    <n v="24.350649350649352"/>
    <x v="1"/>
    <x v="0"/>
    <s v="OK"/>
  </r>
  <r>
    <s v="SO-50028"/>
    <s v="PL-SUR"/>
    <x v="6"/>
    <s v="ABA-1009"/>
    <n v="1387"/>
    <d v="2026-05-31T00:00:00"/>
    <s v="In Transit"/>
    <s v="OK"/>
    <n v="14.79"/>
    <n v="124"/>
    <n v="423"/>
    <s v="OK"/>
    <n v="4"/>
    <m/>
    <n v="11.185483870967742"/>
    <n v="85.473874999999992"/>
    <n v="33.895405669599214"/>
    <n v="1"/>
    <n v="85.473874999999992"/>
    <x v="0"/>
    <x v="0"/>
    <s v="OK"/>
  </r>
  <r>
    <s v="SO-50799"/>
    <s v="PL-SUR"/>
    <x v="0"/>
    <s v="XXX-8163"/>
    <n v="1764"/>
    <d v="2026-06-02T00:00:00"/>
    <s v="In Transit"/>
    <s v="OK"/>
    <n v="0"/>
    <n v="0"/>
    <n v="0"/>
    <s v="HUERFANO"/>
    <n v="2"/>
    <m/>
    <s v="n/a"/>
    <s v="n/a"/>
    <s v="n/a"/>
    <s v="n/a"/>
    <s v="n/a"/>
    <x v="2"/>
    <x v="2"/>
    <s v="n/a"/>
  </r>
  <r>
    <s v="SO-50899"/>
    <s v="PL-SUR"/>
    <x v="0"/>
    <s v="BOT-1018"/>
    <n v="829"/>
    <d v="2026-06-01T00:00:00"/>
    <s v="In Transit"/>
    <s v="OK"/>
    <n v="6.23"/>
    <n v="78"/>
    <n v="99"/>
    <s v="OK"/>
    <n v="3"/>
    <m/>
    <n v="10.628205128205128"/>
    <n v="21.519458333333333"/>
    <n v="32.20668220668221"/>
    <n v="1"/>
    <n v="32.20668220668221"/>
    <x v="1"/>
    <x v="0"/>
    <s v="OK"/>
  </r>
  <r>
    <s v="SO-50257"/>
    <s v="PL-SUR"/>
    <x v="6"/>
    <s v="LAC-1010"/>
    <n v="3509"/>
    <d v="2026-06-02T00:00:00"/>
    <s v="In Transit"/>
    <s v="OK"/>
    <n v="6.24"/>
    <n v="146"/>
    <n v="24"/>
    <s v="OK"/>
    <n v="2"/>
    <m/>
    <n v="24.034246575342465"/>
    <n v="91.234000000000009"/>
    <n v="72.831050228310502"/>
    <n v="1"/>
    <n v="91.234000000000009"/>
    <x v="0"/>
    <x v="0"/>
    <s v="OK"/>
  </r>
  <r>
    <s v="SO-50830"/>
    <s v="PL-SUR"/>
    <x v="7"/>
    <s v="LAC-1015"/>
    <n v="1904"/>
    <d v="2026-06-03T00:00:00"/>
    <s v="In Transit"/>
    <s v="OK"/>
    <n v="11.26"/>
    <n v="129"/>
    <n v="24"/>
    <s v="OK"/>
    <n v="1"/>
    <m/>
    <n v="14.75968992248062"/>
    <n v="89.329333333333338"/>
    <n v="44.726333098426117"/>
    <n v="1"/>
    <n v="89.329333333333338"/>
    <x v="0"/>
    <x v="0"/>
    <s v="OK"/>
  </r>
  <r>
    <s v="SO-50871"/>
    <s v="PL-NTE"/>
    <x v="1"/>
    <s v="PRO-1012"/>
    <n v="2830"/>
    <d v="2026-05-31T00:00:00"/>
    <s v="In Transit"/>
    <s v="OK"/>
    <n v="6.87"/>
    <n v="101"/>
    <n v="62"/>
    <s v="OK"/>
    <n v="4"/>
    <m/>
    <n v="28.019801980198018"/>
    <n v="81.008749999999992"/>
    <n v="84.908490849084899"/>
    <n v="1"/>
    <n v="84.908490849084899"/>
    <x v="0"/>
    <x v="0"/>
    <s v="OK"/>
  </r>
  <r>
    <s v="SO-50443"/>
    <s v="PL-NTE"/>
    <x v="2"/>
    <s v="ABA-1009"/>
    <n v="1300"/>
    <d v="2026-06-02T00:00:00"/>
    <s v="In Transit"/>
    <s v="OK"/>
    <n v="14.79"/>
    <n v="124"/>
    <n v="423"/>
    <s v="OK"/>
    <n v="2"/>
    <m/>
    <n v="10.483870967741936"/>
    <n v="80.112499999999997"/>
    <n v="31.76930596285435"/>
    <n v="1"/>
    <n v="80.112499999999997"/>
    <x v="0"/>
    <x v="0"/>
    <s v="OK"/>
  </r>
  <r>
    <s v="SO-50764"/>
    <s v="PL-NTE"/>
    <x v="14"/>
    <s v="BOT-1000"/>
    <n v="812"/>
    <d v="2026-06-03T00:00:00"/>
    <s v="In Transit"/>
    <s v="OK"/>
    <n v="3.56"/>
    <n v="64"/>
    <n v="92"/>
    <s v="OK"/>
    <n v="1"/>
    <m/>
    <n v="12.6875"/>
    <n v="12.044666666666668"/>
    <n v="38.446969696969695"/>
    <n v="1"/>
    <n v="38.446969696969695"/>
    <x v="1"/>
    <x v="0"/>
    <s v="OK"/>
  </r>
  <r>
    <s v="SO-50796"/>
    <s v="PL-NTE"/>
    <x v="2"/>
    <s v="ABA-1019"/>
    <n v="508"/>
    <d v="2026-06-02T00:00:00"/>
    <s v="In Transit"/>
    <s v="OK"/>
    <n v="14.82"/>
    <n v="132"/>
    <n v="373"/>
    <s v="OK"/>
    <n v="2"/>
    <m/>
    <n v="3.8484848484848486"/>
    <n v="31.369000000000003"/>
    <n v="11.662075298438936"/>
    <n v="1"/>
    <n v="31.369000000000003"/>
    <x v="1"/>
    <x v="0"/>
    <s v="OK"/>
  </r>
  <r>
    <s v="SO-50637"/>
    <s v="PL-NTE"/>
    <x v="14"/>
    <s v="LAC-1013"/>
    <n v="763"/>
    <d v="2026-06-03T00:00:00"/>
    <s v="In Transit"/>
    <s v="OK"/>
    <n v="8.32"/>
    <n v="98"/>
    <n v="16"/>
    <s v="OK"/>
    <n v="1"/>
    <m/>
    <n v="7.7857142857142856"/>
    <n v="26.450666666666667"/>
    <n v="23.593073593073594"/>
    <n v="1"/>
    <n v="26.450666666666667"/>
    <x v="1"/>
    <x v="0"/>
    <s v="OK"/>
  </r>
  <r>
    <s v="SO-50574"/>
    <s v="PL-SUR"/>
    <x v="6"/>
    <s v="BOT-1019"/>
    <n v="0"/>
    <d v="2026-05-30T00:00:00"/>
    <s v="In Transit"/>
    <s v="OK"/>
    <n v="3.44"/>
    <n v="85"/>
    <n v="102"/>
    <s v="OK"/>
    <n v="5"/>
    <m/>
    <n v="0"/>
    <n v="0"/>
    <n v="0"/>
    <n v="0"/>
    <s v=""/>
    <x v="0"/>
    <x v="0"/>
    <s v="OK"/>
  </r>
  <r>
    <s v="SO-50673"/>
    <s v="PL-NTE"/>
    <x v="14"/>
    <s v="ABA-1010"/>
    <n v="2180"/>
    <d v="2026-06-03T00:00:00"/>
    <s v="In Transit"/>
    <s v="OK"/>
    <n v="8.75"/>
    <n v="123"/>
    <n v="341"/>
    <s v="OK"/>
    <n v="1"/>
    <m/>
    <n v="17.723577235772357"/>
    <n v="79.479166666666671"/>
    <n v="53.707809805370779"/>
    <n v="1"/>
    <n v="79.479166666666671"/>
    <x v="0"/>
    <x v="0"/>
    <s v="OK"/>
  </r>
  <r>
    <s v="SO-50533"/>
    <s v="PL-CEN"/>
    <x v="3"/>
    <s v="PRO-1012"/>
    <n v="1835"/>
    <d v="2026-06-01T00:00:00"/>
    <s v="In Transit"/>
    <s v="OK"/>
    <n v="6.87"/>
    <n v="101"/>
    <n v="62"/>
    <s v="OK"/>
    <n v="3"/>
    <m/>
    <n v="18.168316831683168"/>
    <n v="52.526875000000004"/>
    <n v="55.055505550555054"/>
    <n v="1"/>
    <n v="55.055505550555054"/>
    <x v="1"/>
    <x v="0"/>
    <s v="OK"/>
  </r>
  <r>
    <s v="SO-50271"/>
    <s v="PL-SUR"/>
    <x v="12"/>
    <s v="BOT-1014"/>
    <n v="1366"/>
    <d v="2026-06-03T00:00:00"/>
    <s v="In Transit"/>
    <s v="OK"/>
    <n v="3.92"/>
    <n v="49"/>
    <n v="98"/>
    <s v="OK"/>
    <n v="1"/>
    <m/>
    <n v="27.877551020408163"/>
    <n v="22.311333333333334"/>
    <n v="84.477427334570194"/>
    <n v="1"/>
    <n v="84.477427334570194"/>
    <x v="0"/>
    <x v="0"/>
    <s v="OK"/>
  </r>
  <r>
    <s v="SO-50296"/>
    <s v="PL-SUR"/>
    <x v="6"/>
    <s v="BOT-1006"/>
    <n v="514"/>
    <d v="2026-06-01T00:00:00"/>
    <s v="In Transit"/>
    <s v="OK"/>
    <n v="4.24"/>
    <n v="41"/>
    <n v="111"/>
    <s v="OK"/>
    <n v="3"/>
    <m/>
    <n v="12.536585365853659"/>
    <n v="9.0806666666666676"/>
    <n v="37.98965262379896"/>
    <n v="1"/>
    <n v="37.98965262379896"/>
    <x v="1"/>
    <x v="0"/>
    <s v="OK"/>
  </r>
  <r>
    <s v="SO-50308"/>
    <s v="PL-CEN"/>
    <x v="3"/>
    <s v="ABA-1008"/>
    <n v="2007"/>
    <d v="2026-06-01T00:00:00"/>
    <s v="Delivered"/>
    <s v="OK"/>
    <n v="10.6"/>
    <n v="96"/>
    <n v="445"/>
    <s v="OK"/>
    <n v="3"/>
    <m/>
    <n v="20.90625"/>
    <n v="88.642499999999998"/>
    <n v="63.352272727272727"/>
    <n v="1"/>
    <n v="88.642499999999998"/>
    <x v="0"/>
    <x v="0"/>
    <s v="OK"/>
  </r>
  <r>
    <s v="SO-50996"/>
    <s v="PL-SUR"/>
    <x v="0"/>
    <s v="BEB-1016"/>
    <n v="832"/>
    <d v="2026-05-31T00:00:00"/>
    <s v="In Transit"/>
    <s v="OK"/>
    <n v="0"/>
    <n v="98"/>
    <n v="359"/>
    <s v="OK"/>
    <n v="4"/>
    <m/>
    <n v="8.4897959183673475"/>
    <n v="0"/>
    <n v="25.726654298082874"/>
    <n v="1"/>
    <n v="25.726654298082874"/>
    <x v="1"/>
    <x v="0"/>
    <s v="OK"/>
  </r>
  <r>
    <s v="SO-50623"/>
    <s v="PL-NTE"/>
    <x v="11"/>
    <s v="BOT-1009"/>
    <n v="2316"/>
    <d v="2026-06-01T00:00:00"/>
    <s v="In Transit"/>
    <s v="OK"/>
    <n v="5.25"/>
    <n v="76"/>
    <n v="104"/>
    <s v="OK"/>
    <n v="3"/>
    <m/>
    <n v="30.473684210526315"/>
    <n v="50.662500000000001"/>
    <n v="92.344497607655498"/>
    <n v="1"/>
    <n v="92.344497607655498"/>
    <x v="0"/>
    <x v="0"/>
    <s v="OK"/>
  </r>
  <r>
    <s v="SO-50699"/>
    <s v="PL-SUR"/>
    <x v="7"/>
    <s v="PRO-1011"/>
    <n v="1740"/>
    <d v="2026-06-03T00:00:00"/>
    <s v="In Transit"/>
    <s v="OK"/>
    <n v="4.3600000000000003"/>
    <n v="88"/>
    <n v="108"/>
    <s v="OK"/>
    <n v="1"/>
    <m/>
    <n v="19.772727272727273"/>
    <n v="31.610000000000007"/>
    <n v="59.917355371900825"/>
    <n v="1"/>
    <n v="59.917355371900825"/>
    <x v="1"/>
    <x v="0"/>
    <s v="OK"/>
  </r>
  <r>
    <s v="SO-50316"/>
    <s v="PL-CEN"/>
    <x v="9"/>
    <s v="BOT-1019"/>
    <n v="2695"/>
    <d v="2026-06-02T00:00:00"/>
    <s v="In Transit"/>
    <s v="OK"/>
    <n v="3.44"/>
    <n v="85"/>
    <n v="102"/>
    <s v="OK"/>
    <n v="2"/>
    <m/>
    <n v="31.705882352941178"/>
    <n v="38.62833333333333"/>
    <n v="96.078431372549019"/>
    <n v="1"/>
    <n v="96.078431372549019"/>
    <x v="0"/>
    <x v="0"/>
    <s v="OK"/>
  </r>
  <r>
    <s v="SO-50498"/>
    <s v="PL-CEN"/>
    <x v="3"/>
    <s v="BOT-1010"/>
    <n v="1211"/>
    <d v="2026-06-03T00:00:00"/>
    <s v="In Transit"/>
    <s v="OK"/>
    <n v="5.09"/>
    <n v="40"/>
    <n v="90"/>
    <s v="OK"/>
    <n v="1"/>
    <m/>
    <n v="30.274999999999999"/>
    <n v="25.683291666666662"/>
    <n v="91.742424242424235"/>
    <n v="1"/>
    <n v="91.742424242424235"/>
    <x v="0"/>
    <x v="0"/>
    <s v="OK"/>
  </r>
  <r>
    <s v="SO-50468"/>
    <s v="PL-SUR"/>
    <x v="12"/>
    <s v="ABA-1012"/>
    <n v="1379"/>
    <d v="2026-06-02T00:00:00"/>
    <s v="In Transit"/>
    <s v="OK"/>
    <n v="15.14"/>
    <n v="117"/>
    <n v="484"/>
    <s v="OK"/>
    <n v="2"/>
    <m/>
    <n v="11.786324786324787"/>
    <n v="86.991916666666668"/>
    <n v="35.716135716135717"/>
    <n v="1"/>
    <n v="86.991916666666668"/>
    <x v="0"/>
    <x v="0"/>
    <s v="OK"/>
  </r>
  <r>
    <s v="SO-50496"/>
    <s v="PL-NTE"/>
    <x v="14"/>
    <s v="LAC-1009"/>
    <n v="1819"/>
    <d v="2026-06-03T00:00:00"/>
    <s v="In Transit"/>
    <s v="OK"/>
    <n v="11.01"/>
    <n v="98"/>
    <n v="16"/>
    <s v="OK"/>
    <n v="1"/>
    <m/>
    <n v="18.561224489795919"/>
    <n v="83.446624999999997"/>
    <n v="56.246134817563387"/>
    <n v="1"/>
    <n v="83.446624999999997"/>
    <x v="0"/>
    <x v="0"/>
    <s v="OK"/>
  </r>
  <r>
    <s v="SO-50703"/>
    <s v="PL-CEN"/>
    <x v="13"/>
    <s v="BEB-1013"/>
    <n v="1119"/>
    <d v="2026-06-03T00:00:00"/>
    <s v="Delivered"/>
    <s v="OK"/>
    <n v="17.28"/>
    <n v="97"/>
    <n v="271"/>
    <s v="OK"/>
    <n v="1"/>
    <m/>
    <n v="11.536082474226804"/>
    <n v="80.567999999999998"/>
    <n v="34.957825679475164"/>
    <n v="1"/>
    <n v="80.567999999999998"/>
    <x v="0"/>
    <x v="0"/>
    <s v="OK"/>
  </r>
  <r>
    <s v="SO-50649"/>
    <s v="PL-CEN"/>
    <x v="8"/>
    <s v="ABA-1009"/>
    <n v="1363"/>
    <d v="2026-06-03T00:00:00"/>
    <s v="In Transit"/>
    <s v="OK"/>
    <n v="14.79"/>
    <n v="124"/>
    <n v="423"/>
    <s v="OK"/>
    <n v="1"/>
    <m/>
    <n v="10.991935483870968"/>
    <n v="83.994875000000008"/>
    <n v="33.308895405669595"/>
    <n v="1"/>
    <n v="83.994875000000008"/>
    <x v="0"/>
    <x v="0"/>
    <s v="OK"/>
  </r>
  <r>
    <s v="SO-50021"/>
    <s v="PL-NTE"/>
    <x v="2"/>
    <s v="BEB-1004"/>
    <n v="892"/>
    <d v="2026-06-03T00:00:00"/>
    <s v="Delivered"/>
    <s v="OK"/>
    <n v="21.99"/>
    <n v="67"/>
    <n v="213"/>
    <s v="OK"/>
    <n v="1"/>
    <m/>
    <n v="13.313432835820896"/>
    <n v="81.729499999999987"/>
    <n v="40.343735866123929"/>
    <n v="1"/>
    <n v="81.729499999999987"/>
    <x v="0"/>
    <x v="0"/>
    <s v="OK"/>
  </r>
  <r>
    <s v="SO-50760"/>
    <s v="PL-SUR"/>
    <x v="0"/>
    <s v="BEB-1003"/>
    <n v="401"/>
    <d v="2026-06-01T00:00:00"/>
    <s v="In Transit"/>
    <s v="OK"/>
    <n v="20.5"/>
    <n v="64"/>
    <n v="359"/>
    <s v="OK"/>
    <n v="3"/>
    <m/>
    <n v="6.265625"/>
    <n v="34.252083333333331"/>
    <n v="18.986742424242426"/>
    <n v="1"/>
    <n v="34.252083333333331"/>
    <x v="1"/>
    <x v="0"/>
    <s v="OK"/>
  </r>
  <r>
    <s v="SO-50218"/>
    <s v="PL-CEN"/>
    <x v="9"/>
    <s v="LAC-1010"/>
    <n v="3711"/>
    <d v="2026-06-03T00:00:00"/>
    <s v="In Transit"/>
    <s v="OK"/>
    <n v="6.24"/>
    <n v="146"/>
    <n v="24"/>
    <s v="OK"/>
    <n v="1"/>
    <m/>
    <n v="25.417808219178081"/>
    <n v="96.48599999999999"/>
    <n v="77.023661270236616"/>
    <n v="1"/>
    <n v="96.48599999999999"/>
    <x v="0"/>
    <x v="0"/>
    <s v="OK"/>
  </r>
  <r>
    <s v="SO-50446"/>
    <s v="PL-NTE"/>
    <x v="11"/>
    <s v="ABA-1008"/>
    <n v="1128"/>
    <d v="2026-06-02T00:00:00"/>
    <s v="In Transit"/>
    <s v="OK"/>
    <n v="10.6"/>
    <n v="96"/>
    <n v="445"/>
    <s v="OK"/>
    <n v="2"/>
    <m/>
    <n v="11.75"/>
    <n v="49.82"/>
    <n v="35.606060606060609"/>
    <n v="1"/>
    <n v="49.82"/>
    <x v="1"/>
    <x v="0"/>
    <s v="OK"/>
  </r>
  <r>
    <s v="SO-50160"/>
    <s v="PL-SUR"/>
    <x v="4"/>
    <s v="BOT-1009"/>
    <n v="648"/>
    <d v="2026-06-03T00:00:00"/>
    <s v="In Transit"/>
    <s v="OK"/>
    <n v="5.25"/>
    <n v="76"/>
    <n v="104"/>
    <s v="OK"/>
    <n v="1"/>
    <m/>
    <n v="8.526315789473685"/>
    <n v="14.174999999999999"/>
    <n v="25.837320574162682"/>
    <n v="1"/>
    <n v="25.837320574162682"/>
    <x v="1"/>
    <x v="0"/>
    <s v="OK"/>
  </r>
  <r>
    <s v="SO-50965"/>
    <s v="PL-SUR"/>
    <x v="12"/>
    <s v="BEB-1010"/>
    <n v="1193"/>
    <d v="2026-06-02T00:00:00"/>
    <s v="In Transit"/>
    <s v="OK"/>
    <n v="0"/>
    <n v="71"/>
    <n v="192"/>
    <s v="OK"/>
    <n v="2"/>
    <m/>
    <n v="16.802816901408452"/>
    <n v="0"/>
    <n v="50.917626973965"/>
    <n v="1"/>
    <n v="50.917626973965"/>
    <x v="1"/>
    <x v="0"/>
    <s v="OK"/>
  </r>
  <r>
    <s v="SO-50558"/>
    <s v="PL-CEN"/>
    <x v="5"/>
    <s v="PRO-1011"/>
    <n v="2290"/>
    <d v="2026-06-03T00:00:00"/>
    <s v="In Transit"/>
    <s v="OK"/>
    <n v="4.3600000000000003"/>
    <n v="88"/>
    <n v="108"/>
    <s v="OK"/>
    <n v="1"/>
    <m/>
    <n v="26.022727272727273"/>
    <n v="41.601666666666674"/>
    <n v="78.856749311294777"/>
    <n v="1"/>
    <n v="78.856749311294777"/>
    <x v="0"/>
    <x v="0"/>
    <s v="OK"/>
  </r>
  <r>
    <s v="SO-50436"/>
    <s v="PL-CEN"/>
    <x v="3"/>
    <s v="BOT-1014"/>
    <n v="1488"/>
    <d v="2026-06-01T00:00:00"/>
    <s v="In Transit"/>
    <s v="OK"/>
    <n v="3.92"/>
    <n v="49"/>
    <n v="98"/>
    <s v="OK"/>
    <n v="3"/>
    <m/>
    <n v="30.367346938775512"/>
    <n v="24.304000000000002"/>
    <n v="92.022263450834885"/>
    <n v="1"/>
    <n v="92.022263450834885"/>
    <x v="0"/>
    <x v="0"/>
    <s v="OK"/>
  </r>
  <r>
    <s v="SO-50406"/>
    <s v="PL-CEN"/>
    <x v="9"/>
    <s v="ABA-1006"/>
    <n v="1862"/>
    <d v="2026-06-03T00:00:00"/>
    <s v="In Transit"/>
    <s v="OK"/>
    <n v="12.39"/>
    <n v="134"/>
    <n v="446"/>
    <s v="OK"/>
    <n v="1"/>
    <m/>
    <n v="13.895522388059701"/>
    <n v="96.125749999999996"/>
    <n v="42.107643600180907"/>
    <n v="1"/>
    <n v="96.125749999999996"/>
    <x v="0"/>
    <x v="0"/>
    <s v="OK"/>
  </r>
  <r>
    <s v="SO-50367"/>
    <s v="PL-SUR"/>
    <x v="12"/>
    <s v="BEB-1019"/>
    <n v="1570"/>
    <d v="2026-06-03T00:00:00"/>
    <s v="In Transit"/>
    <s v="OK"/>
    <n v="14.35"/>
    <n v="70"/>
    <n v="240"/>
    <s v="OK"/>
    <n v="1"/>
    <m/>
    <n v="22.428571428571427"/>
    <n v="93.872916666666669"/>
    <n v="67.96536796536796"/>
    <n v="1"/>
    <n v="93.872916666666669"/>
    <x v="0"/>
    <x v="0"/>
    <s v="OK"/>
  </r>
  <r>
    <s v="SO-50550"/>
    <s v="PL-CEN"/>
    <x v="9"/>
    <s v="PRO-1007"/>
    <n v="1614"/>
    <d v="2026-06-02T00:00:00"/>
    <s v="In Transit"/>
    <s v="OK"/>
    <n v="13.13"/>
    <n v="82"/>
    <n v="105"/>
    <s v="OK"/>
    <n v="2"/>
    <m/>
    <n v="19.682926829268293"/>
    <n v="88.299250000000001"/>
    <n v="59.645232815964519"/>
    <n v="1"/>
    <n v="88.299250000000001"/>
    <x v="0"/>
    <x v="0"/>
    <s v="OK"/>
  </r>
  <r>
    <s v="SO-50868"/>
    <s v="PL-CEN"/>
    <x v="8"/>
    <s v="LAC-1016"/>
    <n v="1994"/>
    <d v="2026-06-03T00:00:00"/>
    <s v="In Transit"/>
    <s v="OK"/>
    <n v="10.9"/>
    <n v="131"/>
    <n v="22"/>
    <s v="OK"/>
    <n v="1"/>
    <m/>
    <n v="15.221374045801527"/>
    <n v="90.560833333333349"/>
    <n v="46.125375896368261"/>
    <n v="1"/>
    <n v="90.560833333333349"/>
    <x v="0"/>
    <x v="0"/>
    <s v="OK"/>
  </r>
  <r>
    <s v="SO-51003"/>
    <s v="PL-SUR"/>
    <x v="4"/>
    <s v="LAC-1004"/>
    <n v="1962"/>
    <d v="2026-05-24T00:00:00"/>
    <s v="In Transit"/>
    <s v="OK"/>
    <n v="11.45"/>
    <n v="93"/>
    <n v="16"/>
    <s v="OK"/>
    <n v="11"/>
    <m/>
    <n v="21.096774193548388"/>
    <n v="93.603749999999991"/>
    <n v="63.929618768328446"/>
    <n v="1"/>
    <n v="93.603749999999991"/>
    <x v="0"/>
    <x v="1"/>
    <s v="FANTASMA"/>
  </r>
  <r>
    <s v="SO-50610"/>
    <s v="PL-SUR"/>
    <x v="6"/>
    <s v="BOT-1014"/>
    <n v="1289"/>
    <d v="2026-06-03T00:00:00"/>
    <s v="In Transit"/>
    <s v="OK"/>
    <n v="3.92"/>
    <n v="49"/>
    <n v="98"/>
    <s v="OK"/>
    <n v="1"/>
    <m/>
    <n v="26.306122448979593"/>
    <n v="21.053666666666668"/>
    <n v="79.715522572665435"/>
    <n v="1"/>
    <n v="79.715522572665435"/>
    <x v="0"/>
    <x v="0"/>
    <s v="OK"/>
  </r>
  <r>
    <s v="SO-50177"/>
    <s v="PL-SUR"/>
    <x v="7"/>
    <s v="ABA-1004"/>
    <n v="1514"/>
    <d v="2026-06-03T00:00:00"/>
    <s v="In Transit"/>
    <s v="OK"/>
    <n v="12.85"/>
    <n v="91"/>
    <n v="297"/>
    <s v="OK"/>
    <n v="1"/>
    <m/>
    <n v="16.637362637362639"/>
    <n v="81.06208333333332"/>
    <n v="50.416250416250421"/>
    <n v="1"/>
    <n v="81.06208333333332"/>
    <x v="0"/>
    <x v="0"/>
    <s v="OK"/>
  </r>
  <r>
    <s v="SO-51022"/>
    <s v="PL-CEN"/>
    <x v="8"/>
    <s v="LAC-1002"/>
    <n v="3018"/>
    <d v="2026-05-20T00:00:00"/>
    <s v="In Transit"/>
    <s v="OK"/>
    <n v="7.71"/>
    <n v="101"/>
    <n v="23"/>
    <s v="OK"/>
    <n v="15"/>
    <m/>
    <n v="29.881188118811881"/>
    <n v="96.953249999999997"/>
    <n v="90.54905490549055"/>
    <n v="1"/>
    <n v="96.953249999999997"/>
    <x v="0"/>
    <x v="1"/>
    <s v="FANTASMA"/>
  </r>
  <r>
    <s v="SO-50486"/>
    <s v="PL-CEN"/>
    <x v="3"/>
    <s v="PRO-1011"/>
    <n v="960"/>
    <d v="2026-06-01T00:00:00"/>
    <s v="In Transit"/>
    <s v="OK"/>
    <n v="4.3600000000000003"/>
    <n v="88"/>
    <n v="108"/>
    <s v="OK"/>
    <n v="3"/>
    <m/>
    <n v="10.909090909090908"/>
    <n v="17.440000000000001"/>
    <n v="33.057851239669418"/>
    <n v="1"/>
    <n v="33.057851239669418"/>
    <x v="1"/>
    <x v="0"/>
    <s v="OK"/>
  </r>
  <r>
    <s v="SO-50882"/>
    <s v="PL-NTE"/>
    <x v="10"/>
    <s v="BOT-1005"/>
    <n v="1794"/>
    <d v="2026-06-01T00:00:00"/>
    <s v="In Transit"/>
    <s v="OK"/>
    <n v="5.49"/>
    <n v="62"/>
    <n v="91"/>
    <s v="OK"/>
    <n v="3"/>
    <m/>
    <n v="28.93548387096774"/>
    <n v="41.037750000000003"/>
    <n v="87.68328445747801"/>
    <n v="1"/>
    <n v="87.68328445747801"/>
    <x v="0"/>
    <x v="0"/>
    <s v="OK"/>
  </r>
  <r>
    <s v="SO-51102"/>
    <s v="PL-NTE"/>
    <x v="2"/>
    <s v="PRO-1009"/>
    <n v="1677"/>
    <d v="2026-05-26T00:00:00"/>
    <s v="In Transit"/>
    <s v="OK"/>
    <n v="11.96"/>
    <n v="101"/>
    <n v="90"/>
    <s v="OK"/>
    <n v="9"/>
    <m/>
    <n v="16.603960396039604"/>
    <n v="83.57050000000001"/>
    <n v="50.315031503150308"/>
    <n v="1"/>
    <n v="83.57050000000001"/>
    <x v="0"/>
    <x v="0"/>
    <s v="FANTASMA"/>
  </r>
  <r>
    <s v="SO-50079"/>
    <s v="PL-SUR"/>
    <x v="0"/>
    <s v="BOT-1008"/>
    <n v="1788"/>
    <d v="2026-06-03T00:00:00"/>
    <s v="In Transit"/>
    <s v="OK"/>
    <n v="3.48"/>
    <n v="66"/>
    <n v="112"/>
    <s v="OK"/>
    <n v="1"/>
    <m/>
    <n v="27.09090909090909"/>
    <n v="25.925999999999998"/>
    <n v="82.093663911845724"/>
    <n v="1"/>
    <n v="82.093663911845724"/>
    <x v="0"/>
    <x v="0"/>
    <s v="OK"/>
  </r>
  <r>
    <s v="SO-50100"/>
    <s v="PL-CEN"/>
    <x v="5"/>
    <s v="BOT-1005"/>
    <n v="1932"/>
    <d v="2026-06-02T00:00:00"/>
    <s v="In Transit"/>
    <s v="OK"/>
    <n v="5.49"/>
    <n v="62"/>
    <n v="91"/>
    <s v="OK"/>
    <n v="2"/>
    <m/>
    <n v="31.161290322580644"/>
    <n v="44.194500000000005"/>
    <n v="94.428152492668616"/>
    <n v="1"/>
    <n v="94.428152492668616"/>
    <x v="0"/>
    <x v="0"/>
    <s v="OK"/>
  </r>
  <r>
    <s v="SO-50324"/>
    <s v="PL-NTE"/>
    <x v="14"/>
    <s v="BOT-1022"/>
    <n v="1076"/>
    <d v="2026-06-03T00:00:00"/>
    <s v="Delivered"/>
    <s v="OK"/>
    <n v="3.48"/>
    <n v="55"/>
    <n v="118"/>
    <s v="OK"/>
    <n v="1"/>
    <m/>
    <n v="19.563636363636363"/>
    <n v="15.601999999999999"/>
    <n v="59.28374655647383"/>
    <n v="1"/>
    <n v="59.28374655647383"/>
    <x v="1"/>
    <x v="0"/>
    <s v="OK"/>
  </r>
  <r>
    <s v="SO-50259"/>
    <s v="PL-SUR"/>
    <x v="6"/>
    <s v="ABA-1000"/>
    <n v="1283"/>
    <d v="2026-05-31T00:00:00"/>
    <s v="In Transit"/>
    <s v="OK"/>
    <n v="15.2"/>
    <n v="135"/>
    <n v="361"/>
    <s v="OK"/>
    <n v="4"/>
    <m/>
    <n v="9.5037037037037031"/>
    <n v="81.256666666666661"/>
    <n v="28.799102132435461"/>
    <n v="1"/>
    <n v="81.256666666666661"/>
    <x v="0"/>
    <x v="0"/>
    <s v="OK"/>
  </r>
  <r>
    <s v="SO-50625"/>
    <s v="PL-CEN"/>
    <x v="3"/>
    <s v="PRO-1003"/>
    <n v="1644"/>
    <d v="2026-06-03T00:00:00"/>
    <s v="In Transit"/>
    <s v="OK"/>
    <n v="13.9"/>
    <n v="69"/>
    <n v="106"/>
    <s v="OK"/>
    <n v="1"/>
    <m/>
    <n v="23.826086956521738"/>
    <n v="95.215000000000003"/>
    <n v="72.200263504611328"/>
    <n v="1"/>
    <n v="95.215000000000003"/>
    <x v="0"/>
    <x v="0"/>
    <s v="OK"/>
  </r>
  <r>
    <s v="SO-50562"/>
    <s v="PL-SUR"/>
    <x v="4"/>
    <s v="LAC-1007"/>
    <n v="2164"/>
    <d v="2026-06-03T00:00:00"/>
    <s v="In Transit"/>
    <s v="OK"/>
    <n v="10.37"/>
    <n v="100"/>
    <n v="24"/>
    <s v="OK"/>
    <n v="1"/>
    <m/>
    <n v="21.64"/>
    <n v="93.502833333333328"/>
    <n v="65.575757575757578"/>
    <n v="1"/>
    <n v="93.502833333333328"/>
    <x v="0"/>
    <x v="0"/>
    <s v="OK"/>
  </r>
  <r>
    <s v="SO-51072"/>
    <s v="PL-NTE"/>
    <x v="14"/>
    <s v="BOT-1023"/>
    <n v="1171"/>
    <d v="2026-06-03T00:00:00"/>
    <s v="In Transit"/>
    <s v="OK"/>
    <n v="4.29"/>
    <n v="44"/>
    <n v="111"/>
    <s v="OK"/>
    <n v="1"/>
    <m/>
    <n v="26.613636363636363"/>
    <n v="20.931625"/>
    <n v="80.647382920110189"/>
    <n v="1"/>
    <n v="80.647382920110189"/>
    <x v="0"/>
    <x v="0"/>
    <s v="OK"/>
  </r>
  <r>
    <s v="SO-50402"/>
    <s v="PL-NTE"/>
    <x v="1"/>
    <s v="LAC-1005"/>
    <n v="1065"/>
    <d v="2026-05-31T00:00:00"/>
    <s v="In Transit"/>
    <s v="OK"/>
    <n v="8.94"/>
    <n v="100"/>
    <n v="17"/>
    <s v="OK"/>
    <n v="4"/>
    <m/>
    <n v="10.65"/>
    <n v="39.671250000000001"/>
    <n v="32.272727272727273"/>
    <n v="1"/>
    <n v="39.671250000000001"/>
    <x v="1"/>
    <x v="0"/>
    <s v="OK"/>
  </r>
  <r>
    <s v="SO-51030"/>
    <s v="PL-SUR"/>
    <x v="12"/>
    <s v="LAC-1004"/>
    <n v="892"/>
    <d v="2026-05-24T00:00:00"/>
    <s v="In Transit"/>
    <s v="OK"/>
    <n v="11.45"/>
    <n v="93"/>
    <n v="16"/>
    <s v="OK"/>
    <n v="11"/>
    <m/>
    <n v="9.591397849462366"/>
    <n v="42.555833333333332"/>
    <n v="29.064841968067778"/>
    <n v="1"/>
    <n v="42.555833333333332"/>
    <x v="1"/>
    <x v="1"/>
    <s v="FANTASMA"/>
  </r>
  <r>
    <s v="SO-51007"/>
    <s v="PL-CEN"/>
    <x v="5"/>
    <s v="LAC-1003"/>
    <n v="2431"/>
    <d v="2026-05-24T00:00:00"/>
    <s v="In Transit"/>
    <s v="OK"/>
    <n v="9.02"/>
    <n v="114"/>
    <n v="18"/>
    <s v="OK"/>
    <n v="11"/>
    <m/>
    <n v="21.32456140350877"/>
    <n v="91.365083333333331"/>
    <n v="64.619883040935662"/>
    <n v="1"/>
    <n v="91.365083333333331"/>
    <x v="0"/>
    <x v="1"/>
    <s v="FANTASMA"/>
  </r>
  <r>
    <s v="SO-50221"/>
    <s v="PL-SUR"/>
    <x v="4"/>
    <s v="PRO-1010"/>
    <n v="2295"/>
    <d v="2026-06-03T00:00:00"/>
    <s v="In Transit"/>
    <s v="OK"/>
    <n v="7.76"/>
    <n v="86"/>
    <n v="112"/>
    <s v="OK"/>
    <n v="1"/>
    <m/>
    <n v="26.686046511627907"/>
    <n v="74.204999999999998"/>
    <n v="80.866807610993661"/>
    <n v="1"/>
    <n v="80.866807610993661"/>
    <x v="0"/>
    <x v="0"/>
    <s v="OK"/>
  </r>
  <r>
    <s v="SO-50447"/>
    <s v="PL-NTE"/>
    <x v="10"/>
    <s v="BEB-1010"/>
    <n v="849"/>
    <d v="2026-06-03T00:00:00"/>
    <s v="In Transit"/>
    <s v="OK"/>
    <n v="0"/>
    <n v="71"/>
    <n v="192"/>
    <s v="OK"/>
    <n v="1"/>
    <m/>
    <n v="11.95774647887324"/>
    <n v="0"/>
    <n v="36.235595390524971"/>
    <n v="1"/>
    <n v="36.235595390524971"/>
    <x v="1"/>
    <x v="0"/>
    <s v="OK"/>
  </r>
  <r>
    <s v="SO-50188"/>
    <s v="PL-NTE"/>
    <x v="1"/>
    <s v="BOT-1010"/>
    <n v="790"/>
    <d v="2026-06-02T00:00:00"/>
    <s v="In Transit"/>
    <s v="OK"/>
    <n v="5.09"/>
    <n v="40"/>
    <n v="90"/>
    <s v="OK"/>
    <n v="2"/>
    <m/>
    <n v="19.75"/>
    <n v="16.754583333333333"/>
    <n v="59.848484848484851"/>
    <n v="1"/>
    <n v="59.848484848484851"/>
    <x v="1"/>
    <x v="0"/>
    <s v="OK"/>
  </r>
  <r>
    <s v="SO-50458"/>
    <s v="PL-NTE"/>
    <x v="14"/>
    <s v="ABA-1014"/>
    <n v="1176"/>
    <d v="2026-06-03T00:00:00"/>
    <s v="In Transit"/>
    <s v="OK"/>
    <n v="9.56"/>
    <n v="136"/>
    <n v="345"/>
    <s v="OK"/>
    <n v="1"/>
    <m/>
    <n v="8.6470588235294112"/>
    <n v="46.844000000000008"/>
    <n v="26.203208556149733"/>
    <n v="1"/>
    <n v="46.844000000000008"/>
    <x v="1"/>
    <x v="0"/>
    <s v="OK"/>
  </r>
  <r>
    <s v="SO-50608"/>
    <s v="PL-NTE"/>
    <x v="2"/>
    <s v="BOT-1008"/>
    <n v="1130"/>
    <d v="2026-06-02T00:00:00"/>
    <s v="In Transit"/>
    <s v="OK"/>
    <n v="3.48"/>
    <n v="66"/>
    <n v="112"/>
    <s v="OK"/>
    <n v="2"/>
    <m/>
    <n v="17.121212121212121"/>
    <n v="16.384999999999998"/>
    <n v="51.882460973370058"/>
    <n v="1"/>
    <n v="51.882460973370058"/>
    <x v="1"/>
    <x v="0"/>
    <s v="OK"/>
  </r>
  <r>
    <s v="SO-50206"/>
    <s v="PL-NTE"/>
    <x v="1"/>
    <s v="LAC-1007"/>
    <n v="2204"/>
    <d v="2026-06-03T00:00:00"/>
    <s v="In Transit"/>
    <s v="OK"/>
    <n v="10.37"/>
    <n v="100"/>
    <n v="24"/>
    <s v="OK"/>
    <n v="1"/>
    <m/>
    <n v="22.04"/>
    <n v="95.231166666666667"/>
    <n v="66.787878787878782"/>
    <n v="1"/>
    <n v="95.231166666666667"/>
    <x v="0"/>
    <x v="0"/>
    <s v="OK"/>
  </r>
  <r>
    <s v="SO-50470"/>
    <s v="PL-NTE"/>
    <x v="14"/>
    <s v="BOT-1007"/>
    <n v="2171"/>
    <d v="2026-06-03T00:00:00"/>
    <s v="In Transit"/>
    <s v="OK"/>
    <n v="0"/>
    <n v="49"/>
    <n v="104"/>
    <s v="OK"/>
    <n v="1"/>
    <m/>
    <n v="44.306122448979593"/>
    <n v="0"/>
    <n v="134.26097711811997"/>
    <n v="2"/>
    <n v="67.130488559059984"/>
    <x v="1"/>
    <x v="0"/>
    <s v="OK"/>
  </r>
  <r>
    <s v="SO-50854"/>
    <s v="PL-NTE"/>
    <x v="2"/>
    <s v="PRO-1011"/>
    <n v="2302"/>
    <d v="2026-06-03T00:00:00"/>
    <s v="In Transit"/>
    <s v="OK"/>
    <n v="4.3600000000000003"/>
    <n v="88"/>
    <n v="108"/>
    <s v="OK"/>
    <n v="1"/>
    <m/>
    <n v="26.15909090909091"/>
    <n v="41.81966666666667"/>
    <n v="79.269972451790636"/>
    <n v="1"/>
    <n v="79.269972451790636"/>
    <x v="0"/>
    <x v="0"/>
    <s v="OK"/>
  </r>
  <r>
    <s v="SO-51089"/>
    <s v="PL-CEN"/>
    <x v="9"/>
    <s v="BOT-1010"/>
    <n v="1064"/>
    <d v="2026-06-01T00:00:00"/>
    <s v="In Transit"/>
    <s v="OK"/>
    <n v="5.09"/>
    <n v="40"/>
    <n v="90"/>
    <s v="OK"/>
    <n v="3"/>
    <m/>
    <n v="26.6"/>
    <n v="22.565666666666669"/>
    <n v="80.606060606060609"/>
    <n v="1"/>
    <n v="80.606060606060609"/>
    <x v="0"/>
    <x v="0"/>
    <s v="OK"/>
  </r>
  <r>
    <s v="SO-50850"/>
    <s v="PL-CEN"/>
    <x v="3"/>
    <s v="PRO-1000"/>
    <n v="1140"/>
    <d v="2026-06-01T00:00:00"/>
    <s v="In Transit"/>
    <s v="OK"/>
    <n v="12.51"/>
    <n v="73"/>
    <n v="75"/>
    <s v="OK"/>
    <n v="3"/>
    <m/>
    <n v="15.616438356164384"/>
    <n v="59.422499999999999"/>
    <n v="47.322540473225402"/>
    <n v="1"/>
    <n v="59.422499999999999"/>
    <x v="1"/>
    <x v="0"/>
    <s v="OK"/>
  </r>
  <r>
    <s v="SO-50794"/>
    <s v="PL-CEN"/>
    <x v="3"/>
    <s v="LAC-1009"/>
    <n v="553"/>
    <d v="2026-06-01T00:00:00"/>
    <s v="In Transit"/>
    <s v="OK"/>
    <n v="11.01"/>
    <n v="98"/>
    <n v="16"/>
    <s v="OK"/>
    <n v="3"/>
    <m/>
    <n v="5.6428571428571432"/>
    <n v="25.368874999999996"/>
    <n v="17.0995670995671"/>
    <n v="1"/>
    <n v="25.368874999999996"/>
    <x v="1"/>
    <x v="0"/>
    <s v="OK"/>
  </r>
  <r>
    <s v="SO-50818"/>
    <s v="PL-CEN"/>
    <x v="3"/>
    <s v="ABA-1007"/>
    <n v="2279"/>
    <d v="2026-06-03T00:00:00"/>
    <s v="In Transit"/>
    <s v="OK"/>
    <n v="9.7899999999999991"/>
    <n v="123"/>
    <n v="334"/>
    <s v="OK"/>
    <n v="1"/>
    <m/>
    <n v="18.528455284552845"/>
    <n v="92.964208333333332"/>
    <n v="56.14683419561468"/>
    <n v="1"/>
    <n v="92.964208333333332"/>
    <x v="0"/>
    <x v="0"/>
    <s v="OK"/>
  </r>
  <r>
    <s v="SO-50366"/>
    <s v="PL-SUR"/>
    <x v="6"/>
    <s v="LAC-1012"/>
    <n v="2122"/>
    <d v="2026-05-31T00:00:00"/>
    <s v="In Transit"/>
    <s v="OK"/>
    <n v="9.8699999999999992"/>
    <n v="88"/>
    <n v="25"/>
    <s v="OK"/>
    <n v="4"/>
    <m/>
    <n v="24.113636363636363"/>
    <n v="87.26724999999999"/>
    <n v="73.071625344352626"/>
    <n v="1"/>
    <n v="87.26724999999999"/>
    <x v="0"/>
    <x v="0"/>
    <s v="OK"/>
  </r>
  <r>
    <s v="SO-50630"/>
    <s v="PL-CEN"/>
    <x v="3"/>
    <s v="PRO-1003"/>
    <n v="1401"/>
    <d v="2026-06-03T00:00:00"/>
    <s v="In Transit"/>
    <s v="OK"/>
    <n v="13.9"/>
    <n v="69"/>
    <n v="106"/>
    <s v="OK"/>
    <n v="1"/>
    <m/>
    <n v="20.304347826086957"/>
    <n v="81.141250000000014"/>
    <n v="61.528326745718054"/>
    <n v="1"/>
    <n v="81.141250000000014"/>
    <x v="0"/>
    <x v="0"/>
    <s v="OK"/>
  </r>
  <r>
    <s v="SO-50902"/>
    <s v="PL-SUR"/>
    <x v="12"/>
    <s v="ABA-1017"/>
    <n v="1861"/>
    <d v="2026-06-02T00:00:00"/>
    <s v="In Transit"/>
    <s v="OK"/>
    <n v="10.96"/>
    <n v="128"/>
    <n v="520"/>
    <s v="OK"/>
    <n v="2"/>
    <m/>
    <n v="14.5390625"/>
    <n v="84.985666666666674"/>
    <n v="44.057765151515149"/>
    <n v="1"/>
    <n v="84.985666666666674"/>
    <x v="0"/>
    <x v="0"/>
    <s v="OK"/>
  </r>
  <r>
    <s v="SO-50793"/>
    <s v="PL-CEN"/>
    <x v="9"/>
    <s v="ABA-1000"/>
    <n v="1466"/>
    <d v="2026-06-02T00:00:00"/>
    <s v="In Transit"/>
    <s v="OK"/>
    <n v="15.2"/>
    <n v="135"/>
    <n v="361"/>
    <s v="OK"/>
    <n v="2"/>
    <m/>
    <n v="10.859259259259259"/>
    <n v="92.846666666666664"/>
    <n v="32.906846240179568"/>
    <n v="1"/>
    <n v="92.846666666666664"/>
    <x v="0"/>
    <x v="0"/>
    <s v="OK"/>
  </r>
  <r>
    <s v="SO-50759"/>
    <s v="PL-NTE"/>
    <x v="2"/>
    <s v="PRO-1000"/>
    <n v="1593"/>
    <d v="2026-06-02T00:00:00"/>
    <s v="In Transit"/>
    <s v="OK"/>
    <n v="12.51"/>
    <n v="73"/>
    <n v="75"/>
    <s v="OK"/>
    <n v="2"/>
    <m/>
    <n v="21.82191780821918"/>
    <n v="83.035124999999994"/>
    <n v="66.127023661270243"/>
    <n v="1"/>
    <n v="83.035124999999994"/>
    <x v="0"/>
    <x v="0"/>
    <s v="OK"/>
  </r>
  <r>
    <s v="SO-50638"/>
    <s v="PL-SUR"/>
    <x v="6"/>
    <s v="BOT-1014"/>
    <n v="1397"/>
    <d v="2026-06-03T00:00:00"/>
    <s v="In Transit"/>
    <s v="OK"/>
    <n v="3.92"/>
    <n v="49"/>
    <n v="98"/>
    <s v="OK"/>
    <n v="1"/>
    <m/>
    <n v="28.510204081632654"/>
    <n v="22.817666666666668"/>
    <n v="86.394557823129261"/>
    <n v="1"/>
    <n v="86.394557823129261"/>
    <x v="0"/>
    <x v="0"/>
    <s v="OK"/>
  </r>
  <r>
    <s v="SO-50588"/>
    <s v="PL-CEN"/>
    <x v="13"/>
    <s v="BEB-1012"/>
    <n v="1207"/>
    <d v="2026-06-03T00:00:00"/>
    <s v="In Transit"/>
    <s v="OK"/>
    <n v="15.66"/>
    <n v="72"/>
    <n v="306"/>
    <s v="OK"/>
    <n v="1"/>
    <m/>
    <n v="16.763888888888889"/>
    <n v="78.756749999999997"/>
    <n v="50.799663299663301"/>
    <n v="1"/>
    <n v="78.756749999999997"/>
    <x v="0"/>
    <x v="0"/>
    <s v="OK"/>
  </r>
  <r>
    <s v="SO-50230"/>
    <s v="PL-SUR"/>
    <x v="4"/>
    <s v="BOT-1003"/>
    <n v="1756"/>
    <d v="2026-06-02T00:00:00"/>
    <s v="In Transit"/>
    <s v="OK"/>
    <n v="5.92"/>
    <n v="57"/>
    <n v="92"/>
    <s v="OK"/>
    <n v="2"/>
    <m/>
    <n v="30.807017543859651"/>
    <n v="43.314666666666668"/>
    <n v="93.354598617756508"/>
    <n v="1"/>
    <n v="93.354598617756508"/>
    <x v="0"/>
    <x v="0"/>
    <s v="OK"/>
  </r>
  <r>
    <s v="SO-50451"/>
    <s v="PL-CEN"/>
    <x v="3"/>
    <s v="ABA-1015"/>
    <n v="1391"/>
    <d v="2026-06-01T00:00:00"/>
    <s v="In Transit"/>
    <s v="OK"/>
    <n v="8.19"/>
    <n v="82"/>
    <n v="317"/>
    <s v="OK"/>
    <n v="3"/>
    <m/>
    <n v="16.963414634146343"/>
    <n v="47.467874999999999"/>
    <n v="51.40428677014043"/>
    <n v="1"/>
    <n v="51.40428677014043"/>
    <x v="1"/>
    <x v="0"/>
    <s v="OK"/>
  </r>
  <r>
    <s v="SO-51020"/>
    <s v="PL-CEN"/>
    <x v="8"/>
    <s v="LAC-1016"/>
    <n v="1985"/>
    <d v="2026-05-18T00:00:00"/>
    <s v="In Transit"/>
    <s v="OK"/>
    <n v="10.9"/>
    <n v="131"/>
    <n v="22"/>
    <s v="OK"/>
    <n v="17"/>
    <m/>
    <n v="15.152671755725191"/>
    <n v="90.152083333333337"/>
    <n v="45.917187138561182"/>
    <n v="1"/>
    <n v="90.152083333333337"/>
    <x v="0"/>
    <x v="1"/>
    <s v="FANTASMA"/>
  </r>
  <r>
    <s v="SO-50657"/>
    <s v="PL-SUR"/>
    <x v="4"/>
    <s v="PRO-1011"/>
    <n v="2521"/>
    <d v="2026-06-02T00:00:00"/>
    <s v="In Transit"/>
    <s v="OK"/>
    <n v="4.3600000000000003"/>
    <n v="88"/>
    <n v="108"/>
    <s v="OK"/>
    <n v="2"/>
    <m/>
    <n v="28.647727272727273"/>
    <n v="45.798166666666674"/>
    <n v="86.811294765840216"/>
    <n v="1"/>
    <n v="86.811294765840216"/>
    <x v="0"/>
    <x v="0"/>
    <s v="OK"/>
  </r>
  <r>
    <s v="SO-50513"/>
    <s v="PL-NTE"/>
    <x v="2"/>
    <s v="LAC-1014"/>
    <n v="1206"/>
    <d v="2026-06-02T00:00:00"/>
    <s v="In Transit"/>
    <s v="OK"/>
    <n v="8.0500000000000007"/>
    <n v="147"/>
    <n v="28"/>
    <s v="OK"/>
    <n v="2"/>
    <m/>
    <n v="8.204081632653061"/>
    <n v="40.451250000000002"/>
    <n v="24.860853432282003"/>
    <n v="1"/>
    <n v="40.451250000000002"/>
    <x v="1"/>
    <x v="0"/>
    <s v="OK"/>
  </r>
  <r>
    <s v="SO-50778"/>
    <s v="PL-CEN"/>
    <x v="9"/>
    <s v="ABA-1018"/>
    <n v="1822"/>
    <d v="2026-06-02T00:00:00"/>
    <s v="In Transit"/>
    <s v="OK"/>
    <n v="11.43"/>
    <n v="128"/>
    <n v="530"/>
    <s v="OK"/>
    <n v="2"/>
    <m/>
    <n v="14.234375"/>
    <n v="86.772750000000002"/>
    <n v="43.134469696969695"/>
    <n v="1"/>
    <n v="86.772750000000002"/>
    <x v="0"/>
    <x v="0"/>
    <s v="OK"/>
  </r>
  <r>
    <s v="SO-50369"/>
    <s v="PL-SUR"/>
    <x v="12"/>
    <s v="ABA-1002"/>
    <n v="1410"/>
    <d v="2026-06-02T00:00:00"/>
    <s v="In Transit"/>
    <s v="OK"/>
    <n v="15.1"/>
    <n v="74"/>
    <n v="443"/>
    <s v="OK"/>
    <n v="2"/>
    <m/>
    <n v="19.054054054054053"/>
    <n v="88.712500000000006"/>
    <n v="57.739557739557732"/>
    <n v="1"/>
    <n v="88.712500000000006"/>
    <x v="0"/>
    <x v="0"/>
    <s v="OK"/>
  </r>
  <r>
    <s v="SO-50714"/>
    <s v="PL-NTE"/>
    <x v="11"/>
    <s v="BEB-1005"/>
    <n v="1396"/>
    <d v="2026-06-03T00:00:00"/>
    <s v="In Transit"/>
    <s v="OK"/>
    <n v="14.2"/>
    <n v="95"/>
    <n v="277"/>
    <s v="OK"/>
    <n v="1"/>
    <m/>
    <n v="14.694736842105263"/>
    <n v="82.596666666666678"/>
    <n v="44.529505582137155"/>
    <n v="1"/>
    <n v="82.596666666666678"/>
    <x v="0"/>
    <x v="0"/>
    <s v="OK"/>
  </r>
  <r>
    <s v="SO-50287"/>
    <s v="PL-NTE"/>
    <x v="14"/>
    <s v="PRO-1013"/>
    <n v="780"/>
    <d v="2026-06-03T00:00:00"/>
    <s v="In Transit"/>
    <s v="OK"/>
    <n v="4.37"/>
    <n v="58"/>
    <n v="92"/>
    <s v="OK"/>
    <n v="1"/>
    <m/>
    <n v="13.448275862068966"/>
    <n v="14.202499999999999"/>
    <n v="40.752351097178682"/>
    <n v="1"/>
    <n v="40.752351097178682"/>
    <x v="1"/>
    <x v="0"/>
    <s v="OK"/>
  </r>
  <r>
    <s v="SO-50962"/>
    <s v="PL-NTE"/>
    <x v="11"/>
    <s v="BEB-1007"/>
    <n v="465"/>
    <d v="2026-06-02T00:00:00"/>
    <s v="In Transit"/>
    <s v="OK"/>
    <n v="13.67"/>
    <n v="78"/>
    <n v="247"/>
    <s v="OK"/>
    <n v="2"/>
    <m/>
    <n v="5.9615384615384617"/>
    <n v="26.485625000000002"/>
    <n v="18.065268065268068"/>
    <n v="1"/>
    <n v="26.485625000000002"/>
    <x v="1"/>
    <x v="0"/>
    <s v="OK"/>
  </r>
  <r>
    <s v="SO-50063"/>
    <s v="PL-SUR"/>
    <x v="4"/>
    <s v="ABA-1007"/>
    <n v="2223"/>
    <d v="2026-06-02T00:00:00"/>
    <s v="In Transit"/>
    <s v="OK"/>
    <n v="9.7899999999999991"/>
    <n v="123"/>
    <n v="334"/>
    <s v="OK"/>
    <n v="2"/>
    <m/>
    <n v="18.073170731707318"/>
    <n v="90.679874999999981"/>
    <n v="54.767184035476724"/>
    <n v="1"/>
    <n v="90.679874999999981"/>
    <x v="0"/>
    <x v="0"/>
    <s v="OK"/>
  </r>
  <r>
    <s v="SO-50092"/>
    <s v="PL-CEN"/>
    <x v="8"/>
    <s v="BEB-1016"/>
    <n v="509"/>
    <d v="2026-06-03T00:00:00"/>
    <s v="In Transit"/>
    <s v="OK"/>
    <n v="0"/>
    <n v="98"/>
    <n v="359"/>
    <s v="OK"/>
    <n v="1"/>
    <m/>
    <n v="5.1938775510204085"/>
    <n v="0"/>
    <n v="15.739022881880027"/>
    <n v="1"/>
    <n v="15.739022881880027"/>
    <x v="1"/>
    <x v="0"/>
    <s v="OK"/>
  </r>
  <r>
    <s v="SO-50082"/>
    <s v="PL-NTE"/>
    <x v="1"/>
    <s v="ABA-1010"/>
    <n v="2461"/>
    <d v="2026-06-01T00:00:00"/>
    <s v="In Transit"/>
    <s v="OK"/>
    <n v="8.75"/>
    <n v="123"/>
    <n v="341"/>
    <s v="OK"/>
    <n v="3"/>
    <m/>
    <n v="20.008130081300813"/>
    <n v="89.723958333333329"/>
    <n v="60.630697216063069"/>
    <n v="1"/>
    <n v="89.723958333333329"/>
    <x v="0"/>
    <x v="0"/>
    <s v="OK"/>
  </r>
  <r>
    <s v="SO-50467"/>
    <s v="PL-CEN"/>
    <x v="8"/>
    <s v="LAC-1011"/>
    <n v="1167"/>
    <d v="2026-06-03T00:00:00"/>
    <s v="In Transit"/>
    <s v="OK"/>
    <n v="6.1"/>
    <n v="137"/>
    <n v="17"/>
    <s v="OK"/>
    <n v="1"/>
    <m/>
    <n v="8.5182481751824817"/>
    <n v="29.661249999999999"/>
    <n v="25.812873258128732"/>
    <n v="1"/>
    <n v="29.661249999999999"/>
    <x v="1"/>
    <x v="0"/>
    <s v="OK"/>
  </r>
  <r>
    <s v="SO-50104"/>
    <s v="PL-SUR"/>
    <x v="6"/>
    <s v="BOT-1009"/>
    <n v="1390"/>
    <d v="2026-06-02T00:00:00"/>
    <s v="In Transit"/>
    <s v="OK"/>
    <n v="5.25"/>
    <n v="76"/>
    <n v="104"/>
    <s v="OK"/>
    <n v="2"/>
    <m/>
    <n v="18.289473684210527"/>
    <n v="30.40625"/>
    <n v="55.422647527910684"/>
    <n v="1"/>
    <n v="55.422647527910684"/>
    <x v="1"/>
    <x v="0"/>
    <s v="OK"/>
  </r>
  <r>
    <s v="SO-50152"/>
    <s v="PL-SUR"/>
    <x v="0"/>
    <s v="BEB-1020"/>
    <n v="737"/>
    <d v="2026-06-01T00:00:00"/>
    <s v="In Transit"/>
    <s v="OK"/>
    <n v="16.66"/>
    <n v="85"/>
    <n v="333"/>
    <s v="OK"/>
    <n v="3"/>
    <m/>
    <n v="8.670588235294117"/>
    <n v="51.160083333333326"/>
    <n v="26.274509803921564"/>
    <n v="1"/>
    <n v="51.160083333333326"/>
    <x v="1"/>
    <x v="0"/>
    <s v="OK"/>
  </r>
  <r>
    <s v="SO-51041"/>
    <s v="PL-NTE"/>
    <x v="1"/>
    <s v="LAC-1007"/>
    <n v="2181"/>
    <d v="2026-06-02T00:00:00"/>
    <s v="In Transit"/>
    <s v="OK"/>
    <n v="10.37"/>
    <n v="100"/>
    <n v="24"/>
    <s v="OK"/>
    <n v="2"/>
    <m/>
    <n v="21.81"/>
    <n v="94.237374999999986"/>
    <n v="66.090909090909093"/>
    <n v="1"/>
    <n v="94.237374999999986"/>
    <x v="0"/>
    <x v="0"/>
    <s v="OK"/>
  </r>
  <r>
    <s v="SO-50056"/>
    <s v="PL-NTE"/>
    <x v="1"/>
    <s v="LAC-1005"/>
    <n v="1563"/>
    <d v="2026-06-03T00:00:00"/>
    <s v="In Transit"/>
    <s v="OK"/>
    <n v="8.94"/>
    <n v="100"/>
    <n v="17"/>
    <s v="OK"/>
    <n v="1"/>
    <m/>
    <n v="15.63"/>
    <n v="58.221749999999993"/>
    <n v="47.36363636363636"/>
    <n v="1"/>
    <n v="58.221749999999993"/>
    <x v="1"/>
    <x v="0"/>
    <s v="OK"/>
  </r>
  <r>
    <s v="SO-50073"/>
    <s v="PL-CEN"/>
    <x v="5"/>
    <s v="ABA-1003"/>
    <n v="1407"/>
    <d v="2026-06-03T00:00:00"/>
    <s v="In Transit"/>
    <s v="OK"/>
    <n v="8.67"/>
    <n v="124"/>
    <n v="512"/>
    <s v="OK"/>
    <n v="1"/>
    <m/>
    <n v="11.346774193548388"/>
    <n v="50.827874999999999"/>
    <n v="34.384164222873906"/>
    <n v="1"/>
    <n v="50.827874999999999"/>
    <x v="1"/>
    <x v="0"/>
    <s v="OK"/>
  </r>
  <r>
    <s v="SO-50368"/>
    <s v="PL-CEN"/>
    <x v="8"/>
    <s v="BOT-1000"/>
    <n v="1710"/>
    <d v="2026-06-03T00:00:00"/>
    <s v="In Transit"/>
    <s v="OK"/>
    <n v="3.56"/>
    <n v="64"/>
    <n v="92"/>
    <s v="OK"/>
    <n v="1"/>
    <m/>
    <n v="26.71875"/>
    <n v="25.365000000000006"/>
    <n v="80.965909090909093"/>
    <n v="1"/>
    <n v="80.965909090909093"/>
    <x v="0"/>
    <x v="0"/>
    <s v="OK"/>
  </r>
  <r>
    <s v="SO-50110"/>
    <s v="PL-CEN"/>
    <x v="5"/>
    <s v="BEB-1001"/>
    <n v="1189"/>
    <d v="2026-06-03T00:00:00"/>
    <s v="In Transit"/>
    <s v="OK"/>
    <n v="19.18"/>
    <n v="95"/>
    <n v="208"/>
    <s v="OK"/>
    <n v="1"/>
    <m/>
    <n v="12.51578947368421"/>
    <n v="95.020916666666665"/>
    <n v="37.92663476874003"/>
    <n v="1"/>
    <n v="95.020916666666665"/>
    <x v="0"/>
    <x v="0"/>
    <s v="OK"/>
  </r>
  <r>
    <s v="SO-50075"/>
    <s v="PL-CEN"/>
    <x v="5"/>
    <s v="BEB-1010"/>
    <n v="1983"/>
    <d v="2026-06-03T00:00:00"/>
    <s v="In Transit"/>
    <s v="OK"/>
    <n v="0"/>
    <n v="71"/>
    <n v="192"/>
    <s v="OK"/>
    <n v="1"/>
    <m/>
    <n v="27.929577464788732"/>
    <n v="0"/>
    <n v="84.635083226632517"/>
    <n v="1"/>
    <n v="84.635083226632517"/>
    <x v="0"/>
    <x v="0"/>
    <s v="OK"/>
  </r>
  <r>
    <s v="SO-50689"/>
    <s v="PL-CEN"/>
    <x v="9"/>
    <s v="BEB-1009"/>
    <n v="1161"/>
    <d v="2026-06-03T00:00:00"/>
    <s v="In Transit"/>
    <s v="OK"/>
    <n v="18.170000000000002"/>
    <n v="61"/>
    <n v="188"/>
    <s v="OK"/>
    <n v="1"/>
    <m/>
    <n v="19.032786885245901"/>
    <n v="87.897375000000011"/>
    <n v="57.67511177347243"/>
    <n v="1"/>
    <n v="87.897375000000011"/>
    <x v="0"/>
    <x v="0"/>
    <s v="OK"/>
  </r>
  <r>
    <s v="SO-51088"/>
    <s v="PL-SUR"/>
    <x v="0"/>
    <s v="ABA-1005"/>
    <n v="448"/>
    <d v="2026-06-02T00:00:00"/>
    <s v="In Transit"/>
    <s v="OK"/>
    <n v="13.31"/>
    <n v="89"/>
    <n v="313"/>
    <s v="OK"/>
    <n v="2"/>
    <m/>
    <n v="5.0337078651685392"/>
    <n v="24.845333333333333"/>
    <n v="15.253660197480423"/>
    <n v="1"/>
    <n v="24.845333333333333"/>
    <x v="1"/>
    <x v="0"/>
    <s v="OK"/>
  </r>
  <r>
    <s v="SO-50394"/>
    <s v="PL-SUR"/>
    <x v="12"/>
    <s v="LAC-1006"/>
    <n v="2020"/>
    <d v="2026-06-03T00:00:00"/>
    <s v="In Transit"/>
    <s v="OK"/>
    <n v="10.029999999999999"/>
    <n v="126"/>
    <n v="17"/>
    <s v="OK"/>
    <n v="1"/>
    <m/>
    <n v="16.031746031746032"/>
    <n v="84.419166666666655"/>
    <n v="48.581048581048577"/>
    <n v="1"/>
    <n v="84.419166666666655"/>
    <x v="0"/>
    <x v="0"/>
    <s v="OK"/>
  </r>
  <r>
    <s v="SO-50531"/>
    <s v="PL-NTE"/>
    <x v="14"/>
    <s v="BOT-1002"/>
    <n v="2282"/>
    <d v="2026-06-03T00:00:00"/>
    <s v="In Transit"/>
    <s v="OK"/>
    <n v="3.02"/>
    <n v="84"/>
    <n v="111"/>
    <s v="OK"/>
    <n v="1"/>
    <m/>
    <n v="27.166666666666668"/>
    <n v="28.715166666666669"/>
    <n v="82.323232323232332"/>
    <n v="1"/>
    <n v="82.323232323232332"/>
    <x v="0"/>
    <x v="0"/>
    <s v="OK"/>
  </r>
  <r>
    <s v="SO-50317"/>
    <s v="PL-CEN"/>
    <x v="13"/>
    <s v="XXX-8706"/>
    <n v="3077"/>
    <d v="2026-06-03T00:00:00"/>
    <s v="In Transit"/>
    <s v="OK"/>
    <n v="0"/>
    <n v="0"/>
    <n v="0"/>
    <s v="HUERFANO"/>
    <n v="1"/>
    <m/>
    <s v="n/a"/>
    <s v="n/a"/>
    <s v="n/a"/>
    <s v="n/a"/>
    <s v="n/a"/>
    <x v="2"/>
    <x v="2"/>
    <s v="n/a"/>
  </r>
  <r>
    <s v="SO-50302"/>
    <s v="PL-SUR"/>
    <x v="4"/>
    <s v="LAC-1005"/>
    <n v="1579"/>
    <d v="2026-06-03T00:00:00"/>
    <s v="In Transit"/>
    <s v="OK"/>
    <n v="8.94"/>
    <n v="100"/>
    <n v="17"/>
    <s v="OK"/>
    <n v="1"/>
    <m/>
    <n v="15.79"/>
    <n v="58.81774999999999"/>
    <n v="47.848484848484844"/>
    <n v="1"/>
    <n v="58.81774999999999"/>
    <x v="1"/>
    <x v="0"/>
    <s v="OK"/>
  </r>
  <r>
    <s v="SO-50928"/>
    <s v="PL-CEN"/>
    <x v="3"/>
    <s v="BEB-1019"/>
    <n v="971"/>
    <d v="2026-06-01T00:00:00"/>
    <s v="In Transit"/>
    <s v="OK"/>
    <n v="14.35"/>
    <n v="70"/>
    <n v="240"/>
    <s v="OK"/>
    <n v="3"/>
    <m/>
    <n v="13.871428571428572"/>
    <n v="58.057708333333338"/>
    <n v="42.034632034632033"/>
    <n v="1"/>
    <n v="58.057708333333338"/>
    <x v="1"/>
    <x v="0"/>
    <s v="OK"/>
  </r>
  <r>
    <s v="SO-50772"/>
    <s v="PL-CEN"/>
    <x v="3"/>
    <s v="BEB-1013"/>
    <n v="1174"/>
    <d v="2026-06-01T00:00:00"/>
    <s v="In Transit"/>
    <s v="OK"/>
    <n v="17.28"/>
    <n v="97"/>
    <n v="271"/>
    <s v="OK"/>
    <n v="3"/>
    <m/>
    <n v="12.103092783505154"/>
    <n v="84.528000000000006"/>
    <n v="36.676038737894409"/>
    <n v="1"/>
    <n v="84.528000000000006"/>
    <x v="0"/>
    <x v="0"/>
    <s v="OK"/>
  </r>
  <r>
    <s v="SO-50908"/>
    <s v="PL-SUR"/>
    <x v="6"/>
    <s v="LAC-1000"/>
    <n v="908"/>
    <d v="2026-06-02T00:00:00"/>
    <s v="In Transit"/>
    <s v="OK"/>
    <n v="8.18"/>
    <n v="90"/>
    <n v="29"/>
    <s v="OK"/>
    <n v="2"/>
    <m/>
    <n v="10.088888888888889"/>
    <n v="30.947666666666667"/>
    <n v="30.572390572390574"/>
    <n v="1"/>
    <n v="30.947666666666667"/>
    <x v="1"/>
    <x v="0"/>
    <s v="OK"/>
  </r>
  <r>
    <s v="SO-50688"/>
    <s v="PL-SUR"/>
    <x v="4"/>
    <s v="BEB-1014"/>
    <n v="1720"/>
    <d v="2026-06-03T00:00:00"/>
    <s v="In Transit"/>
    <s v="OK"/>
    <n v="12.41"/>
    <n v="95"/>
    <n v="227"/>
    <s v="OK"/>
    <n v="1"/>
    <m/>
    <n v="18.105263157894736"/>
    <n v="88.938333333333347"/>
    <n v="54.864433811802229"/>
    <n v="1"/>
    <n v="88.938333333333347"/>
    <x v="0"/>
    <x v="0"/>
    <s v="OK"/>
  </r>
  <r>
    <s v="SO-50744"/>
    <s v="PL-NTE"/>
    <x v="14"/>
    <s v="BEB-1006"/>
    <n v="540"/>
    <d v="2026-06-03T00:00:00"/>
    <s v="In Transit"/>
    <s v="OK"/>
    <n v="17.18"/>
    <n v="81"/>
    <n v="293"/>
    <s v="OK"/>
    <n v="1"/>
    <m/>
    <n v="6.666666666666667"/>
    <n v="38.655000000000001"/>
    <n v="20.202020202020201"/>
    <n v="1"/>
    <n v="38.655000000000001"/>
    <x v="1"/>
    <x v="0"/>
    <s v="OK"/>
  </r>
  <r>
    <s v="SO-50171"/>
    <s v="PL-SUR"/>
    <x v="7"/>
    <s v="BOT-1002"/>
    <n v="2492"/>
    <d v="2026-06-03T00:00:00"/>
    <s v="In Transit"/>
    <s v="OK"/>
    <n v="3.02"/>
    <n v="84"/>
    <n v="111"/>
    <s v="OK"/>
    <n v="1"/>
    <m/>
    <n v="29.666666666666668"/>
    <n v="31.357666666666667"/>
    <n v="89.898989898989896"/>
    <n v="1"/>
    <n v="89.898989898989896"/>
    <x v="0"/>
    <x v="0"/>
    <s v="OK"/>
  </r>
  <r>
    <s v="SO-50088"/>
    <s v="PL-SUR"/>
    <x v="6"/>
    <s v="BOT-1011"/>
    <n v="2587"/>
    <d v="2026-06-03T00:00:00"/>
    <s v="In Transit"/>
    <s v="OK"/>
    <n v="3.43"/>
    <n v="88"/>
    <n v="109"/>
    <s v="OK"/>
    <n v="1"/>
    <m/>
    <n v="29.397727272727273"/>
    <n v="36.972541666666665"/>
    <n v="89.084022038567497"/>
    <n v="1"/>
    <n v="89.084022038567497"/>
    <x v="0"/>
    <x v="0"/>
    <s v="OK"/>
  </r>
  <r>
    <s v="SO-50384"/>
    <s v="PL-SUR"/>
    <x v="0"/>
    <s v="BOT-1019"/>
    <n v="2260"/>
    <d v="2026-06-03T00:00:00"/>
    <s v="In Transit"/>
    <s v="OK"/>
    <n v="3.44"/>
    <n v="85"/>
    <n v="102"/>
    <s v="OK"/>
    <n v="1"/>
    <m/>
    <n v="26.588235294117649"/>
    <n v="32.393333333333331"/>
    <n v="80.570409982174695"/>
    <n v="1"/>
    <n v="80.570409982174695"/>
    <x v="0"/>
    <x v="0"/>
    <s v="OK"/>
  </r>
  <r>
    <s v="SO-50483"/>
    <s v="PL-SUR"/>
    <x v="0"/>
    <s v="BEB-1018"/>
    <n v="1150"/>
    <d v="2026-06-03T00:00:00"/>
    <s v="In Transit"/>
    <s v="OK"/>
    <n v="19.170000000000002"/>
    <n v="119"/>
    <n v="196"/>
    <s v="OK"/>
    <n v="1"/>
    <m/>
    <n v="9.6638655462184868"/>
    <n v="91.856250000000017"/>
    <n v="29.284441049146931"/>
    <n v="1"/>
    <n v="91.856250000000017"/>
    <x v="0"/>
    <x v="0"/>
    <s v="OK"/>
  </r>
  <r>
    <s v="SO-50567"/>
    <s v="PL-CEN"/>
    <x v="3"/>
    <s v="PRO-1000"/>
    <n v="833"/>
    <d v="2026-06-02T00:00:00"/>
    <s v="In Transit"/>
    <s v="OK"/>
    <n v="12.51"/>
    <n v="73"/>
    <n v="75"/>
    <s v="OK"/>
    <n v="2"/>
    <m/>
    <n v="11.41095890410959"/>
    <n v="43.420124999999999"/>
    <n v="34.578663345786637"/>
    <n v="1"/>
    <n v="43.420124999999999"/>
    <x v="1"/>
    <x v="0"/>
    <s v="OK"/>
  </r>
  <r>
    <s v="SO-50700"/>
    <s v="PL-SUR"/>
    <x v="7"/>
    <s v="BOT-1011"/>
    <n v="2653"/>
    <d v="2026-06-03T00:00:00"/>
    <s v="In Transit"/>
    <s v="OK"/>
    <n v="3.43"/>
    <n v="88"/>
    <n v="109"/>
    <s v="OK"/>
    <n v="1"/>
    <m/>
    <n v="30.147727272727273"/>
    <n v="37.915791666666671"/>
    <n v="91.356749311294777"/>
    <n v="1"/>
    <n v="91.356749311294777"/>
    <x v="0"/>
    <x v="0"/>
    <s v="OK"/>
  </r>
  <r>
    <s v="SO-50378"/>
    <s v="PL-NTE"/>
    <x v="10"/>
    <s v="LAC-1011"/>
    <n v="3094"/>
    <d v="2026-06-03T00:00:00"/>
    <s v="In Transit"/>
    <s v="OK"/>
    <n v="6.1"/>
    <n v="137"/>
    <n v="17"/>
    <s v="OK"/>
    <n v="1"/>
    <m/>
    <n v="22.583941605839417"/>
    <n v="78.639166666666654"/>
    <n v="68.436186684361871"/>
    <n v="1"/>
    <n v="78.639166666666654"/>
    <x v="0"/>
    <x v="0"/>
    <s v="OK"/>
  </r>
  <r>
    <s v="SO-50910"/>
    <s v="PL-SUR"/>
    <x v="0"/>
    <s v="BEB-1013"/>
    <n v="1289"/>
    <d v="2026-06-01T00:00:00"/>
    <s v="In Transit"/>
    <s v="OK"/>
    <n v="17.28"/>
    <n v="97"/>
    <n v="271"/>
    <s v="OK"/>
    <n v="3"/>
    <m/>
    <n v="13.288659793814434"/>
    <n v="92.808000000000007"/>
    <n v="40.26866604186192"/>
    <n v="1"/>
    <n v="92.808000000000007"/>
    <x v="0"/>
    <x v="0"/>
    <s v="OK"/>
  </r>
  <r>
    <s v="SO-50350"/>
    <s v="PL-SUR"/>
    <x v="0"/>
    <s v="ABA-1016"/>
    <n v="1326"/>
    <d v="2026-06-02T00:00:00"/>
    <s v="In Transit"/>
    <s v="OK"/>
    <n v="15.52"/>
    <n v="121"/>
    <n v="517"/>
    <s v="OK"/>
    <n v="2"/>
    <m/>
    <n v="10.958677685950413"/>
    <n v="85.748000000000005"/>
    <n v="33.208114199849739"/>
    <n v="1"/>
    <n v="85.748000000000005"/>
    <x v="0"/>
    <x v="0"/>
    <s v="OK"/>
  </r>
  <r>
    <s v="SO-50790"/>
    <s v="PL-SUR"/>
    <x v="12"/>
    <s v="BOT-1019"/>
    <n v="1140"/>
    <d v="2026-06-02T00:00:00"/>
    <s v="In Transit"/>
    <s v="OK"/>
    <n v="3.44"/>
    <n v="85"/>
    <n v="102"/>
    <s v="OK"/>
    <n v="2"/>
    <m/>
    <n v="13.411764705882353"/>
    <n v="16.34"/>
    <n v="40.641711229946523"/>
    <n v="1"/>
    <n v="40.641711229946523"/>
    <x v="1"/>
    <x v="0"/>
    <s v="OK"/>
  </r>
  <r>
    <s v="SO-50382"/>
    <s v="PL-CEN"/>
    <x v="8"/>
    <s v="BOT-1021"/>
    <n v="1485"/>
    <d v="2026-06-03T00:00:00"/>
    <s v="In Transit"/>
    <s v="OK"/>
    <n v="5.04"/>
    <n v="47"/>
    <n v="96"/>
    <s v="OK"/>
    <n v="1"/>
    <m/>
    <n v="31.595744680851062"/>
    <n v="31.184999999999995"/>
    <n v="95.744680851063819"/>
    <n v="1"/>
    <n v="95.744680851063819"/>
    <x v="0"/>
    <x v="0"/>
    <s v="OK"/>
  </r>
  <r>
    <s v="SO-50806"/>
    <s v="PL-CEN"/>
    <x v="13"/>
    <s v="LAC-1008"/>
    <n v="2199"/>
    <d v="2026-06-03T00:00:00"/>
    <s v="In Transit"/>
    <s v="OK"/>
    <n v="9.8000000000000007"/>
    <n v="83"/>
    <n v="15"/>
    <s v="OK"/>
    <n v="1"/>
    <m/>
    <n v="26.493975903614459"/>
    <n v="89.792500000000004"/>
    <n v="80.284775465498356"/>
    <n v="1"/>
    <n v="89.792500000000004"/>
    <x v="0"/>
    <x v="0"/>
    <s v="OK"/>
  </r>
  <r>
    <s v="SO-50327"/>
    <s v="PL-SUR"/>
    <x v="7"/>
    <s v="BEB-1005"/>
    <n v="1566"/>
    <d v="2026-06-03T00:00:00"/>
    <s v="In Transit"/>
    <s v="OK"/>
    <n v="14.2"/>
    <n v="95"/>
    <n v="277"/>
    <s v="OK"/>
    <n v="1"/>
    <m/>
    <n v="16.484210526315788"/>
    <n v="92.654999999999987"/>
    <n v="49.952153110047846"/>
    <n v="1"/>
    <n v="92.654999999999987"/>
    <x v="0"/>
    <x v="0"/>
    <s v="OK"/>
  </r>
  <r>
    <s v="SO-50620"/>
    <s v="PL-SUR"/>
    <x v="4"/>
    <s v="BEB-1007"/>
    <n v="1609"/>
    <d v="2026-06-03T00:00:00"/>
    <s v="In Transit"/>
    <s v="OK"/>
    <n v="13.67"/>
    <n v="78"/>
    <n v="247"/>
    <s v="OK"/>
    <n v="1"/>
    <m/>
    <n v="20.628205128205128"/>
    <n v="91.64595833333334"/>
    <n v="62.509712509712514"/>
    <n v="1"/>
    <n v="91.64595833333334"/>
    <x v="0"/>
    <x v="0"/>
    <s v="OK"/>
  </r>
  <r>
    <s v="SO-50224"/>
    <s v="PL-CEN"/>
    <x v="5"/>
    <s v="PRO-1000"/>
    <n v="1827"/>
    <d v="2026-06-02T00:00:00"/>
    <s v="In Transit"/>
    <s v="OK"/>
    <n v="12.51"/>
    <n v="73"/>
    <n v="75"/>
    <s v="OK"/>
    <n v="2"/>
    <m/>
    <n v="25.027397260273972"/>
    <n v="95.232375000000005"/>
    <n v="75.840597758405977"/>
    <n v="1"/>
    <n v="95.232375000000005"/>
    <x v="0"/>
    <x v="0"/>
    <s v="OK"/>
  </r>
  <r>
    <s v="SO-50349"/>
    <s v="PL-CEN"/>
    <x v="3"/>
    <s v="PRO-1004"/>
    <n v="1498"/>
    <d v="2026-06-03T00:00:00"/>
    <s v="In Transit"/>
    <s v="OK"/>
    <n v="12.77"/>
    <n v="96"/>
    <n v="122"/>
    <s v="OK"/>
    <n v="1"/>
    <m/>
    <n v="15.604166666666666"/>
    <n v="79.706083333333339"/>
    <n v="47.285353535353536"/>
    <n v="1"/>
    <n v="79.706083333333339"/>
    <x v="0"/>
    <x v="0"/>
    <s v="OK"/>
  </r>
  <r>
    <s v="SO-50891"/>
    <s v="PL-NTE"/>
    <x v="1"/>
    <s v="ABA-1000"/>
    <n v="636"/>
    <d v="2026-06-02T00:00:00"/>
    <s v="In Transit"/>
    <s v="OK"/>
    <n v="15.2"/>
    <n v="135"/>
    <n v="361"/>
    <s v="OK"/>
    <n v="2"/>
    <m/>
    <n v="4.7111111111111112"/>
    <n v="40.279999999999994"/>
    <n v="14.276094276094275"/>
    <n v="1"/>
    <n v="40.279999999999994"/>
    <x v="1"/>
    <x v="0"/>
    <s v="OK"/>
  </r>
  <r>
    <s v="SO-50589"/>
    <s v="PL-SUR"/>
    <x v="0"/>
    <s v="LAC-1010"/>
    <n v="1495"/>
    <d v="2026-06-01T00:00:00"/>
    <s v="Delivered"/>
    <s v="OK"/>
    <n v="6.24"/>
    <n v="146"/>
    <n v="24"/>
    <s v="OK"/>
    <n v="3"/>
    <m/>
    <n v="10.239726027397261"/>
    <n v="38.870000000000005"/>
    <n v="31.029472810294727"/>
    <n v="1"/>
    <n v="38.870000000000005"/>
    <x v="1"/>
    <x v="0"/>
    <s v="OK"/>
  </r>
  <r>
    <s v="SO-50471"/>
    <s v="PL-NTE"/>
    <x v="10"/>
    <s v="PRO-1006"/>
    <n v="1836"/>
    <d v="2026-06-02T00:00:00"/>
    <s v="In Transit"/>
    <s v="OK"/>
    <n v="12.09"/>
    <n v="80"/>
    <n v="138"/>
    <s v="OK"/>
    <n v="2"/>
    <m/>
    <n v="22.95"/>
    <n v="92.488500000000002"/>
    <n v="69.545454545454547"/>
    <n v="1"/>
    <n v="92.488500000000002"/>
    <x v="0"/>
    <x v="0"/>
    <s v="OK"/>
  </r>
  <r>
    <s v="SO-50208"/>
    <s v="PL-SUR"/>
    <x v="7"/>
    <s v="PRO-1011"/>
    <n v="2533"/>
    <d v="2026-06-03T00:00:00"/>
    <s v="In Transit"/>
    <s v="OK"/>
    <n v="4.3600000000000003"/>
    <n v="88"/>
    <n v="108"/>
    <s v="OK"/>
    <n v="1"/>
    <m/>
    <n v="28.78409090909091"/>
    <n v="46.01616666666667"/>
    <n v="87.224517906336104"/>
    <n v="1"/>
    <n v="87.224517906336104"/>
    <x v="0"/>
    <x v="0"/>
    <s v="OK"/>
  </r>
  <r>
    <s v="SO-50119"/>
    <s v="PL-NTE"/>
    <x v="1"/>
    <s v="PRO-1007"/>
    <n v="1647"/>
    <d v="2026-06-03T00:00:00"/>
    <s v="In Transit"/>
    <s v="OK"/>
    <n v="13.13"/>
    <n v="82"/>
    <n v="105"/>
    <s v="OK"/>
    <n v="1"/>
    <m/>
    <n v="20.085365853658537"/>
    <n v="90.104624999999999"/>
    <n v="60.864745011086477"/>
    <n v="1"/>
    <n v="90.104624999999999"/>
    <x v="0"/>
    <x v="0"/>
    <s v="OK"/>
  </r>
  <r>
    <s v="SO-51015"/>
    <s v="PL-NTE"/>
    <x v="2"/>
    <s v="LAC-1007"/>
    <n v="1016"/>
    <d v="2026-05-19T00:00:00"/>
    <s v="In Transit"/>
    <s v="OK"/>
    <n v="10.37"/>
    <n v="100"/>
    <n v="24"/>
    <s v="OK"/>
    <n v="16"/>
    <m/>
    <n v="10.16"/>
    <n v="43.899666666666661"/>
    <n v="30.787878787878785"/>
    <n v="1"/>
    <n v="43.899666666666661"/>
    <x v="1"/>
    <x v="1"/>
    <s v="FANTASMA"/>
  </r>
  <r>
    <s v="SO-50949"/>
    <s v="PL-NTE"/>
    <x v="14"/>
    <s v="BEB-1007"/>
    <n v="1614"/>
    <d v="2026-06-03T00:00:00"/>
    <s v="In Transit"/>
    <s v="OK"/>
    <n v="13.67"/>
    <n v="78"/>
    <n v="247"/>
    <s v="OK"/>
    <n v="1"/>
    <m/>
    <n v="20.692307692307693"/>
    <n v="91.930750000000003"/>
    <n v="62.703962703962709"/>
    <n v="1"/>
    <n v="91.930750000000003"/>
    <x v="0"/>
    <x v="0"/>
    <s v="OK"/>
  </r>
  <r>
    <s v="SO-50009"/>
    <s v="PL-CEN"/>
    <x v="8"/>
    <s v="PRO-1001"/>
    <n v="2370"/>
    <d v="2026-06-03T00:00:00"/>
    <s v="In Transit"/>
    <s v="OK"/>
    <n v="9.57"/>
    <n v="92"/>
    <n v="122"/>
    <s v="OK"/>
    <n v="1"/>
    <m/>
    <n v="25.760869565217391"/>
    <n v="94.503750000000011"/>
    <n v="78.06324110671936"/>
    <n v="1"/>
    <n v="94.503750000000011"/>
    <x v="0"/>
    <x v="0"/>
    <s v="OK"/>
  </r>
  <r>
    <s v="SO-50039"/>
    <s v="PL-NTE"/>
    <x v="2"/>
    <s v="BEB-1007"/>
    <n v="914"/>
    <d v="2026-06-02T00:00:00"/>
    <s v="In Transit"/>
    <s v="OK"/>
    <n v="13.67"/>
    <n v="78"/>
    <n v="247"/>
    <s v="OK"/>
    <n v="2"/>
    <m/>
    <n v="11.717948717948717"/>
    <n v="52.059916666666659"/>
    <n v="35.508935508935508"/>
    <n v="1"/>
    <n v="52.059916666666659"/>
    <x v="1"/>
    <x v="0"/>
    <s v="OK"/>
  </r>
  <r>
    <s v="SO-50253"/>
    <s v="PL-SUR"/>
    <x v="4"/>
    <s v="LAC-1013"/>
    <n v="2461"/>
    <d v="2026-06-03T00:00:00"/>
    <s v="In Transit"/>
    <s v="OK"/>
    <n v="8.32"/>
    <n v="98"/>
    <n v="16"/>
    <s v="OK"/>
    <n v="1"/>
    <m/>
    <n v="25.112244897959183"/>
    <n v="85.314666666666668"/>
    <n v="76.097711811997527"/>
    <n v="1"/>
    <n v="85.314666666666668"/>
    <x v="0"/>
    <x v="0"/>
    <s v="OK"/>
  </r>
  <r>
    <s v="SO-50785"/>
    <s v="PL-CEN"/>
    <x v="13"/>
    <s v="ABA-1013"/>
    <n v="415"/>
    <d v="2026-06-03T00:00:00"/>
    <s v="In Transit"/>
    <s v="OK"/>
    <n v="12.02"/>
    <n v="75"/>
    <n v="402"/>
    <s v="OK"/>
    <n v="1"/>
    <m/>
    <n v="5.5333333333333332"/>
    <n v="20.784583333333334"/>
    <n v="16.767676767676768"/>
    <n v="1"/>
    <n v="20.784583333333334"/>
    <x v="1"/>
    <x v="0"/>
    <s v="OK"/>
  </r>
  <r>
    <s v="SO-50106"/>
    <s v="PL-NTE"/>
    <x v="11"/>
    <s v="LAC-1010"/>
    <n v="1192"/>
    <d v="2026-06-03T00:00:00"/>
    <s v="In Transit"/>
    <s v="OK"/>
    <n v="6.24"/>
    <n v="146"/>
    <n v="24"/>
    <s v="OK"/>
    <n v="1"/>
    <m/>
    <n v="8.1643835616438363"/>
    <n v="30.991999999999997"/>
    <n v="24.740556247405564"/>
    <n v="1"/>
    <n v="30.991999999999997"/>
    <x v="1"/>
    <x v="0"/>
    <s v="OK"/>
  </r>
  <r>
    <s v="SO-50856"/>
    <s v="PL-CEN"/>
    <x v="8"/>
    <s v="LAC-1007"/>
    <n v="1935"/>
    <d v="2026-06-03T00:00:00"/>
    <s v="In Transit"/>
    <s v="OK"/>
    <n v="10.37"/>
    <n v="100"/>
    <n v="24"/>
    <s v="OK"/>
    <n v="1"/>
    <m/>
    <n v="19.350000000000001"/>
    <n v="83.608124999999987"/>
    <n v="58.63636363636364"/>
    <n v="1"/>
    <n v="83.608124999999987"/>
    <x v="0"/>
    <x v="0"/>
    <s v="OK"/>
  </r>
  <r>
    <s v="SO-50747"/>
    <s v="PL-SUR"/>
    <x v="4"/>
    <s v="ABA-1008"/>
    <n v="2077"/>
    <d v="2026-06-02T00:00:00"/>
    <s v="In Transit"/>
    <s v="OK"/>
    <n v="10.6"/>
    <n v="96"/>
    <n v="445"/>
    <s v="OK"/>
    <n v="2"/>
    <m/>
    <n v="21.635416666666668"/>
    <n v="91.734166666666667"/>
    <n v="65.561868686868678"/>
    <n v="1"/>
    <n v="91.734166666666667"/>
    <x v="0"/>
    <x v="0"/>
    <s v="OK"/>
  </r>
  <r>
    <s v="SO-50499"/>
    <s v="PL-NTE"/>
    <x v="14"/>
    <s v="BEB-1011"/>
    <n v="371"/>
    <d v="2026-06-03T00:00:00"/>
    <s v="In Transit"/>
    <s v="OK"/>
    <n v="23.39"/>
    <n v="79"/>
    <n v="329"/>
    <s v="OK"/>
    <n v="1"/>
    <m/>
    <n v="4.6962025316455698"/>
    <n v="36.157041666666665"/>
    <n v="14.230916762562332"/>
    <n v="1"/>
    <n v="36.157041666666665"/>
    <x v="1"/>
    <x v="0"/>
    <s v="OK"/>
  </r>
  <r>
    <s v="SO-50228"/>
    <s v="PL-NTE"/>
    <x v="1"/>
    <s v="PRO-1002"/>
    <n v="2066"/>
    <d v="2026-05-31T00:00:00"/>
    <s v="In Transit"/>
    <s v="OK"/>
    <n v="9.6999999999999993"/>
    <n v="98"/>
    <n v="115"/>
    <s v="OK"/>
    <n v="4"/>
    <m/>
    <n v="21.081632653061224"/>
    <n v="83.500833333333318"/>
    <n v="63.883735312306733"/>
    <n v="1"/>
    <n v="83.500833333333318"/>
    <x v="0"/>
    <x v="0"/>
    <s v="OK"/>
  </r>
  <r>
    <s v="SO-50724"/>
    <s v="PL-SUR"/>
    <x v="12"/>
    <s v="PRO-1009"/>
    <n v="1831"/>
    <d v="2026-06-03T00:00:00"/>
    <s v="In Transit"/>
    <s v="OK"/>
    <n v="11.96"/>
    <n v="101"/>
    <n v="90"/>
    <s v="OK"/>
    <n v="1"/>
    <m/>
    <n v="18.128712871287128"/>
    <n v="91.244833333333347"/>
    <n v="54.935493549354931"/>
    <n v="1"/>
    <n v="91.244833333333347"/>
    <x v="0"/>
    <x v="0"/>
    <s v="OK"/>
  </r>
  <r>
    <s v="SO-50166"/>
    <s v="PL-NTE"/>
    <x v="1"/>
    <s v="BOT-1003"/>
    <n v="1680"/>
    <d v="2026-06-02T00:00:00"/>
    <s v="In Transit"/>
    <s v="OK"/>
    <n v="5.92"/>
    <n v="57"/>
    <n v="92"/>
    <s v="OK"/>
    <n v="2"/>
    <m/>
    <n v="29.473684210526315"/>
    <n v="41.44"/>
    <n v="89.314194577352467"/>
    <n v="1"/>
    <n v="89.314194577352467"/>
    <x v="0"/>
    <x v="0"/>
    <s v="OK"/>
  </r>
  <r>
    <s v="SO-50935"/>
    <s v="PL-CEN"/>
    <x v="3"/>
    <s v="LAC-1011"/>
    <n v="1804"/>
    <d v="2026-06-03T00:00:00"/>
    <s v="In Transit"/>
    <s v="OK"/>
    <n v="6.1"/>
    <n v="137"/>
    <n v="17"/>
    <s v="OK"/>
    <n v="1"/>
    <m/>
    <n v="13.167883211678832"/>
    <n v="45.851666666666659"/>
    <n v="39.902676399026767"/>
    <n v="1"/>
    <n v="45.851666666666659"/>
    <x v="1"/>
    <x v="0"/>
    <s v="OK"/>
  </r>
  <r>
    <s v="SO-51049"/>
    <s v="PL-NTE"/>
    <x v="11"/>
    <s v="BOT-1015"/>
    <n v="944"/>
    <d v="2026-06-02T00:00:00"/>
    <s v="In Transit"/>
    <s v="OK"/>
    <n v="3.64"/>
    <n v="62"/>
    <n v="114"/>
    <s v="OK"/>
    <n v="2"/>
    <m/>
    <n v="15.225806451612904"/>
    <n v="14.317333333333334"/>
    <n v="46.138807429130011"/>
    <n v="1"/>
    <n v="46.138807429130011"/>
    <x v="1"/>
    <x v="0"/>
    <s v="OK"/>
  </r>
  <r>
    <s v="SO-50142"/>
    <s v="PL-NTE"/>
    <x v="10"/>
    <s v="LAC-1000"/>
    <n v="1342"/>
    <d v="2026-06-03T00:00:00"/>
    <s v="In Transit"/>
    <s v="OK"/>
    <n v="8.18"/>
    <n v="90"/>
    <n v="29"/>
    <s v="OK"/>
    <n v="1"/>
    <m/>
    <n v="14.911111111111111"/>
    <n v="45.73983333333333"/>
    <n v="45.185185185185183"/>
    <n v="1"/>
    <n v="45.73983333333333"/>
    <x v="1"/>
    <x v="0"/>
    <s v="OK"/>
  </r>
  <r>
    <s v="SO-50727"/>
    <s v="PL-SUR"/>
    <x v="0"/>
    <s v="LAC-1016"/>
    <n v="491"/>
    <d v="2026-05-31T00:00:00"/>
    <s v="In Transit"/>
    <s v="OK"/>
    <n v="10.9"/>
    <n v="131"/>
    <n v="22"/>
    <s v="OK"/>
    <n v="4"/>
    <m/>
    <n v="3.7480916030534353"/>
    <n v="22.299583333333338"/>
    <n v="11.357853342586168"/>
    <n v="1"/>
    <n v="22.299583333333338"/>
    <x v="1"/>
    <x v="0"/>
    <s v="OK"/>
  </r>
  <r>
    <s v="SO-50282"/>
    <s v="PL-CEN"/>
    <x v="9"/>
    <s v="LAC-1007"/>
    <n v="1173"/>
    <d v="2026-06-02T00:00:00"/>
    <s v="In Transit"/>
    <s v="OK"/>
    <n v="10.37"/>
    <n v="100"/>
    <n v="24"/>
    <s v="OK"/>
    <n v="2"/>
    <m/>
    <n v="11.73"/>
    <n v="50.683374999999998"/>
    <n v="35.545454545454547"/>
    <n v="1"/>
    <n v="50.683374999999998"/>
    <x v="1"/>
    <x v="0"/>
    <s v="OK"/>
  </r>
  <r>
    <s v="SO-50007"/>
    <s v="PL-SUR"/>
    <x v="12"/>
    <s v="BOT-1003"/>
    <n v="1523"/>
    <d v="2026-06-02T00:00:00"/>
    <s v="In Transit"/>
    <s v="OK"/>
    <n v="5.92"/>
    <n v="57"/>
    <n v="92"/>
    <s v="OK"/>
    <n v="2"/>
    <m/>
    <n v="26.719298245614034"/>
    <n v="37.56733333333333"/>
    <n v="80.967570441254651"/>
    <n v="1"/>
    <n v="80.967570441254651"/>
    <x v="0"/>
    <x v="0"/>
    <s v="OK"/>
  </r>
  <r>
    <s v="SO-50510"/>
    <s v="PL-NTE"/>
    <x v="11"/>
    <s v="ABA-1010"/>
    <n v="2289"/>
    <d v="2026-06-02T00:00:00"/>
    <s v="In Transit"/>
    <s v="OK"/>
    <n v="8.75"/>
    <n v="123"/>
    <n v="341"/>
    <s v="OK"/>
    <n v="2"/>
    <m/>
    <n v="18.609756097560975"/>
    <n v="83.453125"/>
    <n v="56.393200295639325"/>
    <n v="1"/>
    <n v="83.453125"/>
    <x v="0"/>
    <x v="0"/>
    <s v="OK"/>
  </r>
  <r>
    <s v="SO-50331"/>
    <s v="PL-CEN"/>
    <x v="3"/>
    <s v="BEB-1019"/>
    <n v="664"/>
    <d v="2026-06-01T00:00:00"/>
    <s v="In Transit"/>
    <s v="OK"/>
    <n v="14.35"/>
    <n v="70"/>
    <n v="240"/>
    <s v="OK"/>
    <n v="3"/>
    <m/>
    <n v="9.4857142857142858"/>
    <n v="39.701666666666661"/>
    <n v="28.744588744588746"/>
    <n v="1"/>
    <n v="39.701666666666661"/>
    <x v="1"/>
    <x v="0"/>
    <s v="OK"/>
  </r>
  <r>
    <s v="SO-50963"/>
    <s v="PL-CEN"/>
    <x v="9"/>
    <s v="BEB-1013"/>
    <n v="1320"/>
    <d v="2026-06-03T00:00:00"/>
    <s v="In Transit"/>
    <s v="OK"/>
    <n v="17.28"/>
    <n v="97"/>
    <n v="271"/>
    <s v="OK"/>
    <n v="1"/>
    <m/>
    <n v="13.608247422680412"/>
    <n v="95.04000000000002"/>
    <n v="41.237113402061851"/>
    <n v="1"/>
    <n v="95.04000000000002"/>
    <x v="0"/>
    <x v="0"/>
    <s v="OK"/>
  </r>
  <r>
    <s v="SO-51078"/>
    <s v="PL-SUR"/>
    <x v="7"/>
    <s v="BOT-1001"/>
    <n v="929"/>
    <d v="2026-06-01T00:00:00"/>
    <s v="In Transit"/>
    <s v="OK"/>
    <n v="6.95"/>
    <n v="66"/>
    <n v="95"/>
    <s v="OK"/>
    <n v="3"/>
    <m/>
    <n v="14.075757575757576"/>
    <n v="26.902291666666667"/>
    <n v="42.653810835629017"/>
    <n v="1"/>
    <n v="42.653810835629017"/>
    <x v="1"/>
    <x v="0"/>
    <s v="OK"/>
  </r>
  <r>
    <s v="SO-50800"/>
    <s v="PL-CEN"/>
    <x v="8"/>
    <s v="LAC-1011"/>
    <n v="3116"/>
    <d v="2026-06-03T00:00:00"/>
    <s v="In Transit"/>
    <s v="OK"/>
    <n v="6.1"/>
    <n v="137"/>
    <n v="17"/>
    <s v="OK"/>
    <n v="1"/>
    <m/>
    <n v="22.744525547445257"/>
    <n v="79.198333333333323"/>
    <n v="68.922804689228045"/>
    <n v="1"/>
    <n v="79.198333333333323"/>
    <x v="0"/>
    <x v="0"/>
    <s v="OK"/>
  </r>
  <r>
    <s v="SO-50506"/>
    <s v="PL-SUR"/>
    <x v="4"/>
    <s v="PRO-1012"/>
    <n v="2716"/>
    <d v="2026-06-02T00:00:00"/>
    <s v="In Transit"/>
    <s v="OK"/>
    <n v="6.87"/>
    <n v="101"/>
    <n v="62"/>
    <s v="OK"/>
    <n v="2"/>
    <m/>
    <n v="26.89108910891089"/>
    <n v="77.745500000000007"/>
    <n v="81.488148814881484"/>
    <n v="1"/>
    <n v="81.488148814881484"/>
    <x v="0"/>
    <x v="0"/>
    <s v="OK"/>
  </r>
  <r>
    <s v="SO-50502"/>
    <s v="PL-CEN"/>
    <x v="3"/>
    <s v="BEB-1002"/>
    <n v="1010"/>
    <d v="2026-06-01T00:00:00"/>
    <s v="In Transit"/>
    <s v="OK"/>
    <n v="0"/>
    <n v="69"/>
    <n v="291"/>
    <s v="OK"/>
    <n v="3"/>
    <m/>
    <n v="14.637681159420289"/>
    <n v="0"/>
    <n v="44.356609574000878"/>
    <n v="1"/>
    <n v="44.356609574000878"/>
    <x v="1"/>
    <x v="0"/>
    <s v="OK"/>
  </r>
  <r>
    <s v="SO-50939"/>
    <s v="PL-SUR"/>
    <x v="0"/>
    <s v="ABA-1016"/>
    <n v="1375"/>
    <d v="2026-06-03T00:00:00"/>
    <s v="In Transit"/>
    <s v="OK"/>
    <n v="15.52"/>
    <n v="121"/>
    <n v="517"/>
    <s v="OK"/>
    <n v="1"/>
    <m/>
    <n v="11.363636363636363"/>
    <n v="88.916666666666671"/>
    <n v="34.435261707988978"/>
    <n v="1"/>
    <n v="88.916666666666671"/>
    <x v="0"/>
    <x v="0"/>
    <s v="OK"/>
  </r>
  <r>
    <s v="SO-50493"/>
    <s v="PL-CEN"/>
    <x v="5"/>
    <s v="ABA-1005"/>
    <n v="1689"/>
    <d v="2026-06-03T00:00:00"/>
    <s v="In Transit"/>
    <s v="OK"/>
    <n v="13.31"/>
    <n v="89"/>
    <n v="313"/>
    <s v="OK"/>
    <n v="1"/>
    <m/>
    <n v="18.977528089887642"/>
    <n v="93.669124999999994"/>
    <n v="57.507660878447396"/>
    <n v="1"/>
    <n v="93.669124999999994"/>
    <x v="0"/>
    <x v="0"/>
    <s v="OK"/>
  </r>
  <r>
    <s v="SO-50804"/>
    <s v="PL-CEN"/>
    <x v="8"/>
    <s v="LAC-1007"/>
    <n v="1948"/>
    <d v="2026-06-03T00:00:00"/>
    <s v="In Transit"/>
    <s v="OK"/>
    <n v="10.37"/>
    <n v="100"/>
    <n v="24"/>
    <s v="OK"/>
    <n v="1"/>
    <m/>
    <n v="19.48"/>
    <n v="84.169833333333315"/>
    <n v="59.030303030303031"/>
    <n v="1"/>
    <n v="84.169833333333315"/>
    <x v="0"/>
    <x v="0"/>
    <s v="OK"/>
  </r>
  <r>
    <s v="SO-50001"/>
    <s v="PL-CEN"/>
    <x v="9"/>
    <s v="ABA-1006"/>
    <n v="711"/>
    <d v="2026-06-02T00:00:00"/>
    <s v="In Transit"/>
    <s v="OK"/>
    <n v="12.39"/>
    <n v="134"/>
    <n v="446"/>
    <s v="OK"/>
    <n v="2"/>
    <m/>
    <n v="5.3059701492537314"/>
    <n v="36.705375000000004"/>
    <n v="16.078697421981005"/>
    <n v="1"/>
    <n v="36.705375000000004"/>
    <x v="1"/>
    <x v="0"/>
    <s v="OK"/>
  </r>
  <r>
    <s v="SO-50154"/>
    <s v="PL-SUR"/>
    <x v="6"/>
    <s v="LAC-1006"/>
    <n v="2103"/>
    <d v="2026-06-02T00:00:00"/>
    <s v="In Transit"/>
    <s v="OK"/>
    <n v="10.029999999999999"/>
    <n v="126"/>
    <n v="17"/>
    <s v="OK"/>
    <n v="2"/>
    <m/>
    <n v="16.69047619047619"/>
    <n v="87.887875000000008"/>
    <n v="50.577200577200578"/>
    <n v="1"/>
    <n v="87.887875000000008"/>
    <x v="0"/>
    <x v="0"/>
    <s v="OK"/>
  </r>
  <r>
    <s v="SO-50940"/>
    <s v="PL-CEN"/>
    <x v="13"/>
    <s v="BEB-1019"/>
    <n v="1331"/>
    <d v="2026-06-03T00:00:00"/>
    <s v="In Transit"/>
    <s v="OK"/>
    <n v="14.35"/>
    <n v="70"/>
    <n v="240"/>
    <s v="OK"/>
    <n v="1"/>
    <m/>
    <n v="19.014285714285716"/>
    <n v="79.582708333333329"/>
    <n v="57.619047619047628"/>
    <n v="1"/>
    <n v="79.582708333333329"/>
    <x v="0"/>
    <x v="0"/>
    <s v="OK"/>
  </r>
  <r>
    <s v="SO-50359"/>
    <s v="PL-CEN"/>
    <x v="13"/>
    <s v="BEB-1008"/>
    <n v="1097"/>
    <d v="2026-06-03T00:00:00"/>
    <s v="Delivered"/>
    <s v="OK"/>
    <n v="17.47"/>
    <n v="65"/>
    <n v="216"/>
    <s v="OK"/>
    <n v="1"/>
    <m/>
    <n v="16.876923076923077"/>
    <n v="79.852458333333331"/>
    <n v="51.142191142191137"/>
    <n v="1"/>
    <n v="79.852458333333331"/>
    <x v="0"/>
    <x v="0"/>
    <s v="OK"/>
  </r>
  <r>
    <s v="SO-50258"/>
    <s v="PL-CEN"/>
    <x v="3"/>
    <s v="PRO-1008"/>
    <n v="1121"/>
    <d v="2026-06-01T00:00:00"/>
    <s v="In Transit"/>
    <s v="OK"/>
    <n v="11.98"/>
    <n v="86"/>
    <n v="123"/>
    <s v="OK"/>
    <n v="3"/>
    <m/>
    <n v="13.034883720930232"/>
    <n v="55.956583333333334"/>
    <n v="39.49964763918252"/>
    <n v="1"/>
    <n v="55.956583333333334"/>
    <x v="1"/>
    <x v="0"/>
    <s v="OK"/>
  </r>
  <r>
    <s v="SO-51035"/>
    <s v="PL-NTE"/>
    <x v="1"/>
    <s v="LAC-1004"/>
    <n v="914"/>
    <d v="2026-05-26T00:00:00"/>
    <s v="In Transit"/>
    <s v="OK"/>
    <n v="11.45"/>
    <n v="93"/>
    <n v="16"/>
    <s v="OK"/>
    <n v="9"/>
    <m/>
    <n v="9.827956989247312"/>
    <n v="43.605416666666663"/>
    <n v="29.781687846203976"/>
    <n v="1"/>
    <n v="43.605416666666663"/>
    <x v="1"/>
    <x v="1"/>
    <s v="FANTASMA"/>
  </r>
  <r>
    <s v="SO-50585"/>
    <s v="PL-NTE"/>
    <x v="11"/>
    <s v="LAC-1017"/>
    <n v="3029"/>
    <d v="2026-06-03T00:00:00"/>
    <s v="In Transit"/>
    <s v="OK"/>
    <n v="7.45"/>
    <n v="147"/>
    <n v="28"/>
    <s v="OK"/>
    <n v="1"/>
    <m/>
    <n v="20.605442176870749"/>
    <n v="94.025208333333339"/>
    <n v="62.440733869305298"/>
    <n v="1"/>
    <n v="94.025208333333339"/>
    <x v="0"/>
    <x v="0"/>
    <s v="OK"/>
  </r>
  <r>
    <s v="SO-51009"/>
    <s v="PL-SUR"/>
    <x v="0"/>
    <s v="LAC-1003"/>
    <n v="2190"/>
    <d v="2026-05-21T00:00:00"/>
    <s v="In Transit"/>
    <s v="OK"/>
    <n v="9.02"/>
    <n v="114"/>
    <n v="18"/>
    <s v="OK"/>
    <n v="14"/>
    <m/>
    <n v="19.210526315789473"/>
    <n v="82.307500000000005"/>
    <n v="58.21371610845295"/>
    <n v="1"/>
    <n v="82.307500000000005"/>
    <x v="0"/>
    <x v="1"/>
    <s v="FANTASMA"/>
  </r>
  <r>
    <s v="SO-50651"/>
    <s v="PL-NTE"/>
    <x v="10"/>
    <s v="PRO-1005"/>
    <n v="1727"/>
    <d v="2026-05-30T00:00:00"/>
    <s v="In Transit"/>
    <s v="OK"/>
    <n v="11.02"/>
    <n v="69"/>
    <n v="86"/>
    <s v="OK"/>
    <n v="5"/>
    <m/>
    <n v="25.028985507246375"/>
    <n v="79.298083333333338"/>
    <n v="75.845410628019323"/>
    <n v="1"/>
    <n v="79.298083333333338"/>
    <x v="0"/>
    <x v="0"/>
    <s v="OK"/>
  </r>
  <r>
    <s v="SO-51062"/>
    <s v="PL-CEN"/>
    <x v="8"/>
    <s v="LAC-1001"/>
    <n v="2602"/>
    <d v="2026-06-01T00:00:00"/>
    <s v="In Transit"/>
    <s v="OK"/>
    <n v="7.51"/>
    <n v="83"/>
    <n v="18"/>
    <s v="OK"/>
    <n v="3"/>
    <m/>
    <n v="31.349397590361445"/>
    <n v="81.42091666666667"/>
    <n v="94.998174516246806"/>
    <n v="1"/>
    <n v="94.998174516246806"/>
    <x v="0"/>
    <x v="0"/>
    <s v="OK"/>
  </r>
  <r>
    <s v="SO-50011"/>
    <s v="PL-CEN"/>
    <x v="9"/>
    <s v="ABA-1002"/>
    <n v="1250"/>
    <d v="2026-06-02T00:00:00"/>
    <s v="In Transit"/>
    <s v="OK"/>
    <n v="15.1"/>
    <n v="74"/>
    <n v="443"/>
    <s v="OK"/>
    <n v="2"/>
    <m/>
    <n v="16.891891891891891"/>
    <n v="78.645833333333343"/>
    <n v="51.187551187551186"/>
    <n v="1"/>
    <n v="78.645833333333343"/>
    <x v="0"/>
    <x v="0"/>
    <s v="OK"/>
  </r>
  <r>
    <s v="SO-50605"/>
    <s v="PL-SUR"/>
    <x v="6"/>
    <s v="PRO-1013"/>
    <n v="1598"/>
    <d v="2026-06-02T00:00:00"/>
    <s v="In Transit"/>
    <s v="OK"/>
    <n v="4.37"/>
    <n v="58"/>
    <n v="92"/>
    <s v="OK"/>
    <n v="2"/>
    <m/>
    <n v="27.551724137931036"/>
    <n v="29.096916666666665"/>
    <n v="83.49007314524556"/>
    <n v="1"/>
    <n v="83.49007314524556"/>
    <x v="0"/>
    <x v="0"/>
    <s v="OK"/>
  </r>
  <r>
    <s v="SO-50537"/>
    <s v="PL-NTE"/>
    <x v="10"/>
    <s v="ABA-1006"/>
    <n v="1543"/>
    <d v="2026-06-02T00:00:00"/>
    <s v="In Transit"/>
    <s v="OK"/>
    <n v="12.39"/>
    <n v="134"/>
    <n v="446"/>
    <s v="OK"/>
    <n v="2"/>
    <m/>
    <n v="11.514925373134329"/>
    <n v="79.657375000000002"/>
    <n v="34.893713251922208"/>
    <n v="1"/>
    <n v="79.657375000000002"/>
    <x v="0"/>
    <x v="0"/>
    <s v="OK"/>
  </r>
  <r>
    <s v="SO-50045"/>
    <s v="PL-CEN"/>
    <x v="8"/>
    <s v="BOT-1001"/>
    <n v="816"/>
    <d v="2026-06-03T00:00:00"/>
    <s v="In Transit"/>
    <s v="OK"/>
    <n v="6.95"/>
    <n v="66"/>
    <n v="95"/>
    <s v="OK"/>
    <n v="1"/>
    <m/>
    <n v="12.363636363636363"/>
    <n v="23.63"/>
    <n v="37.465564738292009"/>
    <n v="1"/>
    <n v="37.465564738292009"/>
    <x v="1"/>
    <x v="0"/>
    <s v="OK"/>
  </r>
  <r>
    <s v="SO-50894"/>
    <s v="PL-NTE"/>
    <x v="2"/>
    <s v="LAC-1004"/>
    <n v="537"/>
    <d v="2026-06-03T00:00:00"/>
    <s v="In Transit"/>
    <s v="OK"/>
    <n v="11.45"/>
    <n v="93"/>
    <n v="16"/>
    <s v="OK"/>
    <n v="1"/>
    <m/>
    <n v="5.774193548387097"/>
    <n v="25.619374999999998"/>
    <n v="17.497556207233629"/>
    <n v="1"/>
    <n v="25.619374999999998"/>
    <x v="1"/>
    <x v="0"/>
    <s v="OK"/>
  </r>
  <r>
    <s v="SO-50835"/>
    <s v="PL-CEN"/>
    <x v="3"/>
    <s v="BOT-1006"/>
    <n v="1297"/>
    <d v="2026-06-02T00:00:00"/>
    <s v="In Transit"/>
    <s v="OK"/>
    <n v="4.24"/>
    <n v="41"/>
    <n v="111"/>
    <s v="OK"/>
    <n v="2"/>
    <m/>
    <n v="31.634146341463413"/>
    <n v="22.913666666666668"/>
    <n v="95.861049519586103"/>
    <n v="1"/>
    <n v="95.861049519586103"/>
    <x v="0"/>
    <x v="0"/>
    <s v="OK"/>
  </r>
  <r>
    <s v="SO-50631"/>
    <s v="PL-NTE"/>
    <x v="1"/>
    <s v="LAC-1017"/>
    <n v="3066"/>
    <d v="2026-05-31T00:00:00"/>
    <s v="In Transit"/>
    <s v="OK"/>
    <n v="7.45"/>
    <n v="147"/>
    <n v="28"/>
    <s v="OK"/>
    <n v="4"/>
    <m/>
    <n v="20.857142857142858"/>
    <n v="95.173749999999998"/>
    <n v="63.203463203463208"/>
    <n v="1"/>
    <n v="95.173749999999998"/>
    <x v="0"/>
    <x v="0"/>
    <s v="OK"/>
  </r>
  <r>
    <s v="SO-50242"/>
    <s v="PL-SUR"/>
    <x v="12"/>
    <s v="BEB-1000"/>
    <n v="626"/>
    <d v="2026-06-02T00:00:00"/>
    <s v="In Transit"/>
    <s v="OK"/>
    <n v="16.489999999999998"/>
    <n v="102"/>
    <n v="315"/>
    <s v="OK"/>
    <n v="2"/>
    <m/>
    <n v="6.1372549019607847"/>
    <n v="43.011416666666662"/>
    <n v="18.597742127153893"/>
    <n v="1"/>
    <n v="43.011416666666662"/>
    <x v="1"/>
    <x v="0"/>
    <s v="OK"/>
  </r>
  <r>
    <s v="SO-50786"/>
    <s v="PL-NTE"/>
    <x v="11"/>
    <s v="BEB-1008"/>
    <n v="1318"/>
    <d v="2026-06-03T00:00:00"/>
    <s v="In Transit"/>
    <s v="OK"/>
    <n v="17.47"/>
    <n v="65"/>
    <n v="216"/>
    <s v="OK"/>
    <n v="1"/>
    <m/>
    <n v="20.276923076923076"/>
    <n v="95.939416666666659"/>
    <n v="61.445221445221442"/>
    <n v="1"/>
    <n v="95.939416666666659"/>
    <x v="0"/>
    <x v="0"/>
    <s v="OK"/>
  </r>
  <r>
    <s v="SO-51091"/>
    <s v="PL-CEN"/>
    <x v="8"/>
    <s v="BOT-1014"/>
    <n v="1513"/>
    <d v="2026-05-27T00:00:00"/>
    <s v="In Transit"/>
    <s v="OK"/>
    <n v="3.92"/>
    <n v="49"/>
    <n v="98"/>
    <s v="OK"/>
    <n v="8"/>
    <m/>
    <n v="30.877551020408163"/>
    <n v="24.712333333333333"/>
    <n v="93.568336425479288"/>
    <n v="1"/>
    <n v="93.568336425479288"/>
    <x v="0"/>
    <x v="0"/>
    <s v="FANTASMA"/>
  </r>
  <r>
    <s v="SO-51080"/>
    <s v="PL-NTE"/>
    <x v="2"/>
    <s v="PRO-1007"/>
    <n v="413"/>
    <d v="2026-06-02T00:00:00"/>
    <s v="In Transit"/>
    <s v="OK"/>
    <n v="13.13"/>
    <n v="82"/>
    <n v="105"/>
    <s v="OK"/>
    <n v="2"/>
    <m/>
    <n v="5.0365853658536581"/>
    <n v="22.594541666666668"/>
    <n v="15.262379896526237"/>
    <n v="1"/>
    <n v="22.594541666666668"/>
    <x v="1"/>
    <x v="0"/>
    <s v="OK"/>
  </r>
  <r>
    <s v="SO-50532"/>
    <s v="PL-CEN"/>
    <x v="5"/>
    <s v="LAC-1000"/>
    <n v="2568"/>
    <d v="2026-06-02T00:00:00"/>
    <s v="In Transit"/>
    <s v="OK"/>
    <n v="8.18"/>
    <n v="90"/>
    <n v="29"/>
    <s v="OK"/>
    <n v="2"/>
    <m/>
    <n v="28.533333333333335"/>
    <n v="87.525999999999996"/>
    <n v="86.464646464646464"/>
    <n v="1"/>
    <n v="87.525999999999996"/>
    <x v="0"/>
    <x v="0"/>
    <s v="OK"/>
  </r>
  <r>
    <s v="SO-50130"/>
    <s v="PL-NTE"/>
    <x v="10"/>
    <s v="BEB-1020"/>
    <n v="535"/>
    <d v="2026-06-01T00:00:00"/>
    <s v="In Transit"/>
    <s v="OK"/>
    <n v="16.66"/>
    <n v="85"/>
    <n v="333"/>
    <s v="OK"/>
    <n v="3"/>
    <m/>
    <n v="6.2941176470588234"/>
    <n v="37.137916666666669"/>
    <n v="19.073083778966133"/>
    <n v="1"/>
    <n v="37.137916666666669"/>
    <x v="1"/>
    <x v="0"/>
    <s v="OK"/>
  </r>
  <r>
    <s v="SO-50808"/>
    <s v="PL-NTE"/>
    <x v="10"/>
    <s v="LAC-1001"/>
    <n v="2145"/>
    <d v="2026-06-02T00:00:00"/>
    <s v="Delivered"/>
    <s v="OK"/>
    <n v="7.51"/>
    <n v="83"/>
    <n v="18"/>
    <s v="OK"/>
    <n v="2"/>
    <m/>
    <n v="25.843373493975903"/>
    <n v="67.120625000000004"/>
    <n v="78.313253012048193"/>
    <n v="1"/>
    <n v="78.313253012048193"/>
    <x v="0"/>
    <x v="0"/>
    <s v="OK"/>
  </r>
  <r>
    <s v="SO-50233"/>
    <s v="PL-CEN"/>
    <x v="9"/>
    <s v="ABA-1014"/>
    <n v="2129"/>
    <d v="2026-06-03T00:00:00"/>
    <s v="In Transit"/>
    <s v="OK"/>
    <n v="9.56"/>
    <n v="136"/>
    <n v="345"/>
    <s v="OK"/>
    <n v="1"/>
    <m/>
    <n v="15.654411764705882"/>
    <n v="84.805166666666679"/>
    <n v="47.437611408199643"/>
    <n v="1"/>
    <n v="84.805166666666679"/>
    <x v="0"/>
    <x v="0"/>
    <s v="OK"/>
  </r>
  <r>
    <s v="SO-50989"/>
    <s v="PL-NTE"/>
    <x v="10"/>
    <s v="ABA-1019"/>
    <n v="1561"/>
    <d v="2026-06-02T00:00:00"/>
    <s v="Delivered"/>
    <s v="OK"/>
    <n v="14.82"/>
    <n v="132"/>
    <n v="373"/>
    <s v="OK"/>
    <n v="2"/>
    <m/>
    <n v="11.825757575757576"/>
    <n v="96.391750000000002"/>
    <n v="35.835629017447204"/>
    <n v="1"/>
    <n v="96.391750000000002"/>
    <x v="0"/>
    <x v="0"/>
    <s v="OK"/>
  </r>
  <r>
    <s v="SO-50791"/>
    <s v="PL-CEN"/>
    <x v="8"/>
    <s v="ABA-1012"/>
    <n v="1457"/>
    <d v="2026-06-03T00:00:00"/>
    <s v="In Transit"/>
    <s v="OK"/>
    <n v="15.14"/>
    <n v="117"/>
    <n v="484"/>
    <s v="OK"/>
    <n v="1"/>
    <m/>
    <n v="12.452991452991453"/>
    <n v="91.912416666666658"/>
    <n v="37.736337736337738"/>
    <n v="1"/>
    <n v="91.912416666666658"/>
    <x v="0"/>
    <x v="0"/>
    <s v="OK"/>
  </r>
  <r>
    <s v="SO-50250"/>
    <s v="PL-NTE"/>
    <x v="14"/>
    <s v="ABA-1007"/>
    <n v="2168"/>
    <d v="2026-06-03T00:00:00"/>
    <s v="In Transit"/>
    <s v="OK"/>
    <n v="9.7899999999999991"/>
    <n v="123"/>
    <n v="334"/>
    <s v="OK"/>
    <n v="1"/>
    <m/>
    <n v="17.626016260162601"/>
    <n v="88.436333333333323"/>
    <n v="53.412170485341214"/>
    <n v="1"/>
    <n v="88.436333333333323"/>
    <x v="0"/>
    <x v="0"/>
    <s v="OK"/>
  </r>
  <r>
    <s v="SO-50071"/>
    <s v="PL-NTE"/>
    <x v="14"/>
    <s v="BEB-1006"/>
    <n v="467"/>
    <d v="2026-06-03T00:00:00"/>
    <s v="In Transit"/>
    <s v="OK"/>
    <n v="17.18"/>
    <n v="81"/>
    <n v="293"/>
    <s v="OK"/>
    <n v="1"/>
    <m/>
    <n v="5.7654320987654319"/>
    <n v="33.429416666666668"/>
    <n v="17.471006359895249"/>
    <n v="1"/>
    <n v="33.429416666666668"/>
    <x v="1"/>
    <x v="0"/>
    <s v="OK"/>
  </r>
  <r>
    <s v="SO-51068"/>
    <s v="PL-SUR"/>
    <x v="7"/>
    <s v="BEB-1013"/>
    <n v="1143"/>
    <d v="2026-06-03T00:00:00"/>
    <s v="In Transit"/>
    <s v="OK"/>
    <n v="17.28"/>
    <n v="97"/>
    <n v="271"/>
    <s v="OK"/>
    <n v="1"/>
    <m/>
    <n v="11.783505154639176"/>
    <n v="82.296000000000006"/>
    <n v="35.707591377694477"/>
    <n v="1"/>
    <n v="82.296000000000006"/>
    <x v="0"/>
    <x v="0"/>
    <s v="OK"/>
  </r>
  <r>
    <s v="SO-50176"/>
    <s v="PL-CEN"/>
    <x v="5"/>
    <s v="LAC-1005"/>
    <n v="2400"/>
    <d v="2026-06-02T00:00:00"/>
    <s v="In Transit"/>
    <s v="OK"/>
    <n v="8.94"/>
    <n v="100"/>
    <n v="17"/>
    <s v="OK"/>
    <n v="2"/>
    <m/>
    <n v="24"/>
    <n v="89.4"/>
    <n v="72.727272727272734"/>
    <n v="1"/>
    <n v="89.4"/>
    <x v="0"/>
    <x v="0"/>
    <s v="OK"/>
  </r>
  <r>
    <s v="SO-50708"/>
    <s v="PL-NTE"/>
    <x v="1"/>
    <s v="ABA-1018"/>
    <n v="680"/>
    <d v="2026-06-03T00:00:00"/>
    <s v="In Transit"/>
    <s v="OK"/>
    <n v="11.43"/>
    <n v="128"/>
    <n v="530"/>
    <s v="OK"/>
    <n v="1"/>
    <m/>
    <n v="5.3125"/>
    <n v="32.384999999999998"/>
    <n v="16.098484848484848"/>
    <n v="1"/>
    <n v="32.384999999999998"/>
    <x v="1"/>
    <x v="0"/>
    <s v="OK"/>
  </r>
  <r>
    <s v="SO-50010"/>
    <s v="PL-SUR"/>
    <x v="7"/>
    <s v="LAC-1001"/>
    <n v="2211"/>
    <d v="2026-06-03T00:00:00"/>
    <s v="In Transit"/>
    <s v="OK"/>
    <n v="7.51"/>
    <n v="83"/>
    <n v="18"/>
    <s v="OK"/>
    <n v="1"/>
    <m/>
    <n v="26.638554216867469"/>
    <n v="69.18587500000001"/>
    <n v="80.722891566265048"/>
    <n v="1"/>
    <n v="80.722891566265048"/>
    <x v="0"/>
    <x v="0"/>
    <s v="OK"/>
  </r>
  <r>
    <s v="SO-50020"/>
    <s v="PL-NTE"/>
    <x v="14"/>
    <s v="BOT-1007"/>
    <n v="909"/>
    <d v="2026-06-03T00:00:00"/>
    <s v="In Transit"/>
    <s v="OK"/>
    <n v="0"/>
    <n v="49"/>
    <n v="104"/>
    <s v="OK"/>
    <n v="1"/>
    <m/>
    <n v="18.551020408163264"/>
    <n v="0"/>
    <n v="56.215213358070493"/>
    <n v="1"/>
    <n v="56.215213358070493"/>
    <x v="1"/>
    <x v="0"/>
    <s v="OK"/>
  </r>
  <r>
    <s v="SO-50577"/>
    <s v="PL-CEN"/>
    <x v="3"/>
    <s v="LAC-1003"/>
    <n v="2171"/>
    <d v="2026-06-02T00:00:00"/>
    <s v="In Transit"/>
    <s v="OK"/>
    <n v="9.02"/>
    <n v="114"/>
    <n v="18"/>
    <s v="OK"/>
    <n v="2"/>
    <m/>
    <n v="19.043859649122808"/>
    <n v="81.593416666666656"/>
    <n v="57.708665603402451"/>
    <n v="1"/>
    <n v="81.593416666666656"/>
    <x v="0"/>
    <x v="0"/>
    <s v="OK"/>
  </r>
  <r>
    <s v="SO-50423"/>
    <s v="PL-CEN"/>
    <x v="3"/>
    <s v="BOT-1014"/>
    <n v="573"/>
    <d v="2026-06-03T00:00:00"/>
    <s v="In Transit"/>
    <s v="OK"/>
    <n v="3.92"/>
    <n v="49"/>
    <n v="98"/>
    <s v="OK"/>
    <n v="1"/>
    <m/>
    <n v="11.693877551020408"/>
    <n v="9.359"/>
    <n v="35.435992578849721"/>
    <n v="1"/>
    <n v="35.435992578849721"/>
    <x v="1"/>
    <x v="0"/>
    <s v="OK"/>
  </r>
  <r>
    <s v="SO-50292"/>
    <s v="PL-SUR"/>
    <x v="0"/>
    <s v="LAC-1007"/>
    <n v="2052"/>
    <d v="2026-06-02T00:00:00"/>
    <s v="In Transit"/>
    <s v="OK"/>
    <n v="10.37"/>
    <n v="100"/>
    <n v="24"/>
    <s v="OK"/>
    <n v="2"/>
    <m/>
    <n v="20.52"/>
    <n v="88.663499999999999"/>
    <n v="62.18181818181818"/>
    <n v="1"/>
    <n v="88.663499999999999"/>
    <x v="0"/>
    <x v="0"/>
    <s v="OK"/>
  </r>
  <r>
    <s v="SO-50655"/>
    <s v="PL-NTE"/>
    <x v="14"/>
    <s v="ABA-1008"/>
    <n v="2068"/>
    <d v="2026-06-03T00:00:00"/>
    <s v="In Transit"/>
    <s v="OK"/>
    <n v="10.6"/>
    <n v="96"/>
    <n v="445"/>
    <s v="OK"/>
    <n v="1"/>
    <m/>
    <n v="21.541666666666668"/>
    <n v="91.336666666666673"/>
    <n v="65.277777777777786"/>
    <n v="1"/>
    <n v="91.336666666666673"/>
    <x v="0"/>
    <x v="0"/>
    <s v="OK"/>
  </r>
  <r>
    <s v="SO-50227"/>
    <s v="PL-SUR"/>
    <x v="0"/>
    <s v="PRO-1012"/>
    <n v="3135"/>
    <d v="2026-05-31T00:00:00"/>
    <s v="In Transit"/>
    <s v="OK"/>
    <n v="6.87"/>
    <n v="101"/>
    <n v="62"/>
    <s v="OK"/>
    <n v="4"/>
    <m/>
    <n v="31.03960396039604"/>
    <n v="89.739374999999995"/>
    <n v="94.059405940594047"/>
    <n v="1"/>
    <n v="94.059405940594047"/>
    <x v="0"/>
    <x v="0"/>
    <s v="OK"/>
  </r>
  <r>
    <s v="SO-50994"/>
    <s v="PL-CEN"/>
    <x v="5"/>
    <s v="LAC-1002"/>
    <n v="1063"/>
    <d v="2026-06-03T00:00:00"/>
    <s v="In Transit"/>
    <s v="OK"/>
    <n v="7.71"/>
    <n v="101"/>
    <n v="23"/>
    <s v="OK"/>
    <n v="1"/>
    <m/>
    <n v="10.524752475247524"/>
    <n v="34.148875000000004"/>
    <n v="31.893189318931892"/>
    <n v="1"/>
    <n v="34.148875000000004"/>
    <x v="1"/>
    <x v="0"/>
    <s v="OK"/>
  </r>
  <r>
    <s v="SO-50617"/>
    <s v="PL-SUR"/>
    <x v="12"/>
    <s v="BOT-1016"/>
    <n v="1290"/>
    <d v="2026-06-02T00:00:00"/>
    <s v="In Transit"/>
    <s v="OK"/>
    <n v="5.53"/>
    <n v="42"/>
    <n v="114"/>
    <s v="OK"/>
    <n v="2"/>
    <m/>
    <n v="30.714285714285715"/>
    <n v="29.723750000000003"/>
    <n v="93.073593073593074"/>
    <n v="1"/>
    <n v="93.073593073593074"/>
    <x v="0"/>
    <x v="0"/>
    <s v="OK"/>
  </r>
  <r>
    <s v="SO-51067"/>
    <s v="PL-SUR"/>
    <x v="12"/>
    <s v="PRO-1000"/>
    <n v="1042"/>
    <d v="2026-06-03T00:00:00"/>
    <s v="In Transit"/>
    <s v="OK"/>
    <n v="12.51"/>
    <n v="73"/>
    <n v="75"/>
    <s v="OK"/>
    <n v="1"/>
    <m/>
    <n v="14.273972602739725"/>
    <n v="54.314249999999994"/>
    <n v="43.254462432544621"/>
    <n v="1"/>
    <n v="54.314249999999994"/>
    <x v="1"/>
    <x v="0"/>
    <s v="OK"/>
  </r>
  <r>
    <s v="SO-50524"/>
    <s v="PL-CEN"/>
    <x v="13"/>
    <s v="BOT-1010"/>
    <n v="696"/>
    <d v="2026-06-03T00:00:00"/>
    <s v="In Transit"/>
    <s v="OK"/>
    <n v="5.09"/>
    <n v="40"/>
    <n v="90"/>
    <s v="OK"/>
    <n v="1"/>
    <m/>
    <n v="17.399999999999999"/>
    <n v="14.760999999999999"/>
    <n v="52.72727272727272"/>
    <n v="1"/>
    <n v="52.72727272727272"/>
    <x v="1"/>
    <x v="0"/>
    <s v="OK"/>
  </r>
  <r>
    <s v="SO-50383"/>
    <s v="PL-NTE"/>
    <x v="14"/>
    <s v="LAC-1017"/>
    <n v="2635"/>
    <d v="2026-06-03T00:00:00"/>
    <s v="In Transit"/>
    <s v="OK"/>
    <n v="7.45"/>
    <n v="147"/>
    <n v="28"/>
    <s v="OK"/>
    <n v="1"/>
    <m/>
    <n v="17.92517006802721"/>
    <n v="81.794791666666669"/>
    <n v="54.318697175840036"/>
    <n v="1"/>
    <n v="81.794791666666669"/>
    <x v="0"/>
    <x v="0"/>
    <s v="OK"/>
  </r>
  <r>
    <s v="SO-50704"/>
    <s v="PL-SUR"/>
    <x v="7"/>
    <s v="BOT-1007"/>
    <n v="2538"/>
    <d v="2026-06-03T00:00:00"/>
    <s v="In Transit"/>
    <s v="OK"/>
    <n v="0"/>
    <n v="49"/>
    <n v="104"/>
    <s v="OK"/>
    <n v="1"/>
    <m/>
    <n v="51.795918367346935"/>
    <n v="0"/>
    <n v="156.95732838589979"/>
    <n v="2"/>
    <n v="78.478664192949893"/>
    <x v="0"/>
    <x v="0"/>
    <s v="OK"/>
  </r>
  <r>
    <s v="SO-50725"/>
    <s v="PL-NTE"/>
    <x v="11"/>
    <s v="LAC-1007"/>
    <n v="561"/>
    <d v="2026-06-03T00:00:00"/>
    <s v="In Transit"/>
    <s v="OK"/>
    <n v="10.37"/>
    <n v="100"/>
    <n v="24"/>
    <s v="OK"/>
    <n v="1"/>
    <m/>
    <n v="5.61"/>
    <n v="24.239874999999998"/>
    <n v="17"/>
    <n v="1"/>
    <n v="24.239874999999998"/>
    <x v="1"/>
    <x v="0"/>
    <s v="OK"/>
  </r>
  <r>
    <s v="SO-50094"/>
    <s v="PL-NTE"/>
    <x v="10"/>
    <s v="LAC-1012"/>
    <n v="2055"/>
    <d v="2026-05-31T00:00:00"/>
    <s v="In Transit"/>
    <s v="OK"/>
    <n v="9.8699999999999992"/>
    <n v="88"/>
    <n v="25"/>
    <s v="OK"/>
    <n v="4"/>
    <m/>
    <n v="23.352272727272727"/>
    <n v="84.511874999999989"/>
    <n v="70.764462809917347"/>
    <n v="1"/>
    <n v="84.511874999999989"/>
    <x v="0"/>
    <x v="0"/>
    <s v="OK"/>
  </r>
  <r>
    <s v="SO-50613"/>
    <s v="PL-NTE"/>
    <x v="2"/>
    <s v="PRO-1013"/>
    <n v="1588"/>
    <d v="2026-06-02T00:00:00"/>
    <s v="In Transit"/>
    <s v="OK"/>
    <n v="4.37"/>
    <n v="58"/>
    <n v="92"/>
    <s v="OK"/>
    <n v="2"/>
    <m/>
    <n v="27.379310344827587"/>
    <n v="28.914833333333334"/>
    <n v="82.96760710553815"/>
    <n v="1"/>
    <n v="82.96760710553815"/>
    <x v="0"/>
    <x v="0"/>
    <s v="OK"/>
  </r>
  <r>
    <s v="SO-50461"/>
    <s v="PL-SUR"/>
    <x v="7"/>
    <s v="BOT-1005"/>
    <n v="640"/>
    <d v="2026-06-03T00:00:00"/>
    <s v="In Transit"/>
    <s v="OK"/>
    <n v="5.49"/>
    <n v="62"/>
    <n v="91"/>
    <s v="OK"/>
    <n v="1"/>
    <m/>
    <n v="10.32258064516129"/>
    <n v="14.64"/>
    <n v="31.280547409579668"/>
    <n v="1"/>
    <n v="31.280547409579668"/>
    <x v="1"/>
    <x v="0"/>
    <s v="OK"/>
  </r>
  <r>
    <s v="SO-50696"/>
    <s v="PL-NTE"/>
    <x v="14"/>
    <s v="BOT-1011"/>
    <n v="2743"/>
    <d v="2026-06-03T00:00:00"/>
    <s v="In Transit"/>
    <s v="OK"/>
    <n v="3.43"/>
    <n v="88"/>
    <n v="109"/>
    <s v="OK"/>
    <n v="1"/>
    <m/>
    <n v="31.170454545454547"/>
    <n v="39.202041666666666"/>
    <n v="94.455922865013775"/>
    <n v="1"/>
    <n v="94.455922865013775"/>
    <x v="0"/>
    <x v="0"/>
    <s v="OK"/>
  </r>
  <r>
    <s v="SO-50248"/>
    <s v="PL-SUR"/>
    <x v="4"/>
    <s v="PRO-1005"/>
    <n v="1979"/>
    <d v="2026-06-03T00:00:00"/>
    <s v="In Transit"/>
    <s v="OK"/>
    <n v="11.02"/>
    <n v="69"/>
    <n v="86"/>
    <s v="OK"/>
    <n v="1"/>
    <m/>
    <n v="28.681159420289855"/>
    <n v="90.869083333333322"/>
    <n v="86.912604303908665"/>
    <n v="1"/>
    <n v="90.869083333333322"/>
    <x v="0"/>
    <x v="0"/>
    <s v="OK"/>
  </r>
  <r>
    <s v="SO-50743"/>
    <s v="PL-SUR"/>
    <x v="7"/>
    <s v="ABA-1012"/>
    <n v="899"/>
    <d v="2026-06-03T00:00:00"/>
    <s v="In Transit"/>
    <s v="OK"/>
    <n v="15.14"/>
    <n v="117"/>
    <n v="484"/>
    <s v="OK"/>
    <n v="1"/>
    <m/>
    <n v="7.683760683760684"/>
    <n v="56.711916666666674"/>
    <n v="23.284123284123286"/>
    <n v="1"/>
    <n v="56.711916666666674"/>
    <x v="1"/>
    <x v="0"/>
    <s v="OK"/>
  </r>
  <r>
    <s v="SO-50678"/>
    <s v="PL-CEN"/>
    <x v="8"/>
    <s v="BOT-1000"/>
    <n v="1910"/>
    <d v="2026-06-03T00:00:00"/>
    <s v="In Transit"/>
    <s v="OK"/>
    <n v="3.56"/>
    <n v="64"/>
    <n v="92"/>
    <s v="OK"/>
    <n v="1"/>
    <m/>
    <n v="29.84375"/>
    <n v="28.331666666666667"/>
    <n v="90.435606060606062"/>
    <n v="1"/>
    <n v="90.435606060606062"/>
    <x v="0"/>
    <x v="0"/>
    <s v="OK"/>
  </r>
  <r>
    <s v="SO-50278"/>
    <s v="PL-NTE"/>
    <x v="11"/>
    <s v="PRO-1006"/>
    <n v="1809"/>
    <d v="2026-06-01T00:00:00"/>
    <s v="Delivered"/>
    <s v="OK"/>
    <n v="12.09"/>
    <n v="80"/>
    <n v="138"/>
    <s v="OK"/>
    <n v="3"/>
    <m/>
    <n v="22.612500000000001"/>
    <n v="91.128375000000005"/>
    <n v="68.52272727272728"/>
    <n v="1"/>
    <n v="91.128375000000005"/>
    <x v="0"/>
    <x v="0"/>
    <s v="OK"/>
  </r>
  <r>
    <s v="SO-50581"/>
    <s v="PL-CEN"/>
    <x v="9"/>
    <s v="PRO-1006"/>
    <n v="1902"/>
    <d v="2026-06-03T00:00:00"/>
    <s v="In Transit"/>
    <s v="OK"/>
    <n v="12.09"/>
    <n v="80"/>
    <n v="138"/>
    <s v="OK"/>
    <n v="1"/>
    <m/>
    <n v="23.774999999999999"/>
    <n v="95.813250000000011"/>
    <n v="72.045454545454547"/>
    <n v="1"/>
    <n v="95.813250000000011"/>
    <x v="0"/>
    <x v="0"/>
    <s v="OK"/>
  </r>
  <r>
    <s v="SO-50454"/>
    <s v="PL-CEN"/>
    <x v="9"/>
    <s v="LAC-1010"/>
    <n v="1361"/>
    <d v="2026-06-02T00:00:00"/>
    <s v="In Transit"/>
    <s v="OK"/>
    <n v="6.24"/>
    <n v="146"/>
    <n v="24"/>
    <s v="OK"/>
    <n v="2"/>
    <m/>
    <n v="9.3219178082191778"/>
    <n v="35.385999999999996"/>
    <n v="28.248235782482357"/>
    <n v="1"/>
    <n v="35.385999999999996"/>
    <x v="1"/>
    <x v="0"/>
    <s v="OK"/>
  </r>
  <r>
    <s v="SO-50185"/>
    <s v="PL-CEN"/>
    <x v="8"/>
    <s v="ABA-1013"/>
    <n v="1637"/>
    <d v="2026-06-03T00:00:00"/>
    <s v="In Transit"/>
    <s v="OK"/>
    <n v="12.02"/>
    <n v="75"/>
    <n v="402"/>
    <s v="OK"/>
    <n v="1"/>
    <m/>
    <n v="21.826666666666668"/>
    <n v="81.986416666666656"/>
    <n v="66.141414141414145"/>
    <n v="1"/>
    <n v="81.986416666666656"/>
    <x v="0"/>
    <x v="0"/>
    <s v="OK"/>
  </r>
  <r>
    <s v="SO-50761"/>
    <s v="PL-NTE"/>
    <x v="11"/>
    <s v="BEB-1001"/>
    <n v="396"/>
    <d v="2026-06-01T00:00:00"/>
    <s v="In Transit"/>
    <s v="OK"/>
    <n v="19.18"/>
    <n v="95"/>
    <n v="208"/>
    <s v="OK"/>
    <n v="3"/>
    <m/>
    <n v="4.1684210526315786"/>
    <n v="31.646999999999998"/>
    <n v="12.631578947368419"/>
    <n v="1"/>
    <n v="31.646999999999998"/>
    <x v="1"/>
    <x v="0"/>
    <s v="OK"/>
  </r>
  <r>
    <s v="SO-50290"/>
    <s v="PL-CEN"/>
    <x v="13"/>
    <s v="XXX-8909"/>
    <n v="1721"/>
    <d v="2026-06-03T00:00:00"/>
    <s v="In Transit"/>
    <s v="OK"/>
    <n v="0"/>
    <n v="0"/>
    <n v="0"/>
    <s v="HUERFANO"/>
    <n v="1"/>
    <m/>
    <s v="n/a"/>
    <s v="n/a"/>
    <s v="n/a"/>
    <s v="n/a"/>
    <s v="n/a"/>
    <x v="2"/>
    <x v="2"/>
    <s v="n/a"/>
  </r>
  <r>
    <s v="SO-50180"/>
    <s v="PL-NTE"/>
    <x v="11"/>
    <s v="ABA-1010"/>
    <n v="558"/>
    <d v="2026-06-03T00:00:00"/>
    <s v="In Transit"/>
    <s v="OK"/>
    <n v="8.75"/>
    <n v="123"/>
    <n v="341"/>
    <s v="OK"/>
    <n v="1"/>
    <m/>
    <n v="4.5365853658536581"/>
    <n v="20.34375"/>
    <n v="13.747228381374722"/>
    <n v="1"/>
    <n v="20.34375"/>
    <x v="1"/>
    <x v="0"/>
    <s v="OK"/>
  </r>
  <r>
    <s v="SO-50064"/>
    <s v="PL-SUR"/>
    <x v="7"/>
    <s v="PRO-1007"/>
    <n v="585"/>
    <d v="2026-06-03T00:00:00"/>
    <s v="In Transit"/>
    <s v="OK"/>
    <n v="13.13"/>
    <n v="82"/>
    <n v="105"/>
    <s v="OK"/>
    <n v="1"/>
    <m/>
    <n v="7.1341463414634143"/>
    <n v="32.004375000000003"/>
    <n v="21.618625277161861"/>
    <n v="1"/>
    <n v="32.004375000000003"/>
    <x v="1"/>
    <x v="0"/>
    <s v="OK"/>
  </r>
  <r>
    <s v="SO-50097"/>
    <s v="PL-NTE"/>
    <x v="14"/>
    <s v="LAC-1012"/>
    <n v="1926"/>
    <d v="2026-06-03T00:00:00"/>
    <s v="In Transit"/>
    <s v="OK"/>
    <n v="9.8699999999999992"/>
    <n v="88"/>
    <n v="25"/>
    <s v="OK"/>
    <n v="1"/>
    <m/>
    <n v="21.886363636363637"/>
    <n v="79.20675"/>
    <n v="66.322314049586765"/>
    <n v="1"/>
    <n v="79.20675"/>
    <x v="0"/>
    <x v="0"/>
    <s v="OK"/>
  </r>
  <r>
    <s v="SO-50730"/>
    <s v="PL-SUR"/>
    <x v="12"/>
    <s v="LAC-1001"/>
    <n v="1025"/>
    <d v="2026-06-02T00:00:00"/>
    <s v="In Transit"/>
    <s v="OK"/>
    <n v="7.51"/>
    <n v="83"/>
    <n v="18"/>
    <s v="OK"/>
    <n v="2"/>
    <m/>
    <n v="12.349397590361447"/>
    <n v="32.073958333333337"/>
    <n v="37.422416940489235"/>
    <n v="1"/>
    <n v="37.422416940489235"/>
    <x v="1"/>
    <x v="0"/>
    <s v="OK"/>
  </r>
  <r>
    <s v="SO-50915"/>
    <s v="PL-SUR"/>
    <x v="12"/>
    <s v="BOT-1021"/>
    <n v="1329"/>
    <d v="2026-06-02T00:00:00"/>
    <s v="In Transit"/>
    <s v="OK"/>
    <n v="5.04"/>
    <n v="47"/>
    <n v="96"/>
    <s v="OK"/>
    <n v="2"/>
    <m/>
    <n v="28.276595744680851"/>
    <n v="27.908999999999999"/>
    <n v="85.686653771760163"/>
    <n v="1"/>
    <n v="85.686653771760163"/>
    <x v="0"/>
    <x v="0"/>
    <s v="OK"/>
  </r>
  <r>
    <s v="SO-50434"/>
    <s v="PL-CEN"/>
    <x v="9"/>
    <s v="BEB-1013"/>
    <n v="624"/>
    <d v="2026-06-02T00:00:00"/>
    <s v="In Transit"/>
    <s v="OK"/>
    <n v="17.28"/>
    <n v="97"/>
    <n v="271"/>
    <s v="OK"/>
    <n v="2"/>
    <m/>
    <n v="6.4329896907216497"/>
    <n v="44.928000000000004"/>
    <n v="19.49390815370197"/>
    <n v="1"/>
    <n v="44.928000000000004"/>
    <x v="1"/>
    <x v="0"/>
    <s v="OK"/>
  </r>
  <r>
    <s v="SO-50575"/>
    <s v="PL-SUR"/>
    <x v="0"/>
    <s v="BOT-1002"/>
    <n v="930"/>
    <d v="2026-06-02T00:00:00"/>
    <s v="In Transit"/>
    <s v="OK"/>
    <n v="3.02"/>
    <n v="84"/>
    <n v="111"/>
    <s v="OK"/>
    <n v="2"/>
    <m/>
    <n v="11.071428571428571"/>
    <n v="11.702499999999999"/>
    <n v="33.549783549783555"/>
    <n v="1"/>
    <n v="33.549783549783555"/>
    <x v="1"/>
    <x v="0"/>
    <s v="OK"/>
  </r>
  <r>
    <s v="SO-50998"/>
    <s v="PL-SUR"/>
    <x v="0"/>
    <s v="PRO-1010"/>
    <n v="700"/>
    <d v="2026-05-31T00:00:00"/>
    <s v="In Transit"/>
    <s v="OK"/>
    <n v="7.76"/>
    <n v="86"/>
    <n v="112"/>
    <s v="OK"/>
    <n v="4"/>
    <m/>
    <n v="8.1395348837209305"/>
    <n v="22.633333333333333"/>
    <n v="24.665257223396758"/>
    <n v="1"/>
    <n v="24.665257223396758"/>
    <x v="1"/>
    <x v="0"/>
    <s v="OK"/>
  </r>
  <r>
    <s v="SO-50070"/>
    <s v="PL-SUR"/>
    <x v="12"/>
    <s v="BOT-1018"/>
    <n v="586"/>
    <d v="2026-06-03T00:00:00"/>
    <s v="In Transit"/>
    <s v="OK"/>
    <n v="6.23"/>
    <n v="78"/>
    <n v="99"/>
    <s v="OK"/>
    <n v="1"/>
    <m/>
    <n v="7.5128205128205128"/>
    <n v="15.211583333333333"/>
    <n v="22.766122766122766"/>
    <n v="1"/>
    <n v="22.766122766122766"/>
    <x v="1"/>
    <x v="0"/>
    <s v="OK"/>
  </r>
  <r>
    <s v="SO-50191"/>
    <s v="PL-CEN"/>
    <x v="5"/>
    <s v="ABA-1004"/>
    <n v="1545"/>
    <d v="2026-06-02T00:00:00"/>
    <s v="In Transit"/>
    <s v="OK"/>
    <n v="12.85"/>
    <n v="91"/>
    <n v="297"/>
    <s v="OK"/>
    <n v="2"/>
    <m/>
    <n v="16.978021978021978"/>
    <n v="82.721874999999997"/>
    <n v="51.448551448551449"/>
    <n v="1"/>
    <n v="82.721874999999997"/>
    <x v="0"/>
    <x v="0"/>
    <s v="OK"/>
  </r>
  <r>
    <s v="SO-50839"/>
    <s v="PL-CEN"/>
    <x v="3"/>
    <s v="PRO-1002"/>
    <n v="2170"/>
    <d v="2026-06-01T00:00:00"/>
    <s v="In Transit"/>
    <s v="OK"/>
    <n v="9.6999999999999993"/>
    <n v="98"/>
    <n v="115"/>
    <s v="OK"/>
    <n v="3"/>
    <m/>
    <n v="22.142857142857142"/>
    <n v="87.704166666666666"/>
    <n v="67.099567099567111"/>
    <n v="1"/>
    <n v="87.704166666666666"/>
    <x v="0"/>
    <x v="0"/>
    <s v="OK"/>
  </r>
  <r>
    <s v="SO-50967"/>
    <s v="PL-NTE"/>
    <x v="11"/>
    <s v="BEB-1005"/>
    <n v="1429"/>
    <d v="2026-06-01T00:00:00"/>
    <s v="In Transit"/>
    <s v="OK"/>
    <n v="14.2"/>
    <n v="95"/>
    <n v="277"/>
    <s v="OK"/>
    <n v="3"/>
    <m/>
    <n v="15.042105263157895"/>
    <n v="84.549166666666665"/>
    <n v="45.582137161084532"/>
    <n v="1"/>
    <n v="84.549166666666665"/>
    <x v="0"/>
    <x v="0"/>
    <s v="OK"/>
  </r>
  <r>
    <s v="SO-50518"/>
    <s v="PL-CEN"/>
    <x v="13"/>
    <s v="LAC-1006"/>
    <n v="2224"/>
    <d v="2026-06-03T00:00:00"/>
    <s v="In Transit"/>
    <s v="OK"/>
    <n v="10.029999999999999"/>
    <n v="126"/>
    <n v="17"/>
    <s v="OK"/>
    <n v="1"/>
    <m/>
    <n v="17.650793650793652"/>
    <n v="92.944666666666649"/>
    <n v="53.487253487253497"/>
    <n v="1"/>
    <n v="92.944666666666649"/>
    <x v="0"/>
    <x v="0"/>
    <s v="OK"/>
  </r>
  <r>
    <s v="SO-50619"/>
    <s v="PL-NTE"/>
    <x v="14"/>
    <s v="BOT-1019"/>
    <n v="1174"/>
    <d v="2026-06-03T00:00:00"/>
    <s v="In Transit"/>
    <s v="OK"/>
    <n v="3.44"/>
    <n v="85"/>
    <n v="102"/>
    <s v="OK"/>
    <n v="1"/>
    <m/>
    <n v="13.811764705882354"/>
    <n v="16.827333333333332"/>
    <n v="41.853832442067741"/>
    <n v="1"/>
    <n v="41.853832442067741"/>
    <x v="1"/>
    <x v="0"/>
    <s v="OK"/>
  </r>
  <r>
    <s v="SO-50235"/>
    <s v="PL-NTE"/>
    <x v="2"/>
    <s v="LAC-1012"/>
    <n v="2093"/>
    <d v="2026-06-02T00:00:00"/>
    <s v="In Transit"/>
    <s v="OK"/>
    <n v="9.8699999999999992"/>
    <n v="88"/>
    <n v="25"/>
    <s v="OK"/>
    <n v="2"/>
    <m/>
    <n v="23.78409090909091"/>
    <n v="86.074624999999997"/>
    <n v="72.073002754820934"/>
    <n v="1"/>
    <n v="86.074624999999997"/>
    <x v="0"/>
    <x v="0"/>
    <s v="OK"/>
  </r>
  <r>
    <s v="SO-50409"/>
    <s v="PL-CEN"/>
    <x v="5"/>
    <s v="BOT-1020"/>
    <n v="2078"/>
    <d v="2026-06-03T00:00:00"/>
    <s v="In Transit"/>
    <s v="OK"/>
    <n v="6.27"/>
    <n v="67"/>
    <n v="90"/>
    <s v="OK"/>
    <n v="1"/>
    <m/>
    <n v="31.014925373134329"/>
    <n v="54.287750000000003"/>
    <n v="93.984622342831301"/>
    <n v="1"/>
    <n v="93.984622342831301"/>
    <x v="0"/>
    <x v="0"/>
    <s v="OK"/>
  </r>
  <r>
    <s v="SO-50463"/>
    <s v="PL-NTE"/>
    <x v="2"/>
    <s v="BEB-1020"/>
    <n v="1237"/>
    <d v="2026-06-03T00:00:00"/>
    <s v="In Transit"/>
    <s v="OK"/>
    <n v="16.66"/>
    <n v="85"/>
    <n v="333"/>
    <s v="OK"/>
    <n v="1"/>
    <m/>
    <n v="14.552941176470588"/>
    <n v="85.868416666666675"/>
    <n v="44.099821746880572"/>
    <n v="1"/>
    <n v="85.868416666666675"/>
    <x v="0"/>
    <x v="0"/>
    <s v="OK"/>
  </r>
  <r>
    <s v="SO-50601"/>
    <s v="PL-SUR"/>
    <x v="0"/>
    <s v="PRO-1002"/>
    <n v="1468"/>
    <d v="2026-06-03T00:00:00"/>
    <s v="In Transit"/>
    <s v="OK"/>
    <n v="9.6999999999999993"/>
    <n v="98"/>
    <n v="115"/>
    <s v="OK"/>
    <n v="1"/>
    <m/>
    <n v="14.979591836734693"/>
    <n v="59.331666666666663"/>
    <n v="45.392702535559678"/>
    <n v="1"/>
    <n v="59.331666666666663"/>
    <x v="1"/>
    <x v="0"/>
    <s v="OK"/>
  </r>
  <r>
    <s v="SO-50858"/>
    <s v="PL-NTE"/>
    <x v="11"/>
    <s v="LAC-1001"/>
    <n v="2572"/>
    <d v="2026-06-01T00:00:00"/>
    <s v="In Transit"/>
    <s v="OK"/>
    <n v="7.51"/>
    <n v="83"/>
    <n v="18"/>
    <s v="OK"/>
    <n v="3"/>
    <m/>
    <n v="30.987951807228917"/>
    <n v="80.482166666666672"/>
    <n v="93.902884264330055"/>
    <n v="1"/>
    <n v="93.902884264330055"/>
    <x v="0"/>
    <x v="0"/>
    <s v="OK"/>
  </r>
  <r>
    <s v="SO-51000"/>
    <s v="PL-NTE"/>
    <x v="2"/>
    <s v="ABA-1018"/>
    <n v="692"/>
    <d v="2026-06-03T00:00:00"/>
    <s v="In Transit"/>
    <s v="OK"/>
    <n v="11.43"/>
    <n v="128"/>
    <n v="530"/>
    <s v="OK"/>
    <n v="1"/>
    <m/>
    <n v="5.40625"/>
    <n v="32.956499999999998"/>
    <n v="16.382575757575758"/>
    <n v="1"/>
    <n v="32.956499999999998"/>
    <x v="1"/>
    <x v="0"/>
    <s v="OK"/>
  </r>
  <r>
    <s v="SO-50157"/>
    <s v="PL-SUR"/>
    <x v="4"/>
    <s v="LAC-1006"/>
    <n v="2293"/>
    <d v="2026-06-03T00:00:00"/>
    <s v="In Transit"/>
    <s v="OK"/>
    <n v="10.029999999999999"/>
    <n v="126"/>
    <n v="17"/>
    <s v="OK"/>
    <n v="1"/>
    <m/>
    <n v="18.198412698412699"/>
    <n v="95.828291666666658"/>
    <n v="55.146705146705152"/>
    <n v="1"/>
    <n v="95.828291666666658"/>
    <x v="0"/>
    <x v="0"/>
    <s v="OK"/>
  </r>
  <r>
    <s v="SO-50445"/>
    <s v="PL-NTE"/>
    <x v="14"/>
    <s v="BEB-1019"/>
    <n v="1442"/>
    <d v="2026-06-03T00:00:00"/>
    <s v="In Transit"/>
    <s v="OK"/>
    <n v="14.35"/>
    <n v="70"/>
    <n v="240"/>
    <s v="OK"/>
    <n v="1"/>
    <m/>
    <n v="20.6"/>
    <n v="86.219583333333333"/>
    <n v="62.424242424242429"/>
    <n v="1"/>
    <n v="86.219583333333333"/>
    <x v="0"/>
    <x v="0"/>
    <s v="OK"/>
  </r>
  <r>
    <s v="SO-50391"/>
    <s v="PL-CEN"/>
    <x v="5"/>
    <s v="BEB-1001"/>
    <n v="1190"/>
    <d v="2026-06-03T00:00:00"/>
    <s v="In Transit"/>
    <s v="OK"/>
    <n v="19.18"/>
    <n v="95"/>
    <n v="208"/>
    <s v="OK"/>
    <n v="1"/>
    <m/>
    <n v="12.526315789473685"/>
    <n v="95.100833333333341"/>
    <n v="37.958532695374799"/>
    <n v="1"/>
    <n v="95.100833333333341"/>
    <x v="0"/>
    <x v="0"/>
    <s v="OK"/>
  </r>
  <r>
    <s v="SO-50964"/>
    <s v="PL-SUR"/>
    <x v="4"/>
    <s v="BOT-1021"/>
    <n v="1253"/>
    <d v="2026-06-03T00:00:00"/>
    <s v="In Transit"/>
    <s v="OK"/>
    <n v="5.04"/>
    <n v="47"/>
    <n v="96"/>
    <s v="OK"/>
    <n v="1"/>
    <m/>
    <n v="26.659574468085108"/>
    <n v="26.312999999999999"/>
    <n v="80.786589297227593"/>
    <n v="1"/>
    <n v="80.786589297227593"/>
    <x v="0"/>
    <x v="0"/>
    <s v="OK"/>
  </r>
  <r>
    <s v="SO-50414"/>
    <s v="PL-SUR"/>
    <x v="12"/>
    <s v="BOT-1002"/>
    <n v="2685"/>
    <d v="2026-06-02T00:00:00"/>
    <s v="In Transit"/>
    <s v="OK"/>
    <n v="3.02"/>
    <n v="84"/>
    <n v="111"/>
    <s v="OK"/>
    <n v="2"/>
    <m/>
    <n v="31.964285714285715"/>
    <n v="33.786250000000003"/>
    <n v="96.861471861471856"/>
    <n v="1"/>
    <n v="96.861471861471856"/>
    <x v="0"/>
    <x v="0"/>
    <s v="OK"/>
  </r>
  <r>
    <s v="SO-50396"/>
    <s v="PL-SUR"/>
    <x v="4"/>
    <s v="BOT-1008"/>
    <n v="1894"/>
    <d v="2026-06-03T00:00:00"/>
    <s v="In Transit"/>
    <s v="OK"/>
    <n v="3.48"/>
    <n v="66"/>
    <n v="112"/>
    <s v="OK"/>
    <n v="1"/>
    <m/>
    <n v="28.696969696969695"/>
    <n v="27.462999999999997"/>
    <n v="86.960514233241497"/>
    <n v="1"/>
    <n v="86.960514233241497"/>
    <x v="0"/>
    <x v="0"/>
    <s v="OK"/>
  </r>
  <r>
    <s v="SO-50628"/>
    <s v="PL-NTE"/>
    <x v="2"/>
    <s v="ABA-1014"/>
    <n v="645"/>
    <d v="2026-06-02T00:00:00"/>
    <s v="In Transit"/>
    <s v="OK"/>
    <n v="9.56"/>
    <n v="136"/>
    <n v="345"/>
    <s v="OK"/>
    <n v="2"/>
    <m/>
    <n v="4.742647058823529"/>
    <n v="25.692500000000003"/>
    <n v="14.371657754010695"/>
    <n v="1"/>
    <n v="25.692500000000003"/>
    <x v="1"/>
    <x v="0"/>
    <s v="OK"/>
  </r>
  <r>
    <s v="SO-50821"/>
    <s v="PL-CEN"/>
    <x v="8"/>
    <s v="BOT-1023"/>
    <n v="1308"/>
    <d v="2026-06-03T00:00:00"/>
    <s v="In Transit"/>
    <s v="OK"/>
    <n v="4.29"/>
    <n v="44"/>
    <n v="111"/>
    <s v="OK"/>
    <n v="1"/>
    <m/>
    <n v="29.727272727272727"/>
    <n v="23.380499999999998"/>
    <n v="90.082644628099175"/>
    <n v="1"/>
    <n v="90.082644628099175"/>
    <x v="0"/>
    <x v="0"/>
    <s v="OK"/>
  </r>
  <r>
    <s v="SO-50054"/>
    <s v="PL-NTE"/>
    <x v="11"/>
    <s v="LAC-1006"/>
    <n v="1997"/>
    <d v="2026-06-03T00:00:00"/>
    <s v="In Transit"/>
    <s v="OK"/>
    <n v="10.029999999999999"/>
    <n v="126"/>
    <n v="17"/>
    <s v="OK"/>
    <n v="1"/>
    <m/>
    <n v="15.84920634920635"/>
    <n v="83.457958333333337"/>
    <n v="48.027898027898033"/>
    <n v="1"/>
    <n v="83.457958333333337"/>
    <x v="0"/>
    <x v="0"/>
    <s v="OK"/>
  </r>
  <r>
    <s v="SO-50621"/>
    <s v="PL-NTE"/>
    <x v="10"/>
    <s v="BOT-1023"/>
    <n v="1315"/>
    <d v="2026-06-03T00:00:00"/>
    <s v="In Transit"/>
    <s v="OK"/>
    <n v="4.29"/>
    <n v="44"/>
    <n v="111"/>
    <s v="OK"/>
    <n v="1"/>
    <m/>
    <n v="29.886363636363637"/>
    <n v="23.505625000000002"/>
    <n v="90.564738292011015"/>
    <n v="1"/>
    <n v="90.564738292011015"/>
    <x v="0"/>
    <x v="0"/>
    <s v="OK"/>
  </r>
  <r>
    <s v="SO-50662"/>
    <s v="PL-CEN"/>
    <x v="3"/>
    <s v="BOT-1023"/>
    <n v="294"/>
    <d v="2026-06-01T00:00:00"/>
    <s v="In Transit"/>
    <s v="OK"/>
    <n v="4.29"/>
    <n v="44"/>
    <n v="111"/>
    <s v="OK"/>
    <n v="3"/>
    <m/>
    <n v="6.6818181818181817"/>
    <n v="5.2552500000000002"/>
    <n v="20.24793388429752"/>
    <n v="1"/>
    <n v="20.24793388429752"/>
    <x v="1"/>
    <x v="0"/>
    <s v="OK"/>
  </r>
  <r>
    <s v="SO-50322"/>
    <s v="PL-CEN"/>
    <x v="9"/>
    <s v="BEB-1002"/>
    <n v="1490"/>
    <d v="2026-06-02T00:00:00"/>
    <s v="In Transit"/>
    <s v="OK"/>
    <n v="0"/>
    <n v="69"/>
    <n v="291"/>
    <s v="OK"/>
    <n v="2"/>
    <m/>
    <n v="21.594202898550726"/>
    <n v="0"/>
    <n v="65.436978480456744"/>
    <n v="1"/>
    <n v="65.436978480456744"/>
    <x v="1"/>
    <x v="0"/>
    <s v="OK"/>
  </r>
  <r>
    <s v="SO-51095"/>
    <s v="PL-NTE"/>
    <x v="2"/>
    <s v="LAC-1001"/>
    <n v="2448"/>
    <d v="2026-05-27T00:00:00"/>
    <s v="Delivered"/>
    <s v="OK"/>
    <n v="7.51"/>
    <n v="83"/>
    <n v="18"/>
    <s v="OK"/>
    <n v="8"/>
    <m/>
    <n v="29.493975903614459"/>
    <n v="76.602000000000004"/>
    <n v="89.37568455640745"/>
    <n v="1"/>
    <n v="89.37568455640745"/>
    <x v="0"/>
    <x v="1"/>
    <s v="OK"/>
  </r>
  <r>
    <s v="SO-50956"/>
    <s v="PL-CEN"/>
    <x v="5"/>
    <s v="PRO-1010"/>
    <n v="1080"/>
    <d v="2026-06-02T00:00:00"/>
    <s v="In Transit"/>
    <s v="OK"/>
    <n v="7.76"/>
    <n v="86"/>
    <n v="112"/>
    <s v="OK"/>
    <n v="2"/>
    <m/>
    <n v="12.55813953488372"/>
    <n v="34.919999999999995"/>
    <n v="38.054968287526428"/>
    <n v="1"/>
    <n v="38.054968287526428"/>
    <x v="1"/>
    <x v="0"/>
    <s v="OK"/>
  </r>
  <r>
    <s v="SO-50827"/>
    <s v="PL-CEN"/>
    <x v="13"/>
    <s v="BEB-1013"/>
    <n v="564"/>
    <d v="2026-06-03T00:00:00"/>
    <s v="In Transit"/>
    <s v="OK"/>
    <n v="17.28"/>
    <n v="97"/>
    <n v="271"/>
    <s v="OK"/>
    <n v="1"/>
    <m/>
    <n v="5.8144329896907214"/>
    <n v="40.607999999999997"/>
    <n v="17.619493908153704"/>
    <n v="1"/>
    <n v="40.607999999999997"/>
    <x v="1"/>
    <x v="0"/>
    <s v="OK"/>
  </r>
  <r>
    <s v="SO-50728"/>
    <s v="PL-CEN"/>
    <x v="3"/>
    <s v="LAC-1006"/>
    <n v="2168"/>
    <d v="2026-06-01T00:00:00"/>
    <s v="In Transit"/>
    <s v="OK"/>
    <n v="10.029999999999999"/>
    <n v="126"/>
    <n v="17"/>
    <s v="OK"/>
    <n v="3"/>
    <m/>
    <n v="17.206349206349206"/>
    <n v="90.604333333333315"/>
    <n v="52.14045214045214"/>
    <n v="1"/>
    <n v="90.604333333333315"/>
    <x v="0"/>
    <x v="0"/>
    <s v="OK"/>
  </r>
  <r>
    <s v="SO-50432"/>
    <s v="PL-SUR"/>
    <x v="12"/>
    <s v="BEB-1016"/>
    <n v="757"/>
    <d v="2026-06-02T00:00:00"/>
    <s v="In Transit"/>
    <s v="OK"/>
    <n v="0"/>
    <n v="98"/>
    <n v="359"/>
    <s v="OK"/>
    <n v="2"/>
    <m/>
    <n v="7.7244897959183669"/>
    <n v="0"/>
    <n v="23.407544836116266"/>
    <n v="1"/>
    <n v="23.407544836116266"/>
    <x v="1"/>
    <x v="0"/>
    <s v="OK"/>
  </r>
  <r>
    <s v="SO-50766"/>
    <s v="PL-NTE"/>
    <x v="11"/>
    <s v="PRO-1010"/>
    <n v="2721"/>
    <d v="2026-06-01T00:00:00"/>
    <s v="In Transit"/>
    <s v="OK"/>
    <n v="7.76"/>
    <n v="86"/>
    <n v="112"/>
    <s v="OK"/>
    <n v="3"/>
    <m/>
    <n v="31.63953488372093"/>
    <n v="87.978999999999999"/>
    <n v="95.877378435517969"/>
    <n v="1"/>
    <n v="95.877378435517969"/>
    <x v="0"/>
    <x v="0"/>
    <s v="OK"/>
  </r>
  <r>
    <s v="SO-50360"/>
    <s v="PL-CEN"/>
    <x v="5"/>
    <s v="ABA-1018"/>
    <n v="1676"/>
    <d v="2026-06-02T00:00:00"/>
    <s v="In Transit"/>
    <s v="OK"/>
    <n v="11.43"/>
    <n v="128"/>
    <n v="530"/>
    <s v="OK"/>
    <n v="2"/>
    <m/>
    <n v="13.09375"/>
    <n v="79.819500000000005"/>
    <n v="39.678030303030305"/>
    <n v="1"/>
    <n v="79.819500000000005"/>
    <x v="0"/>
    <x v="0"/>
    <s v="OK"/>
  </r>
  <r>
    <s v="SO-50972"/>
    <s v="PL-CEN"/>
    <x v="13"/>
    <s v="LAC-1001"/>
    <n v="871"/>
    <d v="2026-06-03T00:00:00"/>
    <s v="In Transit"/>
    <s v="OK"/>
    <n v="7.51"/>
    <n v="83"/>
    <n v="18"/>
    <s v="OK"/>
    <n v="1"/>
    <m/>
    <n v="10.493975903614459"/>
    <n v="27.255041666666667"/>
    <n v="31.799926980649872"/>
    <n v="1"/>
    <n v="31.799926980649872"/>
    <x v="1"/>
    <x v="0"/>
    <s v="OK"/>
  </r>
  <r>
    <s v="SO-50398"/>
    <s v="PL-SUR"/>
    <x v="7"/>
    <s v="PRO-1007"/>
    <n v="1453"/>
    <d v="2026-06-03T00:00:00"/>
    <s v="In Transit"/>
    <s v="OK"/>
    <n v="13.13"/>
    <n v="82"/>
    <n v="105"/>
    <s v="OK"/>
    <n v="1"/>
    <m/>
    <n v="17.719512195121951"/>
    <n v="79.491208333333333"/>
    <n v="53.695491500369549"/>
    <n v="1"/>
    <n v="79.491208333333333"/>
    <x v="0"/>
    <x v="0"/>
    <s v="OK"/>
  </r>
  <r>
    <s v="SO-50652"/>
    <s v="PL-NTE"/>
    <x v="10"/>
    <s v="BEB-1002"/>
    <n v="1792"/>
    <d v="2026-06-02T00:00:00"/>
    <s v="In Transit"/>
    <s v="OK"/>
    <n v="0"/>
    <n v="69"/>
    <n v="291"/>
    <s v="OK"/>
    <n v="2"/>
    <m/>
    <n v="25.971014492753625"/>
    <n v="0"/>
    <n v="78.700043917435224"/>
    <n v="1"/>
    <n v="78.700043917435224"/>
    <x v="0"/>
    <x v="0"/>
    <s v="OK"/>
  </r>
  <r>
    <s v="SO-50280"/>
    <s v="PL-CEN"/>
    <x v="8"/>
    <s v="LAC-1006"/>
    <n v="1984"/>
    <d v="2026-06-03T00:00:00"/>
    <s v="In Transit"/>
    <s v="OK"/>
    <n v="10.029999999999999"/>
    <n v="126"/>
    <n v="17"/>
    <s v="OK"/>
    <n v="1"/>
    <m/>
    <n v="15.746031746031745"/>
    <n v="82.914666666666676"/>
    <n v="47.715247715247713"/>
    <n v="1"/>
    <n v="82.914666666666676"/>
    <x v="0"/>
    <x v="0"/>
    <s v="OK"/>
  </r>
  <r>
    <s v="SO-50536"/>
    <s v="PL-NTE"/>
    <x v="14"/>
    <s v="BOT-1004"/>
    <n v="1844"/>
    <d v="2026-06-03T00:00:00"/>
    <s v="In Transit"/>
    <s v="OK"/>
    <n v="4.43"/>
    <n v="63"/>
    <n v="115"/>
    <s v="OK"/>
    <n v="1"/>
    <m/>
    <n v="29.269841269841269"/>
    <n v="34.037166666666664"/>
    <n v="88.6964886964887"/>
    <n v="1"/>
    <n v="88.6964886964887"/>
    <x v="0"/>
    <x v="0"/>
    <s v="OK"/>
  </r>
  <r>
    <s v="SO-50872"/>
    <s v="PL-CEN"/>
    <x v="5"/>
    <s v="BEB-1014"/>
    <n v="1553"/>
    <d v="2026-06-02T00:00:00"/>
    <s v="In Transit"/>
    <s v="OK"/>
    <n v="12.41"/>
    <n v="95"/>
    <n v="227"/>
    <s v="OK"/>
    <n v="2"/>
    <m/>
    <n v="16.347368421052632"/>
    <n v="80.303041666666658"/>
    <n v="49.537480063795854"/>
    <n v="1"/>
    <n v="80.303041666666658"/>
    <x v="0"/>
    <x v="0"/>
    <s v="OK"/>
  </r>
  <r>
    <s v="SO-51032"/>
    <s v="PL-CEN"/>
    <x v="9"/>
    <s v="LAC-1000"/>
    <n v="2839"/>
    <d v="2026-05-17T00:00:00"/>
    <s v="In Transit"/>
    <s v="OK"/>
    <n v="8.18"/>
    <n v="90"/>
    <n v="29"/>
    <s v="OK"/>
    <n v="18"/>
    <m/>
    <n v="31.544444444444444"/>
    <n v="96.762583333333325"/>
    <n v="95.589225589225592"/>
    <n v="1"/>
    <n v="96.762583333333325"/>
    <x v="0"/>
    <x v="1"/>
    <s v="FANTASMA"/>
  </r>
  <r>
    <s v="SO-50988"/>
    <s v="PL-NTE"/>
    <x v="11"/>
    <s v="BOT-1022"/>
    <n v="649"/>
    <d v="2026-06-02T00:00:00"/>
    <s v="In Transit"/>
    <s v="OK"/>
    <n v="3.48"/>
    <n v="55"/>
    <n v="118"/>
    <s v="OK"/>
    <n v="2"/>
    <m/>
    <n v="11.8"/>
    <n v="9.410499999999999"/>
    <n v="35.757575757575758"/>
    <n v="1"/>
    <n v="35.757575757575758"/>
    <x v="1"/>
    <x v="0"/>
    <s v="OK"/>
  </r>
  <r>
    <s v="SO-50788"/>
    <s v="PL-CEN"/>
    <x v="3"/>
    <s v="ABA-1017"/>
    <n v="2045"/>
    <d v="2026-06-02T00:00:00"/>
    <s v="In Transit"/>
    <s v="OK"/>
    <n v="10.96"/>
    <n v="128"/>
    <n v="520"/>
    <s v="OK"/>
    <n v="2"/>
    <m/>
    <n v="15.9765625"/>
    <n v="93.388333333333335"/>
    <n v="48.413825757575758"/>
    <n v="1"/>
    <n v="93.388333333333335"/>
    <x v="0"/>
    <x v="0"/>
    <s v="OK"/>
  </r>
  <r>
    <s v="SO-50916"/>
    <s v="PL-NTE"/>
    <x v="1"/>
    <s v="BOT-1020"/>
    <n v="963"/>
    <d v="2026-06-02T00:00:00"/>
    <s v="In Transit"/>
    <s v="OK"/>
    <n v="6.27"/>
    <n v="67"/>
    <n v="90"/>
    <s v="OK"/>
    <n v="2"/>
    <m/>
    <n v="14.373134328358208"/>
    <n v="25.158374999999999"/>
    <n v="43.554952510176385"/>
    <n v="1"/>
    <n v="43.554952510176385"/>
    <x v="1"/>
    <x v="0"/>
    <s v="OK"/>
  </r>
  <r>
    <s v="SO-50723"/>
    <s v="PL-CEN"/>
    <x v="8"/>
    <s v="ABA-1011"/>
    <n v="1989"/>
    <d v="2026-06-03T00:00:00"/>
    <s v="In Transit"/>
    <s v="OK"/>
    <n v="9.9499999999999993"/>
    <n v="106"/>
    <n v="376"/>
    <s v="OK"/>
    <n v="1"/>
    <m/>
    <n v="18.764150943396228"/>
    <n v="82.460624999999993"/>
    <n v="56.861063464837059"/>
    <n v="1"/>
    <n v="82.460624999999993"/>
    <x v="0"/>
    <x v="0"/>
    <s v="OK"/>
  </r>
  <r>
    <s v="SO-50542"/>
    <s v="PL-CEN"/>
    <x v="3"/>
    <s v="BOT-1008"/>
    <n v="662"/>
    <d v="2026-06-01T00:00:00"/>
    <s v="In Transit"/>
    <s v="OK"/>
    <n v="3.48"/>
    <n v="66"/>
    <n v="112"/>
    <s v="OK"/>
    <n v="3"/>
    <m/>
    <n v="10.030303030303031"/>
    <n v="9.5989999999999984"/>
    <n v="30.39485766758494"/>
    <n v="1"/>
    <n v="30.39485766758494"/>
    <x v="1"/>
    <x v="0"/>
    <s v="OK"/>
  </r>
  <r>
    <s v="SO-50675"/>
    <s v="PL-NTE"/>
    <x v="11"/>
    <s v="BEB-1011"/>
    <n v="924"/>
    <d v="2026-06-02T00:00:00"/>
    <s v="In Transit"/>
    <s v="OK"/>
    <n v="23.39"/>
    <n v="79"/>
    <n v="329"/>
    <s v="OK"/>
    <n v="2"/>
    <m/>
    <n v="11.69620253164557"/>
    <n v="90.051500000000004"/>
    <n v="35.443037974683541"/>
    <n v="1"/>
    <n v="90.051500000000004"/>
    <x v="0"/>
    <x v="0"/>
    <s v="OK"/>
  </r>
  <r>
    <s v="SO-50597"/>
    <s v="PL-CEN"/>
    <x v="13"/>
    <s v="ABA-1015"/>
    <n v="769"/>
    <d v="2026-06-03T00:00:00"/>
    <s v="In Transit"/>
    <s v="OK"/>
    <n v="8.19"/>
    <n v="82"/>
    <n v="317"/>
    <s v="OK"/>
    <n v="1"/>
    <m/>
    <n v="9.3780487804878057"/>
    <n v="26.242124999999998"/>
    <n v="28.418329637841833"/>
    <n v="1"/>
    <n v="28.418329637841833"/>
    <x v="1"/>
    <x v="0"/>
    <s v="OK"/>
  </r>
  <r>
    <s v="SO-50540"/>
    <s v="PL-CEN"/>
    <x v="9"/>
    <s v="BEB-1015"/>
    <n v="630"/>
    <d v="2026-06-02T00:00:00"/>
    <s v="In Transit"/>
    <s v="OK"/>
    <n v="19.95"/>
    <n v="78"/>
    <n v="276"/>
    <s v="OK"/>
    <n v="2"/>
    <m/>
    <n v="8.0769230769230766"/>
    <n v="52.368749999999999"/>
    <n v="24.475524475524473"/>
    <n v="1"/>
    <n v="52.368749999999999"/>
    <x v="1"/>
    <x v="0"/>
    <s v="OK"/>
  </r>
  <r>
    <s v="SO-50681"/>
    <s v="PL-SUR"/>
    <x v="6"/>
    <s v="LAC-1000"/>
    <n v="2516"/>
    <d v="2026-06-02T00:00:00"/>
    <s v="In Transit"/>
    <s v="OK"/>
    <n v="8.18"/>
    <n v="90"/>
    <n v="29"/>
    <s v="OK"/>
    <n v="2"/>
    <m/>
    <n v="27.955555555555556"/>
    <n v="85.753666666666675"/>
    <n v="84.71380471380472"/>
    <n v="1"/>
    <n v="85.753666666666675"/>
    <x v="0"/>
    <x v="0"/>
    <s v="OK"/>
  </r>
  <r>
    <s v="SO-51033"/>
    <s v="PL-SUR"/>
    <x v="6"/>
    <s v="LAC-1002"/>
    <n v="1434"/>
    <d v="2026-05-22T00:00:00"/>
    <s v="In Transit"/>
    <s v="OK"/>
    <n v="7.71"/>
    <n v="101"/>
    <n v="23"/>
    <s v="OK"/>
    <n v="13"/>
    <m/>
    <n v="14.198019801980198"/>
    <n v="46.067250000000001"/>
    <n v="43.024302430243026"/>
    <n v="1"/>
    <n v="46.067250000000001"/>
    <x v="1"/>
    <x v="1"/>
    <s v="FANTASMA"/>
  </r>
  <r>
    <s v="SO-50938"/>
    <s v="PL-CEN"/>
    <x v="3"/>
    <s v="BOT-1019"/>
    <n v="2717"/>
    <d v="2026-06-02T00:00:00"/>
    <s v="In Transit"/>
    <s v="OK"/>
    <n v="3.44"/>
    <n v="85"/>
    <n v="102"/>
    <s v="OK"/>
    <n v="2"/>
    <m/>
    <n v="31.964705882352941"/>
    <n v="38.943666666666665"/>
    <n v="96.862745098039213"/>
    <n v="1"/>
    <n v="96.862745098039213"/>
    <x v="0"/>
    <x v="0"/>
    <s v="OK"/>
  </r>
  <r>
    <s v="SO-50936"/>
    <s v="PL-SUR"/>
    <x v="7"/>
    <s v="ABA-1008"/>
    <n v="1957"/>
    <d v="2026-06-03T00:00:00"/>
    <s v="In Transit"/>
    <s v="OK"/>
    <n v="10.6"/>
    <n v="96"/>
    <n v="445"/>
    <s v="OK"/>
    <n v="1"/>
    <m/>
    <n v="20.385416666666668"/>
    <n v="86.43416666666667"/>
    <n v="61.773989898989903"/>
    <n v="1"/>
    <n v="86.43416666666667"/>
    <x v="0"/>
    <x v="0"/>
    <s v="OK"/>
  </r>
  <r>
    <s v="SO-51019"/>
    <s v="PL-CEN"/>
    <x v="8"/>
    <s v="LAC-1001"/>
    <n v="2201"/>
    <d v="2026-05-21T00:00:00"/>
    <s v="In Transit"/>
    <s v="OK"/>
    <n v="7.51"/>
    <n v="83"/>
    <n v="18"/>
    <s v="OK"/>
    <n v="14"/>
    <m/>
    <n v="26.518072289156628"/>
    <n v="68.87295833333333"/>
    <n v="80.35779481562615"/>
    <n v="1"/>
    <n v="80.35779481562615"/>
    <x v="0"/>
    <x v="1"/>
    <s v="FANTASMA"/>
  </r>
  <r>
    <s v="SO-50473"/>
    <s v="PL-SUR"/>
    <x v="0"/>
    <s v="LAC-1012"/>
    <n v="2138"/>
    <d v="2026-06-01T00:00:00"/>
    <s v="In Transit"/>
    <s v="OK"/>
    <n v="9.8699999999999992"/>
    <n v="88"/>
    <n v="25"/>
    <s v="OK"/>
    <n v="3"/>
    <m/>
    <n v="24.295454545454547"/>
    <n v="87.925249999999991"/>
    <n v="73.622589531680447"/>
    <n v="1"/>
    <n v="87.925249999999991"/>
    <x v="0"/>
    <x v="0"/>
    <s v="OK"/>
  </r>
  <r>
    <s v="SO-50765"/>
    <s v="PL-NTE"/>
    <x v="10"/>
    <s v="BEB-1006"/>
    <n v="327"/>
    <d v="2026-06-03T00:00:00"/>
    <s v="In Transit"/>
    <s v="OK"/>
    <n v="17.18"/>
    <n v="81"/>
    <n v="293"/>
    <s v="OK"/>
    <n v="1"/>
    <m/>
    <n v="4.0370370370370372"/>
    <n v="23.40775"/>
    <n v="12.233445566778901"/>
    <n v="1"/>
    <n v="23.40775"/>
    <x v="1"/>
    <x v="0"/>
    <s v="OK"/>
  </r>
  <r>
    <s v="SO-50990"/>
    <s v="PL-SUR"/>
    <x v="12"/>
    <s v="PRO-1000"/>
    <n v="1586"/>
    <d v="2026-06-02T00:00:00"/>
    <s v="In Transit"/>
    <s v="OK"/>
    <n v="12.51"/>
    <n v="73"/>
    <n v="75"/>
    <s v="OK"/>
    <n v="2"/>
    <m/>
    <n v="21.726027397260275"/>
    <n v="82.670249999999996"/>
    <n v="65.836446658364466"/>
    <n v="1"/>
    <n v="82.670249999999996"/>
    <x v="0"/>
    <x v="0"/>
    <s v="OK"/>
  </r>
  <r>
    <s v="SO-50485"/>
    <s v="PL-NTE"/>
    <x v="11"/>
    <s v="BOT-1017"/>
    <n v="558"/>
    <d v="2026-06-03T00:00:00"/>
    <s v="Delivered"/>
    <s v="OK"/>
    <n v="3.75"/>
    <n v="41"/>
    <n v="106"/>
    <s v="OK"/>
    <n v="1"/>
    <m/>
    <n v="13.609756097560975"/>
    <n v="8.71875"/>
    <n v="41.241685144124169"/>
    <n v="1"/>
    <n v="41.241685144124169"/>
    <x v="1"/>
    <x v="0"/>
    <s v="OK"/>
  </r>
  <r>
    <s v="SO-50480"/>
    <s v="PL-CEN"/>
    <x v="5"/>
    <s v="BOT-1006"/>
    <n v="507"/>
    <d v="2026-06-03T00:00:00"/>
    <s v="In Transit"/>
    <s v="OK"/>
    <n v="4.24"/>
    <n v="41"/>
    <n v="111"/>
    <s v="OK"/>
    <n v="1"/>
    <m/>
    <n v="12.365853658536585"/>
    <n v="8.9570000000000007"/>
    <n v="37.472283813747225"/>
    <n v="1"/>
    <n v="37.472283813747225"/>
    <x v="1"/>
    <x v="0"/>
    <s v="OK"/>
  </r>
  <r>
    <s v="SO-50905"/>
    <s v="PL-NTE"/>
    <x v="14"/>
    <s v="BOT-1019"/>
    <n v="2301"/>
    <d v="2026-06-03T00:00:00"/>
    <s v="In Transit"/>
    <s v="OK"/>
    <n v="3.44"/>
    <n v="85"/>
    <n v="102"/>
    <s v="OK"/>
    <n v="1"/>
    <m/>
    <n v="27.070588235294117"/>
    <n v="32.981000000000002"/>
    <n v="82.032085561497325"/>
    <n v="1"/>
    <n v="82.032085561497325"/>
    <x v="0"/>
    <x v="0"/>
    <s v="OK"/>
  </r>
  <r>
    <s v="SO-50492"/>
    <s v="PL-CEN"/>
    <x v="8"/>
    <s v="BOT-1012"/>
    <n v="1831"/>
    <d v="2026-06-03T00:00:00"/>
    <s v="In Transit"/>
    <s v="OK"/>
    <n v="4.26"/>
    <n v="68"/>
    <n v="117"/>
    <s v="OK"/>
    <n v="1"/>
    <m/>
    <n v="26.926470588235293"/>
    <n v="32.500249999999994"/>
    <n v="81.595365418894829"/>
    <n v="1"/>
    <n v="81.595365418894829"/>
    <x v="0"/>
    <x v="0"/>
    <s v="OK"/>
  </r>
  <r>
    <s v="SO-50503"/>
    <s v="PL-SUR"/>
    <x v="4"/>
    <s v="PRO-1002"/>
    <n v="2062"/>
    <d v="2026-06-02T00:00:00"/>
    <s v="In Transit"/>
    <s v="OK"/>
    <n v="9.6999999999999993"/>
    <n v="98"/>
    <n v="115"/>
    <s v="OK"/>
    <n v="2"/>
    <m/>
    <n v="21.040816326530614"/>
    <n v="83.339166666666657"/>
    <n v="63.76004947433519"/>
    <n v="1"/>
    <n v="83.339166666666657"/>
    <x v="0"/>
    <x v="0"/>
    <s v="OK"/>
  </r>
  <r>
    <s v="SO-50357"/>
    <s v="PL-CEN"/>
    <x v="13"/>
    <s v="ABA-1004"/>
    <n v="1723"/>
    <d v="2026-06-03T00:00:00"/>
    <s v="In Transit"/>
    <s v="OK"/>
    <n v="12.85"/>
    <n v="91"/>
    <n v="297"/>
    <s v="OK"/>
    <n v="1"/>
    <m/>
    <n v="18.934065934065934"/>
    <n v="92.252291666666665"/>
    <n v="57.375957375957377"/>
    <n v="1"/>
    <n v="92.252291666666665"/>
    <x v="0"/>
    <x v="0"/>
    <s v="OK"/>
  </r>
  <r>
    <s v="SO-50961"/>
    <s v="PL-CEN"/>
    <x v="9"/>
    <s v="ABA-1000"/>
    <n v="1527"/>
    <d v="2026-06-03T00:00:00"/>
    <s v="In Transit"/>
    <s v="OK"/>
    <n v="15.2"/>
    <n v="135"/>
    <n v="361"/>
    <s v="OK"/>
    <n v="1"/>
    <m/>
    <n v="11.311111111111112"/>
    <n v="96.71"/>
    <n v="34.276094276094277"/>
    <n v="1"/>
    <n v="96.71"/>
    <x v="0"/>
    <x v="0"/>
    <s v="OK"/>
  </r>
  <r>
    <s v="SO-50813"/>
    <s v="PL-NTE"/>
    <x v="2"/>
    <s v="LAC-1009"/>
    <n v="668"/>
    <d v="2026-06-03T00:00:00"/>
    <s v="In Transit"/>
    <s v="OK"/>
    <n v="11.01"/>
    <n v="98"/>
    <n v="16"/>
    <s v="OK"/>
    <n v="1"/>
    <m/>
    <n v="6.8163265306122449"/>
    <n v="30.644500000000001"/>
    <n v="20.655534941249226"/>
    <n v="1"/>
    <n v="30.644500000000001"/>
    <x v="1"/>
    <x v="0"/>
    <s v="OK"/>
  </r>
  <r>
    <s v="SO-50133"/>
    <s v="PL-CEN"/>
    <x v="8"/>
    <s v="ABA-1007"/>
    <n v="611"/>
    <d v="2026-06-03T00:00:00"/>
    <s v="In Transit"/>
    <s v="OK"/>
    <n v="9.7899999999999991"/>
    <n v="123"/>
    <n v="334"/>
    <s v="OK"/>
    <n v="1"/>
    <m/>
    <n v="4.9674796747967482"/>
    <n v="24.92370833333333"/>
    <n v="15.052968711505299"/>
    <n v="1"/>
    <n v="24.92370833333333"/>
    <x v="1"/>
    <x v="0"/>
    <s v="OK"/>
  </r>
  <r>
    <s v="SO-50886"/>
    <s v="PL-NTE"/>
    <x v="2"/>
    <s v="BEB-1000"/>
    <n v="1170"/>
    <d v="2026-06-03T00:00:00"/>
    <s v="In Transit"/>
    <s v="OK"/>
    <n v="16.489999999999998"/>
    <n v="102"/>
    <n v="315"/>
    <s v="OK"/>
    <n v="1"/>
    <m/>
    <n v="11.470588235294118"/>
    <n v="80.388750000000002"/>
    <n v="34.759358288770052"/>
    <n v="1"/>
    <n v="80.388750000000002"/>
    <x v="0"/>
    <x v="0"/>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FB49C2-5BF1-4018-BD50-BE58D9F7E936}"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25" firstHeaderRow="1" firstDataRow="1" firstDataCol="1"/>
  <pivotFields count="22">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1"/>
        <item x="2"/>
        <item x="0"/>
        <item t="default"/>
      </items>
    </pivotField>
    <pivotField showAll="0"/>
  </pivotFields>
  <rowFields count="1">
    <field x="20"/>
  </rowFields>
  <rowItems count="4">
    <i>
      <x/>
    </i>
    <i>
      <x v="1"/>
    </i>
    <i>
      <x v="2"/>
    </i>
    <i t="grand">
      <x/>
    </i>
  </rowItems>
  <colItems count="1">
    <i/>
  </colItems>
  <dataFields count="1">
    <dataField name="Count of FEFO_Flag"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399266-8A0B-4CD3-8C0C-7AA6ADEBEFDF}"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Estado de Carga">
  <location ref="A4:B8" firstHeaderRow="1" firstDataRow="1" firstDataCol="1"/>
  <pivotFields count="22">
    <pivotField showAll="0"/>
    <pivotField showAll="0"/>
    <pivotField showAll="0">
      <items count="16">
        <item x="6"/>
        <item x="13"/>
        <item x="11"/>
        <item x="7"/>
        <item x="1"/>
        <item x="4"/>
        <item x="0"/>
        <item x="12"/>
        <item x="14"/>
        <item x="8"/>
        <item x="9"/>
        <item x="2"/>
        <item x="10"/>
        <item x="5"/>
        <item x="3"/>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1"/>
        <item x="2"/>
        <item x="0"/>
        <item t="default"/>
      </items>
    </pivotField>
    <pivotField showAll="0"/>
    <pivotField showAll="0"/>
  </pivotFields>
  <rowFields count="1">
    <field x="19"/>
  </rowFields>
  <rowItems count="4">
    <i>
      <x/>
    </i>
    <i>
      <x v="1"/>
    </i>
    <i>
      <x v="2"/>
    </i>
    <i t="grand">
      <x/>
    </i>
  </rowItems>
  <colItems count="1">
    <i/>
  </colItems>
  <dataFields count="1">
    <dataField name="Órdenes" fld="19"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9" count="1" selected="0">
            <x v="0"/>
          </reference>
        </references>
      </pivotArea>
    </chartFormat>
    <chartFormat chart="0" format="2">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5" xr16:uid="{2CF01719-0153-4EA3-B72D-82A0263FCE44}" autoFormatId="16" applyNumberFormats="0" applyBorderFormats="0" applyFontFormats="0" applyPatternFormats="0" applyAlignmentFormats="0" applyWidthHeightFormats="0">
  <queryTableRefresh nextId="19">
    <queryTableFields count="13">
      <queryTableField id="1" name="Order_ID" tableColumnId="1"/>
      <queryTableField id="2" name="Origin" tableColumnId="2"/>
      <queryTableField id="3" name="Destination" tableColumnId="3"/>
      <queryTableField id="4" name="Item_Code" tableColumnId="4"/>
      <queryTableField id="5" name="Quantity" tableColumnId="5"/>
      <queryTableField id="6" name="Dispatch_Date" tableColumnId="6"/>
      <queryTableField id="7" name="SAP_Status" tableColumnId="7"/>
      <queryTableField id="8" name="Qty_Quality" tableColumnId="8"/>
      <queryTableField id="12" name="Weight_kg" tableColumnId="12"/>
      <queryTableField id="13" name="Units_Per_Pallet" tableColumnId="13"/>
      <queryTableField id="14" name="Shelf_Life_Days" tableColumnId="14"/>
      <queryTableField id="11" name="Match_Status" tableColumnId="11"/>
      <queryTableField id="15" name="Dias_En_Transito"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BEEE2E5F-213E-484E-BA27-EA895876F57D}" autoFormatId="16" applyNumberFormats="0" applyBorderFormats="0" applyFontFormats="0" applyPatternFormats="0" applyAlignmentFormats="0" applyWidthHeightFormats="0">
  <queryTableRefresh nextId="4">
    <queryTableFields count="3">
      <queryTableField id="1" name="Plant" tableColumnId="1"/>
      <queryTableField id="2" name="Item_Code" tableColumnId="2"/>
      <queryTableField id="3" name="Available_Supply"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8C450E1B-00A3-42E6-B331-30E7854C0AE4}" autoFormatId="16" applyNumberFormats="0" applyBorderFormats="0" applyFontFormats="0" applyPatternFormats="0" applyAlignmentFormats="0" applyWidthHeightFormats="0">
  <queryTableRefresh nextId="9">
    <queryTableFields count="8">
      <queryTableField id="1" name="Order_ID" tableColumnId="1"/>
      <queryTableField id="2" name="Origin" tableColumnId="2"/>
      <queryTableField id="3" name="Destination" tableColumnId="3"/>
      <queryTableField id="4" name="Item_Code" tableColumnId="4"/>
      <queryTableField id="5" name="Quantity" tableColumnId="5"/>
      <queryTableField id="6" name="Dispatch_Date" tableColumnId="6"/>
      <queryTableField id="7" name="SAP_Status" tableColumnId="7"/>
      <queryTableField id="8" name="Qty_Quality"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 xr16:uid="{5ED90E24-EFC6-4A65-818D-44788FA516DF}" autoFormatId="16" applyNumberFormats="0" applyBorderFormats="0" applyFontFormats="0" applyPatternFormats="0" applyAlignmentFormats="0" applyWidthHeightFormats="0">
  <queryTableRefresh nextId="9">
    <queryTableFields count="8">
      <queryTableField id="1" name="DC" tableColumnId="1"/>
      <queryTableField id="2" name="Item_Code" tableColumnId="2"/>
      <queryTableField id="3" name="Current_Inventory" tableColumnId="3"/>
      <queryTableField id="4" name="Avg_Daily_Demand" tableColumnId="4"/>
      <queryTableField id="5" name="Demand_StdDev" tableColumnId="5"/>
      <queryTableField id="6" name="Lead_Time_Days" tableColumnId="6"/>
      <queryTableField id="7" name="Lead_Time_StdDev" tableColumnId="7"/>
      <queryTableField id="8" name="Inv_Quality"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3527DFC0-A137-4A91-8953-0D8E38D1189B}" autoFormatId="16" applyNumberFormats="0" applyBorderFormats="0" applyFontFormats="0" applyPatternFormats="0" applyAlignmentFormats="0" applyWidthHeightFormats="0">
  <queryTableRefresh nextId="9">
    <queryTableFields count="6">
      <queryTableField id="1" name="Item_Code" tableColumnId="1"/>
      <queryTableField id="2" name="Description" tableColumnId="2"/>
      <queryTableField id="3" name="Category" tableColumnId="3"/>
      <queryTableField id="4" name="Weight_kg" tableColumnId="4"/>
      <queryTableField id="7" name="Units_Per_Pallet" tableColumnId="7"/>
      <queryTableField id="6" name="Shelf_Life_Days"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 xr10:uid="{486ED7D6-7A9C-48F6-B573-E491E4DA7380}" sourceName="Destination">
  <pivotTables>
    <pivotTable tabId="16" name="PivotTable1"/>
  </pivotTables>
  <data>
    <tabular pivotCacheId="1678688070">
      <items count="15">
        <i x="6" s="1"/>
        <i x="13" s="1"/>
        <i x="11" s="1"/>
        <i x="7" s="1"/>
        <i x="1" s="1"/>
        <i x="4" s="1"/>
        <i x="0" s="1"/>
        <i x="12" s="1"/>
        <i x="14" s="1"/>
        <i x="8" s="1"/>
        <i x="9" s="1"/>
        <i x="2" s="1"/>
        <i x="10"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tination" xr10:uid="{6EC1BF22-3906-4BFD-8545-61CBC36A1E8F}" cache="Slicer_Destination" caption="Destination" style="SlicerStyleOther2" rowHeight="2492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1BAF1A5-7A65-4697-8154-A24A97985CE3}" name="Transit_Enriched" displayName="Transit_Enriched" ref="A1:M1106" tableType="queryTable" totalsRowShown="0">
  <autoFilter ref="A1:M1106" xr:uid="{71BAF1A5-7A65-4697-8154-A24A97985CE3}"/>
  <tableColumns count="13">
    <tableColumn id="1" xr3:uid="{12FCFDDD-9C32-4345-B0D0-2807E15416A0}" uniqueName="1" name="Order_ID" queryTableFieldId="1" dataDxfId="20"/>
    <tableColumn id="2" xr3:uid="{3E96DED5-7633-4C4C-9B89-60633B5AB68A}" uniqueName="2" name="Origin" queryTableFieldId="2" dataDxfId="19"/>
    <tableColumn id="3" xr3:uid="{603635B1-9BEB-4D32-9DC7-85F2884E0FBA}" uniqueName="3" name="Destination" queryTableFieldId="3" dataDxfId="18"/>
    <tableColumn id="4" xr3:uid="{F21C0371-8D78-49AC-8E86-31D6ACB9852A}" uniqueName="4" name="Item_Code" queryTableFieldId="4" dataDxfId="17"/>
    <tableColumn id="5" xr3:uid="{947DA496-2047-40A5-BBFB-EE70CA2539DE}" uniqueName="5" name="Quantity" queryTableFieldId="5"/>
    <tableColumn id="6" xr3:uid="{228374B0-B073-4348-B15E-934BDF34A42F}" uniqueName="6" name="Dispatch_Date" queryTableFieldId="6" dataDxfId="4"/>
    <tableColumn id="7" xr3:uid="{B2C08DBD-A051-45F9-BAEC-C2AF42D151C7}" uniqueName="7" name="SAP_Status" queryTableFieldId="7" dataDxfId="16"/>
    <tableColumn id="8" xr3:uid="{6163654F-A221-4A01-85DC-DB349688A019}" uniqueName="8" name="Qty_Quality" queryTableFieldId="8"/>
    <tableColumn id="12" xr3:uid="{77B5A564-F9A6-46C5-A614-BA978B70815A}" uniqueName="12" name="Weight_kg" queryTableFieldId="12"/>
    <tableColumn id="13" xr3:uid="{BD31C25D-3E37-470D-A358-21E3076A98AA}" uniqueName="13" name="Units_Per_Pallet" queryTableFieldId="13"/>
    <tableColumn id="14" xr3:uid="{7F7DF46B-5708-48D4-9469-EBB212CBE09B}" uniqueName="14" name="Shelf_Life_Days" queryTableFieldId="14"/>
    <tableColumn id="11" xr3:uid="{7A3C96D3-9776-42B0-BE8F-998C5B67240D}" uniqueName="11" name="Match_Status" queryTableFieldId="11"/>
    <tableColumn id="15" xr3:uid="{635C659A-B5F6-4631-BFBF-123DC450FCE9}" uniqueName="15" name="Dias_En_Transito"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B0B104-BB94-46E5-B4C7-107C4A77B1B3}" name="Supply_Clean" displayName="Supply_Clean" ref="A1:C101" tableType="queryTable" totalsRowShown="0">
  <autoFilter ref="A1:C101" xr:uid="{54B0B104-BB94-46E5-B4C7-107C4A77B1B3}"/>
  <tableColumns count="3">
    <tableColumn id="1" xr3:uid="{7E6103BE-D37E-4116-86E4-11546BA15767}" uniqueName="1" name="Plant" queryTableFieldId="1" dataDxfId="3"/>
    <tableColumn id="2" xr3:uid="{CA3A387A-68E7-46C6-82E6-F47399E58905}" uniqueName="2" name="Item_Code" queryTableFieldId="2" dataDxfId="2"/>
    <tableColumn id="3" xr3:uid="{C12ACE89-1C51-438E-BAF4-52467067FC57}" uniqueName="3" name="Available_Supply" queryTableField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00F69BA-5EEF-4805-8EDF-13DA49EF9B61}" name="Transit_Clean" displayName="Transit_Clean" ref="A1:H1106" tableType="queryTable" totalsRowShown="0">
  <autoFilter ref="A1:H1106" xr:uid="{E00F69BA-5EEF-4805-8EDF-13DA49EF9B61}"/>
  <tableColumns count="8">
    <tableColumn id="1" xr3:uid="{E24C9152-169F-494B-8E30-F5FEF19419F0}" uniqueName="1" name="Order_ID" queryTableFieldId="1" dataDxfId="15"/>
    <tableColumn id="2" xr3:uid="{0B003E63-4B9D-4842-86ED-4EAA118EB42B}" uniqueName="2" name="Origin" queryTableFieldId="2" dataDxfId="14"/>
    <tableColumn id="3" xr3:uid="{A24B6B77-26FC-4CC2-9B65-356B3D62655A}" uniqueName="3" name="Destination" queryTableFieldId="3" dataDxfId="13"/>
    <tableColumn id="4" xr3:uid="{87AE42C9-E812-456C-A062-D24FA1DBED70}" uniqueName="4" name="Item_Code" queryTableFieldId="4" dataDxfId="12"/>
    <tableColumn id="5" xr3:uid="{84935C0B-A73B-4696-96A2-5ADC6EAF40F6}" uniqueName="5" name="Quantity" queryTableFieldId="5"/>
    <tableColumn id="6" xr3:uid="{8B702E61-83E9-4E0A-9D7A-08A2FE7CC3FC}" uniqueName="6" name="Dispatch_Date" queryTableFieldId="6" dataDxfId="11"/>
    <tableColumn id="7" xr3:uid="{45355A0C-DAF3-45D4-9723-6DCF32242B3E}" uniqueName="7" name="SAP_Status" queryTableFieldId="7" dataDxfId="10"/>
    <tableColumn id="8" xr3:uid="{661E5B67-EA29-49DA-9312-8F4EBD7CF340}" uniqueName="8" name="Qty_Quality" queryTableFieldId="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7E61ED-E529-4C9B-913E-F1D23C3390A5}" name="Inventory_Clean" displayName="Inventory_Clean" ref="A1:H1501" tableType="queryTable" totalsRowShown="0">
  <autoFilter ref="A1:H1501" xr:uid="{E87E61ED-E529-4C9B-913E-F1D23C3390A5}"/>
  <tableColumns count="8">
    <tableColumn id="1" xr3:uid="{FA93D241-58C9-4E8C-B078-689ADFFDA7D5}" uniqueName="1" name="DC" queryTableFieldId="1" dataDxfId="9"/>
    <tableColumn id="2" xr3:uid="{69FE5B29-B377-44B1-B126-1434210A5047}" uniqueName="2" name="Item_Code" queryTableFieldId="2" dataDxfId="8"/>
    <tableColumn id="3" xr3:uid="{6E73FAD1-B924-453C-8158-B00DE8FD2605}" uniqueName="3" name="Current_Inventory" queryTableFieldId="3"/>
    <tableColumn id="4" xr3:uid="{81E201A2-2829-4789-AB52-783DC9290DBC}" uniqueName="4" name="Avg_Daily_Demand" queryTableFieldId="4"/>
    <tableColumn id="5" xr3:uid="{C9E3CE1D-B435-4BBA-803F-ADAF778521FA}" uniqueName="5" name="Demand_StdDev" queryTableFieldId="5"/>
    <tableColumn id="6" xr3:uid="{51CED366-2CD9-4DF5-B129-BB08DEDCF3EA}" uniqueName="6" name="Lead_Time_Days" queryTableFieldId="6"/>
    <tableColumn id="7" xr3:uid="{894DE458-09DA-4C6F-A1AB-9DCD90282B26}" uniqueName="7" name="Lead_Time_StdDev" queryTableFieldId="7"/>
    <tableColumn id="8" xr3:uid="{768D446C-9801-4EDF-922E-119A6D518C60}" uniqueName="8" name="Inv_Quality" queryTableFieldId="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AFB770-06BD-45A9-BF44-D0A241CDE2CF}" name="Master_Clean" displayName="Master_Clean" ref="A1:F101" tableType="queryTable" totalsRowShown="0">
  <autoFilter ref="A1:F101" xr:uid="{01AFB770-06BD-45A9-BF44-D0A241CDE2CF}"/>
  <tableColumns count="6">
    <tableColumn id="1" xr3:uid="{904A52B1-18FB-4BA7-AF8D-0AAC68FD0E94}" uniqueName="1" name="Item_Code" queryTableFieldId="1" dataDxfId="7"/>
    <tableColumn id="2" xr3:uid="{E46BD0B1-5D81-41DB-ACE0-994A04687859}" uniqueName="2" name="Description" queryTableFieldId="2" dataDxfId="6"/>
    <tableColumn id="3" xr3:uid="{CBEBC7A0-42A3-4944-94DD-821C6B2BDA81}" uniqueName="3" name="Category" queryTableFieldId="3" dataDxfId="5"/>
    <tableColumn id="4" xr3:uid="{EAB79CC6-7DA9-45DA-AEF8-0B69989217FC}" uniqueName="4" name="Weight_kg" queryTableFieldId="4"/>
    <tableColumn id="7" xr3:uid="{ED1C712C-C0B0-4E78-832F-B8CDBE9B371E}" uniqueName="7" name="Units_Per_Pallet" queryTableFieldId="7"/>
    <tableColumn id="6" xr3:uid="{AA84EC4C-0896-4F27-83D9-CD3DFB1F6995}" uniqueName="6" name="Shelf_Life_Days"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C51F5-DA45-43A4-A140-049CC6481E53}">
  <dimension ref="A1:U31"/>
  <sheetViews>
    <sheetView tabSelected="1" topLeftCell="C1" zoomScale="65" workbookViewId="0">
      <selection activeCell="O24" sqref="O24"/>
    </sheetView>
  </sheetViews>
  <sheetFormatPr defaultRowHeight="14.25" x14ac:dyDescent="0.45"/>
  <cols>
    <col min="1" max="1" width="18.796875" hidden="1" customWidth="1"/>
    <col min="2" max="2" width="7.73046875" hidden="1" customWidth="1"/>
    <col min="4" max="4" width="41.86328125" bestFit="1" customWidth="1"/>
    <col min="6" max="6" width="33.3984375" bestFit="1" customWidth="1"/>
    <col min="8" max="8" width="37.33203125" bestFit="1" customWidth="1"/>
    <col min="10" max="10" width="23.46484375" bestFit="1" customWidth="1"/>
  </cols>
  <sheetData>
    <row r="1" spans="1:18" ht="26.65" x14ac:dyDescent="0.85">
      <c r="D1" s="13" t="s">
        <v>1391</v>
      </c>
      <c r="E1" s="13"/>
      <c r="F1" s="13"/>
      <c r="G1" s="13"/>
      <c r="H1" s="13"/>
      <c r="I1" s="13"/>
      <c r="J1" s="13"/>
      <c r="K1" s="13"/>
      <c r="L1" s="13"/>
      <c r="M1" s="13"/>
    </row>
    <row r="2" spans="1:18" ht="18" x14ac:dyDescent="0.55000000000000004">
      <c r="D2" s="9" t="s">
        <v>1387</v>
      </c>
      <c r="E2" s="5"/>
      <c r="F2" s="9" t="s">
        <v>1388</v>
      </c>
      <c r="G2" s="5"/>
      <c r="H2" s="9" t="s">
        <v>1389</v>
      </c>
      <c r="I2" s="5"/>
      <c r="J2" s="9" t="s">
        <v>1390</v>
      </c>
    </row>
    <row r="3" spans="1:18" ht="41.65" x14ac:dyDescent="1.25">
      <c r="D3" s="10">
        <f>Excepciones!B2</f>
        <v>361</v>
      </c>
      <c r="F3" s="11">
        <f>Excepciones!B3</f>
        <v>45</v>
      </c>
      <c r="H3" s="11">
        <f>Excepciones!B4</f>
        <v>51</v>
      </c>
      <c r="J3" s="12">
        <f>Excepciones!B5</f>
        <v>12</v>
      </c>
    </row>
    <row r="4" spans="1:18" x14ac:dyDescent="0.45">
      <c r="A4" s="3" t="s">
        <v>1383</v>
      </c>
      <c r="B4" t="s">
        <v>1384</v>
      </c>
    </row>
    <row r="5" spans="1:18" x14ac:dyDescent="0.45">
      <c r="A5" s="4" t="s">
        <v>1380</v>
      </c>
      <c r="B5" s="2">
        <v>361</v>
      </c>
    </row>
    <row r="6" spans="1:18" x14ac:dyDescent="0.45">
      <c r="A6" s="4" t="s">
        <v>1381</v>
      </c>
      <c r="B6" s="2">
        <v>12</v>
      </c>
    </row>
    <row r="7" spans="1:18" x14ac:dyDescent="0.45">
      <c r="A7" s="4" t="s">
        <v>1210</v>
      </c>
      <c r="B7" s="2">
        <v>732</v>
      </c>
    </row>
    <row r="8" spans="1:18" ht="41.65" x14ac:dyDescent="1.25">
      <c r="A8" s="4" t="s">
        <v>1382</v>
      </c>
      <c r="B8" s="2">
        <v>1105</v>
      </c>
      <c r="Q8" s="6"/>
    </row>
    <row r="10" spans="1:18" x14ac:dyDescent="0.45">
      <c r="R10" s="8"/>
    </row>
    <row r="21" spans="1:21" x14ac:dyDescent="0.45">
      <c r="A21" s="3" t="s">
        <v>1379</v>
      </c>
      <c r="B21" t="s">
        <v>1386</v>
      </c>
    </row>
    <row r="22" spans="1:21" x14ac:dyDescent="0.45">
      <c r="A22" s="4" t="s">
        <v>1385</v>
      </c>
      <c r="B22" s="2">
        <v>45</v>
      </c>
    </row>
    <row r="23" spans="1:21" ht="18" x14ac:dyDescent="0.55000000000000004">
      <c r="A23" s="4" t="s">
        <v>1381</v>
      </c>
      <c r="B23" s="2">
        <v>12</v>
      </c>
      <c r="O23" s="7"/>
    </row>
    <row r="24" spans="1:21" x14ac:dyDescent="0.45">
      <c r="A24" s="4" t="s">
        <v>1210</v>
      </c>
      <c r="B24" s="2">
        <v>1048</v>
      </c>
    </row>
    <row r="25" spans="1:21" x14ac:dyDescent="0.45">
      <c r="A25" s="4" t="s">
        <v>1382</v>
      </c>
      <c r="B25" s="2">
        <v>1105</v>
      </c>
    </row>
    <row r="31" spans="1:21" x14ac:dyDescent="0.45">
      <c r="U31" s="8"/>
    </row>
  </sheetData>
  <mergeCells count="1">
    <mergeCell ref="D1:M1"/>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3EB73-6ACD-461D-858D-E777DB094724}">
  <dimension ref="A1:M1106"/>
  <sheetViews>
    <sheetView zoomScale="55" workbookViewId="0">
      <selection activeCell="N27" sqref="N27"/>
    </sheetView>
  </sheetViews>
  <sheetFormatPr defaultRowHeight="14.25" x14ac:dyDescent="0.45"/>
  <cols>
    <col min="1" max="1" width="12.1328125" bestFit="1" customWidth="1"/>
    <col min="2" max="2" width="9.86328125" bestFit="1" customWidth="1"/>
    <col min="3" max="3" width="14.3984375" bestFit="1" customWidth="1"/>
    <col min="4" max="4" width="13.796875" bestFit="1" customWidth="1"/>
    <col min="5" max="5" width="12" bestFit="1" customWidth="1"/>
    <col min="6" max="6" width="16.9296875" bestFit="1" customWidth="1"/>
    <col min="7" max="7" width="14.3984375" bestFit="1" customWidth="1"/>
    <col min="8" max="8" width="14.53125" bestFit="1" customWidth="1"/>
    <col min="9" max="9" width="13.265625" bestFit="1" customWidth="1"/>
    <col min="10" max="10" width="18.3984375" bestFit="1" customWidth="1"/>
    <col min="11" max="11" width="17.9296875" bestFit="1" customWidth="1"/>
    <col min="12" max="12" width="16.19921875" bestFit="1" customWidth="1"/>
    <col min="13" max="13" width="18.796875" bestFit="1" customWidth="1"/>
    <col min="14" max="14" width="26.19921875" bestFit="1" customWidth="1"/>
    <col min="15" max="15" width="13.6640625" bestFit="1" customWidth="1"/>
  </cols>
  <sheetData>
    <row r="1" spans="1:13" x14ac:dyDescent="0.45">
      <c r="A1" t="s">
        <v>111</v>
      </c>
      <c r="B1" t="s">
        <v>1213</v>
      </c>
      <c r="C1" t="s">
        <v>112</v>
      </c>
      <c r="D1" t="s">
        <v>0</v>
      </c>
      <c r="E1" t="s">
        <v>113</v>
      </c>
      <c r="F1" t="s">
        <v>1214</v>
      </c>
      <c r="G1" t="s">
        <v>1215</v>
      </c>
      <c r="H1" t="s">
        <v>1216</v>
      </c>
      <c r="I1" t="s">
        <v>3</v>
      </c>
      <c r="J1" t="s">
        <v>1354</v>
      </c>
      <c r="K1" t="s">
        <v>4</v>
      </c>
      <c r="L1" t="s">
        <v>1352</v>
      </c>
      <c r="M1" t="s">
        <v>1360</v>
      </c>
    </row>
    <row r="2" spans="1:13" x14ac:dyDescent="0.45">
      <c r="A2" t="s">
        <v>114</v>
      </c>
      <c r="B2" t="s">
        <v>1217</v>
      </c>
      <c r="C2" t="s">
        <v>1114</v>
      </c>
      <c r="D2" t="s">
        <v>67</v>
      </c>
      <c r="E2">
        <v>2260</v>
      </c>
      <c r="F2" s="1">
        <v>46173</v>
      </c>
      <c r="G2" t="s">
        <v>1219</v>
      </c>
      <c r="H2" t="s">
        <v>1210</v>
      </c>
      <c r="I2">
        <v>8.32</v>
      </c>
      <c r="J2">
        <v>98</v>
      </c>
      <c r="K2">
        <v>16</v>
      </c>
      <c r="L2" t="s">
        <v>1210</v>
      </c>
      <c r="M2">
        <v>4</v>
      </c>
    </row>
    <row r="3" spans="1:13" x14ac:dyDescent="0.45">
      <c r="A3" t="s">
        <v>202</v>
      </c>
      <c r="B3" t="s">
        <v>1225</v>
      </c>
      <c r="C3" t="s">
        <v>1125</v>
      </c>
      <c r="D3" t="s">
        <v>67</v>
      </c>
      <c r="E3">
        <v>2769</v>
      </c>
      <c r="F3" s="1">
        <v>46175</v>
      </c>
      <c r="G3" t="s">
        <v>1221</v>
      </c>
      <c r="H3" t="s">
        <v>1210</v>
      </c>
      <c r="I3">
        <v>8.32</v>
      </c>
      <c r="J3">
        <v>98</v>
      </c>
      <c r="K3">
        <v>16</v>
      </c>
      <c r="L3" t="s">
        <v>1210</v>
      </c>
      <c r="M3">
        <v>2</v>
      </c>
    </row>
    <row r="4" spans="1:13" x14ac:dyDescent="0.45">
      <c r="A4" t="s">
        <v>173</v>
      </c>
      <c r="B4" t="s">
        <v>1225</v>
      </c>
      <c r="C4" t="s">
        <v>1128</v>
      </c>
      <c r="D4" t="s">
        <v>5</v>
      </c>
      <c r="E4">
        <v>2157</v>
      </c>
      <c r="F4" s="1">
        <v>46175</v>
      </c>
      <c r="G4" t="s">
        <v>1219</v>
      </c>
      <c r="H4" t="s">
        <v>1210</v>
      </c>
      <c r="I4">
        <v>10.6</v>
      </c>
      <c r="J4">
        <v>96</v>
      </c>
      <c r="K4">
        <v>445</v>
      </c>
      <c r="L4" t="s">
        <v>1210</v>
      </c>
      <c r="M4">
        <v>2</v>
      </c>
    </row>
    <row r="5" spans="1:13" x14ac:dyDescent="0.45">
      <c r="A5" t="s">
        <v>195</v>
      </c>
      <c r="B5" t="s">
        <v>1223</v>
      </c>
      <c r="C5" t="s">
        <v>1127</v>
      </c>
      <c r="D5" t="s">
        <v>5</v>
      </c>
      <c r="E5">
        <v>2130</v>
      </c>
      <c r="F5" s="1">
        <v>46174</v>
      </c>
      <c r="G5" t="s">
        <v>1219</v>
      </c>
      <c r="H5" t="s">
        <v>1210</v>
      </c>
      <c r="I5">
        <v>10.6</v>
      </c>
      <c r="J5">
        <v>96</v>
      </c>
      <c r="K5">
        <v>445</v>
      </c>
      <c r="L5" t="s">
        <v>1210</v>
      </c>
      <c r="M5">
        <v>3</v>
      </c>
    </row>
    <row r="6" spans="1:13" x14ac:dyDescent="0.45">
      <c r="A6" t="s">
        <v>115</v>
      </c>
      <c r="B6" t="s">
        <v>1217</v>
      </c>
      <c r="C6" t="s">
        <v>1115</v>
      </c>
      <c r="D6" t="s">
        <v>24</v>
      </c>
      <c r="E6">
        <v>1998</v>
      </c>
      <c r="F6" s="1">
        <v>46175</v>
      </c>
      <c r="G6" t="s">
        <v>1221</v>
      </c>
      <c r="H6" t="s">
        <v>1210</v>
      </c>
      <c r="I6">
        <v>6.95</v>
      </c>
      <c r="J6">
        <v>66</v>
      </c>
      <c r="K6">
        <v>95</v>
      </c>
      <c r="L6" t="s">
        <v>1210</v>
      </c>
      <c r="M6">
        <v>2</v>
      </c>
    </row>
    <row r="7" spans="1:13" x14ac:dyDescent="0.45">
      <c r="A7" t="s">
        <v>131</v>
      </c>
      <c r="B7" t="s">
        <v>1223</v>
      </c>
      <c r="C7" t="s">
        <v>1117</v>
      </c>
      <c r="D7" t="s">
        <v>24</v>
      </c>
      <c r="E7">
        <v>2091</v>
      </c>
      <c r="F7" s="1">
        <v>46170</v>
      </c>
      <c r="G7" t="s">
        <v>1219</v>
      </c>
      <c r="H7" t="s">
        <v>1210</v>
      </c>
      <c r="I7">
        <v>6.95</v>
      </c>
      <c r="J7">
        <v>66</v>
      </c>
      <c r="K7">
        <v>95</v>
      </c>
      <c r="L7" t="s">
        <v>1210</v>
      </c>
      <c r="M7">
        <v>7</v>
      </c>
    </row>
    <row r="8" spans="1:13" x14ac:dyDescent="0.45">
      <c r="A8" t="s">
        <v>116</v>
      </c>
      <c r="B8" t="s">
        <v>1217</v>
      </c>
      <c r="C8" t="s">
        <v>1116</v>
      </c>
      <c r="D8" t="s">
        <v>50</v>
      </c>
      <c r="E8">
        <v>2320</v>
      </c>
      <c r="F8" s="1">
        <v>46162</v>
      </c>
      <c r="G8" t="s">
        <v>1219</v>
      </c>
      <c r="H8" t="s">
        <v>1210</v>
      </c>
      <c r="I8">
        <v>9.02</v>
      </c>
      <c r="J8">
        <v>114</v>
      </c>
      <c r="K8">
        <v>18</v>
      </c>
      <c r="L8" t="s">
        <v>1210</v>
      </c>
      <c r="M8">
        <v>15</v>
      </c>
    </row>
    <row r="9" spans="1:13" x14ac:dyDescent="0.45">
      <c r="A9" t="s">
        <v>161</v>
      </c>
      <c r="B9" t="s">
        <v>1217</v>
      </c>
      <c r="C9" t="s">
        <v>1126</v>
      </c>
      <c r="D9" t="s">
        <v>50</v>
      </c>
      <c r="E9">
        <v>2296</v>
      </c>
      <c r="F9" s="1">
        <v>46176</v>
      </c>
      <c r="G9" t="s">
        <v>1219</v>
      </c>
      <c r="H9" t="s">
        <v>1210</v>
      </c>
      <c r="I9">
        <v>9.02</v>
      </c>
      <c r="J9">
        <v>114</v>
      </c>
      <c r="K9">
        <v>18</v>
      </c>
      <c r="L9" t="s">
        <v>1210</v>
      </c>
      <c r="M9">
        <v>1</v>
      </c>
    </row>
    <row r="10" spans="1:13" x14ac:dyDescent="0.45">
      <c r="A10" t="s">
        <v>176</v>
      </c>
      <c r="B10" t="s">
        <v>1223</v>
      </c>
      <c r="C10" t="s">
        <v>1124</v>
      </c>
      <c r="D10" t="s">
        <v>8</v>
      </c>
      <c r="E10">
        <v>997</v>
      </c>
      <c r="F10" s="1">
        <v>46176</v>
      </c>
      <c r="G10" t="s">
        <v>1219</v>
      </c>
      <c r="H10" t="s">
        <v>1210</v>
      </c>
      <c r="I10">
        <v>5.25</v>
      </c>
      <c r="J10">
        <v>76</v>
      </c>
      <c r="K10">
        <v>104</v>
      </c>
      <c r="L10" t="s">
        <v>1210</v>
      </c>
      <c r="M10">
        <v>1</v>
      </c>
    </row>
    <row r="11" spans="1:13" x14ac:dyDescent="0.45">
      <c r="A11" t="s">
        <v>117</v>
      </c>
      <c r="B11" t="s">
        <v>1223</v>
      </c>
      <c r="C11" t="s">
        <v>1117</v>
      </c>
      <c r="D11" t="s">
        <v>1129</v>
      </c>
      <c r="E11">
        <v>2534</v>
      </c>
      <c r="F11" s="1">
        <v>46176</v>
      </c>
      <c r="G11" t="s">
        <v>1219</v>
      </c>
      <c r="H11" t="s">
        <v>1210</v>
      </c>
      <c r="I11">
        <v>3.43</v>
      </c>
      <c r="J11">
        <v>88</v>
      </c>
      <c r="K11">
        <v>109</v>
      </c>
      <c r="L11" t="s">
        <v>1210</v>
      </c>
      <c r="M11">
        <v>1</v>
      </c>
    </row>
    <row r="12" spans="1:13" x14ac:dyDescent="0.45">
      <c r="A12" t="s">
        <v>147</v>
      </c>
      <c r="B12" t="s">
        <v>1223</v>
      </c>
      <c r="C12" t="s">
        <v>1121</v>
      </c>
      <c r="D12" t="s">
        <v>1129</v>
      </c>
      <c r="E12">
        <v>2712</v>
      </c>
      <c r="F12" s="1">
        <v>46175</v>
      </c>
      <c r="G12" t="s">
        <v>1219</v>
      </c>
      <c r="H12" t="s">
        <v>1210</v>
      </c>
      <c r="I12">
        <v>3.43</v>
      </c>
      <c r="J12">
        <v>88</v>
      </c>
      <c r="K12">
        <v>109</v>
      </c>
      <c r="L12" t="s">
        <v>1210</v>
      </c>
      <c r="M12">
        <v>2</v>
      </c>
    </row>
    <row r="13" spans="1:13" x14ac:dyDescent="0.45">
      <c r="A13" t="s">
        <v>157</v>
      </c>
      <c r="B13" t="s">
        <v>1223</v>
      </c>
      <c r="C13" t="s">
        <v>1127</v>
      </c>
      <c r="D13" t="s">
        <v>10</v>
      </c>
      <c r="E13">
        <v>901</v>
      </c>
      <c r="F13" s="1">
        <v>46176</v>
      </c>
      <c r="G13" t="s">
        <v>1219</v>
      </c>
      <c r="H13" t="s">
        <v>1210</v>
      </c>
      <c r="I13">
        <v>14.2</v>
      </c>
      <c r="J13">
        <v>95</v>
      </c>
      <c r="K13">
        <v>277</v>
      </c>
      <c r="L13" t="s">
        <v>1210</v>
      </c>
      <c r="M13">
        <v>1</v>
      </c>
    </row>
    <row r="14" spans="1:13" x14ac:dyDescent="0.45">
      <c r="A14" t="s">
        <v>186</v>
      </c>
      <c r="B14" t="s">
        <v>1217</v>
      </c>
      <c r="C14" t="s">
        <v>1126</v>
      </c>
      <c r="D14" t="s">
        <v>10</v>
      </c>
      <c r="E14">
        <v>1391</v>
      </c>
      <c r="F14" s="1">
        <v>46176</v>
      </c>
      <c r="G14" t="s">
        <v>1219</v>
      </c>
      <c r="H14" t="s">
        <v>1210</v>
      </c>
      <c r="I14">
        <v>14.2</v>
      </c>
      <c r="J14">
        <v>95</v>
      </c>
      <c r="K14">
        <v>277</v>
      </c>
      <c r="L14" t="s">
        <v>1210</v>
      </c>
      <c r="M14">
        <v>1</v>
      </c>
    </row>
    <row r="15" spans="1:13" x14ac:dyDescent="0.45">
      <c r="A15" t="s">
        <v>190</v>
      </c>
      <c r="B15" t="s">
        <v>1217</v>
      </c>
      <c r="C15" t="s">
        <v>1116</v>
      </c>
      <c r="D15" t="s">
        <v>10</v>
      </c>
      <c r="E15">
        <v>991</v>
      </c>
      <c r="F15" s="1">
        <v>46175</v>
      </c>
      <c r="G15" t="s">
        <v>1221</v>
      </c>
      <c r="H15" t="s">
        <v>1210</v>
      </c>
      <c r="I15">
        <v>14.2</v>
      </c>
      <c r="J15">
        <v>95</v>
      </c>
      <c r="K15">
        <v>277</v>
      </c>
      <c r="L15" t="s">
        <v>1210</v>
      </c>
      <c r="M15">
        <v>2</v>
      </c>
    </row>
    <row r="16" spans="1:13" x14ac:dyDescent="0.45">
      <c r="A16" t="s">
        <v>118</v>
      </c>
      <c r="B16" t="s">
        <v>1217</v>
      </c>
      <c r="C16" t="s">
        <v>1115</v>
      </c>
      <c r="D16" t="s">
        <v>1130</v>
      </c>
      <c r="E16">
        <v>1036</v>
      </c>
      <c r="F16" s="1">
        <v>46176</v>
      </c>
      <c r="G16" t="s">
        <v>1219</v>
      </c>
      <c r="H16" t="s">
        <v>1210</v>
      </c>
      <c r="I16">
        <v>12.51</v>
      </c>
      <c r="J16">
        <v>73</v>
      </c>
      <c r="K16">
        <v>75</v>
      </c>
      <c r="L16" t="s">
        <v>1210</v>
      </c>
      <c r="M16">
        <v>1</v>
      </c>
    </row>
    <row r="17" spans="1:13" x14ac:dyDescent="0.45">
      <c r="A17" t="s">
        <v>155</v>
      </c>
      <c r="B17" t="s">
        <v>1223</v>
      </c>
      <c r="C17" t="s">
        <v>1127</v>
      </c>
      <c r="D17" t="s">
        <v>1130</v>
      </c>
      <c r="E17">
        <v>704</v>
      </c>
      <c r="F17" s="1">
        <v>46175</v>
      </c>
      <c r="G17" t="s">
        <v>1219</v>
      </c>
      <c r="H17" t="s">
        <v>1210</v>
      </c>
      <c r="I17">
        <v>12.51</v>
      </c>
      <c r="J17">
        <v>73</v>
      </c>
      <c r="K17">
        <v>75</v>
      </c>
      <c r="L17" t="s">
        <v>1210</v>
      </c>
      <c r="M17">
        <v>2</v>
      </c>
    </row>
    <row r="18" spans="1:13" x14ac:dyDescent="0.45">
      <c r="A18" t="s">
        <v>165</v>
      </c>
      <c r="B18" t="s">
        <v>1225</v>
      </c>
      <c r="C18" t="s">
        <v>1118</v>
      </c>
      <c r="D18" t="s">
        <v>1130</v>
      </c>
      <c r="E18">
        <v>615</v>
      </c>
      <c r="F18" s="1">
        <v>46175</v>
      </c>
      <c r="G18" t="s">
        <v>1219</v>
      </c>
      <c r="H18" t="s">
        <v>1210</v>
      </c>
      <c r="I18">
        <v>12.51</v>
      </c>
      <c r="J18">
        <v>73</v>
      </c>
      <c r="K18">
        <v>75</v>
      </c>
      <c r="L18" t="s">
        <v>1210</v>
      </c>
      <c r="M18">
        <v>2</v>
      </c>
    </row>
    <row r="19" spans="1:13" x14ac:dyDescent="0.45">
      <c r="A19" t="s">
        <v>193</v>
      </c>
      <c r="B19" t="s">
        <v>1217</v>
      </c>
      <c r="C19" t="s">
        <v>1115</v>
      </c>
      <c r="D19" t="s">
        <v>1130</v>
      </c>
      <c r="E19">
        <v>1515</v>
      </c>
      <c r="F19" s="1">
        <v>46175</v>
      </c>
      <c r="G19" t="s">
        <v>1219</v>
      </c>
      <c r="H19" t="s">
        <v>1210</v>
      </c>
      <c r="I19">
        <v>12.51</v>
      </c>
      <c r="J19">
        <v>73</v>
      </c>
      <c r="K19">
        <v>75</v>
      </c>
      <c r="L19" t="s">
        <v>1210</v>
      </c>
      <c r="M19">
        <v>2</v>
      </c>
    </row>
    <row r="20" spans="1:13" x14ac:dyDescent="0.45">
      <c r="A20" t="s">
        <v>199</v>
      </c>
      <c r="B20" t="s">
        <v>1223</v>
      </c>
      <c r="C20" t="s">
        <v>1127</v>
      </c>
      <c r="D20" t="s">
        <v>1130</v>
      </c>
      <c r="E20">
        <v>1830</v>
      </c>
      <c r="F20" s="1">
        <v>46174</v>
      </c>
      <c r="G20" t="s">
        <v>1219</v>
      </c>
      <c r="H20" t="s">
        <v>1210</v>
      </c>
      <c r="I20">
        <v>12.51</v>
      </c>
      <c r="J20">
        <v>73</v>
      </c>
      <c r="K20">
        <v>75</v>
      </c>
      <c r="L20" t="s">
        <v>1210</v>
      </c>
      <c r="M20">
        <v>3</v>
      </c>
    </row>
    <row r="21" spans="1:13" x14ac:dyDescent="0.45">
      <c r="A21" t="s">
        <v>201</v>
      </c>
      <c r="B21" t="s">
        <v>1223</v>
      </c>
      <c r="C21" t="s">
        <v>1124</v>
      </c>
      <c r="D21" t="s">
        <v>1130</v>
      </c>
      <c r="E21">
        <v>1610</v>
      </c>
      <c r="F21" s="1">
        <v>46176</v>
      </c>
      <c r="G21" t="s">
        <v>1219</v>
      </c>
      <c r="H21" t="s">
        <v>1210</v>
      </c>
      <c r="I21">
        <v>12.51</v>
      </c>
      <c r="J21">
        <v>73</v>
      </c>
      <c r="K21">
        <v>75</v>
      </c>
      <c r="L21" t="s">
        <v>1210</v>
      </c>
      <c r="M21">
        <v>1</v>
      </c>
    </row>
    <row r="22" spans="1:13" x14ac:dyDescent="0.45">
      <c r="A22" t="s">
        <v>119</v>
      </c>
      <c r="B22" t="s">
        <v>1225</v>
      </c>
      <c r="C22" t="s">
        <v>1118</v>
      </c>
      <c r="D22" t="s">
        <v>88</v>
      </c>
      <c r="E22">
        <v>530</v>
      </c>
      <c r="F22" s="1">
        <v>46173</v>
      </c>
      <c r="G22" t="s">
        <v>1219</v>
      </c>
      <c r="H22" t="s">
        <v>1210</v>
      </c>
      <c r="I22">
        <v>11.02</v>
      </c>
      <c r="J22">
        <v>69</v>
      </c>
      <c r="K22">
        <v>86</v>
      </c>
      <c r="L22" t="s">
        <v>1210</v>
      </c>
      <c r="M22">
        <v>4</v>
      </c>
    </row>
    <row r="23" spans="1:13" x14ac:dyDescent="0.45">
      <c r="A23" t="s">
        <v>211</v>
      </c>
      <c r="B23" t="s">
        <v>1217</v>
      </c>
      <c r="C23" t="s">
        <v>1116</v>
      </c>
      <c r="D23" t="s">
        <v>13</v>
      </c>
      <c r="E23">
        <v>2426</v>
      </c>
      <c r="F23" s="1">
        <v>46160</v>
      </c>
      <c r="G23" t="s">
        <v>1219</v>
      </c>
      <c r="H23" t="s">
        <v>1210</v>
      </c>
      <c r="I23">
        <v>8.18</v>
      </c>
      <c r="J23">
        <v>90</v>
      </c>
      <c r="K23">
        <v>29</v>
      </c>
      <c r="L23" t="s">
        <v>1210</v>
      </c>
      <c r="M23">
        <v>17</v>
      </c>
    </row>
    <row r="24" spans="1:13" x14ac:dyDescent="0.45">
      <c r="A24" t="s">
        <v>120</v>
      </c>
      <c r="B24" t="s">
        <v>1217</v>
      </c>
      <c r="C24" t="s">
        <v>1115</v>
      </c>
      <c r="D24" t="s">
        <v>1131</v>
      </c>
      <c r="E24">
        <v>1089</v>
      </c>
      <c r="F24" s="1">
        <v>46176</v>
      </c>
      <c r="G24" t="s">
        <v>1219</v>
      </c>
      <c r="H24" t="s">
        <v>1210</v>
      </c>
      <c r="I24">
        <v>11.96</v>
      </c>
      <c r="J24">
        <v>101</v>
      </c>
      <c r="K24">
        <v>90</v>
      </c>
      <c r="L24" t="s">
        <v>1210</v>
      </c>
      <c r="M24">
        <v>1</v>
      </c>
    </row>
    <row r="25" spans="1:13" x14ac:dyDescent="0.45">
      <c r="A25" t="s">
        <v>121</v>
      </c>
      <c r="B25" t="s">
        <v>1225</v>
      </c>
      <c r="C25" t="s">
        <v>1119</v>
      </c>
      <c r="D25" t="s">
        <v>23</v>
      </c>
      <c r="E25">
        <v>2802</v>
      </c>
      <c r="F25" s="1">
        <v>46176</v>
      </c>
      <c r="G25" t="s">
        <v>1219</v>
      </c>
      <c r="H25" t="s">
        <v>1210</v>
      </c>
      <c r="I25">
        <v>7.71</v>
      </c>
      <c r="J25">
        <v>101</v>
      </c>
      <c r="K25">
        <v>23</v>
      </c>
      <c r="L25" t="s">
        <v>1210</v>
      </c>
      <c r="M25">
        <v>1</v>
      </c>
    </row>
    <row r="26" spans="1:13" x14ac:dyDescent="0.45">
      <c r="A26" t="s">
        <v>198</v>
      </c>
      <c r="B26" t="s">
        <v>1225</v>
      </c>
      <c r="C26" t="s">
        <v>1128</v>
      </c>
      <c r="D26" t="s">
        <v>23</v>
      </c>
      <c r="E26">
        <v>1188</v>
      </c>
      <c r="F26" s="1">
        <v>46175</v>
      </c>
      <c r="G26" t="s">
        <v>1219</v>
      </c>
      <c r="H26" t="s">
        <v>1210</v>
      </c>
      <c r="I26">
        <v>7.71</v>
      </c>
      <c r="J26">
        <v>101</v>
      </c>
      <c r="K26">
        <v>23</v>
      </c>
      <c r="L26" t="s">
        <v>1210</v>
      </c>
      <c r="M26">
        <v>2</v>
      </c>
    </row>
    <row r="27" spans="1:13" x14ac:dyDescent="0.45">
      <c r="A27" t="s">
        <v>122</v>
      </c>
      <c r="B27" t="s">
        <v>1217</v>
      </c>
      <c r="C27" t="s">
        <v>1120</v>
      </c>
      <c r="D27" t="s">
        <v>92</v>
      </c>
      <c r="E27">
        <v>1766</v>
      </c>
      <c r="F27" s="1">
        <v>46163</v>
      </c>
      <c r="G27" t="s">
        <v>1219</v>
      </c>
      <c r="H27" t="s">
        <v>1210</v>
      </c>
      <c r="I27">
        <v>10.9</v>
      </c>
      <c r="J27">
        <v>131</v>
      </c>
      <c r="K27">
        <v>22</v>
      </c>
      <c r="L27" t="s">
        <v>1210</v>
      </c>
      <c r="M27">
        <v>14</v>
      </c>
    </row>
    <row r="28" spans="1:13" x14ac:dyDescent="0.45">
      <c r="A28" t="s">
        <v>148</v>
      </c>
      <c r="B28" t="s">
        <v>1223</v>
      </c>
      <c r="C28" t="s">
        <v>1117</v>
      </c>
      <c r="D28" t="s">
        <v>92</v>
      </c>
      <c r="E28">
        <v>2117</v>
      </c>
      <c r="F28" s="1">
        <v>46175</v>
      </c>
      <c r="G28" t="s">
        <v>1219</v>
      </c>
      <c r="H28" t="s">
        <v>1210</v>
      </c>
      <c r="I28">
        <v>10.9</v>
      </c>
      <c r="J28">
        <v>131</v>
      </c>
      <c r="K28">
        <v>22</v>
      </c>
      <c r="L28" t="s">
        <v>1210</v>
      </c>
      <c r="M28">
        <v>2</v>
      </c>
    </row>
    <row r="29" spans="1:13" x14ac:dyDescent="0.45">
      <c r="A29" t="s">
        <v>150</v>
      </c>
      <c r="B29" t="s">
        <v>1225</v>
      </c>
      <c r="C29" t="s">
        <v>1119</v>
      </c>
      <c r="D29" t="s">
        <v>92</v>
      </c>
      <c r="E29">
        <v>734</v>
      </c>
      <c r="F29" s="1">
        <v>46175</v>
      </c>
      <c r="G29" t="s">
        <v>1219</v>
      </c>
      <c r="H29" t="s">
        <v>1210</v>
      </c>
      <c r="I29">
        <v>10.9</v>
      </c>
      <c r="J29">
        <v>131</v>
      </c>
      <c r="K29">
        <v>22</v>
      </c>
      <c r="L29" t="s">
        <v>1210</v>
      </c>
      <c r="M29">
        <v>2</v>
      </c>
    </row>
    <row r="30" spans="1:13" x14ac:dyDescent="0.45">
      <c r="A30" t="s">
        <v>214</v>
      </c>
      <c r="B30" t="s">
        <v>1225</v>
      </c>
      <c r="C30" t="s">
        <v>1118</v>
      </c>
      <c r="D30" t="s">
        <v>18</v>
      </c>
      <c r="E30">
        <v>1252</v>
      </c>
      <c r="F30" s="1">
        <v>46175</v>
      </c>
      <c r="G30" t="s">
        <v>1219</v>
      </c>
      <c r="H30" t="s">
        <v>1210</v>
      </c>
      <c r="I30">
        <v>16.489999999999998</v>
      </c>
      <c r="J30">
        <v>102</v>
      </c>
      <c r="K30">
        <v>315</v>
      </c>
      <c r="L30" t="s">
        <v>1210</v>
      </c>
      <c r="M30">
        <v>2</v>
      </c>
    </row>
    <row r="31" spans="1:13" x14ac:dyDescent="0.45">
      <c r="A31" t="s">
        <v>123</v>
      </c>
      <c r="B31" t="s">
        <v>1217</v>
      </c>
      <c r="C31" t="s">
        <v>1120</v>
      </c>
      <c r="D31" t="s">
        <v>19</v>
      </c>
      <c r="E31">
        <v>2414</v>
      </c>
      <c r="F31" s="1">
        <v>46175</v>
      </c>
      <c r="G31" t="s">
        <v>1219</v>
      </c>
      <c r="H31" t="s">
        <v>1210</v>
      </c>
      <c r="I31">
        <v>8.0500000000000007</v>
      </c>
      <c r="J31">
        <v>147</v>
      </c>
      <c r="K31">
        <v>28</v>
      </c>
      <c r="L31" t="s">
        <v>1210</v>
      </c>
      <c r="M31">
        <v>2</v>
      </c>
    </row>
    <row r="32" spans="1:13" x14ac:dyDescent="0.45">
      <c r="A32" t="s">
        <v>213</v>
      </c>
      <c r="B32" t="s">
        <v>1217</v>
      </c>
      <c r="C32" t="s">
        <v>1114</v>
      </c>
      <c r="D32" t="s">
        <v>19</v>
      </c>
      <c r="E32">
        <v>2494</v>
      </c>
      <c r="F32" s="1">
        <v>46176</v>
      </c>
      <c r="G32" t="s">
        <v>1219</v>
      </c>
      <c r="H32" t="s">
        <v>1210</v>
      </c>
      <c r="I32">
        <v>8.0500000000000007</v>
      </c>
      <c r="J32">
        <v>147</v>
      </c>
      <c r="K32">
        <v>28</v>
      </c>
      <c r="L32" t="s">
        <v>1210</v>
      </c>
      <c r="M32">
        <v>1</v>
      </c>
    </row>
    <row r="33" spans="1:13" x14ac:dyDescent="0.45">
      <c r="A33" t="s">
        <v>142</v>
      </c>
      <c r="B33" t="s">
        <v>1223</v>
      </c>
      <c r="C33" t="s">
        <v>1122</v>
      </c>
      <c r="D33" t="s">
        <v>1133</v>
      </c>
      <c r="E33">
        <v>1253</v>
      </c>
      <c r="F33" s="1">
        <v>46176</v>
      </c>
      <c r="G33" t="s">
        <v>1219</v>
      </c>
      <c r="H33" t="s">
        <v>1210</v>
      </c>
      <c r="I33">
        <v>3.75</v>
      </c>
      <c r="J33">
        <v>41</v>
      </c>
      <c r="K33">
        <v>106</v>
      </c>
      <c r="L33" t="s">
        <v>1210</v>
      </c>
      <c r="M33">
        <v>1</v>
      </c>
    </row>
    <row r="34" spans="1:13" x14ac:dyDescent="0.45">
      <c r="A34" t="s">
        <v>124</v>
      </c>
      <c r="B34" t="s">
        <v>1225</v>
      </c>
      <c r="C34" t="s">
        <v>1118</v>
      </c>
      <c r="D34" t="s">
        <v>68</v>
      </c>
      <c r="E34">
        <v>736</v>
      </c>
      <c r="F34" s="1">
        <v>46174</v>
      </c>
      <c r="G34" t="s">
        <v>1219</v>
      </c>
      <c r="H34" t="s">
        <v>1210</v>
      </c>
      <c r="I34">
        <v>17.18</v>
      </c>
      <c r="J34">
        <v>81</v>
      </c>
      <c r="K34">
        <v>293</v>
      </c>
      <c r="L34" t="s">
        <v>1210</v>
      </c>
      <c r="M34">
        <v>3</v>
      </c>
    </row>
    <row r="35" spans="1:13" x14ac:dyDescent="0.45">
      <c r="A35" t="s">
        <v>125</v>
      </c>
      <c r="B35" t="s">
        <v>1223</v>
      </c>
      <c r="C35" t="s">
        <v>1117</v>
      </c>
      <c r="D35" t="s">
        <v>102</v>
      </c>
      <c r="E35">
        <v>2027</v>
      </c>
      <c r="F35" s="1">
        <v>46175</v>
      </c>
      <c r="G35" t="s">
        <v>1219</v>
      </c>
      <c r="H35" t="s">
        <v>1210</v>
      </c>
      <c r="I35">
        <v>9.9499999999999993</v>
      </c>
      <c r="J35">
        <v>106</v>
      </c>
      <c r="K35">
        <v>376</v>
      </c>
      <c r="L35" t="s">
        <v>1210</v>
      </c>
      <c r="M35">
        <v>2</v>
      </c>
    </row>
    <row r="36" spans="1:13" x14ac:dyDescent="0.45">
      <c r="A36" t="s">
        <v>204</v>
      </c>
      <c r="B36" t="s">
        <v>1225</v>
      </c>
      <c r="C36" t="s">
        <v>1119</v>
      </c>
      <c r="D36" t="s">
        <v>1137</v>
      </c>
      <c r="E36">
        <v>2054</v>
      </c>
      <c r="F36" s="1">
        <v>46174</v>
      </c>
      <c r="G36" t="s">
        <v>1219</v>
      </c>
      <c r="H36" t="s">
        <v>1210</v>
      </c>
      <c r="I36">
        <v>10.96</v>
      </c>
      <c r="J36">
        <v>128</v>
      </c>
      <c r="K36">
        <v>520</v>
      </c>
      <c r="L36" t="s">
        <v>1210</v>
      </c>
      <c r="M36">
        <v>3</v>
      </c>
    </row>
    <row r="37" spans="1:13" x14ac:dyDescent="0.45">
      <c r="A37" t="s">
        <v>126</v>
      </c>
      <c r="B37" t="s">
        <v>1223</v>
      </c>
      <c r="C37" t="s">
        <v>1121</v>
      </c>
      <c r="D37" t="s">
        <v>30</v>
      </c>
      <c r="E37">
        <v>1628</v>
      </c>
      <c r="F37" s="1">
        <v>46175</v>
      </c>
      <c r="G37" t="s">
        <v>1219</v>
      </c>
      <c r="H37" t="s">
        <v>1210</v>
      </c>
      <c r="I37">
        <v>3.64</v>
      </c>
      <c r="J37">
        <v>62</v>
      </c>
      <c r="K37">
        <v>114</v>
      </c>
      <c r="L37" t="s">
        <v>1210</v>
      </c>
      <c r="M37">
        <v>2</v>
      </c>
    </row>
    <row r="38" spans="1:13" x14ac:dyDescent="0.45">
      <c r="A38" t="s">
        <v>160</v>
      </c>
      <c r="B38" t="s">
        <v>1223</v>
      </c>
      <c r="C38" t="s">
        <v>1117</v>
      </c>
      <c r="D38" t="s">
        <v>30</v>
      </c>
      <c r="E38">
        <v>1894</v>
      </c>
      <c r="F38" s="1">
        <v>46175</v>
      </c>
      <c r="G38" t="s">
        <v>1219</v>
      </c>
      <c r="H38" t="s">
        <v>1210</v>
      </c>
      <c r="I38">
        <v>3.64</v>
      </c>
      <c r="J38">
        <v>62</v>
      </c>
      <c r="K38">
        <v>114</v>
      </c>
      <c r="L38" t="s">
        <v>1210</v>
      </c>
      <c r="M38">
        <v>2</v>
      </c>
    </row>
    <row r="39" spans="1:13" x14ac:dyDescent="0.45">
      <c r="A39" t="s">
        <v>169</v>
      </c>
      <c r="B39" t="s">
        <v>1217</v>
      </c>
      <c r="C39" t="s">
        <v>1116</v>
      </c>
      <c r="D39" t="s">
        <v>30</v>
      </c>
      <c r="E39">
        <v>920</v>
      </c>
      <c r="F39" s="1">
        <v>46176</v>
      </c>
      <c r="G39" t="s">
        <v>1219</v>
      </c>
      <c r="H39" t="s">
        <v>1210</v>
      </c>
      <c r="I39">
        <v>3.64</v>
      </c>
      <c r="J39">
        <v>62</v>
      </c>
      <c r="K39">
        <v>114</v>
      </c>
      <c r="L39" t="s">
        <v>1210</v>
      </c>
      <c r="M39">
        <v>1</v>
      </c>
    </row>
    <row r="40" spans="1:13" x14ac:dyDescent="0.45">
      <c r="A40" t="s">
        <v>127</v>
      </c>
      <c r="B40" t="s">
        <v>1223</v>
      </c>
      <c r="C40" t="s">
        <v>1122</v>
      </c>
      <c r="D40" t="s">
        <v>62</v>
      </c>
      <c r="E40">
        <v>851</v>
      </c>
      <c r="F40" s="1">
        <v>46176</v>
      </c>
      <c r="G40" t="s">
        <v>1219</v>
      </c>
      <c r="H40" t="s">
        <v>1210</v>
      </c>
      <c r="I40">
        <v>12.39</v>
      </c>
      <c r="J40">
        <v>134</v>
      </c>
      <c r="K40">
        <v>446</v>
      </c>
      <c r="L40" t="s">
        <v>1210</v>
      </c>
      <c r="M40">
        <v>1</v>
      </c>
    </row>
    <row r="41" spans="1:13" x14ac:dyDescent="0.45">
      <c r="A41" t="s">
        <v>179</v>
      </c>
      <c r="B41" t="s">
        <v>1223</v>
      </c>
      <c r="C41" t="s">
        <v>1127</v>
      </c>
      <c r="D41" t="s">
        <v>62</v>
      </c>
      <c r="E41">
        <v>1109</v>
      </c>
      <c r="F41" s="1">
        <v>46175</v>
      </c>
      <c r="G41" t="s">
        <v>1219</v>
      </c>
      <c r="H41" t="s">
        <v>1210</v>
      </c>
      <c r="I41">
        <v>12.39</v>
      </c>
      <c r="J41">
        <v>134</v>
      </c>
      <c r="K41">
        <v>446</v>
      </c>
      <c r="L41" t="s">
        <v>1210</v>
      </c>
      <c r="M41">
        <v>2</v>
      </c>
    </row>
    <row r="42" spans="1:13" x14ac:dyDescent="0.45">
      <c r="A42" t="s">
        <v>175</v>
      </c>
      <c r="B42" t="s">
        <v>1223</v>
      </c>
      <c r="C42" t="s">
        <v>1122</v>
      </c>
      <c r="D42" t="s">
        <v>22</v>
      </c>
      <c r="E42">
        <v>1891</v>
      </c>
      <c r="F42" s="1">
        <v>46176</v>
      </c>
      <c r="G42" t="s">
        <v>1219</v>
      </c>
      <c r="H42" t="s">
        <v>1210</v>
      </c>
      <c r="I42">
        <v>5.27</v>
      </c>
      <c r="J42">
        <v>60</v>
      </c>
      <c r="K42">
        <v>129</v>
      </c>
      <c r="L42" t="s">
        <v>1210</v>
      </c>
      <c r="M42">
        <v>1</v>
      </c>
    </row>
    <row r="43" spans="1:13" x14ac:dyDescent="0.45">
      <c r="A43" t="s">
        <v>128</v>
      </c>
      <c r="B43" t="s">
        <v>1225</v>
      </c>
      <c r="C43" t="s">
        <v>1123</v>
      </c>
      <c r="D43" t="s">
        <v>1132</v>
      </c>
      <c r="E43">
        <v>1347</v>
      </c>
      <c r="F43" s="1">
        <v>46176</v>
      </c>
      <c r="G43" t="s">
        <v>1219</v>
      </c>
      <c r="H43" t="s">
        <v>1210</v>
      </c>
      <c r="I43">
        <v>15.52</v>
      </c>
      <c r="J43">
        <v>121</v>
      </c>
      <c r="K43">
        <v>517</v>
      </c>
      <c r="L43" t="s">
        <v>1210</v>
      </c>
      <c r="M43">
        <v>1</v>
      </c>
    </row>
    <row r="44" spans="1:13" x14ac:dyDescent="0.45">
      <c r="A44" t="s">
        <v>146</v>
      </c>
      <c r="B44" t="s">
        <v>1223</v>
      </c>
      <c r="C44" t="s">
        <v>1121</v>
      </c>
      <c r="D44" t="s">
        <v>1132</v>
      </c>
      <c r="E44">
        <v>782</v>
      </c>
      <c r="F44" s="1">
        <v>46175</v>
      </c>
      <c r="G44" t="s">
        <v>1219</v>
      </c>
      <c r="H44" t="s">
        <v>1210</v>
      </c>
      <c r="I44">
        <v>15.52</v>
      </c>
      <c r="J44">
        <v>121</v>
      </c>
      <c r="K44">
        <v>517</v>
      </c>
      <c r="L44" t="s">
        <v>1210</v>
      </c>
      <c r="M44">
        <v>2</v>
      </c>
    </row>
    <row r="45" spans="1:13" x14ac:dyDescent="0.45">
      <c r="A45" t="s">
        <v>158</v>
      </c>
      <c r="B45" t="s">
        <v>1225</v>
      </c>
      <c r="C45" t="s">
        <v>1123</v>
      </c>
      <c r="D45" t="s">
        <v>1132</v>
      </c>
      <c r="E45">
        <v>850</v>
      </c>
      <c r="F45" s="1">
        <v>46176</v>
      </c>
      <c r="G45" t="s">
        <v>1219</v>
      </c>
      <c r="H45" t="s">
        <v>1210</v>
      </c>
      <c r="I45">
        <v>15.52</v>
      </c>
      <c r="J45">
        <v>121</v>
      </c>
      <c r="K45">
        <v>517</v>
      </c>
      <c r="L45" t="s">
        <v>1210</v>
      </c>
      <c r="M45">
        <v>1</v>
      </c>
    </row>
    <row r="46" spans="1:13" x14ac:dyDescent="0.45">
      <c r="A46" t="s">
        <v>209</v>
      </c>
      <c r="B46" t="s">
        <v>1217</v>
      </c>
      <c r="C46" t="s">
        <v>1114</v>
      </c>
      <c r="D46" t="s">
        <v>1138</v>
      </c>
      <c r="E46">
        <v>1504</v>
      </c>
      <c r="F46" s="1">
        <v>46176</v>
      </c>
      <c r="G46" t="s">
        <v>1219</v>
      </c>
      <c r="H46" t="s">
        <v>1210</v>
      </c>
      <c r="I46">
        <v>3.92</v>
      </c>
      <c r="J46">
        <v>49</v>
      </c>
      <c r="K46">
        <v>98</v>
      </c>
      <c r="L46" t="s">
        <v>1210</v>
      </c>
      <c r="M46">
        <v>1</v>
      </c>
    </row>
    <row r="47" spans="1:13" x14ac:dyDescent="0.45">
      <c r="A47" t="s">
        <v>129</v>
      </c>
      <c r="B47" t="s">
        <v>1217</v>
      </c>
      <c r="C47" t="s">
        <v>1115</v>
      </c>
      <c r="D47" t="s">
        <v>83</v>
      </c>
      <c r="E47">
        <v>1770</v>
      </c>
      <c r="F47" s="1">
        <v>46175</v>
      </c>
      <c r="G47" t="s">
        <v>1219</v>
      </c>
      <c r="H47" t="s">
        <v>1210</v>
      </c>
      <c r="I47">
        <v>5.92</v>
      </c>
      <c r="J47">
        <v>57</v>
      </c>
      <c r="K47">
        <v>92</v>
      </c>
      <c r="L47" t="s">
        <v>1210</v>
      </c>
      <c r="M47">
        <v>2</v>
      </c>
    </row>
    <row r="48" spans="1:13" x14ac:dyDescent="0.45">
      <c r="A48" t="s">
        <v>130</v>
      </c>
      <c r="B48" t="s">
        <v>1223</v>
      </c>
      <c r="C48" t="s">
        <v>1124</v>
      </c>
      <c r="D48" t="s">
        <v>61</v>
      </c>
      <c r="E48">
        <v>852</v>
      </c>
      <c r="F48" s="1">
        <v>46176</v>
      </c>
      <c r="G48" t="s">
        <v>1219</v>
      </c>
      <c r="H48" t="s">
        <v>1210</v>
      </c>
      <c r="I48">
        <v>12.41</v>
      </c>
      <c r="J48">
        <v>95</v>
      </c>
      <c r="K48">
        <v>227</v>
      </c>
      <c r="L48" t="s">
        <v>1210</v>
      </c>
      <c r="M48">
        <v>1</v>
      </c>
    </row>
    <row r="49" spans="1:13" x14ac:dyDescent="0.45">
      <c r="A49" t="s">
        <v>164</v>
      </c>
      <c r="B49" t="s">
        <v>1225</v>
      </c>
      <c r="C49" t="s">
        <v>1123</v>
      </c>
      <c r="D49" t="s">
        <v>61</v>
      </c>
      <c r="E49">
        <v>1588</v>
      </c>
      <c r="F49" s="1">
        <v>46176</v>
      </c>
      <c r="G49" t="s">
        <v>1219</v>
      </c>
      <c r="H49" t="s">
        <v>1210</v>
      </c>
      <c r="I49">
        <v>12.41</v>
      </c>
      <c r="J49">
        <v>95</v>
      </c>
      <c r="K49">
        <v>227</v>
      </c>
      <c r="L49" t="s">
        <v>1210</v>
      </c>
      <c r="M49">
        <v>1</v>
      </c>
    </row>
    <row r="50" spans="1:13" x14ac:dyDescent="0.45">
      <c r="A50" t="s">
        <v>178</v>
      </c>
      <c r="B50" t="s">
        <v>1217</v>
      </c>
      <c r="C50" t="s">
        <v>1126</v>
      </c>
      <c r="D50" t="s">
        <v>61</v>
      </c>
      <c r="E50">
        <v>1710</v>
      </c>
      <c r="F50" s="1">
        <v>46176</v>
      </c>
      <c r="G50" t="s">
        <v>1219</v>
      </c>
      <c r="H50" t="s">
        <v>1210</v>
      </c>
      <c r="I50">
        <v>12.41</v>
      </c>
      <c r="J50">
        <v>95</v>
      </c>
      <c r="K50">
        <v>227</v>
      </c>
      <c r="L50" t="s">
        <v>1210</v>
      </c>
      <c r="M50">
        <v>1</v>
      </c>
    </row>
    <row r="51" spans="1:13" x14ac:dyDescent="0.45">
      <c r="A51" t="s">
        <v>132</v>
      </c>
      <c r="B51" t="s">
        <v>1223</v>
      </c>
      <c r="C51" t="s">
        <v>1124</v>
      </c>
      <c r="D51" t="s">
        <v>29</v>
      </c>
      <c r="E51">
        <v>641</v>
      </c>
      <c r="F51" s="1">
        <v>46176</v>
      </c>
      <c r="G51" t="s">
        <v>1219</v>
      </c>
      <c r="H51" t="s">
        <v>1210</v>
      </c>
      <c r="I51">
        <v>4</v>
      </c>
      <c r="J51">
        <v>58</v>
      </c>
      <c r="K51">
        <v>112</v>
      </c>
      <c r="L51" t="s">
        <v>1210</v>
      </c>
      <c r="M51">
        <v>1</v>
      </c>
    </row>
    <row r="52" spans="1:13" x14ac:dyDescent="0.45">
      <c r="A52" t="s">
        <v>134</v>
      </c>
      <c r="B52" t="s">
        <v>1225</v>
      </c>
      <c r="C52" t="s">
        <v>1123</v>
      </c>
      <c r="D52" t="s">
        <v>29</v>
      </c>
      <c r="E52">
        <v>1625</v>
      </c>
      <c r="F52" s="1">
        <v>46176</v>
      </c>
      <c r="G52" t="s">
        <v>1219</v>
      </c>
      <c r="H52" t="s">
        <v>1210</v>
      </c>
      <c r="I52">
        <v>4</v>
      </c>
      <c r="J52">
        <v>58</v>
      </c>
      <c r="K52">
        <v>112</v>
      </c>
      <c r="L52" t="s">
        <v>1210</v>
      </c>
      <c r="M52">
        <v>1</v>
      </c>
    </row>
    <row r="53" spans="1:13" x14ac:dyDescent="0.45">
      <c r="A53" t="s">
        <v>194</v>
      </c>
      <c r="B53" t="s">
        <v>1217</v>
      </c>
      <c r="C53" t="s">
        <v>1115</v>
      </c>
      <c r="D53" t="s">
        <v>29</v>
      </c>
      <c r="E53">
        <v>1749</v>
      </c>
      <c r="F53" s="1">
        <v>46176</v>
      </c>
      <c r="G53" t="s">
        <v>1219</v>
      </c>
      <c r="H53" t="s">
        <v>1210</v>
      </c>
      <c r="I53">
        <v>4</v>
      </c>
      <c r="J53">
        <v>58</v>
      </c>
      <c r="K53">
        <v>112</v>
      </c>
      <c r="L53" t="s">
        <v>1210</v>
      </c>
      <c r="M53">
        <v>1</v>
      </c>
    </row>
    <row r="54" spans="1:13" x14ac:dyDescent="0.45">
      <c r="A54" t="s">
        <v>133</v>
      </c>
      <c r="B54" t="s">
        <v>1217</v>
      </c>
      <c r="C54" t="s">
        <v>1120</v>
      </c>
      <c r="D54" t="s">
        <v>33</v>
      </c>
      <c r="E54">
        <v>1372</v>
      </c>
      <c r="F54" s="1">
        <v>46176</v>
      </c>
      <c r="G54" t="s">
        <v>1219</v>
      </c>
      <c r="H54" t="s">
        <v>1210</v>
      </c>
      <c r="I54">
        <v>16.28</v>
      </c>
      <c r="J54">
        <v>90</v>
      </c>
      <c r="K54">
        <v>280</v>
      </c>
      <c r="L54" t="s">
        <v>1210</v>
      </c>
      <c r="M54">
        <v>1</v>
      </c>
    </row>
    <row r="55" spans="1:13" x14ac:dyDescent="0.45">
      <c r="A55" t="s">
        <v>188</v>
      </c>
      <c r="B55" t="s">
        <v>1225</v>
      </c>
      <c r="C55" t="s">
        <v>1118</v>
      </c>
      <c r="D55" t="s">
        <v>1136</v>
      </c>
      <c r="E55">
        <v>1614</v>
      </c>
      <c r="F55" s="1">
        <v>46173</v>
      </c>
      <c r="G55" t="s">
        <v>1219</v>
      </c>
      <c r="H55" t="s">
        <v>1210</v>
      </c>
      <c r="I55">
        <v>11.98</v>
      </c>
      <c r="J55">
        <v>86</v>
      </c>
      <c r="K55">
        <v>123</v>
      </c>
      <c r="L55" t="s">
        <v>1210</v>
      </c>
      <c r="M55">
        <v>4</v>
      </c>
    </row>
    <row r="56" spans="1:13" x14ac:dyDescent="0.45">
      <c r="A56" t="s">
        <v>208</v>
      </c>
      <c r="B56" t="s">
        <v>1217</v>
      </c>
      <c r="C56" t="s">
        <v>1126</v>
      </c>
      <c r="D56" t="s">
        <v>1136</v>
      </c>
      <c r="E56">
        <v>1928</v>
      </c>
      <c r="F56" s="1">
        <v>46176</v>
      </c>
      <c r="G56" t="s">
        <v>1219</v>
      </c>
      <c r="H56" t="s">
        <v>1210</v>
      </c>
      <c r="I56">
        <v>11.98</v>
      </c>
      <c r="J56">
        <v>86</v>
      </c>
      <c r="K56">
        <v>123</v>
      </c>
      <c r="L56" t="s">
        <v>1210</v>
      </c>
      <c r="M56">
        <v>1</v>
      </c>
    </row>
    <row r="57" spans="1:13" x14ac:dyDescent="0.45">
      <c r="A57" t="s">
        <v>135</v>
      </c>
      <c r="B57" t="s">
        <v>1225</v>
      </c>
      <c r="C57" t="s">
        <v>1119</v>
      </c>
      <c r="D57" t="s">
        <v>103</v>
      </c>
      <c r="E57">
        <v>1211</v>
      </c>
      <c r="F57" s="1">
        <v>46175</v>
      </c>
      <c r="G57" t="s">
        <v>1219</v>
      </c>
      <c r="H57" t="s">
        <v>1210</v>
      </c>
      <c r="I57">
        <v>16.66</v>
      </c>
      <c r="J57">
        <v>85</v>
      </c>
      <c r="K57">
        <v>333</v>
      </c>
      <c r="L57" t="s">
        <v>1210</v>
      </c>
      <c r="M57">
        <v>2</v>
      </c>
    </row>
    <row r="58" spans="1:13" x14ac:dyDescent="0.45">
      <c r="A58" t="s">
        <v>191</v>
      </c>
      <c r="B58" t="s">
        <v>1225</v>
      </c>
      <c r="C58" t="s">
        <v>1118</v>
      </c>
      <c r="D58" t="s">
        <v>28</v>
      </c>
      <c r="E58">
        <v>2117</v>
      </c>
      <c r="F58" s="1">
        <v>46176</v>
      </c>
      <c r="G58" t="s">
        <v>1219</v>
      </c>
      <c r="H58" t="s">
        <v>1210</v>
      </c>
      <c r="I58">
        <v>8.94</v>
      </c>
      <c r="J58">
        <v>100</v>
      </c>
      <c r="K58">
        <v>17</v>
      </c>
      <c r="L58" t="s">
        <v>1210</v>
      </c>
      <c r="M58">
        <v>1</v>
      </c>
    </row>
    <row r="59" spans="1:13" x14ac:dyDescent="0.45">
      <c r="A59" t="s">
        <v>136</v>
      </c>
      <c r="B59" t="s">
        <v>1223</v>
      </c>
      <c r="C59" t="s">
        <v>1121</v>
      </c>
      <c r="D59" t="s">
        <v>54</v>
      </c>
      <c r="E59">
        <v>1559</v>
      </c>
      <c r="F59" s="1">
        <v>46175</v>
      </c>
      <c r="G59" t="s">
        <v>1219</v>
      </c>
      <c r="H59" t="s">
        <v>1210</v>
      </c>
      <c r="I59">
        <v>12.85</v>
      </c>
      <c r="J59">
        <v>91</v>
      </c>
      <c r="K59">
        <v>297</v>
      </c>
      <c r="L59" t="s">
        <v>1210</v>
      </c>
      <c r="M59">
        <v>2</v>
      </c>
    </row>
    <row r="60" spans="1:13" x14ac:dyDescent="0.45">
      <c r="A60" t="s">
        <v>154</v>
      </c>
      <c r="B60" t="s">
        <v>1217</v>
      </c>
      <c r="C60" t="s">
        <v>1120</v>
      </c>
      <c r="D60" t="s">
        <v>54</v>
      </c>
      <c r="E60">
        <v>1677</v>
      </c>
      <c r="F60" s="1">
        <v>46176</v>
      </c>
      <c r="G60" t="s">
        <v>1219</v>
      </c>
      <c r="H60" t="s">
        <v>1210</v>
      </c>
      <c r="I60">
        <v>12.85</v>
      </c>
      <c r="J60">
        <v>91</v>
      </c>
      <c r="K60">
        <v>297</v>
      </c>
      <c r="L60" t="s">
        <v>1210</v>
      </c>
      <c r="M60">
        <v>1</v>
      </c>
    </row>
    <row r="61" spans="1:13" x14ac:dyDescent="0.45">
      <c r="A61" t="s">
        <v>137</v>
      </c>
      <c r="B61" t="s">
        <v>1217</v>
      </c>
      <c r="C61" t="s">
        <v>1120</v>
      </c>
      <c r="D61" t="s">
        <v>98</v>
      </c>
      <c r="E61">
        <v>1447</v>
      </c>
      <c r="F61" s="1">
        <v>46176</v>
      </c>
      <c r="G61" t="s">
        <v>1219</v>
      </c>
      <c r="H61" t="s">
        <v>1210</v>
      </c>
      <c r="I61">
        <v>6.23</v>
      </c>
      <c r="J61">
        <v>78</v>
      </c>
      <c r="K61">
        <v>99</v>
      </c>
      <c r="L61" t="s">
        <v>1210</v>
      </c>
      <c r="M61">
        <v>1</v>
      </c>
    </row>
    <row r="62" spans="1:13" x14ac:dyDescent="0.45">
      <c r="A62" t="s">
        <v>138</v>
      </c>
      <c r="B62" t="s">
        <v>1223</v>
      </c>
      <c r="C62" t="s">
        <v>1122</v>
      </c>
      <c r="D62" t="s">
        <v>71</v>
      </c>
      <c r="E62">
        <v>848</v>
      </c>
      <c r="F62" s="1">
        <v>46176</v>
      </c>
      <c r="G62" t="s">
        <v>1219</v>
      </c>
      <c r="H62" t="s">
        <v>1210</v>
      </c>
      <c r="I62">
        <v>12.02</v>
      </c>
      <c r="J62">
        <v>75</v>
      </c>
      <c r="K62">
        <v>402</v>
      </c>
      <c r="L62" t="s">
        <v>1210</v>
      </c>
      <c r="M62">
        <v>1</v>
      </c>
    </row>
    <row r="63" spans="1:13" x14ac:dyDescent="0.45">
      <c r="A63" t="s">
        <v>166</v>
      </c>
      <c r="B63" t="s">
        <v>1225</v>
      </c>
      <c r="C63" t="s">
        <v>1118</v>
      </c>
      <c r="D63" t="s">
        <v>71</v>
      </c>
      <c r="E63">
        <v>1592</v>
      </c>
      <c r="F63" s="1">
        <v>46172</v>
      </c>
      <c r="G63" t="s">
        <v>1219</v>
      </c>
      <c r="H63" t="s">
        <v>1210</v>
      </c>
      <c r="I63">
        <v>12.02</v>
      </c>
      <c r="J63">
        <v>75</v>
      </c>
      <c r="K63">
        <v>402</v>
      </c>
      <c r="L63" t="s">
        <v>1210</v>
      </c>
      <c r="M63">
        <v>5</v>
      </c>
    </row>
    <row r="64" spans="1:13" x14ac:dyDescent="0.45">
      <c r="A64" t="s">
        <v>183</v>
      </c>
      <c r="B64" t="s">
        <v>1225</v>
      </c>
      <c r="C64" t="s">
        <v>1119</v>
      </c>
      <c r="D64" t="s">
        <v>71</v>
      </c>
      <c r="E64">
        <v>589</v>
      </c>
      <c r="F64" s="1">
        <v>46175</v>
      </c>
      <c r="G64" t="s">
        <v>1219</v>
      </c>
      <c r="H64" t="s">
        <v>1210</v>
      </c>
      <c r="I64">
        <v>12.02</v>
      </c>
      <c r="J64">
        <v>75</v>
      </c>
      <c r="K64">
        <v>402</v>
      </c>
      <c r="L64" t="s">
        <v>1210</v>
      </c>
      <c r="M64">
        <v>2</v>
      </c>
    </row>
    <row r="65" spans="1:13" x14ac:dyDescent="0.45">
      <c r="A65" t="s">
        <v>139</v>
      </c>
      <c r="B65" t="s">
        <v>1225</v>
      </c>
      <c r="C65" t="s">
        <v>1125</v>
      </c>
      <c r="D65" t="s">
        <v>105</v>
      </c>
      <c r="E65">
        <v>1120</v>
      </c>
      <c r="F65" s="1">
        <v>46174</v>
      </c>
      <c r="G65" t="s">
        <v>1219</v>
      </c>
      <c r="H65" t="s">
        <v>1210</v>
      </c>
      <c r="I65">
        <v>18.170000000000002</v>
      </c>
      <c r="J65">
        <v>61</v>
      </c>
      <c r="K65">
        <v>188</v>
      </c>
      <c r="L65" t="s">
        <v>1210</v>
      </c>
      <c r="M65">
        <v>3</v>
      </c>
    </row>
    <row r="66" spans="1:13" x14ac:dyDescent="0.45">
      <c r="A66" t="s">
        <v>140</v>
      </c>
      <c r="B66" t="s">
        <v>1225</v>
      </c>
      <c r="C66" t="s">
        <v>1125</v>
      </c>
      <c r="D66" t="s">
        <v>43</v>
      </c>
      <c r="E66">
        <v>2134</v>
      </c>
      <c r="F66" s="1">
        <v>46176</v>
      </c>
      <c r="G66" t="s">
        <v>1219</v>
      </c>
      <c r="H66" t="s">
        <v>1210</v>
      </c>
      <c r="I66">
        <v>9.6999999999999993</v>
      </c>
      <c r="J66">
        <v>98</v>
      </c>
      <c r="K66">
        <v>115</v>
      </c>
      <c r="L66" t="s">
        <v>1210</v>
      </c>
      <c r="M66">
        <v>1</v>
      </c>
    </row>
    <row r="67" spans="1:13" x14ac:dyDescent="0.45">
      <c r="A67" t="s">
        <v>141</v>
      </c>
      <c r="B67" t="s">
        <v>1217</v>
      </c>
      <c r="C67" t="s">
        <v>1126</v>
      </c>
      <c r="D67" t="s">
        <v>43</v>
      </c>
      <c r="E67">
        <v>557</v>
      </c>
      <c r="F67" s="1">
        <v>46176</v>
      </c>
      <c r="G67" t="s">
        <v>1219</v>
      </c>
      <c r="H67" t="s">
        <v>1210</v>
      </c>
      <c r="I67">
        <v>9.6999999999999993</v>
      </c>
      <c r="J67">
        <v>98</v>
      </c>
      <c r="K67">
        <v>115</v>
      </c>
      <c r="L67" t="s">
        <v>1210</v>
      </c>
      <c r="M67">
        <v>1</v>
      </c>
    </row>
    <row r="68" spans="1:13" x14ac:dyDescent="0.45">
      <c r="A68" t="s">
        <v>143</v>
      </c>
      <c r="B68" t="s">
        <v>1223</v>
      </c>
      <c r="C68" t="s">
        <v>1122</v>
      </c>
      <c r="D68" t="s">
        <v>1134</v>
      </c>
      <c r="E68">
        <v>1028</v>
      </c>
      <c r="F68" s="1">
        <v>46175</v>
      </c>
      <c r="G68" t="s">
        <v>1219</v>
      </c>
      <c r="H68" t="s">
        <v>1210</v>
      </c>
      <c r="I68">
        <v>21.3</v>
      </c>
      <c r="J68">
        <v>108</v>
      </c>
      <c r="K68">
        <v>345</v>
      </c>
      <c r="L68" t="s">
        <v>1210</v>
      </c>
      <c r="M68">
        <v>2</v>
      </c>
    </row>
    <row r="69" spans="1:13" x14ac:dyDescent="0.45">
      <c r="A69" t="s">
        <v>212</v>
      </c>
      <c r="B69" t="s">
        <v>1223</v>
      </c>
      <c r="C69" t="s">
        <v>1127</v>
      </c>
      <c r="D69" t="s">
        <v>37</v>
      </c>
      <c r="E69">
        <v>1565</v>
      </c>
      <c r="F69" s="1">
        <v>46176</v>
      </c>
      <c r="G69" t="s">
        <v>1219</v>
      </c>
      <c r="H69" t="s">
        <v>1210</v>
      </c>
      <c r="I69">
        <v>7.76</v>
      </c>
      <c r="J69">
        <v>86</v>
      </c>
      <c r="K69">
        <v>112</v>
      </c>
      <c r="L69" t="s">
        <v>1210</v>
      </c>
      <c r="M69">
        <v>1</v>
      </c>
    </row>
    <row r="70" spans="1:13" x14ac:dyDescent="0.45">
      <c r="A70" t="s">
        <v>144</v>
      </c>
      <c r="B70" t="s">
        <v>1217</v>
      </c>
      <c r="C70" t="s">
        <v>1116</v>
      </c>
      <c r="D70" t="s">
        <v>56</v>
      </c>
      <c r="E70">
        <v>1267</v>
      </c>
      <c r="F70" s="1">
        <v>46176</v>
      </c>
      <c r="G70" t="s">
        <v>1219</v>
      </c>
      <c r="H70" t="s">
        <v>1210</v>
      </c>
      <c r="I70">
        <v>6.27</v>
      </c>
      <c r="J70">
        <v>67</v>
      </c>
      <c r="K70">
        <v>90</v>
      </c>
      <c r="L70" t="s">
        <v>1210</v>
      </c>
      <c r="M70">
        <v>1</v>
      </c>
    </row>
    <row r="71" spans="1:13" x14ac:dyDescent="0.45">
      <c r="A71" t="s">
        <v>196</v>
      </c>
      <c r="B71" t="s">
        <v>1223</v>
      </c>
      <c r="C71" t="s">
        <v>1124</v>
      </c>
      <c r="D71" t="s">
        <v>56</v>
      </c>
      <c r="E71">
        <v>661</v>
      </c>
      <c r="F71" s="1">
        <v>46176</v>
      </c>
      <c r="G71" t="s">
        <v>1219</v>
      </c>
      <c r="H71" t="s">
        <v>1210</v>
      </c>
      <c r="I71">
        <v>6.27</v>
      </c>
      <c r="J71">
        <v>67</v>
      </c>
      <c r="K71">
        <v>90</v>
      </c>
      <c r="L71" t="s">
        <v>1210</v>
      </c>
      <c r="M71">
        <v>1</v>
      </c>
    </row>
    <row r="72" spans="1:13" x14ac:dyDescent="0.45">
      <c r="A72" t="s">
        <v>145</v>
      </c>
      <c r="B72" t="s">
        <v>1223</v>
      </c>
      <c r="C72" t="s">
        <v>1122</v>
      </c>
      <c r="D72" t="s">
        <v>96</v>
      </c>
      <c r="E72">
        <v>1763</v>
      </c>
      <c r="F72" s="1">
        <v>46176</v>
      </c>
      <c r="G72" t="s">
        <v>1219</v>
      </c>
      <c r="H72" t="s">
        <v>1210</v>
      </c>
      <c r="I72">
        <v>4.43</v>
      </c>
      <c r="J72">
        <v>63</v>
      </c>
      <c r="K72">
        <v>115</v>
      </c>
      <c r="L72" t="s">
        <v>1210</v>
      </c>
      <c r="M72">
        <v>1</v>
      </c>
    </row>
    <row r="73" spans="1:13" x14ac:dyDescent="0.45">
      <c r="A73" t="s">
        <v>206</v>
      </c>
      <c r="B73" t="s">
        <v>1217</v>
      </c>
      <c r="C73" t="s">
        <v>1115</v>
      </c>
      <c r="D73" t="s">
        <v>96</v>
      </c>
      <c r="E73">
        <v>1173</v>
      </c>
      <c r="F73" s="1">
        <v>46175</v>
      </c>
      <c r="G73" t="s">
        <v>1219</v>
      </c>
      <c r="H73" t="s">
        <v>1210</v>
      </c>
      <c r="I73">
        <v>4.43</v>
      </c>
      <c r="J73">
        <v>63</v>
      </c>
      <c r="K73">
        <v>115</v>
      </c>
      <c r="L73" t="s">
        <v>1210</v>
      </c>
      <c r="M73">
        <v>2</v>
      </c>
    </row>
    <row r="74" spans="1:13" x14ac:dyDescent="0.45">
      <c r="A74" t="s">
        <v>182</v>
      </c>
      <c r="B74" t="s">
        <v>1217</v>
      </c>
      <c r="C74" t="s">
        <v>1120</v>
      </c>
      <c r="D74" t="s">
        <v>41</v>
      </c>
      <c r="E74">
        <v>1251</v>
      </c>
      <c r="F74" s="1">
        <v>46176</v>
      </c>
      <c r="G74" t="s">
        <v>1219</v>
      </c>
      <c r="H74" t="s">
        <v>1210</v>
      </c>
      <c r="I74">
        <v>6.24</v>
      </c>
      <c r="J74">
        <v>146</v>
      </c>
      <c r="K74">
        <v>24</v>
      </c>
      <c r="L74" t="s">
        <v>1210</v>
      </c>
      <c r="M74">
        <v>1</v>
      </c>
    </row>
    <row r="75" spans="1:13" x14ac:dyDescent="0.45">
      <c r="A75" t="s">
        <v>205</v>
      </c>
      <c r="B75" t="s">
        <v>1225</v>
      </c>
      <c r="C75" t="s">
        <v>1125</v>
      </c>
      <c r="D75" t="s">
        <v>41</v>
      </c>
      <c r="E75">
        <v>3695</v>
      </c>
      <c r="F75" s="1">
        <v>46173</v>
      </c>
      <c r="G75" t="s">
        <v>1219</v>
      </c>
      <c r="H75" t="s">
        <v>1210</v>
      </c>
      <c r="I75">
        <v>6.24</v>
      </c>
      <c r="J75">
        <v>146</v>
      </c>
      <c r="K75">
        <v>24</v>
      </c>
      <c r="L75" t="s">
        <v>1210</v>
      </c>
      <c r="M75">
        <v>4</v>
      </c>
    </row>
    <row r="76" spans="1:13" x14ac:dyDescent="0.45">
      <c r="A76" t="s">
        <v>149</v>
      </c>
      <c r="B76" t="s">
        <v>1225</v>
      </c>
      <c r="C76" t="s">
        <v>1118</v>
      </c>
      <c r="D76" t="s">
        <v>78</v>
      </c>
      <c r="E76">
        <v>1961</v>
      </c>
      <c r="F76" s="1">
        <v>46162</v>
      </c>
      <c r="G76" t="s">
        <v>1219</v>
      </c>
      <c r="H76" t="s">
        <v>1210</v>
      </c>
      <c r="I76">
        <v>11.26</v>
      </c>
      <c r="J76">
        <v>129</v>
      </c>
      <c r="K76">
        <v>24</v>
      </c>
      <c r="L76" t="s">
        <v>1210</v>
      </c>
      <c r="M76">
        <v>15</v>
      </c>
    </row>
    <row r="77" spans="1:13" x14ac:dyDescent="0.45">
      <c r="A77" t="s">
        <v>167</v>
      </c>
      <c r="B77" t="s">
        <v>1223</v>
      </c>
      <c r="C77" t="s">
        <v>1122</v>
      </c>
      <c r="D77" t="s">
        <v>45</v>
      </c>
      <c r="E77">
        <v>1093</v>
      </c>
      <c r="F77" s="1">
        <v>46175</v>
      </c>
      <c r="G77" t="s">
        <v>1219</v>
      </c>
      <c r="H77" t="s">
        <v>1210</v>
      </c>
      <c r="I77">
        <v>17.47</v>
      </c>
      <c r="J77">
        <v>65</v>
      </c>
      <c r="K77">
        <v>216</v>
      </c>
      <c r="L77" t="s">
        <v>1210</v>
      </c>
      <c r="M77">
        <v>2</v>
      </c>
    </row>
    <row r="78" spans="1:13" x14ac:dyDescent="0.45">
      <c r="A78" t="s">
        <v>151</v>
      </c>
      <c r="B78" t="s">
        <v>1217</v>
      </c>
      <c r="C78" t="s">
        <v>1120</v>
      </c>
      <c r="D78" t="s">
        <v>1135</v>
      </c>
      <c r="E78">
        <v>1531</v>
      </c>
      <c r="F78" s="1">
        <v>46176</v>
      </c>
      <c r="G78" t="s">
        <v>1219</v>
      </c>
      <c r="H78" t="s">
        <v>1210</v>
      </c>
      <c r="I78">
        <v>13.31</v>
      </c>
      <c r="J78">
        <v>89</v>
      </c>
      <c r="K78">
        <v>313</v>
      </c>
      <c r="L78" t="s">
        <v>1210</v>
      </c>
      <c r="M78">
        <v>1</v>
      </c>
    </row>
    <row r="79" spans="1:13" x14ac:dyDescent="0.45">
      <c r="A79" t="s">
        <v>159</v>
      </c>
      <c r="B79" t="s">
        <v>1225</v>
      </c>
      <c r="C79" t="s">
        <v>1128</v>
      </c>
      <c r="D79" t="s">
        <v>47</v>
      </c>
      <c r="E79">
        <v>1446</v>
      </c>
      <c r="F79" s="1">
        <v>46175</v>
      </c>
      <c r="G79" t="s">
        <v>1219</v>
      </c>
      <c r="H79" t="s">
        <v>1210</v>
      </c>
      <c r="I79">
        <v>15.14</v>
      </c>
      <c r="J79">
        <v>117</v>
      </c>
      <c r="K79">
        <v>484</v>
      </c>
      <c r="L79" t="s">
        <v>1210</v>
      </c>
      <c r="M79">
        <v>2</v>
      </c>
    </row>
    <row r="80" spans="1:13" x14ac:dyDescent="0.45">
      <c r="A80" t="s">
        <v>177</v>
      </c>
      <c r="B80" t="s">
        <v>1225</v>
      </c>
      <c r="C80" t="s">
        <v>1119</v>
      </c>
      <c r="D80" t="s">
        <v>47</v>
      </c>
      <c r="E80">
        <v>1431</v>
      </c>
      <c r="F80" s="1">
        <v>46175</v>
      </c>
      <c r="G80" t="s">
        <v>1219</v>
      </c>
      <c r="H80" t="s">
        <v>1210</v>
      </c>
      <c r="I80">
        <v>15.14</v>
      </c>
      <c r="J80">
        <v>117</v>
      </c>
      <c r="K80">
        <v>484</v>
      </c>
      <c r="L80" t="s">
        <v>1210</v>
      </c>
      <c r="M80">
        <v>2</v>
      </c>
    </row>
    <row r="81" spans="1:13" x14ac:dyDescent="0.45">
      <c r="A81" t="s">
        <v>152</v>
      </c>
      <c r="B81" t="s">
        <v>1217</v>
      </c>
      <c r="C81" t="s">
        <v>1126</v>
      </c>
      <c r="D81" t="s">
        <v>81</v>
      </c>
      <c r="E81">
        <v>929</v>
      </c>
      <c r="F81" s="1">
        <v>46176</v>
      </c>
      <c r="G81" t="s">
        <v>1219</v>
      </c>
      <c r="H81" t="s">
        <v>1210</v>
      </c>
      <c r="I81">
        <v>20.5</v>
      </c>
      <c r="J81">
        <v>64</v>
      </c>
      <c r="K81">
        <v>359</v>
      </c>
      <c r="L81" t="s">
        <v>1210</v>
      </c>
      <c r="M81">
        <v>1</v>
      </c>
    </row>
    <row r="82" spans="1:13" x14ac:dyDescent="0.45">
      <c r="A82" t="s">
        <v>153</v>
      </c>
      <c r="B82" t="s">
        <v>1223</v>
      </c>
      <c r="C82" t="s">
        <v>1127</v>
      </c>
      <c r="D82" t="s">
        <v>48</v>
      </c>
      <c r="E82">
        <v>1891</v>
      </c>
      <c r="F82" s="1">
        <v>46175</v>
      </c>
      <c r="G82" t="s">
        <v>1221</v>
      </c>
      <c r="H82" t="s">
        <v>1210</v>
      </c>
      <c r="I82">
        <v>5.49</v>
      </c>
      <c r="J82">
        <v>62</v>
      </c>
      <c r="K82">
        <v>91</v>
      </c>
      <c r="L82" t="s">
        <v>1210</v>
      </c>
      <c r="M82">
        <v>2</v>
      </c>
    </row>
    <row r="83" spans="1:13" x14ac:dyDescent="0.45">
      <c r="A83" t="s">
        <v>207</v>
      </c>
      <c r="B83" t="s">
        <v>1223</v>
      </c>
      <c r="C83" t="s">
        <v>1124</v>
      </c>
      <c r="D83" t="s">
        <v>48</v>
      </c>
      <c r="E83">
        <v>565</v>
      </c>
      <c r="F83" s="1">
        <v>46176</v>
      </c>
      <c r="G83" t="s">
        <v>1219</v>
      </c>
      <c r="H83" t="s">
        <v>1210</v>
      </c>
      <c r="I83">
        <v>5.49</v>
      </c>
      <c r="J83">
        <v>62</v>
      </c>
      <c r="K83">
        <v>91</v>
      </c>
      <c r="L83" t="s">
        <v>1210</v>
      </c>
      <c r="M83">
        <v>1</v>
      </c>
    </row>
    <row r="84" spans="1:13" x14ac:dyDescent="0.45">
      <c r="A84" t="s">
        <v>156</v>
      </c>
      <c r="B84" t="s">
        <v>1223</v>
      </c>
      <c r="C84" t="s">
        <v>1122</v>
      </c>
      <c r="D84" t="s">
        <v>108</v>
      </c>
      <c r="E84">
        <v>976</v>
      </c>
      <c r="F84" s="1">
        <v>46176</v>
      </c>
      <c r="G84" t="s">
        <v>1219</v>
      </c>
      <c r="H84" t="s">
        <v>1210</v>
      </c>
      <c r="I84">
        <v>19.95</v>
      </c>
      <c r="J84">
        <v>78</v>
      </c>
      <c r="K84">
        <v>276</v>
      </c>
      <c r="L84" t="s">
        <v>1210</v>
      </c>
      <c r="M84">
        <v>1</v>
      </c>
    </row>
    <row r="85" spans="1:13" x14ac:dyDescent="0.45">
      <c r="A85" t="s">
        <v>174</v>
      </c>
      <c r="B85" t="s">
        <v>1217</v>
      </c>
      <c r="C85" t="s">
        <v>1126</v>
      </c>
      <c r="D85" t="s">
        <v>108</v>
      </c>
      <c r="E85">
        <v>1003</v>
      </c>
      <c r="F85" s="1">
        <v>46176</v>
      </c>
      <c r="G85" t="s">
        <v>1219</v>
      </c>
      <c r="H85" t="s">
        <v>1210</v>
      </c>
      <c r="I85">
        <v>19.95</v>
      </c>
      <c r="J85">
        <v>78</v>
      </c>
      <c r="K85">
        <v>276</v>
      </c>
      <c r="L85" t="s">
        <v>1210</v>
      </c>
      <c r="M85">
        <v>1</v>
      </c>
    </row>
    <row r="86" spans="1:13" x14ac:dyDescent="0.45">
      <c r="A86" t="s">
        <v>185</v>
      </c>
      <c r="B86" t="s">
        <v>1225</v>
      </c>
      <c r="C86" t="s">
        <v>1125</v>
      </c>
      <c r="D86" t="s">
        <v>108</v>
      </c>
      <c r="E86">
        <v>1151</v>
      </c>
      <c r="F86" s="1">
        <v>46174</v>
      </c>
      <c r="G86" t="s">
        <v>1219</v>
      </c>
      <c r="H86" t="s">
        <v>1210</v>
      </c>
      <c r="I86">
        <v>19.95</v>
      </c>
      <c r="J86">
        <v>78</v>
      </c>
      <c r="K86">
        <v>276</v>
      </c>
      <c r="L86" t="s">
        <v>1210</v>
      </c>
      <c r="M86">
        <v>3</v>
      </c>
    </row>
    <row r="87" spans="1:13" x14ac:dyDescent="0.45">
      <c r="A87" t="s">
        <v>187</v>
      </c>
      <c r="B87" t="s">
        <v>1223</v>
      </c>
      <c r="C87" t="s">
        <v>1121</v>
      </c>
      <c r="D87" t="s">
        <v>108</v>
      </c>
      <c r="E87">
        <v>491</v>
      </c>
      <c r="F87" s="1">
        <v>46175</v>
      </c>
      <c r="G87" t="s">
        <v>1219</v>
      </c>
      <c r="H87" t="s">
        <v>1210</v>
      </c>
      <c r="I87">
        <v>19.95</v>
      </c>
      <c r="J87">
        <v>78</v>
      </c>
      <c r="K87">
        <v>276</v>
      </c>
      <c r="L87" t="s">
        <v>1210</v>
      </c>
      <c r="M87">
        <v>2</v>
      </c>
    </row>
    <row r="88" spans="1:13" x14ac:dyDescent="0.45">
      <c r="A88" t="s">
        <v>197</v>
      </c>
      <c r="B88" t="s">
        <v>1223</v>
      </c>
      <c r="C88" t="s">
        <v>1117</v>
      </c>
      <c r="D88" t="s">
        <v>108</v>
      </c>
      <c r="E88">
        <v>1162</v>
      </c>
      <c r="F88" s="1">
        <v>46176</v>
      </c>
      <c r="G88" t="s">
        <v>1219</v>
      </c>
      <c r="H88" t="s">
        <v>1210</v>
      </c>
      <c r="I88">
        <v>19.95</v>
      </c>
      <c r="J88">
        <v>78</v>
      </c>
      <c r="K88">
        <v>276</v>
      </c>
      <c r="L88" t="s">
        <v>1210</v>
      </c>
      <c r="M88">
        <v>1</v>
      </c>
    </row>
    <row r="89" spans="1:13" x14ac:dyDescent="0.45">
      <c r="A89" t="s">
        <v>162</v>
      </c>
      <c r="B89" t="s">
        <v>1217</v>
      </c>
      <c r="C89" t="s">
        <v>1116</v>
      </c>
      <c r="D89" t="s">
        <v>53</v>
      </c>
      <c r="E89">
        <v>2124</v>
      </c>
      <c r="F89" s="1">
        <v>46176</v>
      </c>
      <c r="G89" t="s">
        <v>1219</v>
      </c>
      <c r="H89" t="s">
        <v>1210</v>
      </c>
      <c r="I89">
        <v>10.029999999999999</v>
      </c>
      <c r="J89">
        <v>126</v>
      </c>
      <c r="K89">
        <v>17</v>
      </c>
      <c r="L89" t="s">
        <v>1210</v>
      </c>
      <c r="M89">
        <v>1</v>
      </c>
    </row>
    <row r="90" spans="1:13" x14ac:dyDescent="0.45">
      <c r="A90" t="s">
        <v>163</v>
      </c>
      <c r="B90" t="s">
        <v>1225</v>
      </c>
      <c r="C90" t="s">
        <v>1125</v>
      </c>
      <c r="D90" t="s">
        <v>101</v>
      </c>
      <c r="E90">
        <v>1878</v>
      </c>
      <c r="F90" s="1">
        <v>46174</v>
      </c>
      <c r="G90" t="s">
        <v>1219</v>
      </c>
      <c r="H90" t="s">
        <v>1210</v>
      </c>
      <c r="I90">
        <v>3.56</v>
      </c>
      <c r="J90">
        <v>64</v>
      </c>
      <c r="K90">
        <v>92</v>
      </c>
      <c r="L90" t="s">
        <v>1210</v>
      </c>
      <c r="M90">
        <v>3</v>
      </c>
    </row>
    <row r="91" spans="1:13" x14ac:dyDescent="0.45">
      <c r="A91" t="s">
        <v>168</v>
      </c>
      <c r="B91" t="s">
        <v>1225</v>
      </c>
      <c r="C91" t="s">
        <v>1128</v>
      </c>
      <c r="D91" t="s">
        <v>91</v>
      </c>
      <c r="E91">
        <v>1579</v>
      </c>
      <c r="F91" s="1">
        <v>46175</v>
      </c>
      <c r="G91" t="s">
        <v>1219</v>
      </c>
      <c r="H91" t="s">
        <v>1210</v>
      </c>
      <c r="I91">
        <v>13.9</v>
      </c>
      <c r="J91">
        <v>69</v>
      </c>
      <c r="K91">
        <v>106</v>
      </c>
      <c r="L91" t="s">
        <v>1210</v>
      </c>
      <c r="M91">
        <v>2</v>
      </c>
    </row>
    <row r="92" spans="1:13" x14ac:dyDescent="0.45">
      <c r="A92" t="s">
        <v>210</v>
      </c>
      <c r="B92" t="s">
        <v>1217</v>
      </c>
      <c r="C92" t="s">
        <v>1114</v>
      </c>
      <c r="D92" t="s">
        <v>91</v>
      </c>
      <c r="E92">
        <v>1444</v>
      </c>
      <c r="F92" s="1">
        <v>46175</v>
      </c>
      <c r="G92" t="s">
        <v>1219</v>
      </c>
      <c r="H92" t="s">
        <v>1210</v>
      </c>
      <c r="I92">
        <v>13.9</v>
      </c>
      <c r="J92">
        <v>69</v>
      </c>
      <c r="K92">
        <v>106</v>
      </c>
      <c r="L92" t="s">
        <v>1210</v>
      </c>
      <c r="M92">
        <v>2</v>
      </c>
    </row>
    <row r="93" spans="1:13" x14ac:dyDescent="0.45">
      <c r="A93" t="s">
        <v>170</v>
      </c>
      <c r="B93" t="s">
        <v>1217</v>
      </c>
      <c r="C93" t="s">
        <v>1114</v>
      </c>
      <c r="D93" t="s">
        <v>65</v>
      </c>
      <c r="E93">
        <v>2215</v>
      </c>
      <c r="F93" s="1">
        <v>46165</v>
      </c>
      <c r="G93" t="s">
        <v>1219</v>
      </c>
      <c r="H93" t="s">
        <v>1210</v>
      </c>
      <c r="I93">
        <v>9.8000000000000007</v>
      </c>
      <c r="J93">
        <v>83</v>
      </c>
      <c r="K93">
        <v>15</v>
      </c>
      <c r="L93" t="s">
        <v>1210</v>
      </c>
      <c r="M93">
        <v>12</v>
      </c>
    </row>
    <row r="94" spans="1:13" x14ac:dyDescent="0.45">
      <c r="A94" t="s">
        <v>203</v>
      </c>
      <c r="B94" t="s">
        <v>1225</v>
      </c>
      <c r="C94" t="s">
        <v>1123</v>
      </c>
      <c r="D94" t="s">
        <v>65</v>
      </c>
      <c r="E94">
        <v>2025</v>
      </c>
      <c r="F94" s="1">
        <v>46165</v>
      </c>
      <c r="G94" t="s">
        <v>1219</v>
      </c>
      <c r="H94" t="s">
        <v>1210</v>
      </c>
      <c r="I94">
        <v>9.8000000000000007</v>
      </c>
      <c r="J94">
        <v>83</v>
      </c>
      <c r="K94">
        <v>15</v>
      </c>
      <c r="L94" t="s">
        <v>1210</v>
      </c>
      <c r="M94">
        <v>12</v>
      </c>
    </row>
    <row r="95" spans="1:13" x14ac:dyDescent="0.45">
      <c r="A95" t="s">
        <v>171</v>
      </c>
      <c r="B95" t="s">
        <v>1223</v>
      </c>
      <c r="C95" t="s">
        <v>1117</v>
      </c>
      <c r="D95" t="s">
        <v>93</v>
      </c>
      <c r="E95">
        <v>826</v>
      </c>
      <c r="F95" s="1">
        <v>46176</v>
      </c>
      <c r="G95" t="s">
        <v>1219</v>
      </c>
      <c r="H95" t="s">
        <v>1210</v>
      </c>
      <c r="J95">
        <v>98</v>
      </c>
      <c r="K95">
        <v>359</v>
      </c>
      <c r="L95" t="s">
        <v>1210</v>
      </c>
      <c r="M95">
        <v>1</v>
      </c>
    </row>
    <row r="96" spans="1:13" x14ac:dyDescent="0.45">
      <c r="A96" t="s">
        <v>172</v>
      </c>
      <c r="B96" t="s">
        <v>1225</v>
      </c>
      <c r="C96" t="s">
        <v>1125</v>
      </c>
      <c r="D96" t="s">
        <v>109</v>
      </c>
      <c r="E96">
        <v>1859</v>
      </c>
      <c r="F96" s="1">
        <v>46174</v>
      </c>
      <c r="G96" t="s">
        <v>1219</v>
      </c>
      <c r="H96" t="s">
        <v>1210</v>
      </c>
      <c r="I96">
        <v>12.09</v>
      </c>
      <c r="J96">
        <v>80</v>
      </c>
      <c r="K96">
        <v>138</v>
      </c>
      <c r="L96" t="s">
        <v>1210</v>
      </c>
      <c r="M96">
        <v>3</v>
      </c>
    </row>
    <row r="97" spans="1:13" x14ac:dyDescent="0.45">
      <c r="A97" t="s">
        <v>189</v>
      </c>
      <c r="B97" t="s">
        <v>1223</v>
      </c>
      <c r="C97" t="s">
        <v>1117</v>
      </c>
      <c r="D97" t="s">
        <v>109</v>
      </c>
      <c r="E97">
        <v>1899</v>
      </c>
      <c r="F97" s="1">
        <v>46176</v>
      </c>
      <c r="G97" t="s">
        <v>1219</v>
      </c>
      <c r="H97" t="s">
        <v>1210</v>
      </c>
      <c r="I97">
        <v>12.09</v>
      </c>
      <c r="J97">
        <v>80</v>
      </c>
      <c r="K97">
        <v>138</v>
      </c>
      <c r="L97" t="s">
        <v>1210</v>
      </c>
      <c r="M97">
        <v>1</v>
      </c>
    </row>
    <row r="98" spans="1:13" x14ac:dyDescent="0.45">
      <c r="A98" t="s">
        <v>180</v>
      </c>
      <c r="B98" t="s">
        <v>1217</v>
      </c>
      <c r="C98" t="s">
        <v>1116</v>
      </c>
      <c r="D98" t="s">
        <v>84</v>
      </c>
      <c r="E98">
        <v>609</v>
      </c>
      <c r="F98" s="1">
        <v>46173</v>
      </c>
      <c r="G98" t="s">
        <v>1219</v>
      </c>
      <c r="H98" t="s">
        <v>1210</v>
      </c>
      <c r="I98">
        <v>9.8699999999999992</v>
      </c>
      <c r="J98">
        <v>88</v>
      </c>
      <c r="K98">
        <v>25</v>
      </c>
      <c r="L98" t="s">
        <v>1210</v>
      </c>
      <c r="M98">
        <v>4</v>
      </c>
    </row>
    <row r="99" spans="1:13" x14ac:dyDescent="0.45">
      <c r="A99" t="s">
        <v>181</v>
      </c>
      <c r="B99" t="s">
        <v>1225</v>
      </c>
      <c r="C99" t="s">
        <v>1128</v>
      </c>
      <c r="D99" t="s">
        <v>89</v>
      </c>
      <c r="E99">
        <v>1491</v>
      </c>
      <c r="F99" s="1">
        <v>46176</v>
      </c>
      <c r="G99" t="s">
        <v>1219</v>
      </c>
      <c r="H99" t="s">
        <v>1210</v>
      </c>
      <c r="I99">
        <v>13.67</v>
      </c>
      <c r="J99">
        <v>78</v>
      </c>
      <c r="K99">
        <v>247</v>
      </c>
      <c r="L99" t="s">
        <v>1210</v>
      </c>
      <c r="M99">
        <v>1</v>
      </c>
    </row>
    <row r="100" spans="1:13" x14ac:dyDescent="0.45">
      <c r="A100" t="s">
        <v>184</v>
      </c>
      <c r="B100" t="s">
        <v>1223</v>
      </c>
      <c r="C100" t="s">
        <v>1122</v>
      </c>
      <c r="D100" t="s">
        <v>110</v>
      </c>
      <c r="E100">
        <v>3302</v>
      </c>
      <c r="F100" s="1">
        <v>46176</v>
      </c>
      <c r="G100" t="s">
        <v>1219</v>
      </c>
      <c r="H100" t="s">
        <v>1210</v>
      </c>
      <c r="I100">
        <v>6.16</v>
      </c>
      <c r="J100">
        <v>104</v>
      </c>
      <c r="K100">
        <v>67</v>
      </c>
      <c r="L100" t="s">
        <v>1210</v>
      </c>
      <c r="M100">
        <v>1</v>
      </c>
    </row>
    <row r="101" spans="1:13" x14ac:dyDescent="0.45">
      <c r="A101" t="s">
        <v>192</v>
      </c>
      <c r="B101" t="s">
        <v>1217</v>
      </c>
      <c r="C101" t="s">
        <v>1115</v>
      </c>
      <c r="D101" t="s">
        <v>80</v>
      </c>
      <c r="E101">
        <v>2523</v>
      </c>
      <c r="F101" s="1">
        <v>46174</v>
      </c>
      <c r="G101" t="s">
        <v>1219</v>
      </c>
      <c r="H101" t="s">
        <v>1210</v>
      </c>
      <c r="I101">
        <v>8.75</v>
      </c>
      <c r="J101">
        <v>123</v>
      </c>
      <c r="K101">
        <v>341</v>
      </c>
      <c r="L101" t="s">
        <v>1210</v>
      </c>
      <c r="M101">
        <v>3</v>
      </c>
    </row>
    <row r="102" spans="1:13" x14ac:dyDescent="0.45">
      <c r="A102" t="s">
        <v>200</v>
      </c>
      <c r="B102" t="s">
        <v>1225</v>
      </c>
      <c r="C102" t="s">
        <v>1118</v>
      </c>
      <c r="D102" t="s">
        <v>95</v>
      </c>
      <c r="E102">
        <v>1279</v>
      </c>
      <c r="F102" s="1">
        <v>46173</v>
      </c>
      <c r="G102" t="s">
        <v>1219</v>
      </c>
      <c r="H102" t="s">
        <v>1210</v>
      </c>
      <c r="I102">
        <v>14.82</v>
      </c>
      <c r="J102">
        <v>132</v>
      </c>
      <c r="K102">
        <v>373</v>
      </c>
      <c r="L102" t="s">
        <v>1210</v>
      </c>
      <c r="M102">
        <v>4</v>
      </c>
    </row>
    <row r="103" spans="1:13" x14ac:dyDescent="0.45">
      <c r="A103" t="s">
        <v>215</v>
      </c>
      <c r="B103" t="s">
        <v>1217</v>
      </c>
      <c r="C103" t="s">
        <v>1126</v>
      </c>
      <c r="D103" t="s">
        <v>31</v>
      </c>
      <c r="E103">
        <v>2461</v>
      </c>
      <c r="F103" s="1">
        <v>46176</v>
      </c>
      <c r="G103" t="s">
        <v>1219</v>
      </c>
      <c r="H103" t="s">
        <v>1210</v>
      </c>
      <c r="I103">
        <v>8.67</v>
      </c>
      <c r="J103">
        <v>124</v>
      </c>
      <c r="K103">
        <v>512</v>
      </c>
      <c r="L103" t="s">
        <v>1210</v>
      </c>
      <c r="M103">
        <v>1</v>
      </c>
    </row>
    <row r="104" spans="1:13" x14ac:dyDescent="0.45">
      <c r="A104" t="s">
        <v>216</v>
      </c>
      <c r="B104" t="s">
        <v>1225</v>
      </c>
      <c r="C104" t="s">
        <v>1119</v>
      </c>
      <c r="D104" t="s">
        <v>81</v>
      </c>
      <c r="E104">
        <v>1039</v>
      </c>
      <c r="F104" s="1">
        <v>46175</v>
      </c>
      <c r="G104" t="s">
        <v>1219</v>
      </c>
      <c r="H104" t="s">
        <v>1210</v>
      </c>
      <c r="I104">
        <v>20.5</v>
      </c>
      <c r="J104">
        <v>64</v>
      </c>
      <c r="K104">
        <v>359</v>
      </c>
      <c r="L104" t="s">
        <v>1210</v>
      </c>
      <c r="M104">
        <v>2</v>
      </c>
    </row>
    <row r="105" spans="1:13" x14ac:dyDescent="0.45">
      <c r="A105" t="s">
        <v>217</v>
      </c>
      <c r="B105" t="s">
        <v>1217</v>
      </c>
      <c r="C105" t="s">
        <v>1115</v>
      </c>
      <c r="D105" t="s">
        <v>28</v>
      </c>
      <c r="E105">
        <v>2399</v>
      </c>
      <c r="F105" s="1">
        <v>46166</v>
      </c>
      <c r="G105" t="s">
        <v>1219</v>
      </c>
      <c r="H105" t="s">
        <v>1210</v>
      </c>
      <c r="I105">
        <v>8.94</v>
      </c>
      <c r="J105">
        <v>100</v>
      </c>
      <c r="K105">
        <v>17</v>
      </c>
      <c r="L105" t="s">
        <v>1210</v>
      </c>
      <c r="M105">
        <v>11</v>
      </c>
    </row>
    <row r="106" spans="1:13" x14ac:dyDescent="0.45">
      <c r="A106" t="s">
        <v>218</v>
      </c>
      <c r="B106" t="s">
        <v>1223</v>
      </c>
      <c r="C106" t="s">
        <v>1117</v>
      </c>
      <c r="D106" t="s">
        <v>49</v>
      </c>
      <c r="E106">
        <v>450</v>
      </c>
      <c r="F106" s="1">
        <v>46176</v>
      </c>
      <c r="G106" t="s">
        <v>1219</v>
      </c>
      <c r="H106" t="s">
        <v>1210</v>
      </c>
      <c r="I106">
        <v>21.99</v>
      </c>
      <c r="J106">
        <v>67</v>
      </c>
      <c r="K106">
        <v>213</v>
      </c>
      <c r="L106" t="s">
        <v>1210</v>
      </c>
      <c r="M106">
        <v>1</v>
      </c>
    </row>
    <row r="107" spans="1:13" x14ac:dyDescent="0.45">
      <c r="A107" t="s">
        <v>219</v>
      </c>
      <c r="B107" t="s">
        <v>1223</v>
      </c>
      <c r="C107" t="s">
        <v>1124</v>
      </c>
      <c r="D107" t="s">
        <v>31</v>
      </c>
      <c r="E107">
        <v>943</v>
      </c>
      <c r="F107" s="1">
        <v>46176</v>
      </c>
      <c r="G107" t="s">
        <v>1219</v>
      </c>
      <c r="H107" t="s">
        <v>1210</v>
      </c>
      <c r="I107">
        <v>8.67</v>
      </c>
      <c r="J107">
        <v>124</v>
      </c>
      <c r="K107">
        <v>512</v>
      </c>
      <c r="L107" t="s">
        <v>1210</v>
      </c>
      <c r="M107">
        <v>1</v>
      </c>
    </row>
    <row r="108" spans="1:13" x14ac:dyDescent="0.45">
      <c r="A108" t="s">
        <v>220</v>
      </c>
      <c r="B108" t="s">
        <v>1225</v>
      </c>
      <c r="C108" t="s">
        <v>1118</v>
      </c>
      <c r="D108" t="s">
        <v>87</v>
      </c>
      <c r="E108">
        <v>1141</v>
      </c>
      <c r="F108" s="1">
        <v>46172</v>
      </c>
      <c r="G108" t="s">
        <v>1219</v>
      </c>
      <c r="H108" t="s">
        <v>1210</v>
      </c>
      <c r="I108">
        <v>17.28</v>
      </c>
      <c r="J108">
        <v>97</v>
      </c>
      <c r="K108">
        <v>271</v>
      </c>
      <c r="L108" t="s">
        <v>1210</v>
      </c>
      <c r="M108">
        <v>5</v>
      </c>
    </row>
    <row r="109" spans="1:13" x14ac:dyDescent="0.45">
      <c r="A109" t="s">
        <v>221</v>
      </c>
      <c r="B109" t="s">
        <v>1225</v>
      </c>
      <c r="C109" t="s">
        <v>1128</v>
      </c>
      <c r="D109" t="s">
        <v>74</v>
      </c>
      <c r="E109">
        <v>548</v>
      </c>
      <c r="F109" s="1">
        <v>46175</v>
      </c>
      <c r="G109" t="s">
        <v>1219</v>
      </c>
      <c r="H109" t="s">
        <v>1210</v>
      </c>
      <c r="I109">
        <v>12.77</v>
      </c>
      <c r="J109">
        <v>96</v>
      </c>
      <c r="K109">
        <v>122</v>
      </c>
      <c r="L109" t="s">
        <v>1210</v>
      </c>
      <c r="M109">
        <v>2</v>
      </c>
    </row>
    <row r="110" spans="1:13" x14ac:dyDescent="0.45">
      <c r="A110" t="s">
        <v>222</v>
      </c>
      <c r="B110" t="s">
        <v>1217</v>
      </c>
      <c r="C110" t="s">
        <v>1120</v>
      </c>
      <c r="D110" t="s">
        <v>27</v>
      </c>
      <c r="E110">
        <v>1074</v>
      </c>
      <c r="F110" s="1">
        <v>46176</v>
      </c>
      <c r="G110" t="s">
        <v>1219</v>
      </c>
      <c r="H110" t="s">
        <v>1210</v>
      </c>
      <c r="I110">
        <v>4.37</v>
      </c>
      <c r="J110">
        <v>58</v>
      </c>
      <c r="K110">
        <v>92</v>
      </c>
      <c r="L110" t="s">
        <v>1210</v>
      </c>
      <c r="M110">
        <v>1</v>
      </c>
    </row>
    <row r="111" spans="1:13" x14ac:dyDescent="0.45">
      <c r="A111" t="s">
        <v>223</v>
      </c>
      <c r="B111" t="s">
        <v>1217</v>
      </c>
      <c r="C111" t="s">
        <v>1116</v>
      </c>
      <c r="D111" t="s">
        <v>54</v>
      </c>
      <c r="E111">
        <v>1507</v>
      </c>
      <c r="F111" s="1">
        <v>46172</v>
      </c>
      <c r="G111" t="s">
        <v>1219</v>
      </c>
      <c r="H111" t="s">
        <v>1210</v>
      </c>
      <c r="I111">
        <v>12.85</v>
      </c>
      <c r="J111">
        <v>91</v>
      </c>
      <c r="K111">
        <v>297</v>
      </c>
      <c r="L111" t="s">
        <v>1210</v>
      </c>
      <c r="M111">
        <v>5</v>
      </c>
    </row>
    <row r="112" spans="1:13" x14ac:dyDescent="0.45">
      <c r="A112" t="s">
        <v>224</v>
      </c>
      <c r="B112" t="s">
        <v>1217</v>
      </c>
      <c r="C112" t="s">
        <v>1114</v>
      </c>
      <c r="D112" t="s">
        <v>66</v>
      </c>
      <c r="E112">
        <v>874</v>
      </c>
      <c r="F112" s="1">
        <v>46176</v>
      </c>
      <c r="G112" t="s">
        <v>1219</v>
      </c>
      <c r="H112" t="s">
        <v>1210</v>
      </c>
      <c r="I112">
        <v>23.39</v>
      </c>
      <c r="J112">
        <v>79</v>
      </c>
      <c r="K112">
        <v>329</v>
      </c>
      <c r="L112" t="s">
        <v>1210</v>
      </c>
      <c r="M112">
        <v>1</v>
      </c>
    </row>
    <row r="113" spans="1:13" x14ac:dyDescent="0.45">
      <c r="A113" t="s">
        <v>225</v>
      </c>
      <c r="B113" t="s">
        <v>1217</v>
      </c>
      <c r="C113" t="s">
        <v>1114</v>
      </c>
      <c r="D113" t="s">
        <v>25</v>
      </c>
      <c r="E113">
        <v>669</v>
      </c>
      <c r="F113" s="1">
        <v>46173</v>
      </c>
      <c r="G113" t="s">
        <v>1219</v>
      </c>
      <c r="H113" t="s">
        <v>1210</v>
      </c>
      <c r="I113">
        <v>10.37</v>
      </c>
      <c r="J113">
        <v>100</v>
      </c>
      <c r="K113">
        <v>24</v>
      </c>
      <c r="L113" t="s">
        <v>1210</v>
      </c>
      <c r="M113">
        <v>4</v>
      </c>
    </row>
    <row r="114" spans="1:13" x14ac:dyDescent="0.45">
      <c r="A114" t="s">
        <v>226</v>
      </c>
      <c r="B114" t="s">
        <v>1225</v>
      </c>
      <c r="C114" t="s">
        <v>1119</v>
      </c>
      <c r="D114" t="s">
        <v>50</v>
      </c>
      <c r="E114">
        <v>2319</v>
      </c>
      <c r="F114" s="1">
        <v>46175</v>
      </c>
      <c r="G114" t="s">
        <v>1219</v>
      </c>
      <c r="H114" t="s">
        <v>1210</v>
      </c>
      <c r="I114">
        <v>9.02</v>
      </c>
      <c r="J114">
        <v>114</v>
      </c>
      <c r="K114">
        <v>18</v>
      </c>
      <c r="L114" t="s">
        <v>1210</v>
      </c>
      <c r="M114">
        <v>2</v>
      </c>
    </row>
    <row r="115" spans="1:13" x14ac:dyDescent="0.45">
      <c r="A115" t="s">
        <v>227</v>
      </c>
      <c r="B115" t="s">
        <v>1225</v>
      </c>
      <c r="C115" t="s">
        <v>1118</v>
      </c>
      <c r="D115" t="s">
        <v>107</v>
      </c>
      <c r="E115">
        <v>2368</v>
      </c>
      <c r="F115" s="1">
        <v>46175</v>
      </c>
      <c r="G115" t="s">
        <v>1219</v>
      </c>
      <c r="H115" t="s">
        <v>1210</v>
      </c>
      <c r="I115">
        <v>4.3600000000000003</v>
      </c>
      <c r="J115">
        <v>88</v>
      </c>
      <c r="K115">
        <v>108</v>
      </c>
      <c r="L115" t="s">
        <v>1210</v>
      </c>
      <c r="M115">
        <v>2</v>
      </c>
    </row>
    <row r="116" spans="1:13" x14ac:dyDescent="0.45">
      <c r="A116" t="s">
        <v>228</v>
      </c>
      <c r="B116" t="s">
        <v>1217</v>
      </c>
      <c r="C116" t="s">
        <v>1115</v>
      </c>
      <c r="D116" t="s">
        <v>103</v>
      </c>
      <c r="E116">
        <v>1306</v>
      </c>
      <c r="F116" s="1">
        <v>46175</v>
      </c>
      <c r="G116" t="s">
        <v>1219</v>
      </c>
      <c r="H116" t="s">
        <v>1210</v>
      </c>
      <c r="I116">
        <v>16.66</v>
      </c>
      <c r="J116">
        <v>85</v>
      </c>
      <c r="K116">
        <v>333</v>
      </c>
      <c r="L116" t="s">
        <v>1210</v>
      </c>
      <c r="M116">
        <v>2</v>
      </c>
    </row>
    <row r="117" spans="1:13" x14ac:dyDescent="0.45">
      <c r="A117" t="s">
        <v>229</v>
      </c>
      <c r="B117" t="s">
        <v>1223</v>
      </c>
      <c r="C117" t="s">
        <v>1124</v>
      </c>
      <c r="D117" t="s">
        <v>1133</v>
      </c>
      <c r="E117">
        <v>1070</v>
      </c>
      <c r="F117" s="1">
        <v>46176</v>
      </c>
      <c r="G117" t="s">
        <v>1219</v>
      </c>
      <c r="H117" t="s">
        <v>1210</v>
      </c>
      <c r="I117">
        <v>3.75</v>
      </c>
      <c r="J117">
        <v>41</v>
      </c>
      <c r="K117">
        <v>106</v>
      </c>
      <c r="L117" t="s">
        <v>1210</v>
      </c>
      <c r="M117">
        <v>1</v>
      </c>
    </row>
    <row r="118" spans="1:13" x14ac:dyDescent="0.45">
      <c r="A118" t="s">
        <v>230</v>
      </c>
      <c r="B118" t="s">
        <v>1223</v>
      </c>
      <c r="C118" t="s">
        <v>1127</v>
      </c>
      <c r="D118" t="s">
        <v>57</v>
      </c>
      <c r="E118">
        <v>2324</v>
      </c>
      <c r="F118" s="1">
        <v>46176</v>
      </c>
      <c r="G118" t="s">
        <v>1219</v>
      </c>
      <c r="H118" t="s">
        <v>1210</v>
      </c>
      <c r="I118">
        <v>8.19</v>
      </c>
      <c r="J118">
        <v>82</v>
      </c>
      <c r="K118">
        <v>317</v>
      </c>
      <c r="L118" t="s">
        <v>1210</v>
      </c>
      <c r="M118">
        <v>1</v>
      </c>
    </row>
    <row r="119" spans="1:13" x14ac:dyDescent="0.45">
      <c r="A119" t="s">
        <v>231</v>
      </c>
      <c r="B119" t="s">
        <v>1217</v>
      </c>
      <c r="C119" t="s">
        <v>1115</v>
      </c>
      <c r="D119" t="s">
        <v>57</v>
      </c>
      <c r="E119">
        <v>2122</v>
      </c>
      <c r="F119" s="1">
        <v>46176</v>
      </c>
      <c r="G119" t="s">
        <v>1219</v>
      </c>
      <c r="H119" t="s">
        <v>1210</v>
      </c>
      <c r="I119">
        <v>8.19</v>
      </c>
      <c r="J119">
        <v>82</v>
      </c>
      <c r="K119">
        <v>317</v>
      </c>
      <c r="L119" t="s">
        <v>1210</v>
      </c>
      <c r="M119">
        <v>1</v>
      </c>
    </row>
    <row r="120" spans="1:13" x14ac:dyDescent="0.45">
      <c r="A120" t="s">
        <v>232</v>
      </c>
      <c r="B120" t="s">
        <v>1223</v>
      </c>
      <c r="C120" t="s">
        <v>1122</v>
      </c>
      <c r="D120" t="s">
        <v>85</v>
      </c>
      <c r="E120">
        <v>-25</v>
      </c>
      <c r="F120" s="1">
        <v>46176</v>
      </c>
      <c r="G120" t="s">
        <v>1219</v>
      </c>
      <c r="H120" t="s">
        <v>1233</v>
      </c>
      <c r="I120">
        <v>6.87</v>
      </c>
      <c r="J120">
        <v>101</v>
      </c>
      <c r="K120">
        <v>62</v>
      </c>
      <c r="L120" t="s">
        <v>1210</v>
      </c>
      <c r="M120">
        <v>1</v>
      </c>
    </row>
    <row r="121" spans="1:13" x14ac:dyDescent="0.45">
      <c r="A121" t="s">
        <v>233</v>
      </c>
      <c r="B121" t="s">
        <v>1217</v>
      </c>
      <c r="C121" t="s">
        <v>1114</v>
      </c>
      <c r="D121" t="s">
        <v>77</v>
      </c>
      <c r="E121">
        <v>3779</v>
      </c>
      <c r="F121" s="1">
        <v>46163</v>
      </c>
      <c r="G121" t="s">
        <v>1219</v>
      </c>
      <c r="H121" t="s">
        <v>1210</v>
      </c>
      <c r="I121">
        <v>6.1</v>
      </c>
      <c r="J121">
        <v>137</v>
      </c>
      <c r="K121">
        <v>17</v>
      </c>
      <c r="L121" t="s">
        <v>1210</v>
      </c>
      <c r="M121">
        <v>14</v>
      </c>
    </row>
    <row r="122" spans="1:13" x14ac:dyDescent="0.45">
      <c r="A122" t="s">
        <v>234</v>
      </c>
      <c r="B122" t="s">
        <v>1225</v>
      </c>
      <c r="C122" t="s">
        <v>1118</v>
      </c>
      <c r="D122" t="s">
        <v>101</v>
      </c>
      <c r="E122">
        <v>1217</v>
      </c>
      <c r="F122" s="1">
        <v>46174</v>
      </c>
      <c r="G122" t="s">
        <v>1219</v>
      </c>
      <c r="H122" t="s">
        <v>1210</v>
      </c>
      <c r="I122">
        <v>3.56</v>
      </c>
      <c r="J122">
        <v>64</v>
      </c>
      <c r="K122">
        <v>92</v>
      </c>
      <c r="L122" t="s">
        <v>1210</v>
      </c>
      <c r="M122">
        <v>3</v>
      </c>
    </row>
    <row r="123" spans="1:13" x14ac:dyDescent="0.45">
      <c r="A123" t="s">
        <v>235</v>
      </c>
      <c r="B123" t="s">
        <v>1217</v>
      </c>
      <c r="C123" t="s">
        <v>1126</v>
      </c>
      <c r="D123" t="s">
        <v>28</v>
      </c>
      <c r="E123">
        <v>1002</v>
      </c>
      <c r="F123" s="1">
        <v>46169</v>
      </c>
      <c r="G123" t="s">
        <v>1219</v>
      </c>
      <c r="H123" t="s">
        <v>1210</v>
      </c>
      <c r="I123">
        <v>8.94</v>
      </c>
      <c r="J123">
        <v>100</v>
      </c>
      <c r="K123">
        <v>17</v>
      </c>
      <c r="L123" t="s">
        <v>1210</v>
      </c>
      <c r="M123">
        <v>8</v>
      </c>
    </row>
    <row r="124" spans="1:13" x14ac:dyDescent="0.45">
      <c r="A124" t="s">
        <v>236</v>
      </c>
      <c r="B124" t="s">
        <v>1225</v>
      </c>
      <c r="C124" t="s">
        <v>1119</v>
      </c>
      <c r="D124" t="s">
        <v>29</v>
      </c>
      <c r="E124">
        <v>612</v>
      </c>
      <c r="F124" s="1">
        <v>46175</v>
      </c>
      <c r="G124" t="s">
        <v>1219</v>
      </c>
      <c r="H124" t="s">
        <v>1210</v>
      </c>
      <c r="I124">
        <v>4</v>
      </c>
      <c r="J124">
        <v>58</v>
      </c>
      <c r="K124">
        <v>112</v>
      </c>
      <c r="L124" t="s">
        <v>1210</v>
      </c>
      <c r="M124">
        <v>2</v>
      </c>
    </row>
    <row r="125" spans="1:13" x14ac:dyDescent="0.45">
      <c r="A125" t="s">
        <v>237</v>
      </c>
      <c r="B125" t="s">
        <v>1225</v>
      </c>
      <c r="C125" t="s">
        <v>1125</v>
      </c>
      <c r="D125" t="s">
        <v>81</v>
      </c>
      <c r="E125">
        <v>1043</v>
      </c>
      <c r="F125" s="1">
        <v>46175</v>
      </c>
      <c r="G125" t="s">
        <v>1219</v>
      </c>
      <c r="H125" t="s">
        <v>1210</v>
      </c>
      <c r="I125">
        <v>20.5</v>
      </c>
      <c r="J125">
        <v>64</v>
      </c>
      <c r="K125">
        <v>359</v>
      </c>
      <c r="L125" t="s">
        <v>1210</v>
      </c>
      <c r="M125">
        <v>2</v>
      </c>
    </row>
    <row r="126" spans="1:13" x14ac:dyDescent="0.45">
      <c r="A126" t="s">
        <v>238</v>
      </c>
      <c r="B126" t="s">
        <v>1217</v>
      </c>
      <c r="C126" t="s">
        <v>1116</v>
      </c>
      <c r="D126" t="s">
        <v>80</v>
      </c>
      <c r="E126">
        <v>2269</v>
      </c>
      <c r="F126" s="1">
        <v>46175</v>
      </c>
      <c r="G126" t="s">
        <v>1219</v>
      </c>
      <c r="H126" t="s">
        <v>1210</v>
      </c>
      <c r="I126">
        <v>8.75</v>
      </c>
      <c r="J126">
        <v>123</v>
      </c>
      <c r="K126">
        <v>341</v>
      </c>
      <c r="L126" t="s">
        <v>1210</v>
      </c>
      <c r="M126">
        <v>2</v>
      </c>
    </row>
    <row r="127" spans="1:13" x14ac:dyDescent="0.45">
      <c r="A127" t="s">
        <v>239</v>
      </c>
      <c r="B127" t="s">
        <v>1223</v>
      </c>
      <c r="C127" t="s">
        <v>1127</v>
      </c>
      <c r="D127" t="s">
        <v>41</v>
      </c>
      <c r="E127">
        <v>3469</v>
      </c>
      <c r="F127" s="1">
        <v>46175</v>
      </c>
      <c r="G127" t="s">
        <v>1219</v>
      </c>
      <c r="H127" t="s">
        <v>1210</v>
      </c>
      <c r="I127">
        <v>6.24</v>
      </c>
      <c r="J127">
        <v>146</v>
      </c>
      <c r="K127">
        <v>24</v>
      </c>
      <c r="L127" t="s">
        <v>1210</v>
      </c>
      <c r="M127">
        <v>2</v>
      </c>
    </row>
    <row r="128" spans="1:13" x14ac:dyDescent="0.45">
      <c r="A128" t="s">
        <v>240</v>
      </c>
      <c r="B128" t="s">
        <v>1225</v>
      </c>
      <c r="C128" t="s">
        <v>1118</v>
      </c>
      <c r="D128" t="s">
        <v>1130</v>
      </c>
      <c r="E128">
        <v>1622</v>
      </c>
      <c r="F128" s="1">
        <v>46174</v>
      </c>
      <c r="G128" t="s">
        <v>1219</v>
      </c>
      <c r="H128" t="s">
        <v>1210</v>
      </c>
      <c r="I128">
        <v>12.51</v>
      </c>
      <c r="J128">
        <v>73</v>
      </c>
      <c r="K128">
        <v>75</v>
      </c>
      <c r="L128" t="s">
        <v>1210</v>
      </c>
      <c r="M128">
        <v>3</v>
      </c>
    </row>
    <row r="129" spans="1:13" x14ac:dyDescent="0.45">
      <c r="A129" t="s">
        <v>241</v>
      </c>
      <c r="B129" t="s">
        <v>1223</v>
      </c>
      <c r="C129" t="s">
        <v>1117</v>
      </c>
      <c r="D129" t="s">
        <v>44</v>
      </c>
      <c r="E129">
        <v>1527</v>
      </c>
      <c r="F129" s="1">
        <v>46175</v>
      </c>
      <c r="G129" t="s">
        <v>1219</v>
      </c>
      <c r="H129" t="s">
        <v>1210</v>
      </c>
      <c r="I129">
        <v>3.48</v>
      </c>
      <c r="J129">
        <v>55</v>
      </c>
      <c r="K129">
        <v>118</v>
      </c>
      <c r="L129" t="s">
        <v>1210</v>
      </c>
      <c r="M129">
        <v>2</v>
      </c>
    </row>
    <row r="130" spans="1:13" x14ac:dyDescent="0.45">
      <c r="A130" t="s">
        <v>242</v>
      </c>
      <c r="B130" t="s">
        <v>1225</v>
      </c>
      <c r="C130" t="s">
        <v>1125</v>
      </c>
      <c r="D130" t="s">
        <v>45</v>
      </c>
      <c r="E130">
        <v>574</v>
      </c>
      <c r="F130" s="1">
        <v>46173</v>
      </c>
      <c r="G130" t="s">
        <v>1219</v>
      </c>
      <c r="H130" t="s">
        <v>1210</v>
      </c>
      <c r="I130">
        <v>17.47</v>
      </c>
      <c r="J130">
        <v>65</v>
      </c>
      <c r="K130">
        <v>216</v>
      </c>
      <c r="L130" t="s">
        <v>1210</v>
      </c>
      <c r="M130">
        <v>4</v>
      </c>
    </row>
    <row r="131" spans="1:13" x14ac:dyDescent="0.45">
      <c r="A131" t="s">
        <v>243</v>
      </c>
      <c r="B131" t="s">
        <v>1223</v>
      </c>
      <c r="C131" t="s">
        <v>1124</v>
      </c>
      <c r="D131" t="s">
        <v>45</v>
      </c>
      <c r="E131">
        <v>1265</v>
      </c>
      <c r="F131" s="1">
        <v>46176</v>
      </c>
      <c r="G131" t="s">
        <v>1219</v>
      </c>
      <c r="H131" t="s">
        <v>1210</v>
      </c>
      <c r="I131">
        <v>17.47</v>
      </c>
      <c r="J131">
        <v>65</v>
      </c>
      <c r="K131">
        <v>216</v>
      </c>
      <c r="L131" t="s">
        <v>1210</v>
      </c>
      <c r="M131">
        <v>1</v>
      </c>
    </row>
    <row r="132" spans="1:13" x14ac:dyDescent="0.45">
      <c r="A132" t="s">
        <v>244</v>
      </c>
      <c r="B132" t="s">
        <v>1217</v>
      </c>
      <c r="C132" t="s">
        <v>1114</v>
      </c>
      <c r="D132" t="s">
        <v>66</v>
      </c>
      <c r="E132">
        <v>952</v>
      </c>
      <c r="F132" s="1">
        <v>46174</v>
      </c>
      <c r="G132" t="s">
        <v>1219</v>
      </c>
      <c r="H132" t="s">
        <v>1210</v>
      </c>
      <c r="I132">
        <v>23.39</v>
      </c>
      <c r="J132">
        <v>79</v>
      </c>
      <c r="K132">
        <v>329</v>
      </c>
      <c r="L132" t="s">
        <v>1210</v>
      </c>
      <c r="M132">
        <v>3</v>
      </c>
    </row>
    <row r="133" spans="1:13" x14ac:dyDescent="0.45">
      <c r="A133" t="s">
        <v>245</v>
      </c>
      <c r="B133" t="s">
        <v>1225</v>
      </c>
      <c r="C133" t="s">
        <v>1125</v>
      </c>
      <c r="D133" t="s">
        <v>108</v>
      </c>
      <c r="E133">
        <v>1009</v>
      </c>
      <c r="F133" s="1">
        <v>46175</v>
      </c>
      <c r="G133" t="s">
        <v>1219</v>
      </c>
      <c r="H133" t="s">
        <v>1210</v>
      </c>
      <c r="I133">
        <v>19.95</v>
      </c>
      <c r="J133">
        <v>78</v>
      </c>
      <c r="K133">
        <v>276</v>
      </c>
      <c r="L133" t="s">
        <v>1210</v>
      </c>
      <c r="M133">
        <v>2</v>
      </c>
    </row>
    <row r="134" spans="1:13" x14ac:dyDescent="0.45">
      <c r="A134" t="s">
        <v>246</v>
      </c>
      <c r="B134" t="s">
        <v>1217</v>
      </c>
      <c r="C134" t="s">
        <v>1120</v>
      </c>
      <c r="D134" t="s">
        <v>56</v>
      </c>
      <c r="E134">
        <v>595</v>
      </c>
      <c r="F134" s="1">
        <v>46176</v>
      </c>
      <c r="G134" t="s">
        <v>1219</v>
      </c>
      <c r="H134" t="s">
        <v>1210</v>
      </c>
      <c r="I134">
        <v>6.27</v>
      </c>
      <c r="J134">
        <v>67</v>
      </c>
      <c r="K134">
        <v>90</v>
      </c>
      <c r="L134" t="s">
        <v>1210</v>
      </c>
      <c r="M134">
        <v>1</v>
      </c>
    </row>
    <row r="135" spans="1:13" x14ac:dyDescent="0.45">
      <c r="A135" t="s">
        <v>247</v>
      </c>
      <c r="B135" t="s">
        <v>1223</v>
      </c>
      <c r="C135" t="s">
        <v>1127</v>
      </c>
      <c r="D135" t="s">
        <v>81</v>
      </c>
      <c r="E135">
        <v>1020</v>
      </c>
      <c r="F135" s="1">
        <v>46175</v>
      </c>
      <c r="G135" t="s">
        <v>1219</v>
      </c>
      <c r="H135" t="s">
        <v>1210</v>
      </c>
      <c r="I135">
        <v>20.5</v>
      </c>
      <c r="J135">
        <v>64</v>
      </c>
      <c r="K135">
        <v>359</v>
      </c>
      <c r="L135" t="s">
        <v>1210</v>
      </c>
      <c r="M135">
        <v>2</v>
      </c>
    </row>
    <row r="136" spans="1:13" x14ac:dyDescent="0.45">
      <c r="A136" t="s">
        <v>248</v>
      </c>
      <c r="B136" t="s">
        <v>1217</v>
      </c>
      <c r="C136" t="s">
        <v>1115</v>
      </c>
      <c r="D136" t="s">
        <v>1132</v>
      </c>
      <c r="E136">
        <v>380</v>
      </c>
      <c r="F136" s="1">
        <v>46175</v>
      </c>
      <c r="G136" t="s">
        <v>1219</v>
      </c>
      <c r="H136" t="s">
        <v>1210</v>
      </c>
      <c r="I136">
        <v>15.52</v>
      </c>
      <c r="J136">
        <v>121</v>
      </c>
      <c r="K136">
        <v>517</v>
      </c>
      <c r="L136" t="s">
        <v>1210</v>
      </c>
      <c r="M136">
        <v>2</v>
      </c>
    </row>
    <row r="137" spans="1:13" x14ac:dyDescent="0.45">
      <c r="A137" t="s">
        <v>249</v>
      </c>
      <c r="B137" t="s">
        <v>1223</v>
      </c>
      <c r="C137" t="s">
        <v>1121</v>
      </c>
      <c r="D137" t="s">
        <v>1137</v>
      </c>
      <c r="E137">
        <v>1929</v>
      </c>
      <c r="F137" s="1">
        <v>46176</v>
      </c>
      <c r="G137" t="s">
        <v>1219</v>
      </c>
      <c r="H137" t="s">
        <v>1210</v>
      </c>
      <c r="I137">
        <v>10.96</v>
      </c>
      <c r="J137">
        <v>128</v>
      </c>
      <c r="K137">
        <v>520</v>
      </c>
      <c r="L137" t="s">
        <v>1210</v>
      </c>
      <c r="M137">
        <v>1</v>
      </c>
    </row>
    <row r="138" spans="1:13" x14ac:dyDescent="0.45">
      <c r="A138" t="s">
        <v>250</v>
      </c>
      <c r="B138" t="s">
        <v>1217</v>
      </c>
      <c r="C138" t="s">
        <v>1115</v>
      </c>
      <c r="D138" t="s">
        <v>1135</v>
      </c>
      <c r="E138">
        <v>1442</v>
      </c>
      <c r="F138" s="1">
        <v>46175</v>
      </c>
      <c r="G138" t="s">
        <v>1219</v>
      </c>
      <c r="H138" t="s">
        <v>1210</v>
      </c>
      <c r="I138">
        <v>13.31</v>
      </c>
      <c r="J138">
        <v>89</v>
      </c>
      <c r="K138">
        <v>313</v>
      </c>
      <c r="L138" t="s">
        <v>1210</v>
      </c>
      <c r="M138">
        <v>2</v>
      </c>
    </row>
    <row r="139" spans="1:13" x14ac:dyDescent="0.45">
      <c r="A139" t="s">
        <v>251</v>
      </c>
      <c r="B139" t="s">
        <v>1225</v>
      </c>
      <c r="C139" t="s">
        <v>1128</v>
      </c>
      <c r="D139" t="s">
        <v>68</v>
      </c>
      <c r="E139">
        <v>590</v>
      </c>
      <c r="F139" s="1">
        <v>46175</v>
      </c>
      <c r="G139" t="s">
        <v>1219</v>
      </c>
      <c r="H139" t="s">
        <v>1210</v>
      </c>
      <c r="I139">
        <v>17.18</v>
      </c>
      <c r="J139">
        <v>81</v>
      </c>
      <c r="K139">
        <v>293</v>
      </c>
      <c r="L139" t="s">
        <v>1210</v>
      </c>
      <c r="M139">
        <v>2</v>
      </c>
    </row>
    <row r="140" spans="1:13" x14ac:dyDescent="0.45">
      <c r="A140" t="s">
        <v>252</v>
      </c>
      <c r="B140" t="s">
        <v>1225</v>
      </c>
      <c r="C140" t="s">
        <v>1125</v>
      </c>
      <c r="D140" t="s">
        <v>97</v>
      </c>
      <c r="E140">
        <v>2137</v>
      </c>
      <c r="F140" s="1">
        <v>46174</v>
      </c>
      <c r="G140" t="s">
        <v>1219</v>
      </c>
      <c r="H140" t="s">
        <v>1210</v>
      </c>
      <c r="I140">
        <v>9.57</v>
      </c>
      <c r="J140">
        <v>92</v>
      </c>
      <c r="K140">
        <v>122</v>
      </c>
      <c r="L140" t="s">
        <v>1210</v>
      </c>
      <c r="M140">
        <v>3</v>
      </c>
    </row>
    <row r="141" spans="1:13" x14ac:dyDescent="0.45">
      <c r="A141" t="s">
        <v>253</v>
      </c>
      <c r="B141" t="s">
        <v>1217</v>
      </c>
      <c r="C141" t="s">
        <v>1116</v>
      </c>
      <c r="D141" t="s">
        <v>71</v>
      </c>
      <c r="E141">
        <v>1895</v>
      </c>
      <c r="F141" s="1">
        <v>46176</v>
      </c>
      <c r="G141" t="s">
        <v>1219</v>
      </c>
      <c r="H141" t="s">
        <v>1210</v>
      </c>
      <c r="I141">
        <v>12.02</v>
      </c>
      <c r="J141">
        <v>75</v>
      </c>
      <c r="K141">
        <v>402</v>
      </c>
      <c r="L141" t="s">
        <v>1210</v>
      </c>
      <c r="M141">
        <v>1</v>
      </c>
    </row>
    <row r="142" spans="1:13" x14ac:dyDescent="0.45">
      <c r="A142" t="s">
        <v>254</v>
      </c>
      <c r="B142" t="s">
        <v>1225</v>
      </c>
      <c r="C142" t="s">
        <v>1119</v>
      </c>
      <c r="D142" t="s">
        <v>1130</v>
      </c>
      <c r="E142">
        <v>518</v>
      </c>
      <c r="F142" s="1">
        <v>46176</v>
      </c>
      <c r="G142" t="s">
        <v>1219</v>
      </c>
      <c r="H142" t="s">
        <v>1210</v>
      </c>
      <c r="I142">
        <v>12.51</v>
      </c>
      <c r="J142">
        <v>73</v>
      </c>
      <c r="K142">
        <v>75</v>
      </c>
      <c r="L142" t="s">
        <v>1210</v>
      </c>
      <c r="M142">
        <v>1</v>
      </c>
    </row>
    <row r="143" spans="1:13" x14ac:dyDescent="0.45">
      <c r="A143" t="s">
        <v>255</v>
      </c>
      <c r="B143" t="s">
        <v>1225</v>
      </c>
      <c r="C143" t="s">
        <v>1128</v>
      </c>
      <c r="D143" t="s">
        <v>31</v>
      </c>
      <c r="E143">
        <v>2509</v>
      </c>
      <c r="F143" s="1">
        <v>46175</v>
      </c>
      <c r="G143" t="s">
        <v>1219</v>
      </c>
      <c r="H143" t="s">
        <v>1210</v>
      </c>
      <c r="I143">
        <v>8.67</v>
      </c>
      <c r="J143">
        <v>124</v>
      </c>
      <c r="K143">
        <v>512</v>
      </c>
      <c r="L143" t="s">
        <v>1210</v>
      </c>
      <c r="M143">
        <v>2</v>
      </c>
    </row>
    <row r="144" spans="1:13" x14ac:dyDescent="0.45">
      <c r="A144" t="s">
        <v>256</v>
      </c>
      <c r="B144" t="s">
        <v>1225</v>
      </c>
      <c r="C144" t="s">
        <v>1128</v>
      </c>
      <c r="D144" t="s">
        <v>1137</v>
      </c>
      <c r="E144">
        <v>1158</v>
      </c>
      <c r="F144" s="1">
        <v>46175</v>
      </c>
      <c r="G144" t="s">
        <v>1219</v>
      </c>
      <c r="H144" t="s">
        <v>1210</v>
      </c>
      <c r="I144">
        <v>10.96</v>
      </c>
      <c r="J144">
        <v>128</v>
      </c>
      <c r="K144">
        <v>520</v>
      </c>
      <c r="L144" t="s">
        <v>1210</v>
      </c>
      <c r="M144">
        <v>2</v>
      </c>
    </row>
    <row r="145" spans="1:13" x14ac:dyDescent="0.45">
      <c r="A145" t="s">
        <v>257</v>
      </c>
      <c r="B145" t="s">
        <v>1217</v>
      </c>
      <c r="C145" t="s">
        <v>1114</v>
      </c>
      <c r="D145" t="s">
        <v>103</v>
      </c>
      <c r="E145">
        <v>1180</v>
      </c>
      <c r="F145" s="1">
        <v>46175</v>
      </c>
      <c r="G145" t="s">
        <v>1219</v>
      </c>
      <c r="H145" t="s">
        <v>1210</v>
      </c>
      <c r="I145">
        <v>16.66</v>
      </c>
      <c r="J145">
        <v>85</v>
      </c>
      <c r="K145">
        <v>333</v>
      </c>
      <c r="L145" t="s">
        <v>1210</v>
      </c>
      <c r="M145">
        <v>2</v>
      </c>
    </row>
    <row r="146" spans="1:13" x14ac:dyDescent="0.45">
      <c r="A146" t="s">
        <v>258</v>
      </c>
      <c r="B146" t="s">
        <v>1217</v>
      </c>
      <c r="C146" t="s">
        <v>1126</v>
      </c>
      <c r="D146" t="s">
        <v>57</v>
      </c>
      <c r="E146">
        <v>2304</v>
      </c>
      <c r="F146" s="1">
        <v>46176</v>
      </c>
      <c r="G146" t="s">
        <v>1219</v>
      </c>
      <c r="H146" t="s">
        <v>1210</v>
      </c>
      <c r="I146">
        <v>8.19</v>
      </c>
      <c r="J146">
        <v>82</v>
      </c>
      <c r="K146">
        <v>317</v>
      </c>
      <c r="L146" t="s">
        <v>1210</v>
      </c>
      <c r="M146">
        <v>1</v>
      </c>
    </row>
    <row r="147" spans="1:13" x14ac:dyDescent="0.45">
      <c r="A147" t="s">
        <v>259</v>
      </c>
      <c r="B147" t="s">
        <v>1217</v>
      </c>
      <c r="C147" t="s">
        <v>1115</v>
      </c>
      <c r="D147" t="s">
        <v>50</v>
      </c>
      <c r="E147">
        <v>2516</v>
      </c>
      <c r="F147" s="1">
        <v>46175</v>
      </c>
      <c r="G147" t="s">
        <v>1219</v>
      </c>
      <c r="H147" t="s">
        <v>1210</v>
      </c>
      <c r="I147">
        <v>9.02</v>
      </c>
      <c r="J147">
        <v>114</v>
      </c>
      <c r="K147">
        <v>18</v>
      </c>
      <c r="L147" t="s">
        <v>1210</v>
      </c>
      <c r="M147">
        <v>2</v>
      </c>
    </row>
    <row r="148" spans="1:13" x14ac:dyDescent="0.45">
      <c r="A148" t="s">
        <v>260</v>
      </c>
      <c r="B148" t="s">
        <v>1217</v>
      </c>
      <c r="C148" t="s">
        <v>1116</v>
      </c>
      <c r="D148" t="s">
        <v>39</v>
      </c>
      <c r="E148">
        <v>1333</v>
      </c>
      <c r="F148" s="1">
        <v>46172</v>
      </c>
      <c r="G148" t="s">
        <v>1219</v>
      </c>
      <c r="H148" t="s">
        <v>1210</v>
      </c>
      <c r="I148">
        <v>14.35</v>
      </c>
      <c r="J148">
        <v>70</v>
      </c>
      <c r="K148">
        <v>240</v>
      </c>
      <c r="L148" t="s">
        <v>1210</v>
      </c>
      <c r="M148">
        <v>5</v>
      </c>
    </row>
    <row r="149" spans="1:13" x14ac:dyDescent="0.45">
      <c r="A149" t="s">
        <v>261</v>
      </c>
      <c r="B149" t="s">
        <v>1217</v>
      </c>
      <c r="C149" t="s">
        <v>1114</v>
      </c>
      <c r="D149" t="s">
        <v>23</v>
      </c>
      <c r="E149">
        <v>2825</v>
      </c>
      <c r="F149" s="1">
        <v>46173</v>
      </c>
      <c r="G149" t="s">
        <v>1219</v>
      </c>
      <c r="H149" t="s">
        <v>1210</v>
      </c>
      <c r="I149">
        <v>7.71</v>
      </c>
      <c r="J149">
        <v>101</v>
      </c>
      <c r="K149">
        <v>23</v>
      </c>
      <c r="L149" t="s">
        <v>1210</v>
      </c>
      <c r="M149">
        <v>4</v>
      </c>
    </row>
    <row r="150" spans="1:13" x14ac:dyDescent="0.45">
      <c r="A150" t="s">
        <v>262</v>
      </c>
      <c r="B150" t="s">
        <v>1223</v>
      </c>
      <c r="C150" t="s">
        <v>1127</v>
      </c>
      <c r="D150" t="s">
        <v>92</v>
      </c>
      <c r="E150">
        <v>1757</v>
      </c>
      <c r="F150" s="1">
        <v>46176</v>
      </c>
      <c r="G150" t="s">
        <v>1219</v>
      </c>
      <c r="H150" t="s">
        <v>1210</v>
      </c>
      <c r="I150">
        <v>10.9</v>
      </c>
      <c r="J150">
        <v>131</v>
      </c>
      <c r="K150">
        <v>22</v>
      </c>
      <c r="L150" t="s">
        <v>1210</v>
      </c>
      <c r="M150">
        <v>1</v>
      </c>
    </row>
    <row r="151" spans="1:13" x14ac:dyDescent="0.45">
      <c r="A151" t="s">
        <v>263</v>
      </c>
      <c r="B151" t="s">
        <v>1223</v>
      </c>
      <c r="C151" t="s">
        <v>1122</v>
      </c>
      <c r="D151" t="s">
        <v>107</v>
      </c>
      <c r="E151">
        <v>2623</v>
      </c>
      <c r="F151" s="1">
        <v>46176</v>
      </c>
      <c r="G151" t="s">
        <v>1219</v>
      </c>
      <c r="H151" t="s">
        <v>1210</v>
      </c>
      <c r="I151">
        <v>4.3600000000000003</v>
      </c>
      <c r="J151">
        <v>88</v>
      </c>
      <c r="K151">
        <v>108</v>
      </c>
      <c r="L151" t="s">
        <v>1210</v>
      </c>
      <c r="M151">
        <v>1</v>
      </c>
    </row>
    <row r="152" spans="1:13" x14ac:dyDescent="0.45">
      <c r="A152" t="s">
        <v>264</v>
      </c>
      <c r="B152" t="s">
        <v>1223</v>
      </c>
      <c r="C152" t="s">
        <v>1121</v>
      </c>
      <c r="D152" t="s">
        <v>55</v>
      </c>
      <c r="E152">
        <v>1798</v>
      </c>
      <c r="F152" s="1">
        <v>46176</v>
      </c>
      <c r="G152" t="s">
        <v>1219</v>
      </c>
      <c r="H152" t="s">
        <v>1210</v>
      </c>
      <c r="I152">
        <v>3.48</v>
      </c>
      <c r="J152">
        <v>66</v>
      </c>
      <c r="K152">
        <v>112</v>
      </c>
      <c r="L152" t="s">
        <v>1210</v>
      </c>
      <c r="M152">
        <v>1</v>
      </c>
    </row>
    <row r="153" spans="1:13" x14ac:dyDescent="0.45">
      <c r="A153" t="s">
        <v>265</v>
      </c>
      <c r="B153" t="s">
        <v>1225</v>
      </c>
      <c r="C153" t="s">
        <v>1119</v>
      </c>
      <c r="D153" t="s">
        <v>64</v>
      </c>
      <c r="E153">
        <v>3645</v>
      </c>
      <c r="F153" s="1">
        <v>46175</v>
      </c>
      <c r="G153" t="s">
        <v>1219</v>
      </c>
      <c r="H153" t="s">
        <v>1210</v>
      </c>
      <c r="J153">
        <v>49</v>
      </c>
      <c r="K153">
        <v>104</v>
      </c>
      <c r="L153" t="s">
        <v>1210</v>
      </c>
      <c r="M153">
        <v>2</v>
      </c>
    </row>
    <row r="154" spans="1:13" x14ac:dyDescent="0.45">
      <c r="A154" t="s">
        <v>266</v>
      </c>
      <c r="B154" t="s">
        <v>1217</v>
      </c>
      <c r="C154" t="s">
        <v>1115</v>
      </c>
      <c r="D154" t="s">
        <v>29</v>
      </c>
      <c r="E154">
        <v>1536</v>
      </c>
      <c r="F154" s="1">
        <v>46176</v>
      </c>
      <c r="G154" t="s">
        <v>1219</v>
      </c>
      <c r="H154" t="s">
        <v>1210</v>
      </c>
      <c r="I154">
        <v>4</v>
      </c>
      <c r="J154">
        <v>58</v>
      </c>
      <c r="K154">
        <v>112</v>
      </c>
      <c r="L154" t="s">
        <v>1210</v>
      </c>
      <c r="M154">
        <v>1</v>
      </c>
    </row>
    <row r="155" spans="1:13" x14ac:dyDescent="0.45">
      <c r="A155" t="s">
        <v>267</v>
      </c>
      <c r="B155" t="s">
        <v>1217</v>
      </c>
      <c r="C155" t="s">
        <v>1114</v>
      </c>
      <c r="D155" t="s">
        <v>55</v>
      </c>
      <c r="E155">
        <v>1736</v>
      </c>
      <c r="F155" s="1">
        <v>46174</v>
      </c>
      <c r="G155" t="s">
        <v>1221</v>
      </c>
      <c r="H155" t="s">
        <v>1210</v>
      </c>
      <c r="I155">
        <v>3.48</v>
      </c>
      <c r="J155">
        <v>66</v>
      </c>
      <c r="K155">
        <v>112</v>
      </c>
      <c r="L155" t="s">
        <v>1210</v>
      </c>
      <c r="M155">
        <v>3</v>
      </c>
    </row>
    <row r="156" spans="1:13" x14ac:dyDescent="0.45">
      <c r="A156" t="s">
        <v>268</v>
      </c>
      <c r="B156" t="s">
        <v>1225</v>
      </c>
      <c r="C156" t="s">
        <v>1123</v>
      </c>
      <c r="D156" t="s">
        <v>105</v>
      </c>
      <c r="E156">
        <v>1198</v>
      </c>
      <c r="F156" s="1">
        <v>46176</v>
      </c>
      <c r="G156" t="s">
        <v>1219</v>
      </c>
      <c r="H156" t="s">
        <v>1210</v>
      </c>
      <c r="I156">
        <v>18.170000000000002</v>
      </c>
      <c r="J156">
        <v>61</v>
      </c>
      <c r="K156">
        <v>188</v>
      </c>
      <c r="L156" t="s">
        <v>1210</v>
      </c>
      <c r="M156">
        <v>1</v>
      </c>
    </row>
    <row r="157" spans="1:13" x14ac:dyDescent="0.45">
      <c r="A157" t="s">
        <v>269</v>
      </c>
      <c r="B157" t="s">
        <v>1223</v>
      </c>
      <c r="C157" t="s">
        <v>1127</v>
      </c>
      <c r="D157" t="s">
        <v>19</v>
      </c>
      <c r="E157">
        <v>1147</v>
      </c>
      <c r="F157" s="1">
        <v>46175</v>
      </c>
      <c r="G157" t="s">
        <v>1219</v>
      </c>
      <c r="H157" t="s">
        <v>1210</v>
      </c>
      <c r="I157">
        <v>8.0500000000000007</v>
      </c>
      <c r="J157">
        <v>147</v>
      </c>
      <c r="K157">
        <v>28</v>
      </c>
      <c r="L157" t="s">
        <v>1210</v>
      </c>
      <c r="M157">
        <v>2</v>
      </c>
    </row>
    <row r="158" spans="1:13" x14ac:dyDescent="0.45">
      <c r="A158" t="s">
        <v>270</v>
      </c>
      <c r="B158" t="s">
        <v>1217</v>
      </c>
      <c r="C158" t="s">
        <v>1115</v>
      </c>
      <c r="D158" t="s">
        <v>1135</v>
      </c>
      <c r="E158">
        <v>1646</v>
      </c>
      <c r="F158" s="1">
        <v>46175</v>
      </c>
      <c r="G158" t="s">
        <v>1219</v>
      </c>
      <c r="H158" t="s">
        <v>1210</v>
      </c>
      <c r="I158">
        <v>13.31</v>
      </c>
      <c r="J158">
        <v>89</v>
      </c>
      <c r="K158">
        <v>313</v>
      </c>
      <c r="L158" t="s">
        <v>1210</v>
      </c>
      <c r="M158">
        <v>2</v>
      </c>
    </row>
    <row r="159" spans="1:13" x14ac:dyDescent="0.45">
      <c r="A159" t="s">
        <v>271</v>
      </c>
      <c r="B159" t="s">
        <v>1225</v>
      </c>
      <c r="C159" t="s">
        <v>1123</v>
      </c>
      <c r="D159" t="s">
        <v>93</v>
      </c>
      <c r="E159">
        <v>415</v>
      </c>
      <c r="F159" s="1">
        <v>46176</v>
      </c>
      <c r="G159" t="s">
        <v>1219</v>
      </c>
      <c r="H159" t="s">
        <v>1210</v>
      </c>
      <c r="J159">
        <v>98</v>
      </c>
      <c r="K159">
        <v>359</v>
      </c>
      <c r="L159" t="s">
        <v>1210</v>
      </c>
      <c r="M159">
        <v>1</v>
      </c>
    </row>
    <row r="160" spans="1:13" x14ac:dyDescent="0.45">
      <c r="A160" t="s">
        <v>272</v>
      </c>
      <c r="B160" t="s">
        <v>1217</v>
      </c>
      <c r="C160" t="s">
        <v>1115</v>
      </c>
      <c r="D160" t="s">
        <v>31</v>
      </c>
      <c r="E160">
        <v>2305</v>
      </c>
      <c r="F160" s="1">
        <v>46176</v>
      </c>
      <c r="G160" t="s">
        <v>1219</v>
      </c>
      <c r="H160" t="s">
        <v>1210</v>
      </c>
      <c r="I160">
        <v>8.67</v>
      </c>
      <c r="J160">
        <v>124</v>
      </c>
      <c r="K160">
        <v>512</v>
      </c>
      <c r="L160" t="s">
        <v>1210</v>
      </c>
      <c r="M160">
        <v>1</v>
      </c>
    </row>
    <row r="161" spans="1:13" x14ac:dyDescent="0.45">
      <c r="A161" t="s">
        <v>273</v>
      </c>
      <c r="B161" t="s">
        <v>1223</v>
      </c>
      <c r="C161" t="s">
        <v>1127</v>
      </c>
      <c r="D161" t="s">
        <v>78</v>
      </c>
      <c r="E161">
        <v>1235</v>
      </c>
      <c r="F161" s="1">
        <v>46175</v>
      </c>
      <c r="G161" t="s">
        <v>1219</v>
      </c>
      <c r="H161" t="s">
        <v>1210</v>
      </c>
      <c r="I161">
        <v>11.26</v>
      </c>
      <c r="J161">
        <v>129</v>
      </c>
      <c r="K161">
        <v>24</v>
      </c>
      <c r="L161" t="s">
        <v>1210</v>
      </c>
      <c r="M161">
        <v>2</v>
      </c>
    </row>
    <row r="162" spans="1:13" x14ac:dyDescent="0.45">
      <c r="A162" t="s">
        <v>274</v>
      </c>
      <c r="B162" t="s">
        <v>1217</v>
      </c>
      <c r="C162" t="s">
        <v>1114</v>
      </c>
      <c r="D162" t="s">
        <v>37</v>
      </c>
      <c r="E162">
        <v>2215</v>
      </c>
      <c r="F162" s="1">
        <v>46176</v>
      </c>
      <c r="G162" t="s">
        <v>1219</v>
      </c>
      <c r="H162" t="s">
        <v>1210</v>
      </c>
      <c r="I162">
        <v>7.76</v>
      </c>
      <c r="J162">
        <v>86</v>
      </c>
      <c r="K162">
        <v>112</v>
      </c>
      <c r="L162" t="s">
        <v>1210</v>
      </c>
      <c r="M162">
        <v>1</v>
      </c>
    </row>
    <row r="163" spans="1:13" x14ac:dyDescent="0.45">
      <c r="A163" t="s">
        <v>275</v>
      </c>
      <c r="B163" t="s">
        <v>1217</v>
      </c>
      <c r="C163" t="s">
        <v>1115</v>
      </c>
      <c r="D163" t="s">
        <v>57</v>
      </c>
      <c r="E163">
        <v>1030</v>
      </c>
      <c r="F163" s="1">
        <v>46175</v>
      </c>
      <c r="G163" t="s">
        <v>1219</v>
      </c>
      <c r="H163" t="s">
        <v>1210</v>
      </c>
      <c r="I163">
        <v>8.19</v>
      </c>
      <c r="J163">
        <v>82</v>
      </c>
      <c r="K163">
        <v>317</v>
      </c>
      <c r="L163" t="s">
        <v>1210</v>
      </c>
      <c r="M163">
        <v>2</v>
      </c>
    </row>
    <row r="164" spans="1:13" x14ac:dyDescent="0.45">
      <c r="A164" t="s">
        <v>276</v>
      </c>
      <c r="B164" t="s">
        <v>1225</v>
      </c>
      <c r="C164" t="s">
        <v>1118</v>
      </c>
      <c r="D164" t="s">
        <v>70</v>
      </c>
      <c r="E164">
        <v>709</v>
      </c>
      <c r="F164" s="1">
        <v>46176</v>
      </c>
      <c r="G164" t="s">
        <v>1219</v>
      </c>
      <c r="H164" t="s">
        <v>1210</v>
      </c>
      <c r="I164">
        <v>5.04</v>
      </c>
      <c r="J164">
        <v>47</v>
      </c>
      <c r="K164">
        <v>96</v>
      </c>
      <c r="L164" t="s">
        <v>1210</v>
      </c>
      <c r="M164">
        <v>1</v>
      </c>
    </row>
    <row r="165" spans="1:13" x14ac:dyDescent="0.45">
      <c r="A165" t="s">
        <v>277</v>
      </c>
      <c r="B165" t="s">
        <v>1225</v>
      </c>
      <c r="C165" t="s">
        <v>1128</v>
      </c>
      <c r="D165" t="s">
        <v>1137</v>
      </c>
      <c r="E165">
        <v>0</v>
      </c>
      <c r="F165" s="1">
        <v>46175</v>
      </c>
      <c r="G165" t="s">
        <v>1219</v>
      </c>
      <c r="H165" t="s">
        <v>1210</v>
      </c>
      <c r="I165">
        <v>10.96</v>
      </c>
      <c r="J165">
        <v>128</v>
      </c>
      <c r="K165">
        <v>520</v>
      </c>
      <c r="L165" t="s">
        <v>1210</v>
      </c>
      <c r="M165">
        <v>2</v>
      </c>
    </row>
    <row r="166" spans="1:13" x14ac:dyDescent="0.45">
      <c r="A166" t="s">
        <v>278</v>
      </c>
      <c r="B166" t="s">
        <v>1223</v>
      </c>
      <c r="C166" t="s">
        <v>1127</v>
      </c>
      <c r="D166" t="s">
        <v>103</v>
      </c>
      <c r="E166">
        <v>1317</v>
      </c>
      <c r="F166" s="1">
        <v>46174</v>
      </c>
      <c r="G166" t="s">
        <v>1219</v>
      </c>
      <c r="H166" t="s">
        <v>1210</v>
      </c>
      <c r="I166">
        <v>16.66</v>
      </c>
      <c r="J166">
        <v>85</v>
      </c>
      <c r="K166">
        <v>333</v>
      </c>
      <c r="L166" t="s">
        <v>1210</v>
      </c>
      <c r="M166">
        <v>3</v>
      </c>
    </row>
    <row r="167" spans="1:13" x14ac:dyDescent="0.45">
      <c r="A167" t="s">
        <v>279</v>
      </c>
      <c r="B167" t="s">
        <v>1225</v>
      </c>
      <c r="C167" t="s">
        <v>1125</v>
      </c>
      <c r="D167" t="s">
        <v>52</v>
      </c>
      <c r="E167">
        <v>1706</v>
      </c>
      <c r="F167" s="1">
        <v>46173</v>
      </c>
      <c r="G167" t="s">
        <v>1219</v>
      </c>
      <c r="H167" t="s">
        <v>1210</v>
      </c>
      <c r="I167">
        <v>11.01</v>
      </c>
      <c r="J167">
        <v>98</v>
      </c>
      <c r="K167">
        <v>16</v>
      </c>
      <c r="L167" t="s">
        <v>1210</v>
      </c>
      <c r="M167">
        <v>4</v>
      </c>
    </row>
    <row r="168" spans="1:13" x14ac:dyDescent="0.45">
      <c r="A168" t="s">
        <v>280</v>
      </c>
      <c r="B168" t="s">
        <v>1225</v>
      </c>
      <c r="C168" t="s">
        <v>1125</v>
      </c>
      <c r="D168" t="s">
        <v>101</v>
      </c>
      <c r="E168">
        <v>2001</v>
      </c>
      <c r="F168" s="1">
        <v>46176</v>
      </c>
      <c r="G168" t="s">
        <v>1219</v>
      </c>
      <c r="H168" t="s">
        <v>1210</v>
      </c>
      <c r="I168">
        <v>3.56</v>
      </c>
      <c r="J168">
        <v>64</v>
      </c>
      <c r="K168">
        <v>92</v>
      </c>
      <c r="L168" t="s">
        <v>1210</v>
      </c>
      <c r="M168">
        <v>1</v>
      </c>
    </row>
    <row r="169" spans="1:13" x14ac:dyDescent="0.45">
      <c r="A169" t="s">
        <v>281</v>
      </c>
      <c r="B169" t="s">
        <v>1225</v>
      </c>
      <c r="C169" t="s">
        <v>1128</v>
      </c>
      <c r="D169" t="s">
        <v>99</v>
      </c>
      <c r="E169">
        <v>1036</v>
      </c>
      <c r="F169" s="1">
        <v>46175</v>
      </c>
      <c r="G169" t="s">
        <v>1219</v>
      </c>
      <c r="H169" t="s">
        <v>1210</v>
      </c>
      <c r="I169">
        <v>4.26</v>
      </c>
      <c r="J169">
        <v>68</v>
      </c>
      <c r="K169">
        <v>117</v>
      </c>
      <c r="L169" t="s">
        <v>1210</v>
      </c>
      <c r="M169">
        <v>2</v>
      </c>
    </row>
    <row r="170" spans="1:13" x14ac:dyDescent="0.45">
      <c r="A170" t="s">
        <v>282</v>
      </c>
      <c r="B170" t="s">
        <v>1223</v>
      </c>
      <c r="C170" t="s">
        <v>1117</v>
      </c>
      <c r="D170" t="s">
        <v>23</v>
      </c>
      <c r="E170">
        <v>2910</v>
      </c>
      <c r="F170" s="1">
        <v>46176</v>
      </c>
      <c r="G170" t="s">
        <v>1219</v>
      </c>
      <c r="H170" t="s">
        <v>1210</v>
      </c>
      <c r="I170">
        <v>7.71</v>
      </c>
      <c r="J170">
        <v>101</v>
      </c>
      <c r="K170">
        <v>23</v>
      </c>
      <c r="L170" t="s">
        <v>1210</v>
      </c>
      <c r="M170">
        <v>1</v>
      </c>
    </row>
    <row r="171" spans="1:13" x14ac:dyDescent="0.45">
      <c r="A171" t="s">
        <v>283</v>
      </c>
      <c r="B171" t="s">
        <v>1223</v>
      </c>
      <c r="C171" t="s">
        <v>1117</v>
      </c>
      <c r="D171" t="s">
        <v>1139</v>
      </c>
      <c r="E171">
        <v>768</v>
      </c>
      <c r="F171" s="1">
        <v>46176</v>
      </c>
      <c r="G171" t="s">
        <v>1219</v>
      </c>
      <c r="H171" t="s">
        <v>1210</v>
      </c>
      <c r="L171" t="s">
        <v>1353</v>
      </c>
      <c r="M171">
        <v>1</v>
      </c>
    </row>
    <row r="172" spans="1:13" x14ac:dyDescent="0.45">
      <c r="A172" t="s">
        <v>284</v>
      </c>
      <c r="B172" t="s">
        <v>1223</v>
      </c>
      <c r="C172" t="s">
        <v>1122</v>
      </c>
      <c r="D172" t="s">
        <v>52</v>
      </c>
      <c r="E172">
        <v>1863</v>
      </c>
      <c r="F172" s="1">
        <v>46176</v>
      </c>
      <c r="G172" t="s">
        <v>1219</v>
      </c>
      <c r="H172" t="s">
        <v>1210</v>
      </c>
      <c r="I172">
        <v>11.01</v>
      </c>
      <c r="J172">
        <v>98</v>
      </c>
      <c r="K172">
        <v>16</v>
      </c>
      <c r="L172" t="s">
        <v>1210</v>
      </c>
      <c r="M172">
        <v>1</v>
      </c>
    </row>
    <row r="173" spans="1:13" x14ac:dyDescent="0.45">
      <c r="A173" t="s">
        <v>285</v>
      </c>
      <c r="B173" t="s">
        <v>1223</v>
      </c>
      <c r="C173" t="s">
        <v>1121</v>
      </c>
      <c r="D173" t="s">
        <v>107</v>
      </c>
      <c r="E173">
        <v>2718</v>
      </c>
      <c r="F173" s="1">
        <v>46176</v>
      </c>
      <c r="G173" t="s">
        <v>1219</v>
      </c>
      <c r="H173" t="s">
        <v>1210</v>
      </c>
      <c r="I173">
        <v>4.3600000000000003</v>
      </c>
      <c r="J173">
        <v>88</v>
      </c>
      <c r="K173">
        <v>108</v>
      </c>
      <c r="L173" t="s">
        <v>1210</v>
      </c>
      <c r="M173">
        <v>1</v>
      </c>
    </row>
    <row r="174" spans="1:13" x14ac:dyDescent="0.45">
      <c r="A174" t="s">
        <v>286</v>
      </c>
      <c r="B174" t="s">
        <v>1223</v>
      </c>
      <c r="C174" t="s">
        <v>1122</v>
      </c>
      <c r="D174" t="s">
        <v>1133</v>
      </c>
      <c r="E174">
        <v>1098</v>
      </c>
      <c r="F174" s="1">
        <v>46174</v>
      </c>
      <c r="G174" t="s">
        <v>1219</v>
      </c>
      <c r="H174" t="s">
        <v>1210</v>
      </c>
      <c r="I174">
        <v>3.75</v>
      </c>
      <c r="J174">
        <v>41</v>
      </c>
      <c r="K174">
        <v>106</v>
      </c>
      <c r="L174" t="s">
        <v>1210</v>
      </c>
      <c r="M174">
        <v>3</v>
      </c>
    </row>
    <row r="175" spans="1:13" x14ac:dyDescent="0.45">
      <c r="A175" t="s">
        <v>287</v>
      </c>
      <c r="B175" t="s">
        <v>1217</v>
      </c>
      <c r="C175" t="s">
        <v>1116</v>
      </c>
      <c r="D175" t="s">
        <v>89</v>
      </c>
      <c r="E175">
        <v>1515</v>
      </c>
      <c r="F175" s="1">
        <v>46176</v>
      </c>
      <c r="G175" t="s">
        <v>1219</v>
      </c>
      <c r="H175" t="s">
        <v>1210</v>
      </c>
      <c r="I175">
        <v>13.67</v>
      </c>
      <c r="J175">
        <v>78</v>
      </c>
      <c r="K175">
        <v>247</v>
      </c>
      <c r="L175" t="s">
        <v>1210</v>
      </c>
      <c r="M175">
        <v>1</v>
      </c>
    </row>
    <row r="176" spans="1:13" x14ac:dyDescent="0.45">
      <c r="A176" t="s">
        <v>288</v>
      </c>
      <c r="B176" t="s">
        <v>1217</v>
      </c>
      <c r="C176" t="s">
        <v>1114</v>
      </c>
      <c r="D176" t="s">
        <v>100</v>
      </c>
      <c r="E176">
        <v>2204</v>
      </c>
      <c r="F176" s="1">
        <v>46175</v>
      </c>
      <c r="G176" t="s">
        <v>1219</v>
      </c>
      <c r="H176" t="s">
        <v>1210</v>
      </c>
      <c r="I176">
        <v>9.7899999999999991</v>
      </c>
      <c r="J176">
        <v>123</v>
      </c>
      <c r="K176">
        <v>334</v>
      </c>
      <c r="L176" t="s">
        <v>1210</v>
      </c>
      <c r="M176">
        <v>2</v>
      </c>
    </row>
    <row r="177" spans="1:13" x14ac:dyDescent="0.45">
      <c r="A177" t="s">
        <v>289</v>
      </c>
      <c r="B177" t="s">
        <v>1225</v>
      </c>
      <c r="C177" t="s">
        <v>1118</v>
      </c>
      <c r="D177" t="s">
        <v>84</v>
      </c>
      <c r="E177">
        <v>819</v>
      </c>
      <c r="F177" s="1">
        <v>46175</v>
      </c>
      <c r="G177" t="s">
        <v>1219</v>
      </c>
      <c r="H177" t="s">
        <v>1210</v>
      </c>
      <c r="I177">
        <v>9.8699999999999992</v>
      </c>
      <c r="J177">
        <v>88</v>
      </c>
      <c r="K177">
        <v>25</v>
      </c>
      <c r="L177" t="s">
        <v>1210</v>
      </c>
      <c r="M177">
        <v>2</v>
      </c>
    </row>
    <row r="178" spans="1:13" x14ac:dyDescent="0.45">
      <c r="A178" t="s">
        <v>290</v>
      </c>
      <c r="B178" t="s">
        <v>1223</v>
      </c>
      <c r="C178" t="s">
        <v>1122</v>
      </c>
      <c r="D178" t="s">
        <v>89</v>
      </c>
      <c r="E178">
        <v>645</v>
      </c>
      <c r="F178" s="1">
        <v>46176</v>
      </c>
      <c r="G178" t="s">
        <v>1219</v>
      </c>
      <c r="H178" t="s">
        <v>1210</v>
      </c>
      <c r="I178">
        <v>13.67</v>
      </c>
      <c r="J178">
        <v>78</v>
      </c>
      <c r="K178">
        <v>247</v>
      </c>
      <c r="L178" t="s">
        <v>1210</v>
      </c>
      <c r="M178">
        <v>1</v>
      </c>
    </row>
    <row r="179" spans="1:13" x14ac:dyDescent="0.45">
      <c r="A179" t="s">
        <v>291</v>
      </c>
      <c r="B179" t="s">
        <v>1217</v>
      </c>
      <c r="C179" t="s">
        <v>1120</v>
      </c>
      <c r="D179" t="s">
        <v>8</v>
      </c>
      <c r="E179">
        <v>2421</v>
      </c>
      <c r="F179" s="1">
        <v>46176</v>
      </c>
      <c r="G179" t="s">
        <v>1219</v>
      </c>
      <c r="H179" t="s">
        <v>1210</v>
      </c>
      <c r="I179">
        <v>5.25</v>
      </c>
      <c r="J179">
        <v>76</v>
      </c>
      <c r="K179">
        <v>104</v>
      </c>
      <c r="L179" t="s">
        <v>1210</v>
      </c>
      <c r="M179">
        <v>1</v>
      </c>
    </row>
    <row r="180" spans="1:13" x14ac:dyDescent="0.45">
      <c r="A180" t="s">
        <v>292</v>
      </c>
      <c r="B180" t="s">
        <v>1225</v>
      </c>
      <c r="C180" t="s">
        <v>1118</v>
      </c>
      <c r="D180" t="s">
        <v>97</v>
      </c>
      <c r="E180">
        <v>1008</v>
      </c>
      <c r="F180" s="1">
        <v>46174</v>
      </c>
      <c r="G180" t="s">
        <v>1219</v>
      </c>
      <c r="H180" t="s">
        <v>1210</v>
      </c>
      <c r="I180">
        <v>9.57</v>
      </c>
      <c r="J180">
        <v>92</v>
      </c>
      <c r="K180">
        <v>122</v>
      </c>
      <c r="L180" t="s">
        <v>1210</v>
      </c>
      <c r="M180">
        <v>3</v>
      </c>
    </row>
    <row r="181" spans="1:13" x14ac:dyDescent="0.45">
      <c r="A181" t="s">
        <v>293</v>
      </c>
      <c r="B181" t="s">
        <v>1223</v>
      </c>
      <c r="C181" t="s">
        <v>1121</v>
      </c>
      <c r="D181" t="s">
        <v>59</v>
      </c>
      <c r="E181">
        <v>614</v>
      </c>
      <c r="F181" s="1">
        <v>46176</v>
      </c>
      <c r="G181" t="s">
        <v>1219</v>
      </c>
      <c r="H181" t="s">
        <v>1210</v>
      </c>
      <c r="I181">
        <v>15.2</v>
      </c>
      <c r="J181">
        <v>135</v>
      </c>
      <c r="K181">
        <v>361</v>
      </c>
      <c r="L181" t="s">
        <v>1210</v>
      </c>
      <c r="M181">
        <v>1</v>
      </c>
    </row>
    <row r="182" spans="1:13" x14ac:dyDescent="0.45">
      <c r="A182" t="s">
        <v>294</v>
      </c>
      <c r="B182" t="s">
        <v>1217</v>
      </c>
      <c r="C182" t="s">
        <v>1126</v>
      </c>
      <c r="D182" t="s">
        <v>108</v>
      </c>
      <c r="E182">
        <v>347</v>
      </c>
      <c r="F182" s="1">
        <v>46176</v>
      </c>
      <c r="G182" t="s">
        <v>1219</v>
      </c>
      <c r="H182" t="s">
        <v>1210</v>
      </c>
      <c r="I182">
        <v>19.95</v>
      </c>
      <c r="J182">
        <v>78</v>
      </c>
      <c r="K182">
        <v>276</v>
      </c>
      <c r="L182" t="s">
        <v>1210</v>
      </c>
      <c r="M182">
        <v>1</v>
      </c>
    </row>
    <row r="183" spans="1:13" x14ac:dyDescent="0.45">
      <c r="A183" t="s">
        <v>295</v>
      </c>
      <c r="B183" t="s">
        <v>1225</v>
      </c>
      <c r="C183" t="s">
        <v>1119</v>
      </c>
      <c r="D183" t="s">
        <v>1129</v>
      </c>
      <c r="E183">
        <v>2595</v>
      </c>
      <c r="F183" s="1">
        <v>46175</v>
      </c>
      <c r="G183" t="s">
        <v>1219</v>
      </c>
      <c r="H183" t="s">
        <v>1210</v>
      </c>
      <c r="I183">
        <v>3.43</v>
      </c>
      <c r="J183">
        <v>88</v>
      </c>
      <c r="K183">
        <v>109</v>
      </c>
      <c r="L183" t="s">
        <v>1210</v>
      </c>
      <c r="M183">
        <v>2</v>
      </c>
    </row>
    <row r="184" spans="1:13" x14ac:dyDescent="0.45">
      <c r="A184" t="s">
        <v>296</v>
      </c>
      <c r="B184" t="s">
        <v>1217</v>
      </c>
      <c r="C184" t="s">
        <v>1115</v>
      </c>
      <c r="D184" t="s">
        <v>76</v>
      </c>
      <c r="E184">
        <v>1145</v>
      </c>
      <c r="F184" s="1">
        <v>46175</v>
      </c>
      <c r="G184" t="s">
        <v>1219</v>
      </c>
      <c r="H184" t="s">
        <v>1210</v>
      </c>
      <c r="I184">
        <v>5.09</v>
      </c>
      <c r="J184">
        <v>40</v>
      </c>
      <c r="K184">
        <v>90</v>
      </c>
      <c r="L184" t="s">
        <v>1210</v>
      </c>
      <c r="M184">
        <v>2</v>
      </c>
    </row>
    <row r="185" spans="1:13" x14ac:dyDescent="0.45">
      <c r="A185" t="s">
        <v>297</v>
      </c>
      <c r="B185" t="s">
        <v>1225</v>
      </c>
      <c r="C185" t="s">
        <v>1125</v>
      </c>
      <c r="D185" t="s">
        <v>54</v>
      </c>
      <c r="E185">
        <v>1788</v>
      </c>
      <c r="F185" s="1">
        <v>46174</v>
      </c>
      <c r="G185" t="s">
        <v>1219</v>
      </c>
      <c r="H185" t="s">
        <v>1210</v>
      </c>
      <c r="I185">
        <v>12.85</v>
      </c>
      <c r="J185">
        <v>91</v>
      </c>
      <c r="K185">
        <v>297</v>
      </c>
      <c r="L185" t="s">
        <v>1210</v>
      </c>
      <c r="M185">
        <v>3</v>
      </c>
    </row>
    <row r="186" spans="1:13" x14ac:dyDescent="0.45">
      <c r="A186" t="s">
        <v>298</v>
      </c>
      <c r="B186" t="s">
        <v>1225</v>
      </c>
      <c r="C186" t="s">
        <v>1125</v>
      </c>
      <c r="D186" t="s">
        <v>108</v>
      </c>
      <c r="E186">
        <v>1159</v>
      </c>
      <c r="F186" s="1">
        <v>46173</v>
      </c>
      <c r="G186" t="s">
        <v>1219</v>
      </c>
      <c r="H186" t="s">
        <v>1210</v>
      </c>
      <c r="I186">
        <v>19.95</v>
      </c>
      <c r="J186">
        <v>78</v>
      </c>
      <c r="K186">
        <v>276</v>
      </c>
      <c r="L186" t="s">
        <v>1210</v>
      </c>
      <c r="M186">
        <v>4</v>
      </c>
    </row>
    <row r="187" spans="1:13" x14ac:dyDescent="0.45">
      <c r="A187" t="s">
        <v>299</v>
      </c>
      <c r="B187" t="s">
        <v>1217</v>
      </c>
      <c r="C187" t="s">
        <v>1114</v>
      </c>
      <c r="D187" t="s">
        <v>41</v>
      </c>
      <c r="E187">
        <v>3205</v>
      </c>
      <c r="F187" s="1">
        <v>46159</v>
      </c>
      <c r="G187" t="s">
        <v>1219</v>
      </c>
      <c r="H187" t="s">
        <v>1210</v>
      </c>
      <c r="I187">
        <v>6.24</v>
      </c>
      <c r="J187">
        <v>146</v>
      </c>
      <c r="K187">
        <v>24</v>
      </c>
      <c r="L187" t="s">
        <v>1210</v>
      </c>
      <c r="M187">
        <v>18</v>
      </c>
    </row>
    <row r="188" spans="1:13" x14ac:dyDescent="0.45">
      <c r="A188" t="s">
        <v>300</v>
      </c>
      <c r="B188" t="s">
        <v>1223</v>
      </c>
      <c r="C188" t="s">
        <v>1122</v>
      </c>
      <c r="D188" t="s">
        <v>53</v>
      </c>
      <c r="E188">
        <v>1397</v>
      </c>
      <c r="F188" s="1">
        <v>46176</v>
      </c>
      <c r="G188" t="s">
        <v>1219</v>
      </c>
      <c r="H188" t="s">
        <v>1210</v>
      </c>
      <c r="I188">
        <v>10.029999999999999</v>
      </c>
      <c r="J188">
        <v>126</v>
      </c>
      <c r="K188">
        <v>17</v>
      </c>
      <c r="L188" t="s">
        <v>1210</v>
      </c>
      <c r="M188">
        <v>1</v>
      </c>
    </row>
    <row r="189" spans="1:13" x14ac:dyDescent="0.45">
      <c r="A189" t="s">
        <v>301</v>
      </c>
      <c r="B189" t="s">
        <v>1217</v>
      </c>
      <c r="C189" t="s">
        <v>1126</v>
      </c>
      <c r="D189" t="s">
        <v>56</v>
      </c>
      <c r="E189">
        <v>1287</v>
      </c>
      <c r="F189" s="1">
        <v>46176</v>
      </c>
      <c r="G189" t="s">
        <v>1219</v>
      </c>
      <c r="H189" t="s">
        <v>1210</v>
      </c>
      <c r="I189">
        <v>6.27</v>
      </c>
      <c r="J189">
        <v>67</v>
      </c>
      <c r="K189">
        <v>90</v>
      </c>
      <c r="L189" t="s">
        <v>1210</v>
      </c>
      <c r="M189">
        <v>1</v>
      </c>
    </row>
    <row r="190" spans="1:13" x14ac:dyDescent="0.45">
      <c r="A190" t="s">
        <v>302</v>
      </c>
      <c r="B190" t="s">
        <v>1223</v>
      </c>
      <c r="C190" t="s">
        <v>1121</v>
      </c>
      <c r="D190" t="s">
        <v>81</v>
      </c>
      <c r="E190">
        <v>1103</v>
      </c>
      <c r="F190" s="1">
        <v>46176</v>
      </c>
      <c r="G190" t="s">
        <v>1221</v>
      </c>
      <c r="H190" t="s">
        <v>1210</v>
      </c>
      <c r="I190">
        <v>20.5</v>
      </c>
      <c r="J190">
        <v>64</v>
      </c>
      <c r="K190">
        <v>359</v>
      </c>
      <c r="L190" t="s">
        <v>1210</v>
      </c>
      <c r="M190">
        <v>1</v>
      </c>
    </row>
    <row r="191" spans="1:13" x14ac:dyDescent="0.45">
      <c r="A191" t="s">
        <v>303</v>
      </c>
      <c r="B191" t="s">
        <v>1223</v>
      </c>
      <c r="C191" t="s">
        <v>1121</v>
      </c>
      <c r="D191" t="s">
        <v>15</v>
      </c>
      <c r="E191">
        <v>1158</v>
      </c>
      <c r="F191" s="1">
        <v>46175</v>
      </c>
      <c r="G191" t="s">
        <v>1219</v>
      </c>
      <c r="H191" t="s">
        <v>1210</v>
      </c>
      <c r="I191">
        <v>5.53</v>
      </c>
      <c r="J191">
        <v>42</v>
      </c>
      <c r="K191">
        <v>114</v>
      </c>
      <c r="L191" t="s">
        <v>1210</v>
      </c>
      <c r="M191">
        <v>2</v>
      </c>
    </row>
    <row r="192" spans="1:13" x14ac:dyDescent="0.45">
      <c r="A192" t="s">
        <v>304</v>
      </c>
      <c r="B192" t="s">
        <v>1223</v>
      </c>
      <c r="C192" t="s">
        <v>1121</v>
      </c>
      <c r="D192" t="s">
        <v>78</v>
      </c>
      <c r="E192">
        <v>1706</v>
      </c>
      <c r="F192" s="1">
        <v>46176</v>
      </c>
      <c r="G192" t="s">
        <v>1219</v>
      </c>
      <c r="H192" t="s">
        <v>1210</v>
      </c>
      <c r="I192">
        <v>11.26</v>
      </c>
      <c r="J192">
        <v>129</v>
      </c>
      <c r="K192">
        <v>24</v>
      </c>
      <c r="L192" t="s">
        <v>1210</v>
      </c>
      <c r="M192">
        <v>1</v>
      </c>
    </row>
    <row r="193" spans="1:13" x14ac:dyDescent="0.45">
      <c r="A193" t="s">
        <v>305</v>
      </c>
      <c r="B193" t="s">
        <v>1225</v>
      </c>
      <c r="C193" t="s">
        <v>1119</v>
      </c>
      <c r="D193" t="s">
        <v>76</v>
      </c>
      <c r="E193">
        <v>602</v>
      </c>
      <c r="F193" s="1">
        <v>46174</v>
      </c>
      <c r="G193" t="s">
        <v>1219</v>
      </c>
      <c r="H193" t="s">
        <v>1210</v>
      </c>
      <c r="I193">
        <v>5.09</v>
      </c>
      <c r="J193">
        <v>40</v>
      </c>
      <c r="K193">
        <v>90</v>
      </c>
      <c r="L193" t="s">
        <v>1210</v>
      </c>
      <c r="M193">
        <v>3</v>
      </c>
    </row>
    <row r="194" spans="1:13" x14ac:dyDescent="0.45">
      <c r="A194" t="s">
        <v>306</v>
      </c>
      <c r="B194" t="s">
        <v>1225</v>
      </c>
      <c r="C194" t="s">
        <v>1123</v>
      </c>
      <c r="D194" t="s">
        <v>68</v>
      </c>
      <c r="E194">
        <v>1147</v>
      </c>
      <c r="F194" s="1">
        <v>46176</v>
      </c>
      <c r="G194" t="s">
        <v>1221</v>
      </c>
      <c r="H194" t="s">
        <v>1210</v>
      </c>
      <c r="I194">
        <v>17.18</v>
      </c>
      <c r="J194">
        <v>81</v>
      </c>
      <c r="K194">
        <v>293</v>
      </c>
      <c r="L194" t="s">
        <v>1210</v>
      </c>
      <c r="M194">
        <v>1</v>
      </c>
    </row>
    <row r="195" spans="1:13" x14ac:dyDescent="0.45">
      <c r="A195" t="s">
        <v>307</v>
      </c>
      <c r="B195" t="s">
        <v>1223</v>
      </c>
      <c r="C195" t="s">
        <v>1127</v>
      </c>
      <c r="D195" t="s">
        <v>107</v>
      </c>
      <c r="E195">
        <v>2526</v>
      </c>
      <c r="F195" s="1">
        <v>46176</v>
      </c>
      <c r="G195" t="s">
        <v>1219</v>
      </c>
      <c r="H195" t="s">
        <v>1210</v>
      </c>
      <c r="I195">
        <v>4.3600000000000003</v>
      </c>
      <c r="J195">
        <v>88</v>
      </c>
      <c r="K195">
        <v>108</v>
      </c>
      <c r="L195" t="s">
        <v>1210</v>
      </c>
      <c r="M195">
        <v>1</v>
      </c>
    </row>
    <row r="196" spans="1:13" x14ac:dyDescent="0.45">
      <c r="A196" t="s">
        <v>308</v>
      </c>
      <c r="B196" t="s">
        <v>1223</v>
      </c>
      <c r="C196" t="s">
        <v>1122</v>
      </c>
      <c r="D196" t="s">
        <v>98</v>
      </c>
      <c r="E196">
        <v>2153</v>
      </c>
      <c r="F196" s="1">
        <v>46176</v>
      </c>
      <c r="G196" t="s">
        <v>1219</v>
      </c>
      <c r="H196" t="s">
        <v>1210</v>
      </c>
      <c r="I196">
        <v>6.23</v>
      </c>
      <c r="J196">
        <v>78</v>
      </c>
      <c r="K196">
        <v>99</v>
      </c>
      <c r="L196" t="s">
        <v>1210</v>
      </c>
      <c r="M196">
        <v>1</v>
      </c>
    </row>
    <row r="197" spans="1:13" x14ac:dyDescent="0.45">
      <c r="A197" t="s">
        <v>309</v>
      </c>
      <c r="B197" t="s">
        <v>1225</v>
      </c>
      <c r="C197" t="s">
        <v>1125</v>
      </c>
      <c r="D197" t="s">
        <v>93</v>
      </c>
      <c r="E197">
        <v>1339</v>
      </c>
      <c r="F197" s="1">
        <v>46176</v>
      </c>
      <c r="G197" t="s">
        <v>1219</v>
      </c>
      <c r="H197" t="s">
        <v>1210</v>
      </c>
      <c r="J197">
        <v>98</v>
      </c>
      <c r="K197">
        <v>359</v>
      </c>
      <c r="L197" t="s">
        <v>1210</v>
      </c>
      <c r="M197">
        <v>1</v>
      </c>
    </row>
    <row r="198" spans="1:13" x14ac:dyDescent="0.45">
      <c r="A198" t="s">
        <v>310</v>
      </c>
      <c r="B198" t="s">
        <v>1225</v>
      </c>
      <c r="C198" t="s">
        <v>1128</v>
      </c>
      <c r="D198" t="s">
        <v>30</v>
      </c>
      <c r="E198">
        <v>1653</v>
      </c>
      <c r="F198" s="1">
        <v>46175</v>
      </c>
      <c r="G198" t="s">
        <v>1219</v>
      </c>
      <c r="H198" t="s">
        <v>1210</v>
      </c>
      <c r="I198">
        <v>3.64</v>
      </c>
      <c r="J198">
        <v>62</v>
      </c>
      <c r="K198">
        <v>114</v>
      </c>
      <c r="L198" t="s">
        <v>1210</v>
      </c>
      <c r="M198">
        <v>2</v>
      </c>
    </row>
    <row r="199" spans="1:13" x14ac:dyDescent="0.45">
      <c r="A199" t="s">
        <v>311</v>
      </c>
      <c r="B199" t="s">
        <v>1223</v>
      </c>
      <c r="C199" t="s">
        <v>1122</v>
      </c>
      <c r="D199" t="s">
        <v>48</v>
      </c>
      <c r="E199">
        <v>777</v>
      </c>
      <c r="F199" s="1">
        <v>46176</v>
      </c>
      <c r="G199" t="s">
        <v>1219</v>
      </c>
      <c r="H199" t="s">
        <v>1210</v>
      </c>
      <c r="I199">
        <v>5.49</v>
      </c>
      <c r="J199">
        <v>62</v>
      </c>
      <c r="K199">
        <v>91</v>
      </c>
      <c r="L199" t="s">
        <v>1210</v>
      </c>
      <c r="M199">
        <v>1</v>
      </c>
    </row>
    <row r="200" spans="1:13" x14ac:dyDescent="0.45">
      <c r="A200" t="s">
        <v>312</v>
      </c>
      <c r="B200" t="s">
        <v>1217</v>
      </c>
      <c r="C200" t="s">
        <v>1114</v>
      </c>
      <c r="D200" t="s">
        <v>54</v>
      </c>
      <c r="E200">
        <v>1660</v>
      </c>
      <c r="F200" s="1">
        <v>46173</v>
      </c>
      <c r="G200" t="s">
        <v>1219</v>
      </c>
      <c r="H200" t="s">
        <v>1210</v>
      </c>
      <c r="I200">
        <v>12.85</v>
      </c>
      <c r="J200">
        <v>91</v>
      </c>
      <c r="K200">
        <v>297</v>
      </c>
      <c r="L200" t="s">
        <v>1210</v>
      </c>
      <c r="M200">
        <v>4</v>
      </c>
    </row>
    <row r="201" spans="1:13" x14ac:dyDescent="0.45">
      <c r="A201" t="s">
        <v>313</v>
      </c>
      <c r="B201" t="s">
        <v>1225</v>
      </c>
      <c r="C201" t="s">
        <v>1119</v>
      </c>
      <c r="D201" t="s">
        <v>91</v>
      </c>
      <c r="E201">
        <v>1639</v>
      </c>
      <c r="F201" s="1">
        <v>46174</v>
      </c>
      <c r="G201" t="s">
        <v>1219</v>
      </c>
      <c r="H201" t="s">
        <v>1210</v>
      </c>
      <c r="I201">
        <v>13.9</v>
      </c>
      <c r="J201">
        <v>69</v>
      </c>
      <c r="K201">
        <v>106</v>
      </c>
      <c r="L201" t="s">
        <v>1210</v>
      </c>
      <c r="M201">
        <v>3</v>
      </c>
    </row>
    <row r="202" spans="1:13" x14ac:dyDescent="0.45">
      <c r="A202" t="s">
        <v>314</v>
      </c>
      <c r="B202" t="s">
        <v>1223</v>
      </c>
      <c r="C202" t="s">
        <v>1124</v>
      </c>
      <c r="D202" t="s">
        <v>29</v>
      </c>
      <c r="E202">
        <v>1691</v>
      </c>
      <c r="F202" s="1">
        <v>46176</v>
      </c>
      <c r="G202" t="s">
        <v>1219</v>
      </c>
      <c r="H202" t="s">
        <v>1210</v>
      </c>
      <c r="I202">
        <v>4</v>
      </c>
      <c r="J202">
        <v>58</v>
      </c>
      <c r="K202">
        <v>112</v>
      </c>
      <c r="L202" t="s">
        <v>1210</v>
      </c>
      <c r="M202">
        <v>1</v>
      </c>
    </row>
    <row r="203" spans="1:13" x14ac:dyDescent="0.45">
      <c r="A203" t="s">
        <v>315</v>
      </c>
      <c r="B203" t="s">
        <v>1225</v>
      </c>
      <c r="C203" t="s">
        <v>1118</v>
      </c>
      <c r="D203" t="s">
        <v>103</v>
      </c>
      <c r="E203">
        <v>368</v>
      </c>
      <c r="F203" s="1">
        <v>46174</v>
      </c>
      <c r="G203" t="s">
        <v>1219</v>
      </c>
      <c r="H203" t="s">
        <v>1210</v>
      </c>
      <c r="I203">
        <v>16.66</v>
      </c>
      <c r="J203">
        <v>85</v>
      </c>
      <c r="K203">
        <v>333</v>
      </c>
      <c r="L203" t="s">
        <v>1210</v>
      </c>
      <c r="M203">
        <v>3</v>
      </c>
    </row>
    <row r="204" spans="1:13" x14ac:dyDescent="0.45">
      <c r="A204" t="s">
        <v>316</v>
      </c>
      <c r="B204" t="s">
        <v>1217</v>
      </c>
      <c r="C204" t="s">
        <v>1126</v>
      </c>
      <c r="D204" t="s">
        <v>109</v>
      </c>
      <c r="E204">
        <v>1916</v>
      </c>
      <c r="F204" s="1">
        <v>46176</v>
      </c>
      <c r="G204" t="s">
        <v>1219</v>
      </c>
      <c r="H204" t="s">
        <v>1210</v>
      </c>
      <c r="I204">
        <v>12.09</v>
      </c>
      <c r="J204">
        <v>80</v>
      </c>
      <c r="K204">
        <v>138</v>
      </c>
      <c r="L204" t="s">
        <v>1210</v>
      </c>
      <c r="M204">
        <v>1</v>
      </c>
    </row>
    <row r="205" spans="1:13" x14ac:dyDescent="0.45">
      <c r="A205" t="s">
        <v>317</v>
      </c>
      <c r="B205" t="s">
        <v>1223</v>
      </c>
      <c r="C205" t="s">
        <v>1117</v>
      </c>
      <c r="D205" t="s">
        <v>97</v>
      </c>
      <c r="E205">
        <v>850</v>
      </c>
      <c r="F205" s="1">
        <v>46176</v>
      </c>
      <c r="G205" t="s">
        <v>1219</v>
      </c>
      <c r="H205" t="s">
        <v>1210</v>
      </c>
      <c r="I205">
        <v>9.57</v>
      </c>
      <c r="J205">
        <v>92</v>
      </c>
      <c r="K205">
        <v>122</v>
      </c>
      <c r="L205" t="s">
        <v>1210</v>
      </c>
      <c r="M205">
        <v>1</v>
      </c>
    </row>
    <row r="206" spans="1:13" x14ac:dyDescent="0.45">
      <c r="A206" t="s">
        <v>318</v>
      </c>
      <c r="B206" t="s">
        <v>1225</v>
      </c>
      <c r="C206" t="s">
        <v>1118</v>
      </c>
      <c r="D206" t="s">
        <v>75</v>
      </c>
      <c r="E206">
        <v>852</v>
      </c>
      <c r="F206" s="1">
        <v>46172</v>
      </c>
      <c r="G206" t="s">
        <v>1219</v>
      </c>
      <c r="H206" t="s">
        <v>1210</v>
      </c>
      <c r="J206">
        <v>71</v>
      </c>
      <c r="K206">
        <v>192</v>
      </c>
      <c r="L206" t="s">
        <v>1210</v>
      </c>
      <c r="M206">
        <v>5</v>
      </c>
    </row>
    <row r="207" spans="1:13" x14ac:dyDescent="0.45">
      <c r="A207" t="s">
        <v>319</v>
      </c>
      <c r="B207" t="s">
        <v>1225</v>
      </c>
      <c r="C207" t="s">
        <v>1123</v>
      </c>
      <c r="D207" t="s">
        <v>43</v>
      </c>
      <c r="E207">
        <v>2372</v>
      </c>
      <c r="F207" s="1">
        <v>46176</v>
      </c>
      <c r="G207" t="s">
        <v>1219</v>
      </c>
      <c r="H207" t="s">
        <v>1210</v>
      </c>
      <c r="I207">
        <v>9.6999999999999993</v>
      </c>
      <c r="J207">
        <v>98</v>
      </c>
      <c r="K207">
        <v>115</v>
      </c>
      <c r="L207" t="s">
        <v>1210</v>
      </c>
      <c r="M207">
        <v>1</v>
      </c>
    </row>
    <row r="208" spans="1:13" x14ac:dyDescent="0.45">
      <c r="A208" t="s">
        <v>320</v>
      </c>
      <c r="B208" t="s">
        <v>1225</v>
      </c>
      <c r="C208" t="s">
        <v>1118</v>
      </c>
      <c r="D208" t="s">
        <v>81</v>
      </c>
      <c r="E208">
        <v>1107</v>
      </c>
      <c r="F208" s="1">
        <v>46176</v>
      </c>
      <c r="G208" t="s">
        <v>1219</v>
      </c>
      <c r="H208" t="s">
        <v>1210</v>
      </c>
      <c r="I208">
        <v>20.5</v>
      </c>
      <c r="J208">
        <v>64</v>
      </c>
      <c r="K208">
        <v>359</v>
      </c>
      <c r="L208" t="s">
        <v>1210</v>
      </c>
      <c r="M208">
        <v>1</v>
      </c>
    </row>
    <row r="209" spans="1:13" x14ac:dyDescent="0.45">
      <c r="A209" t="s">
        <v>321</v>
      </c>
      <c r="B209" t="s">
        <v>1217</v>
      </c>
      <c r="C209" t="s">
        <v>1116</v>
      </c>
      <c r="D209" t="s">
        <v>23</v>
      </c>
      <c r="E209">
        <v>2449</v>
      </c>
      <c r="F209" s="1">
        <v>46176</v>
      </c>
      <c r="G209" t="s">
        <v>1219</v>
      </c>
      <c r="H209" t="s">
        <v>1210</v>
      </c>
      <c r="I209">
        <v>7.71</v>
      </c>
      <c r="J209">
        <v>101</v>
      </c>
      <c r="K209">
        <v>23</v>
      </c>
      <c r="L209" t="s">
        <v>1210</v>
      </c>
      <c r="M209">
        <v>1</v>
      </c>
    </row>
    <row r="210" spans="1:13" x14ac:dyDescent="0.45">
      <c r="A210" t="s">
        <v>322</v>
      </c>
      <c r="B210" t="s">
        <v>1223</v>
      </c>
      <c r="C210" t="s">
        <v>1122</v>
      </c>
      <c r="D210" t="s">
        <v>55</v>
      </c>
      <c r="E210">
        <v>2068</v>
      </c>
      <c r="F210" s="1">
        <v>46175</v>
      </c>
      <c r="G210" t="s">
        <v>1219</v>
      </c>
      <c r="H210" t="s">
        <v>1210</v>
      </c>
      <c r="I210">
        <v>3.48</v>
      </c>
      <c r="J210">
        <v>66</v>
      </c>
      <c r="K210">
        <v>112</v>
      </c>
      <c r="L210" t="s">
        <v>1210</v>
      </c>
      <c r="M210">
        <v>2</v>
      </c>
    </row>
    <row r="211" spans="1:13" x14ac:dyDescent="0.45">
      <c r="A211" t="s">
        <v>323</v>
      </c>
      <c r="B211" t="s">
        <v>1217</v>
      </c>
      <c r="C211" t="s">
        <v>1126</v>
      </c>
      <c r="D211" t="s">
        <v>69</v>
      </c>
      <c r="E211">
        <v>1576</v>
      </c>
      <c r="F211" s="1">
        <v>46176</v>
      </c>
      <c r="G211" t="s">
        <v>1219</v>
      </c>
      <c r="H211" t="s">
        <v>1210</v>
      </c>
      <c r="I211">
        <v>13.13</v>
      </c>
      <c r="J211">
        <v>82</v>
      </c>
      <c r="K211">
        <v>105</v>
      </c>
      <c r="L211" t="s">
        <v>1210</v>
      </c>
      <c r="M211">
        <v>1</v>
      </c>
    </row>
    <row r="212" spans="1:13" x14ac:dyDescent="0.45">
      <c r="A212" t="s">
        <v>324</v>
      </c>
      <c r="B212" t="s">
        <v>1223</v>
      </c>
      <c r="C212" t="s">
        <v>1122</v>
      </c>
      <c r="D212" t="s">
        <v>87</v>
      </c>
      <c r="E212">
        <v>1125</v>
      </c>
      <c r="F212" s="1">
        <v>46176</v>
      </c>
      <c r="G212" t="s">
        <v>1219</v>
      </c>
      <c r="H212" t="s">
        <v>1210</v>
      </c>
      <c r="I212">
        <v>17.28</v>
      </c>
      <c r="J212">
        <v>97</v>
      </c>
      <c r="K212">
        <v>271</v>
      </c>
      <c r="L212" t="s">
        <v>1210</v>
      </c>
      <c r="M212">
        <v>1</v>
      </c>
    </row>
    <row r="213" spans="1:13" x14ac:dyDescent="0.45">
      <c r="A213" t="s">
        <v>325</v>
      </c>
      <c r="B213" t="s">
        <v>1217</v>
      </c>
      <c r="C213" t="s">
        <v>1115</v>
      </c>
      <c r="D213" t="s">
        <v>88</v>
      </c>
      <c r="E213">
        <v>1862</v>
      </c>
      <c r="F213" s="1">
        <v>46176</v>
      </c>
      <c r="G213" t="s">
        <v>1219</v>
      </c>
      <c r="H213" t="s">
        <v>1210</v>
      </c>
      <c r="I213">
        <v>11.02</v>
      </c>
      <c r="J213">
        <v>69</v>
      </c>
      <c r="K213">
        <v>86</v>
      </c>
      <c r="L213" t="s">
        <v>1210</v>
      </c>
      <c r="M213">
        <v>1</v>
      </c>
    </row>
    <row r="214" spans="1:13" x14ac:dyDescent="0.45">
      <c r="A214" t="s">
        <v>326</v>
      </c>
      <c r="B214" t="s">
        <v>1225</v>
      </c>
      <c r="C214" t="s">
        <v>1128</v>
      </c>
      <c r="D214" t="s">
        <v>75</v>
      </c>
      <c r="E214">
        <v>781</v>
      </c>
      <c r="F214" s="1">
        <v>46176</v>
      </c>
      <c r="G214" t="s">
        <v>1219</v>
      </c>
      <c r="H214" t="s">
        <v>1210</v>
      </c>
      <c r="J214">
        <v>71</v>
      </c>
      <c r="K214">
        <v>192</v>
      </c>
      <c r="L214" t="s">
        <v>1210</v>
      </c>
      <c r="M214">
        <v>1</v>
      </c>
    </row>
    <row r="215" spans="1:13" x14ac:dyDescent="0.45">
      <c r="A215" t="s">
        <v>327</v>
      </c>
      <c r="B215" t="s">
        <v>1225</v>
      </c>
      <c r="C215" t="s">
        <v>1119</v>
      </c>
      <c r="D215" t="s">
        <v>19</v>
      </c>
      <c r="E215">
        <v>647</v>
      </c>
      <c r="F215" s="1">
        <v>46174</v>
      </c>
      <c r="G215" t="s">
        <v>1219</v>
      </c>
      <c r="H215" t="s">
        <v>1210</v>
      </c>
      <c r="I215">
        <v>8.0500000000000007</v>
      </c>
      <c r="J215">
        <v>147</v>
      </c>
      <c r="K215">
        <v>28</v>
      </c>
      <c r="L215" t="s">
        <v>1210</v>
      </c>
      <c r="M215">
        <v>3</v>
      </c>
    </row>
    <row r="216" spans="1:13" x14ac:dyDescent="0.45">
      <c r="A216" t="s">
        <v>328</v>
      </c>
      <c r="B216" t="s">
        <v>1217</v>
      </c>
      <c r="C216" t="s">
        <v>1114</v>
      </c>
      <c r="D216" t="s">
        <v>1136</v>
      </c>
      <c r="E216">
        <v>474</v>
      </c>
      <c r="F216" s="1">
        <v>46174</v>
      </c>
      <c r="G216" t="s">
        <v>1219</v>
      </c>
      <c r="H216" t="s">
        <v>1210</v>
      </c>
      <c r="I216">
        <v>11.98</v>
      </c>
      <c r="J216">
        <v>86</v>
      </c>
      <c r="K216">
        <v>123</v>
      </c>
      <c r="L216" t="s">
        <v>1210</v>
      </c>
      <c r="M216">
        <v>3</v>
      </c>
    </row>
    <row r="217" spans="1:13" x14ac:dyDescent="0.45">
      <c r="A217" t="s">
        <v>329</v>
      </c>
      <c r="B217" t="s">
        <v>1217</v>
      </c>
      <c r="C217" t="s">
        <v>1120</v>
      </c>
      <c r="D217" t="s">
        <v>1135</v>
      </c>
      <c r="E217">
        <v>690</v>
      </c>
      <c r="F217" s="1">
        <v>46175</v>
      </c>
      <c r="G217" t="s">
        <v>1219</v>
      </c>
      <c r="H217" t="s">
        <v>1210</v>
      </c>
      <c r="I217">
        <v>13.31</v>
      </c>
      <c r="J217">
        <v>89</v>
      </c>
      <c r="K217">
        <v>313</v>
      </c>
      <c r="L217" t="s">
        <v>1210</v>
      </c>
      <c r="M217">
        <v>2</v>
      </c>
    </row>
    <row r="218" spans="1:13" x14ac:dyDescent="0.45">
      <c r="A218" t="s">
        <v>330</v>
      </c>
      <c r="B218" t="s">
        <v>1217</v>
      </c>
      <c r="C218" t="s">
        <v>1114</v>
      </c>
      <c r="D218" t="s">
        <v>39</v>
      </c>
      <c r="E218">
        <v>636</v>
      </c>
      <c r="F218" s="1">
        <v>46175</v>
      </c>
      <c r="G218" t="s">
        <v>1219</v>
      </c>
      <c r="H218" t="s">
        <v>1210</v>
      </c>
      <c r="I218">
        <v>14.35</v>
      </c>
      <c r="J218">
        <v>70</v>
      </c>
      <c r="K218">
        <v>240</v>
      </c>
      <c r="L218" t="s">
        <v>1210</v>
      </c>
      <c r="M218">
        <v>2</v>
      </c>
    </row>
    <row r="219" spans="1:13" x14ac:dyDescent="0.45">
      <c r="A219" t="s">
        <v>331</v>
      </c>
      <c r="B219" t="s">
        <v>1217</v>
      </c>
      <c r="C219" t="s">
        <v>1114</v>
      </c>
      <c r="D219" t="s">
        <v>78</v>
      </c>
      <c r="E219">
        <v>2046</v>
      </c>
      <c r="F219" s="1">
        <v>46175</v>
      </c>
      <c r="G219" t="s">
        <v>1219</v>
      </c>
      <c r="H219" t="s">
        <v>1210</v>
      </c>
      <c r="I219">
        <v>11.26</v>
      </c>
      <c r="J219">
        <v>129</v>
      </c>
      <c r="K219">
        <v>24</v>
      </c>
      <c r="L219" t="s">
        <v>1210</v>
      </c>
      <c r="M219">
        <v>2</v>
      </c>
    </row>
    <row r="220" spans="1:13" x14ac:dyDescent="0.45">
      <c r="A220" t="s">
        <v>332</v>
      </c>
      <c r="B220" t="s">
        <v>1223</v>
      </c>
      <c r="C220" t="s">
        <v>1127</v>
      </c>
      <c r="D220" t="s">
        <v>47</v>
      </c>
      <c r="E220">
        <v>1301</v>
      </c>
      <c r="F220" s="1">
        <v>46176</v>
      </c>
      <c r="G220" t="s">
        <v>1219</v>
      </c>
      <c r="H220" t="s">
        <v>1210</v>
      </c>
      <c r="I220">
        <v>15.14</v>
      </c>
      <c r="J220">
        <v>117</v>
      </c>
      <c r="K220">
        <v>484</v>
      </c>
      <c r="L220" t="s">
        <v>1210</v>
      </c>
      <c r="M220">
        <v>1</v>
      </c>
    </row>
    <row r="221" spans="1:13" x14ac:dyDescent="0.45">
      <c r="A221" t="s">
        <v>333</v>
      </c>
      <c r="B221" t="s">
        <v>1217</v>
      </c>
      <c r="C221" t="s">
        <v>1120</v>
      </c>
      <c r="D221" t="s">
        <v>98</v>
      </c>
      <c r="E221">
        <v>2110</v>
      </c>
      <c r="F221" s="1">
        <v>46176</v>
      </c>
      <c r="G221" t="s">
        <v>1219</v>
      </c>
      <c r="H221" t="s">
        <v>1210</v>
      </c>
      <c r="I221">
        <v>6.23</v>
      </c>
      <c r="J221">
        <v>78</v>
      </c>
      <c r="K221">
        <v>99</v>
      </c>
      <c r="L221" t="s">
        <v>1210</v>
      </c>
      <c r="M221">
        <v>1</v>
      </c>
    </row>
    <row r="222" spans="1:13" x14ac:dyDescent="0.45">
      <c r="A222" t="s">
        <v>334</v>
      </c>
      <c r="B222" t="s">
        <v>1223</v>
      </c>
      <c r="C222" t="s">
        <v>1121</v>
      </c>
      <c r="D222" t="s">
        <v>108</v>
      </c>
      <c r="E222">
        <v>1074</v>
      </c>
      <c r="F222" s="1">
        <v>46176</v>
      </c>
      <c r="G222" t="s">
        <v>1221</v>
      </c>
      <c r="H222" t="s">
        <v>1210</v>
      </c>
      <c r="I222">
        <v>19.95</v>
      </c>
      <c r="J222">
        <v>78</v>
      </c>
      <c r="K222">
        <v>276</v>
      </c>
      <c r="L222" t="s">
        <v>1210</v>
      </c>
      <c r="M222">
        <v>1</v>
      </c>
    </row>
    <row r="223" spans="1:13" x14ac:dyDescent="0.45">
      <c r="A223" t="s">
        <v>335</v>
      </c>
      <c r="B223" t="s">
        <v>1225</v>
      </c>
      <c r="C223" t="s">
        <v>1118</v>
      </c>
      <c r="D223" t="s">
        <v>49</v>
      </c>
      <c r="E223">
        <v>873</v>
      </c>
      <c r="F223" s="1">
        <v>46173</v>
      </c>
      <c r="G223" t="s">
        <v>1219</v>
      </c>
      <c r="H223" t="s">
        <v>1210</v>
      </c>
      <c r="I223">
        <v>21.99</v>
      </c>
      <c r="J223">
        <v>67</v>
      </c>
      <c r="K223">
        <v>213</v>
      </c>
      <c r="L223" t="s">
        <v>1210</v>
      </c>
      <c r="M223">
        <v>4</v>
      </c>
    </row>
    <row r="224" spans="1:13" x14ac:dyDescent="0.45">
      <c r="A224" t="s">
        <v>336</v>
      </c>
      <c r="B224" t="s">
        <v>1225</v>
      </c>
      <c r="C224" t="s">
        <v>1125</v>
      </c>
      <c r="D224" t="s">
        <v>110</v>
      </c>
      <c r="E224">
        <v>2975</v>
      </c>
      <c r="F224" s="1">
        <v>46175</v>
      </c>
      <c r="G224" t="s">
        <v>1219</v>
      </c>
      <c r="H224" t="s">
        <v>1210</v>
      </c>
      <c r="I224">
        <v>6.16</v>
      </c>
      <c r="J224">
        <v>104</v>
      </c>
      <c r="K224">
        <v>67</v>
      </c>
      <c r="L224" t="s">
        <v>1210</v>
      </c>
      <c r="M224">
        <v>2</v>
      </c>
    </row>
    <row r="225" spans="1:13" x14ac:dyDescent="0.45">
      <c r="A225" t="s">
        <v>337</v>
      </c>
      <c r="B225" t="s">
        <v>1217</v>
      </c>
      <c r="C225" t="s">
        <v>1116</v>
      </c>
      <c r="D225" t="s">
        <v>85</v>
      </c>
      <c r="E225">
        <v>3142</v>
      </c>
      <c r="F225" s="1">
        <v>46175</v>
      </c>
      <c r="G225" t="s">
        <v>1219</v>
      </c>
      <c r="H225" t="s">
        <v>1210</v>
      </c>
      <c r="I225">
        <v>6.87</v>
      </c>
      <c r="J225">
        <v>101</v>
      </c>
      <c r="K225">
        <v>62</v>
      </c>
      <c r="L225" t="s">
        <v>1210</v>
      </c>
      <c r="M225">
        <v>2</v>
      </c>
    </row>
    <row r="226" spans="1:13" x14ac:dyDescent="0.45">
      <c r="A226" t="s">
        <v>338</v>
      </c>
      <c r="B226" t="s">
        <v>1223</v>
      </c>
      <c r="C226" t="s">
        <v>1127</v>
      </c>
      <c r="D226" t="s">
        <v>88</v>
      </c>
      <c r="E226">
        <v>2034</v>
      </c>
      <c r="F226" s="1">
        <v>46174</v>
      </c>
      <c r="G226" t="s">
        <v>1219</v>
      </c>
      <c r="H226" t="s">
        <v>1210</v>
      </c>
      <c r="I226">
        <v>11.02</v>
      </c>
      <c r="J226">
        <v>69</v>
      </c>
      <c r="K226">
        <v>86</v>
      </c>
      <c r="L226" t="s">
        <v>1210</v>
      </c>
      <c r="M226">
        <v>3</v>
      </c>
    </row>
    <row r="227" spans="1:13" x14ac:dyDescent="0.45">
      <c r="A227" t="s">
        <v>339</v>
      </c>
      <c r="B227" t="s">
        <v>1225</v>
      </c>
      <c r="C227" t="s">
        <v>1118</v>
      </c>
      <c r="D227" t="s">
        <v>78</v>
      </c>
      <c r="E227">
        <v>1738</v>
      </c>
      <c r="F227" s="1">
        <v>46174</v>
      </c>
      <c r="G227" t="s">
        <v>1219</v>
      </c>
      <c r="H227" t="s">
        <v>1210</v>
      </c>
      <c r="I227">
        <v>11.26</v>
      </c>
      <c r="J227">
        <v>129</v>
      </c>
      <c r="K227">
        <v>24</v>
      </c>
      <c r="L227" t="s">
        <v>1210</v>
      </c>
      <c r="M227">
        <v>3</v>
      </c>
    </row>
    <row r="228" spans="1:13" x14ac:dyDescent="0.45">
      <c r="A228" t="s">
        <v>340</v>
      </c>
      <c r="B228" t="s">
        <v>1217</v>
      </c>
      <c r="C228" t="s">
        <v>1120</v>
      </c>
      <c r="D228" t="s">
        <v>32</v>
      </c>
      <c r="E228">
        <v>1644</v>
      </c>
      <c r="F228" s="1">
        <v>46176</v>
      </c>
      <c r="G228" t="s">
        <v>1219</v>
      </c>
      <c r="H228" t="s">
        <v>1210</v>
      </c>
      <c r="I228">
        <v>11.45</v>
      </c>
      <c r="J228">
        <v>93</v>
      </c>
      <c r="K228">
        <v>16</v>
      </c>
      <c r="L228" t="s">
        <v>1210</v>
      </c>
      <c r="M228">
        <v>1</v>
      </c>
    </row>
    <row r="229" spans="1:13" x14ac:dyDescent="0.45">
      <c r="A229" t="s">
        <v>341</v>
      </c>
      <c r="B229" t="s">
        <v>1217</v>
      </c>
      <c r="C229" t="s">
        <v>1120</v>
      </c>
      <c r="D229" t="s">
        <v>20</v>
      </c>
      <c r="E229">
        <v>1380</v>
      </c>
      <c r="F229" s="1">
        <v>46176</v>
      </c>
      <c r="G229" t="s">
        <v>1219</v>
      </c>
      <c r="H229" t="s">
        <v>1210</v>
      </c>
      <c r="I229">
        <v>15.66</v>
      </c>
      <c r="J229">
        <v>72</v>
      </c>
      <c r="K229">
        <v>306</v>
      </c>
      <c r="L229" t="s">
        <v>1210</v>
      </c>
      <c r="M229">
        <v>1</v>
      </c>
    </row>
    <row r="230" spans="1:13" x14ac:dyDescent="0.45">
      <c r="A230" t="s">
        <v>342</v>
      </c>
      <c r="B230" t="s">
        <v>1223</v>
      </c>
      <c r="C230" t="s">
        <v>1124</v>
      </c>
      <c r="D230" t="s">
        <v>18</v>
      </c>
      <c r="E230">
        <v>427</v>
      </c>
      <c r="F230" s="1">
        <v>46176</v>
      </c>
      <c r="G230" t="s">
        <v>1219</v>
      </c>
      <c r="H230" t="s">
        <v>1210</v>
      </c>
      <c r="I230">
        <v>16.489999999999998</v>
      </c>
      <c r="J230">
        <v>102</v>
      </c>
      <c r="K230">
        <v>315</v>
      </c>
      <c r="L230" t="s">
        <v>1210</v>
      </c>
      <c r="M230">
        <v>1</v>
      </c>
    </row>
    <row r="231" spans="1:13" x14ac:dyDescent="0.45">
      <c r="A231" t="s">
        <v>343</v>
      </c>
      <c r="B231" t="s">
        <v>1225</v>
      </c>
      <c r="C231" t="s">
        <v>1128</v>
      </c>
      <c r="D231" t="s">
        <v>52</v>
      </c>
      <c r="E231">
        <v>1092</v>
      </c>
      <c r="F231" s="1">
        <v>46176</v>
      </c>
      <c r="G231" t="s">
        <v>1219</v>
      </c>
      <c r="H231" t="s">
        <v>1210</v>
      </c>
      <c r="I231">
        <v>11.01</v>
      </c>
      <c r="J231">
        <v>98</v>
      </c>
      <c r="K231">
        <v>16</v>
      </c>
      <c r="L231" t="s">
        <v>1210</v>
      </c>
      <c r="M231">
        <v>1</v>
      </c>
    </row>
    <row r="232" spans="1:13" x14ac:dyDescent="0.45">
      <c r="A232" t="s">
        <v>344</v>
      </c>
      <c r="B232" t="s">
        <v>1217</v>
      </c>
      <c r="C232" t="s">
        <v>1126</v>
      </c>
      <c r="D232" t="s">
        <v>1135</v>
      </c>
      <c r="E232">
        <v>1736</v>
      </c>
      <c r="F232" s="1">
        <v>46176</v>
      </c>
      <c r="G232" t="s">
        <v>1219</v>
      </c>
      <c r="H232" t="s">
        <v>1210</v>
      </c>
      <c r="I232">
        <v>13.31</v>
      </c>
      <c r="J232">
        <v>89</v>
      </c>
      <c r="K232">
        <v>313</v>
      </c>
      <c r="L232" t="s">
        <v>1210</v>
      </c>
      <c r="M232">
        <v>1</v>
      </c>
    </row>
    <row r="233" spans="1:13" x14ac:dyDescent="0.45">
      <c r="A233" t="s">
        <v>345</v>
      </c>
      <c r="B233" t="s">
        <v>1223</v>
      </c>
      <c r="C233" t="s">
        <v>1122</v>
      </c>
      <c r="D233" t="s">
        <v>66</v>
      </c>
      <c r="E233">
        <v>886</v>
      </c>
      <c r="F233" s="1">
        <v>46176</v>
      </c>
      <c r="G233" t="s">
        <v>1221</v>
      </c>
      <c r="H233" t="s">
        <v>1210</v>
      </c>
      <c r="I233">
        <v>23.39</v>
      </c>
      <c r="J233">
        <v>79</v>
      </c>
      <c r="K233">
        <v>329</v>
      </c>
      <c r="L233" t="s">
        <v>1210</v>
      </c>
      <c r="M233">
        <v>1</v>
      </c>
    </row>
    <row r="234" spans="1:13" x14ac:dyDescent="0.45">
      <c r="A234" t="s">
        <v>346</v>
      </c>
      <c r="B234" t="s">
        <v>1217</v>
      </c>
      <c r="C234" t="s">
        <v>1115</v>
      </c>
      <c r="D234" t="s">
        <v>99</v>
      </c>
      <c r="E234">
        <v>1752</v>
      </c>
      <c r="F234" s="1">
        <v>46170</v>
      </c>
      <c r="G234" t="s">
        <v>1219</v>
      </c>
      <c r="H234" t="s">
        <v>1210</v>
      </c>
      <c r="I234">
        <v>4.26</v>
      </c>
      <c r="J234">
        <v>68</v>
      </c>
      <c r="K234">
        <v>117</v>
      </c>
      <c r="L234" t="s">
        <v>1210</v>
      </c>
      <c r="M234">
        <v>7</v>
      </c>
    </row>
    <row r="235" spans="1:13" x14ac:dyDescent="0.45">
      <c r="A235" t="s">
        <v>347</v>
      </c>
      <c r="B235" t="s">
        <v>1223</v>
      </c>
      <c r="C235" t="s">
        <v>1124</v>
      </c>
      <c r="D235" t="s">
        <v>1134</v>
      </c>
      <c r="E235">
        <v>984</v>
      </c>
      <c r="F235" s="1">
        <v>46176</v>
      </c>
      <c r="G235" t="s">
        <v>1219</v>
      </c>
      <c r="H235" t="s">
        <v>1210</v>
      </c>
      <c r="I235">
        <v>21.3</v>
      </c>
      <c r="J235">
        <v>108</v>
      </c>
      <c r="K235">
        <v>345</v>
      </c>
      <c r="L235" t="s">
        <v>1210</v>
      </c>
      <c r="M235">
        <v>1</v>
      </c>
    </row>
    <row r="236" spans="1:13" x14ac:dyDescent="0.45">
      <c r="A236" t="s">
        <v>348</v>
      </c>
      <c r="B236" t="s">
        <v>1223</v>
      </c>
      <c r="C236" t="s">
        <v>1117</v>
      </c>
      <c r="D236" t="s">
        <v>67</v>
      </c>
      <c r="E236">
        <v>2323</v>
      </c>
      <c r="F236" s="1">
        <v>46176</v>
      </c>
      <c r="G236" t="s">
        <v>1219</v>
      </c>
      <c r="H236" t="s">
        <v>1210</v>
      </c>
      <c r="I236">
        <v>8.32</v>
      </c>
      <c r="J236">
        <v>98</v>
      </c>
      <c r="K236">
        <v>16</v>
      </c>
      <c r="L236" t="s">
        <v>1210</v>
      </c>
      <c r="M236">
        <v>1</v>
      </c>
    </row>
    <row r="237" spans="1:13" x14ac:dyDescent="0.45">
      <c r="A237" t="s">
        <v>349</v>
      </c>
      <c r="B237" t="s">
        <v>1223</v>
      </c>
      <c r="C237" t="s">
        <v>1117</v>
      </c>
      <c r="D237" t="s">
        <v>96</v>
      </c>
      <c r="E237">
        <v>1875</v>
      </c>
      <c r="F237" s="1">
        <v>46175</v>
      </c>
      <c r="G237" t="s">
        <v>1219</v>
      </c>
      <c r="H237" t="s">
        <v>1210</v>
      </c>
      <c r="I237">
        <v>4.43</v>
      </c>
      <c r="J237">
        <v>63</v>
      </c>
      <c r="K237">
        <v>115</v>
      </c>
      <c r="L237" t="s">
        <v>1210</v>
      </c>
      <c r="M237">
        <v>2</v>
      </c>
    </row>
    <row r="238" spans="1:13" x14ac:dyDescent="0.45">
      <c r="A238" t="s">
        <v>350</v>
      </c>
      <c r="B238" t="s">
        <v>1217</v>
      </c>
      <c r="C238" t="s">
        <v>1116</v>
      </c>
      <c r="D238" t="s">
        <v>64</v>
      </c>
      <c r="E238">
        <v>2303</v>
      </c>
      <c r="F238" s="1">
        <v>46174</v>
      </c>
      <c r="G238" t="s">
        <v>1219</v>
      </c>
      <c r="H238" t="s">
        <v>1210</v>
      </c>
      <c r="J238">
        <v>49</v>
      </c>
      <c r="K238">
        <v>104</v>
      </c>
      <c r="L238" t="s">
        <v>1210</v>
      </c>
      <c r="M238">
        <v>3</v>
      </c>
    </row>
    <row r="239" spans="1:13" x14ac:dyDescent="0.45">
      <c r="A239" t="s">
        <v>351</v>
      </c>
      <c r="B239" t="s">
        <v>1223</v>
      </c>
      <c r="C239" t="s">
        <v>1124</v>
      </c>
      <c r="D239" t="s">
        <v>29</v>
      </c>
      <c r="E239">
        <v>1637</v>
      </c>
      <c r="F239" s="1">
        <v>46176</v>
      </c>
      <c r="G239" t="s">
        <v>1219</v>
      </c>
      <c r="H239" t="s">
        <v>1210</v>
      </c>
      <c r="I239">
        <v>4</v>
      </c>
      <c r="J239">
        <v>58</v>
      </c>
      <c r="K239">
        <v>112</v>
      </c>
      <c r="L239" t="s">
        <v>1210</v>
      </c>
      <c r="M239">
        <v>1</v>
      </c>
    </row>
    <row r="240" spans="1:13" x14ac:dyDescent="0.45">
      <c r="A240" t="s">
        <v>352</v>
      </c>
      <c r="B240" t="s">
        <v>1223</v>
      </c>
      <c r="C240" t="s">
        <v>1127</v>
      </c>
      <c r="D240" t="s">
        <v>27</v>
      </c>
      <c r="E240">
        <v>423</v>
      </c>
      <c r="F240" s="1">
        <v>46174</v>
      </c>
      <c r="G240" t="s">
        <v>1219</v>
      </c>
      <c r="H240" t="s">
        <v>1210</v>
      </c>
      <c r="I240">
        <v>4.37</v>
      </c>
      <c r="J240">
        <v>58</v>
      </c>
      <c r="K240">
        <v>92</v>
      </c>
      <c r="L240" t="s">
        <v>1210</v>
      </c>
      <c r="M240">
        <v>3</v>
      </c>
    </row>
    <row r="241" spans="1:13" x14ac:dyDescent="0.45">
      <c r="A241" t="s">
        <v>353</v>
      </c>
      <c r="B241" t="s">
        <v>1225</v>
      </c>
      <c r="C241" t="s">
        <v>1125</v>
      </c>
      <c r="D241" t="s">
        <v>60</v>
      </c>
      <c r="E241">
        <v>1307</v>
      </c>
      <c r="F241" s="1">
        <v>46175</v>
      </c>
      <c r="G241" t="s">
        <v>1219</v>
      </c>
      <c r="H241" t="s">
        <v>1210</v>
      </c>
      <c r="I241">
        <v>3.02</v>
      </c>
      <c r="J241">
        <v>84</v>
      </c>
      <c r="K241">
        <v>111</v>
      </c>
      <c r="L241" t="s">
        <v>1210</v>
      </c>
      <c r="M241">
        <v>2</v>
      </c>
    </row>
    <row r="242" spans="1:13" x14ac:dyDescent="0.45">
      <c r="A242" t="s">
        <v>354</v>
      </c>
      <c r="B242" t="s">
        <v>1217</v>
      </c>
      <c r="C242" t="s">
        <v>1115</v>
      </c>
      <c r="D242" t="s">
        <v>81</v>
      </c>
      <c r="E242">
        <v>1067</v>
      </c>
      <c r="F242" s="1">
        <v>46175</v>
      </c>
      <c r="G242" t="s">
        <v>1219</v>
      </c>
      <c r="H242" t="s">
        <v>1210</v>
      </c>
      <c r="I242">
        <v>20.5</v>
      </c>
      <c r="J242">
        <v>64</v>
      </c>
      <c r="K242">
        <v>359</v>
      </c>
      <c r="L242" t="s">
        <v>1210</v>
      </c>
      <c r="M242">
        <v>2</v>
      </c>
    </row>
    <row r="243" spans="1:13" x14ac:dyDescent="0.45">
      <c r="A243" t="s">
        <v>355</v>
      </c>
      <c r="B243" t="s">
        <v>1217</v>
      </c>
      <c r="C243" t="s">
        <v>1126</v>
      </c>
      <c r="D243" t="s">
        <v>75</v>
      </c>
      <c r="E243">
        <v>188</v>
      </c>
      <c r="F243" s="1">
        <v>46168</v>
      </c>
      <c r="G243" t="s">
        <v>1219</v>
      </c>
      <c r="H243" t="s">
        <v>1210</v>
      </c>
      <c r="J243">
        <v>71</v>
      </c>
      <c r="K243">
        <v>192</v>
      </c>
      <c r="L243" t="s">
        <v>1210</v>
      </c>
      <c r="M243">
        <v>9</v>
      </c>
    </row>
    <row r="244" spans="1:13" x14ac:dyDescent="0.45">
      <c r="A244" t="s">
        <v>356</v>
      </c>
      <c r="B244" t="s">
        <v>1217</v>
      </c>
      <c r="C244" t="s">
        <v>1114</v>
      </c>
      <c r="D244" t="s">
        <v>45</v>
      </c>
      <c r="E244">
        <v>634</v>
      </c>
      <c r="F244" s="1">
        <v>46176</v>
      </c>
      <c r="G244" t="s">
        <v>1219</v>
      </c>
      <c r="H244" t="s">
        <v>1210</v>
      </c>
      <c r="I244">
        <v>17.47</v>
      </c>
      <c r="J244">
        <v>65</v>
      </c>
      <c r="K244">
        <v>216</v>
      </c>
      <c r="L244" t="s">
        <v>1210</v>
      </c>
      <c r="M244">
        <v>1</v>
      </c>
    </row>
    <row r="245" spans="1:13" x14ac:dyDescent="0.45">
      <c r="A245" t="s">
        <v>357</v>
      </c>
      <c r="B245" t="s">
        <v>1225</v>
      </c>
      <c r="C245" t="s">
        <v>1125</v>
      </c>
      <c r="D245" t="s">
        <v>37</v>
      </c>
      <c r="E245">
        <v>2592</v>
      </c>
      <c r="F245" s="1">
        <v>46174</v>
      </c>
      <c r="G245" t="s">
        <v>1219</v>
      </c>
      <c r="H245" t="s">
        <v>1210</v>
      </c>
      <c r="I245">
        <v>7.76</v>
      </c>
      <c r="J245">
        <v>86</v>
      </c>
      <c r="K245">
        <v>112</v>
      </c>
      <c r="L245" t="s">
        <v>1210</v>
      </c>
      <c r="M245">
        <v>3</v>
      </c>
    </row>
    <row r="246" spans="1:13" x14ac:dyDescent="0.45">
      <c r="A246" t="s">
        <v>358</v>
      </c>
      <c r="B246" t="s">
        <v>1225</v>
      </c>
      <c r="C246" t="s">
        <v>1119</v>
      </c>
      <c r="D246" t="s">
        <v>1136</v>
      </c>
      <c r="E246">
        <v>1113</v>
      </c>
      <c r="F246" s="1">
        <v>46176</v>
      </c>
      <c r="G246" t="s">
        <v>1219</v>
      </c>
      <c r="H246" t="s">
        <v>1210</v>
      </c>
      <c r="I246">
        <v>11.98</v>
      </c>
      <c r="J246">
        <v>86</v>
      </c>
      <c r="K246">
        <v>123</v>
      </c>
      <c r="L246" t="s">
        <v>1210</v>
      </c>
      <c r="M246">
        <v>1</v>
      </c>
    </row>
    <row r="247" spans="1:13" x14ac:dyDescent="0.45">
      <c r="A247" t="s">
        <v>359</v>
      </c>
      <c r="B247" t="s">
        <v>1225</v>
      </c>
      <c r="C247" t="s">
        <v>1125</v>
      </c>
      <c r="D247" t="s">
        <v>93</v>
      </c>
      <c r="E247">
        <v>651</v>
      </c>
      <c r="F247" s="1">
        <v>46176</v>
      </c>
      <c r="G247" t="s">
        <v>1219</v>
      </c>
      <c r="H247" t="s">
        <v>1210</v>
      </c>
      <c r="J247">
        <v>98</v>
      </c>
      <c r="K247">
        <v>359</v>
      </c>
      <c r="L247" t="s">
        <v>1210</v>
      </c>
      <c r="M247">
        <v>1</v>
      </c>
    </row>
    <row r="248" spans="1:13" x14ac:dyDescent="0.45">
      <c r="A248" t="s">
        <v>360</v>
      </c>
      <c r="B248" t="s">
        <v>1223</v>
      </c>
      <c r="C248" t="s">
        <v>1121</v>
      </c>
      <c r="D248" t="s">
        <v>36</v>
      </c>
      <c r="E248">
        <v>2148</v>
      </c>
      <c r="F248" s="1">
        <v>46176</v>
      </c>
      <c r="G248" t="s">
        <v>1219</v>
      </c>
      <c r="H248" t="s">
        <v>1210</v>
      </c>
      <c r="I248">
        <v>7.51</v>
      </c>
      <c r="J248">
        <v>83</v>
      </c>
      <c r="K248">
        <v>18</v>
      </c>
      <c r="L248" t="s">
        <v>1210</v>
      </c>
      <c r="M248">
        <v>1</v>
      </c>
    </row>
    <row r="249" spans="1:13" x14ac:dyDescent="0.45">
      <c r="A249" t="s">
        <v>361</v>
      </c>
      <c r="B249" t="s">
        <v>1217</v>
      </c>
      <c r="C249" t="s">
        <v>1116</v>
      </c>
      <c r="D249" t="s">
        <v>1133</v>
      </c>
      <c r="E249">
        <v>1148</v>
      </c>
      <c r="F249" s="1">
        <v>46174</v>
      </c>
      <c r="G249" t="s">
        <v>1219</v>
      </c>
      <c r="H249" t="s">
        <v>1210</v>
      </c>
      <c r="I249">
        <v>3.75</v>
      </c>
      <c r="J249">
        <v>41</v>
      </c>
      <c r="K249">
        <v>106</v>
      </c>
      <c r="L249" t="s">
        <v>1210</v>
      </c>
      <c r="M249">
        <v>3</v>
      </c>
    </row>
    <row r="250" spans="1:13" x14ac:dyDescent="0.45">
      <c r="A250" t="s">
        <v>362</v>
      </c>
      <c r="B250" t="s">
        <v>1217</v>
      </c>
      <c r="C250" t="s">
        <v>1116</v>
      </c>
      <c r="D250" t="s">
        <v>1134</v>
      </c>
      <c r="E250">
        <v>976</v>
      </c>
      <c r="F250" s="1">
        <v>46172</v>
      </c>
      <c r="G250" t="s">
        <v>1219</v>
      </c>
      <c r="H250" t="s">
        <v>1210</v>
      </c>
      <c r="I250">
        <v>21.3</v>
      </c>
      <c r="J250">
        <v>108</v>
      </c>
      <c r="K250">
        <v>345</v>
      </c>
      <c r="L250" t="s">
        <v>1210</v>
      </c>
      <c r="M250">
        <v>5</v>
      </c>
    </row>
    <row r="251" spans="1:13" x14ac:dyDescent="0.45">
      <c r="A251" t="s">
        <v>363</v>
      </c>
      <c r="B251" t="s">
        <v>1225</v>
      </c>
      <c r="C251" t="s">
        <v>1128</v>
      </c>
      <c r="D251" t="s">
        <v>43</v>
      </c>
      <c r="E251">
        <v>682</v>
      </c>
      <c r="F251" s="1">
        <v>46175</v>
      </c>
      <c r="G251" t="s">
        <v>1219</v>
      </c>
      <c r="H251" t="s">
        <v>1210</v>
      </c>
      <c r="I251">
        <v>9.6999999999999993</v>
      </c>
      <c r="J251">
        <v>98</v>
      </c>
      <c r="K251">
        <v>115</v>
      </c>
      <c r="L251" t="s">
        <v>1210</v>
      </c>
      <c r="M251">
        <v>2</v>
      </c>
    </row>
    <row r="252" spans="1:13" x14ac:dyDescent="0.45">
      <c r="A252" t="s">
        <v>364</v>
      </c>
      <c r="B252" t="s">
        <v>1217</v>
      </c>
      <c r="C252" t="s">
        <v>1115</v>
      </c>
      <c r="D252" t="s">
        <v>93</v>
      </c>
      <c r="E252">
        <v>1515</v>
      </c>
      <c r="F252" s="1">
        <v>46176</v>
      </c>
      <c r="G252" t="s">
        <v>1219</v>
      </c>
      <c r="H252" t="s">
        <v>1210</v>
      </c>
      <c r="J252">
        <v>98</v>
      </c>
      <c r="K252">
        <v>359</v>
      </c>
      <c r="L252" t="s">
        <v>1210</v>
      </c>
      <c r="M252">
        <v>1</v>
      </c>
    </row>
    <row r="253" spans="1:13" x14ac:dyDescent="0.45">
      <c r="A253" t="s">
        <v>365</v>
      </c>
      <c r="B253" t="s">
        <v>1225</v>
      </c>
      <c r="C253" t="s">
        <v>1118</v>
      </c>
      <c r="D253" t="s">
        <v>23</v>
      </c>
      <c r="E253">
        <v>2920</v>
      </c>
      <c r="F253" s="1">
        <v>46162</v>
      </c>
      <c r="G253" t="s">
        <v>1219</v>
      </c>
      <c r="H253" t="s">
        <v>1210</v>
      </c>
      <c r="I253">
        <v>7.71</v>
      </c>
      <c r="J253">
        <v>101</v>
      </c>
      <c r="K253">
        <v>23</v>
      </c>
      <c r="L253" t="s">
        <v>1210</v>
      </c>
      <c r="M253">
        <v>15</v>
      </c>
    </row>
    <row r="254" spans="1:13" x14ac:dyDescent="0.45">
      <c r="A254" t="s">
        <v>366</v>
      </c>
      <c r="B254" t="s">
        <v>1223</v>
      </c>
      <c r="C254" t="s">
        <v>1121</v>
      </c>
      <c r="D254" t="s">
        <v>27</v>
      </c>
      <c r="E254">
        <v>1621</v>
      </c>
      <c r="F254" s="1">
        <v>46176</v>
      </c>
      <c r="G254" t="s">
        <v>1219</v>
      </c>
      <c r="H254" t="s">
        <v>1210</v>
      </c>
      <c r="I254">
        <v>4.37</v>
      </c>
      <c r="J254">
        <v>58</v>
      </c>
      <c r="K254">
        <v>92</v>
      </c>
      <c r="L254" t="s">
        <v>1210</v>
      </c>
      <c r="M254">
        <v>1</v>
      </c>
    </row>
    <row r="255" spans="1:13" x14ac:dyDescent="0.45">
      <c r="A255" t="s">
        <v>367</v>
      </c>
      <c r="B255" t="s">
        <v>1217</v>
      </c>
      <c r="C255" t="s">
        <v>1115</v>
      </c>
      <c r="D255" t="s">
        <v>27</v>
      </c>
      <c r="E255">
        <v>1772</v>
      </c>
      <c r="F255" s="1">
        <v>46176</v>
      </c>
      <c r="G255" t="s">
        <v>1221</v>
      </c>
      <c r="H255" t="s">
        <v>1210</v>
      </c>
      <c r="I255">
        <v>4.37</v>
      </c>
      <c r="J255">
        <v>58</v>
      </c>
      <c r="K255">
        <v>92</v>
      </c>
      <c r="L255" t="s">
        <v>1210</v>
      </c>
      <c r="M255">
        <v>1</v>
      </c>
    </row>
    <row r="256" spans="1:13" x14ac:dyDescent="0.45">
      <c r="A256" t="s">
        <v>368</v>
      </c>
      <c r="B256" t="s">
        <v>1225</v>
      </c>
      <c r="C256" t="s">
        <v>1123</v>
      </c>
      <c r="D256" t="s">
        <v>78</v>
      </c>
      <c r="E256">
        <v>644</v>
      </c>
      <c r="F256" s="1">
        <v>46158</v>
      </c>
      <c r="G256" t="s">
        <v>1221</v>
      </c>
      <c r="H256" t="s">
        <v>1210</v>
      </c>
      <c r="I256">
        <v>11.26</v>
      </c>
      <c r="J256">
        <v>129</v>
      </c>
      <c r="K256">
        <v>24</v>
      </c>
      <c r="L256" t="s">
        <v>1210</v>
      </c>
      <c r="M256">
        <v>19</v>
      </c>
    </row>
    <row r="257" spans="1:13" x14ac:dyDescent="0.45">
      <c r="A257" t="s">
        <v>369</v>
      </c>
      <c r="B257" t="s">
        <v>1223</v>
      </c>
      <c r="C257" t="s">
        <v>1121</v>
      </c>
      <c r="D257" t="s">
        <v>66</v>
      </c>
      <c r="E257">
        <v>383</v>
      </c>
      <c r="F257" s="1">
        <v>46176</v>
      </c>
      <c r="G257" t="s">
        <v>1219</v>
      </c>
      <c r="H257" t="s">
        <v>1210</v>
      </c>
      <c r="I257">
        <v>23.39</v>
      </c>
      <c r="J257">
        <v>79</v>
      </c>
      <c r="K257">
        <v>329</v>
      </c>
      <c r="L257" t="s">
        <v>1210</v>
      </c>
      <c r="M257">
        <v>1</v>
      </c>
    </row>
    <row r="258" spans="1:13" x14ac:dyDescent="0.45">
      <c r="A258" t="s">
        <v>370</v>
      </c>
      <c r="B258" t="s">
        <v>1217</v>
      </c>
      <c r="C258" t="s">
        <v>1120</v>
      </c>
      <c r="D258" t="s">
        <v>62</v>
      </c>
      <c r="E258">
        <v>1569</v>
      </c>
      <c r="F258" s="1">
        <v>46175</v>
      </c>
      <c r="G258" t="s">
        <v>1219</v>
      </c>
      <c r="H258" t="s">
        <v>1210</v>
      </c>
      <c r="I258">
        <v>12.39</v>
      </c>
      <c r="J258">
        <v>134</v>
      </c>
      <c r="K258">
        <v>446</v>
      </c>
      <c r="L258" t="s">
        <v>1210</v>
      </c>
      <c r="M258">
        <v>2</v>
      </c>
    </row>
    <row r="259" spans="1:13" x14ac:dyDescent="0.45">
      <c r="A259" t="s">
        <v>371</v>
      </c>
      <c r="B259" t="s">
        <v>1217</v>
      </c>
      <c r="C259" t="s">
        <v>1116</v>
      </c>
      <c r="D259" t="s">
        <v>93</v>
      </c>
      <c r="E259">
        <v>557</v>
      </c>
      <c r="F259" s="1">
        <v>46175</v>
      </c>
      <c r="G259" t="s">
        <v>1219</v>
      </c>
      <c r="H259" t="s">
        <v>1210</v>
      </c>
      <c r="J259">
        <v>98</v>
      </c>
      <c r="K259">
        <v>359</v>
      </c>
      <c r="L259" t="s">
        <v>1210</v>
      </c>
      <c r="M259">
        <v>2</v>
      </c>
    </row>
    <row r="260" spans="1:13" x14ac:dyDescent="0.45">
      <c r="A260" t="s">
        <v>372</v>
      </c>
      <c r="B260" t="s">
        <v>1223</v>
      </c>
      <c r="C260" t="s">
        <v>1124</v>
      </c>
      <c r="D260" t="s">
        <v>27</v>
      </c>
      <c r="E260">
        <v>1788</v>
      </c>
      <c r="F260" s="1">
        <v>46176</v>
      </c>
      <c r="G260" t="s">
        <v>1219</v>
      </c>
      <c r="H260" t="s">
        <v>1210</v>
      </c>
      <c r="I260">
        <v>4.37</v>
      </c>
      <c r="J260">
        <v>58</v>
      </c>
      <c r="K260">
        <v>92</v>
      </c>
      <c r="L260" t="s">
        <v>1210</v>
      </c>
      <c r="M260">
        <v>1</v>
      </c>
    </row>
    <row r="261" spans="1:13" x14ac:dyDescent="0.45">
      <c r="A261" t="s">
        <v>373</v>
      </c>
      <c r="B261" t="s">
        <v>1225</v>
      </c>
      <c r="C261" t="s">
        <v>1118</v>
      </c>
      <c r="D261" t="s">
        <v>84</v>
      </c>
      <c r="E261">
        <v>1997</v>
      </c>
      <c r="F261" s="1">
        <v>46174</v>
      </c>
      <c r="G261" t="s">
        <v>1219</v>
      </c>
      <c r="H261" t="s">
        <v>1210</v>
      </c>
      <c r="I261">
        <v>9.8699999999999992</v>
      </c>
      <c r="J261">
        <v>88</v>
      </c>
      <c r="K261">
        <v>25</v>
      </c>
      <c r="L261" t="s">
        <v>1210</v>
      </c>
      <c r="M261">
        <v>3</v>
      </c>
    </row>
    <row r="262" spans="1:13" x14ac:dyDescent="0.45">
      <c r="A262" t="s">
        <v>374</v>
      </c>
      <c r="B262" t="s">
        <v>1223</v>
      </c>
      <c r="C262" t="s">
        <v>1117</v>
      </c>
      <c r="D262" t="s">
        <v>12</v>
      </c>
      <c r="E262">
        <v>82</v>
      </c>
      <c r="F262" s="1">
        <v>46174</v>
      </c>
      <c r="G262" t="s">
        <v>1219</v>
      </c>
      <c r="H262" t="s">
        <v>1210</v>
      </c>
      <c r="J262">
        <v>69</v>
      </c>
      <c r="K262">
        <v>291</v>
      </c>
      <c r="L262" t="s">
        <v>1210</v>
      </c>
      <c r="M262">
        <v>3</v>
      </c>
    </row>
    <row r="263" spans="1:13" x14ac:dyDescent="0.45">
      <c r="A263" t="s">
        <v>375</v>
      </c>
      <c r="B263" t="s">
        <v>1223</v>
      </c>
      <c r="C263" t="s">
        <v>1117</v>
      </c>
      <c r="D263" t="s">
        <v>61</v>
      </c>
      <c r="E263">
        <v>-25</v>
      </c>
      <c r="F263" s="1">
        <v>46176</v>
      </c>
      <c r="G263" t="s">
        <v>1219</v>
      </c>
      <c r="H263" t="s">
        <v>1233</v>
      </c>
      <c r="I263">
        <v>12.41</v>
      </c>
      <c r="J263">
        <v>95</v>
      </c>
      <c r="K263">
        <v>227</v>
      </c>
      <c r="L263" t="s">
        <v>1210</v>
      </c>
      <c r="M263">
        <v>1</v>
      </c>
    </row>
    <row r="264" spans="1:13" x14ac:dyDescent="0.45">
      <c r="A264" t="s">
        <v>376</v>
      </c>
      <c r="B264" t="s">
        <v>1223</v>
      </c>
      <c r="C264" t="s">
        <v>1124</v>
      </c>
      <c r="D264" t="s">
        <v>92</v>
      </c>
      <c r="E264">
        <v>1165</v>
      </c>
      <c r="F264" s="1">
        <v>46176</v>
      </c>
      <c r="G264" t="s">
        <v>1219</v>
      </c>
      <c r="H264" t="s">
        <v>1210</v>
      </c>
      <c r="I264">
        <v>10.9</v>
      </c>
      <c r="J264">
        <v>131</v>
      </c>
      <c r="K264">
        <v>22</v>
      </c>
      <c r="L264" t="s">
        <v>1210</v>
      </c>
      <c r="M264">
        <v>1</v>
      </c>
    </row>
    <row r="265" spans="1:13" x14ac:dyDescent="0.45">
      <c r="A265" t="s">
        <v>377</v>
      </c>
      <c r="B265" t="s">
        <v>1217</v>
      </c>
      <c r="C265" t="s">
        <v>1126</v>
      </c>
      <c r="D265" t="s">
        <v>81</v>
      </c>
      <c r="E265">
        <v>925</v>
      </c>
      <c r="F265" s="1">
        <v>46176</v>
      </c>
      <c r="G265" t="s">
        <v>1219</v>
      </c>
      <c r="H265" t="s">
        <v>1210</v>
      </c>
      <c r="I265">
        <v>20.5</v>
      </c>
      <c r="J265">
        <v>64</v>
      </c>
      <c r="K265">
        <v>359</v>
      </c>
      <c r="L265" t="s">
        <v>1210</v>
      </c>
      <c r="M265">
        <v>1</v>
      </c>
    </row>
    <row r="266" spans="1:13" x14ac:dyDescent="0.45">
      <c r="A266" t="s">
        <v>378</v>
      </c>
      <c r="B266" t="s">
        <v>1225</v>
      </c>
      <c r="C266" t="s">
        <v>1128</v>
      </c>
      <c r="D266" t="s">
        <v>1140</v>
      </c>
      <c r="E266">
        <v>1954</v>
      </c>
      <c r="F266" s="1">
        <v>46175</v>
      </c>
      <c r="G266" t="s">
        <v>1219</v>
      </c>
      <c r="H266" t="s">
        <v>1210</v>
      </c>
      <c r="I266">
        <v>11.43</v>
      </c>
      <c r="J266">
        <v>128</v>
      </c>
      <c r="K266">
        <v>530</v>
      </c>
      <c r="L266" t="s">
        <v>1210</v>
      </c>
      <c r="M266">
        <v>2</v>
      </c>
    </row>
    <row r="267" spans="1:13" x14ac:dyDescent="0.45">
      <c r="A267" t="s">
        <v>379</v>
      </c>
      <c r="B267" t="s">
        <v>1223</v>
      </c>
      <c r="C267" t="s">
        <v>1117</v>
      </c>
      <c r="D267" t="s">
        <v>92</v>
      </c>
      <c r="E267">
        <v>1936</v>
      </c>
      <c r="F267" s="1">
        <v>46161</v>
      </c>
      <c r="G267" t="s">
        <v>1219</v>
      </c>
      <c r="H267" t="s">
        <v>1210</v>
      </c>
      <c r="I267">
        <v>10.9</v>
      </c>
      <c r="J267">
        <v>131</v>
      </c>
      <c r="K267">
        <v>22</v>
      </c>
      <c r="L267" t="s">
        <v>1210</v>
      </c>
      <c r="M267">
        <v>16</v>
      </c>
    </row>
    <row r="268" spans="1:13" x14ac:dyDescent="0.45">
      <c r="A268" t="s">
        <v>380</v>
      </c>
      <c r="B268" t="s">
        <v>1225</v>
      </c>
      <c r="C268" t="s">
        <v>1119</v>
      </c>
      <c r="D268" t="s">
        <v>110</v>
      </c>
      <c r="E268">
        <v>3068</v>
      </c>
      <c r="F268" s="1">
        <v>46176</v>
      </c>
      <c r="G268" t="s">
        <v>1219</v>
      </c>
      <c r="H268" t="s">
        <v>1210</v>
      </c>
      <c r="I268">
        <v>6.16</v>
      </c>
      <c r="J268">
        <v>104</v>
      </c>
      <c r="K268">
        <v>67</v>
      </c>
      <c r="L268" t="s">
        <v>1210</v>
      </c>
      <c r="M268">
        <v>1</v>
      </c>
    </row>
    <row r="269" spans="1:13" x14ac:dyDescent="0.45">
      <c r="A269" t="s">
        <v>381</v>
      </c>
      <c r="B269" t="s">
        <v>1223</v>
      </c>
      <c r="C269" t="s">
        <v>1124</v>
      </c>
      <c r="D269" t="s">
        <v>98</v>
      </c>
      <c r="E269">
        <v>2072</v>
      </c>
      <c r="F269" s="1">
        <v>46176</v>
      </c>
      <c r="G269" t="s">
        <v>1219</v>
      </c>
      <c r="H269" t="s">
        <v>1210</v>
      </c>
      <c r="I269">
        <v>6.23</v>
      </c>
      <c r="J269">
        <v>78</v>
      </c>
      <c r="K269">
        <v>99</v>
      </c>
      <c r="L269" t="s">
        <v>1210</v>
      </c>
      <c r="M269">
        <v>1</v>
      </c>
    </row>
    <row r="270" spans="1:13" x14ac:dyDescent="0.45">
      <c r="A270" t="s">
        <v>382</v>
      </c>
      <c r="B270" t="s">
        <v>1225</v>
      </c>
      <c r="C270" t="s">
        <v>1128</v>
      </c>
      <c r="D270" t="s">
        <v>1138</v>
      </c>
      <c r="E270">
        <v>1552</v>
      </c>
      <c r="F270" s="1">
        <v>46175</v>
      </c>
      <c r="G270" t="s">
        <v>1219</v>
      </c>
      <c r="H270" t="s">
        <v>1210</v>
      </c>
      <c r="I270">
        <v>3.92</v>
      </c>
      <c r="J270">
        <v>49</v>
      </c>
      <c r="K270">
        <v>98</v>
      </c>
      <c r="L270" t="s">
        <v>1210</v>
      </c>
      <c r="M270">
        <v>2</v>
      </c>
    </row>
    <row r="271" spans="1:13" x14ac:dyDescent="0.45">
      <c r="A271" t="s">
        <v>383</v>
      </c>
      <c r="B271" t="s">
        <v>1223</v>
      </c>
      <c r="C271" t="s">
        <v>1122</v>
      </c>
      <c r="D271" t="s">
        <v>81</v>
      </c>
      <c r="E271">
        <v>935</v>
      </c>
      <c r="F271" s="1">
        <v>46176</v>
      </c>
      <c r="G271" t="s">
        <v>1219</v>
      </c>
      <c r="H271" t="s">
        <v>1210</v>
      </c>
      <c r="I271">
        <v>20.5</v>
      </c>
      <c r="J271">
        <v>64</v>
      </c>
      <c r="K271">
        <v>359</v>
      </c>
      <c r="L271" t="s">
        <v>1210</v>
      </c>
      <c r="M271">
        <v>1</v>
      </c>
    </row>
    <row r="272" spans="1:13" x14ac:dyDescent="0.45">
      <c r="A272" t="s">
        <v>384</v>
      </c>
      <c r="B272" t="s">
        <v>1217</v>
      </c>
      <c r="C272" t="s">
        <v>1116</v>
      </c>
      <c r="D272" t="s">
        <v>47</v>
      </c>
      <c r="E272">
        <v>1481</v>
      </c>
      <c r="F272" s="1">
        <v>46174</v>
      </c>
      <c r="G272" t="s">
        <v>1219</v>
      </c>
      <c r="H272" t="s">
        <v>1210</v>
      </c>
      <c r="I272">
        <v>15.14</v>
      </c>
      <c r="J272">
        <v>117</v>
      </c>
      <c r="K272">
        <v>484</v>
      </c>
      <c r="L272" t="s">
        <v>1210</v>
      </c>
      <c r="M272">
        <v>3</v>
      </c>
    </row>
    <row r="273" spans="1:13" x14ac:dyDescent="0.45">
      <c r="A273" t="s">
        <v>385</v>
      </c>
      <c r="B273" t="s">
        <v>1223</v>
      </c>
      <c r="C273" t="s">
        <v>1121</v>
      </c>
      <c r="D273" t="s">
        <v>39</v>
      </c>
      <c r="E273">
        <v>1390</v>
      </c>
      <c r="F273" s="1">
        <v>46175</v>
      </c>
      <c r="G273" t="s">
        <v>1219</v>
      </c>
      <c r="H273" t="s">
        <v>1210</v>
      </c>
      <c r="I273">
        <v>14.35</v>
      </c>
      <c r="J273">
        <v>70</v>
      </c>
      <c r="K273">
        <v>240</v>
      </c>
      <c r="L273" t="s">
        <v>1210</v>
      </c>
      <c r="M273">
        <v>2</v>
      </c>
    </row>
    <row r="274" spans="1:13" x14ac:dyDescent="0.45">
      <c r="A274" t="s">
        <v>386</v>
      </c>
      <c r="B274" t="s">
        <v>1217</v>
      </c>
      <c r="C274" t="s">
        <v>1114</v>
      </c>
      <c r="D274" t="s">
        <v>37</v>
      </c>
      <c r="E274">
        <v>2675</v>
      </c>
      <c r="F274" s="1">
        <v>46176</v>
      </c>
      <c r="G274" t="s">
        <v>1219</v>
      </c>
      <c r="H274" t="s">
        <v>1210</v>
      </c>
      <c r="I274">
        <v>7.76</v>
      </c>
      <c r="J274">
        <v>86</v>
      </c>
      <c r="K274">
        <v>112</v>
      </c>
      <c r="L274" t="s">
        <v>1210</v>
      </c>
      <c r="M274">
        <v>1</v>
      </c>
    </row>
    <row r="275" spans="1:13" x14ac:dyDescent="0.45">
      <c r="A275" t="s">
        <v>387</v>
      </c>
      <c r="B275" t="s">
        <v>1217</v>
      </c>
      <c r="C275" t="s">
        <v>1126</v>
      </c>
      <c r="D275" t="s">
        <v>85</v>
      </c>
      <c r="E275">
        <v>2898</v>
      </c>
      <c r="F275" s="1">
        <v>46176</v>
      </c>
      <c r="G275" t="s">
        <v>1219</v>
      </c>
      <c r="H275" t="s">
        <v>1210</v>
      </c>
      <c r="I275">
        <v>6.87</v>
      </c>
      <c r="J275">
        <v>101</v>
      </c>
      <c r="K275">
        <v>62</v>
      </c>
      <c r="L275" t="s">
        <v>1210</v>
      </c>
      <c r="M275">
        <v>1</v>
      </c>
    </row>
    <row r="276" spans="1:13" x14ac:dyDescent="0.45">
      <c r="A276" t="s">
        <v>388</v>
      </c>
      <c r="B276" t="s">
        <v>1223</v>
      </c>
      <c r="C276" t="s">
        <v>1117</v>
      </c>
      <c r="D276" t="s">
        <v>48</v>
      </c>
      <c r="E276">
        <v>1790</v>
      </c>
      <c r="F276" s="1">
        <v>46176</v>
      </c>
      <c r="G276" t="s">
        <v>1219</v>
      </c>
      <c r="H276" t="s">
        <v>1210</v>
      </c>
      <c r="I276">
        <v>5.49</v>
      </c>
      <c r="J276">
        <v>62</v>
      </c>
      <c r="K276">
        <v>91</v>
      </c>
      <c r="L276" t="s">
        <v>1210</v>
      </c>
      <c r="M276">
        <v>1</v>
      </c>
    </row>
    <row r="277" spans="1:13" x14ac:dyDescent="0.45">
      <c r="A277" t="s">
        <v>389</v>
      </c>
      <c r="B277" t="s">
        <v>1225</v>
      </c>
      <c r="C277" t="s">
        <v>1128</v>
      </c>
      <c r="D277" t="s">
        <v>55</v>
      </c>
      <c r="E277">
        <v>2032</v>
      </c>
      <c r="F277" s="1">
        <v>46176</v>
      </c>
      <c r="G277" t="s">
        <v>1219</v>
      </c>
      <c r="H277" t="s">
        <v>1210</v>
      </c>
      <c r="I277">
        <v>3.48</v>
      </c>
      <c r="J277">
        <v>66</v>
      </c>
      <c r="K277">
        <v>112</v>
      </c>
      <c r="L277" t="s">
        <v>1210</v>
      </c>
      <c r="M277">
        <v>1</v>
      </c>
    </row>
    <row r="278" spans="1:13" x14ac:dyDescent="0.45">
      <c r="A278" t="s">
        <v>390</v>
      </c>
      <c r="B278" t="s">
        <v>1225</v>
      </c>
      <c r="C278" t="s">
        <v>1128</v>
      </c>
      <c r="D278" t="s">
        <v>63</v>
      </c>
      <c r="E278">
        <v>1271</v>
      </c>
      <c r="F278" s="1">
        <v>46176</v>
      </c>
      <c r="G278" t="s">
        <v>1219</v>
      </c>
      <c r="H278" t="s">
        <v>1210</v>
      </c>
      <c r="I278">
        <v>4.29</v>
      </c>
      <c r="J278">
        <v>44</v>
      </c>
      <c r="K278">
        <v>111</v>
      </c>
      <c r="L278" t="s">
        <v>1210</v>
      </c>
      <c r="M278">
        <v>1</v>
      </c>
    </row>
    <row r="279" spans="1:13" x14ac:dyDescent="0.45">
      <c r="A279" t="s">
        <v>391</v>
      </c>
      <c r="B279" t="s">
        <v>1223</v>
      </c>
      <c r="C279" t="s">
        <v>1127</v>
      </c>
      <c r="D279" t="s">
        <v>95</v>
      </c>
      <c r="E279">
        <v>1531</v>
      </c>
      <c r="F279" s="1">
        <v>46175</v>
      </c>
      <c r="G279" t="s">
        <v>1219</v>
      </c>
      <c r="H279" t="s">
        <v>1210</v>
      </c>
      <c r="I279">
        <v>14.82</v>
      </c>
      <c r="J279">
        <v>132</v>
      </c>
      <c r="K279">
        <v>373</v>
      </c>
      <c r="L279" t="s">
        <v>1210</v>
      </c>
      <c r="M279">
        <v>2</v>
      </c>
    </row>
    <row r="280" spans="1:13" x14ac:dyDescent="0.45">
      <c r="A280" t="s">
        <v>392</v>
      </c>
      <c r="B280" t="s">
        <v>1225</v>
      </c>
      <c r="C280" t="s">
        <v>1125</v>
      </c>
      <c r="D280" t="s">
        <v>58</v>
      </c>
      <c r="E280">
        <v>1573</v>
      </c>
      <c r="F280" s="1">
        <v>46175</v>
      </c>
      <c r="G280" t="s">
        <v>1219</v>
      </c>
      <c r="H280" t="s">
        <v>1210</v>
      </c>
      <c r="I280">
        <v>14.79</v>
      </c>
      <c r="J280">
        <v>124</v>
      </c>
      <c r="K280">
        <v>423</v>
      </c>
      <c r="L280" t="s">
        <v>1210</v>
      </c>
      <c r="M280">
        <v>2</v>
      </c>
    </row>
    <row r="281" spans="1:13" x14ac:dyDescent="0.45">
      <c r="A281" t="s">
        <v>393</v>
      </c>
      <c r="B281" t="s">
        <v>1223</v>
      </c>
      <c r="C281" t="s">
        <v>1121</v>
      </c>
      <c r="D281" t="s">
        <v>1135</v>
      </c>
      <c r="E281">
        <v>1476</v>
      </c>
      <c r="F281" s="1">
        <v>46175</v>
      </c>
      <c r="G281" t="s">
        <v>1219</v>
      </c>
      <c r="H281" t="s">
        <v>1210</v>
      </c>
      <c r="I281">
        <v>13.31</v>
      </c>
      <c r="J281">
        <v>89</v>
      </c>
      <c r="K281">
        <v>313</v>
      </c>
      <c r="L281" t="s">
        <v>1210</v>
      </c>
      <c r="M281">
        <v>2</v>
      </c>
    </row>
    <row r="282" spans="1:13" x14ac:dyDescent="0.45">
      <c r="A282" t="s">
        <v>394</v>
      </c>
      <c r="B282" t="s">
        <v>1223</v>
      </c>
      <c r="C282" t="s">
        <v>1121</v>
      </c>
      <c r="D282" t="s">
        <v>74</v>
      </c>
      <c r="E282">
        <v>596</v>
      </c>
      <c r="F282" s="1">
        <v>46175</v>
      </c>
      <c r="G282" t="s">
        <v>1219</v>
      </c>
      <c r="H282" t="s">
        <v>1210</v>
      </c>
      <c r="I282">
        <v>12.77</v>
      </c>
      <c r="J282">
        <v>96</v>
      </c>
      <c r="K282">
        <v>122</v>
      </c>
      <c r="L282" t="s">
        <v>1210</v>
      </c>
      <c r="M282">
        <v>2</v>
      </c>
    </row>
    <row r="283" spans="1:13" x14ac:dyDescent="0.45">
      <c r="A283" t="s">
        <v>395</v>
      </c>
      <c r="B283" t="s">
        <v>1223</v>
      </c>
      <c r="C283" t="s">
        <v>1121</v>
      </c>
      <c r="D283" t="s">
        <v>105</v>
      </c>
      <c r="E283">
        <v>1222</v>
      </c>
      <c r="F283" s="1">
        <v>46175</v>
      </c>
      <c r="G283" t="s">
        <v>1219</v>
      </c>
      <c r="H283" t="s">
        <v>1210</v>
      </c>
      <c r="I283">
        <v>18.170000000000002</v>
      </c>
      <c r="J283">
        <v>61</v>
      </c>
      <c r="K283">
        <v>188</v>
      </c>
      <c r="L283" t="s">
        <v>1210</v>
      </c>
      <c r="M283">
        <v>2</v>
      </c>
    </row>
    <row r="284" spans="1:13" x14ac:dyDescent="0.45">
      <c r="A284" t="s">
        <v>396</v>
      </c>
      <c r="B284" t="s">
        <v>1217</v>
      </c>
      <c r="C284" t="s">
        <v>1126</v>
      </c>
      <c r="D284" t="s">
        <v>75</v>
      </c>
      <c r="E284">
        <v>1554</v>
      </c>
      <c r="F284" s="1">
        <v>46176</v>
      </c>
      <c r="G284" t="s">
        <v>1219</v>
      </c>
      <c r="H284" t="s">
        <v>1210</v>
      </c>
      <c r="J284">
        <v>71</v>
      </c>
      <c r="K284">
        <v>192</v>
      </c>
      <c r="L284" t="s">
        <v>1210</v>
      </c>
      <c r="M284">
        <v>1</v>
      </c>
    </row>
    <row r="285" spans="1:13" x14ac:dyDescent="0.45">
      <c r="A285" t="s">
        <v>397</v>
      </c>
      <c r="B285" t="s">
        <v>1225</v>
      </c>
      <c r="C285" t="s">
        <v>1125</v>
      </c>
      <c r="D285" t="s">
        <v>7</v>
      </c>
      <c r="E285">
        <v>2045</v>
      </c>
      <c r="F285" s="1">
        <v>46174</v>
      </c>
      <c r="G285" t="s">
        <v>1219</v>
      </c>
      <c r="H285" t="s">
        <v>1210</v>
      </c>
      <c r="I285">
        <v>9.56</v>
      </c>
      <c r="J285">
        <v>136</v>
      </c>
      <c r="K285">
        <v>345</v>
      </c>
      <c r="L285" t="s">
        <v>1210</v>
      </c>
      <c r="M285">
        <v>3</v>
      </c>
    </row>
    <row r="286" spans="1:13" x14ac:dyDescent="0.45">
      <c r="A286" t="s">
        <v>398</v>
      </c>
      <c r="B286" t="s">
        <v>1223</v>
      </c>
      <c r="C286" t="s">
        <v>1127</v>
      </c>
      <c r="D286" t="s">
        <v>47</v>
      </c>
      <c r="E286">
        <v>1344</v>
      </c>
      <c r="F286" s="1">
        <v>46174</v>
      </c>
      <c r="G286" t="s">
        <v>1219</v>
      </c>
      <c r="H286" t="s">
        <v>1210</v>
      </c>
      <c r="I286">
        <v>15.14</v>
      </c>
      <c r="J286">
        <v>117</v>
      </c>
      <c r="K286">
        <v>484</v>
      </c>
      <c r="L286" t="s">
        <v>1210</v>
      </c>
      <c r="M286">
        <v>3</v>
      </c>
    </row>
    <row r="287" spans="1:13" x14ac:dyDescent="0.45">
      <c r="A287" t="s">
        <v>399</v>
      </c>
      <c r="B287" t="s">
        <v>1223</v>
      </c>
      <c r="C287" t="s">
        <v>1121</v>
      </c>
      <c r="D287" t="s">
        <v>61</v>
      </c>
      <c r="E287">
        <v>1607</v>
      </c>
      <c r="F287" s="1">
        <v>46176</v>
      </c>
      <c r="G287" t="s">
        <v>1219</v>
      </c>
      <c r="H287" t="s">
        <v>1210</v>
      </c>
      <c r="I287">
        <v>12.41</v>
      </c>
      <c r="J287">
        <v>95</v>
      </c>
      <c r="K287">
        <v>227</v>
      </c>
      <c r="L287" t="s">
        <v>1210</v>
      </c>
      <c r="M287">
        <v>1</v>
      </c>
    </row>
    <row r="288" spans="1:13" x14ac:dyDescent="0.45">
      <c r="A288" t="s">
        <v>400</v>
      </c>
      <c r="B288" t="s">
        <v>1225</v>
      </c>
      <c r="C288" t="s">
        <v>1125</v>
      </c>
      <c r="D288" t="s">
        <v>20</v>
      </c>
      <c r="E288">
        <v>1481</v>
      </c>
      <c r="F288" s="1">
        <v>46174</v>
      </c>
      <c r="G288" t="s">
        <v>1219</v>
      </c>
      <c r="H288" t="s">
        <v>1210</v>
      </c>
      <c r="I288">
        <v>15.66</v>
      </c>
      <c r="J288">
        <v>72</v>
      </c>
      <c r="K288">
        <v>306</v>
      </c>
      <c r="L288" t="s">
        <v>1210</v>
      </c>
      <c r="M288">
        <v>3</v>
      </c>
    </row>
    <row r="289" spans="1:13" x14ac:dyDescent="0.45">
      <c r="A289" t="s">
        <v>401</v>
      </c>
      <c r="B289" t="s">
        <v>1223</v>
      </c>
      <c r="C289" t="s">
        <v>1127</v>
      </c>
      <c r="D289" t="s">
        <v>23</v>
      </c>
      <c r="E289">
        <v>2698</v>
      </c>
      <c r="F289" s="1">
        <v>46174</v>
      </c>
      <c r="G289" t="s">
        <v>1219</v>
      </c>
      <c r="H289" t="s">
        <v>1210</v>
      </c>
      <c r="I289">
        <v>7.71</v>
      </c>
      <c r="J289">
        <v>101</v>
      </c>
      <c r="K289">
        <v>23</v>
      </c>
      <c r="L289" t="s">
        <v>1210</v>
      </c>
      <c r="M289">
        <v>3</v>
      </c>
    </row>
    <row r="290" spans="1:13" x14ac:dyDescent="0.45">
      <c r="A290" t="s">
        <v>402</v>
      </c>
      <c r="B290" t="s">
        <v>1223</v>
      </c>
      <c r="C290" t="s">
        <v>1122</v>
      </c>
      <c r="D290" t="s">
        <v>25</v>
      </c>
      <c r="E290">
        <v>1888</v>
      </c>
      <c r="F290" s="1">
        <v>46161</v>
      </c>
      <c r="G290" t="s">
        <v>1219</v>
      </c>
      <c r="H290" t="s">
        <v>1210</v>
      </c>
      <c r="I290">
        <v>10.37</v>
      </c>
      <c r="J290">
        <v>100</v>
      </c>
      <c r="K290">
        <v>24</v>
      </c>
      <c r="L290" t="s">
        <v>1210</v>
      </c>
      <c r="M290">
        <v>16</v>
      </c>
    </row>
    <row r="291" spans="1:13" x14ac:dyDescent="0.45">
      <c r="A291" t="s">
        <v>403</v>
      </c>
      <c r="B291" t="s">
        <v>1223</v>
      </c>
      <c r="C291" t="s">
        <v>1127</v>
      </c>
      <c r="D291" t="s">
        <v>51</v>
      </c>
      <c r="E291">
        <v>2659</v>
      </c>
      <c r="F291" s="1">
        <v>46175</v>
      </c>
      <c r="G291" t="s">
        <v>1219</v>
      </c>
      <c r="H291" t="s">
        <v>1210</v>
      </c>
      <c r="I291">
        <v>3.44</v>
      </c>
      <c r="J291">
        <v>85</v>
      </c>
      <c r="K291">
        <v>102</v>
      </c>
      <c r="L291" t="s">
        <v>1210</v>
      </c>
      <c r="M291">
        <v>2</v>
      </c>
    </row>
    <row r="292" spans="1:13" x14ac:dyDescent="0.45">
      <c r="A292" t="s">
        <v>404</v>
      </c>
      <c r="B292" t="s">
        <v>1225</v>
      </c>
      <c r="C292" t="s">
        <v>1118</v>
      </c>
      <c r="D292" t="s">
        <v>88</v>
      </c>
      <c r="E292">
        <v>584</v>
      </c>
      <c r="F292" s="1">
        <v>46176</v>
      </c>
      <c r="G292" t="s">
        <v>1219</v>
      </c>
      <c r="H292" t="s">
        <v>1210</v>
      </c>
      <c r="I292">
        <v>11.02</v>
      </c>
      <c r="J292">
        <v>69</v>
      </c>
      <c r="K292">
        <v>86</v>
      </c>
      <c r="L292" t="s">
        <v>1210</v>
      </c>
      <c r="M292">
        <v>1</v>
      </c>
    </row>
    <row r="293" spans="1:13" x14ac:dyDescent="0.45">
      <c r="A293" t="s">
        <v>405</v>
      </c>
      <c r="B293" t="s">
        <v>1225</v>
      </c>
      <c r="C293" t="s">
        <v>1119</v>
      </c>
      <c r="D293" t="s">
        <v>36</v>
      </c>
      <c r="E293">
        <v>2438</v>
      </c>
      <c r="F293" s="1">
        <v>46163</v>
      </c>
      <c r="G293" t="s">
        <v>1219</v>
      </c>
      <c r="H293" t="s">
        <v>1210</v>
      </c>
      <c r="I293">
        <v>7.51</v>
      </c>
      <c r="J293">
        <v>83</v>
      </c>
      <c r="K293">
        <v>18</v>
      </c>
      <c r="L293" t="s">
        <v>1210</v>
      </c>
      <c r="M293">
        <v>14</v>
      </c>
    </row>
    <row r="294" spans="1:13" x14ac:dyDescent="0.45">
      <c r="A294" t="s">
        <v>406</v>
      </c>
      <c r="B294" t="s">
        <v>1225</v>
      </c>
      <c r="C294" t="s">
        <v>1119</v>
      </c>
      <c r="D294" t="s">
        <v>44</v>
      </c>
      <c r="E294">
        <v>1485</v>
      </c>
      <c r="F294" s="1">
        <v>46174</v>
      </c>
      <c r="G294" t="s">
        <v>1219</v>
      </c>
      <c r="H294" t="s">
        <v>1210</v>
      </c>
      <c r="I294">
        <v>3.48</v>
      </c>
      <c r="J294">
        <v>55</v>
      </c>
      <c r="K294">
        <v>118</v>
      </c>
      <c r="L294" t="s">
        <v>1210</v>
      </c>
      <c r="M294">
        <v>3</v>
      </c>
    </row>
    <row r="295" spans="1:13" x14ac:dyDescent="0.45">
      <c r="A295" t="s">
        <v>407</v>
      </c>
      <c r="B295" t="s">
        <v>1225</v>
      </c>
      <c r="C295" t="s">
        <v>1128</v>
      </c>
      <c r="D295" t="s">
        <v>28</v>
      </c>
      <c r="E295">
        <v>2500</v>
      </c>
      <c r="F295" s="1">
        <v>46175</v>
      </c>
      <c r="G295" t="s">
        <v>1219</v>
      </c>
      <c r="H295" t="s">
        <v>1210</v>
      </c>
      <c r="I295">
        <v>8.94</v>
      </c>
      <c r="J295">
        <v>100</v>
      </c>
      <c r="K295">
        <v>17</v>
      </c>
      <c r="L295" t="s">
        <v>1210</v>
      </c>
      <c r="M295">
        <v>2</v>
      </c>
    </row>
    <row r="296" spans="1:13" x14ac:dyDescent="0.45">
      <c r="A296" t="s">
        <v>408</v>
      </c>
      <c r="B296" t="s">
        <v>1223</v>
      </c>
      <c r="C296" t="s">
        <v>1127</v>
      </c>
      <c r="D296" t="s">
        <v>28</v>
      </c>
      <c r="E296">
        <v>2296</v>
      </c>
      <c r="F296" s="1">
        <v>46174</v>
      </c>
      <c r="G296" t="s">
        <v>1219</v>
      </c>
      <c r="H296" t="s">
        <v>1210</v>
      </c>
      <c r="I296">
        <v>8.94</v>
      </c>
      <c r="J296">
        <v>100</v>
      </c>
      <c r="K296">
        <v>17</v>
      </c>
      <c r="L296" t="s">
        <v>1210</v>
      </c>
      <c r="M296">
        <v>3</v>
      </c>
    </row>
    <row r="297" spans="1:13" x14ac:dyDescent="0.45">
      <c r="A297" t="s">
        <v>409</v>
      </c>
      <c r="B297" t="s">
        <v>1223</v>
      </c>
      <c r="C297" t="s">
        <v>1122</v>
      </c>
      <c r="D297" t="s">
        <v>88</v>
      </c>
      <c r="E297">
        <v>1032</v>
      </c>
      <c r="F297" s="1">
        <v>46176</v>
      </c>
      <c r="G297" t="s">
        <v>1219</v>
      </c>
      <c r="H297" t="s">
        <v>1210</v>
      </c>
      <c r="I297">
        <v>11.02</v>
      </c>
      <c r="J297">
        <v>69</v>
      </c>
      <c r="K297">
        <v>86</v>
      </c>
      <c r="L297" t="s">
        <v>1210</v>
      </c>
      <c r="M297">
        <v>1</v>
      </c>
    </row>
    <row r="298" spans="1:13" x14ac:dyDescent="0.45">
      <c r="A298" t="s">
        <v>410</v>
      </c>
      <c r="B298" t="s">
        <v>1223</v>
      </c>
      <c r="C298" t="s">
        <v>1124</v>
      </c>
      <c r="D298" t="s">
        <v>101</v>
      </c>
      <c r="E298">
        <v>1968</v>
      </c>
      <c r="F298" s="1">
        <v>46176</v>
      </c>
      <c r="G298" t="s">
        <v>1219</v>
      </c>
      <c r="H298" t="s">
        <v>1210</v>
      </c>
      <c r="I298">
        <v>3.56</v>
      </c>
      <c r="J298">
        <v>64</v>
      </c>
      <c r="K298">
        <v>92</v>
      </c>
      <c r="L298" t="s">
        <v>1210</v>
      </c>
      <c r="M298">
        <v>1</v>
      </c>
    </row>
    <row r="299" spans="1:13" x14ac:dyDescent="0.45">
      <c r="A299" t="s">
        <v>411</v>
      </c>
      <c r="B299" t="s">
        <v>1223</v>
      </c>
      <c r="C299" t="s">
        <v>1121</v>
      </c>
      <c r="D299" t="s">
        <v>1134</v>
      </c>
      <c r="E299">
        <v>441</v>
      </c>
      <c r="F299" s="1">
        <v>46175</v>
      </c>
      <c r="G299" t="s">
        <v>1219</v>
      </c>
      <c r="H299" t="s">
        <v>1210</v>
      </c>
      <c r="I299">
        <v>21.3</v>
      </c>
      <c r="J299">
        <v>108</v>
      </c>
      <c r="K299">
        <v>345</v>
      </c>
      <c r="L299" t="s">
        <v>1210</v>
      </c>
      <c r="M299">
        <v>2</v>
      </c>
    </row>
    <row r="300" spans="1:13" x14ac:dyDescent="0.45">
      <c r="A300" t="s">
        <v>412</v>
      </c>
      <c r="B300" t="s">
        <v>1225</v>
      </c>
      <c r="C300" t="s">
        <v>1119</v>
      </c>
      <c r="D300" t="s">
        <v>37</v>
      </c>
      <c r="E300">
        <v>1158</v>
      </c>
      <c r="F300" s="1">
        <v>46174</v>
      </c>
      <c r="G300" t="s">
        <v>1219</v>
      </c>
      <c r="H300" t="s">
        <v>1210</v>
      </c>
      <c r="I300">
        <v>7.76</v>
      </c>
      <c r="J300">
        <v>86</v>
      </c>
      <c r="K300">
        <v>112</v>
      </c>
      <c r="L300" t="s">
        <v>1210</v>
      </c>
      <c r="M300">
        <v>3</v>
      </c>
    </row>
    <row r="301" spans="1:13" x14ac:dyDescent="0.45">
      <c r="A301" t="s">
        <v>413</v>
      </c>
      <c r="B301" t="s">
        <v>1225</v>
      </c>
      <c r="C301" t="s">
        <v>1119</v>
      </c>
      <c r="D301" t="s">
        <v>101</v>
      </c>
      <c r="E301">
        <v>2044</v>
      </c>
      <c r="F301" s="1">
        <v>46174</v>
      </c>
      <c r="G301" t="s">
        <v>1219</v>
      </c>
      <c r="H301" t="s">
        <v>1210</v>
      </c>
      <c r="I301">
        <v>3.56</v>
      </c>
      <c r="J301">
        <v>64</v>
      </c>
      <c r="K301">
        <v>92</v>
      </c>
      <c r="L301" t="s">
        <v>1210</v>
      </c>
      <c r="M301">
        <v>3</v>
      </c>
    </row>
    <row r="302" spans="1:13" x14ac:dyDescent="0.45">
      <c r="A302" t="s">
        <v>414</v>
      </c>
      <c r="B302" t="s">
        <v>1223</v>
      </c>
      <c r="C302" t="s">
        <v>1121</v>
      </c>
      <c r="D302" t="s">
        <v>52</v>
      </c>
      <c r="E302">
        <v>554</v>
      </c>
      <c r="F302" s="1">
        <v>46176</v>
      </c>
      <c r="G302" t="s">
        <v>1221</v>
      </c>
      <c r="H302" t="s">
        <v>1210</v>
      </c>
      <c r="I302">
        <v>11.01</v>
      </c>
      <c r="J302">
        <v>98</v>
      </c>
      <c r="K302">
        <v>16</v>
      </c>
      <c r="L302" t="s">
        <v>1210</v>
      </c>
      <c r="M302">
        <v>1</v>
      </c>
    </row>
    <row r="303" spans="1:13" x14ac:dyDescent="0.45">
      <c r="A303" t="s">
        <v>415</v>
      </c>
      <c r="B303" t="s">
        <v>1223</v>
      </c>
      <c r="C303" t="s">
        <v>1127</v>
      </c>
      <c r="D303" t="s">
        <v>106</v>
      </c>
      <c r="E303">
        <v>1152</v>
      </c>
      <c r="F303" s="1">
        <v>46176</v>
      </c>
      <c r="G303" t="s">
        <v>1221</v>
      </c>
      <c r="H303" t="s">
        <v>1210</v>
      </c>
      <c r="I303">
        <v>4.24</v>
      </c>
      <c r="J303">
        <v>41</v>
      </c>
      <c r="K303">
        <v>111</v>
      </c>
      <c r="L303" t="s">
        <v>1210</v>
      </c>
      <c r="M303">
        <v>1</v>
      </c>
    </row>
    <row r="304" spans="1:13" x14ac:dyDescent="0.45">
      <c r="A304" t="s">
        <v>416</v>
      </c>
      <c r="B304" t="s">
        <v>1225</v>
      </c>
      <c r="C304" t="s">
        <v>1123</v>
      </c>
      <c r="D304" t="s">
        <v>15</v>
      </c>
      <c r="E304">
        <v>1280</v>
      </c>
      <c r="F304" s="1">
        <v>46176</v>
      </c>
      <c r="G304" t="s">
        <v>1219</v>
      </c>
      <c r="H304" t="s">
        <v>1210</v>
      </c>
      <c r="I304">
        <v>5.53</v>
      </c>
      <c r="J304">
        <v>42</v>
      </c>
      <c r="K304">
        <v>114</v>
      </c>
      <c r="L304" t="s">
        <v>1210</v>
      </c>
      <c r="M304">
        <v>1</v>
      </c>
    </row>
    <row r="305" spans="1:13" x14ac:dyDescent="0.45">
      <c r="A305" t="s">
        <v>417</v>
      </c>
      <c r="B305" t="s">
        <v>1217</v>
      </c>
      <c r="C305" t="s">
        <v>1116</v>
      </c>
      <c r="D305" t="s">
        <v>1132</v>
      </c>
      <c r="E305">
        <v>1382</v>
      </c>
      <c r="F305" s="1">
        <v>46174</v>
      </c>
      <c r="G305" t="s">
        <v>1219</v>
      </c>
      <c r="H305" t="s">
        <v>1210</v>
      </c>
      <c r="I305">
        <v>15.52</v>
      </c>
      <c r="J305">
        <v>121</v>
      </c>
      <c r="K305">
        <v>517</v>
      </c>
      <c r="L305" t="s">
        <v>1210</v>
      </c>
      <c r="M305">
        <v>3</v>
      </c>
    </row>
    <row r="306" spans="1:13" x14ac:dyDescent="0.45">
      <c r="A306" t="s">
        <v>418</v>
      </c>
      <c r="B306" t="s">
        <v>1225</v>
      </c>
      <c r="C306" t="s">
        <v>1125</v>
      </c>
      <c r="D306" t="s">
        <v>110</v>
      </c>
      <c r="E306">
        <v>2965</v>
      </c>
      <c r="F306" s="1">
        <v>46173</v>
      </c>
      <c r="G306" t="s">
        <v>1221</v>
      </c>
      <c r="H306" t="s">
        <v>1210</v>
      </c>
      <c r="I306">
        <v>6.16</v>
      </c>
      <c r="J306">
        <v>104</v>
      </c>
      <c r="K306">
        <v>67</v>
      </c>
      <c r="L306" t="s">
        <v>1210</v>
      </c>
      <c r="M306">
        <v>4</v>
      </c>
    </row>
    <row r="307" spans="1:13" x14ac:dyDescent="0.45">
      <c r="A307" t="s">
        <v>419</v>
      </c>
      <c r="B307" t="s">
        <v>1223</v>
      </c>
      <c r="C307" t="s">
        <v>1117</v>
      </c>
      <c r="D307" t="s">
        <v>60</v>
      </c>
      <c r="E307">
        <v>1371</v>
      </c>
      <c r="F307" s="1">
        <v>46176</v>
      </c>
      <c r="G307" t="s">
        <v>1219</v>
      </c>
      <c r="H307" t="s">
        <v>1210</v>
      </c>
      <c r="I307">
        <v>3.02</v>
      </c>
      <c r="J307">
        <v>84</v>
      </c>
      <c r="K307">
        <v>111</v>
      </c>
      <c r="L307" t="s">
        <v>1210</v>
      </c>
      <c r="M307">
        <v>1</v>
      </c>
    </row>
    <row r="308" spans="1:13" x14ac:dyDescent="0.45">
      <c r="A308" t="s">
        <v>420</v>
      </c>
      <c r="B308" t="s">
        <v>1225</v>
      </c>
      <c r="C308" t="s">
        <v>1118</v>
      </c>
      <c r="D308" t="s">
        <v>62</v>
      </c>
      <c r="E308">
        <v>1613</v>
      </c>
      <c r="F308" s="1">
        <v>46173</v>
      </c>
      <c r="G308" t="s">
        <v>1219</v>
      </c>
      <c r="H308" t="s">
        <v>1210</v>
      </c>
      <c r="I308">
        <v>12.39</v>
      </c>
      <c r="J308">
        <v>134</v>
      </c>
      <c r="K308">
        <v>446</v>
      </c>
      <c r="L308" t="s">
        <v>1210</v>
      </c>
      <c r="M308">
        <v>4</v>
      </c>
    </row>
    <row r="309" spans="1:13" x14ac:dyDescent="0.45">
      <c r="A309" t="s">
        <v>421</v>
      </c>
      <c r="B309" t="s">
        <v>1223</v>
      </c>
      <c r="C309" t="s">
        <v>1127</v>
      </c>
      <c r="D309" t="s">
        <v>10</v>
      </c>
      <c r="E309">
        <v>1470</v>
      </c>
      <c r="F309" s="1">
        <v>46175</v>
      </c>
      <c r="G309" t="s">
        <v>1219</v>
      </c>
      <c r="H309" t="s">
        <v>1210</v>
      </c>
      <c r="I309">
        <v>14.2</v>
      </c>
      <c r="J309">
        <v>95</v>
      </c>
      <c r="K309">
        <v>277</v>
      </c>
      <c r="L309" t="s">
        <v>1210</v>
      </c>
      <c r="M309">
        <v>2</v>
      </c>
    </row>
    <row r="310" spans="1:13" x14ac:dyDescent="0.45">
      <c r="A310" t="s">
        <v>422</v>
      </c>
      <c r="B310" t="s">
        <v>1217</v>
      </c>
      <c r="C310" t="s">
        <v>1126</v>
      </c>
      <c r="D310" t="s">
        <v>71</v>
      </c>
      <c r="E310">
        <v>635</v>
      </c>
      <c r="F310" s="1">
        <v>46168</v>
      </c>
      <c r="G310" t="s">
        <v>1219</v>
      </c>
      <c r="H310" t="s">
        <v>1210</v>
      </c>
      <c r="I310">
        <v>12.02</v>
      </c>
      <c r="J310">
        <v>75</v>
      </c>
      <c r="K310">
        <v>402</v>
      </c>
      <c r="L310" t="s">
        <v>1210</v>
      </c>
      <c r="M310">
        <v>9</v>
      </c>
    </row>
    <row r="311" spans="1:13" x14ac:dyDescent="0.45">
      <c r="A311" t="s">
        <v>423</v>
      </c>
      <c r="B311" t="s">
        <v>1223</v>
      </c>
      <c r="C311" t="s">
        <v>1121</v>
      </c>
      <c r="D311" t="s">
        <v>77</v>
      </c>
      <c r="E311">
        <v>1155</v>
      </c>
      <c r="F311" s="1">
        <v>46175</v>
      </c>
      <c r="G311" t="s">
        <v>1219</v>
      </c>
      <c r="H311" t="s">
        <v>1210</v>
      </c>
      <c r="I311">
        <v>6.1</v>
      </c>
      <c r="J311">
        <v>137</v>
      </c>
      <c r="K311">
        <v>17</v>
      </c>
      <c r="L311" t="s">
        <v>1210</v>
      </c>
      <c r="M311">
        <v>2</v>
      </c>
    </row>
    <row r="312" spans="1:13" x14ac:dyDescent="0.45">
      <c r="A312" t="s">
        <v>424</v>
      </c>
      <c r="B312" t="s">
        <v>1225</v>
      </c>
      <c r="C312" t="s">
        <v>1119</v>
      </c>
      <c r="D312" t="s">
        <v>67</v>
      </c>
      <c r="E312">
        <v>1575</v>
      </c>
      <c r="F312" s="1">
        <v>46167</v>
      </c>
      <c r="G312" t="s">
        <v>1219</v>
      </c>
      <c r="H312" t="s">
        <v>1210</v>
      </c>
      <c r="I312">
        <v>8.32</v>
      </c>
      <c r="J312">
        <v>98</v>
      </c>
      <c r="K312">
        <v>16</v>
      </c>
      <c r="L312" t="s">
        <v>1210</v>
      </c>
      <c r="M312">
        <v>10</v>
      </c>
    </row>
    <row r="313" spans="1:13" x14ac:dyDescent="0.45">
      <c r="A313" t="s">
        <v>425</v>
      </c>
      <c r="B313" t="s">
        <v>1223</v>
      </c>
      <c r="C313" t="s">
        <v>1124</v>
      </c>
      <c r="D313" t="s">
        <v>63</v>
      </c>
      <c r="E313">
        <v>1255</v>
      </c>
      <c r="F313" s="1">
        <v>46176</v>
      </c>
      <c r="G313" t="s">
        <v>1219</v>
      </c>
      <c r="H313" t="s">
        <v>1210</v>
      </c>
      <c r="I313">
        <v>4.29</v>
      </c>
      <c r="J313">
        <v>44</v>
      </c>
      <c r="K313">
        <v>111</v>
      </c>
      <c r="L313" t="s">
        <v>1210</v>
      </c>
      <c r="M313">
        <v>1</v>
      </c>
    </row>
    <row r="314" spans="1:13" x14ac:dyDescent="0.45">
      <c r="A314" t="s">
        <v>426</v>
      </c>
      <c r="B314" t="s">
        <v>1225</v>
      </c>
      <c r="C314" t="s">
        <v>1125</v>
      </c>
      <c r="D314" t="s">
        <v>39</v>
      </c>
      <c r="E314">
        <v>610</v>
      </c>
      <c r="F314" s="1">
        <v>46175</v>
      </c>
      <c r="G314" t="s">
        <v>1219</v>
      </c>
      <c r="H314" t="s">
        <v>1210</v>
      </c>
      <c r="I314">
        <v>14.35</v>
      </c>
      <c r="J314">
        <v>70</v>
      </c>
      <c r="K314">
        <v>240</v>
      </c>
      <c r="L314" t="s">
        <v>1210</v>
      </c>
      <c r="M314">
        <v>2</v>
      </c>
    </row>
    <row r="315" spans="1:13" x14ac:dyDescent="0.45">
      <c r="A315" t="s">
        <v>427</v>
      </c>
      <c r="B315" t="s">
        <v>1223</v>
      </c>
      <c r="C315" t="s">
        <v>1117</v>
      </c>
      <c r="D315" t="s">
        <v>70</v>
      </c>
      <c r="E315">
        <v>1435</v>
      </c>
      <c r="F315" s="1">
        <v>46174</v>
      </c>
      <c r="G315" t="s">
        <v>1219</v>
      </c>
      <c r="H315" t="s">
        <v>1210</v>
      </c>
      <c r="I315">
        <v>5.04</v>
      </c>
      <c r="J315">
        <v>47</v>
      </c>
      <c r="K315">
        <v>96</v>
      </c>
      <c r="L315" t="s">
        <v>1210</v>
      </c>
      <c r="M315">
        <v>3</v>
      </c>
    </row>
    <row r="316" spans="1:13" x14ac:dyDescent="0.45">
      <c r="A316" t="s">
        <v>428</v>
      </c>
      <c r="B316" t="s">
        <v>1217</v>
      </c>
      <c r="C316" t="s">
        <v>1120</v>
      </c>
      <c r="D316" t="s">
        <v>22</v>
      </c>
      <c r="E316">
        <v>1613</v>
      </c>
      <c r="F316" s="1">
        <v>46176</v>
      </c>
      <c r="G316" t="s">
        <v>1219</v>
      </c>
      <c r="H316" t="s">
        <v>1210</v>
      </c>
      <c r="I316">
        <v>5.27</v>
      </c>
      <c r="J316">
        <v>60</v>
      </c>
      <c r="K316">
        <v>129</v>
      </c>
      <c r="L316" t="s">
        <v>1210</v>
      </c>
      <c r="M316">
        <v>1</v>
      </c>
    </row>
    <row r="317" spans="1:13" x14ac:dyDescent="0.45">
      <c r="A317" t="s">
        <v>429</v>
      </c>
      <c r="B317" t="s">
        <v>1217</v>
      </c>
      <c r="C317" t="s">
        <v>1114</v>
      </c>
      <c r="D317" t="s">
        <v>24</v>
      </c>
      <c r="E317">
        <v>1914</v>
      </c>
      <c r="F317" s="1">
        <v>46176</v>
      </c>
      <c r="G317" t="s">
        <v>1219</v>
      </c>
      <c r="H317" t="s">
        <v>1210</v>
      </c>
      <c r="I317">
        <v>6.95</v>
      </c>
      <c r="J317">
        <v>66</v>
      </c>
      <c r="K317">
        <v>95</v>
      </c>
      <c r="L317" t="s">
        <v>1210</v>
      </c>
      <c r="M317">
        <v>1</v>
      </c>
    </row>
    <row r="318" spans="1:13" x14ac:dyDescent="0.45">
      <c r="A318" t="s">
        <v>430</v>
      </c>
      <c r="B318" t="s">
        <v>1225</v>
      </c>
      <c r="C318" t="s">
        <v>1125</v>
      </c>
      <c r="D318" t="s">
        <v>93</v>
      </c>
      <c r="E318">
        <v>955</v>
      </c>
      <c r="F318" s="1">
        <v>46176</v>
      </c>
      <c r="G318" t="s">
        <v>1221</v>
      </c>
      <c r="H318" t="s">
        <v>1210</v>
      </c>
      <c r="J318">
        <v>98</v>
      </c>
      <c r="K318">
        <v>359</v>
      </c>
      <c r="L318" t="s">
        <v>1210</v>
      </c>
      <c r="M318">
        <v>1</v>
      </c>
    </row>
    <row r="319" spans="1:13" x14ac:dyDescent="0.45">
      <c r="A319" t="s">
        <v>431</v>
      </c>
      <c r="B319" t="s">
        <v>1223</v>
      </c>
      <c r="C319" t="s">
        <v>1122</v>
      </c>
      <c r="D319" t="s">
        <v>1135</v>
      </c>
      <c r="E319">
        <v>1685</v>
      </c>
      <c r="F319" s="1">
        <v>46170</v>
      </c>
      <c r="G319" t="s">
        <v>1219</v>
      </c>
      <c r="H319" t="s">
        <v>1210</v>
      </c>
      <c r="I319">
        <v>13.31</v>
      </c>
      <c r="J319">
        <v>89</v>
      </c>
      <c r="K319">
        <v>313</v>
      </c>
      <c r="L319" t="s">
        <v>1210</v>
      </c>
      <c r="M319">
        <v>7</v>
      </c>
    </row>
    <row r="320" spans="1:13" x14ac:dyDescent="0.45">
      <c r="A320" t="s">
        <v>432</v>
      </c>
      <c r="B320" t="s">
        <v>1217</v>
      </c>
      <c r="C320" t="s">
        <v>1126</v>
      </c>
      <c r="D320" t="s">
        <v>97</v>
      </c>
      <c r="E320">
        <v>1963</v>
      </c>
      <c r="F320" s="1">
        <v>46175</v>
      </c>
      <c r="G320" t="s">
        <v>1221</v>
      </c>
      <c r="H320" t="s">
        <v>1210</v>
      </c>
      <c r="I320">
        <v>9.57</v>
      </c>
      <c r="J320">
        <v>92</v>
      </c>
      <c r="K320">
        <v>122</v>
      </c>
      <c r="L320" t="s">
        <v>1210</v>
      </c>
      <c r="M320">
        <v>2</v>
      </c>
    </row>
    <row r="321" spans="1:13" x14ac:dyDescent="0.45">
      <c r="A321" t="s">
        <v>433</v>
      </c>
      <c r="B321" t="s">
        <v>1217</v>
      </c>
      <c r="C321" t="s">
        <v>1126</v>
      </c>
      <c r="D321" t="s">
        <v>1135</v>
      </c>
      <c r="E321">
        <v>661</v>
      </c>
      <c r="F321" s="1">
        <v>46176</v>
      </c>
      <c r="G321" t="s">
        <v>1219</v>
      </c>
      <c r="H321" t="s">
        <v>1210</v>
      </c>
      <c r="I321">
        <v>13.31</v>
      </c>
      <c r="J321">
        <v>89</v>
      </c>
      <c r="K321">
        <v>313</v>
      </c>
      <c r="L321" t="s">
        <v>1210</v>
      </c>
      <c r="M321">
        <v>1</v>
      </c>
    </row>
    <row r="322" spans="1:13" x14ac:dyDescent="0.45">
      <c r="A322" t="s">
        <v>434</v>
      </c>
      <c r="B322" t="s">
        <v>1223</v>
      </c>
      <c r="C322" t="s">
        <v>1121</v>
      </c>
      <c r="D322" t="s">
        <v>70</v>
      </c>
      <c r="E322">
        <v>664</v>
      </c>
      <c r="F322" s="1">
        <v>46176</v>
      </c>
      <c r="G322" t="s">
        <v>1219</v>
      </c>
      <c r="H322" t="s">
        <v>1210</v>
      </c>
      <c r="I322">
        <v>5.04</v>
      </c>
      <c r="J322">
        <v>47</v>
      </c>
      <c r="K322">
        <v>96</v>
      </c>
      <c r="L322" t="s">
        <v>1210</v>
      </c>
      <c r="M322">
        <v>1</v>
      </c>
    </row>
    <row r="323" spans="1:13" x14ac:dyDescent="0.45">
      <c r="A323" t="s">
        <v>435</v>
      </c>
      <c r="B323" t="s">
        <v>1223</v>
      </c>
      <c r="C323" t="s">
        <v>1127</v>
      </c>
      <c r="D323" t="s">
        <v>65</v>
      </c>
      <c r="E323">
        <v>1408</v>
      </c>
      <c r="F323" s="1">
        <v>46175</v>
      </c>
      <c r="G323" t="s">
        <v>1219</v>
      </c>
      <c r="H323" t="s">
        <v>1210</v>
      </c>
      <c r="I323">
        <v>9.8000000000000007</v>
      </c>
      <c r="J323">
        <v>83</v>
      </c>
      <c r="K323">
        <v>15</v>
      </c>
      <c r="L323" t="s">
        <v>1210</v>
      </c>
      <c r="M323">
        <v>2</v>
      </c>
    </row>
    <row r="324" spans="1:13" x14ac:dyDescent="0.45">
      <c r="A324" t="s">
        <v>436</v>
      </c>
      <c r="B324" t="s">
        <v>1225</v>
      </c>
      <c r="C324" t="s">
        <v>1128</v>
      </c>
      <c r="D324" t="s">
        <v>1133</v>
      </c>
      <c r="E324">
        <v>1127</v>
      </c>
      <c r="F324" s="1">
        <v>46175</v>
      </c>
      <c r="G324" t="s">
        <v>1219</v>
      </c>
      <c r="H324" t="s">
        <v>1210</v>
      </c>
      <c r="I324">
        <v>3.75</v>
      </c>
      <c r="J324">
        <v>41</v>
      </c>
      <c r="K324">
        <v>106</v>
      </c>
      <c r="L324" t="s">
        <v>1210</v>
      </c>
      <c r="M324">
        <v>2</v>
      </c>
    </row>
    <row r="325" spans="1:13" x14ac:dyDescent="0.45">
      <c r="A325" t="s">
        <v>437</v>
      </c>
      <c r="B325" t="s">
        <v>1217</v>
      </c>
      <c r="C325" t="s">
        <v>1115</v>
      </c>
      <c r="D325" t="s">
        <v>29</v>
      </c>
      <c r="E325">
        <v>1840</v>
      </c>
      <c r="F325" s="1">
        <v>46175</v>
      </c>
      <c r="G325" t="s">
        <v>1219</v>
      </c>
      <c r="H325" t="s">
        <v>1210</v>
      </c>
      <c r="I325">
        <v>4</v>
      </c>
      <c r="J325">
        <v>58</v>
      </c>
      <c r="K325">
        <v>112</v>
      </c>
      <c r="L325" t="s">
        <v>1210</v>
      </c>
      <c r="M325">
        <v>2</v>
      </c>
    </row>
    <row r="326" spans="1:13" x14ac:dyDescent="0.45">
      <c r="A326" t="s">
        <v>438</v>
      </c>
      <c r="B326" t="s">
        <v>1225</v>
      </c>
      <c r="C326" t="s">
        <v>1128</v>
      </c>
      <c r="D326" t="s">
        <v>60</v>
      </c>
      <c r="E326">
        <v>2649</v>
      </c>
      <c r="F326" s="1">
        <v>46175</v>
      </c>
      <c r="G326" t="s">
        <v>1219</v>
      </c>
      <c r="H326" t="s">
        <v>1210</v>
      </c>
      <c r="I326">
        <v>3.02</v>
      </c>
      <c r="J326">
        <v>84</v>
      </c>
      <c r="K326">
        <v>111</v>
      </c>
      <c r="L326" t="s">
        <v>1210</v>
      </c>
      <c r="M326">
        <v>2</v>
      </c>
    </row>
    <row r="327" spans="1:13" x14ac:dyDescent="0.45">
      <c r="A327" t="s">
        <v>439</v>
      </c>
      <c r="B327" t="s">
        <v>1223</v>
      </c>
      <c r="C327" t="s">
        <v>1121</v>
      </c>
      <c r="D327" t="s">
        <v>1132</v>
      </c>
      <c r="E327">
        <v>799</v>
      </c>
      <c r="F327" s="1">
        <v>46176</v>
      </c>
      <c r="G327" t="s">
        <v>1219</v>
      </c>
      <c r="H327" t="s">
        <v>1210</v>
      </c>
      <c r="I327">
        <v>15.52</v>
      </c>
      <c r="J327">
        <v>121</v>
      </c>
      <c r="K327">
        <v>517</v>
      </c>
      <c r="L327" t="s">
        <v>1210</v>
      </c>
      <c r="M327">
        <v>1</v>
      </c>
    </row>
    <row r="328" spans="1:13" x14ac:dyDescent="0.45">
      <c r="A328" t="s">
        <v>440</v>
      </c>
      <c r="B328" t="s">
        <v>1223</v>
      </c>
      <c r="C328" t="s">
        <v>1121</v>
      </c>
      <c r="D328" t="s">
        <v>33</v>
      </c>
      <c r="E328">
        <v>849</v>
      </c>
      <c r="F328" s="1">
        <v>46176</v>
      </c>
      <c r="G328" t="s">
        <v>1219</v>
      </c>
      <c r="H328" t="s">
        <v>1210</v>
      </c>
      <c r="I328">
        <v>16.28</v>
      </c>
      <c r="J328">
        <v>90</v>
      </c>
      <c r="K328">
        <v>280</v>
      </c>
      <c r="L328" t="s">
        <v>1210</v>
      </c>
      <c r="M328">
        <v>1</v>
      </c>
    </row>
    <row r="329" spans="1:13" x14ac:dyDescent="0.45">
      <c r="A329" t="s">
        <v>441</v>
      </c>
      <c r="B329" t="s">
        <v>1225</v>
      </c>
      <c r="C329" t="s">
        <v>1128</v>
      </c>
      <c r="D329" t="s">
        <v>55</v>
      </c>
      <c r="E329">
        <v>2038</v>
      </c>
      <c r="F329" s="1">
        <v>46176</v>
      </c>
      <c r="G329" t="s">
        <v>1219</v>
      </c>
      <c r="H329" t="s">
        <v>1210</v>
      </c>
      <c r="I329">
        <v>3.48</v>
      </c>
      <c r="J329">
        <v>66</v>
      </c>
      <c r="K329">
        <v>112</v>
      </c>
      <c r="L329" t="s">
        <v>1210</v>
      </c>
      <c r="M329">
        <v>1</v>
      </c>
    </row>
    <row r="330" spans="1:13" x14ac:dyDescent="0.45">
      <c r="A330" t="s">
        <v>442</v>
      </c>
      <c r="B330" t="s">
        <v>1223</v>
      </c>
      <c r="C330" t="s">
        <v>1127</v>
      </c>
      <c r="D330" t="s">
        <v>54</v>
      </c>
      <c r="E330">
        <v>725</v>
      </c>
      <c r="F330" s="1">
        <v>46176</v>
      </c>
      <c r="G330" t="s">
        <v>1219</v>
      </c>
      <c r="H330" t="s">
        <v>1210</v>
      </c>
      <c r="I330">
        <v>12.85</v>
      </c>
      <c r="J330">
        <v>91</v>
      </c>
      <c r="K330">
        <v>297</v>
      </c>
      <c r="L330" t="s">
        <v>1210</v>
      </c>
      <c r="M330">
        <v>1</v>
      </c>
    </row>
    <row r="331" spans="1:13" x14ac:dyDescent="0.45">
      <c r="A331" t="s">
        <v>443</v>
      </c>
      <c r="B331" t="s">
        <v>1217</v>
      </c>
      <c r="C331" t="s">
        <v>1114</v>
      </c>
      <c r="D331" t="s">
        <v>64</v>
      </c>
      <c r="E331">
        <v>2076</v>
      </c>
      <c r="F331" s="1">
        <v>46174</v>
      </c>
      <c r="G331" t="s">
        <v>1219</v>
      </c>
      <c r="H331" t="s">
        <v>1210</v>
      </c>
      <c r="J331">
        <v>49</v>
      </c>
      <c r="K331">
        <v>104</v>
      </c>
      <c r="L331" t="s">
        <v>1210</v>
      </c>
      <c r="M331">
        <v>3</v>
      </c>
    </row>
    <row r="332" spans="1:13" x14ac:dyDescent="0.45">
      <c r="A332" t="s">
        <v>444</v>
      </c>
      <c r="B332" t="s">
        <v>1225</v>
      </c>
      <c r="C332" t="s">
        <v>1125</v>
      </c>
      <c r="D332" t="s">
        <v>101</v>
      </c>
      <c r="E332">
        <v>1914</v>
      </c>
      <c r="F332" s="1">
        <v>46173</v>
      </c>
      <c r="G332" t="s">
        <v>1219</v>
      </c>
      <c r="H332" t="s">
        <v>1210</v>
      </c>
      <c r="I332">
        <v>3.56</v>
      </c>
      <c r="J332">
        <v>64</v>
      </c>
      <c r="K332">
        <v>92</v>
      </c>
      <c r="L332" t="s">
        <v>1210</v>
      </c>
      <c r="M332">
        <v>4</v>
      </c>
    </row>
    <row r="333" spans="1:13" x14ac:dyDescent="0.45">
      <c r="A333" t="s">
        <v>445</v>
      </c>
      <c r="B333" t="s">
        <v>1223</v>
      </c>
      <c r="C333" t="s">
        <v>1122</v>
      </c>
      <c r="D333" t="s">
        <v>85</v>
      </c>
      <c r="E333">
        <v>2795</v>
      </c>
      <c r="F333" s="1">
        <v>46176</v>
      </c>
      <c r="G333" t="s">
        <v>1219</v>
      </c>
      <c r="H333" t="s">
        <v>1210</v>
      </c>
      <c r="I333">
        <v>6.87</v>
      </c>
      <c r="J333">
        <v>101</v>
      </c>
      <c r="K333">
        <v>62</v>
      </c>
      <c r="L333" t="s">
        <v>1210</v>
      </c>
      <c r="M333">
        <v>1</v>
      </c>
    </row>
    <row r="334" spans="1:13" x14ac:dyDescent="0.45">
      <c r="A334" t="s">
        <v>446</v>
      </c>
      <c r="B334" t="s">
        <v>1225</v>
      </c>
      <c r="C334" t="s">
        <v>1128</v>
      </c>
      <c r="D334" t="s">
        <v>1141</v>
      </c>
      <c r="E334">
        <v>1304</v>
      </c>
      <c r="F334" s="1">
        <v>46175</v>
      </c>
      <c r="G334" t="s">
        <v>1219</v>
      </c>
      <c r="H334" t="s">
        <v>1210</v>
      </c>
      <c r="J334">
        <v>100</v>
      </c>
      <c r="K334">
        <v>512</v>
      </c>
      <c r="L334" t="s">
        <v>1210</v>
      </c>
      <c r="M334">
        <v>2</v>
      </c>
    </row>
    <row r="335" spans="1:13" x14ac:dyDescent="0.45">
      <c r="A335" t="s">
        <v>447</v>
      </c>
      <c r="B335" t="s">
        <v>1217</v>
      </c>
      <c r="C335" t="s">
        <v>1126</v>
      </c>
      <c r="D335" t="s">
        <v>20</v>
      </c>
      <c r="E335">
        <v>1429</v>
      </c>
      <c r="F335" s="1">
        <v>46176</v>
      </c>
      <c r="G335" t="s">
        <v>1219</v>
      </c>
      <c r="H335" t="s">
        <v>1210</v>
      </c>
      <c r="I335">
        <v>15.66</v>
      </c>
      <c r="J335">
        <v>72</v>
      </c>
      <c r="K335">
        <v>306</v>
      </c>
      <c r="L335" t="s">
        <v>1210</v>
      </c>
      <c r="M335">
        <v>1</v>
      </c>
    </row>
    <row r="336" spans="1:13" x14ac:dyDescent="0.45">
      <c r="A336" t="s">
        <v>448</v>
      </c>
      <c r="B336" t="s">
        <v>1217</v>
      </c>
      <c r="C336" t="s">
        <v>1120</v>
      </c>
      <c r="D336" t="s">
        <v>1133</v>
      </c>
      <c r="E336">
        <v>1138</v>
      </c>
      <c r="F336" s="1">
        <v>46175</v>
      </c>
      <c r="G336" t="s">
        <v>1219</v>
      </c>
      <c r="H336" t="s">
        <v>1210</v>
      </c>
      <c r="I336">
        <v>3.75</v>
      </c>
      <c r="J336">
        <v>41</v>
      </c>
      <c r="K336">
        <v>106</v>
      </c>
      <c r="L336" t="s">
        <v>1210</v>
      </c>
      <c r="M336">
        <v>2</v>
      </c>
    </row>
    <row r="337" spans="1:13" x14ac:dyDescent="0.45">
      <c r="A337" t="s">
        <v>449</v>
      </c>
      <c r="B337" t="s">
        <v>1223</v>
      </c>
      <c r="C337" t="s">
        <v>1117</v>
      </c>
      <c r="D337" t="s">
        <v>1142</v>
      </c>
      <c r="E337">
        <v>906</v>
      </c>
      <c r="F337" s="1">
        <v>46175</v>
      </c>
      <c r="G337" t="s">
        <v>1219</v>
      </c>
      <c r="H337" t="s">
        <v>1210</v>
      </c>
      <c r="L337" t="s">
        <v>1353</v>
      </c>
      <c r="M337">
        <v>2</v>
      </c>
    </row>
    <row r="338" spans="1:13" x14ac:dyDescent="0.45">
      <c r="A338" t="s">
        <v>450</v>
      </c>
      <c r="B338" t="s">
        <v>1223</v>
      </c>
      <c r="C338" t="s">
        <v>1121</v>
      </c>
      <c r="D338" t="s">
        <v>100</v>
      </c>
      <c r="E338">
        <v>2220</v>
      </c>
      <c r="F338" s="1">
        <v>46175</v>
      </c>
      <c r="G338" t="s">
        <v>1219</v>
      </c>
      <c r="H338" t="s">
        <v>1210</v>
      </c>
      <c r="I338">
        <v>9.7899999999999991</v>
      </c>
      <c r="J338">
        <v>123</v>
      </c>
      <c r="K338">
        <v>334</v>
      </c>
      <c r="L338" t="s">
        <v>1210</v>
      </c>
      <c r="M338">
        <v>2</v>
      </c>
    </row>
    <row r="339" spans="1:13" x14ac:dyDescent="0.45">
      <c r="A339" t="s">
        <v>451</v>
      </c>
      <c r="B339" t="s">
        <v>1217</v>
      </c>
      <c r="C339" t="s">
        <v>1114</v>
      </c>
      <c r="D339" t="s">
        <v>67</v>
      </c>
      <c r="E339">
        <v>1131</v>
      </c>
      <c r="F339" s="1">
        <v>46174</v>
      </c>
      <c r="G339" t="s">
        <v>1219</v>
      </c>
      <c r="H339" t="s">
        <v>1210</v>
      </c>
      <c r="I339">
        <v>8.32</v>
      </c>
      <c r="J339">
        <v>98</v>
      </c>
      <c r="K339">
        <v>16</v>
      </c>
      <c r="L339" t="s">
        <v>1210</v>
      </c>
      <c r="M339">
        <v>3</v>
      </c>
    </row>
    <row r="340" spans="1:13" x14ac:dyDescent="0.45">
      <c r="A340" t="s">
        <v>452</v>
      </c>
      <c r="B340" t="s">
        <v>1217</v>
      </c>
      <c r="C340" t="s">
        <v>1114</v>
      </c>
      <c r="D340" t="s">
        <v>92</v>
      </c>
      <c r="E340">
        <v>812</v>
      </c>
      <c r="F340" s="1">
        <v>46176</v>
      </c>
      <c r="G340" t="s">
        <v>1219</v>
      </c>
      <c r="H340" t="s">
        <v>1210</v>
      </c>
      <c r="I340">
        <v>10.9</v>
      </c>
      <c r="J340">
        <v>131</v>
      </c>
      <c r="K340">
        <v>22</v>
      </c>
      <c r="L340" t="s">
        <v>1210</v>
      </c>
      <c r="M340">
        <v>1</v>
      </c>
    </row>
    <row r="341" spans="1:13" x14ac:dyDescent="0.45">
      <c r="A341" t="s">
        <v>453</v>
      </c>
      <c r="B341" t="s">
        <v>1223</v>
      </c>
      <c r="C341" t="s">
        <v>1121</v>
      </c>
      <c r="D341" t="s">
        <v>41</v>
      </c>
      <c r="E341">
        <v>3234</v>
      </c>
      <c r="F341" s="1">
        <v>46176</v>
      </c>
      <c r="G341" t="s">
        <v>1221</v>
      </c>
      <c r="H341" t="s">
        <v>1210</v>
      </c>
      <c r="I341">
        <v>6.24</v>
      </c>
      <c r="J341">
        <v>146</v>
      </c>
      <c r="K341">
        <v>24</v>
      </c>
      <c r="L341" t="s">
        <v>1210</v>
      </c>
      <c r="M341">
        <v>1</v>
      </c>
    </row>
    <row r="342" spans="1:13" x14ac:dyDescent="0.45">
      <c r="A342" t="s">
        <v>454</v>
      </c>
      <c r="B342" t="s">
        <v>1223</v>
      </c>
      <c r="C342" t="s">
        <v>1117</v>
      </c>
      <c r="D342" t="s">
        <v>110</v>
      </c>
      <c r="E342">
        <v>3257</v>
      </c>
      <c r="F342" s="1">
        <v>46168</v>
      </c>
      <c r="G342" t="s">
        <v>1219</v>
      </c>
      <c r="H342" t="s">
        <v>1210</v>
      </c>
      <c r="I342">
        <v>6.16</v>
      </c>
      <c r="J342">
        <v>104</v>
      </c>
      <c r="K342">
        <v>67</v>
      </c>
      <c r="L342" t="s">
        <v>1210</v>
      </c>
      <c r="M342">
        <v>9</v>
      </c>
    </row>
    <row r="343" spans="1:13" x14ac:dyDescent="0.45">
      <c r="A343" t="s">
        <v>455</v>
      </c>
      <c r="B343" t="s">
        <v>1223</v>
      </c>
      <c r="C343" t="s">
        <v>1121</v>
      </c>
      <c r="D343" t="s">
        <v>1130</v>
      </c>
      <c r="E343">
        <v>1594</v>
      </c>
      <c r="F343" s="1">
        <v>46176</v>
      </c>
      <c r="G343" t="s">
        <v>1219</v>
      </c>
      <c r="H343" t="s">
        <v>1210</v>
      </c>
      <c r="I343">
        <v>12.51</v>
      </c>
      <c r="J343">
        <v>73</v>
      </c>
      <c r="K343">
        <v>75</v>
      </c>
      <c r="L343" t="s">
        <v>1210</v>
      </c>
      <c r="M343">
        <v>1</v>
      </c>
    </row>
    <row r="344" spans="1:13" x14ac:dyDescent="0.45">
      <c r="A344" t="s">
        <v>456</v>
      </c>
      <c r="B344" t="s">
        <v>1217</v>
      </c>
      <c r="C344" t="s">
        <v>1126</v>
      </c>
      <c r="D344" t="s">
        <v>23</v>
      </c>
      <c r="E344">
        <v>2667</v>
      </c>
      <c r="F344" s="1">
        <v>46176</v>
      </c>
      <c r="G344" t="s">
        <v>1219</v>
      </c>
      <c r="H344" t="s">
        <v>1210</v>
      </c>
      <c r="I344">
        <v>7.71</v>
      </c>
      <c r="J344">
        <v>101</v>
      </c>
      <c r="K344">
        <v>23</v>
      </c>
      <c r="L344" t="s">
        <v>1210</v>
      </c>
      <c r="M344">
        <v>1</v>
      </c>
    </row>
    <row r="345" spans="1:13" x14ac:dyDescent="0.45">
      <c r="A345" t="s">
        <v>457</v>
      </c>
      <c r="B345" t="s">
        <v>1223</v>
      </c>
      <c r="C345" t="s">
        <v>1117</v>
      </c>
      <c r="D345" t="s">
        <v>47</v>
      </c>
      <c r="E345">
        <v>1446</v>
      </c>
      <c r="F345" s="1">
        <v>46175</v>
      </c>
      <c r="G345" t="s">
        <v>1219</v>
      </c>
      <c r="H345" t="s">
        <v>1210</v>
      </c>
      <c r="I345">
        <v>15.14</v>
      </c>
      <c r="J345">
        <v>117</v>
      </c>
      <c r="K345">
        <v>484</v>
      </c>
      <c r="L345" t="s">
        <v>1210</v>
      </c>
      <c r="M345">
        <v>2</v>
      </c>
    </row>
    <row r="346" spans="1:13" x14ac:dyDescent="0.45">
      <c r="A346" t="s">
        <v>458</v>
      </c>
      <c r="B346" t="s">
        <v>1223</v>
      </c>
      <c r="C346" t="s">
        <v>1127</v>
      </c>
      <c r="D346" t="s">
        <v>5</v>
      </c>
      <c r="E346">
        <v>1004</v>
      </c>
      <c r="F346" s="1">
        <v>46174</v>
      </c>
      <c r="G346" t="s">
        <v>1219</v>
      </c>
      <c r="H346" t="s">
        <v>1210</v>
      </c>
      <c r="I346">
        <v>10.6</v>
      </c>
      <c r="J346">
        <v>96</v>
      </c>
      <c r="K346">
        <v>445</v>
      </c>
      <c r="L346" t="s">
        <v>1210</v>
      </c>
      <c r="M346">
        <v>3</v>
      </c>
    </row>
    <row r="347" spans="1:13" x14ac:dyDescent="0.45">
      <c r="A347" t="s">
        <v>459</v>
      </c>
      <c r="B347" t="s">
        <v>1223</v>
      </c>
      <c r="C347" t="s">
        <v>1121</v>
      </c>
      <c r="D347" t="s">
        <v>45</v>
      </c>
      <c r="E347">
        <v>1181</v>
      </c>
      <c r="F347" s="1">
        <v>46175</v>
      </c>
      <c r="G347" t="s">
        <v>1219</v>
      </c>
      <c r="H347" t="s">
        <v>1210</v>
      </c>
      <c r="I347">
        <v>17.47</v>
      </c>
      <c r="J347">
        <v>65</v>
      </c>
      <c r="K347">
        <v>216</v>
      </c>
      <c r="L347" t="s">
        <v>1210</v>
      </c>
      <c r="M347">
        <v>2</v>
      </c>
    </row>
    <row r="348" spans="1:13" x14ac:dyDescent="0.45">
      <c r="A348" t="s">
        <v>460</v>
      </c>
      <c r="B348" t="s">
        <v>1225</v>
      </c>
      <c r="C348" t="s">
        <v>1125</v>
      </c>
      <c r="D348" t="s">
        <v>57</v>
      </c>
      <c r="E348">
        <v>2198</v>
      </c>
      <c r="F348" s="1">
        <v>46175</v>
      </c>
      <c r="G348" t="s">
        <v>1219</v>
      </c>
      <c r="H348" t="s">
        <v>1210</v>
      </c>
      <c r="I348">
        <v>8.19</v>
      </c>
      <c r="J348">
        <v>82</v>
      </c>
      <c r="K348">
        <v>317</v>
      </c>
      <c r="L348" t="s">
        <v>1210</v>
      </c>
      <c r="M348">
        <v>2</v>
      </c>
    </row>
    <row r="349" spans="1:13" x14ac:dyDescent="0.45">
      <c r="A349" t="s">
        <v>461</v>
      </c>
      <c r="B349" t="s">
        <v>1225</v>
      </c>
      <c r="C349" t="s">
        <v>1128</v>
      </c>
      <c r="D349" t="s">
        <v>52</v>
      </c>
      <c r="E349">
        <v>2071</v>
      </c>
      <c r="F349" s="1">
        <v>46175</v>
      </c>
      <c r="G349" t="s">
        <v>1219</v>
      </c>
      <c r="H349" t="s">
        <v>1210</v>
      </c>
      <c r="I349">
        <v>11.01</v>
      </c>
      <c r="J349">
        <v>98</v>
      </c>
      <c r="K349">
        <v>16</v>
      </c>
      <c r="L349" t="s">
        <v>1210</v>
      </c>
      <c r="M349">
        <v>2</v>
      </c>
    </row>
    <row r="350" spans="1:13" x14ac:dyDescent="0.45">
      <c r="A350" t="s">
        <v>462</v>
      </c>
      <c r="B350" t="s">
        <v>1225</v>
      </c>
      <c r="C350" t="s">
        <v>1128</v>
      </c>
      <c r="D350" t="s">
        <v>100</v>
      </c>
      <c r="E350">
        <v>1268</v>
      </c>
      <c r="F350" s="1">
        <v>46176</v>
      </c>
      <c r="G350" t="s">
        <v>1221</v>
      </c>
      <c r="H350" t="s">
        <v>1210</v>
      </c>
      <c r="I350">
        <v>9.7899999999999991</v>
      </c>
      <c r="J350">
        <v>123</v>
      </c>
      <c r="K350">
        <v>334</v>
      </c>
      <c r="L350" t="s">
        <v>1210</v>
      </c>
      <c r="M350">
        <v>1</v>
      </c>
    </row>
    <row r="351" spans="1:13" x14ac:dyDescent="0.45">
      <c r="A351" t="s">
        <v>463</v>
      </c>
      <c r="B351" t="s">
        <v>1225</v>
      </c>
      <c r="C351" t="s">
        <v>1125</v>
      </c>
      <c r="D351" t="s">
        <v>99</v>
      </c>
      <c r="E351">
        <v>545</v>
      </c>
      <c r="F351" s="1">
        <v>46173</v>
      </c>
      <c r="G351" t="s">
        <v>1221</v>
      </c>
      <c r="H351" t="s">
        <v>1210</v>
      </c>
      <c r="I351">
        <v>4.26</v>
      </c>
      <c r="J351">
        <v>68</v>
      </c>
      <c r="K351">
        <v>117</v>
      </c>
      <c r="L351" t="s">
        <v>1210</v>
      </c>
      <c r="M351">
        <v>4</v>
      </c>
    </row>
    <row r="352" spans="1:13" x14ac:dyDescent="0.45">
      <c r="A352" t="s">
        <v>464</v>
      </c>
      <c r="B352" t="s">
        <v>1223</v>
      </c>
      <c r="C352" t="s">
        <v>1122</v>
      </c>
      <c r="D352" t="s">
        <v>1140</v>
      </c>
      <c r="E352">
        <v>1655</v>
      </c>
      <c r="F352" s="1">
        <v>46176</v>
      </c>
      <c r="G352" t="s">
        <v>1219</v>
      </c>
      <c r="H352" t="s">
        <v>1210</v>
      </c>
      <c r="I352">
        <v>11.43</v>
      </c>
      <c r="J352">
        <v>128</v>
      </c>
      <c r="K352">
        <v>530</v>
      </c>
      <c r="L352" t="s">
        <v>1210</v>
      </c>
      <c r="M352">
        <v>1</v>
      </c>
    </row>
    <row r="353" spans="1:13" x14ac:dyDescent="0.45">
      <c r="A353" t="s">
        <v>465</v>
      </c>
      <c r="B353" t="s">
        <v>1217</v>
      </c>
      <c r="C353" t="s">
        <v>1114</v>
      </c>
      <c r="D353" t="s">
        <v>84</v>
      </c>
      <c r="E353">
        <v>2192</v>
      </c>
      <c r="F353" s="1">
        <v>46174</v>
      </c>
      <c r="G353" t="s">
        <v>1219</v>
      </c>
      <c r="H353" t="s">
        <v>1210</v>
      </c>
      <c r="I353">
        <v>9.8699999999999992</v>
      </c>
      <c r="J353">
        <v>88</v>
      </c>
      <c r="K353">
        <v>25</v>
      </c>
      <c r="L353" t="s">
        <v>1210</v>
      </c>
      <c r="M353">
        <v>3</v>
      </c>
    </row>
    <row r="354" spans="1:13" x14ac:dyDescent="0.45">
      <c r="A354" t="s">
        <v>466</v>
      </c>
      <c r="B354" t="s">
        <v>1223</v>
      </c>
      <c r="C354" t="s">
        <v>1127</v>
      </c>
      <c r="D354" t="s">
        <v>28</v>
      </c>
      <c r="E354">
        <v>2382</v>
      </c>
      <c r="F354" s="1">
        <v>46174</v>
      </c>
      <c r="G354" t="s">
        <v>1219</v>
      </c>
      <c r="H354" t="s">
        <v>1210</v>
      </c>
      <c r="I354">
        <v>8.94</v>
      </c>
      <c r="J354">
        <v>100</v>
      </c>
      <c r="K354">
        <v>17</v>
      </c>
      <c r="L354" t="s">
        <v>1210</v>
      </c>
      <c r="M354">
        <v>3</v>
      </c>
    </row>
    <row r="355" spans="1:13" x14ac:dyDescent="0.45">
      <c r="A355" t="s">
        <v>467</v>
      </c>
      <c r="B355" t="s">
        <v>1217</v>
      </c>
      <c r="C355" t="s">
        <v>1126</v>
      </c>
      <c r="D355" t="s">
        <v>100</v>
      </c>
      <c r="E355">
        <v>771</v>
      </c>
      <c r="F355" s="1">
        <v>46176</v>
      </c>
      <c r="G355" t="s">
        <v>1219</v>
      </c>
      <c r="H355" t="s">
        <v>1210</v>
      </c>
      <c r="I355">
        <v>9.7899999999999991</v>
      </c>
      <c r="J355">
        <v>123</v>
      </c>
      <c r="K355">
        <v>334</v>
      </c>
      <c r="L355" t="s">
        <v>1210</v>
      </c>
      <c r="M355">
        <v>1</v>
      </c>
    </row>
    <row r="356" spans="1:13" x14ac:dyDescent="0.45">
      <c r="A356" t="s">
        <v>468</v>
      </c>
      <c r="B356" t="s">
        <v>1217</v>
      </c>
      <c r="C356" t="s">
        <v>1114</v>
      </c>
      <c r="D356" t="s">
        <v>5</v>
      </c>
      <c r="E356">
        <v>2119</v>
      </c>
      <c r="F356" s="1">
        <v>46174</v>
      </c>
      <c r="G356" t="s">
        <v>1219</v>
      </c>
      <c r="H356" t="s">
        <v>1210</v>
      </c>
      <c r="I356">
        <v>10.6</v>
      </c>
      <c r="J356">
        <v>96</v>
      </c>
      <c r="K356">
        <v>445</v>
      </c>
      <c r="L356" t="s">
        <v>1210</v>
      </c>
      <c r="M356">
        <v>3</v>
      </c>
    </row>
    <row r="357" spans="1:13" x14ac:dyDescent="0.45">
      <c r="A357" t="s">
        <v>469</v>
      </c>
      <c r="B357" t="s">
        <v>1217</v>
      </c>
      <c r="C357" t="s">
        <v>1116</v>
      </c>
      <c r="D357" t="s">
        <v>1143</v>
      </c>
      <c r="E357">
        <v>1319</v>
      </c>
      <c r="F357" s="1">
        <v>46176</v>
      </c>
      <c r="G357" t="s">
        <v>1219</v>
      </c>
      <c r="H357" t="s">
        <v>1210</v>
      </c>
      <c r="L357" t="s">
        <v>1353</v>
      </c>
      <c r="M357">
        <v>1</v>
      </c>
    </row>
    <row r="358" spans="1:13" x14ac:dyDescent="0.45">
      <c r="A358" t="s">
        <v>470</v>
      </c>
      <c r="B358" t="s">
        <v>1217</v>
      </c>
      <c r="C358" t="s">
        <v>1120</v>
      </c>
      <c r="D358" t="s">
        <v>103</v>
      </c>
      <c r="E358">
        <v>1377</v>
      </c>
      <c r="F358" s="1">
        <v>46175</v>
      </c>
      <c r="G358" t="s">
        <v>1219</v>
      </c>
      <c r="H358" t="s">
        <v>1210</v>
      </c>
      <c r="I358">
        <v>16.66</v>
      </c>
      <c r="J358">
        <v>85</v>
      </c>
      <c r="K358">
        <v>333</v>
      </c>
      <c r="L358" t="s">
        <v>1210</v>
      </c>
      <c r="M358">
        <v>2</v>
      </c>
    </row>
    <row r="359" spans="1:13" x14ac:dyDescent="0.45">
      <c r="A359" t="s">
        <v>471</v>
      </c>
      <c r="B359" t="s">
        <v>1217</v>
      </c>
      <c r="C359" t="s">
        <v>1120</v>
      </c>
      <c r="D359" t="s">
        <v>78</v>
      </c>
      <c r="E359">
        <v>1676</v>
      </c>
      <c r="F359" s="1">
        <v>46176</v>
      </c>
      <c r="G359" t="s">
        <v>1219</v>
      </c>
      <c r="H359" t="s">
        <v>1210</v>
      </c>
      <c r="I359">
        <v>11.26</v>
      </c>
      <c r="J359">
        <v>129</v>
      </c>
      <c r="K359">
        <v>24</v>
      </c>
      <c r="L359" t="s">
        <v>1210</v>
      </c>
      <c r="M359">
        <v>1</v>
      </c>
    </row>
    <row r="360" spans="1:13" x14ac:dyDescent="0.45">
      <c r="A360" t="s">
        <v>472</v>
      </c>
      <c r="B360" t="s">
        <v>1217</v>
      </c>
      <c r="C360" t="s">
        <v>1115</v>
      </c>
      <c r="D360" t="s">
        <v>8</v>
      </c>
      <c r="E360">
        <v>1994</v>
      </c>
      <c r="F360" s="1">
        <v>46176</v>
      </c>
      <c r="G360" t="s">
        <v>1219</v>
      </c>
      <c r="H360" t="s">
        <v>1210</v>
      </c>
      <c r="I360">
        <v>5.25</v>
      </c>
      <c r="J360">
        <v>76</v>
      </c>
      <c r="K360">
        <v>104</v>
      </c>
      <c r="L360" t="s">
        <v>1210</v>
      </c>
      <c r="M360">
        <v>1</v>
      </c>
    </row>
    <row r="361" spans="1:13" x14ac:dyDescent="0.45">
      <c r="A361" t="s">
        <v>473</v>
      </c>
      <c r="B361" t="s">
        <v>1217</v>
      </c>
      <c r="C361" t="s">
        <v>1115</v>
      </c>
      <c r="D361" t="s">
        <v>65</v>
      </c>
      <c r="E361">
        <v>544</v>
      </c>
      <c r="F361" s="1">
        <v>46175</v>
      </c>
      <c r="G361" t="s">
        <v>1219</v>
      </c>
      <c r="H361" t="s">
        <v>1210</v>
      </c>
      <c r="I361">
        <v>9.8000000000000007</v>
      </c>
      <c r="J361">
        <v>83</v>
      </c>
      <c r="K361">
        <v>15</v>
      </c>
      <c r="L361" t="s">
        <v>1210</v>
      </c>
      <c r="M361">
        <v>2</v>
      </c>
    </row>
    <row r="362" spans="1:13" x14ac:dyDescent="0.45">
      <c r="A362" t="s">
        <v>474</v>
      </c>
      <c r="B362" t="s">
        <v>1217</v>
      </c>
      <c r="C362" t="s">
        <v>1115</v>
      </c>
      <c r="D362" t="s">
        <v>28</v>
      </c>
      <c r="E362">
        <v>2407</v>
      </c>
      <c r="F362" s="1">
        <v>46175</v>
      </c>
      <c r="G362" t="s">
        <v>1219</v>
      </c>
      <c r="H362" t="s">
        <v>1210</v>
      </c>
      <c r="I362">
        <v>8.94</v>
      </c>
      <c r="J362">
        <v>100</v>
      </c>
      <c r="K362">
        <v>17</v>
      </c>
      <c r="L362" t="s">
        <v>1210</v>
      </c>
      <c r="M362">
        <v>2</v>
      </c>
    </row>
    <row r="363" spans="1:13" x14ac:dyDescent="0.45">
      <c r="A363" t="s">
        <v>475</v>
      </c>
      <c r="B363" t="s">
        <v>1217</v>
      </c>
      <c r="C363" t="s">
        <v>1120</v>
      </c>
      <c r="D363" t="s">
        <v>1140</v>
      </c>
      <c r="E363">
        <v>1771</v>
      </c>
      <c r="F363" s="1">
        <v>46176</v>
      </c>
      <c r="G363" t="s">
        <v>1219</v>
      </c>
      <c r="H363" t="s">
        <v>1210</v>
      </c>
      <c r="I363">
        <v>11.43</v>
      </c>
      <c r="J363">
        <v>128</v>
      </c>
      <c r="K363">
        <v>530</v>
      </c>
      <c r="L363" t="s">
        <v>1210</v>
      </c>
      <c r="M363">
        <v>1</v>
      </c>
    </row>
    <row r="364" spans="1:13" x14ac:dyDescent="0.45">
      <c r="A364" t="s">
        <v>476</v>
      </c>
      <c r="B364" t="s">
        <v>1223</v>
      </c>
      <c r="C364" t="s">
        <v>1121</v>
      </c>
      <c r="D364" t="s">
        <v>18</v>
      </c>
      <c r="E364">
        <v>538</v>
      </c>
      <c r="F364" s="1">
        <v>46175</v>
      </c>
      <c r="G364" t="s">
        <v>1219</v>
      </c>
      <c r="H364" t="s">
        <v>1210</v>
      </c>
      <c r="I364">
        <v>16.489999999999998</v>
      </c>
      <c r="J364">
        <v>102</v>
      </c>
      <c r="K364">
        <v>315</v>
      </c>
      <c r="L364" t="s">
        <v>1210</v>
      </c>
      <c r="M364">
        <v>2</v>
      </c>
    </row>
    <row r="365" spans="1:13" x14ac:dyDescent="0.45">
      <c r="A365" t="s">
        <v>477</v>
      </c>
      <c r="B365" t="s">
        <v>1223</v>
      </c>
      <c r="C365" t="s">
        <v>1121</v>
      </c>
      <c r="D365" t="s">
        <v>5</v>
      </c>
      <c r="E365">
        <v>708</v>
      </c>
      <c r="F365" s="1">
        <v>46176</v>
      </c>
      <c r="G365" t="s">
        <v>1219</v>
      </c>
      <c r="H365" t="s">
        <v>1210</v>
      </c>
      <c r="I365">
        <v>10.6</v>
      </c>
      <c r="J365">
        <v>96</v>
      </c>
      <c r="K365">
        <v>445</v>
      </c>
      <c r="L365" t="s">
        <v>1210</v>
      </c>
      <c r="M365">
        <v>1</v>
      </c>
    </row>
    <row r="366" spans="1:13" x14ac:dyDescent="0.45">
      <c r="A366" t="s">
        <v>478</v>
      </c>
      <c r="B366" t="s">
        <v>1217</v>
      </c>
      <c r="C366" t="s">
        <v>1114</v>
      </c>
      <c r="D366" t="s">
        <v>1137</v>
      </c>
      <c r="E366">
        <v>1736</v>
      </c>
      <c r="F366" s="1">
        <v>46175</v>
      </c>
      <c r="G366" t="s">
        <v>1219</v>
      </c>
      <c r="H366" t="s">
        <v>1210</v>
      </c>
      <c r="I366">
        <v>10.96</v>
      </c>
      <c r="J366">
        <v>128</v>
      </c>
      <c r="K366">
        <v>520</v>
      </c>
      <c r="L366" t="s">
        <v>1210</v>
      </c>
      <c r="M366">
        <v>2</v>
      </c>
    </row>
    <row r="367" spans="1:13" x14ac:dyDescent="0.45">
      <c r="A367" t="s">
        <v>479</v>
      </c>
      <c r="B367" t="s">
        <v>1223</v>
      </c>
      <c r="C367" t="s">
        <v>1124</v>
      </c>
      <c r="D367" t="s">
        <v>107</v>
      </c>
      <c r="E367">
        <v>722</v>
      </c>
      <c r="F367" s="1">
        <v>46176</v>
      </c>
      <c r="G367" t="s">
        <v>1219</v>
      </c>
      <c r="H367" t="s">
        <v>1210</v>
      </c>
      <c r="I367">
        <v>4.3600000000000003</v>
      </c>
      <c r="J367">
        <v>88</v>
      </c>
      <c r="K367">
        <v>108</v>
      </c>
      <c r="L367" t="s">
        <v>1210</v>
      </c>
      <c r="M367">
        <v>1</v>
      </c>
    </row>
    <row r="368" spans="1:13" x14ac:dyDescent="0.45">
      <c r="A368" t="s">
        <v>480</v>
      </c>
      <c r="B368" t="s">
        <v>1225</v>
      </c>
      <c r="C368" t="s">
        <v>1123</v>
      </c>
      <c r="D368" t="s">
        <v>102</v>
      </c>
      <c r="E368">
        <v>1953</v>
      </c>
      <c r="F368" s="1">
        <v>46176</v>
      </c>
      <c r="G368" t="s">
        <v>1219</v>
      </c>
      <c r="H368" t="s">
        <v>1210</v>
      </c>
      <c r="I368">
        <v>9.9499999999999993</v>
      </c>
      <c r="J368">
        <v>106</v>
      </c>
      <c r="K368">
        <v>376</v>
      </c>
      <c r="L368" t="s">
        <v>1210</v>
      </c>
      <c r="M368">
        <v>1</v>
      </c>
    </row>
    <row r="369" spans="1:13" x14ac:dyDescent="0.45">
      <c r="A369" t="s">
        <v>481</v>
      </c>
      <c r="B369" t="s">
        <v>1225</v>
      </c>
      <c r="C369" t="s">
        <v>1128</v>
      </c>
      <c r="D369" t="s">
        <v>1140</v>
      </c>
      <c r="E369">
        <v>1912</v>
      </c>
      <c r="F369" s="1">
        <v>46176</v>
      </c>
      <c r="G369" t="s">
        <v>1219</v>
      </c>
      <c r="H369" t="s">
        <v>1210</v>
      </c>
      <c r="I369">
        <v>11.43</v>
      </c>
      <c r="J369">
        <v>128</v>
      </c>
      <c r="K369">
        <v>530</v>
      </c>
      <c r="L369" t="s">
        <v>1210</v>
      </c>
      <c r="M369">
        <v>1</v>
      </c>
    </row>
    <row r="370" spans="1:13" x14ac:dyDescent="0.45">
      <c r="A370" t="s">
        <v>482</v>
      </c>
      <c r="B370" t="s">
        <v>1217</v>
      </c>
      <c r="C370" t="s">
        <v>1115</v>
      </c>
      <c r="D370" t="s">
        <v>36</v>
      </c>
      <c r="E370">
        <v>2459</v>
      </c>
      <c r="F370" s="1">
        <v>46175</v>
      </c>
      <c r="G370" t="s">
        <v>1219</v>
      </c>
      <c r="H370" t="s">
        <v>1210</v>
      </c>
      <c r="I370">
        <v>7.51</v>
      </c>
      <c r="J370">
        <v>83</v>
      </c>
      <c r="K370">
        <v>18</v>
      </c>
      <c r="L370" t="s">
        <v>1210</v>
      </c>
      <c r="M370">
        <v>2</v>
      </c>
    </row>
    <row r="371" spans="1:13" x14ac:dyDescent="0.45">
      <c r="A371" t="s">
        <v>483</v>
      </c>
      <c r="B371" t="s">
        <v>1225</v>
      </c>
      <c r="C371" t="s">
        <v>1118</v>
      </c>
      <c r="D371" t="s">
        <v>76</v>
      </c>
      <c r="E371">
        <v>1216</v>
      </c>
      <c r="F371" s="1">
        <v>46175</v>
      </c>
      <c r="G371" t="s">
        <v>1219</v>
      </c>
      <c r="H371" t="s">
        <v>1210</v>
      </c>
      <c r="I371">
        <v>5.09</v>
      </c>
      <c r="J371">
        <v>40</v>
      </c>
      <c r="K371">
        <v>90</v>
      </c>
      <c r="L371" t="s">
        <v>1210</v>
      </c>
      <c r="M371">
        <v>2</v>
      </c>
    </row>
    <row r="372" spans="1:13" x14ac:dyDescent="0.45">
      <c r="A372" t="s">
        <v>484</v>
      </c>
      <c r="B372" t="s">
        <v>1225</v>
      </c>
      <c r="C372" t="s">
        <v>1128</v>
      </c>
      <c r="D372" t="s">
        <v>107</v>
      </c>
      <c r="E372">
        <v>2362</v>
      </c>
      <c r="F372" s="1">
        <v>46175</v>
      </c>
      <c r="G372" t="s">
        <v>1219</v>
      </c>
      <c r="H372" t="s">
        <v>1210</v>
      </c>
      <c r="I372">
        <v>4.3600000000000003</v>
      </c>
      <c r="J372">
        <v>88</v>
      </c>
      <c r="K372">
        <v>108</v>
      </c>
      <c r="L372" t="s">
        <v>1210</v>
      </c>
      <c r="M372">
        <v>2</v>
      </c>
    </row>
    <row r="373" spans="1:13" x14ac:dyDescent="0.45">
      <c r="A373" t="s">
        <v>485</v>
      </c>
      <c r="B373" t="s">
        <v>1223</v>
      </c>
      <c r="C373" t="s">
        <v>1117</v>
      </c>
      <c r="D373" t="s">
        <v>40</v>
      </c>
      <c r="E373">
        <v>1539</v>
      </c>
      <c r="F373" s="1">
        <v>46175</v>
      </c>
      <c r="G373" t="s">
        <v>1219</v>
      </c>
      <c r="H373" t="s">
        <v>1210</v>
      </c>
      <c r="I373">
        <v>15.1</v>
      </c>
      <c r="J373">
        <v>74</v>
      </c>
      <c r="K373">
        <v>443</v>
      </c>
      <c r="L373" t="s">
        <v>1210</v>
      </c>
      <c r="M373">
        <v>2</v>
      </c>
    </row>
    <row r="374" spans="1:13" x14ac:dyDescent="0.45">
      <c r="A374" t="s">
        <v>486</v>
      </c>
      <c r="B374" t="s">
        <v>1217</v>
      </c>
      <c r="C374" t="s">
        <v>1120</v>
      </c>
      <c r="D374" t="s">
        <v>1130</v>
      </c>
      <c r="E374">
        <v>1743</v>
      </c>
      <c r="F374" s="1">
        <v>46176</v>
      </c>
      <c r="G374" t="s">
        <v>1219</v>
      </c>
      <c r="H374" t="s">
        <v>1210</v>
      </c>
      <c r="I374">
        <v>12.51</v>
      </c>
      <c r="J374">
        <v>73</v>
      </c>
      <c r="K374">
        <v>75</v>
      </c>
      <c r="L374" t="s">
        <v>1210</v>
      </c>
      <c r="M374">
        <v>1</v>
      </c>
    </row>
    <row r="375" spans="1:13" x14ac:dyDescent="0.45">
      <c r="A375" t="s">
        <v>487</v>
      </c>
      <c r="B375" t="s">
        <v>1217</v>
      </c>
      <c r="C375" t="s">
        <v>1116</v>
      </c>
      <c r="D375" t="s">
        <v>88</v>
      </c>
      <c r="E375">
        <v>1978</v>
      </c>
      <c r="F375" s="1">
        <v>46176</v>
      </c>
      <c r="G375" t="s">
        <v>1219</v>
      </c>
      <c r="H375" t="s">
        <v>1210</v>
      </c>
      <c r="I375">
        <v>11.02</v>
      </c>
      <c r="J375">
        <v>69</v>
      </c>
      <c r="K375">
        <v>86</v>
      </c>
      <c r="L375" t="s">
        <v>1210</v>
      </c>
      <c r="M375">
        <v>1</v>
      </c>
    </row>
    <row r="376" spans="1:13" x14ac:dyDescent="0.45">
      <c r="A376" t="s">
        <v>488</v>
      </c>
      <c r="B376" t="s">
        <v>1223</v>
      </c>
      <c r="C376" t="s">
        <v>1124</v>
      </c>
      <c r="D376" t="s">
        <v>1137</v>
      </c>
      <c r="E376">
        <v>1774</v>
      </c>
      <c r="F376" s="1">
        <v>46176</v>
      </c>
      <c r="G376" t="s">
        <v>1221</v>
      </c>
      <c r="H376" t="s">
        <v>1210</v>
      </c>
      <c r="I376">
        <v>10.96</v>
      </c>
      <c r="J376">
        <v>128</v>
      </c>
      <c r="K376">
        <v>520</v>
      </c>
      <c r="L376" t="s">
        <v>1210</v>
      </c>
      <c r="M376">
        <v>1</v>
      </c>
    </row>
    <row r="377" spans="1:13" x14ac:dyDescent="0.45">
      <c r="A377" t="s">
        <v>489</v>
      </c>
      <c r="B377" t="s">
        <v>1217</v>
      </c>
      <c r="C377" t="s">
        <v>1114</v>
      </c>
      <c r="D377" t="s">
        <v>18</v>
      </c>
      <c r="E377">
        <v>520</v>
      </c>
      <c r="F377" s="1">
        <v>46175</v>
      </c>
      <c r="G377" t="s">
        <v>1219</v>
      </c>
      <c r="H377" t="s">
        <v>1210</v>
      </c>
      <c r="I377">
        <v>16.489999999999998</v>
      </c>
      <c r="J377">
        <v>102</v>
      </c>
      <c r="K377">
        <v>315</v>
      </c>
      <c r="L377" t="s">
        <v>1210</v>
      </c>
      <c r="M377">
        <v>2</v>
      </c>
    </row>
    <row r="378" spans="1:13" x14ac:dyDescent="0.45">
      <c r="A378" t="s">
        <v>490</v>
      </c>
      <c r="B378" t="s">
        <v>1217</v>
      </c>
      <c r="C378" t="s">
        <v>1115</v>
      </c>
      <c r="D378" t="s">
        <v>1129</v>
      </c>
      <c r="E378">
        <v>2639</v>
      </c>
      <c r="F378" s="1">
        <v>46175</v>
      </c>
      <c r="G378" t="s">
        <v>1219</v>
      </c>
      <c r="H378" t="s">
        <v>1210</v>
      </c>
      <c r="I378">
        <v>3.43</v>
      </c>
      <c r="J378">
        <v>88</v>
      </c>
      <c r="K378">
        <v>109</v>
      </c>
      <c r="L378" t="s">
        <v>1210</v>
      </c>
      <c r="M378">
        <v>2</v>
      </c>
    </row>
    <row r="379" spans="1:13" x14ac:dyDescent="0.45">
      <c r="A379" t="s">
        <v>491</v>
      </c>
      <c r="B379" t="s">
        <v>1223</v>
      </c>
      <c r="C379" t="s">
        <v>1122</v>
      </c>
      <c r="D379" t="s">
        <v>55</v>
      </c>
      <c r="E379">
        <v>1165</v>
      </c>
      <c r="F379" s="1">
        <v>46176</v>
      </c>
      <c r="G379" t="s">
        <v>1219</v>
      </c>
      <c r="H379" t="s">
        <v>1210</v>
      </c>
      <c r="I379">
        <v>3.48</v>
      </c>
      <c r="J379">
        <v>66</v>
      </c>
      <c r="K379">
        <v>112</v>
      </c>
      <c r="L379" t="s">
        <v>1210</v>
      </c>
      <c r="M379">
        <v>1</v>
      </c>
    </row>
    <row r="380" spans="1:13" x14ac:dyDescent="0.45">
      <c r="A380" t="s">
        <v>492</v>
      </c>
      <c r="B380" t="s">
        <v>1223</v>
      </c>
      <c r="C380" t="s">
        <v>1127</v>
      </c>
      <c r="D380" t="s">
        <v>63</v>
      </c>
      <c r="E380">
        <v>1147</v>
      </c>
      <c r="F380" s="1">
        <v>46175</v>
      </c>
      <c r="G380" t="s">
        <v>1219</v>
      </c>
      <c r="H380" t="s">
        <v>1210</v>
      </c>
      <c r="I380">
        <v>4.29</v>
      </c>
      <c r="J380">
        <v>44</v>
      </c>
      <c r="K380">
        <v>111</v>
      </c>
      <c r="L380" t="s">
        <v>1210</v>
      </c>
      <c r="M380">
        <v>2</v>
      </c>
    </row>
    <row r="381" spans="1:13" x14ac:dyDescent="0.45">
      <c r="A381" t="s">
        <v>493</v>
      </c>
      <c r="B381" t="s">
        <v>1217</v>
      </c>
      <c r="C381" t="s">
        <v>1120</v>
      </c>
      <c r="D381" t="s">
        <v>36</v>
      </c>
      <c r="E381">
        <v>2459</v>
      </c>
      <c r="F381" s="1">
        <v>46170</v>
      </c>
      <c r="G381" t="s">
        <v>1219</v>
      </c>
      <c r="H381" t="s">
        <v>1210</v>
      </c>
      <c r="I381">
        <v>7.51</v>
      </c>
      <c r="J381">
        <v>83</v>
      </c>
      <c r="K381">
        <v>18</v>
      </c>
      <c r="L381" t="s">
        <v>1210</v>
      </c>
      <c r="M381">
        <v>7</v>
      </c>
    </row>
    <row r="382" spans="1:13" x14ac:dyDescent="0.45">
      <c r="A382" t="s">
        <v>494</v>
      </c>
      <c r="B382" t="s">
        <v>1223</v>
      </c>
      <c r="C382" t="s">
        <v>1122</v>
      </c>
      <c r="D382" t="s">
        <v>7</v>
      </c>
      <c r="E382">
        <v>705</v>
      </c>
      <c r="F382" s="1">
        <v>46176</v>
      </c>
      <c r="G382" t="s">
        <v>1219</v>
      </c>
      <c r="H382" t="s">
        <v>1210</v>
      </c>
      <c r="I382">
        <v>9.56</v>
      </c>
      <c r="J382">
        <v>136</v>
      </c>
      <c r="K382">
        <v>345</v>
      </c>
      <c r="L382" t="s">
        <v>1210</v>
      </c>
      <c r="M382">
        <v>1</v>
      </c>
    </row>
    <row r="383" spans="1:13" x14ac:dyDescent="0.45">
      <c r="A383" t="s">
        <v>495</v>
      </c>
      <c r="B383" t="s">
        <v>1225</v>
      </c>
      <c r="C383" t="s">
        <v>1128</v>
      </c>
      <c r="D383" t="s">
        <v>47</v>
      </c>
      <c r="E383">
        <v>1429</v>
      </c>
      <c r="F383" s="1">
        <v>46175</v>
      </c>
      <c r="G383" t="s">
        <v>1221</v>
      </c>
      <c r="H383" t="s">
        <v>1210</v>
      </c>
      <c r="I383">
        <v>15.14</v>
      </c>
      <c r="J383">
        <v>117</v>
      </c>
      <c r="K383">
        <v>484</v>
      </c>
      <c r="L383" t="s">
        <v>1210</v>
      </c>
      <c r="M383">
        <v>2</v>
      </c>
    </row>
    <row r="384" spans="1:13" x14ac:dyDescent="0.45">
      <c r="A384" t="s">
        <v>496</v>
      </c>
      <c r="B384" t="s">
        <v>1223</v>
      </c>
      <c r="C384" t="s">
        <v>1122</v>
      </c>
      <c r="D384" t="s">
        <v>1135</v>
      </c>
      <c r="E384">
        <v>1422</v>
      </c>
      <c r="F384" s="1">
        <v>46176</v>
      </c>
      <c r="G384" t="s">
        <v>1219</v>
      </c>
      <c r="H384" t="s">
        <v>1210</v>
      </c>
      <c r="I384">
        <v>13.31</v>
      </c>
      <c r="J384">
        <v>89</v>
      </c>
      <c r="K384">
        <v>313</v>
      </c>
      <c r="L384" t="s">
        <v>1210</v>
      </c>
      <c r="M384">
        <v>1</v>
      </c>
    </row>
    <row r="385" spans="1:13" x14ac:dyDescent="0.45">
      <c r="A385" t="s">
        <v>497</v>
      </c>
      <c r="B385" t="s">
        <v>1223</v>
      </c>
      <c r="C385" t="s">
        <v>1121</v>
      </c>
      <c r="D385" t="s">
        <v>106</v>
      </c>
      <c r="E385">
        <v>332</v>
      </c>
      <c r="F385" s="1">
        <v>46176</v>
      </c>
      <c r="G385" t="s">
        <v>1219</v>
      </c>
      <c r="H385" t="s">
        <v>1210</v>
      </c>
      <c r="I385">
        <v>4.24</v>
      </c>
      <c r="J385">
        <v>41</v>
      </c>
      <c r="K385">
        <v>111</v>
      </c>
      <c r="L385" t="s">
        <v>1210</v>
      </c>
      <c r="M385">
        <v>1</v>
      </c>
    </row>
    <row r="386" spans="1:13" x14ac:dyDescent="0.45">
      <c r="A386" t="s">
        <v>498</v>
      </c>
      <c r="B386" t="s">
        <v>1217</v>
      </c>
      <c r="C386" t="s">
        <v>1120</v>
      </c>
      <c r="D386" t="s">
        <v>50</v>
      </c>
      <c r="E386">
        <v>1451</v>
      </c>
      <c r="F386" s="1">
        <v>46169</v>
      </c>
      <c r="G386" t="s">
        <v>1219</v>
      </c>
      <c r="H386" t="s">
        <v>1210</v>
      </c>
      <c r="I386">
        <v>9.02</v>
      </c>
      <c r="J386">
        <v>114</v>
      </c>
      <c r="K386">
        <v>18</v>
      </c>
      <c r="L386" t="s">
        <v>1210</v>
      </c>
      <c r="M386">
        <v>8</v>
      </c>
    </row>
    <row r="387" spans="1:13" x14ac:dyDescent="0.45">
      <c r="A387" t="s">
        <v>499</v>
      </c>
      <c r="B387" t="s">
        <v>1217</v>
      </c>
      <c r="C387" t="s">
        <v>1126</v>
      </c>
      <c r="D387" t="s">
        <v>91</v>
      </c>
      <c r="E387">
        <v>1524</v>
      </c>
      <c r="F387" s="1">
        <v>46176</v>
      </c>
      <c r="G387" t="s">
        <v>1221</v>
      </c>
      <c r="H387" t="s">
        <v>1210</v>
      </c>
      <c r="I387">
        <v>13.9</v>
      </c>
      <c r="J387">
        <v>69</v>
      </c>
      <c r="K387">
        <v>106</v>
      </c>
      <c r="L387" t="s">
        <v>1210</v>
      </c>
      <c r="M387">
        <v>1</v>
      </c>
    </row>
    <row r="388" spans="1:13" x14ac:dyDescent="0.45">
      <c r="A388" t="s">
        <v>500</v>
      </c>
      <c r="B388" t="s">
        <v>1225</v>
      </c>
      <c r="C388" t="s">
        <v>1123</v>
      </c>
      <c r="D388" t="s">
        <v>30</v>
      </c>
      <c r="E388">
        <v>1746</v>
      </c>
      <c r="F388" s="1">
        <v>46175</v>
      </c>
      <c r="G388" t="s">
        <v>1221</v>
      </c>
      <c r="H388" t="s">
        <v>1210</v>
      </c>
      <c r="I388">
        <v>3.64</v>
      </c>
      <c r="J388">
        <v>62</v>
      </c>
      <c r="K388">
        <v>114</v>
      </c>
      <c r="L388" t="s">
        <v>1210</v>
      </c>
      <c r="M388">
        <v>2</v>
      </c>
    </row>
    <row r="389" spans="1:13" x14ac:dyDescent="0.45">
      <c r="A389" t="s">
        <v>501</v>
      </c>
      <c r="B389" t="s">
        <v>1223</v>
      </c>
      <c r="C389" t="s">
        <v>1122</v>
      </c>
      <c r="D389" t="s">
        <v>52</v>
      </c>
      <c r="E389">
        <v>1009</v>
      </c>
      <c r="F389" s="1">
        <v>46176</v>
      </c>
      <c r="G389" t="s">
        <v>1221</v>
      </c>
      <c r="H389" t="s">
        <v>1210</v>
      </c>
      <c r="I389">
        <v>11.01</v>
      </c>
      <c r="J389">
        <v>98</v>
      </c>
      <c r="K389">
        <v>16</v>
      </c>
      <c r="L389" t="s">
        <v>1210</v>
      </c>
      <c r="M389">
        <v>1</v>
      </c>
    </row>
    <row r="390" spans="1:13" x14ac:dyDescent="0.45">
      <c r="A390" t="s">
        <v>502</v>
      </c>
      <c r="B390" t="s">
        <v>1217</v>
      </c>
      <c r="C390" t="s">
        <v>1120</v>
      </c>
      <c r="D390" t="s">
        <v>20</v>
      </c>
      <c r="E390">
        <v>1299</v>
      </c>
      <c r="F390" s="1">
        <v>46175</v>
      </c>
      <c r="G390" t="s">
        <v>1219</v>
      </c>
      <c r="H390" t="s">
        <v>1210</v>
      </c>
      <c r="I390">
        <v>15.66</v>
      </c>
      <c r="J390">
        <v>72</v>
      </c>
      <c r="K390">
        <v>306</v>
      </c>
      <c r="L390" t="s">
        <v>1210</v>
      </c>
      <c r="M390">
        <v>2</v>
      </c>
    </row>
    <row r="391" spans="1:13" x14ac:dyDescent="0.45">
      <c r="A391" t="s">
        <v>503</v>
      </c>
      <c r="B391" t="s">
        <v>1217</v>
      </c>
      <c r="C391" t="s">
        <v>1120</v>
      </c>
      <c r="D391" t="s">
        <v>74</v>
      </c>
      <c r="E391">
        <v>1079</v>
      </c>
      <c r="F391" s="1">
        <v>46168</v>
      </c>
      <c r="G391" t="s">
        <v>1221</v>
      </c>
      <c r="H391" t="s">
        <v>1210</v>
      </c>
      <c r="I391">
        <v>12.77</v>
      </c>
      <c r="J391">
        <v>96</v>
      </c>
      <c r="K391">
        <v>122</v>
      </c>
      <c r="L391" t="s">
        <v>1210</v>
      </c>
      <c r="M391">
        <v>9</v>
      </c>
    </row>
    <row r="392" spans="1:13" x14ac:dyDescent="0.45">
      <c r="A392" t="s">
        <v>504</v>
      </c>
      <c r="B392" t="s">
        <v>1225</v>
      </c>
      <c r="C392" t="s">
        <v>1125</v>
      </c>
      <c r="D392" t="s">
        <v>61</v>
      </c>
      <c r="E392">
        <v>1102</v>
      </c>
      <c r="F392" s="1">
        <v>46176</v>
      </c>
      <c r="G392" t="s">
        <v>1219</v>
      </c>
      <c r="H392" t="s">
        <v>1210</v>
      </c>
      <c r="I392">
        <v>12.41</v>
      </c>
      <c r="J392">
        <v>95</v>
      </c>
      <c r="K392">
        <v>227</v>
      </c>
      <c r="L392" t="s">
        <v>1210</v>
      </c>
      <c r="M392">
        <v>1</v>
      </c>
    </row>
    <row r="393" spans="1:13" x14ac:dyDescent="0.45">
      <c r="A393" t="s">
        <v>505</v>
      </c>
      <c r="B393" t="s">
        <v>1225</v>
      </c>
      <c r="C393" t="s">
        <v>1118</v>
      </c>
      <c r="D393" t="s">
        <v>22</v>
      </c>
      <c r="E393">
        <v>1858</v>
      </c>
      <c r="F393" s="1">
        <v>46175</v>
      </c>
      <c r="G393" t="s">
        <v>1219</v>
      </c>
      <c r="H393" t="s">
        <v>1210</v>
      </c>
      <c r="I393">
        <v>5.27</v>
      </c>
      <c r="J393">
        <v>60</v>
      </c>
      <c r="K393">
        <v>129</v>
      </c>
      <c r="L393" t="s">
        <v>1210</v>
      </c>
      <c r="M393">
        <v>2</v>
      </c>
    </row>
    <row r="394" spans="1:13" x14ac:dyDescent="0.45">
      <c r="A394" t="s">
        <v>506</v>
      </c>
      <c r="B394" t="s">
        <v>1223</v>
      </c>
      <c r="C394" t="s">
        <v>1124</v>
      </c>
      <c r="D394" t="s">
        <v>1132</v>
      </c>
      <c r="E394">
        <v>1474</v>
      </c>
      <c r="F394" s="1">
        <v>46176</v>
      </c>
      <c r="G394" t="s">
        <v>1221</v>
      </c>
      <c r="H394" t="s">
        <v>1210</v>
      </c>
      <c r="I394">
        <v>15.52</v>
      </c>
      <c r="J394">
        <v>121</v>
      </c>
      <c r="K394">
        <v>517</v>
      </c>
      <c r="L394" t="s">
        <v>1210</v>
      </c>
      <c r="M394">
        <v>1</v>
      </c>
    </row>
    <row r="395" spans="1:13" x14ac:dyDescent="0.45">
      <c r="A395" t="s">
        <v>507</v>
      </c>
      <c r="B395" t="s">
        <v>1223</v>
      </c>
      <c r="C395" t="s">
        <v>1124</v>
      </c>
      <c r="D395" t="s">
        <v>10</v>
      </c>
      <c r="E395">
        <v>901</v>
      </c>
      <c r="F395" s="1">
        <v>46176</v>
      </c>
      <c r="G395" t="s">
        <v>1219</v>
      </c>
      <c r="H395" t="s">
        <v>1210</v>
      </c>
      <c r="I395">
        <v>14.2</v>
      </c>
      <c r="J395">
        <v>95</v>
      </c>
      <c r="K395">
        <v>277</v>
      </c>
      <c r="L395" t="s">
        <v>1210</v>
      </c>
      <c r="M395">
        <v>1</v>
      </c>
    </row>
    <row r="396" spans="1:13" x14ac:dyDescent="0.45">
      <c r="A396" t="s">
        <v>508</v>
      </c>
      <c r="B396" t="s">
        <v>1217</v>
      </c>
      <c r="C396" t="s">
        <v>1126</v>
      </c>
      <c r="D396" t="s">
        <v>1135</v>
      </c>
      <c r="E396">
        <v>777</v>
      </c>
      <c r="F396" s="1">
        <v>46176</v>
      </c>
      <c r="G396" t="s">
        <v>1219</v>
      </c>
      <c r="H396" t="s">
        <v>1210</v>
      </c>
      <c r="I396">
        <v>13.31</v>
      </c>
      <c r="J396">
        <v>89</v>
      </c>
      <c r="K396">
        <v>313</v>
      </c>
      <c r="L396" t="s">
        <v>1210</v>
      </c>
      <c r="M396">
        <v>1</v>
      </c>
    </row>
    <row r="397" spans="1:13" x14ac:dyDescent="0.45">
      <c r="A397" t="s">
        <v>509</v>
      </c>
      <c r="B397" t="s">
        <v>1217</v>
      </c>
      <c r="C397" t="s">
        <v>1115</v>
      </c>
      <c r="D397" t="s">
        <v>84</v>
      </c>
      <c r="E397">
        <v>1931</v>
      </c>
      <c r="F397" s="1">
        <v>46175</v>
      </c>
      <c r="G397" t="s">
        <v>1219</v>
      </c>
      <c r="H397" t="s">
        <v>1210</v>
      </c>
      <c r="I397">
        <v>9.8699999999999992</v>
      </c>
      <c r="J397">
        <v>88</v>
      </c>
      <c r="K397">
        <v>25</v>
      </c>
      <c r="L397" t="s">
        <v>1210</v>
      </c>
      <c r="M397">
        <v>2</v>
      </c>
    </row>
    <row r="398" spans="1:13" x14ac:dyDescent="0.45">
      <c r="A398" t="s">
        <v>510</v>
      </c>
      <c r="B398" t="s">
        <v>1223</v>
      </c>
      <c r="C398" t="s">
        <v>1117</v>
      </c>
      <c r="D398" t="s">
        <v>97</v>
      </c>
      <c r="E398">
        <v>2339</v>
      </c>
      <c r="F398" s="1">
        <v>46175</v>
      </c>
      <c r="G398" t="s">
        <v>1221</v>
      </c>
      <c r="H398" t="s">
        <v>1210</v>
      </c>
      <c r="I398">
        <v>9.57</v>
      </c>
      <c r="J398">
        <v>92</v>
      </c>
      <c r="K398">
        <v>122</v>
      </c>
      <c r="L398" t="s">
        <v>1210</v>
      </c>
      <c r="M398">
        <v>2</v>
      </c>
    </row>
    <row r="399" spans="1:13" x14ac:dyDescent="0.45">
      <c r="A399" t="s">
        <v>511</v>
      </c>
      <c r="B399" t="s">
        <v>1217</v>
      </c>
      <c r="C399" t="s">
        <v>1120</v>
      </c>
      <c r="D399" t="s">
        <v>1131</v>
      </c>
      <c r="E399">
        <v>1691</v>
      </c>
      <c r="F399" s="1">
        <v>46175</v>
      </c>
      <c r="G399" t="s">
        <v>1219</v>
      </c>
      <c r="H399" t="s">
        <v>1210</v>
      </c>
      <c r="I399">
        <v>11.96</v>
      </c>
      <c r="J399">
        <v>101</v>
      </c>
      <c r="K399">
        <v>90</v>
      </c>
      <c r="L399" t="s">
        <v>1210</v>
      </c>
      <c r="M399">
        <v>2</v>
      </c>
    </row>
    <row r="400" spans="1:13" x14ac:dyDescent="0.45">
      <c r="A400" t="s">
        <v>512</v>
      </c>
      <c r="B400" t="s">
        <v>1223</v>
      </c>
      <c r="C400" t="s">
        <v>1127</v>
      </c>
      <c r="D400" t="s">
        <v>95</v>
      </c>
      <c r="E400">
        <v>1401</v>
      </c>
      <c r="F400" s="1">
        <v>46174</v>
      </c>
      <c r="G400" t="s">
        <v>1219</v>
      </c>
      <c r="H400" t="s">
        <v>1210</v>
      </c>
      <c r="I400">
        <v>14.82</v>
      </c>
      <c r="J400">
        <v>132</v>
      </c>
      <c r="K400">
        <v>373</v>
      </c>
      <c r="L400" t="s">
        <v>1210</v>
      </c>
      <c r="M400">
        <v>3</v>
      </c>
    </row>
    <row r="401" spans="1:13" x14ac:dyDescent="0.45">
      <c r="A401" t="s">
        <v>513</v>
      </c>
      <c r="B401" t="s">
        <v>1223</v>
      </c>
      <c r="C401" t="s">
        <v>1121</v>
      </c>
      <c r="D401" t="s">
        <v>8</v>
      </c>
      <c r="E401">
        <v>2037</v>
      </c>
      <c r="F401" s="1">
        <v>46175</v>
      </c>
      <c r="G401" t="s">
        <v>1219</v>
      </c>
      <c r="H401" t="s">
        <v>1210</v>
      </c>
      <c r="I401">
        <v>5.25</v>
      </c>
      <c r="J401">
        <v>76</v>
      </c>
      <c r="K401">
        <v>104</v>
      </c>
      <c r="L401" t="s">
        <v>1210</v>
      </c>
      <c r="M401">
        <v>2</v>
      </c>
    </row>
    <row r="402" spans="1:13" x14ac:dyDescent="0.45">
      <c r="A402" t="s">
        <v>514</v>
      </c>
      <c r="B402" t="s">
        <v>1225</v>
      </c>
      <c r="C402" t="s">
        <v>1118</v>
      </c>
      <c r="D402" t="s">
        <v>78</v>
      </c>
      <c r="E402">
        <v>1884</v>
      </c>
      <c r="F402" s="1">
        <v>46174</v>
      </c>
      <c r="G402" t="s">
        <v>1219</v>
      </c>
      <c r="H402" t="s">
        <v>1210</v>
      </c>
      <c r="I402">
        <v>11.26</v>
      </c>
      <c r="J402">
        <v>129</v>
      </c>
      <c r="K402">
        <v>24</v>
      </c>
      <c r="L402" t="s">
        <v>1210</v>
      </c>
      <c r="M402">
        <v>3</v>
      </c>
    </row>
    <row r="403" spans="1:13" x14ac:dyDescent="0.45">
      <c r="A403" t="s">
        <v>515</v>
      </c>
      <c r="B403" t="s">
        <v>1225</v>
      </c>
      <c r="C403" t="s">
        <v>1123</v>
      </c>
      <c r="D403" t="s">
        <v>1144</v>
      </c>
      <c r="E403">
        <v>3193</v>
      </c>
      <c r="F403" s="1">
        <v>46176</v>
      </c>
      <c r="G403" t="s">
        <v>1219</v>
      </c>
      <c r="H403" t="s">
        <v>1210</v>
      </c>
      <c r="L403" t="s">
        <v>1353</v>
      </c>
      <c r="M403">
        <v>1</v>
      </c>
    </row>
    <row r="404" spans="1:13" x14ac:dyDescent="0.45">
      <c r="A404" t="s">
        <v>516</v>
      </c>
      <c r="B404" t="s">
        <v>1223</v>
      </c>
      <c r="C404" t="s">
        <v>1124</v>
      </c>
      <c r="D404" t="s">
        <v>78</v>
      </c>
      <c r="E404">
        <v>2029</v>
      </c>
      <c r="F404" s="1">
        <v>46176</v>
      </c>
      <c r="G404" t="s">
        <v>1219</v>
      </c>
      <c r="H404" t="s">
        <v>1210</v>
      </c>
      <c r="I404">
        <v>11.26</v>
      </c>
      <c r="J404">
        <v>129</v>
      </c>
      <c r="K404">
        <v>24</v>
      </c>
      <c r="L404" t="s">
        <v>1210</v>
      </c>
      <c r="M404">
        <v>1</v>
      </c>
    </row>
    <row r="405" spans="1:13" x14ac:dyDescent="0.45">
      <c r="A405" t="s">
        <v>517</v>
      </c>
      <c r="B405" t="s">
        <v>1217</v>
      </c>
      <c r="C405" t="s">
        <v>1115</v>
      </c>
      <c r="D405" t="s">
        <v>10</v>
      </c>
      <c r="E405">
        <v>536</v>
      </c>
      <c r="F405" s="1">
        <v>46175</v>
      </c>
      <c r="G405" t="s">
        <v>1219</v>
      </c>
      <c r="H405" t="s">
        <v>1210</v>
      </c>
      <c r="I405">
        <v>14.2</v>
      </c>
      <c r="J405">
        <v>95</v>
      </c>
      <c r="K405">
        <v>277</v>
      </c>
      <c r="L405" t="s">
        <v>1210</v>
      </c>
      <c r="M405">
        <v>2</v>
      </c>
    </row>
    <row r="406" spans="1:13" x14ac:dyDescent="0.45">
      <c r="A406" t="s">
        <v>518</v>
      </c>
      <c r="B406" t="s">
        <v>1223</v>
      </c>
      <c r="C406" t="s">
        <v>1121</v>
      </c>
      <c r="D406" t="s">
        <v>97</v>
      </c>
      <c r="E406">
        <v>1026</v>
      </c>
      <c r="F406" s="1">
        <v>46176</v>
      </c>
      <c r="G406" t="s">
        <v>1219</v>
      </c>
      <c r="H406" t="s">
        <v>1210</v>
      </c>
      <c r="I406">
        <v>9.57</v>
      </c>
      <c r="J406">
        <v>92</v>
      </c>
      <c r="K406">
        <v>122</v>
      </c>
      <c r="L406" t="s">
        <v>1210</v>
      </c>
      <c r="M406">
        <v>1</v>
      </c>
    </row>
    <row r="407" spans="1:13" x14ac:dyDescent="0.45">
      <c r="A407" t="s">
        <v>519</v>
      </c>
      <c r="B407" t="s">
        <v>1223</v>
      </c>
      <c r="C407" t="s">
        <v>1124</v>
      </c>
      <c r="D407" t="s">
        <v>53</v>
      </c>
      <c r="E407">
        <v>1912</v>
      </c>
      <c r="F407" s="1">
        <v>46176</v>
      </c>
      <c r="G407" t="s">
        <v>1219</v>
      </c>
      <c r="H407" t="s">
        <v>1210</v>
      </c>
      <c r="I407">
        <v>10.029999999999999</v>
      </c>
      <c r="J407">
        <v>126</v>
      </c>
      <c r="K407">
        <v>17</v>
      </c>
      <c r="L407" t="s">
        <v>1210</v>
      </c>
      <c r="M407">
        <v>1</v>
      </c>
    </row>
    <row r="408" spans="1:13" x14ac:dyDescent="0.45">
      <c r="A408" t="s">
        <v>520</v>
      </c>
      <c r="B408" t="s">
        <v>1217</v>
      </c>
      <c r="C408" t="s">
        <v>1116</v>
      </c>
      <c r="D408" t="s">
        <v>1135</v>
      </c>
      <c r="E408">
        <v>1731</v>
      </c>
      <c r="F408" s="1">
        <v>46173</v>
      </c>
      <c r="G408" t="s">
        <v>1221</v>
      </c>
      <c r="H408" t="s">
        <v>1210</v>
      </c>
      <c r="I408">
        <v>13.31</v>
      </c>
      <c r="J408">
        <v>89</v>
      </c>
      <c r="K408">
        <v>313</v>
      </c>
      <c r="L408" t="s">
        <v>1210</v>
      </c>
      <c r="M408">
        <v>4</v>
      </c>
    </row>
    <row r="409" spans="1:13" x14ac:dyDescent="0.45">
      <c r="A409" t="s">
        <v>521</v>
      </c>
      <c r="B409" t="s">
        <v>1217</v>
      </c>
      <c r="C409" t="s">
        <v>1114</v>
      </c>
      <c r="D409" t="s">
        <v>49</v>
      </c>
      <c r="E409">
        <v>399</v>
      </c>
      <c r="F409" s="1">
        <v>46176</v>
      </c>
      <c r="G409" t="s">
        <v>1219</v>
      </c>
      <c r="H409" t="s">
        <v>1210</v>
      </c>
      <c r="I409">
        <v>21.99</v>
      </c>
      <c r="J409">
        <v>67</v>
      </c>
      <c r="K409">
        <v>213</v>
      </c>
      <c r="L409" t="s">
        <v>1210</v>
      </c>
      <c r="M409">
        <v>1</v>
      </c>
    </row>
    <row r="410" spans="1:13" x14ac:dyDescent="0.45">
      <c r="A410" t="s">
        <v>522</v>
      </c>
      <c r="B410" t="s">
        <v>1223</v>
      </c>
      <c r="C410" t="s">
        <v>1122</v>
      </c>
      <c r="D410" t="s">
        <v>52</v>
      </c>
      <c r="E410">
        <v>2097</v>
      </c>
      <c r="F410" s="1">
        <v>46176</v>
      </c>
      <c r="G410" t="s">
        <v>1219</v>
      </c>
      <c r="H410" t="s">
        <v>1210</v>
      </c>
      <c r="I410">
        <v>11.01</v>
      </c>
      <c r="J410">
        <v>98</v>
      </c>
      <c r="K410">
        <v>16</v>
      </c>
      <c r="L410" t="s">
        <v>1210</v>
      </c>
      <c r="M410">
        <v>1</v>
      </c>
    </row>
    <row r="411" spans="1:13" x14ac:dyDescent="0.45">
      <c r="A411" t="s">
        <v>523</v>
      </c>
      <c r="B411" t="s">
        <v>1217</v>
      </c>
      <c r="C411" t="s">
        <v>1126</v>
      </c>
      <c r="D411" t="s">
        <v>1137</v>
      </c>
      <c r="E411">
        <v>2102</v>
      </c>
      <c r="F411" s="1">
        <v>46176</v>
      </c>
      <c r="G411" t="s">
        <v>1219</v>
      </c>
      <c r="H411" t="s">
        <v>1210</v>
      </c>
      <c r="I411">
        <v>10.96</v>
      </c>
      <c r="J411">
        <v>128</v>
      </c>
      <c r="K411">
        <v>520</v>
      </c>
      <c r="L411" t="s">
        <v>1210</v>
      </c>
      <c r="M411">
        <v>1</v>
      </c>
    </row>
    <row r="412" spans="1:13" x14ac:dyDescent="0.45">
      <c r="A412" t="s">
        <v>524</v>
      </c>
      <c r="B412" t="s">
        <v>1223</v>
      </c>
      <c r="C412" t="s">
        <v>1127</v>
      </c>
      <c r="D412" t="s">
        <v>89</v>
      </c>
      <c r="E412">
        <v>1567</v>
      </c>
      <c r="F412" s="1">
        <v>46175</v>
      </c>
      <c r="G412" t="s">
        <v>1219</v>
      </c>
      <c r="H412" t="s">
        <v>1210</v>
      </c>
      <c r="I412">
        <v>13.67</v>
      </c>
      <c r="J412">
        <v>78</v>
      </c>
      <c r="K412">
        <v>247</v>
      </c>
      <c r="L412" t="s">
        <v>1210</v>
      </c>
      <c r="M412">
        <v>2</v>
      </c>
    </row>
    <row r="413" spans="1:13" x14ac:dyDescent="0.45">
      <c r="A413" t="s">
        <v>525</v>
      </c>
      <c r="B413" t="s">
        <v>1225</v>
      </c>
      <c r="C413" t="s">
        <v>1123</v>
      </c>
      <c r="D413" t="s">
        <v>52</v>
      </c>
      <c r="E413">
        <v>1701</v>
      </c>
      <c r="F413" s="1">
        <v>46176</v>
      </c>
      <c r="G413" t="s">
        <v>1219</v>
      </c>
      <c r="H413" t="s">
        <v>1210</v>
      </c>
      <c r="I413">
        <v>11.01</v>
      </c>
      <c r="J413">
        <v>98</v>
      </c>
      <c r="K413">
        <v>16</v>
      </c>
      <c r="L413" t="s">
        <v>1210</v>
      </c>
      <c r="M413">
        <v>1</v>
      </c>
    </row>
    <row r="414" spans="1:13" x14ac:dyDescent="0.45">
      <c r="A414" t="s">
        <v>526</v>
      </c>
      <c r="B414" t="s">
        <v>1223</v>
      </c>
      <c r="C414" t="s">
        <v>1127</v>
      </c>
      <c r="D414" t="s">
        <v>89</v>
      </c>
      <c r="E414">
        <v>1685</v>
      </c>
      <c r="F414" s="1">
        <v>46174</v>
      </c>
      <c r="G414" t="s">
        <v>1219</v>
      </c>
      <c r="H414" t="s">
        <v>1210</v>
      </c>
      <c r="I414">
        <v>13.67</v>
      </c>
      <c r="J414">
        <v>78</v>
      </c>
      <c r="K414">
        <v>247</v>
      </c>
      <c r="L414" t="s">
        <v>1210</v>
      </c>
      <c r="M414">
        <v>3</v>
      </c>
    </row>
    <row r="415" spans="1:13" x14ac:dyDescent="0.45">
      <c r="A415" t="s">
        <v>527</v>
      </c>
      <c r="B415" t="s">
        <v>1217</v>
      </c>
      <c r="C415" t="s">
        <v>1115</v>
      </c>
      <c r="D415" t="s">
        <v>97</v>
      </c>
      <c r="E415">
        <v>2057</v>
      </c>
      <c r="F415" s="1">
        <v>46175</v>
      </c>
      <c r="G415" t="s">
        <v>1219</v>
      </c>
      <c r="H415" t="s">
        <v>1210</v>
      </c>
      <c r="I415">
        <v>9.57</v>
      </c>
      <c r="J415">
        <v>92</v>
      </c>
      <c r="K415">
        <v>122</v>
      </c>
      <c r="L415" t="s">
        <v>1210</v>
      </c>
      <c r="M415">
        <v>2</v>
      </c>
    </row>
    <row r="416" spans="1:13" x14ac:dyDescent="0.45">
      <c r="A416" t="s">
        <v>528</v>
      </c>
      <c r="B416" t="s">
        <v>1217</v>
      </c>
      <c r="C416" t="s">
        <v>1116</v>
      </c>
      <c r="D416" t="s">
        <v>92</v>
      </c>
      <c r="E416">
        <v>2083</v>
      </c>
      <c r="F416" s="1">
        <v>46159</v>
      </c>
      <c r="G416" t="s">
        <v>1219</v>
      </c>
      <c r="H416" t="s">
        <v>1210</v>
      </c>
      <c r="I416">
        <v>10.9</v>
      </c>
      <c r="J416">
        <v>131</v>
      </c>
      <c r="K416">
        <v>22</v>
      </c>
      <c r="L416" t="s">
        <v>1210</v>
      </c>
      <c r="M416">
        <v>18</v>
      </c>
    </row>
    <row r="417" spans="1:13" x14ac:dyDescent="0.45">
      <c r="A417" t="s">
        <v>529</v>
      </c>
      <c r="B417" t="s">
        <v>1217</v>
      </c>
      <c r="C417" t="s">
        <v>1114</v>
      </c>
      <c r="D417" t="s">
        <v>97</v>
      </c>
      <c r="E417">
        <v>752</v>
      </c>
      <c r="F417" s="1">
        <v>46175</v>
      </c>
      <c r="G417" t="s">
        <v>1219</v>
      </c>
      <c r="H417" t="s">
        <v>1210</v>
      </c>
      <c r="I417">
        <v>9.57</v>
      </c>
      <c r="J417">
        <v>92</v>
      </c>
      <c r="K417">
        <v>122</v>
      </c>
      <c r="L417" t="s">
        <v>1210</v>
      </c>
      <c r="M417">
        <v>2</v>
      </c>
    </row>
    <row r="418" spans="1:13" x14ac:dyDescent="0.45">
      <c r="A418" t="s">
        <v>530</v>
      </c>
      <c r="B418" t="s">
        <v>1223</v>
      </c>
      <c r="C418" t="s">
        <v>1124</v>
      </c>
      <c r="D418" t="s">
        <v>91</v>
      </c>
      <c r="E418">
        <v>882</v>
      </c>
      <c r="F418" s="1">
        <v>46176</v>
      </c>
      <c r="G418" t="s">
        <v>1219</v>
      </c>
      <c r="H418" t="s">
        <v>1210</v>
      </c>
      <c r="I418">
        <v>13.9</v>
      </c>
      <c r="J418">
        <v>69</v>
      </c>
      <c r="K418">
        <v>106</v>
      </c>
      <c r="L418" t="s">
        <v>1210</v>
      </c>
      <c r="M418">
        <v>1</v>
      </c>
    </row>
    <row r="419" spans="1:13" x14ac:dyDescent="0.45">
      <c r="A419" t="s">
        <v>531</v>
      </c>
      <c r="B419" t="s">
        <v>1225</v>
      </c>
      <c r="C419" t="s">
        <v>1119</v>
      </c>
      <c r="D419" t="s">
        <v>22</v>
      </c>
      <c r="E419">
        <v>1828</v>
      </c>
      <c r="F419" s="1">
        <v>46174</v>
      </c>
      <c r="G419" t="s">
        <v>1219</v>
      </c>
      <c r="H419" t="s">
        <v>1210</v>
      </c>
      <c r="I419">
        <v>5.27</v>
      </c>
      <c r="J419">
        <v>60</v>
      </c>
      <c r="K419">
        <v>129</v>
      </c>
      <c r="L419" t="s">
        <v>1210</v>
      </c>
      <c r="M419">
        <v>3</v>
      </c>
    </row>
    <row r="420" spans="1:13" x14ac:dyDescent="0.45">
      <c r="A420" t="s">
        <v>532</v>
      </c>
      <c r="B420" t="s">
        <v>1223</v>
      </c>
      <c r="C420" t="s">
        <v>1121</v>
      </c>
      <c r="D420" t="s">
        <v>29</v>
      </c>
      <c r="E420">
        <v>1567</v>
      </c>
      <c r="F420" s="1">
        <v>46175</v>
      </c>
      <c r="G420" t="s">
        <v>1219</v>
      </c>
      <c r="H420" t="s">
        <v>1210</v>
      </c>
      <c r="I420">
        <v>4</v>
      </c>
      <c r="J420">
        <v>58</v>
      </c>
      <c r="K420">
        <v>112</v>
      </c>
      <c r="L420" t="s">
        <v>1210</v>
      </c>
      <c r="M420">
        <v>2</v>
      </c>
    </row>
    <row r="421" spans="1:13" x14ac:dyDescent="0.45">
      <c r="A421" t="s">
        <v>533</v>
      </c>
      <c r="B421" t="s">
        <v>1223</v>
      </c>
      <c r="C421" t="s">
        <v>1117</v>
      </c>
      <c r="D421" t="s">
        <v>105</v>
      </c>
      <c r="E421">
        <v>1262</v>
      </c>
      <c r="F421" s="1">
        <v>46175</v>
      </c>
      <c r="G421" t="s">
        <v>1219</v>
      </c>
      <c r="H421" t="s">
        <v>1210</v>
      </c>
      <c r="I421">
        <v>18.170000000000002</v>
      </c>
      <c r="J421">
        <v>61</v>
      </c>
      <c r="K421">
        <v>188</v>
      </c>
      <c r="L421" t="s">
        <v>1210</v>
      </c>
      <c r="M421">
        <v>2</v>
      </c>
    </row>
    <row r="422" spans="1:13" x14ac:dyDescent="0.45">
      <c r="A422" t="s">
        <v>534</v>
      </c>
      <c r="B422" t="s">
        <v>1225</v>
      </c>
      <c r="C422" t="s">
        <v>1119</v>
      </c>
      <c r="D422" t="s">
        <v>72</v>
      </c>
      <c r="E422">
        <v>1135</v>
      </c>
      <c r="F422" s="1">
        <v>46174</v>
      </c>
      <c r="G422" t="s">
        <v>1219</v>
      </c>
      <c r="H422" t="s">
        <v>1210</v>
      </c>
      <c r="I422">
        <v>19.170000000000002</v>
      </c>
      <c r="J422">
        <v>119</v>
      </c>
      <c r="K422">
        <v>196</v>
      </c>
      <c r="L422" t="s">
        <v>1210</v>
      </c>
      <c r="M422">
        <v>3</v>
      </c>
    </row>
    <row r="423" spans="1:13" x14ac:dyDescent="0.45">
      <c r="A423" t="s">
        <v>535</v>
      </c>
      <c r="B423" t="s">
        <v>1217</v>
      </c>
      <c r="C423" t="s">
        <v>1115</v>
      </c>
      <c r="D423" t="s">
        <v>63</v>
      </c>
      <c r="E423">
        <v>709</v>
      </c>
      <c r="F423" s="1">
        <v>46175</v>
      </c>
      <c r="G423" t="s">
        <v>1221</v>
      </c>
      <c r="H423" t="s">
        <v>1210</v>
      </c>
      <c r="I423">
        <v>4.29</v>
      </c>
      <c r="J423">
        <v>44</v>
      </c>
      <c r="K423">
        <v>111</v>
      </c>
      <c r="L423" t="s">
        <v>1210</v>
      </c>
      <c r="M423">
        <v>2</v>
      </c>
    </row>
    <row r="424" spans="1:13" x14ac:dyDescent="0.45">
      <c r="A424" t="s">
        <v>536</v>
      </c>
      <c r="B424" t="s">
        <v>1225</v>
      </c>
      <c r="C424" t="s">
        <v>1118</v>
      </c>
      <c r="D424" t="s">
        <v>65</v>
      </c>
      <c r="E424">
        <v>2325</v>
      </c>
      <c r="F424" s="1">
        <v>46176</v>
      </c>
      <c r="G424" t="s">
        <v>1219</v>
      </c>
      <c r="H424" t="s">
        <v>1210</v>
      </c>
      <c r="I424">
        <v>9.8000000000000007</v>
      </c>
      <c r="J424">
        <v>83</v>
      </c>
      <c r="K424">
        <v>15</v>
      </c>
      <c r="L424" t="s">
        <v>1210</v>
      </c>
      <c r="M424">
        <v>1</v>
      </c>
    </row>
    <row r="425" spans="1:13" x14ac:dyDescent="0.45">
      <c r="A425" t="s">
        <v>537</v>
      </c>
      <c r="B425" t="s">
        <v>1225</v>
      </c>
      <c r="C425" t="s">
        <v>1118</v>
      </c>
      <c r="D425" t="s">
        <v>52</v>
      </c>
      <c r="E425">
        <v>623</v>
      </c>
      <c r="F425" s="1">
        <v>46176</v>
      </c>
      <c r="G425" t="s">
        <v>1219</v>
      </c>
      <c r="H425" t="s">
        <v>1210</v>
      </c>
      <c r="I425">
        <v>11.01</v>
      </c>
      <c r="J425">
        <v>98</v>
      </c>
      <c r="K425">
        <v>16</v>
      </c>
      <c r="L425" t="s">
        <v>1210</v>
      </c>
      <c r="M425">
        <v>1</v>
      </c>
    </row>
    <row r="426" spans="1:13" x14ac:dyDescent="0.45">
      <c r="A426" t="s">
        <v>538</v>
      </c>
      <c r="B426" t="s">
        <v>1217</v>
      </c>
      <c r="C426" t="s">
        <v>1120</v>
      </c>
      <c r="D426" t="s">
        <v>102</v>
      </c>
      <c r="E426">
        <v>2088</v>
      </c>
      <c r="F426" s="1">
        <v>46176</v>
      </c>
      <c r="G426" t="s">
        <v>1221</v>
      </c>
      <c r="H426" t="s">
        <v>1210</v>
      </c>
      <c r="I426">
        <v>9.9499999999999993</v>
      </c>
      <c r="J426">
        <v>106</v>
      </c>
      <c r="K426">
        <v>376</v>
      </c>
      <c r="L426" t="s">
        <v>1210</v>
      </c>
      <c r="M426">
        <v>1</v>
      </c>
    </row>
    <row r="427" spans="1:13" x14ac:dyDescent="0.45">
      <c r="A427" t="s">
        <v>539</v>
      </c>
      <c r="B427" t="s">
        <v>1225</v>
      </c>
      <c r="C427" t="s">
        <v>1119</v>
      </c>
      <c r="D427" t="s">
        <v>23</v>
      </c>
      <c r="E427">
        <v>2902</v>
      </c>
      <c r="F427" s="1">
        <v>46175</v>
      </c>
      <c r="G427" t="s">
        <v>1219</v>
      </c>
      <c r="H427" t="s">
        <v>1210</v>
      </c>
      <c r="I427">
        <v>7.71</v>
      </c>
      <c r="J427">
        <v>101</v>
      </c>
      <c r="K427">
        <v>23</v>
      </c>
      <c r="L427" t="s">
        <v>1210</v>
      </c>
      <c r="M427">
        <v>2</v>
      </c>
    </row>
    <row r="428" spans="1:13" x14ac:dyDescent="0.45">
      <c r="A428" t="s">
        <v>540</v>
      </c>
      <c r="B428" t="s">
        <v>1225</v>
      </c>
      <c r="C428" t="s">
        <v>1123</v>
      </c>
      <c r="D428" t="s">
        <v>1138</v>
      </c>
      <c r="E428">
        <v>1454</v>
      </c>
      <c r="F428" s="1">
        <v>46176</v>
      </c>
      <c r="G428" t="s">
        <v>1219</v>
      </c>
      <c r="H428" t="s">
        <v>1210</v>
      </c>
      <c r="I428">
        <v>3.92</v>
      </c>
      <c r="J428">
        <v>49</v>
      </c>
      <c r="K428">
        <v>98</v>
      </c>
      <c r="L428" t="s">
        <v>1210</v>
      </c>
      <c r="M428">
        <v>1</v>
      </c>
    </row>
    <row r="429" spans="1:13" x14ac:dyDescent="0.45">
      <c r="A429" t="s">
        <v>541</v>
      </c>
      <c r="B429" t="s">
        <v>1225</v>
      </c>
      <c r="C429" t="s">
        <v>1123</v>
      </c>
      <c r="D429" t="s">
        <v>96</v>
      </c>
      <c r="E429">
        <v>1189</v>
      </c>
      <c r="F429" s="1">
        <v>46176</v>
      </c>
      <c r="G429" t="s">
        <v>1219</v>
      </c>
      <c r="H429" t="s">
        <v>1210</v>
      </c>
      <c r="I429">
        <v>4.43</v>
      </c>
      <c r="J429">
        <v>63</v>
      </c>
      <c r="K429">
        <v>115</v>
      </c>
      <c r="L429" t="s">
        <v>1210</v>
      </c>
      <c r="M429">
        <v>1</v>
      </c>
    </row>
    <row r="430" spans="1:13" x14ac:dyDescent="0.45">
      <c r="A430" t="s">
        <v>542</v>
      </c>
      <c r="B430" t="s">
        <v>1225</v>
      </c>
      <c r="C430" t="s">
        <v>1123</v>
      </c>
      <c r="D430" t="s">
        <v>1132</v>
      </c>
      <c r="E430">
        <v>1337</v>
      </c>
      <c r="F430" s="1">
        <v>46176</v>
      </c>
      <c r="G430" t="s">
        <v>1219</v>
      </c>
      <c r="H430" t="s">
        <v>1210</v>
      </c>
      <c r="I430">
        <v>15.52</v>
      </c>
      <c r="J430">
        <v>121</v>
      </c>
      <c r="K430">
        <v>517</v>
      </c>
      <c r="L430" t="s">
        <v>1210</v>
      </c>
      <c r="M430">
        <v>1</v>
      </c>
    </row>
    <row r="431" spans="1:13" x14ac:dyDescent="0.45">
      <c r="A431" t="s">
        <v>543</v>
      </c>
      <c r="B431" t="s">
        <v>1225</v>
      </c>
      <c r="C431" t="s">
        <v>1125</v>
      </c>
      <c r="D431" t="s">
        <v>108</v>
      </c>
      <c r="E431">
        <v>964</v>
      </c>
      <c r="F431" s="1">
        <v>46175</v>
      </c>
      <c r="G431" t="s">
        <v>1219</v>
      </c>
      <c r="H431" t="s">
        <v>1210</v>
      </c>
      <c r="I431">
        <v>19.95</v>
      </c>
      <c r="J431">
        <v>78</v>
      </c>
      <c r="K431">
        <v>276</v>
      </c>
      <c r="L431" t="s">
        <v>1210</v>
      </c>
      <c r="M431">
        <v>2</v>
      </c>
    </row>
    <row r="432" spans="1:13" x14ac:dyDescent="0.45">
      <c r="A432" t="s">
        <v>544</v>
      </c>
      <c r="B432" t="s">
        <v>1217</v>
      </c>
      <c r="C432" t="s">
        <v>1114</v>
      </c>
      <c r="D432" t="s">
        <v>56</v>
      </c>
      <c r="E432">
        <v>604</v>
      </c>
      <c r="F432" s="1">
        <v>46173</v>
      </c>
      <c r="G432" t="s">
        <v>1219</v>
      </c>
      <c r="H432" t="s">
        <v>1210</v>
      </c>
      <c r="I432">
        <v>6.27</v>
      </c>
      <c r="J432">
        <v>67</v>
      </c>
      <c r="K432">
        <v>90</v>
      </c>
      <c r="L432" t="s">
        <v>1210</v>
      </c>
      <c r="M432">
        <v>4</v>
      </c>
    </row>
    <row r="433" spans="1:13" x14ac:dyDescent="0.45">
      <c r="A433" t="s">
        <v>545</v>
      </c>
      <c r="B433" t="s">
        <v>1223</v>
      </c>
      <c r="C433" t="s">
        <v>1117</v>
      </c>
      <c r="D433" t="s">
        <v>56</v>
      </c>
      <c r="E433">
        <v>1794</v>
      </c>
      <c r="F433" s="1">
        <v>46176</v>
      </c>
      <c r="G433" t="s">
        <v>1219</v>
      </c>
      <c r="H433" t="s">
        <v>1210</v>
      </c>
      <c r="I433">
        <v>6.27</v>
      </c>
      <c r="J433">
        <v>67</v>
      </c>
      <c r="K433">
        <v>90</v>
      </c>
      <c r="L433" t="s">
        <v>1210</v>
      </c>
      <c r="M433">
        <v>1</v>
      </c>
    </row>
    <row r="434" spans="1:13" x14ac:dyDescent="0.45">
      <c r="A434" t="s">
        <v>546</v>
      </c>
      <c r="B434" t="s">
        <v>1225</v>
      </c>
      <c r="C434" t="s">
        <v>1119</v>
      </c>
      <c r="D434" t="s">
        <v>50</v>
      </c>
      <c r="E434">
        <v>755</v>
      </c>
      <c r="F434" s="1">
        <v>46174</v>
      </c>
      <c r="G434" t="s">
        <v>1219</v>
      </c>
      <c r="H434" t="s">
        <v>1210</v>
      </c>
      <c r="I434">
        <v>9.02</v>
      </c>
      <c r="J434">
        <v>114</v>
      </c>
      <c r="K434">
        <v>18</v>
      </c>
      <c r="L434" t="s">
        <v>1210</v>
      </c>
      <c r="M434">
        <v>3</v>
      </c>
    </row>
    <row r="435" spans="1:13" x14ac:dyDescent="0.45">
      <c r="A435" t="s">
        <v>547</v>
      </c>
      <c r="B435" t="s">
        <v>1217</v>
      </c>
      <c r="C435" t="s">
        <v>1126</v>
      </c>
      <c r="D435" t="s">
        <v>99</v>
      </c>
      <c r="E435">
        <v>847</v>
      </c>
      <c r="F435" s="1">
        <v>46176</v>
      </c>
      <c r="G435" t="s">
        <v>1219</v>
      </c>
      <c r="H435" t="s">
        <v>1210</v>
      </c>
      <c r="I435">
        <v>4.26</v>
      </c>
      <c r="J435">
        <v>68</v>
      </c>
      <c r="K435">
        <v>117</v>
      </c>
      <c r="L435" t="s">
        <v>1210</v>
      </c>
      <c r="M435">
        <v>1</v>
      </c>
    </row>
    <row r="436" spans="1:13" x14ac:dyDescent="0.45">
      <c r="A436" t="s">
        <v>548</v>
      </c>
      <c r="B436" t="s">
        <v>1223</v>
      </c>
      <c r="C436" t="s">
        <v>1124</v>
      </c>
      <c r="D436" t="s">
        <v>1130</v>
      </c>
      <c r="E436">
        <v>659</v>
      </c>
      <c r="F436" s="1">
        <v>46176</v>
      </c>
      <c r="G436" t="s">
        <v>1219</v>
      </c>
      <c r="H436" t="s">
        <v>1210</v>
      </c>
      <c r="I436">
        <v>12.51</v>
      </c>
      <c r="J436">
        <v>73</v>
      </c>
      <c r="K436">
        <v>75</v>
      </c>
      <c r="L436" t="s">
        <v>1210</v>
      </c>
      <c r="M436">
        <v>1</v>
      </c>
    </row>
    <row r="437" spans="1:13" x14ac:dyDescent="0.45">
      <c r="A437" t="s">
        <v>549</v>
      </c>
      <c r="B437" t="s">
        <v>1223</v>
      </c>
      <c r="C437" t="s">
        <v>1124</v>
      </c>
      <c r="D437" t="s">
        <v>22</v>
      </c>
      <c r="E437">
        <v>794</v>
      </c>
      <c r="F437" s="1">
        <v>46176</v>
      </c>
      <c r="G437" t="s">
        <v>1219</v>
      </c>
      <c r="H437" t="s">
        <v>1210</v>
      </c>
      <c r="I437">
        <v>5.27</v>
      </c>
      <c r="J437">
        <v>60</v>
      </c>
      <c r="K437">
        <v>129</v>
      </c>
      <c r="L437" t="s">
        <v>1210</v>
      </c>
      <c r="M437">
        <v>1</v>
      </c>
    </row>
    <row r="438" spans="1:13" x14ac:dyDescent="0.45">
      <c r="A438" t="s">
        <v>550</v>
      </c>
      <c r="B438" t="s">
        <v>1223</v>
      </c>
      <c r="C438" t="s">
        <v>1124</v>
      </c>
      <c r="D438" t="s">
        <v>74</v>
      </c>
      <c r="E438">
        <v>1614</v>
      </c>
      <c r="F438" s="1">
        <v>46176</v>
      </c>
      <c r="G438" t="s">
        <v>1219</v>
      </c>
      <c r="H438" t="s">
        <v>1210</v>
      </c>
      <c r="I438">
        <v>12.77</v>
      </c>
      <c r="J438">
        <v>96</v>
      </c>
      <c r="K438">
        <v>122</v>
      </c>
      <c r="L438" t="s">
        <v>1210</v>
      </c>
      <c r="M438">
        <v>1</v>
      </c>
    </row>
    <row r="439" spans="1:13" x14ac:dyDescent="0.45">
      <c r="A439" t="s">
        <v>551</v>
      </c>
      <c r="B439" t="s">
        <v>1223</v>
      </c>
      <c r="C439" t="s">
        <v>1121</v>
      </c>
      <c r="D439" t="s">
        <v>77</v>
      </c>
      <c r="E439">
        <v>3571</v>
      </c>
      <c r="F439" s="1">
        <v>46176</v>
      </c>
      <c r="G439" t="s">
        <v>1219</v>
      </c>
      <c r="H439" t="s">
        <v>1210</v>
      </c>
      <c r="I439">
        <v>6.1</v>
      </c>
      <c r="J439">
        <v>137</v>
      </c>
      <c r="K439">
        <v>17</v>
      </c>
      <c r="L439" t="s">
        <v>1210</v>
      </c>
      <c r="M439">
        <v>1</v>
      </c>
    </row>
    <row r="440" spans="1:13" x14ac:dyDescent="0.45">
      <c r="A440" t="s">
        <v>552</v>
      </c>
      <c r="B440" t="s">
        <v>1225</v>
      </c>
      <c r="C440" t="s">
        <v>1125</v>
      </c>
      <c r="D440" t="s">
        <v>91</v>
      </c>
      <c r="E440">
        <v>1397</v>
      </c>
      <c r="F440" s="1">
        <v>46173</v>
      </c>
      <c r="G440" t="s">
        <v>1219</v>
      </c>
      <c r="H440" t="s">
        <v>1210</v>
      </c>
      <c r="I440">
        <v>13.9</v>
      </c>
      <c r="J440">
        <v>69</v>
      </c>
      <c r="K440">
        <v>106</v>
      </c>
      <c r="L440" t="s">
        <v>1210</v>
      </c>
      <c r="M440">
        <v>4</v>
      </c>
    </row>
    <row r="441" spans="1:13" x14ac:dyDescent="0.45">
      <c r="A441" t="s">
        <v>553</v>
      </c>
      <c r="B441" t="s">
        <v>1225</v>
      </c>
      <c r="C441" t="s">
        <v>1125</v>
      </c>
      <c r="D441" t="s">
        <v>87</v>
      </c>
      <c r="E441">
        <v>394</v>
      </c>
      <c r="F441" s="1">
        <v>46176</v>
      </c>
      <c r="G441" t="s">
        <v>1219</v>
      </c>
      <c r="H441" t="s">
        <v>1210</v>
      </c>
      <c r="I441">
        <v>17.28</v>
      </c>
      <c r="J441">
        <v>97</v>
      </c>
      <c r="K441">
        <v>271</v>
      </c>
      <c r="L441" t="s">
        <v>1210</v>
      </c>
      <c r="M441">
        <v>1</v>
      </c>
    </row>
    <row r="442" spans="1:13" x14ac:dyDescent="0.45">
      <c r="A442" t="s">
        <v>554</v>
      </c>
      <c r="B442" t="s">
        <v>1225</v>
      </c>
      <c r="C442" t="s">
        <v>1118</v>
      </c>
      <c r="D442" t="s">
        <v>22</v>
      </c>
      <c r="E442">
        <v>461</v>
      </c>
      <c r="F442" s="1">
        <v>46175</v>
      </c>
      <c r="G442" t="s">
        <v>1219</v>
      </c>
      <c r="H442" t="s">
        <v>1210</v>
      </c>
      <c r="I442">
        <v>5.27</v>
      </c>
      <c r="J442">
        <v>60</v>
      </c>
      <c r="K442">
        <v>129</v>
      </c>
      <c r="L442" t="s">
        <v>1210</v>
      </c>
      <c r="M442">
        <v>2</v>
      </c>
    </row>
    <row r="443" spans="1:13" x14ac:dyDescent="0.45">
      <c r="A443" t="s">
        <v>555</v>
      </c>
      <c r="B443" t="s">
        <v>1225</v>
      </c>
      <c r="C443" t="s">
        <v>1119</v>
      </c>
      <c r="D443" t="s">
        <v>52</v>
      </c>
      <c r="E443">
        <v>1743</v>
      </c>
      <c r="F443" s="1">
        <v>46174</v>
      </c>
      <c r="G443" t="s">
        <v>1221</v>
      </c>
      <c r="H443" t="s">
        <v>1210</v>
      </c>
      <c r="I443">
        <v>11.01</v>
      </c>
      <c r="J443">
        <v>98</v>
      </c>
      <c r="K443">
        <v>16</v>
      </c>
      <c r="L443" t="s">
        <v>1210</v>
      </c>
      <c r="M443">
        <v>3</v>
      </c>
    </row>
    <row r="444" spans="1:13" x14ac:dyDescent="0.45">
      <c r="A444" t="s">
        <v>556</v>
      </c>
      <c r="B444" t="s">
        <v>1225</v>
      </c>
      <c r="C444" t="s">
        <v>1119</v>
      </c>
      <c r="D444" t="s">
        <v>89</v>
      </c>
      <c r="E444">
        <v>1480</v>
      </c>
      <c r="F444" s="1">
        <v>46174</v>
      </c>
      <c r="G444" t="s">
        <v>1219</v>
      </c>
      <c r="H444" t="s">
        <v>1210</v>
      </c>
      <c r="I444">
        <v>13.67</v>
      </c>
      <c r="J444">
        <v>78</v>
      </c>
      <c r="K444">
        <v>247</v>
      </c>
      <c r="L444" t="s">
        <v>1210</v>
      </c>
      <c r="M444">
        <v>3</v>
      </c>
    </row>
    <row r="445" spans="1:13" x14ac:dyDescent="0.45">
      <c r="A445" t="s">
        <v>557</v>
      </c>
      <c r="B445" t="s">
        <v>1223</v>
      </c>
      <c r="C445" t="s">
        <v>1121</v>
      </c>
      <c r="D445" t="s">
        <v>80</v>
      </c>
      <c r="E445">
        <v>2141</v>
      </c>
      <c r="F445" s="1">
        <v>46175</v>
      </c>
      <c r="G445" t="s">
        <v>1219</v>
      </c>
      <c r="H445" t="s">
        <v>1210</v>
      </c>
      <c r="I445">
        <v>8.75</v>
      </c>
      <c r="J445">
        <v>123</v>
      </c>
      <c r="K445">
        <v>341</v>
      </c>
      <c r="L445" t="s">
        <v>1210</v>
      </c>
      <c r="M445">
        <v>2</v>
      </c>
    </row>
    <row r="446" spans="1:13" x14ac:dyDescent="0.45">
      <c r="A446" t="s">
        <v>558</v>
      </c>
      <c r="B446" t="s">
        <v>1217</v>
      </c>
      <c r="C446" t="s">
        <v>1116</v>
      </c>
      <c r="D446" t="s">
        <v>45</v>
      </c>
      <c r="E446">
        <v>1270</v>
      </c>
      <c r="F446" s="1">
        <v>46175</v>
      </c>
      <c r="G446" t="s">
        <v>1219</v>
      </c>
      <c r="H446" t="s">
        <v>1210</v>
      </c>
      <c r="I446">
        <v>17.47</v>
      </c>
      <c r="J446">
        <v>65</v>
      </c>
      <c r="K446">
        <v>216</v>
      </c>
      <c r="L446" t="s">
        <v>1210</v>
      </c>
      <c r="M446">
        <v>2</v>
      </c>
    </row>
    <row r="447" spans="1:13" x14ac:dyDescent="0.45">
      <c r="A447" t="s">
        <v>559</v>
      </c>
      <c r="B447" t="s">
        <v>1223</v>
      </c>
      <c r="C447" t="s">
        <v>1122</v>
      </c>
      <c r="D447" t="s">
        <v>35</v>
      </c>
      <c r="E447">
        <v>645</v>
      </c>
      <c r="F447" s="1">
        <v>46176</v>
      </c>
      <c r="G447" t="s">
        <v>1219</v>
      </c>
      <c r="H447" t="s">
        <v>1210</v>
      </c>
      <c r="I447">
        <v>19.18</v>
      </c>
      <c r="J447">
        <v>95</v>
      </c>
      <c r="K447">
        <v>208</v>
      </c>
      <c r="L447" t="s">
        <v>1210</v>
      </c>
      <c r="M447">
        <v>1</v>
      </c>
    </row>
    <row r="448" spans="1:13" x14ac:dyDescent="0.45">
      <c r="A448" t="s">
        <v>560</v>
      </c>
      <c r="B448" t="s">
        <v>1225</v>
      </c>
      <c r="C448" t="s">
        <v>1125</v>
      </c>
      <c r="D448" t="s">
        <v>1145</v>
      </c>
      <c r="E448">
        <v>300</v>
      </c>
      <c r="F448" s="1">
        <v>46175</v>
      </c>
      <c r="G448" t="s">
        <v>1221</v>
      </c>
      <c r="H448" t="s">
        <v>1210</v>
      </c>
      <c r="L448" t="s">
        <v>1353</v>
      </c>
      <c r="M448">
        <v>2</v>
      </c>
    </row>
    <row r="449" spans="1:13" x14ac:dyDescent="0.45">
      <c r="A449" t="s">
        <v>561</v>
      </c>
      <c r="B449" t="s">
        <v>1223</v>
      </c>
      <c r="C449" t="s">
        <v>1122</v>
      </c>
      <c r="D449" t="s">
        <v>1138</v>
      </c>
      <c r="E449">
        <v>1492</v>
      </c>
      <c r="F449" s="1">
        <v>46176</v>
      </c>
      <c r="G449" t="s">
        <v>1219</v>
      </c>
      <c r="H449" t="s">
        <v>1210</v>
      </c>
      <c r="I449">
        <v>3.92</v>
      </c>
      <c r="J449">
        <v>49</v>
      </c>
      <c r="K449">
        <v>98</v>
      </c>
      <c r="L449" t="s">
        <v>1210</v>
      </c>
      <c r="M449">
        <v>1</v>
      </c>
    </row>
    <row r="450" spans="1:13" x14ac:dyDescent="0.45">
      <c r="A450" t="s">
        <v>562</v>
      </c>
      <c r="B450" t="s">
        <v>1225</v>
      </c>
      <c r="C450" t="s">
        <v>1119</v>
      </c>
      <c r="D450" t="s">
        <v>60</v>
      </c>
      <c r="E450">
        <v>2328</v>
      </c>
      <c r="F450" s="1">
        <v>46176</v>
      </c>
      <c r="G450" t="s">
        <v>1219</v>
      </c>
      <c r="H450" t="s">
        <v>1210</v>
      </c>
      <c r="I450">
        <v>3.02</v>
      </c>
      <c r="J450">
        <v>84</v>
      </c>
      <c r="K450">
        <v>111</v>
      </c>
      <c r="L450" t="s">
        <v>1210</v>
      </c>
      <c r="M450">
        <v>1</v>
      </c>
    </row>
    <row r="451" spans="1:13" x14ac:dyDescent="0.45">
      <c r="A451" t="s">
        <v>563</v>
      </c>
      <c r="B451" t="s">
        <v>1217</v>
      </c>
      <c r="C451" t="s">
        <v>1126</v>
      </c>
      <c r="D451" t="s">
        <v>1137</v>
      </c>
      <c r="E451">
        <v>785</v>
      </c>
      <c r="F451" s="1">
        <v>46176</v>
      </c>
      <c r="G451" t="s">
        <v>1221</v>
      </c>
      <c r="H451" t="s">
        <v>1210</v>
      </c>
      <c r="I451">
        <v>10.96</v>
      </c>
      <c r="J451">
        <v>128</v>
      </c>
      <c r="K451">
        <v>520</v>
      </c>
      <c r="L451" t="s">
        <v>1210</v>
      </c>
      <c r="M451">
        <v>1</v>
      </c>
    </row>
    <row r="452" spans="1:13" x14ac:dyDescent="0.45">
      <c r="A452" t="s">
        <v>564</v>
      </c>
      <c r="B452" t="s">
        <v>1217</v>
      </c>
      <c r="C452" t="s">
        <v>1120</v>
      </c>
      <c r="D452" t="s">
        <v>42</v>
      </c>
      <c r="E452">
        <v>3097</v>
      </c>
      <c r="F452" s="1">
        <v>46175</v>
      </c>
      <c r="G452" t="s">
        <v>1219</v>
      </c>
      <c r="H452" t="s">
        <v>1210</v>
      </c>
      <c r="I452">
        <v>7.45</v>
      </c>
      <c r="J452">
        <v>147</v>
      </c>
      <c r="K452">
        <v>28</v>
      </c>
      <c r="L452" t="s">
        <v>1210</v>
      </c>
      <c r="M452">
        <v>2</v>
      </c>
    </row>
    <row r="453" spans="1:13" x14ac:dyDescent="0.45">
      <c r="A453" t="s">
        <v>565</v>
      </c>
      <c r="B453" t="s">
        <v>1217</v>
      </c>
      <c r="C453" t="s">
        <v>1120</v>
      </c>
      <c r="D453" t="s">
        <v>29</v>
      </c>
      <c r="E453">
        <v>1771</v>
      </c>
      <c r="F453" s="1">
        <v>46176</v>
      </c>
      <c r="G453" t="s">
        <v>1219</v>
      </c>
      <c r="H453" t="s">
        <v>1210</v>
      </c>
      <c r="I453">
        <v>4</v>
      </c>
      <c r="J453">
        <v>58</v>
      </c>
      <c r="K453">
        <v>112</v>
      </c>
      <c r="L453" t="s">
        <v>1210</v>
      </c>
      <c r="M453">
        <v>1</v>
      </c>
    </row>
    <row r="454" spans="1:13" x14ac:dyDescent="0.45">
      <c r="A454" t="s">
        <v>566</v>
      </c>
      <c r="B454" t="s">
        <v>1223</v>
      </c>
      <c r="C454" t="s">
        <v>1122</v>
      </c>
      <c r="D454" t="s">
        <v>1141</v>
      </c>
      <c r="E454">
        <v>664</v>
      </c>
      <c r="F454" s="1">
        <v>46176</v>
      </c>
      <c r="G454" t="s">
        <v>1219</v>
      </c>
      <c r="H454" t="s">
        <v>1210</v>
      </c>
      <c r="J454">
        <v>100</v>
      </c>
      <c r="K454">
        <v>512</v>
      </c>
      <c r="L454" t="s">
        <v>1210</v>
      </c>
      <c r="M454">
        <v>1</v>
      </c>
    </row>
    <row r="455" spans="1:13" x14ac:dyDescent="0.45">
      <c r="A455" t="s">
        <v>567</v>
      </c>
      <c r="B455" t="s">
        <v>1225</v>
      </c>
      <c r="C455" t="s">
        <v>1125</v>
      </c>
      <c r="D455" t="s">
        <v>87</v>
      </c>
      <c r="E455">
        <v>1309</v>
      </c>
      <c r="F455" s="1">
        <v>46174</v>
      </c>
      <c r="G455" t="s">
        <v>1219</v>
      </c>
      <c r="H455" t="s">
        <v>1210</v>
      </c>
      <c r="I455">
        <v>17.28</v>
      </c>
      <c r="J455">
        <v>97</v>
      </c>
      <c r="K455">
        <v>271</v>
      </c>
      <c r="L455" t="s">
        <v>1210</v>
      </c>
      <c r="M455">
        <v>3</v>
      </c>
    </row>
    <row r="456" spans="1:13" x14ac:dyDescent="0.45">
      <c r="A456" t="s">
        <v>568</v>
      </c>
      <c r="B456" t="s">
        <v>1217</v>
      </c>
      <c r="C456" t="s">
        <v>1120</v>
      </c>
      <c r="D456" t="s">
        <v>55</v>
      </c>
      <c r="E456">
        <v>2089</v>
      </c>
      <c r="F456" s="1">
        <v>46175</v>
      </c>
      <c r="G456" t="s">
        <v>1219</v>
      </c>
      <c r="H456" t="s">
        <v>1210</v>
      </c>
      <c r="I456">
        <v>3.48</v>
      </c>
      <c r="J456">
        <v>66</v>
      </c>
      <c r="K456">
        <v>112</v>
      </c>
      <c r="L456" t="s">
        <v>1210</v>
      </c>
      <c r="M456">
        <v>2</v>
      </c>
    </row>
    <row r="457" spans="1:13" x14ac:dyDescent="0.45">
      <c r="A457" t="s">
        <v>569</v>
      </c>
      <c r="B457" t="s">
        <v>1223</v>
      </c>
      <c r="C457" t="s">
        <v>1121</v>
      </c>
      <c r="D457" t="s">
        <v>1131</v>
      </c>
      <c r="E457">
        <v>1886</v>
      </c>
      <c r="F457" s="1">
        <v>46176</v>
      </c>
      <c r="G457" t="s">
        <v>1219</v>
      </c>
      <c r="H457" t="s">
        <v>1210</v>
      </c>
      <c r="I457">
        <v>11.96</v>
      </c>
      <c r="J457">
        <v>101</v>
      </c>
      <c r="K457">
        <v>90</v>
      </c>
      <c r="L457" t="s">
        <v>1210</v>
      </c>
      <c r="M457">
        <v>1</v>
      </c>
    </row>
    <row r="458" spans="1:13" x14ac:dyDescent="0.45">
      <c r="A458" t="s">
        <v>570</v>
      </c>
      <c r="B458" t="s">
        <v>1217</v>
      </c>
      <c r="C458" t="s">
        <v>1116</v>
      </c>
      <c r="D458" t="s">
        <v>101</v>
      </c>
      <c r="E458">
        <v>2004</v>
      </c>
      <c r="F458" s="1">
        <v>46175</v>
      </c>
      <c r="G458" t="s">
        <v>1219</v>
      </c>
      <c r="H458" t="s">
        <v>1210</v>
      </c>
      <c r="I458">
        <v>3.56</v>
      </c>
      <c r="J458">
        <v>64</v>
      </c>
      <c r="K458">
        <v>92</v>
      </c>
      <c r="L458" t="s">
        <v>1210</v>
      </c>
      <c r="M458">
        <v>2</v>
      </c>
    </row>
    <row r="459" spans="1:13" x14ac:dyDescent="0.45">
      <c r="A459" t="s">
        <v>571</v>
      </c>
      <c r="B459" t="s">
        <v>1223</v>
      </c>
      <c r="C459" t="s">
        <v>1127</v>
      </c>
      <c r="D459" t="s">
        <v>54</v>
      </c>
      <c r="E459">
        <v>1786</v>
      </c>
      <c r="F459" s="1">
        <v>46175</v>
      </c>
      <c r="G459" t="s">
        <v>1219</v>
      </c>
      <c r="H459" t="s">
        <v>1210</v>
      </c>
      <c r="I459">
        <v>12.85</v>
      </c>
      <c r="J459">
        <v>91</v>
      </c>
      <c r="K459">
        <v>297</v>
      </c>
      <c r="L459" t="s">
        <v>1210</v>
      </c>
      <c r="M459">
        <v>2</v>
      </c>
    </row>
    <row r="460" spans="1:13" x14ac:dyDescent="0.45">
      <c r="A460" t="s">
        <v>572</v>
      </c>
      <c r="B460" t="s">
        <v>1225</v>
      </c>
      <c r="C460" t="s">
        <v>1125</v>
      </c>
      <c r="D460" t="s">
        <v>97</v>
      </c>
      <c r="E460">
        <v>2394</v>
      </c>
      <c r="F460" s="1">
        <v>46174</v>
      </c>
      <c r="G460" t="s">
        <v>1219</v>
      </c>
      <c r="H460" t="s">
        <v>1210</v>
      </c>
      <c r="I460">
        <v>9.57</v>
      </c>
      <c r="J460">
        <v>92</v>
      </c>
      <c r="K460">
        <v>122</v>
      </c>
      <c r="L460" t="s">
        <v>1210</v>
      </c>
      <c r="M460">
        <v>3</v>
      </c>
    </row>
    <row r="461" spans="1:13" x14ac:dyDescent="0.45">
      <c r="A461" t="s">
        <v>573</v>
      </c>
      <c r="B461" t="s">
        <v>1225</v>
      </c>
      <c r="C461" t="s">
        <v>1125</v>
      </c>
      <c r="D461" t="s">
        <v>30</v>
      </c>
      <c r="E461">
        <v>1737</v>
      </c>
      <c r="F461" s="1">
        <v>46175</v>
      </c>
      <c r="G461" t="s">
        <v>1219</v>
      </c>
      <c r="H461" t="s">
        <v>1210</v>
      </c>
      <c r="I461">
        <v>3.64</v>
      </c>
      <c r="J461">
        <v>62</v>
      </c>
      <c r="K461">
        <v>114</v>
      </c>
      <c r="L461" t="s">
        <v>1210</v>
      </c>
      <c r="M461">
        <v>2</v>
      </c>
    </row>
    <row r="462" spans="1:13" x14ac:dyDescent="0.45">
      <c r="A462" t="s">
        <v>574</v>
      </c>
      <c r="B462" t="s">
        <v>1225</v>
      </c>
      <c r="C462" t="s">
        <v>1118</v>
      </c>
      <c r="D462" t="s">
        <v>45</v>
      </c>
      <c r="E462">
        <v>421</v>
      </c>
      <c r="F462" s="1">
        <v>46176</v>
      </c>
      <c r="G462" t="s">
        <v>1219</v>
      </c>
      <c r="H462" t="s">
        <v>1210</v>
      </c>
      <c r="I462">
        <v>17.47</v>
      </c>
      <c r="J462">
        <v>65</v>
      </c>
      <c r="K462">
        <v>216</v>
      </c>
      <c r="L462" t="s">
        <v>1210</v>
      </c>
      <c r="M462">
        <v>1</v>
      </c>
    </row>
    <row r="463" spans="1:13" x14ac:dyDescent="0.45">
      <c r="A463" t="s">
        <v>575</v>
      </c>
      <c r="B463" t="s">
        <v>1217</v>
      </c>
      <c r="C463" t="s">
        <v>1114</v>
      </c>
      <c r="D463" t="s">
        <v>20</v>
      </c>
      <c r="E463">
        <v>1317</v>
      </c>
      <c r="F463" s="1">
        <v>46175</v>
      </c>
      <c r="G463" t="s">
        <v>1221</v>
      </c>
      <c r="H463" t="s">
        <v>1210</v>
      </c>
      <c r="I463">
        <v>15.66</v>
      </c>
      <c r="J463">
        <v>72</v>
      </c>
      <c r="K463">
        <v>306</v>
      </c>
      <c r="L463" t="s">
        <v>1210</v>
      </c>
      <c r="M463">
        <v>2</v>
      </c>
    </row>
    <row r="464" spans="1:13" x14ac:dyDescent="0.45">
      <c r="A464" t="s">
        <v>576</v>
      </c>
      <c r="B464" t="s">
        <v>1223</v>
      </c>
      <c r="C464" t="s">
        <v>1124</v>
      </c>
      <c r="D464" t="s">
        <v>1131</v>
      </c>
      <c r="E464">
        <v>1580</v>
      </c>
      <c r="F464" s="1">
        <v>46176</v>
      </c>
      <c r="G464" t="s">
        <v>1219</v>
      </c>
      <c r="H464" t="s">
        <v>1210</v>
      </c>
      <c r="I464">
        <v>11.96</v>
      </c>
      <c r="J464">
        <v>101</v>
      </c>
      <c r="K464">
        <v>90</v>
      </c>
      <c r="L464" t="s">
        <v>1210</v>
      </c>
      <c r="M464">
        <v>1</v>
      </c>
    </row>
    <row r="465" spans="1:13" x14ac:dyDescent="0.45">
      <c r="A465" t="s">
        <v>577</v>
      </c>
      <c r="B465" t="s">
        <v>1223</v>
      </c>
      <c r="C465" t="s">
        <v>1121</v>
      </c>
      <c r="D465" t="s">
        <v>45</v>
      </c>
      <c r="E465">
        <v>1170</v>
      </c>
      <c r="F465" s="1">
        <v>46175</v>
      </c>
      <c r="G465" t="s">
        <v>1219</v>
      </c>
      <c r="H465" t="s">
        <v>1210</v>
      </c>
      <c r="I465">
        <v>17.47</v>
      </c>
      <c r="J465">
        <v>65</v>
      </c>
      <c r="K465">
        <v>216</v>
      </c>
      <c r="L465" t="s">
        <v>1210</v>
      </c>
      <c r="M465">
        <v>2</v>
      </c>
    </row>
    <row r="466" spans="1:13" x14ac:dyDescent="0.45">
      <c r="A466" t="s">
        <v>578</v>
      </c>
      <c r="B466" t="s">
        <v>1217</v>
      </c>
      <c r="C466" t="s">
        <v>1116</v>
      </c>
      <c r="D466" t="s">
        <v>19</v>
      </c>
      <c r="E466">
        <v>986</v>
      </c>
      <c r="F466" s="1">
        <v>46176</v>
      </c>
      <c r="G466" t="s">
        <v>1219</v>
      </c>
      <c r="H466" t="s">
        <v>1210</v>
      </c>
      <c r="I466">
        <v>8.0500000000000007</v>
      </c>
      <c r="J466">
        <v>147</v>
      </c>
      <c r="K466">
        <v>28</v>
      </c>
      <c r="L466" t="s">
        <v>1210</v>
      </c>
      <c r="M466">
        <v>1</v>
      </c>
    </row>
    <row r="467" spans="1:13" x14ac:dyDescent="0.45">
      <c r="A467" t="s">
        <v>579</v>
      </c>
      <c r="B467" t="s">
        <v>1217</v>
      </c>
      <c r="C467" t="s">
        <v>1114</v>
      </c>
      <c r="D467" t="s">
        <v>25</v>
      </c>
      <c r="E467">
        <v>1857</v>
      </c>
      <c r="F467" s="1">
        <v>46174</v>
      </c>
      <c r="G467" t="s">
        <v>1219</v>
      </c>
      <c r="H467" t="s">
        <v>1210</v>
      </c>
      <c r="I467">
        <v>10.37</v>
      </c>
      <c r="J467">
        <v>100</v>
      </c>
      <c r="K467">
        <v>24</v>
      </c>
      <c r="L467" t="s">
        <v>1210</v>
      </c>
      <c r="M467">
        <v>3</v>
      </c>
    </row>
    <row r="468" spans="1:13" x14ac:dyDescent="0.45">
      <c r="A468" t="s">
        <v>580</v>
      </c>
      <c r="B468" t="s">
        <v>1223</v>
      </c>
      <c r="C468" t="s">
        <v>1124</v>
      </c>
      <c r="D468" t="s">
        <v>30</v>
      </c>
      <c r="E468">
        <v>1978</v>
      </c>
      <c r="F468" s="1">
        <v>46176</v>
      </c>
      <c r="G468" t="s">
        <v>1219</v>
      </c>
      <c r="H468" t="s">
        <v>1210</v>
      </c>
      <c r="I468">
        <v>3.64</v>
      </c>
      <c r="J468">
        <v>62</v>
      </c>
      <c r="K468">
        <v>114</v>
      </c>
      <c r="L468" t="s">
        <v>1210</v>
      </c>
      <c r="M468">
        <v>1</v>
      </c>
    </row>
    <row r="469" spans="1:13" x14ac:dyDescent="0.45">
      <c r="A469" t="s">
        <v>581</v>
      </c>
      <c r="B469" t="s">
        <v>1217</v>
      </c>
      <c r="C469" t="s">
        <v>1126</v>
      </c>
      <c r="D469" t="s">
        <v>1140</v>
      </c>
      <c r="E469">
        <v>869</v>
      </c>
      <c r="F469" s="1">
        <v>46176</v>
      </c>
      <c r="G469" t="s">
        <v>1219</v>
      </c>
      <c r="H469" t="s">
        <v>1210</v>
      </c>
      <c r="I469">
        <v>11.43</v>
      </c>
      <c r="J469">
        <v>128</v>
      </c>
      <c r="K469">
        <v>530</v>
      </c>
      <c r="L469" t="s">
        <v>1210</v>
      </c>
      <c r="M469">
        <v>1</v>
      </c>
    </row>
    <row r="470" spans="1:13" x14ac:dyDescent="0.45">
      <c r="A470" t="s">
        <v>582</v>
      </c>
      <c r="B470" t="s">
        <v>1217</v>
      </c>
      <c r="C470" t="s">
        <v>1115</v>
      </c>
      <c r="D470" t="s">
        <v>78</v>
      </c>
      <c r="E470">
        <v>1914</v>
      </c>
      <c r="F470" s="1">
        <v>46176</v>
      </c>
      <c r="G470" t="s">
        <v>1219</v>
      </c>
      <c r="H470" t="s">
        <v>1210</v>
      </c>
      <c r="I470">
        <v>11.26</v>
      </c>
      <c r="J470">
        <v>129</v>
      </c>
      <c r="K470">
        <v>24</v>
      </c>
      <c r="L470" t="s">
        <v>1210</v>
      </c>
      <c r="M470">
        <v>1</v>
      </c>
    </row>
    <row r="471" spans="1:13" x14ac:dyDescent="0.45">
      <c r="A471" t="s">
        <v>583</v>
      </c>
      <c r="B471" t="s">
        <v>1225</v>
      </c>
      <c r="C471" t="s">
        <v>1125</v>
      </c>
      <c r="D471" t="s">
        <v>32</v>
      </c>
      <c r="E471">
        <v>466</v>
      </c>
      <c r="F471" s="1">
        <v>46176</v>
      </c>
      <c r="G471" t="s">
        <v>1219</v>
      </c>
      <c r="H471" t="s">
        <v>1210</v>
      </c>
      <c r="I471">
        <v>11.45</v>
      </c>
      <c r="J471">
        <v>93</v>
      </c>
      <c r="K471">
        <v>16</v>
      </c>
      <c r="L471" t="s">
        <v>1210</v>
      </c>
      <c r="M471">
        <v>1</v>
      </c>
    </row>
    <row r="472" spans="1:13" x14ac:dyDescent="0.45">
      <c r="A472" t="s">
        <v>584</v>
      </c>
      <c r="B472" t="s">
        <v>1223</v>
      </c>
      <c r="C472" t="s">
        <v>1127</v>
      </c>
      <c r="D472" t="s">
        <v>108</v>
      </c>
      <c r="E472">
        <v>661</v>
      </c>
      <c r="F472" s="1">
        <v>46175</v>
      </c>
      <c r="G472" t="s">
        <v>1219</v>
      </c>
      <c r="H472" t="s">
        <v>1210</v>
      </c>
      <c r="I472">
        <v>19.95</v>
      </c>
      <c r="J472">
        <v>78</v>
      </c>
      <c r="K472">
        <v>276</v>
      </c>
      <c r="L472" t="s">
        <v>1210</v>
      </c>
      <c r="M472">
        <v>2</v>
      </c>
    </row>
    <row r="473" spans="1:13" x14ac:dyDescent="0.45">
      <c r="A473" t="s">
        <v>585</v>
      </c>
      <c r="B473" t="s">
        <v>1225</v>
      </c>
      <c r="C473" t="s">
        <v>1123</v>
      </c>
      <c r="D473" t="s">
        <v>85</v>
      </c>
      <c r="E473">
        <v>2813</v>
      </c>
      <c r="F473" s="1">
        <v>46174</v>
      </c>
      <c r="G473" t="s">
        <v>1219</v>
      </c>
      <c r="H473" t="s">
        <v>1210</v>
      </c>
      <c r="I473">
        <v>6.87</v>
      </c>
      <c r="J473">
        <v>101</v>
      </c>
      <c r="K473">
        <v>62</v>
      </c>
      <c r="L473" t="s">
        <v>1210</v>
      </c>
      <c r="M473">
        <v>3</v>
      </c>
    </row>
    <row r="474" spans="1:13" x14ac:dyDescent="0.45">
      <c r="A474" t="s">
        <v>586</v>
      </c>
      <c r="B474" t="s">
        <v>1225</v>
      </c>
      <c r="C474" t="s">
        <v>1128</v>
      </c>
      <c r="D474" t="s">
        <v>1129</v>
      </c>
      <c r="E474">
        <v>2543</v>
      </c>
      <c r="F474" s="1">
        <v>46176</v>
      </c>
      <c r="G474" t="s">
        <v>1219</v>
      </c>
      <c r="H474" t="s">
        <v>1210</v>
      </c>
      <c r="I474">
        <v>3.43</v>
      </c>
      <c r="J474">
        <v>88</v>
      </c>
      <c r="K474">
        <v>109</v>
      </c>
      <c r="L474" t="s">
        <v>1210</v>
      </c>
      <c r="M474">
        <v>1</v>
      </c>
    </row>
    <row r="475" spans="1:13" x14ac:dyDescent="0.45">
      <c r="A475" t="s">
        <v>587</v>
      </c>
      <c r="B475" t="s">
        <v>1217</v>
      </c>
      <c r="C475" t="s">
        <v>1116</v>
      </c>
      <c r="D475" t="s">
        <v>1130</v>
      </c>
      <c r="E475">
        <v>1541</v>
      </c>
      <c r="F475" s="1">
        <v>46176</v>
      </c>
      <c r="G475" t="s">
        <v>1219</v>
      </c>
      <c r="H475" t="s">
        <v>1210</v>
      </c>
      <c r="I475">
        <v>12.51</v>
      </c>
      <c r="J475">
        <v>73</v>
      </c>
      <c r="K475">
        <v>75</v>
      </c>
      <c r="L475" t="s">
        <v>1210</v>
      </c>
      <c r="M475">
        <v>1</v>
      </c>
    </row>
    <row r="476" spans="1:13" x14ac:dyDescent="0.45">
      <c r="A476" t="s">
        <v>588</v>
      </c>
      <c r="B476" t="s">
        <v>1225</v>
      </c>
      <c r="C476" t="s">
        <v>1118</v>
      </c>
      <c r="D476" t="s">
        <v>1130</v>
      </c>
      <c r="E476">
        <v>1066</v>
      </c>
      <c r="F476" s="1">
        <v>46173</v>
      </c>
      <c r="G476" t="s">
        <v>1219</v>
      </c>
      <c r="H476" t="s">
        <v>1210</v>
      </c>
      <c r="I476">
        <v>12.51</v>
      </c>
      <c r="J476">
        <v>73</v>
      </c>
      <c r="K476">
        <v>75</v>
      </c>
      <c r="L476" t="s">
        <v>1210</v>
      </c>
      <c r="M476">
        <v>4</v>
      </c>
    </row>
    <row r="477" spans="1:13" x14ac:dyDescent="0.45">
      <c r="A477" t="s">
        <v>589</v>
      </c>
      <c r="B477" t="s">
        <v>1217</v>
      </c>
      <c r="C477" t="s">
        <v>1116</v>
      </c>
      <c r="D477" t="s">
        <v>1138</v>
      </c>
      <c r="E477">
        <v>1350</v>
      </c>
      <c r="F477" s="1">
        <v>46172</v>
      </c>
      <c r="G477" t="s">
        <v>1219</v>
      </c>
      <c r="H477" t="s">
        <v>1210</v>
      </c>
      <c r="I477">
        <v>3.92</v>
      </c>
      <c r="J477">
        <v>49</v>
      </c>
      <c r="K477">
        <v>98</v>
      </c>
      <c r="L477" t="s">
        <v>1210</v>
      </c>
      <c r="M477">
        <v>5</v>
      </c>
    </row>
    <row r="478" spans="1:13" x14ac:dyDescent="0.45">
      <c r="A478" t="s">
        <v>590</v>
      </c>
      <c r="B478" t="s">
        <v>1225</v>
      </c>
      <c r="C478" t="s">
        <v>1125</v>
      </c>
      <c r="D478" t="s">
        <v>83</v>
      </c>
      <c r="E478">
        <v>1534</v>
      </c>
      <c r="F478" s="1">
        <v>46176</v>
      </c>
      <c r="G478" t="s">
        <v>1219</v>
      </c>
      <c r="H478" t="s">
        <v>1210</v>
      </c>
      <c r="I478">
        <v>5.92</v>
      </c>
      <c r="J478">
        <v>57</v>
      </c>
      <c r="K478">
        <v>92</v>
      </c>
      <c r="L478" t="s">
        <v>1210</v>
      </c>
      <c r="M478">
        <v>1</v>
      </c>
    </row>
    <row r="479" spans="1:13" x14ac:dyDescent="0.45">
      <c r="A479" t="s">
        <v>591</v>
      </c>
      <c r="B479" t="s">
        <v>1225</v>
      </c>
      <c r="C479" t="s">
        <v>1119</v>
      </c>
      <c r="D479" t="s">
        <v>18</v>
      </c>
      <c r="E479">
        <v>436</v>
      </c>
      <c r="F479" s="1">
        <v>46174</v>
      </c>
      <c r="G479" t="s">
        <v>1219</v>
      </c>
      <c r="H479" t="s">
        <v>1210</v>
      </c>
      <c r="I479">
        <v>16.489999999999998</v>
      </c>
      <c r="J479">
        <v>102</v>
      </c>
      <c r="K479">
        <v>315</v>
      </c>
      <c r="L479" t="s">
        <v>1210</v>
      </c>
      <c r="M479">
        <v>3</v>
      </c>
    </row>
    <row r="480" spans="1:13" x14ac:dyDescent="0.45">
      <c r="A480" t="s">
        <v>592</v>
      </c>
      <c r="B480" t="s">
        <v>1223</v>
      </c>
      <c r="C480" t="s">
        <v>1121</v>
      </c>
      <c r="D480" t="s">
        <v>108</v>
      </c>
      <c r="E480">
        <v>1086</v>
      </c>
      <c r="F480" s="1">
        <v>46176</v>
      </c>
      <c r="G480" t="s">
        <v>1219</v>
      </c>
      <c r="H480" t="s">
        <v>1210</v>
      </c>
      <c r="I480">
        <v>19.95</v>
      </c>
      <c r="J480">
        <v>78</v>
      </c>
      <c r="K480">
        <v>276</v>
      </c>
      <c r="L480" t="s">
        <v>1210</v>
      </c>
      <c r="M480">
        <v>1</v>
      </c>
    </row>
    <row r="481" spans="1:13" x14ac:dyDescent="0.45">
      <c r="A481" t="s">
        <v>593</v>
      </c>
      <c r="B481" t="s">
        <v>1217</v>
      </c>
      <c r="C481" t="s">
        <v>1115</v>
      </c>
      <c r="D481" t="s">
        <v>53</v>
      </c>
      <c r="E481">
        <v>910</v>
      </c>
      <c r="F481" s="1">
        <v>46176</v>
      </c>
      <c r="G481" t="s">
        <v>1219</v>
      </c>
      <c r="H481" t="s">
        <v>1210</v>
      </c>
      <c r="I481">
        <v>10.029999999999999</v>
      </c>
      <c r="J481">
        <v>126</v>
      </c>
      <c r="K481">
        <v>17</v>
      </c>
      <c r="L481" t="s">
        <v>1210</v>
      </c>
      <c r="M481">
        <v>1</v>
      </c>
    </row>
    <row r="482" spans="1:13" x14ac:dyDescent="0.45">
      <c r="A482" t="s">
        <v>594</v>
      </c>
      <c r="B482" t="s">
        <v>1225</v>
      </c>
      <c r="C482" t="s">
        <v>1119</v>
      </c>
      <c r="D482" t="s">
        <v>55</v>
      </c>
      <c r="E482">
        <v>1868</v>
      </c>
      <c r="F482" s="1">
        <v>46174</v>
      </c>
      <c r="G482" t="s">
        <v>1219</v>
      </c>
      <c r="H482" t="s">
        <v>1210</v>
      </c>
      <c r="I482">
        <v>3.48</v>
      </c>
      <c r="J482">
        <v>66</v>
      </c>
      <c r="K482">
        <v>112</v>
      </c>
      <c r="L482" t="s">
        <v>1210</v>
      </c>
      <c r="M482">
        <v>3</v>
      </c>
    </row>
    <row r="483" spans="1:13" x14ac:dyDescent="0.45">
      <c r="A483" t="s">
        <v>595</v>
      </c>
      <c r="B483" t="s">
        <v>1225</v>
      </c>
      <c r="C483" t="s">
        <v>1128</v>
      </c>
      <c r="D483" t="s">
        <v>31</v>
      </c>
      <c r="E483">
        <v>863</v>
      </c>
      <c r="F483" s="1">
        <v>46175</v>
      </c>
      <c r="G483" t="s">
        <v>1219</v>
      </c>
      <c r="H483" t="s">
        <v>1210</v>
      </c>
      <c r="I483">
        <v>8.67</v>
      </c>
      <c r="J483">
        <v>124</v>
      </c>
      <c r="K483">
        <v>512</v>
      </c>
      <c r="L483" t="s">
        <v>1210</v>
      </c>
      <c r="M483">
        <v>2</v>
      </c>
    </row>
    <row r="484" spans="1:13" x14ac:dyDescent="0.45">
      <c r="A484" t="s">
        <v>596</v>
      </c>
      <c r="B484" t="s">
        <v>1225</v>
      </c>
      <c r="C484" t="s">
        <v>1123</v>
      </c>
      <c r="D484" t="s">
        <v>71</v>
      </c>
      <c r="E484">
        <v>1661</v>
      </c>
      <c r="F484" s="1">
        <v>46176</v>
      </c>
      <c r="G484" t="s">
        <v>1219</v>
      </c>
      <c r="H484" t="s">
        <v>1210</v>
      </c>
      <c r="I484">
        <v>12.02</v>
      </c>
      <c r="J484">
        <v>75</v>
      </c>
      <c r="K484">
        <v>402</v>
      </c>
      <c r="L484" t="s">
        <v>1210</v>
      </c>
      <c r="M484">
        <v>1</v>
      </c>
    </row>
    <row r="485" spans="1:13" x14ac:dyDescent="0.45">
      <c r="A485" t="s">
        <v>597</v>
      </c>
      <c r="B485" t="s">
        <v>1225</v>
      </c>
      <c r="C485" t="s">
        <v>1118</v>
      </c>
      <c r="D485" t="s">
        <v>102</v>
      </c>
      <c r="E485">
        <v>2035</v>
      </c>
      <c r="F485" s="1">
        <v>46174</v>
      </c>
      <c r="G485" t="s">
        <v>1219</v>
      </c>
      <c r="H485" t="s">
        <v>1210</v>
      </c>
      <c r="I485">
        <v>9.9499999999999993</v>
      </c>
      <c r="J485">
        <v>106</v>
      </c>
      <c r="K485">
        <v>376</v>
      </c>
      <c r="L485" t="s">
        <v>1210</v>
      </c>
      <c r="M485">
        <v>3</v>
      </c>
    </row>
    <row r="486" spans="1:13" x14ac:dyDescent="0.45">
      <c r="A486" t="s">
        <v>598</v>
      </c>
      <c r="B486" t="s">
        <v>1217</v>
      </c>
      <c r="C486" t="s">
        <v>1114</v>
      </c>
      <c r="D486" t="s">
        <v>35</v>
      </c>
      <c r="E486">
        <v>1173</v>
      </c>
      <c r="F486" s="1">
        <v>46174</v>
      </c>
      <c r="G486" t="s">
        <v>1219</v>
      </c>
      <c r="H486" t="s">
        <v>1210</v>
      </c>
      <c r="I486">
        <v>19.18</v>
      </c>
      <c r="J486">
        <v>95</v>
      </c>
      <c r="K486">
        <v>208</v>
      </c>
      <c r="L486" t="s">
        <v>1210</v>
      </c>
      <c r="M486">
        <v>3</v>
      </c>
    </row>
    <row r="487" spans="1:13" x14ac:dyDescent="0.45">
      <c r="A487" t="s">
        <v>599</v>
      </c>
      <c r="B487" t="s">
        <v>1223</v>
      </c>
      <c r="C487" t="s">
        <v>1122</v>
      </c>
      <c r="D487" t="s">
        <v>51</v>
      </c>
      <c r="E487">
        <v>754</v>
      </c>
      <c r="F487" s="1">
        <v>46176</v>
      </c>
      <c r="G487" t="s">
        <v>1219</v>
      </c>
      <c r="H487" t="s">
        <v>1210</v>
      </c>
      <c r="I487">
        <v>3.44</v>
      </c>
      <c r="J487">
        <v>85</v>
      </c>
      <c r="K487">
        <v>102</v>
      </c>
      <c r="L487" t="s">
        <v>1210</v>
      </c>
      <c r="M487">
        <v>1</v>
      </c>
    </row>
    <row r="488" spans="1:13" x14ac:dyDescent="0.45">
      <c r="A488" t="s">
        <v>600</v>
      </c>
      <c r="B488" t="s">
        <v>1225</v>
      </c>
      <c r="C488" t="s">
        <v>1128</v>
      </c>
      <c r="D488" t="s">
        <v>52</v>
      </c>
      <c r="E488">
        <v>1842</v>
      </c>
      <c r="F488" s="1">
        <v>46175</v>
      </c>
      <c r="G488" t="s">
        <v>1219</v>
      </c>
      <c r="H488" t="s">
        <v>1210</v>
      </c>
      <c r="I488">
        <v>11.01</v>
      </c>
      <c r="J488">
        <v>98</v>
      </c>
      <c r="K488">
        <v>16</v>
      </c>
      <c r="L488" t="s">
        <v>1210</v>
      </c>
      <c r="M488">
        <v>2</v>
      </c>
    </row>
    <row r="489" spans="1:13" x14ac:dyDescent="0.45">
      <c r="A489" t="s">
        <v>601</v>
      </c>
      <c r="B489" t="s">
        <v>1217</v>
      </c>
      <c r="C489" t="s">
        <v>1126</v>
      </c>
      <c r="D489" t="s">
        <v>105</v>
      </c>
      <c r="E489">
        <v>1214</v>
      </c>
      <c r="F489" s="1">
        <v>46176</v>
      </c>
      <c r="G489" t="s">
        <v>1219</v>
      </c>
      <c r="H489" t="s">
        <v>1210</v>
      </c>
      <c r="I489">
        <v>18.170000000000002</v>
      </c>
      <c r="J489">
        <v>61</v>
      </c>
      <c r="K489">
        <v>188</v>
      </c>
      <c r="L489" t="s">
        <v>1210</v>
      </c>
      <c r="M489">
        <v>1</v>
      </c>
    </row>
    <row r="490" spans="1:13" x14ac:dyDescent="0.45">
      <c r="A490" t="s">
        <v>602</v>
      </c>
      <c r="B490" t="s">
        <v>1223</v>
      </c>
      <c r="C490" t="s">
        <v>1121</v>
      </c>
      <c r="D490" t="s">
        <v>62</v>
      </c>
      <c r="E490">
        <v>554</v>
      </c>
      <c r="F490" s="1">
        <v>46176</v>
      </c>
      <c r="G490" t="s">
        <v>1219</v>
      </c>
      <c r="H490" t="s">
        <v>1210</v>
      </c>
      <c r="I490">
        <v>12.39</v>
      </c>
      <c r="J490">
        <v>134</v>
      </c>
      <c r="K490">
        <v>446</v>
      </c>
      <c r="L490" t="s">
        <v>1210</v>
      </c>
      <c r="M490">
        <v>1</v>
      </c>
    </row>
    <row r="491" spans="1:13" x14ac:dyDescent="0.45">
      <c r="A491" t="s">
        <v>603</v>
      </c>
      <c r="B491" t="s">
        <v>1217</v>
      </c>
      <c r="C491" t="s">
        <v>1115</v>
      </c>
      <c r="D491" t="s">
        <v>30</v>
      </c>
      <c r="E491">
        <v>1979</v>
      </c>
      <c r="F491" s="1">
        <v>46176</v>
      </c>
      <c r="G491" t="s">
        <v>1219</v>
      </c>
      <c r="H491" t="s">
        <v>1210</v>
      </c>
      <c r="I491">
        <v>3.64</v>
      </c>
      <c r="J491">
        <v>62</v>
      </c>
      <c r="K491">
        <v>114</v>
      </c>
      <c r="L491" t="s">
        <v>1210</v>
      </c>
      <c r="M491">
        <v>1</v>
      </c>
    </row>
    <row r="492" spans="1:13" x14ac:dyDescent="0.45">
      <c r="A492" t="s">
        <v>604</v>
      </c>
      <c r="B492" t="s">
        <v>1217</v>
      </c>
      <c r="C492" t="s">
        <v>1126</v>
      </c>
      <c r="D492" t="s">
        <v>83</v>
      </c>
      <c r="E492">
        <v>1739</v>
      </c>
      <c r="F492" s="1">
        <v>46176</v>
      </c>
      <c r="G492" t="s">
        <v>1219</v>
      </c>
      <c r="H492" t="s">
        <v>1210</v>
      </c>
      <c r="I492">
        <v>5.92</v>
      </c>
      <c r="J492">
        <v>57</v>
      </c>
      <c r="K492">
        <v>92</v>
      </c>
      <c r="L492" t="s">
        <v>1210</v>
      </c>
      <c r="M492">
        <v>1</v>
      </c>
    </row>
    <row r="493" spans="1:13" x14ac:dyDescent="0.45">
      <c r="A493" t="s">
        <v>605</v>
      </c>
      <c r="B493" t="s">
        <v>1225</v>
      </c>
      <c r="C493" t="s">
        <v>1128</v>
      </c>
      <c r="D493" t="s">
        <v>92</v>
      </c>
      <c r="E493">
        <v>1976</v>
      </c>
      <c r="F493" s="1">
        <v>46175</v>
      </c>
      <c r="G493" t="s">
        <v>1219</v>
      </c>
      <c r="H493" t="s">
        <v>1210</v>
      </c>
      <c r="I493">
        <v>10.9</v>
      </c>
      <c r="J493">
        <v>131</v>
      </c>
      <c r="K493">
        <v>22</v>
      </c>
      <c r="L493" t="s">
        <v>1210</v>
      </c>
      <c r="M493">
        <v>2</v>
      </c>
    </row>
    <row r="494" spans="1:13" x14ac:dyDescent="0.45">
      <c r="A494" t="s">
        <v>606</v>
      </c>
      <c r="B494" t="s">
        <v>1225</v>
      </c>
      <c r="C494" t="s">
        <v>1125</v>
      </c>
      <c r="D494" t="s">
        <v>52</v>
      </c>
      <c r="E494">
        <v>1901</v>
      </c>
      <c r="F494" s="1">
        <v>46173</v>
      </c>
      <c r="G494" t="s">
        <v>1219</v>
      </c>
      <c r="H494" t="s">
        <v>1210</v>
      </c>
      <c r="I494">
        <v>11.01</v>
      </c>
      <c r="J494">
        <v>98</v>
      </c>
      <c r="K494">
        <v>16</v>
      </c>
      <c r="L494" t="s">
        <v>1210</v>
      </c>
      <c r="M494">
        <v>4</v>
      </c>
    </row>
    <row r="495" spans="1:13" x14ac:dyDescent="0.45">
      <c r="A495" t="s">
        <v>607</v>
      </c>
      <c r="B495" t="s">
        <v>1217</v>
      </c>
      <c r="C495" t="s">
        <v>1126</v>
      </c>
      <c r="D495" t="s">
        <v>43</v>
      </c>
      <c r="E495">
        <v>2333</v>
      </c>
      <c r="F495" s="1">
        <v>46176</v>
      </c>
      <c r="G495" t="s">
        <v>1219</v>
      </c>
      <c r="H495" t="s">
        <v>1210</v>
      </c>
      <c r="I495">
        <v>9.6999999999999993</v>
      </c>
      <c r="J495">
        <v>98</v>
      </c>
      <c r="K495">
        <v>115</v>
      </c>
      <c r="L495" t="s">
        <v>1210</v>
      </c>
      <c r="M495">
        <v>1</v>
      </c>
    </row>
    <row r="496" spans="1:13" x14ac:dyDescent="0.45">
      <c r="A496" t="s">
        <v>608</v>
      </c>
      <c r="B496" t="s">
        <v>1225</v>
      </c>
      <c r="C496" t="s">
        <v>1128</v>
      </c>
      <c r="D496" t="s">
        <v>1130</v>
      </c>
      <c r="E496">
        <v>1765</v>
      </c>
      <c r="F496" s="1">
        <v>46176</v>
      </c>
      <c r="G496" t="s">
        <v>1219</v>
      </c>
      <c r="H496" t="s">
        <v>1210</v>
      </c>
      <c r="I496">
        <v>12.51</v>
      </c>
      <c r="J496">
        <v>73</v>
      </c>
      <c r="K496">
        <v>75</v>
      </c>
      <c r="L496" t="s">
        <v>1210</v>
      </c>
      <c r="M496">
        <v>1</v>
      </c>
    </row>
    <row r="497" spans="1:13" x14ac:dyDescent="0.45">
      <c r="A497" t="s">
        <v>609</v>
      </c>
      <c r="B497" t="s">
        <v>1217</v>
      </c>
      <c r="C497" t="s">
        <v>1115</v>
      </c>
      <c r="D497" t="s">
        <v>52</v>
      </c>
      <c r="E497">
        <v>1951</v>
      </c>
      <c r="F497" s="1">
        <v>46165</v>
      </c>
      <c r="G497" t="s">
        <v>1219</v>
      </c>
      <c r="H497" t="s">
        <v>1210</v>
      </c>
      <c r="I497">
        <v>11.01</v>
      </c>
      <c r="J497">
        <v>98</v>
      </c>
      <c r="K497">
        <v>16</v>
      </c>
      <c r="L497" t="s">
        <v>1210</v>
      </c>
      <c r="M497">
        <v>12</v>
      </c>
    </row>
    <row r="498" spans="1:13" x14ac:dyDescent="0.45">
      <c r="A498" t="s">
        <v>610</v>
      </c>
      <c r="B498" t="s">
        <v>1225</v>
      </c>
      <c r="C498" t="s">
        <v>1128</v>
      </c>
      <c r="D498" t="s">
        <v>1133</v>
      </c>
      <c r="E498">
        <v>396</v>
      </c>
      <c r="F498" s="1">
        <v>46176</v>
      </c>
      <c r="G498" t="s">
        <v>1221</v>
      </c>
      <c r="H498" t="s">
        <v>1210</v>
      </c>
      <c r="I498">
        <v>3.75</v>
      </c>
      <c r="J498">
        <v>41</v>
      </c>
      <c r="K498">
        <v>106</v>
      </c>
      <c r="L498" t="s">
        <v>1210</v>
      </c>
      <c r="M498">
        <v>1</v>
      </c>
    </row>
    <row r="499" spans="1:13" x14ac:dyDescent="0.45">
      <c r="A499" t="s">
        <v>611</v>
      </c>
      <c r="B499" t="s">
        <v>1217</v>
      </c>
      <c r="C499" t="s">
        <v>1120</v>
      </c>
      <c r="D499" t="s">
        <v>30</v>
      </c>
      <c r="E499">
        <v>1975</v>
      </c>
      <c r="F499" s="1">
        <v>46176</v>
      </c>
      <c r="G499" t="s">
        <v>1221</v>
      </c>
      <c r="H499" t="s">
        <v>1210</v>
      </c>
      <c r="I499">
        <v>3.64</v>
      </c>
      <c r="J499">
        <v>62</v>
      </c>
      <c r="K499">
        <v>114</v>
      </c>
      <c r="L499" t="s">
        <v>1210</v>
      </c>
      <c r="M499">
        <v>1</v>
      </c>
    </row>
    <row r="500" spans="1:13" x14ac:dyDescent="0.45">
      <c r="A500" t="s">
        <v>612</v>
      </c>
      <c r="B500" t="s">
        <v>1217</v>
      </c>
      <c r="C500" t="s">
        <v>1126</v>
      </c>
      <c r="D500" t="s">
        <v>48</v>
      </c>
      <c r="E500">
        <v>1132</v>
      </c>
      <c r="F500" s="1">
        <v>46176</v>
      </c>
      <c r="G500" t="s">
        <v>1219</v>
      </c>
      <c r="H500" t="s">
        <v>1210</v>
      </c>
      <c r="I500">
        <v>5.49</v>
      </c>
      <c r="J500">
        <v>62</v>
      </c>
      <c r="K500">
        <v>91</v>
      </c>
      <c r="L500" t="s">
        <v>1210</v>
      </c>
      <c r="M500">
        <v>1</v>
      </c>
    </row>
    <row r="501" spans="1:13" x14ac:dyDescent="0.45">
      <c r="A501" t="s">
        <v>613</v>
      </c>
      <c r="B501" t="s">
        <v>1223</v>
      </c>
      <c r="C501" t="s">
        <v>1117</v>
      </c>
      <c r="D501" t="s">
        <v>95</v>
      </c>
      <c r="E501">
        <v>1378</v>
      </c>
      <c r="F501" s="1">
        <v>46175</v>
      </c>
      <c r="G501" t="s">
        <v>1219</v>
      </c>
      <c r="H501" t="s">
        <v>1210</v>
      </c>
      <c r="I501">
        <v>14.82</v>
      </c>
      <c r="J501">
        <v>132</v>
      </c>
      <c r="K501">
        <v>373</v>
      </c>
      <c r="L501" t="s">
        <v>1210</v>
      </c>
      <c r="M501">
        <v>2</v>
      </c>
    </row>
    <row r="502" spans="1:13" x14ac:dyDescent="0.45">
      <c r="A502" t="s">
        <v>614</v>
      </c>
      <c r="B502" t="s">
        <v>1225</v>
      </c>
      <c r="C502" t="s">
        <v>1125</v>
      </c>
      <c r="D502" t="s">
        <v>52</v>
      </c>
      <c r="E502">
        <v>2058</v>
      </c>
      <c r="F502" s="1">
        <v>46166</v>
      </c>
      <c r="G502" t="s">
        <v>1219</v>
      </c>
      <c r="H502" t="s">
        <v>1210</v>
      </c>
      <c r="I502">
        <v>11.01</v>
      </c>
      <c r="J502">
        <v>98</v>
      </c>
      <c r="K502">
        <v>16</v>
      </c>
      <c r="L502" t="s">
        <v>1210</v>
      </c>
      <c r="M502">
        <v>11</v>
      </c>
    </row>
    <row r="503" spans="1:13" x14ac:dyDescent="0.45">
      <c r="A503" t="s">
        <v>615</v>
      </c>
      <c r="B503" t="s">
        <v>1225</v>
      </c>
      <c r="C503" t="s">
        <v>1118</v>
      </c>
      <c r="D503" t="s">
        <v>91</v>
      </c>
      <c r="E503">
        <v>1652</v>
      </c>
      <c r="F503" s="1">
        <v>46175</v>
      </c>
      <c r="G503" t="s">
        <v>1219</v>
      </c>
      <c r="H503" t="s">
        <v>1210</v>
      </c>
      <c r="I503">
        <v>13.9</v>
      </c>
      <c r="J503">
        <v>69</v>
      </c>
      <c r="K503">
        <v>106</v>
      </c>
      <c r="L503" t="s">
        <v>1210</v>
      </c>
      <c r="M503">
        <v>2</v>
      </c>
    </row>
    <row r="504" spans="1:13" x14ac:dyDescent="0.45">
      <c r="A504" t="s">
        <v>616</v>
      </c>
      <c r="B504" t="s">
        <v>1225</v>
      </c>
      <c r="C504" t="s">
        <v>1119</v>
      </c>
      <c r="D504" t="s">
        <v>29</v>
      </c>
      <c r="E504">
        <v>1109</v>
      </c>
      <c r="F504" s="1">
        <v>46175</v>
      </c>
      <c r="G504" t="s">
        <v>1219</v>
      </c>
      <c r="H504" t="s">
        <v>1210</v>
      </c>
      <c r="I504">
        <v>4</v>
      </c>
      <c r="J504">
        <v>58</v>
      </c>
      <c r="K504">
        <v>112</v>
      </c>
      <c r="L504" t="s">
        <v>1210</v>
      </c>
      <c r="M504">
        <v>2</v>
      </c>
    </row>
    <row r="505" spans="1:13" x14ac:dyDescent="0.45">
      <c r="A505" t="s">
        <v>617</v>
      </c>
      <c r="B505" t="s">
        <v>1223</v>
      </c>
      <c r="C505" t="s">
        <v>1127</v>
      </c>
      <c r="D505" t="s">
        <v>98</v>
      </c>
      <c r="E505">
        <v>1196</v>
      </c>
      <c r="F505" s="1">
        <v>46176</v>
      </c>
      <c r="G505" t="s">
        <v>1219</v>
      </c>
      <c r="H505" t="s">
        <v>1210</v>
      </c>
      <c r="I505">
        <v>6.23</v>
      </c>
      <c r="J505">
        <v>78</v>
      </c>
      <c r="K505">
        <v>99</v>
      </c>
      <c r="L505" t="s">
        <v>1210</v>
      </c>
      <c r="M505">
        <v>1</v>
      </c>
    </row>
    <row r="506" spans="1:13" x14ac:dyDescent="0.45">
      <c r="A506" t="s">
        <v>618</v>
      </c>
      <c r="B506" t="s">
        <v>1217</v>
      </c>
      <c r="C506" t="s">
        <v>1120</v>
      </c>
      <c r="D506" t="s">
        <v>15</v>
      </c>
      <c r="E506">
        <v>1300</v>
      </c>
      <c r="F506" s="1">
        <v>46175</v>
      </c>
      <c r="G506" t="s">
        <v>1219</v>
      </c>
      <c r="H506" t="s">
        <v>1210</v>
      </c>
      <c r="I506">
        <v>5.53</v>
      </c>
      <c r="J506">
        <v>42</v>
      </c>
      <c r="K506">
        <v>114</v>
      </c>
      <c r="L506" t="s">
        <v>1210</v>
      </c>
      <c r="M506">
        <v>2</v>
      </c>
    </row>
    <row r="507" spans="1:13" x14ac:dyDescent="0.45">
      <c r="A507" t="s">
        <v>619</v>
      </c>
      <c r="B507" t="s">
        <v>1225</v>
      </c>
      <c r="C507" t="s">
        <v>1118</v>
      </c>
      <c r="D507" t="s">
        <v>49</v>
      </c>
      <c r="E507">
        <v>957</v>
      </c>
      <c r="F507" s="1">
        <v>46174</v>
      </c>
      <c r="G507" t="s">
        <v>1219</v>
      </c>
      <c r="H507" t="s">
        <v>1210</v>
      </c>
      <c r="I507">
        <v>21.99</v>
      </c>
      <c r="J507">
        <v>67</v>
      </c>
      <c r="K507">
        <v>213</v>
      </c>
      <c r="L507" t="s">
        <v>1210</v>
      </c>
      <c r="M507">
        <v>3</v>
      </c>
    </row>
    <row r="508" spans="1:13" x14ac:dyDescent="0.45">
      <c r="A508" t="s">
        <v>620</v>
      </c>
      <c r="B508" t="s">
        <v>1225</v>
      </c>
      <c r="C508" t="s">
        <v>1119</v>
      </c>
      <c r="D508" t="s">
        <v>1138</v>
      </c>
      <c r="E508">
        <v>1297</v>
      </c>
      <c r="F508" s="1">
        <v>46176</v>
      </c>
      <c r="G508" t="s">
        <v>1221</v>
      </c>
      <c r="H508" t="s">
        <v>1210</v>
      </c>
      <c r="I508">
        <v>3.92</v>
      </c>
      <c r="J508">
        <v>49</v>
      </c>
      <c r="K508">
        <v>98</v>
      </c>
      <c r="L508" t="s">
        <v>1210</v>
      </c>
      <c r="M508">
        <v>1</v>
      </c>
    </row>
    <row r="509" spans="1:13" x14ac:dyDescent="0.45">
      <c r="A509" t="s">
        <v>621</v>
      </c>
      <c r="B509" t="s">
        <v>1217</v>
      </c>
      <c r="C509" t="s">
        <v>1114</v>
      </c>
      <c r="D509" t="s">
        <v>75</v>
      </c>
      <c r="E509">
        <v>2551</v>
      </c>
      <c r="F509" s="1">
        <v>46175</v>
      </c>
      <c r="G509" t="s">
        <v>1219</v>
      </c>
      <c r="H509" t="s">
        <v>1210</v>
      </c>
      <c r="J509">
        <v>71</v>
      </c>
      <c r="K509">
        <v>192</v>
      </c>
      <c r="L509" t="s">
        <v>1210</v>
      </c>
      <c r="M509">
        <v>2</v>
      </c>
    </row>
    <row r="510" spans="1:13" x14ac:dyDescent="0.45">
      <c r="A510" t="s">
        <v>622</v>
      </c>
      <c r="B510" t="s">
        <v>1217</v>
      </c>
      <c r="C510" t="s">
        <v>1114</v>
      </c>
      <c r="D510" t="s">
        <v>72</v>
      </c>
      <c r="E510">
        <v>1009</v>
      </c>
      <c r="F510" s="1">
        <v>46174</v>
      </c>
      <c r="G510" t="s">
        <v>1219</v>
      </c>
      <c r="H510" t="s">
        <v>1210</v>
      </c>
      <c r="I510">
        <v>19.170000000000002</v>
      </c>
      <c r="J510">
        <v>119</v>
      </c>
      <c r="K510">
        <v>196</v>
      </c>
      <c r="L510" t="s">
        <v>1210</v>
      </c>
      <c r="M510">
        <v>3</v>
      </c>
    </row>
    <row r="511" spans="1:13" x14ac:dyDescent="0.45">
      <c r="A511" t="s">
        <v>623</v>
      </c>
      <c r="B511" t="s">
        <v>1225</v>
      </c>
      <c r="C511" t="s">
        <v>1118</v>
      </c>
      <c r="D511" t="s">
        <v>1146</v>
      </c>
      <c r="E511">
        <v>1959</v>
      </c>
      <c r="F511" s="1">
        <v>46172</v>
      </c>
      <c r="G511" t="s">
        <v>1219</v>
      </c>
      <c r="H511" t="s">
        <v>1210</v>
      </c>
      <c r="L511" t="s">
        <v>1353</v>
      </c>
      <c r="M511">
        <v>5</v>
      </c>
    </row>
    <row r="512" spans="1:13" x14ac:dyDescent="0.45">
      <c r="A512" t="s">
        <v>624</v>
      </c>
      <c r="B512" t="s">
        <v>1217</v>
      </c>
      <c r="C512" t="s">
        <v>1126</v>
      </c>
      <c r="D512" t="s">
        <v>47</v>
      </c>
      <c r="E512">
        <v>592</v>
      </c>
      <c r="F512" s="1">
        <v>46176</v>
      </c>
      <c r="G512" t="s">
        <v>1219</v>
      </c>
      <c r="H512" t="s">
        <v>1210</v>
      </c>
      <c r="I512">
        <v>15.14</v>
      </c>
      <c r="J512">
        <v>117</v>
      </c>
      <c r="K512">
        <v>484</v>
      </c>
      <c r="L512" t="s">
        <v>1210</v>
      </c>
      <c r="M512">
        <v>1</v>
      </c>
    </row>
    <row r="513" spans="1:13" x14ac:dyDescent="0.45">
      <c r="A513" t="s">
        <v>625</v>
      </c>
      <c r="B513" t="s">
        <v>1217</v>
      </c>
      <c r="C513" t="s">
        <v>1114</v>
      </c>
      <c r="D513" t="s">
        <v>99</v>
      </c>
      <c r="E513">
        <v>1989</v>
      </c>
      <c r="F513" s="1">
        <v>46175</v>
      </c>
      <c r="G513" t="s">
        <v>1219</v>
      </c>
      <c r="H513" t="s">
        <v>1210</v>
      </c>
      <c r="I513">
        <v>4.26</v>
      </c>
      <c r="J513">
        <v>68</v>
      </c>
      <c r="K513">
        <v>117</v>
      </c>
      <c r="L513" t="s">
        <v>1210</v>
      </c>
      <c r="M513">
        <v>2</v>
      </c>
    </row>
    <row r="514" spans="1:13" x14ac:dyDescent="0.45">
      <c r="A514" t="s">
        <v>626</v>
      </c>
      <c r="B514" t="s">
        <v>1217</v>
      </c>
      <c r="C514" t="s">
        <v>1126</v>
      </c>
      <c r="D514" t="s">
        <v>88</v>
      </c>
      <c r="E514">
        <v>1297</v>
      </c>
      <c r="F514" s="1">
        <v>46176</v>
      </c>
      <c r="G514" t="s">
        <v>1219</v>
      </c>
      <c r="H514" t="s">
        <v>1210</v>
      </c>
      <c r="I514">
        <v>11.02</v>
      </c>
      <c r="J514">
        <v>69</v>
      </c>
      <c r="K514">
        <v>86</v>
      </c>
      <c r="L514" t="s">
        <v>1210</v>
      </c>
      <c r="M514">
        <v>1</v>
      </c>
    </row>
    <row r="515" spans="1:13" x14ac:dyDescent="0.45">
      <c r="A515" t="s">
        <v>627</v>
      </c>
      <c r="B515" t="s">
        <v>1217</v>
      </c>
      <c r="C515" t="s">
        <v>1116</v>
      </c>
      <c r="D515" t="s">
        <v>99</v>
      </c>
      <c r="E515">
        <v>1917</v>
      </c>
      <c r="F515" s="1">
        <v>46172</v>
      </c>
      <c r="G515" t="s">
        <v>1219</v>
      </c>
      <c r="H515" t="s">
        <v>1210</v>
      </c>
      <c r="I515">
        <v>4.26</v>
      </c>
      <c r="J515">
        <v>68</v>
      </c>
      <c r="K515">
        <v>117</v>
      </c>
      <c r="L515" t="s">
        <v>1210</v>
      </c>
      <c r="M515">
        <v>5</v>
      </c>
    </row>
    <row r="516" spans="1:13" x14ac:dyDescent="0.45">
      <c r="A516" t="s">
        <v>628</v>
      </c>
      <c r="B516" t="s">
        <v>1217</v>
      </c>
      <c r="C516" t="s">
        <v>1120</v>
      </c>
      <c r="D516" t="s">
        <v>76</v>
      </c>
      <c r="E516">
        <v>1151</v>
      </c>
      <c r="F516" s="1">
        <v>46176</v>
      </c>
      <c r="G516" t="s">
        <v>1219</v>
      </c>
      <c r="H516" t="s">
        <v>1210</v>
      </c>
      <c r="I516">
        <v>5.09</v>
      </c>
      <c r="J516">
        <v>40</v>
      </c>
      <c r="K516">
        <v>90</v>
      </c>
      <c r="L516" t="s">
        <v>1210</v>
      </c>
      <c r="M516">
        <v>1</v>
      </c>
    </row>
    <row r="517" spans="1:13" x14ac:dyDescent="0.45">
      <c r="A517" t="s">
        <v>629</v>
      </c>
      <c r="B517" t="s">
        <v>1225</v>
      </c>
      <c r="C517" t="s">
        <v>1125</v>
      </c>
      <c r="D517" t="s">
        <v>1140</v>
      </c>
      <c r="E517">
        <v>1769</v>
      </c>
      <c r="F517" s="1">
        <v>46173</v>
      </c>
      <c r="G517" t="s">
        <v>1219</v>
      </c>
      <c r="H517" t="s">
        <v>1210</v>
      </c>
      <c r="I517">
        <v>11.43</v>
      </c>
      <c r="J517">
        <v>128</v>
      </c>
      <c r="K517">
        <v>530</v>
      </c>
      <c r="L517" t="s">
        <v>1210</v>
      </c>
      <c r="M517">
        <v>4</v>
      </c>
    </row>
    <row r="518" spans="1:13" x14ac:dyDescent="0.45">
      <c r="A518" t="s">
        <v>630</v>
      </c>
      <c r="B518" t="s">
        <v>1225</v>
      </c>
      <c r="C518" t="s">
        <v>1119</v>
      </c>
      <c r="D518" t="s">
        <v>85</v>
      </c>
      <c r="E518">
        <v>2962</v>
      </c>
      <c r="F518" s="1">
        <v>46175</v>
      </c>
      <c r="G518" t="s">
        <v>1219</v>
      </c>
      <c r="H518" t="s">
        <v>1210</v>
      </c>
      <c r="I518">
        <v>6.87</v>
      </c>
      <c r="J518">
        <v>101</v>
      </c>
      <c r="K518">
        <v>62</v>
      </c>
      <c r="L518" t="s">
        <v>1210</v>
      </c>
      <c r="M518">
        <v>2</v>
      </c>
    </row>
    <row r="519" spans="1:13" x14ac:dyDescent="0.45">
      <c r="A519" t="s">
        <v>631</v>
      </c>
      <c r="B519" t="s">
        <v>1225</v>
      </c>
      <c r="C519" t="s">
        <v>1119</v>
      </c>
      <c r="D519" t="s">
        <v>105</v>
      </c>
      <c r="E519">
        <v>329</v>
      </c>
      <c r="F519" s="1">
        <v>46175</v>
      </c>
      <c r="G519" t="s">
        <v>1219</v>
      </c>
      <c r="H519" t="s">
        <v>1210</v>
      </c>
      <c r="I519">
        <v>18.170000000000002</v>
      </c>
      <c r="J519">
        <v>61</v>
      </c>
      <c r="K519">
        <v>188</v>
      </c>
      <c r="L519" t="s">
        <v>1210</v>
      </c>
      <c r="M519">
        <v>2</v>
      </c>
    </row>
    <row r="520" spans="1:13" x14ac:dyDescent="0.45">
      <c r="A520" t="s">
        <v>632</v>
      </c>
      <c r="B520" t="s">
        <v>1223</v>
      </c>
      <c r="C520" t="s">
        <v>1124</v>
      </c>
      <c r="D520" t="s">
        <v>1133</v>
      </c>
      <c r="E520">
        <v>556</v>
      </c>
      <c r="F520" s="1">
        <v>46176</v>
      </c>
      <c r="G520" t="s">
        <v>1221</v>
      </c>
      <c r="H520" t="s">
        <v>1210</v>
      </c>
      <c r="I520">
        <v>3.75</v>
      </c>
      <c r="J520">
        <v>41</v>
      </c>
      <c r="K520">
        <v>106</v>
      </c>
      <c r="L520" t="s">
        <v>1210</v>
      </c>
      <c r="M520">
        <v>1</v>
      </c>
    </row>
    <row r="521" spans="1:13" x14ac:dyDescent="0.45">
      <c r="A521" t="s">
        <v>633</v>
      </c>
      <c r="B521" t="s">
        <v>1223</v>
      </c>
      <c r="C521" t="s">
        <v>1117</v>
      </c>
      <c r="D521" t="s">
        <v>18</v>
      </c>
      <c r="E521">
        <v>1227</v>
      </c>
      <c r="F521" s="1">
        <v>46175</v>
      </c>
      <c r="G521" t="s">
        <v>1219</v>
      </c>
      <c r="H521" t="s">
        <v>1210</v>
      </c>
      <c r="I521">
        <v>16.489999999999998</v>
      </c>
      <c r="J521">
        <v>102</v>
      </c>
      <c r="K521">
        <v>315</v>
      </c>
      <c r="L521" t="s">
        <v>1210</v>
      </c>
      <c r="M521">
        <v>2</v>
      </c>
    </row>
    <row r="522" spans="1:13" x14ac:dyDescent="0.45">
      <c r="A522" t="s">
        <v>634</v>
      </c>
      <c r="B522" t="s">
        <v>1223</v>
      </c>
      <c r="C522" t="s">
        <v>1117</v>
      </c>
      <c r="D522" t="s">
        <v>32</v>
      </c>
      <c r="E522">
        <v>510</v>
      </c>
      <c r="F522" s="1">
        <v>46175</v>
      </c>
      <c r="G522" t="s">
        <v>1219</v>
      </c>
      <c r="H522" t="s">
        <v>1210</v>
      </c>
      <c r="I522">
        <v>11.45</v>
      </c>
      <c r="J522">
        <v>93</v>
      </c>
      <c r="K522">
        <v>16</v>
      </c>
      <c r="L522" t="s">
        <v>1210</v>
      </c>
      <c r="M522">
        <v>2</v>
      </c>
    </row>
    <row r="523" spans="1:13" x14ac:dyDescent="0.45">
      <c r="A523" t="s">
        <v>635</v>
      </c>
      <c r="B523" t="s">
        <v>1225</v>
      </c>
      <c r="C523" t="s">
        <v>1123</v>
      </c>
      <c r="D523" t="s">
        <v>109</v>
      </c>
      <c r="E523">
        <v>1750</v>
      </c>
      <c r="F523" s="1">
        <v>46176</v>
      </c>
      <c r="G523" t="s">
        <v>1221</v>
      </c>
      <c r="H523" t="s">
        <v>1210</v>
      </c>
      <c r="I523">
        <v>12.09</v>
      </c>
      <c r="J523">
        <v>80</v>
      </c>
      <c r="K523">
        <v>138</v>
      </c>
      <c r="L523" t="s">
        <v>1210</v>
      </c>
      <c r="M523">
        <v>1</v>
      </c>
    </row>
    <row r="524" spans="1:13" x14ac:dyDescent="0.45">
      <c r="A524" t="s">
        <v>636</v>
      </c>
      <c r="B524" t="s">
        <v>1223</v>
      </c>
      <c r="C524" t="s">
        <v>1117</v>
      </c>
      <c r="D524" t="s">
        <v>67</v>
      </c>
      <c r="E524">
        <v>811</v>
      </c>
      <c r="F524" s="1">
        <v>46167</v>
      </c>
      <c r="G524" t="s">
        <v>1219</v>
      </c>
      <c r="H524" t="s">
        <v>1210</v>
      </c>
      <c r="I524">
        <v>8.32</v>
      </c>
      <c r="J524">
        <v>98</v>
      </c>
      <c r="K524">
        <v>16</v>
      </c>
      <c r="L524" t="s">
        <v>1210</v>
      </c>
      <c r="M524">
        <v>10</v>
      </c>
    </row>
    <row r="525" spans="1:13" x14ac:dyDescent="0.45">
      <c r="A525" t="s">
        <v>637</v>
      </c>
      <c r="B525" t="s">
        <v>1223</v>
      </c>
      <c r="C525" t="s">
        <v>1121</v>
      </c>
      <c r="D525" t="s">
        <v>28</v>
      </c>
      <c r="E525">
        <v>2545</v>
      </c>
      <c r="F525" s="1">
        <v>46176</v>
      </c>
      <c r="G525" t="s">
        <v>1219</v>
      </c>
      <c r="H525" t="s">
        <v>1210</v>
      </c>
      <c r="I525">
        <v>8.94</v>
      </c>
      <c r="J525">
        <v>100</v>
      </c>
      <c r="K525">
        <v>17</v>
      </c>
      <c r="L525" t="s">
        <v>1210</v>
      </c>
      <c r="M525">
        <v>1</v>
      </c>
    </row>
    <row r="526" spans="1:13" x14ac:dyDescent="0.45">
      <c r="A526" t="s">
        <v>638</v>
      </c>
      <c r="B526" t="s">
        <v>1223</v>
      </c>
      <c r="C526" t="s">
        <v>1124</v>
      </c>
      <c r="D526" t="s">
        <v>19</v>
      </c>
      <c r="E526">
        <v>2557</v>
      </c>
      <c r="F526" s="1">
        <v>46175</v>
      </c>
      <c r="G526" t="s">
        <v>1219</v>
      </c>
      <c r="H526" t="s">
        <v>1210</v>
      </c>
      <c r="I526">
        <v>8.0500000000000007</v>
      </c>
      <c r="J526">
        <v>147</v>
      </c>
      <c r="K526">
        <v>28</v>
      </c>
      <c r="L526" t="s">
        <v>1210</v>
      </c>
      <c r="M526">
        <v>2</v>
      </c>
    </row>
    <row r="527" spans="1:13" x14ac:dyDescent="0.45">
      <c r="A527" t="s">
        <v>639</v>
      </c>
      <c r="B527" t="s">
        <v>1223</v>
      </c>
      <c r="C527" t="s">
        <v>1127</v>
      </c>
      <c r="D527" t="s">
        <v>23</v>
      </c>
      <c r="E527">
        <v>2561</v>
      </c>
      <c r="F527" s="1">
        <v>46176</v>
      </c>
      <c r="G527" t="s">
        <v>1219</v>
      </c>
      <c r="H527" t="s">
        <v>1210</v>
      </c>
      <c r="I527">
        <v>7.71</v>
      </c>
      <c r="J527">
        <v>101</v>
      </c>
      <c r="K527">
        <v>23</v>
      </c>
      <c r="L527" t="s">
        <v>1210</v>
      </c>
      <c r="M527">
        <v>1</v>
      </c>
    </row>
    <row r="528" spans="1:13" x14ac:dyDescent="0.45">
      <c r="A528" t="s">
        <v>640</v>
      </c>
      <c r="B528" t="s">
        <v>1217</v>
      </c>
      <c r="C528" t="s">
        <v>1114</v>
      </c>
      <c r="D528" t="s">
        <v>56</v>
      </c>
      <c r="E528">
        <v>2010</v>
      </c>
      <c r="F528" s="1">
        <v>46176</v>
      </c>
      <c r="G528" t="s">
        <v>1219</v>
      </c>
      <c r="H528" t="s">
        <v>1210</v>
      </c>
      <c r="I528">
        <v>6.27</v>
      </c>
      <c r="J528">
        <v>67</v>
      </c>
      <c r="K528">
        <v>90</v>
      </c>
      <c r="L528" t="s">
        <v>1210</v>
      </c>
      <c r="M528">
        <v>1</v>
      </c>
    </row>
    <row r="529" spans="1:13" x14ac:dyDescent="0.45">
      <c r="A529" t="s">
        <v>641</v>
      </c>
      <c r="B529" t="s">
        <v>1225</v>
      </c>
      <c r="C529" t="s">
        <v>1118</v>
      </c>
      <c r="D529" t="s">
        <v>106</v>
      </c>
      <c r="E529">
        <v>1104</v>
      </c>
      <c r="F529" s="1">
        <v>46175</v>
      </c>
      <c r="G529" t="s">
        <v>1219</v>
      </c>
      <c r="H529" t="s">
        <v>1210</v>
      </c>
      <c r="I529">
        <v>4.24</v>
      </c>
      <c r="J529">
        <v>41</v>
      </c>
      <c r="K529">
        <v>111</v>
      </c>
      <c r="L529" t="s">
        <v>1210</v>
      </c>
      <c r="M529">
        <v>2</v>
      </c>
    </row>
    <row r="530" spans="1:13" x14ac:dyDescent="0.45">
      <c r="A530" t="s">
        <v>642</v>
      </c>
      <c r="B530" t="s">
        <v>1217</v>
      </c>
      <c r="C530" t="s">
        <v>1114</v>
      </c>
      <c r="D530" t="s">
        <v>25</v>
      </c>
      <c r="E530">
        <v>1981</v>
      </c>
      <c r="F530" s="1">
        <v>46175</v>
      </c>
      <c r="G530" t="s">
        <v>1219</v>
      </c>
      <c r="H530" t="s">
        <v>1210</v>
      </c>
      <c r="I530">
        <v>10.37</v>
      </c>
      <c r="J530">
        <v>100</v>
      </c>
      <c r="K530">
        <v>24</v>
      </c>
      <c r="L530" t="s">
        <v>1210</v>
      </c>
      <c r="M530">
        <v>2</v>
      </c>
    </row>
    <row r="531" spans="1:13" x14ac:dyDescent="0.45">
      <c r="A531" t="s">
        <v>643</v>
      </c>
      <c r="B531" t="s">
        <v>1223</v>
      </c>
      <c r="C531" t="s">
        <v>1124</v>
      </c>
      <c r="D531" t="s">
        <v>58</v>
      </c>
      <c r="E531">
        <v>1573</v>
      </c>
      <c r="F531" s="1">
        <v>46176</v>
      </c>
      <c r="G531" t="s">
        <v>1219</v>
      </c>
      <c r="H531" t="s">
        <v>1210</v>
      </c>
      <c r="I531">
        <v>14.79</v>
      </c>
      <c r="J531">
        <v>124</v>
      </c>
      <c r="K531">
        <v>423</v>
      </c>
      <c r="L531" t="s">
        <v>1210</v>
      </c>
      <c r="M531">
        <v>1</v>
      </c>
    </row>
    <row r="532" spans="1:13" x14ac:dyDescent="0.45">
      <c r="A532" t="s">
        <v>644</v>
      </c>
      <c r="B532" t="s">
        <v>1217</v>
      </c>
      <c r="C532" t="s">
        <v>1126</v>
      </c>
      <c r="D532" t="s">
        <v>31</v>
      </c>
      <c r="E532">
        <v>1415</v>
      </c>
      <c r="F532" s="1">
        <v>46176</v>
      </c>
      <c r="G532" t="s">
        <v>1219</v>
      </c>
      <c r="H532" t="s">
        <v>1210</v>
      </c>
      <c r="I532">
        <v>8.67</v>
      </c>
      <c r="J532">
        <v>124</v>
      </c>
      <c r="K532">
        <v>512</v>
      </c>
      <c r="L532" t="s">
        <v>1210</v>
      </c>
      <c r="M532">
        <v>1</v>
      </c>
    </row>
    <row r="533" spans="1:13" x14ac:dyDescent="0.45">
      <c r="A533" t="s">
        <v>645</v>
      </c>
      <c r="B533" t="s">
        <v>1225</v>
      </c>
      <c r="C533" t="s">
        <v>1118</v>
      </c>
      <c r="D533" t="s">
        <v>1130</v>
      </c>
      <c r="E533">
        <v>687</v>
      </c>
      <c r="F533" s="1">
        <v>46175</v>
      </c>
      <c r="G533" t="s">
        <v>1219</v>
      </c>
      <c r="H533" t="s">
        <v>1210</v>
      </c>
      <c r="I533">
        <v>12.51</v>
      </c>
      <c r="J533">
        <v>73</v>
      </c>
      <c r="K533">
        <v>75</v>
      </c>
      <c r="L533" t="s">
        <v>1210</v>
      </c>
      <c r="M533">
        <v>2</v>
      </c>
    </row>
    <row r="534" spans="1:13" x14ac:dyDescent="0.45">
      <c r="A534" t="s">
        <v>646</v>
      </c>
      <c r="B534" t="s">
        <v>1223</v>
      </c>
      <c r="C534" t="s">
        <v>1121</v>
      </c>
      <c r="D534" t="s">
        <v>70</v>
      </c>
      <c r="E534">
        <v>1457</v>
      </c>
      <c r="F534" s="1">
        <v>46176</v>
      </c>
      <c r="G534" t="s">
        <v>1219</v>
      </c>
      <c r="H534" t="s">
        <v>1210</v>
      </c>
      <c r="I534">
        <v>5.04</v>
      </c>
      <c r="J534">
        <v>47</v>
      </c>
      <c r="K534">
        <v>96</v>
      </c>
      <c r="L534" t="s">
        <v>1210</v>
      </c>
      <c r="M534">
        <v>1</v>
      </c>
    </row>
    <row r="535" spans="1:13" x14ac:dyDescent="0.45">
      <c r="A535" t="s">
        <v>647</v>
      </c>
      <c r="B535" t="s">
        <v>1217</v>
      </c>
      <c r="C535" t="s">
        <v>1115</v>
      </c>
      <c r="D535" t="s">
        <v>12</v>
      </c>
      <c r="E535">
        <v>1257</v>
      </c>
      <c r="F535" s="1">
        <v>46176</v>
      </c>
      <c r="G535" t="s">
        <v>1219</v>
      </c>
      <c r="H535" t="s">
        <v>1210</v>
      </c>
      <c r="J535">
        <v>69</v>
      </c>
      <c r="K535">
        <v>291</v>
      </c>
      <c r="L535" t="s">
        <v>1210</v>
      </c>
      <c r="M535">
        <v>1</v>
      </c>
    </row>
    <row r="536" spans="1:13" x14ac:dyDescent="0.45">
      <c r="A536" t="s">
        <v>648</v>
      </c>
      <c r="B536" t="s">
        <v>1225</v>
      </c>
      <c r="C536" t="s">
        <v>1119</v>
      </c>
      <c r="D536" t="s">
        <v>10</v>
      </c>
      <c r="E536">
        <v>935</v>
      </c>
      <c r="F536" s="1">
        <v>46175</v>
      </c>
      <c r="G536" t="s">
        <v>1219</v>
      </c>
      <c r="H536" t="s">
        <v>1210</v>
      </c>
      <c r="I536">
        <v>14.2</v>
      </c>
      <c r="J536">
        <v>95</v>
      </c>
      <c r="K536">
        <v>277</v>
      </c>
      <c r="L536" t="s">
        <v>1210</v>
      </c>
      <c r="M536">
        <v>2</v>
      </c>
    </row>
    <row r="537" spans="1:13" x14ac:dyDescent="0.45">
      <c r="A537" t="s">
        <v>649</v>
      </c>
      <c r="B537" t="s">
        <v>1225</v>
      </c>
      <c r="C537" t="s">
        <v>1123</v>
      </c>
      <c r="D537" t="s">
        <v>95</v>
      </c>
      <c r="E537">
        <v>797</v>
      </c>
      <c r="F537" s="1">
        <v>46170</v>
      </c>
      <c r="G537" t="s">
        <v>1219</v>
      </c>
      <c r="H537" t="s">
        <v>1210</v>
      </c>
      <c r="I537">
        <v>14.82</v>
      </c>
      <c r="J537">
        <v>132</v>
      </c>
      <c r="K537">
        <v>373</v>
      </c>
      <c r="L537" t="s">
        <v>1210</v>
      </c>
      <c r="M537">
        <v>7</v>
      </c>
    </row>
    <row r="538" spans="1:13" x14ac:dyDescent="0.45">
      <c r="A538" t="s">
        <v>650</v>
      </c>
      <c r="B538" t="s">
        <v>1223</v>
      </c>
      <c r="C538" t="s">
        <v>1121</v>
      </c>
      <c r="D538" t="s">
        <v>62</v>
      </c>
      <c r="E538">
        <v>1003</v>
      </c>
      <c r="F538" s="1">
        <v>46176</v>
      </c>
      <c r="G538" t="s">
        <v>1219</v>
      </c>
      <c r="H538" t="s">
        <v>1210</v>
      </c>
      <c r="I538">
        <v>12.39</v>
      </c>
      <c r="J538">
        <v>134</v>
      </c>
      <c r="K538">
        <v>446</v>
      </c>
      <c r="L538" t="s">
        <v>1210</v>
      </c>
      <c r="M538">
        <v>1</v>
      </c>
    </row>
    <row r="539" spans="1:13" x14ac:dyDescent="0.45">
      <c r="A539" t="s">
        <v>651</v>
      </c>
      <c r="B539" t="s">
        <v>1225</v>
      </c>
      <c r="C539" t="s">
        <v>1118</v>
      </c>
      <c r="D539" t="s">
        <v>35</v>
      </c>
      <c r="E539">
        <v>1096</v>
      </c>
      <c r="F539" s="1">
        <v>46175</v>
      </c>
      <c r="G539" t="s">
        <v>1219</v>
      </c>
      <c r="H539" t="s">
        <v>1210</v>
      </c>
      <c r="I539">
        <v>19.18</v>
      </c>
      <c r="J539">
        <v>95</v>
      </c>
      <c r="K539">
        <v>208</v>
      </c>
      <c r="L539" t="s">
        <v>1210</v>
      </c>
      <c r="M539">
        <v>2</v>
      </c>
    </row>
    <row r="540" spans="1:13" x14ac:dyDescent="0.45">
      <c r="A540" t="s">
        <v>652</v>
      </c>
      <c r="B540" t="s">
        <v>1223</v>
      </c>
      <c r="C540" t="s">
        <v>1117</v>
      </c>
      <c r="D540" t="s">
        <v>99</v>
      </c>
      <c r="E540">
        <v>1928</v>
      </c>
      <c r="F540" s="1">
        <v>46169</v>
      </c>
      <c r="G540" t="s">
        <v>1219</v>
      </c>
      <c r="H540" t="s">
        <v>1210</v>
      </c>
      <c r="I540">
        <v>4.26</v>
      </c>
      <c r="J540">
        <v>68</v>
      </c>
      <c r="K540">
        <v>117</v>
      </c>
      <c r="L540" t="s">
        <v>1210</v>
      </c>
      <c r="M540">
        <v>8</v>
      </c>
    </row>
    <row r="541" spans="1:13" x14ac:dyDescent="0.45">
      <c r="A541" t="s">
        <v>653</v>
      </c>
      <c r="B541" t="s">
        <v>1223</v>
      </c>
      <c r="C541" t="s">
        <v>1122</v>
      </c>
      <c r="D541" t="s">
        <v>59</v>
      </c>
      <c r="E541">
        <v>1296</v>
      </c>
      <c r="F541" s="1">
        <v>46176</v>
      </c>
      <c r="G541" t="s">
        <v>1221</v>
      </c>
      <c r="H541" t="s">
        <v>1210</v>
      </c>
      <c r="I541">
        <v>15.2</v>
      </c>
      <c r="J541">
        <v>135</v>
      </c>
      <c r="K541">
        <v>361</v>
      </c>
      <c r="L541" t="s">
        <v>1210</v>
      </c>
      <c r="M541">
        <v>1</v>
      </c>
    </row>
    <row r="542" spans="1:13" x14ac:dyDescent="0.45">
      <c r="A542" t="s">
        <v>654</v>
      </c>
      <c r="B542" t="s">
        <v>1223</v>
      </c>
      <c r="C542" t="s">
        <v>1124</v>
      </c>
      <c r="D542" t="s">
        <v>71</v>
      </c>
      <c r="E542">
        <v>1683</v>
      </c>
      <c r="F542" s="1">
        <v>46176</v>
      </c>
      <c r="G542" t="s">
        <v>1219</v>
      </c>
      <c r="H542" t="s">
        <v>1210</v>
      </c>
      <c r="I542">
        <v>12.02</v>
      </c>
      <c r="J542">
        <v>75</v>
      </c>
      <c r="K542">
        <v>402</v>
      </c>
      <c r="L542" t="s">
        <v>1210</v>
      </c>
      <c r="M542">
        <v>1</v>
      </c>
    </row>
    <row r="543" spans="1:13" x14ac:dyDescent="0.45">
      <c r="A543" t="s">
        <v>655</v>
      </c>
      <c r="B543" t="s">
        <v>1223</v>
      </c>
      <c r="C543" t="s">
        <v>1121</v>
      </c>
      <c r="D543" t="s">
        <v>29</v>
      </c>
      <c r="E543">
        <v>1623</v>
      </c>
      <c r="F543" s="1">
        <v>46175</v>
      </c>
      <c r="G543" t="s">
        <v>1219</v>
      </c>
      <c r="H543" t="s">
        <v>1210</v>
      </c>
      <c r="I543">
        <v>4</v>
      </c>
      <c r="J543">
        <v>58</v>
      </c>
      <c r="K543">
        <v>112</v>
      </c>
      <c r="L543" t="s">
        <v>1210</v>
      </c>
      <c r="M543">
        <v>2</v>
      </c>
    </row>
    <row r="544" spans="1:13" x14ac:dyDescent="0.45">
      <c r="A544" t="s">
        <v>656</v>
      </c>
      <c r="B544" t="s">
        <v>1223</v>
      </c>
      <c r="C544" t="s">
        <v>1117</v>
      </c>
      <c r="D544" t="s">
        <v>89</v>
      </c>
      <c r="E544">
        <v>1524</v>
      </c>
      <c r="F544" s="1">
        <v>46176</v>
      </c>
      <c r="G544" t="s">
        <v>1219</v>
      </c>
      <c r="H544" t="s">
        <v>1210</v>
      </c>
      <c r="I544">
        <v>13.67</v>
      </c>
      <c r="J544">
        <v>78</v>
      </c>
      <c r="K544">
        <v>247</v>
      </c>
      <c r="L544" t="s">
        <v>1210</v>
      </c>
      <c r="M544">
        <v>1</v>
      </c>
    </row>
    <row r="545" spans="1:13" x14ac:dyDescent="0.45">
      <c r="A545" t="s">
        <v>657</v>
      </c>
      <c r="B545" t="s">
        <v>1217</v>
      </c>
      <c r="C545" t="s">
        <v>1114</v>
      </c>
      <c r="D545" t="s">
        <v>1130</v>
      </c>
      <c r="E545">
        <v>1778</v>
      </c>
      <c r="F545" s="1">
        <v>46174</v>
      </c>
      <c r="G545" t="s">
        <v>1219</v>
      </c>
      <c r="H545" t="s">
        <v>1210</v>
      </c>
      <c r="I545">
        <v>12.51</v>
      </c>
      <c r="J545">
        <v>73</v>
      </c>
      <c r="K545">
        <v>75</v>
      </c>
      <c r="L545" t="s">
        <v>1210</v>
      </c>
      <c r="M545">
        <v>3</v>
      </c>
    </row>
    <row r="546" spans="1:13" x14ac:dyDescent="0.45">
      <c r="A546" t="s">
        <v>658</v>
      </c>
      <c r="B546" t="s">
        <v>1223</v>
      </c>
      <c r="C546" t="s">
        <v>1121</v>
      </c>
      <c r="D546" t="s">
        <v>41</v>
      </c>
      <c r="E546">
        <v>3427</v>
      </c>
      <c r="F546" s="1">
        <v>46175</v>
      </c>
      <c r="G546" t="s">
        <v>1219</v>
      </c>
      <c r="H546" t="s">
        <v>1210</v>
      </c>
      <c r="I546">
        <v>6.24</v>
      </c>
      <c r="J546">
        <v>146</v>
      </c>
      <c r="K546">
        <v>24</v>
      </c>
      <c r="L546" t="s">
        <v>1210</v>
      </c>
      <c r="M546">
        <v>2</v>
      </c>
    </row>
    <row r="547" spans="1:13" x14ac:dyDescent="0.45">
      <c r="A547" t="s">
        <v>659</v>
      </c>
      <c r="B547" t="s">
        <v>1217</v>
      </c>
      <c r="C547" t="s">
        <v>1115</v>
      </c>
      <c r="D547" t="s">
        <v>65</v>
      </c>
      <c r="E547">
        <v>1919</v>
      </c>
      <c r="F547" s="1">
        <v>46175</v>
      </c>
      <c r="G547" t="s">
        <v>1219</v>
      </c>
      <c r="H547" t="s">
        <v>1210</v>
      </c>
      <c r="I547">
        <v>9.8000000000000007</v>
      </c>
      <c r="J547">
        <v>83</v>
      </c>
      <c r="K547">
        <v>15</v>
      </c>
      <c r="L547" t="s">
        <v>1210</v>
      </c>
      <c r="M547">
        <v>2</v>
      </c>
    </row>
    <row r="548" spans="1:13" x14ac:dyDescent="0.45">
      <c r="A548" t="s">
        <v>660</v>
      </c>
      <c r="B548" t="s">
        <v>1223</v>
      </c>
      <c r="C548" t="s">
        <v>1117</v>
      </c>
      <c r="D548" t="s">
        <v>71</v>
      </c>
      <c r="E548">
        <v>1603</v>
      </c>
      <c r="F548" s="1">
        <v>46176</v>
      </c>
      <c r="G548" t="s">
        <v>1219</v>
      </c>
      <c r="H548" t="s">
        <v>1210</v>
      </c>
      <c r="I548">
        <v>12.02</v>
      </c>
      <c r="J548">
        <v>75</v>
      </c>
      <c r="K548">
        <v>402</v>
      </c>
      <c r="L548" t="s">
        <v>1210</v>
      </c>
      <c r="M548">
        <v>1</v>
      </c>
    </row>
    <row r="549" spans="1:13" x14ac:dyDescent="0.45">
      <c r="A549" t="s">
        <v>661</v>
      </c>
      <c r="B549" t="s">
        <v>1217</v>
      </c>
      <c r="C549" t="s">
        <v>1115</v>
      </c>
      <c r="D549" t="s">
        <v>32</v>
      </c>
      <c r="E549">
        <v>1975</v>
      </c>
      <c r="F549" s="1">
        <v>46176</v>
      </c>
      <c r="G549" t="s">
        <v>1219</v>
      </c>
      <c r="H549" t="s">
        <v>1210</v>
      </c>
      <c r="I549">
        <v>11.45</v>
      </c>
      <c r="J549">
        <v>93</v>
      </c>
      <c r="K549">
        <v>16</v>
      </c>
      <c r="L549" t="s">
        <v>1210</v>
      </c>
      <c r="M549">
        <v>1</v>
      </c>
    </row>
    <row r="550" spans="1:13" x14ac:dyDescent="0.45">
      <c r="A550" t="s">
        <v>662</v>
      </c>
      <c r="B550" t="s">
        <v>1223</v>
      </c>
      <c r="C550" t="s">
        <v>1122</v>
      </c>
      <c r="D550" t="s">
        <v>44</v>
      </c>
      <c r="E550">
        <v>685</v>
      </c>
      <c r="F550" s="1">
        <v>46176</v>
      </c>
      <c r="G550" t="s">
        <v>1219</v>
      </c>
      <c r="H550" t="s">
        <v>1210</v>
      </c>
      <c r="I550">
        <v>3.48</v>
      </c>
      <c r="J550">
        <v>55</v>
      </c>
      <c r="K550">
        <v>118</v>
      </c>
      <c r="L550" t="s">
        <v>1210</v>
      </c>
      <c r="M550">
        <v>1</v>
      </c>
    </row>
    <row r="551" spans="1:13" x14ac:dyDescent="0.45">
      <c r="A551" t="s">
        <v>663</v>
      </c>
      <c r="B551" t="s">
        <v>1217</v>
      </c>
      <c r="C551" t="s">
        <v>1120</v>
      </c>
      <c r="D551" t="s">
        <v>70</v>
      </c>
      <c r="E551">
        <v>753</v>
      </c>
      <c r="F551" s="1">
        <v>46175</v>
      </c>
      <c r="G551" t="s">
        <v>1219</v>
      </c>
      <c r="H551" t="s">
        <v>1210</v>
      </c>
      <c r="I551">
        <v>5.04</v>
      </c>
      <c r="J551">
        <v>47</v>
      </c>
      <c r="K551">
        <v>96</v>
      </c>
      <c r="L551" t="s">
        <v>1210</v>
      </c>
      <c r="M551">
        <v>2</v>
      </c>
    </row>
    <row r="552" spans="1:13" x14ac:dyDescent="0.45">
      <c r="A552" t="s">
        <v>664</v>
      </c>
      <c r="B552" t="s">
        <v>1217</v>
      </c>
      <c r="C552" t="s">
        <v>1116</v>
      </c>
      <c r="D552" t="s">
        <v>1138</v>
      </c>
      <c r="E552">
        <v>1447</v>
      </c>
      <c r="F552" s="1">
        <v>46173</v>
      </c>
      <c r="G552" t="s">
        <v>1219</v>
      </c>
      <c r="H552" t="s">
        <v>1210</v>
      </c>
      <c r="I552">
        <v>3.92</v>
      </c>
      <c r="J552">
        <v>49</v>
      </c>
      <c r="K552">
        <v>98</v>
      </c>
      <c r="L552" t="s">
        <v>1210</v>
      </c>
      <c r="M552">
        <v>4</v>
      </c>
    </row>
    <row r="553" spans="1:13" x14ac:dyDescent="0.45">
      <c r="A553" t="s">
        <v>665</v>
      </c>
      <c r="B553" t="s">
        <v>1225</v>
      </c>
      <c r="C553" t="s">
        <v>1118</v>
      </c>
      <c r="D553" t="s">
        <v>51</v>
      </c>
      <c r="E553">
        <v>2198</v>
      </c>
      <c r="F553" s="1">
        <v>46176</v>
      </c>
      <c r="G553" t="s">
        <v>1219</v>
      </c>
      <c r="H553" t="s">
        <v>1210</v>
      </c>
      <c r="I553">
        <v>3.44</v>
      </c>
      <c r="J553">
        <v>85</v>
      </c>
      <c r="K553">
        <v>102</v>
      </c>
      <c r="L553" t="s">
        <v>1210</v>
      </c>
      <c r="M553">
        <v>1</v>
      </c>
    </row>
    <row r="554" spans="1:13" x14ac:dyDescent="0.45">
      <c r="A554" t="s">
        <v>666</v>
      </c>
      <c r="B554" t="s">
        <v>1225</v>
      </c>
      <c r="C554" t="s">
        <v>1119</v>
      </c>
      <c r="D554" t="s">
        <v>53</v>
      </c>
      <c r="E554">
        <v>1403</v>
      </c>
      <c r="F554" s="1">
        <v>46163</v>
      </c>
      <c r="G554" t="s">
        <v>1221</v>
      </c>
      <c r="H554" t="s">
        <v>1210</v>
      </c>
      <c r="I554">
        <v>10.029999999999999</v>
      </c>
      <c r="J554">
        <v>126</v>
      </c>
      <c r="K554">
        <v>17</v>
      </c>
      <c r="L554" t="s">
        <v>1210</v>
      </c>
      <c r="M554">
        <v>14</v>
      </c>
    </row>
    <row r="555" spans="1:13" x14ac:dyDescent="0.45">
      <c r="A555" t="s">
        <v>667</v>
      </c>
      <c r="B555" t="s">
        <v>1217</v>
      </c>
      <c r="C555" t="s">
        <v>1126</v>
      </c>
      <c r="D555" t="s">
        <v>20</v>
      </c>
      <c r="E555">
        <v>1364</v>
      </c>
      <c r="F555" s="1">
        <v>46176</v>
      </c>
      <c r="G555" t="s">
        <v>1221</v>
      </c>
      <c r="H555" t="s">
        <v>1210</v>
      </c>
      <c r="I555">
        <v>15.66</v>
      </c>
      <c r="J555">
        <v>72</v>
      </c>
      <c r="K555">
        <v>306</v>
      </c>
      <c r="L555" t="s">
        <v>1210</v>
      </c>
      <c r="M555">
        <v>1</v>
      </c>
    </row>
    <row r="556" spans="1:13" x14ac:dyDescent="0.45">
      <c r="A556" t="s">
        <v>668</v>
      </c>
      <c r="B556" t="s">
        <v>1217</v>
      </c>
      <c r="C556" t="s">
        <v>1116</v>
      </c>
      <c r="D556" t="s">
        <v>105</v>
      </c>
      <c r="E556">
        <v>316</v>
      </c>
      <c r="F556" s="1">
        <v>46172</v>
      </c>
      <c r="G556" t="s">
        <v>1219</v>
      </c>
      <c r="H556" t="s">
        <v>1210</v>
      </c>
      <c r="I556">
        <v>18.170000000000002</v>
      </c>
      <c r="J556">
        <v>61</v>
      </c>
      <c r="K556">
        <v>188</v>
      </c>
      <c r="L556" t="s">
        <v>1210</v>
      </c>
      <c r="M556">
        <v>5</v>
      </c>
    </row>
    <row r="557" spans="1:13" x14ac:dyDescent="0.45">
      <c r="A557" t="s">
        <v>669</v>
      </c>
      <c r="B557" t="s">
        <v>1225</v>
      </c>
      <c r="C557" t="s">
        <v>1123</v>
      </c>
      <c r="D557" t="s">
        <v>62</v>
      </c>
      <c r="E557">
        <v>1003</v>
      </c>
      <c r="F557" s="1">
        <v>46176</v>
      </c>
      <c r="G557" t="s">
        <v>1219</v>
      </c>
      <c r="H557" t="s">
        <v>1210</v>
      </c>
      <c r="I557">
        <v>12.39</v>
      </c>
      <c r="J557">
        <v>134</v>
      </c>
      <c r="K557">
        <v>446</v>
      </c>
      <c r="L557" t="s">
        <v>1210</v>
      </c>
      <c r="M557">
        <v>1</v>
      </c>
    </row>
    <row r="558" spans="1:13" x14ac:dyDescent="0.45">
      <c r="A558" t="s">
        <v>670</v>
      </c>
      <c r="B558" t="s">
        <v>1225</v>
      </c>
      <c r="C558" t="s">
        <v>1125</v>
      </c>
      <c r="D558" t="s">
        <v>106</v>
      </c>
      <c r="E558">
        <v>1200</v>
      </c>
      <c r="F558" s="1">
        <v>46173</v>
      </c>
      <c r="G558" t="s">
        <v>1219</v>
      </c>
      <c r="H558" t="s">
        <v>1210</v>
      </c>
      <c r="I558">
        <v>4.24</v>
      </c>
      <c r="J558">
        <v>41</v>
      </c>
      <c r="K558">
        <v>111</v>
      </c>
      <c r="L558" t="s">
        <v>1210</v>
      </c>
      <c r="M558">
        <v>4</v>
      </c>
    </row>
    <row r="559" spans="1:13" x14ac:dyDescent="0.45">
      <c r="A559" t="s">
        <v>671</v>
      </c>
      <c r="B559" t="s">
        <v>1223</v>
      </c>
      <c r="C559" t="s">
        <v>1127</v>
      </c>
      <c r="D559" t="s">
        <v>43</v>
      </c>
      <c r="E559">
        <v>1432</v>
      </c>
      <c r="F559" s="1">
        <v>46174</v>
      </c>
      <c r="G559" t="s">
        <v>1219</v>
      </c>
      <c r="H559" t="s">
        <v>1210</v>
      </c>
      <c r="I559">
        <v>9.6999999999999993</v>
      </c>
      <c r="J559">
        <v>98</v>
      </c>
      <c r="K559">
        <v>115</v>
      </c>
      <c r="L559" t="s">
        <v>1210</v>
      </c>
      <c r="M559">
        <v>3</v>
      </c>
    </row>
    <row r="560" spans="1:13" x14ac:dyDescent="0.45">
      <c r="A560" t="s">
        <v>672</v>
      </c>
      <c r="B560" t="s">
        <v>1217</v>
      </c>
      <c r="C560" t="s">
        <v>1116</v>
      </c>
      <c r="D560" t="s">
        <v>87</v>
      </c>
      <c r="E560">
        <v>1123</v>
      </c>
      <c r="F560" s="1">
        <v>46176</v>
      </c>
      <c r="G560" t="s">
        <v>1219</v>
      </c>
      <c r="H560" t="s">
        <v>1210</v>
      </c>
      <c r="I560">
        <v>17.28</v>
      </c>
      <c r="J560">
        <v>97</v>
      </c>
      <c r="K560">
        <v>271</v>
      </c>
      <c r="L560" t="s">
        <v>1210</v>
      </c>
      <c r="M560">
        <v>1</v>
      </c>
    </row>
    <row r="561" spans="1:13" x14ac:dyDescent="0.45">
      <c r="A561" t="s">
        <v>673</v>
      </c>
      <c r="B561" t="s">
        <v>1217</v>
      </c>
      <c r="C561" t="s">
        <v>1126</v>
      </c>
      <c r="D561" t="s">
        <v>107</v>
      </c>
      <c r="E561">
        <v>1294</v>
      </c>
      <c r="F561" s="1">
        <v>46176</v>
      </c>
      <c r="G561" t="s">
        <v>1219</v>
      </c>
      <c r="H561" t="s">
        <v>1210</v>
      </c>
      <c r="I561">
        <v>4.3600000000000003</v>
      </c>
      <c r="J561">
        <v>88</v>
      </c>
      <c r="K561">
        <v>108</v>
      </c>
      <c r="L561" t="s">
        <v>1210</v>
      </c>
      <c r="M561">
        <v>1</v>
      </c>
    </row>
    <row r="562" spans="1:13" x14ac:dyDescent="0.45">
      <c r="A562" t="s">
        <v>674</v>
      </c>
      <c r="B562" t="s">
        <v>1223</v>
      </c>
      <c r="C562" t="s">
        <v>1127</v>
      </c>
      <c r="D562" t="s">
        <v>54</v>
      </c>
      <c r="E562">
        <v>1595</v>
      </c>
      <c r="F562" s="1">
        <v>46176</v>
      </c>
      <c r="G562" t="s">
        <v>1219</v>
      </c>
      <c r="H562" t="s">
        <v>1210</v>
      </c>
      <c r="I562">
        <v>12.85</v>
      </c>
      <c r="J562">
        <v>91</v>
      </c>
      <c r="K562">
        <v>297</v>
      </c>
      <c r="L562" t="s">
        <v>1210</v>
      </c>
      <c r="M562">
        <v>1</v>
      </c>
    </row>
    <row r="563" spans="1:13" x14ac:dyDescent="0.45">
      <c r="A563" t="s">
        <v>675</v>
      </c>
      <c r="B563" t="s">
        <v>1223</v>
      </c>
      <c r="C563" t="s">
        <v>1122</v>
      </c>
      <c r="D563" t="s">
        <v>97</v>
      </c>
      <c r="E563">
        <v>2394</v>
      </c>
      <c r="F563" s="1">
        <v>46176</v>
      </c>
      <c r="G563" t="s">
        <v>1219</v>
      </c>
      <c r="H563" t="s">
        <v>1210</v>
      </c>
      <c r="I563">
        <v>9.57</v>
      </c>
      <c r="J563">
        <v>92</v>
      </c>
      <c r="K563">
        <v>122</v>
      </c>
      <c r="L563" t="s">
        <v>1210</v>
      </c>
      <c r="M563">
        <v>1</v>
      </c>
    </row>
    <row r="564" spans="1:13" x14ac:dyDescent="0.45">
      <c r="A564" t="s">
        <v>676</v>
      </c>
      <c r="B564" t="s">
        <v>1217</v>
      </c>
      <c r="C564" t="s">
        <v>1126</v>
      </c>
      <c r="D564" t="s">
        <v>39</v>
      </c>
      <c r="E564">
        <v>1318</v>
      </c>
      <c r="F564" s="1">
        <v>46176</v>
      </c>
      <c r="G564" t="s">
        <v>1219</v>
      </c>
      <c r="H564" t="s">
        <v>1210</v>
      </c>
      <c r="I564">
        <v>14.35</v>
      </c>
      <c r="J564">
        <v>70</v>
      </c>
      <c r="K564">
        <v>240</v>
      </c>
      <c r="L564" t="s">
        <v>1210</v>
      </c>
      <c r="M564">
        <v>1</v>
      </c>
    </row>
    <row r="565" spans="1:13" x14ac:dyDescent="0.45">
      <c r="A565" t="s">
        <v>677</v>
      </c>
      <c r="B565" t="s">
        <v>1217</v>
      </c>
      <c r="C565" t="s">
        <v>1114</v>
      </c>
      <c r="D565" t="s">
        <v>58</v>
      </c>
      <c r="E565">
        <v>1447</v>
      </c>
      <c r="F565" s="1">
        <v>46173</v>
      </c>
      <c r="G565" t="s">
        <v>1219</v>
      </c>
      <c r="H565" t="s">
        <v>1210</v>
      </c>
      <c r="I565">
        <v>14.79</v>
      </c>
      <c r="J565">
        <v>124</v>
      </c>
      <c r="K565">
        <v>423</v>
      </c>
      <c r="L565" t="s">
        <v>1210</v>
      </c>
      <c r="M565">
        <v>4</v>
      </c>
    </row>
    <row r="566" spans="1:13" x14ac:dyDescent="0.45">
      <c r="A566" t="s">
        <v>678</v>
      </c>
      <c r="B566" t="s">
        <v>1223</v>
      </c>
      <c r="C566" t="s">
        <v>1122</v>
      </c>
      <c r="D566" t="s">
        <v>58</v>
      </c>
      <c r="E566">
        <v>1501</v>
      </c>
      <c r="F566" s="1">
        <v>46176</v>
      </c>
      <c r="G566" t="s">
        <v>1221</v>
      </c>
      <c r="H566" t="s">
        <v>1210</v>
      </c>
      <c r="I566">
        <v>14.79</v>
      </c>
      <c r="J566">
        <v>124</v>
      </c>
      <c r="K566">
        <v>423</v>
      </c>
      <c r="L566" t="s">
        <v>1210</v>
      </c>
      <c r="M566">
        <v>1</v>
      </c>
    </row>
    <row r="567" spans="1:13" x14ac:dyDescent="0.45">
      <c r="A567" t="s">
        <v>679</v>
      </c>
      <c r="B567" t="s">
        <v>1217</v>
      </c>
      <c r="C567" t="s">
        <v>1126</v>
      </c>
      <c r="D567" t="s">
        <v>67</v>
      </c>
      <c r="E567">
        <v>582</v>
      </c>
      <c r="F567" s="1">
        <v>46175</v>
      </c>
      <c r="G567" t="s">
        <v>1219</v>
      </c>
      <c r="H567" t="s">
        <v>1210</v>
      </c>
      <c r="I567">
        <v>8.32</v>
      </c>
      <c r="J567">
        <v>98</v>
      </c>
      <c r="K567">
        <v>16</v>
      </c>
      <c r="L567" t="s">
        <v>1210</v>
      </c>
      <c r="M567">
        <v>2</v>
      </c>
    </row>
    <row r="568" spans="1:13" x14ac:dyDescent="0.45">
      <c r="A568" t="s">
        <v>680</v>
      </c>
      <c r="B568" t="s">
        <v>1223</v>
      </c>
      <c r="C568" t="s">
        <v>1124</v>
      </c>
      <c r="D568" t="s">
        <v>50</v>
      </c>
      <c r="E568">
        <v>2230</v>
      </c>
      <c r="F568" s="1">
        <v>46163</v>
      </c>
      <c r="G568" t="s">
        <v>1219</v>
      </c>
      <c r="H568" t="s">
        <v>1210</v>
      </c>
      <c r="I568">
        <v>9.02</v>
      </c>
      <c r="J568">
        <v>114</v>
      </c>
      <c r="K568">
        <v>18</v>
      </c>
      <c r="L568" t="s">
        <v>1210</v>
      </c>
      <c r="M568">
        <v>14</v>
      </c>
    </row>
    <row r="569" spans="1:13" x14ac:dyDescent="0.45">
      <c r="A569" t="s">
        <v>681</v>
      </c>
      <c r="B569" t="s">
        <v>1217</v>
      </c>
      <c r="C569" t="s">
        <v>1120</v>
      </c>
      <c r="D569" t="s">
        <v>99</v>
      </c>
      <c r="E569">
        <v>2115</v>
      </c>
      <c r="F569" s="1">
        <v>46176</v>
      </c>
      <c r="G569" t="s">
        <v>1219</v>
      </c>
      <c r="H569" t="s">
        <v>1210</v>
      </c>
      <c r="I569">
        <v>4.26</v>
      </c>
      <c r="J569">
        <v>68</v>
      </c>
      <c r="K569">
        <v>117</v>
      </c>
      <c r="L569" t="s">
        <v>1210</v>
      </c>
      <c r="M569">
        <v>1</v>
      </c>
    </row>
    <row r="570" spans="1:13" x14ac:dyDescent="0.45">
      <c r="A570" t="s">
        <v>682</v>
      </c>
      <c r="B570" t="s">
        <v>1217</v>
      </c>
      <c r="C570" t="s">
        <v>1114</v>
      </c>
      <c r="D570" t="s">
        <v>22</v>
      </c>
      <c r="E570">
        <v>1701</v>
      </c>
      <c r="F570" s="1">
        <v>46176</v>
      </c>
      <c r="G570" t="s">
        <v>1219</v>
      </c>
      <c r="H570" t="s">
        <v>1210</v>
      </c>
      <c r="I570">
        <v>5.27</v>
      </c>
      <c r="J570">
        <v>60</v>
      </c>
      <c r="K570">
        <v>129</v>
      </c>
      <c r="L570" t="s">
        <v>1210</v>
      </c>
      <c r="M570">
        <v>1</v>
      </c>
    </row>
    <row r="571" spans="1:13" x14ac:dyDescent="0.45">
      <c r="A571" t="s">
        <v>683</v>
      </c>
      <c r="B571" t="s">
        <v>1225</v>
      </c>
      <c r="C571" t="s">
        <v>1125</v>
      </c>
      <c r="D571" t="s">
        <v>50</v>
      </c>
      <c r="E571">
        <v>624</v>
      </c>
      <c r="F571" s="1">
        <v>46176</v>
      </c>
      <c r="G571" t="s">
        <v>1219</v>
      </c>
      <c r="H571" t="s">
        <v>1210</v>
      </c>
      <c r="I571">
        <v>9.02</v>
      </c>
      <c r="J571">
        <v>114</v>
      </c>
      <c r="K571">
        <v>18</v>
      </c>
      <c r="L571" t="s">
        <v>1210</v>
      </c>
      <c r="M571">
        <v>1</v>
      </c>
    </row>
    <row r="572" spans="1:13" x14ac:dyDescent="0.45">
      <c r="A572" t="s">
        <v>684</v>
      </c>
      <c r="B572" t="s">
        <v>1223</v>
      </c>
      <c r="C572" t="s">
        <v>1121</v>
      </c>
      <c r="D572" t="s">
        <v>53</v>
      </c>
      <c r="E572">
        <v>1983</v>
      </c>
      <c r="F572" s="1">
        <v>46175</v>
      </c>
      <c r="G572" t="s">
        <v>1219</v>
      </c>
      <c r="H572" t="s">
        <v>1210</v>
      </c>
      <c r="I572">
        <v>10.029999999999999</v>
      </c>
      <c r="J572">
        <v>126</v>
      </c>
      <c r="K572">
        <v>17</v>
      </c>
      <c r="L572" t="s">
        <v>1210</v>
      </c>
      <c r="M572">
        <v>2</v>
      </c>
    </row>
    <row r="573" spans="1:13" x14ac:dyDescent="0.45">
      <c r="A573" t="s">
        <v>685</v>
      </c>
      <c r="B573" t="s">
        <v>1217</v>
      </c>
      <c r="C573" t="s">
        <v>1115</v>
      </c>
      <c r="D573" t="s">
        <v>5</v>
      </c>
      <c r="E573">
        <v>1911</v>
      </c>
      <c r="F573" s="1">
        <v>46175</v>
      </c>
      <c r="G573" t="s">
        <v>1219</v>
      </c>
      <c r="H573" t="s">
        <v>1210</v>
      </c>
      <c r="I573">
        <v>10.6</v>
      </c>
      <c r="J573">
        <v>96</v>
      </c>
      <c r="K573">
        <v>445</v>
      </c>
      <c r="L573" t="s">
        <v>1210</v>
      </c>
      <c r="M573">
        <v>2</v>
      </c>
    </row>
    <row r="574" spans="1:13" x14ac:dyDescent="0.45">
      <c r="A574" t="s">
        <v>686</v>
      </c>
      <c r="B574" t="s">
        <v>1217</v>
      </c>
      <c r="C574" t="s">
        <v>1114</v>
      </c>
      <c r="D574" t="s">
        <v>36</v>
      </c>
      <c r="E574">
        <v>1006</v>
      </c>
      <c r="F574" s="1">
        <v>46175</v>
      </c>
      <c r="G574" t="s">
        <v>1219</v>
      </c>
      <c r="H574" t="s">
        <v>1210</v>
      </c>
      <c r="I574">
        <v>7.51</v>
      </c>
      <c r="J574">
        <v>83</v>
      </c>
      <c r="K574">
        <v>18</v>
      </c>
      <c r="L574" t="s">
        <v>1210</v>
      </c>
      <c r="M574">
        <v>2</v>
      </c>
    </row>
    <row r="575" spans="1:13" x14ac:dyDescent="0.45">
      <c r="A575" t="s">
        <v>687</v>
      </c>
      <c r="B575" t="s">
        <v>1223</v>
      </c>
      <c r="C575" t="s">
        <v>1124</v>
      </c>
      <c r="D575" t="s">
        <v>61</v>
      </c>
      <c r="E575">
        <v>1097</v>
      </c>
      <c r="F575" s="1">
        <v>46176</v>
      </c>
      <c r="G575" t="s">
        <v>1219</v>
      </c>
      <c r="H575" t="s">
        <v>1210</v>
      </c>
      <c r="I575">
        <v>12.41</v>
      </c>
      <c r="J575">
        <v>95</v>
      </c>
      <c r="K575">
        <v>227</v>
      </c>
      <c r="L575" t="s">
        <v>1210</v>
      </c>
      <c r="M575">
        <v>1</v>
      </c>
    </row>
    <row r="576" spans="1:13" x14ac:dyDescent="0.45">
      <c r="A576" t="s">
        <v>688</v>
      </c>
      <c r="B576" t="s">
        <v>1225</v>
      </c>
      <c r="C576" t="s">
        <v>1123</v>
      </c>
      <c r="D576" t="s">
        <v>1131</v>
      </c>
      <c r="E576">
        <v>831</v>
      </c>
      <c r="F576" s="1">
        <v>46176</v>
      </c>
      <c r="G576" t="s">
        <v>1219</v>
      </c>
      <c r="H576" t="s">
        <v>1210</v>
      </c>
      <c r="I576">
        <v>11.96</v>
      </c>
      <c r="J576">
        <v>101</v>
      </c>
      <c r="K576">
        <v>90</v>
      </c>
      <c r="L576" t="s">
        <v>1210</v>
      </c>
      <c r="M576">
        <v>1</v>
      </c>
    </row>
    <row r="577" spans="1:13" x14ac:dyDescent="0.45">
      <c r="A577" t="s">
        <v>689</v>
      </c>
      <c r="B577" t="s">
        <v>1217</v>
      </c>
      <c r="C577" t="s">
        <v>1126</v>
      </c>
      <c r="D577" t="s">
        <v>92</v>
      </c>
      <c r="E577">
        <v>1981</v>
      </c>
      <c r="F577" s="1">
        <v>46176</v>
      </c>
      <c r="G577" t="s">
        <v>1219</v>
      </c>
      <c r="H577" t="s">
        <v>1210</v>
      </c>
      <c r="I577">
        <v>10.9</v>
      </c>
      <c r="J577">
        <v>131</v>
      </c>
      <c r="K577">
        <v>22</v>
      </c>
      <c r="L577" t="s">
        <v>1210</v>
      </c>
      <c r="M577">
        <v>1</v>
      </c>
    </row>
    <row r="578" spans="1:13" x14ac:dyDescent="0.45">
      <c r="A578" t="s">
        <v>690</v>
      </c>
      <c r="B578" t="s">
        <v>1217</v>
      </c>
      <c r="C578" t="s">
        <v>1126</v>
      </c>
      <c r="D578" t="s">
        <v>87</v>
      </c>
      <c r="E578">
        <v>1173</v>
      </c>
      <c r="F578" s="1">
        <v>46176</v>
      </c>
      <c r="G578" t="s">
        <v>1219</v>
      </c>
      <c r="H578" t="s">
        <v>1210</v>
      </c>
      <c r="I578">
        <v>17.28</v>
      </c>
      <c r="J578">
        <v>97</v>
      </c>
      <c r="K578">
        <v>271</v>
      </c>
      <c r="L578" t="s">
        <v>1210</v>
      </c>
      <c r="M578">
        <v>1</v>
      </c>
    </row>
    <row r="579" spans="1:13" x14ac:dyDescent="0.45">
      <c r="A579" t="s">
        <v>691</v>
      </c>
      <c r="B579" t="s">
        <v>1223</v>
      </c>
      <c r="C579" t="s">
        <v>1122</v>
      </c>
      <c r="D579" t="s">
        <v>110</v>
      </c>
      <c r="E579">
        <v>3298</v>
      </c>
      <c r="F579" s="1">
        <v>46176</v>
      </c>
      <c r="G579" t="s">
        <v>1219</v>
      </c>
      <c r="H579" t="s">
        <v>1210</v>
      </c>
      <c r="I579">
        <v>6.16</v>
      </c>
      <c r="J579">
        <v>104</v>
      </c>
      <c r="K579">
        <v>67</v>
      </c>
      <c r="L579" t="s">
        <v>1210</v>
      </c>
      <c r="M579">
        <v>1</v>
      </c>
    </row>
    <row r="580" spans="1:13" x14ac:dyDescent="0.45">
      <c r="A580" t="s">
        <v>692</v>
      </c>
      <c r="B580" t="s">
        <v>1225</v>
      </c>
      <c r="C580" t="s">
        <v>1125</v>
      </c>
      <c r="D580" t="s">
        <v>87</v>
      </c>
      <c r="E580">
        <v>1186</v>
      </c>
      <c r="F580" s="1">
        <v>46174</v>
      </c>
      <c r="G580" t="s">
        <v>1219</v>
      </c>
      <c r="H580" t="s">
        <v>1210</v>
      </c>
      <c r="I580">
        <v>17.28</v>
      </c>
      <c r="J580">
        <v>97</v>
      </c>
      <c r="K580">
        <v>271</v>
      </c>
      <c r="L580" t="s">
        <v>1210</v>
      </c>
      <c r="M580">
        <v>3</v>
      </c>
    </row>
    <row r="581" spans="1:13" x14ac:dyDescent="0.45">
      <c r="A581" t="s">
        <v>693</v>
      </c>
      <c r="B581" t="s">
        <v>1217</v>
      </c>
      <c r="C581" t="s">
        <v>1116</v>
      </c>
      <c r="D581" t="s">
        <v>105</v>
      </c>
      <c r="E581">
        <v>1163</v>
      </c>
      <c r="F581" s="1">
        <v>46176</v>
      </c>
      <c r="G581" t="s">
        <v>1219</v>
      </c>
      <c r="H581" t="s">
        <v>1210</v>
      </c>
      <c r="I581">
        <v>18.170000000000002</v>
      </c>
      <c r="J581">
        <v>61</v>
      </c>
      <c r="K581">
        <v>188</v>
      </c>
      <c r="L581" t="s">
        <v>1210</v>
      </c>
      <c r="M581">
        <v>1</v>
      </c>
    </row>
    <row r="582" spans="1:13" x14ac:dyDescent="0.45">
      <c r="A582" t="s">
        <v>694</v>
      </c>
      <c r="B582" t="s">
        <v>1223</v>
      </c>
      <c r="C582" t="s">
        <v>1124</v>
      </c>
      <c r="D582" t="s">
        <v>70</v>
      </c>
      <c r="E582">
        <v>1462</v>
      </c>
      <c r="F582" s="1">
        <v>46176</v>
      </c>
      <c r="G582" t="s">
        <v>1219</v>
      </c>
      <c r="H582" t="s">
        <v>1210</v>
      </c>
      <c r="I582">
        <v>5.04</v>
      </c>
      <c r="J582">
        <v>47</v>
      </c>
      <c r="K582">
        <v>96</v>
      </c>
      <c r="L582" t="s">
        <v>1210</v>
      </c>
      <c r="M582">
        <v>1</v>
      </c>
    </row>
    <row r="583" spans="1:13" x14ac:dyDescent="0.45">
      <c r="A583" t="s">
        <v>695</v>
      </c>
      <c r="B583" t="s">
        <v>1217</v>
      </c>
      <c r="C583" t="s">
        <v>1115</v>
      </c>
      <c r="D583" t="s">
        <v>83</v>
      </c>
      <c r="E583">
        <v>1815</v>
      </c>
      <c r="F583" s="1">
        <v>46175</v>
      </c>
      <c r="G583" t="s">
        <v>1219</v>
      </c>
      <c r="H583" t="s">
        <v>1210</v>
      </c>
      <c r="I583">
        <v>5.92</v>
      </c>
      <c r="J583">
        <v>57</v>
      </c>
      <c r="K583">
        <v>92</v>
      </c>
      <c r="L583" t="s">
        <v>1210</v>
      </c>
      <c r="M583">
        <v>2</v>
      </c>
    </row>
    <row r="584" spans="1:13" x14ac:dyDescent="0.45">
      <c r="A584" t="s">
        <v>696</v>
      </c>
      <c r="B584" t="s">
        <v>1223</v>
      </c>
      <c r="C584" t="s">
        <v>1121</v>
      </c>
      <c r="D584" t="s">
        <v>99</v>
      </c>
      <c r="E584">
        <v>2009</v>
      </c>
      <c r="F584" s="1">
        <v>46175</v>
      </c>
      <c r="G584" t="s">
        <v>1219</v>
      </c>
      <c r="H584" t="s">
        <v>1210</v>
      </c>
      <c r="I584">
        <v>4.26</v>
      </c>
      <c r="J584">
        <v>68</v>
      </c>
      <c r="K584">
        <v>117</v>
      </c>
      <c r="L584" t="s">
        <v>1210</v>
      </c>
      <c r="M584">
        <v>2</v>
      </c>
    </row>
    <row r="585" spans="1:13" x14ac:dyDescent="0.45">
      <c r="A585" t="s">
        <v>697</v>
      </c>
      <c r="B585" t="s">
        <v>1217</v>
      </c>
      <c r="C585" t="s">
        <v>1120</v>
      </c>
      <c r="D585" t="s">
        <v>61</v>
      </c>
      <c r="E585">
        <v>1620</v>
      </c>
      <c r="F585" s="1">
        <v>46175</v>
      </c>
      <c r="G585" t="s">
        <v>1219</v>
      </c>
      <c r="H585" t="s">
        <v>1210</v>
      </c>
      <c r="I585">
        <v>12.41</v>
      </c>
      <c r="J585">
        <v>95</v>
      </c>
      <c r="K585">
        <v>227</v>
      </c>
      <c r="L585" t="s">
        <v>1210</v>
      </c>
      <c r="M585">
        <v>2</v>
      </c>
    </row>
    <row r="586" spans="1:13" x14ac:dyDescent="0.45">
      <c r="A586" t="s">
        <v>698</v>
      </c>
      <c r="B586" t="s">
        <v>1225</v>
      </c>
      <c r="C586" t="s">
        <v>1128</v>
      </c>
      <c r="D586" t="s">
        <v>45</v>
      </c>
      <c r="E586">
        <v>1331</v>
      </c>
      <c r="F586" s="1">
        <v>46175</v>
      </c>
      <c r="G586" t="s">
        <v>1219</v>
      </c>
      <c r="H586" t="s">
        <v>1210</v>
      </c>
      <c r="I586">
        <v>17.47</v>
      </c>
      <c r="J586">
        <v>65</v>
      </c>
      <c r="K586">
        <v>216</v>
      </c>
      <c r="L586" t="s">
        <v>1210</v>
      </c>
      <c r="M586">
        <v>2</v>
      </c>
    </row>
    <row r="587" spans="1:13" x14ac:dyDescent="0.45">
      <c r="A587" t="s">
        <v>699</v>
      </c>
      <c r="B587" t="s">
        <v>1217</v>
      </c>
      <c r="C587" t="s">
        <v>1114</v>
      </c>
      <c r="D587" t="s">
        <v>72</v>
      </c>
      <c r="E587">
        <v>1200</v>
      </c>
      <c r="F587" s="1">
        <v>46176</v>
      </c>
      <c r="G587" t="s">
        <v>1219</v>
      </c>
      <c r="H587" t="s">
        <v>1210</v>
      </c>
      <c r="I587">
        <v>19.170000000000002</v>
      </c>
      <c r="J587">
        <v>119</v>
      </c>
      <c r="K587">
        <v>196</v>
      </c>
      <c r="L587" t="s">
        <v>1210</v>
      </c>
      <c r="M587">
        <v>1</v>
      </c>
    </row>
    <row r="588" spans="1:13" x14ac:dyDescent="0.45">
      <c r="A588" t="s">
        <v>700</v>
      </c>
      <c r="B588" t="s">
        <v>1223</v>
      </c>
      <c r="C588" t="s">
        <v>1121</v>
      </c>
      <c r="D588" t="s">
        <v>41</v>
      </c>
      <c r="E588">
        <v>3286</v>
      </c>
      <c r="F588" s="1">
        <v>46175</v>
      </c>
      <c r="G588" t="s">
        <v>1219</v>
      </c>
      <c r="H588" t="s">
        <v>1210</v>
      </c>
      <c r="I588">
        <v>6.24</v>
      </c>
      <c r="J588">
        <v>146</v>
      </c>
      <c r="K588">
        <v>24</v>
      </c>
      <c r="L588" t="s">
        <v>1210</v>
      </c>
      <c r="M588">
        <v>2</v>
      </c>
    </row>
    <row r="589" spans="1:13" x14ac:dyDescent="0.45">
      <c r="A589" t="s">
        <v>701</v>
      </c>
      <c r="B589" t="s">
        <v>1225</v>
      </c>
      <c r="C589" t="s">
        <v>1128</v>
      </c>
      <c r="D589" t="s">
        <v>47</v>
      </c>
      <c r="E589">
        <v>1263</v>
      </c>
      <c r="F589" s="1">
        <v>46176</v>
      </c>
      <c r="G589" t="s">
        <v>1221</v>
      </c>
      <c r="H589" t="s">
        <v>1210</v>
      </c>
      <c r="I589">
        <v>15.14</v>
      </c>
      <c r="J589">
        <v>117</v>
      </c>
      <c r="K589">
        <v>484</v>
      </c>
      <c r="L589" t="s">
        <v>1210</v>
      </c>
      <c r="M589">
        <v>1</v>
      </c>
    </row>
    <row r="590" spans="1:13" x14ac:dyDescent="0.45">
      <c r="A590" t="s">
        <v>702</v>
      </c>
      <c r="B590" t="s">
        <v>1225</v>
      </c>
      <c r="C590" t="s">
        <v>1125</v>
      </c>
      <c r="D590" t="s">
        <v>63</v>
      </c>
      <c r="E590">
        <v>367</v>
      </c>
      <c r="F590" s="1">
        <v>46174</v>
      </c>
      <c r="G590" t="s">
        <v>1219</v>
      </c>
      <c r="H590" t="s">
        <v>1210</v>
      </c>
      <c r="I590">
        <v>4.29</v>
      </c>
      <c r="J590">
        <v>44</v>
      </c>
      <c r="K590">
        <v>111</v>
      </c>
      <c r="L590" t="s">
        <v>1210</v>
      </c>
      <c r="M590">
        <v>3</v>
      </c>
    </row>
    <row r="591" spans="1:13" x14ac:dyDescent="0.45">
      <c r="A591" t="s">
        <v>703</v>
      </c>
      <c r="B591" t="s">
        <v>1225</v>
      </c>
      <c r="C591" t="s">
        <v>1123</v>
      </c>
      <c r="D591" t="s">
        <v>1136</v>
      </c>
      <c r="E591">
        <v>1703</v>
      </c>
      <c r="F591" s="1">
        <v>46176</v>
      </c>
      <c r="G591" t="s">
        <v>1219</v>
      </c>
      <c r="H591" t="s">
        <v>1210</v>
      </c>
      <c r="I591">
        <v>11.98</v>
      </c>
      <c r="J591">
        <v>86</v>
      </c>
      <c r="K591">
        <v>123</v>
      </c>
      <c r="L591" t="s">
        <v>1210</v>
      </c>
      <c r="M591">
        <v>1</v>
      </c>
    </row>
    <row r="592" spans="1:13" x14ac:dyDescent="0.45">
      <c r="A592" t="s">
        <v>704</v>
      </c>
      <c r="B592" t="s">
        <v>1223</v>
      </c>
      <c r="C592" t="s">
        <v>1124</v>
      </c>
      <c r="D592" t="s">
        <v>24</v>
      </c>
      <c r="E592">
        <v>1783</v>
      </c>
      <c r="F592" s="1">
        <v>46174</v>
      </c>
      <c r="G592" t="s">
        <v>1219</v>
      </c>
      <c r="H592" t="s">
        <v>1210</v>
      </c>
      <c r="I592">
        <v>6.95</v>
      </c>
      <c r="J592">
        <v>66</v>
      </c>
      <c r="K592">
        <v>95</v>
      </c>
      <c r="L592" t="s">
        <v>1210</v>
      </c>
      <c r="M592">
        <v>3</v>
      </c>
    </row>
    <row r="593" spans="1:13" x14ac:dyDescent="0.45">
      <c r="A593" t="s">
        <v>705</v>
      </c>
      <c r="B593" t="s">
        <v>1217</v>
      </c>
      <c r="C593" t="s">
        <v>1116</v>
      </c>
      <c r="D593" t="s">
        <v>1135</v>
      </c>
      <c r="E593">
        <v>1552</v>
      </c>
      <c r="F593" s="1">
        <v>46174</v>
      </c>
      <c r="G593" t="s">
        <v>1219</v>
      </c>
      <c r="H593" t="s">
        <v>1210</v>
      </c>
      <c r="I593">
        <v>13.31</v>
      </c>
      <c r="J593">
        <v>89</v>
      </c>
      <c r="K593">
        <v>313</v>
      </c>
      <c r="L593" t="s">
        <v>1210</v>
      </c>
      <c r="M593">
        <v>3</v>
      </c>
    </row>
    <row r="594" spans="1:13" x14ac:dyDescent="0.45">
      <c r="A594" t="s">
        <v>706</v>
      </c>
      <c r="B594" t="s">
        <v>1225</v>
      </c>
      <c r="C594" t="s">
        <v>1118</v>
      </c>
      <c r="D594" t="s">
        <v>10</v>
      </c>
      <c r="E594">
        <v>1514</v>
      </c>
      <c r="F594" s="1">
        <v>46176</v>
      </c>
      <c r="G594" t="s">
        <v>1219</v>
      </c>
      <c r="H594" t="s">
        <v>1210</v>
      </c>
      <c r="I594">
        <v>14.2</v>
      </c>
      <c r="J594">
        <v>95</v>
      </c>
      <c r="K594">
        <v>277</v>
      </c>
      <c r="L594" t="s">
        <v>1210</v>
      </c>
      <c r="M594">
        <v>1</v>
      </c>
    </row>
    <row r="595" spans="1:13" x14ac:dyDescent="0.45">
      <c r="A595" t="s">
        <v>707</v>
      </c>
      <c r="B595" t="s">
        <v>1217</v>
      </c>
      <c r="C595" t="s">
        <v>1126</v>
      </c>
      <c r="D595" t="s">
        <v>1140</v>
      </c>
      <c r="E595">
        <v>1914</v>
      </c>
      <c r="F595" s="1">
        <v>46176</v>
      </c>
      <c r="G595" t="s">
        <v>1219</v>
      </c>
      <c r="H595" t="s">
        <v>1210</v>
      </c>
      <c r="I595">
        <v>11.43</v>
      </c>
      <c r="J595">
        <v>128</v>
      </c>
      <c r="K595">
        <v>530</v>
      </c>
      <c r="L595" t="s">
        <v>1210</v>
      </c>
      <c r="M595">
        <v>1</v>
      </c>
    </row>
    <row r="596" spans="1:13" x14ac:dyDescent="0.45">
      <c r="A596" t="s">
        <v>708</v>
      </c>
      <c r="B596" t="s">
        <v>1217</v>
      </c>
      <c r="C596" t="s">
        <v>1114</v>
      </c>
      <c r="D596" t="s">
        <v>74</v>
      </c>
      <c r="E596">
        <v>1552</v>
      </c>
      <c r="F596" s="1">
        <v>46173</v>
      </c>
      <c r="G596" t="s">
        <v>1219</v>
      </c>
      <c r="H596" t="s">
        <v>1210</v>
      </c>
      <c r="I596">
        <v>12.77</v>
      </c>
      <c r="J596">
        <v>96</v>
      </c>
      <c r="K596">
        <v>122</v>
      </c>
      <c r="L596" t="s">
        <v>1210</v>
      </c>
      <c r="M596">
        <v>4</v>
      </c>
    </row>
    <row r="597" spans="1:13" x14ac:dyDescent="0.45">
      <c r="A597" t="s">
        <v>709</v>
      </c>
      <c r="B597" t="s">
        <v>1225</v>
      </c>
      <c r="C597" t="s">
        <v>1125</v>
      </c>
      <c r="D597" t="s">
        <v>43</v>
      </c>
      <c r="E597">
        <v>2117</v>
      </c>
      <c r="F597" s="1">
        <v>46176</v>
      </c>
      <c r="G597" t="s">
        <v>1219</v>
      </c>
      <c r="H597" t="s">
        <v>1210</v>
      </c>
      <c r="I597">
        <v>9.6999999999999993</v>
      </c>
      <c r="J597">
        <v>98</v>
      </c>
      <c r="K597">
        <v>115</v>
      </c>
      <c r="L597" t="s">
        <v>1210</v>
      </c>
      <c r="M597">
        <v>1</v>
      </c>
    </row>
    <row r="598" spans="1:13" x14ac:dyDescent="0.45">
      <c r="A598" t="s">
        <v>710</v>
      </c>
      <c r="B598" t="s">
        <v>1225</v>
      </c>
      <c r="C598" t="s">
        <v>1119</v>
      </c>
      <c r="D598" t="s">
        <v>57</v>
      </c>
      <c r="E598">
        <v>2182</v>
      </c>
      <c r="F598" s="1">
        <v>46175</v>
      </c>
      <c r="G598" t="s">
        <v>1221</v>
      </c>
      <c r="H598" t="s">
        <v>1210</v>
      </c>
      <c r="I598">
        <v>8.19</v>
      </c>
      <c r="J598">
        <v>82</v>
      </c>
      <c r="K598">
        <v>317</v>
      </c>
      <c r="L598" t="s">
        <v>1210</v>
      </c>
      <c r="M598">
        <v>2</v>
      </c>
    </row>
    <row r="599" spans="1:13" x14ac:dyDescent="0.45">
      <c r="A599" t="s">
        <v>711</v>
      </c>
      <c r="B599" t="s">
        <v>1217</v>
      </c>
      <c r="C599" t="s">
        <v>1114</v>
      </c>
      <c r="D599" t="s">
        <v>1140</v>
      </c>
      <c r="E599">
        <v>1786</v>
      </c>
      <c r="F599" s="1">
        <v>46174</v>
      </c>
      <c r="G599" t="s">
        <v>1219</v>
      </c>
      <c r="H599" t="s">
        <v>1210</v>
      </c>
      <c r="I599">
        <v>11.43</v>
      </c>
      <c r="J599">
        <v>128</v>
      </c>
      <c r="K599">
        <v>530</v>
      </c>
      <c r="L599" t="s">
        <v>1210</v>
      </c>
      <c r="M599">
        <v>3</v>
      </c>
    </row>
    <row r="600" spans="1:13" x14ac:dyDescent="0.45">
      <c r="A600" t="s">
        <v>712</v>
      </c>
      <c r="B600" t="s">
        <v>1217</v>
      </c>
      <c r="C600" t="s">
        <v>1115</v>
      </c>
      <c r="D600" t="s">
        <v>1136</v>
      </c>
      <c r="E600">
        <v>1865</v>
      </c>
      <c r="F600" s="1">
        <v>46176</v>
      </c>
      <c r="G600" t="s">
        <v>1219</v>
      </c>
      <c r="H600" t="s">
        <v>1210</v>
      </c>
      <c r="I600">
        <v>11.98</v>
      </c>
      <c r="J600">
        <v>86</v>
      </c>
      <c r="K600">
        <v>123</v>
      </c>
      <c r="L600" t="s">
        <v>1210</v>
      </c>
      <c r="M600">
        <v>1</v>
      </c>
    </row>
    <row r="601" spans="1:13" x14ac:dyDescent="0.45">
      <c r="A601" t="s">
        <v>713</v>
      </c>
      <c r="B601" t="s">
        <v>1225</v>
      </c>
      <c r="C601" t="s">
        <v>1119</v>
      </c>
      <c r="D601" t="s">
        <v>99</v>
      </c>
      <c r="E601">
        <v>1831</v>
      </c>
      <c r="F601" s="1">
        <v>46174</v>
      </c>
      <c r="G601" t="s">
        <v>1219</v>
      </c>
      <c r="H601" t="s">
        <v>1210</v>
      </c>
      <c r="I601">
        <v>4.26</v>
      </c>
      <c r="J601">
        <v>68</v>
      </c>
      <c r="K601">
        <v>117</v>
      </c>
      <c r="L601" t="s">
        <v>1210</v>
      </c>
      <c r="M601">
        <v>3</v>
      </c>
    </row>
    <row r="602" spans="1:13" x14ac:dyDescent="0.45">
      <c r="A602" t="s">
        <v>714</v>
      </c>
      <c r="B602" t="s">
        <v>1223</v>
      </c>
      <c r="C602" t="s">
        <v>1127</v>
      </c>
      <c r="D602" t="s">
        <v>36</v>
      </c>
      <c r="E602">
        <v>927</v>
      </c>
      <c r="F602" s="1">
        <v>46174</v>
      </c>
      <c r="G602" t="s">
        <v>1219</v>
      </c>
      <c r="H602" t="s">
        <v>1210</v>
      </c>
      <c r="I602">
        <v>7.51</v>
      </c>
      <c r="J602">
        <v>83</v>
      </c>
      <c r="K602">
        <v>18</v>
      </c>
      <c r="L602" t="s">
        <v>1210</v>
      </c>
      <c r="M602">
        <v>3</v>
      </c>
    </row>
    <row r="603" spans="1:13" x14ac:dyDescent="0.45">
      <c r="A603" t="s">
        <v>715</v>
      </c>
      <c r="B603" t="s">
        <v>1225</v>
      </c>
      <c r="C603" t="s">
        <v>1119</v>
      </c>
      <c r="D603" t="s">
        <v>1135</v>
      </c>
      <c r="E603">
        <v>1485</v>
      </c>
      <c r="F603" s="1">
        <v>46174</v>
      </c>
      <c r="G603" t="s">
        <v>1219</v>
      </c>
      <c r="H603" t="s">
        <v>1210</v>
      </c>
      <c r="I603">
        <v>13.31</v>
      </c>
      <c r="J603">
        <v>89</v>
      </c>
      <c r="K603">
        <v>313</v>
      </c>
      <c r="L603" t="s">
        <v>1210</v>
      </c>
      <c r="M603">
        <v>3</v>
      </c>
    </row>
    <row r="604" spans="1:13" x14ac:dyDescent="0.45">
      <c r="A604" t="s">
        <v>716</v>
      </c>
      <c r="B604" t="s">
        <v>1225</v>
      </c>
      <c r="C604" t="s">
        <v>1119</v>
      </c>
      <c r="D604" t="s">
        <v>68</v>
      </c>
      <c r="E604">
        <v>1348</v>
      </c>
      <c r="F604" s="1">
        <v>46174</v>
      </c>
      <c r="G604" t="s">
        <v>1219</v>
      </c>
      <c r="H604" t="s">
        <v>1210</v>
      </c>
      <c r="I604">
        <v>17.18</v>
      </c>
      <c r="J604">
        <v>81</v>
      </c>
      <c r="K604">
        <v>293</v>
      </c>
      <c r="L604" t="s">
        <v>1210</v>
      </c>
      <c r="M604">
        <v>3</v>
      </c>
    </row>
    <row r="605" spans="1:13" x14ac:dyDescent="0.45">
      <c r="A605" t="s">
        <v>717</v>
      </c>
      <c r="B605" t="s">
        <v>1225</v>
      </c>
      <c r="C605" t="s">
        <v>1125</v>
      </c>
      <c r="D605" t="s">
        <v>69</v>
      </c>
      <c r="E605">
        <v>1483</v>
      </c>
      <c r="F605" s="1">
        <v>46175</v>
      </c>
      <c r="G605" t="s">
        <v>1219</v>
      </c>
      <c r="H605" t="s">
        <v>1210</v>
      </c>
      <c r="I605">
        <v>13.13</v>
      </c>
      <c r="J605">
        <v>82</v>
      </c>
      <c r="K605">
        <v>105</v>
      </c>
      <c r="L605" t="s">
        <v>1210</v>
      </c>
      <c r="M605">
        <v>2</v>
      </c>
    </row>
    <row r="606" spans="1:13" x14ac:dyDescent="0.45">
      <c r="A606" t="s">
        <v>718</v>
      </c>
      <c r="B606" t="s">
        <v>1217</v>
      </c>
      <c r="C606" t="s">
        <v>1120</v>
      </c>
      <c r="D606" t="s">
        <v>51</v>
      </c>
      <c r="E606">
        <v>2626</v>
      </c>
      <c r="F606" s="1">
        <v>46176</v>
      </c>
      <c r="G606" t="s">
        <v>1219</v>
      </c>
      <c r="H606" t="s">
        <v>1210</v>
      </c>
      <c r="I606">
        <v>3.44</v>
      </c>
      <c r="J606">
        <v>85</v>
      </c>
      <c r="K606">
        <v>102</v>
      </c>
      <c r="L606" t="s">
        <v>1210</v>
      </c>
      <c r="M606">
        <v>1</v>
      </c>
    </row>
    <row r="607" spans="1:13" x14ac:dyDescent="0.45">
      <c r="A607" t="s">
        <v>719</v>
      </c>
      <c r="B607" t="s">
        <v>1217</v>
      </c>
      <c r="C607" t="s">
        <v>1126</v>
      </c>
      <c r="D607" t="s">
        <v>1134</v>
      </c>
      <c r="E607">
        <v>1071</v>
      </c>
      <c r="F607" s="1">
        <v>46176</v>
      </c>
      <c r="G607" t="s">
        <v>1219</v>
      </c>
      <c r="H607" t="s">
        <v>1210</v>
      </c>
      <c r="I607">
        <v>21.3</v>
      </c>
      <c r="J607">
        <v>108</v>
      </c>
      <c r="K607">
        <v>345</v>
      </c>
      <c r="L607" t="s">
        <v>1210</v>
      </c>
      <c r="M607">
        <v>1</v>
      </c>
    </row>
    <row r="608" spans="1:13" x14ac:dyDescent="0.45">
      <c r="A608" t="s">
        <v>720</v>
      </c>
      <c r="B608" t="s">
        <v>1223</v>
      </c>
      <c r="C608" t="s">
        <v>1122</v>
      </c>
      <c r="D608" t="s">
        <v>107</v>
      </c>
      <c r="E608">
        <v>2498</v>
      </c>
      <c r="F608" s="1">
        <v>46176</v>
      </c>
      <c r="G608" t="s">
        <v>1219</v>
      </c>
      <c r="H608" t="s">
        <v>1210</v>
      </c>
      <c r="I608">
        <v>4.3600000000000003</v>
      </c>
      <c r="J608">
        <v>88</v>
      </c>
      <c r="K608">
        <v>108</v>
      </c>
      <c r="L608" t="s">
        <v>1210</v>
      </c>
      <c r="M608">
        <v>1</v>
      </c>
    </row>
    <row r="609" spans="1:13" x14ac:dyDescent="0.45">
      <c r="A609" t="s">
        <v>721</v>
      </c>
      <c r="B609" t="s">
        <v>1223</v>
      </c>
      <c r="C609" t="s">
        <v>1117</v>
      </c>
      <c r="D609" t="s">
        <v>75</v>
      </c>
      <c r="E609">
        <v>986</v>
      </c>
      <c r="F609" s="1">
        <v>46175</v>
      </c>
      <c r="G609" t="s">
        <v>1219</v>
      </c>
      <c r="H609" t="s">
        <v>1210</v>
      </c>
      <c r="J609">
        <v>71</v>
      </c>
      <c r="K609">
        <v>192</v>
      </c>
      <c r="L609" t="s">
        <v>1210</v>
      </c>
      <c r="M609">
        <v>2</v>
      </c>
    </row>
    <row r="610" spans="1:13" x14ac:dyDescent="0.45">
      <c r="A610" t="s">
        <v>722</v>
      </c>
      <c r="B610" t="s">
        <v>1225</v>
      </c>
      <c r="C610" t="s">
        <v>1118</v>
      </c>
      <c r="D610" t="s">
        <v>1136</v>
      </c>
      <c r="E610">
        <v>1802</v>
      </c>
      <c r="F610" s="1">
        <v>46173</v>
      </c>
      <c r="G610" t="s">
        <v>1219</v>
      </c>
      <c r="H610" t="s">
        <v>1210</v>
      </c>
      <c r="I610">
        <v>11.98</v>
      </c>
      <c r="J610">
        <v>86</v>
      </c>
      <c r="K610">
        <v>123</v>
      </c>
      <c r="L610" t="s">
        <v>1210</v>
      </c>
      <c r="M610">
        <v>4</v>
      </c>
    </row>
    <row r="611" spans="1:13" x14ac:dyDescent="0.45">
      <c r="A611" t="s">
        <v>723</v>
      </c>
      <c r="B611" t="s">
        <v>1217</v>
      </c>
      <c r="C611" t="s">
        <v>1115</v>
      </c>
      <c r="D611" t="s">
        <v>64</v>
      </c>
      <c r="E611">
        <v>1330</v>
      </c>
      <c r="F611" s="1">
        <v>46176</v>
      </c>
      <c r="G611" t="s">
        <v>1219</v>
      </c>
      <c r="H611" t="s">
        <v>1210</v>
      </c>
      <c r="J611">
        <v>49</v>
      </c>
      <c r="K611">
        <v>104</v>
      </c>
      <c r="L611" t="s">
        <v>1210</v>
      </c>
      <c r="M611">
        <v>1</v>
      </c>
    </row>
    <row r="612" spans="1:13" x14ac:dyDescent="0.45">
      <c r="A612" t="s">
        <v>724</v>
      </c>
      <c r="B612" t="s">
        <v>1225</v>
      </c>
      <c r="C612" t="s">
        <v>1128</v>
      </c>
      <c r="D612" t="s">
        <v>105</v>
      </c>
      <c r="E612">
        <v>1093</v>
      </c>
      <c r="F612" s="1">
        <v>46175</v>
      </c>
      <c r="G612" t="s">
        <v>1219</v>
      </c>
      <c r="H612" t="s">
        <v>1210</v>
      </c>
      <c r="I612">
        <v>18.170000000000002</v>
      </c>
      <c r="J612">
        <v>61</v>
      </c>
      <c r="K612">
        <v>188</v>
      </c>
      <c r="L612" t="s">
        <v>1210</v>
      </c>
      <c r="M612">
        <v>2</v>
      </c>
    </row>
    <row r="613" spans="1:13" x14ac:dyDescent="0.45">
      <c r="A613" t="s">
        <v>725</v>
      </c>
      <c r="B613" t="s">
        <v>1223</v>
      </c>
      <c r="C613" t="s">
        <v>1124</v>
      </c>
      <c r="D613" t="s">
        <v>84</v>
      </c>
      <c r="E613">
        <v>2333</v>
      </c>
      <c r="F613" s="1">
        <v>46176</v>
      </c>
      <c r="G613" t="s">
        <v>1219</v>
      </c>
      <c r="H613" t="s">
        <v>1210</v>
      </c>
      <c r="I613">
        <v>9.8699999999999992</v>
      </c>
      <c r="J613">
        <v>88</v>
      </c>
      <c r="K613">
        <v>25</v>
      </c>
      <c r="L613" t="s">
        <v>1210</v>
      </c>
      <c r="M613">
        <v>1</v>
      </c>
    </row>
    <row r="614" spans="1:13" x14ac:dyDescent="0.45">
      <c r="A614" t="s">
        <v>726</v>
      </c>
      <c r="B614" t="s">
        <v>1223</v>
      </c>
      <c r="C614" t="s">
        <v>1117</v>
      </c>
      <c r="D614" t="s">
        <v>1136</v>
      </c>
      <c r="E614">
        <v>1729</v>
      </c>
      <c r="F614" s="1">
        <v>46175</v>
      </c>
      <c r="G614" t="s">
        <v>1219</v>
      </c>
      <c r="H614" t="s">
        <v>1210</v>
      </c>
      <c r="I614">
        <v>11.98</v>
      </c>
      <c r="J614">
        <v>86</v>
      </c>
      <c r="K614">
        <v>123</v>
      </c>
      <c r="L614" t="s">
        <v>1210</v>
      </c>
      <c r="M614">
        <v>2</v>
      </c>
    </row>
    <row r="615" spans="1:13" x14ac:dyDescent="0.45">
      <c r="A615" t="s">
        <v>727</v>
      </c>
      <c r="B615" t="s">
        <v>1217</v>
      </c>
      <c r="C615" t="s">
        <v>1120</v>
      </c>
      <c r="D615" t="s">
        <v>42</v>
      </c>
      <c r="E615">
        <v>3115</v>
      </c>
      <c r="F615" s="1">
        <v>46176</v>
      </c>
      <c r="G615" t="s">
        <v>1219</v>
      </c>
      <c r="H615" t="s">
        <v>1210</v>
      </c>
      <c r="I615">
        <v>7.45</v>
      </c>
      <c r="J615">
        <v>147</v>
      </c>
      <c r="K615">
        <v>28</v>
      </c>
      <c r="L615" t="s">
        <v>1210</v>
      </c>
      <c r="M615">
        <v>1</v>
      </c>
    </row>
    <row r="616" spans="1:13" x14ac:dyDescent="0.45">
      <c r="A616" t="s">
        <v>728</v>
      </c>
      <c r="B616" t="s">
        <v>1223</v>
      </c>
      <c r="C616" t="s">
        <v>1124</v>
      </c>
      <c r="D616" t="s">
        <v>62</v>
      </c>
      <c r="E616">
        <v>1513</v>
      </c>
      <c r="F616" s="1">
        <v>46176</v>
      </c>
      <c r="G616" t="s">
        <v>1219</v>
      </c>
      <c r="H616" t="s">
        <v>1210</v>
      </c>
      <c r="I616">
        <v>12.39</v>
      </c>
      <c r="J616">
        <v>134</v>
      </c>
      <c r="K616">
        <v>446</v>
      </c>
      <c r="L616" t="s">
        <v>1210</v>
      </c>
      <c r="M616">
        <v>1</v>
      </c>
    </row>
    <row r="617" spans="1:13" x14ac:dyDescent="0.45">
      <c r="A617" t="s">
        <v>729</v>
      </c>
      <c r="B617" t="s">
        <v>1225</v>
      </c>
      <c r="C617" t="s">
        <v>1123</v>
      </c>
      <c r="D617" t="s">
        <v>43</v>
      </c>
      <c r="E617">
        <v>2363</v>
      </c>
      <c r="F617" s="1">
        <v>46176</v>
      </c>
      <c r="G617" t="s">
        <v>1219</v>
      </c>
      <c r="H617" t="s">
        <v>1210</v>
      </c>
      <c r="I617">
        <v>9.6999999999999993</v>
      </c>
      <c r="J617">
        <v>98</v>
      </c>
      <c r="K617">
        <v>115</v>
      </c>
      <c r="L617" t="s">
        <v>1210</v>
      </c>
      <c r="M617">
        <v>1</v>
      </c>
    </row>
    <row r="618" spans="1:13" x14ac:dyDescent="0.45">
      <c r="A618" t="s">
        <v>730</v>
      </c>
      <c r="B618" t="s">
        <v>1217</v>
      </c>
      <c r="C618" t="s">
        <v>1120</v>
      </c>
      <c r="D618" t="s">
        <v>41</v>
      </c>
      <c r="E618">
        <v>3666</v>
      </c>
      <c r="F618" s="1">
        <v>46175</v>
      </c>
      <c r="G618" t="s">
        <v>1219</v>
      </c>
      <c r="H618" t="s">
        <v>1210</v>
      </c>
      <c r="I618">
        <v>6.24</v>
      </c>
      <c r="J618">
        <v>146</v>
      </c>
      <c r="K618">
        <v>24</v>
      </c>
      <c r="L618" t="s">
        <v>1210</v>
      </c>
      <c r="M618">
        <v>2</v>
      </c>
    </row>
    <row r="619" spans="1:13" x14ac:dyDescent="0.45">
      <c r="A619" t="s">
        <v>731</v>
      </c>
      <c r="B619" t="s">
        <v>1217</v>
      </c>
      <c r="C619" t="s">
        <v>1116</v>
      </c>
      <c r="D619" t="s">
        <v>81</v>
      </c>
      <c r="E619">
        <v>397</v>
      </c>
      <c r="F619" s="1">
        <v>46176</v>
      </c>
      <c r="G619" t="s">
        <v>1219</v>
      </c>
      <c r="H619" t="s">
        <v>1210</v>
      </c>
      <c r="I619">
        <v>20.5</v>
      </c>
      <c r="J619">
        <v>64</v>
      </c>
      <c r="K619">
        <v>359</v>
      </c>
      <c r="L619" t="s">
        <v>1210</v>
      </c>
      <c r="M619">
        <v>1</v>
      </c>
    </row>
    <row r="620" spans="1:13" x14ac:dyDescent="0.45">
      <c r="A620" t="s">
        <v>732</v>
      </c>
      <c r="B620" t="s">
        <v>1223</v>
      </c>
      <c r="C620" t="s">
        <v>1122</v>
      </c>
      <c r="D620" t="s">
        <v>18</v>
      </c>
      <c r="E620">
        <v>1239</v>
      </c>
      <c r="F620" s="1">
        <v>46176</v>
      </c>
      <c r="G620" t="s">
        <v>1219</v>
      </c>
      <c r="H620" t="s">
        <v>1210</v>
      </c>
      <c r="I620">
        <v>16.489999999999998</v>
      </c>
      <c r="J620">
        <v>102</v>
      </c>
      <c r="K620">
        <v>315</v>
      </c>
      <c r="L620" t="s">
        <v>1210</v>
      </c>
      <c r="M620">
        <v>1</v>
      </c>
    </row>
    <row r="621" spans="1:13" x14ac:dyDescent="0.45">
      <c r="A621" t="s">
        <v>733</v>
      </c>
      <c r="B621" t="s">
        <v>1217</v>
      </c>
      <c r="C621" t="s">
        <v>1114</v>
      </c>
      <c r="D621" t="s">
        <v>64</v>
      </c>
      <c r="E621">
        <v>1169</v>
      </c>
      <c r="F621" s="1">
        <v>46175</v>
      </c>
      <c r="G621" t="s">
        <v>1219</v>
      </c>
      <c r="H621" t="s">
        <v>1210</v>
      </c>
      <c r="J621">
        <v>49</v>
      </c>
      <c r="K621">
        <v>104</v>
      </c>
      <c r="L621" t="s">
        <v>1210</v>
      </c>
      <c r="M621">
        <v>2</v>
      </c>
    </row>
    <row r="622" spans="1:13" x14ac:dyDescent="0.45">
      <c r="A622" t="s">
        <v>734</v>
      </c>
      <c r="B622" t="s">
        <v>1217</v>
      </c>
      <c r="C622" t="s">
        <v>1114</v>
      </c>
      <c r="D622" t="s">
        <v>1137</v>
      </c>
      <c r="E622">
        <v>1042</v>
      </c>
      <c r="F622" s="1">
        <v>46173</v>
      </c>
      <c r="G622" t="s">
        <v>1221</v>
      </c>
      <c r="H622" t="s">
        <v>1210</v>
      </c>
      <c r="I622">
        <v>10.96</v>
      </c>
      <c r="J622">
        <v>128</v>
      </c>
      <c r="K622">
        <v>520</v>
      </c>
      <c r="L622" t="s">
        <v>1210</v>
      </c>
      <c r="M622">
        <v>4</v>
      </c>
    </row>
    <row r="623" spans="1:13" x14ac:dyDescent="0.45">
      <c r="A623" t="s">
        <v>735</v>
      </c>
      <c r="B623" t="s">
        <v>1223</v>
      </c>
      <c r="C623" t="s">
        <v>1122</v>
      </c>
      <c r="D623" t="s">
        <v>8</v>
      </c>
      <c r="E623">
        <v>2246</v>
      </c>
      <c r="F623" s="1">
        <v>46176</v>
      </c>
      <c r="G623" t="s">
        <v>1219</v>
      </c>
      <c r="H623" t="s">
        <v>1210</v>
      </c>
      <c r="I623">
        <v>5.25</v>
      </c>
      <c r="J623">
        <v>76</v>
      </c>
      <c r="K623">
        <v>104</v>
      </c>
      <c r="L623" t="s">
        <v>1210</v>
      </c>
      <c r="M623">
        <v>1</v>
      </c>
    </row>
    <row r="624" spans="1:13" x14ac:dyDescent="0.45">
      <c r="A624" t="s">
        <v>736</v>
      </c>
      <c r="B624" t="s">
        <v>1217</v>
      </c>
      <c r="C624" t="s">
        <v>1114</v>
      </c>
      <c r="D624" t="s">
        <v>95</v>
      </c>
      <c r="E624">
        <v>1479</v>
      </c>
      <c r="F624" s="1">
        <v>46174</v>
      </c>
      <c r="G624" t="s">
        <v>1221</v>
      </c>
      <c r="H624" t="s">
        <v>1210</v>
      </c>
      <c r="I624">
        <v>14.82</v>
      </c>
      <c r="J624">
        <v>132</v>
      </c>
      <c r="K624">
        <v>373</v>
      </c>
      <c r="L624" t="s">
        <v>1210</v>
      </c>
      <c r="M624">
        <v>3</v>
      </c>
    </row>
    <row r="625" spans="1:13" x14ac:dyDescent="0.45">
      <c r="A625" t="s">
        <v>737</v>
      </c>
      <c r="B625" t="s">
        <v>1217</v>
      </c>
      <c r="C625" t="s">
        <v>1115</v>
      </c>
      <c r="D625" t="s">
        <v>80</v>
      </c>
      <c r="E625">
        <v>871</v>
      </c>
      <c r="F625" s="1">
        <v>46175</v>
      </c>
      <c r="G625" t="s">
        <v>1219</v>
      </c>
      <c r="H625" t="s">
        <v>1210</v>
      </c>
      <c r="I625">
        <v>8.75</v>
      </c>
      <c r="J625">
        <v>123</v>
      </c>
      <c r="K625">
        <v>341</v>
      </c>
      <c r="L625" t="s">
        <v>1210</v>
      </c>
      <c r="M625">
        <v>2</v>
      </c>
    </row>
    <row r="626" spans="1:13" x14ac:dyDescent="0.45">
      <c r="A626" t="s">
        <v>738</v>
      </c>
      <c r="B626" t="s">
        <v>1223</v>
      </c>
      <c r="C626" t="s">
        <v>1122</v>
      </c>
      <c r="D626" t="s">
        <v>59</v>
      </c>
      <c r="E626">
        <v>1331</v>
      </c>
      <c r="F626" s="1">
        <v>46176</v>
      </c>
      <c r="G626" t="s">
        <v>1219</v>
      </c>
      <c r="H626" t="s">
        <v>1210</v>
      </c>
      <c r="I626">
        <v>15.2</v>
      </c>
      <c r="J626">
        <v>135</v>
      </c>
      <c r="K626">
        <v>361</v>
      </c>
      <c r="L626" t="s">
        <v>1210</v>
      </c>
      <c r="M626">
        <v>1</v>
      </c>
    </row>
    <row r="627" spans="1:13" x14ac:dyDescent="0.45">
      <c r="A627" t="s">
        <v>739</v>
      </c>
      <c r="B627" t="s">
        <v>1217</v>
      </c>
      <c r="C627" t="s">
        <v>1115</v>
      </c>
      <c r="D627" t="s">
        <v>71</v>
      </c>
      <c r="E627">
        <v>1083</v>
      </c>
      <c r="F627" s="1">
        <v>46176</v>
      </c>
      <c r="G627" t="s">
        <v>1219</v>
      </c>
      <c r="H627" t="s">
        <v>1210</v>
      </c>
      <c r="I627">
        <v>12.02</v>
      </c>
      <c r="J627">
        <v>75</v>
      </c>
      <c r="K627">
        <v>402</v>
      </c>
      <c r="L627" t="s">
        <v>1210</v>
      </c>
      <c r="M627">
        <v>1</v>
      </c>
    </row>
    <row r="628" spans="1:13" x14ac:dyDescent="0.45">
      <c r="A628" t="s">
        <v>740</v>
      </c>
      <c r="B628" t="s">
        <v>1225</v>
      </c>
      <c r="C628" t="s">
        <v>1128</v>
      </c>
      <c r="D628" t="s">
        <v>19</v>
      </c>
      <c r="E628">
        <v>2638</v>
      </c>
      <c r="F628" s="1">
        <v>46175</v>
      </c>
      <c r="G628" t="s">
        <v>1219</v>
      </c>
      <c r="H628" t="s">
        <v>1210</v>
      </c>
      <c r="I628">
        <v>8.0500000000000007</v>
      </c>
      <c r="J628">
        <v>147</v>
      </c>
      <c r="K628">
        <v>28</v>
      </c>
      <c r="L628" t="s">
        <v>1210</v>
      </c>
      <c r="M628">
        <v>2</v>
      </c>
    </row>
    <row r="629" spans="1:13" x14ac:dyDescent="0.45">
      <c r="A629" t="s">
        <v>741</v>
      </c>
      <c r="B629" t="s">
        <v>1225</v>
      </c>
      <c r="C629" t="s">
        <v>1125</v>
      </c>
      <c r="D629" t="s">
        <v>29</v>
      </c>
      <c r="E629">
        <v>969</v>
      </c>
      <c r="F629" s="1">
        <v>46176</v>
      </c>
      <c r="G629" t="s">
        <v>1219</v>
      </c>
      <c r="H629" t="s">
        <v>1210</v>
      </c>
      <c r="I629">
        <v>4</v>
      </c>
      <c r="J629">
        <v>58</v>
      </c>
      <c r="K629">
        <v>112</v>
      </c>
      <c r="L629" t="s">
        <v>1210</v>
      </c>
      <c r="M629">
        <v>1</v>
      </c>
    </row>
    <row r="630" spans="1:13" x14ac:dyDescent="0.45">
      <c r="A630" t="s">
        <v>742</v>
      </c>
      <c r="B630" t="s">
        <v>1223</v>
      </c>
      <c r="C630" t="s">
        <v>1121</v>
      </c>
      <c r="D630" t="s">
        <v>1129</v>
      </c>
      <c r="E630">
        <v>1190</v>
      </c>
      <c r="F630" s="1">
        <v>46175</v>
      </c>
      <c r="G630" t="s">
        <v>1219</v>
      </c>
      <c r="H630" t="s">
        <v>1210</v>
      </c>
      <c r="I630">
        <v>3.43</v>
      </c>
      <c r="J630">
        <v>88</v>
      </c>
      <c r="K630">
        <v>109</v>
      </c>
      <c r="L630" t="s">
        <v>1210</v>
      </c>
      <c r="M630">
        <v>2</v>
      </c>
    </row>
    <row r="631" spans="1:13" x14ac:dyDescent="0.45">
      <c r="A631" t="s">
        <v>743</v>
      </c>
      <c r="B631" t="s">
        <v>1217</v>
      </c>
      <c r="C631" t="s">
        <v>1114</v>
      </c>
      <c r="D631" t="s">
        <v>27</v>
      </c>
      <c r="E631">
        <v>1540</v>
      </c>
      <c r="F631" s="1">
        <v>46174</v>
      </c>
      <c r="G631" t="s">
        <v>1221</v>
      </c>
      <c r="H631" t="s">
        <v>1210</v>
      </c>
      <c r="I631">
        <v>4.37</v>
      </c>
      <c r="J631">
        <v>58</v>
      </c>
      <c r="K631">
        <v>92</v>
      </c>
      <c r="L631" t="s">
        <v>1210</v>
      </c>
      <c r="M631">
        <v>3</v>
      </c>
    </row>
    <row r="632" spans="1:13" x14ac:dyDescent="0.45">
      <c r="A632" t="s">
        <v>744</v>
      </c>
      <c r="B632" t="s">
        <v>1217</v>
      </c>
      <c r="C632" t="s">
        <v>1126</v>
      </c>
      <c r="D632" t="s">
        <v>65</v>
      </c>
      <c r="E632">
        <v>1917</v>
      </c>
      <c r="F632" s="1">
        <v>46176</v>
      </c>
      <c r="G632" t="s">
        <v>1219</v>
      </c>
      <c r="H632" t="s">
        <v>1210</v>
      </c>
      <c r="I632">
        <v>9.8000000000000007</v>
      </c>
      <c r="J632">
        <v>83</v>
      </c>
      <c r="K632">
        <v>15</v>
      </c>
      <c r="L632" t="s">
        <v>1210</v>
      </c>
      <c r="M632">
        <v>1</v>
      </c>
    </row>
    <row r="633" spans="1:13" x14ac:dyDescent="0.45">
      <c r="A633" t="s">
        <v>745</v>
      </c>
      <c r="B633" t="s">
        <v>1225</v>
      </c>
      <c r="C633" t="s">
        <v>1125</v>
      </c>
      <c r="D633" t="s">
        <v>105</v>
      </c>
      <c r="E633">
        <v>1056</v>
      </c>
      <c r="F633" s="1">
        <v>46176</v>
      </c>
      <c r="G633" t="s">
        <v>1219</v>
      </c>
      <c r="H633" t="s">
        <v>1210</v>
      </c>
      <c r="I633">
        <v>18.170000000000002</v>
      </c>
      <c r="J633">
        <v>61</v>
      </c>
      <c r="K633">
        <v>188</v>
      </c>
      <c r="L633" t="s">
        <v>1210</v>
      </c>
      <c r="M633">
        <v>1</v>
      </c>
    </row>
    <row r="634" spans="1:13" x14ac:dyDescent="0.45">
      <c r="A634" t="s">
        <v>746</v>
      </c>
      <c r="B634" t="s">
        <v>1217</v>
      </c>
      <c r="C634" t="s">
        <v>1114</v>
      </c>
      <c r="D634" t="s">
        <v>12</v>
      </c>
      <c r="E634">
        <v>377</v>
      </c>
      <c r="F634" s="1">
        <v>46174</v>
      </c>
      <c r="G634" t="s">
        <v>1221</v>
      </c>
      <c r="H634" t="s">
        <v>1210</v>
      </c>
      <c r="J634">
        <v>69</v>
      </c>
      <c r="K634">
        <v>291</v>
      </c>
      <c r="L634" t="s">
        <v>1210</v>
      </c>
      <c r="M634">
        <v>3</v>
      </c>
    </row>
    <row r="635" spans="1:13" x14ac:dyDescent="0.45">
      <c r="A635" t="s">
        <v>747</v>
      </c>
      <c r="B635" t="s">
        <v>1217</v>
      </c>
      <c r="C635" t="s">
        <v>1116</v>
      </c>
      <c r="D635" t="s">
        <v>77</v>
      </c>
      <c r="E635">
        <v>2105</v>
      </c>
      <c r="F635" s="1">
        <v>46164</v>
      </c>
      <c r="G635" t="s">
        <v>1219</v>
      </c>
      <c r="H635" t="s">
        <v>1210</v>
      </c>
      <c r="I635">
        <v>6.1</v>
      </c>
      <c r="J635">
        <v>137</v>
      </c>
      <c r="K635">
        <v>17</v>
      </c>
      <c r="L635" t="s">
        <v>1210</v>
      </c>
      <c r="M635">
        <v>13</v>
      </c>
    </row>
    <row r="636" spans="1:13" x14ac:dyDescent="0.45">
      <c r="A636" t="s">
        <v>748</v>
      </c>
      <c r="B636" t="s">
        <v>1223</v>
      </c>
      <c r="C636" t="s">
        <v>1122</v>
      </c>
      <c r="D636" t="s">
        <v>28</v>
      </c>
      <c r="E636">
        <v>2566</v>
      </c>
      <c r="F636" s="1">
        <v>46176</v>
      </c>
      <c r="G636" t="s">
        <v>1221</v>
      </c>
      <c r="H636" t="s">
        <v>1210</v>
      </c>
      <c r="I636">
        <v>8.94</v>
      </c>
      <c r="J636">
        <v>100</v>
      </c>
      <c r="K636">
        <v>17</v>
      </c>
      <c r="L636" t="s">
        <v>1210</v>
      </c>
      <c r="M636">
        <v>1</v>
      </c>
    </row>
    <row r="637" spans="1:13" x14ac:dyDescent="0.45">
      <c r="A637" t="s">
        <v>749</v>
      </c>
      <c r="B637" t="s">
        <v>1217</v>
      </c>
      <c r="C637" t="s">
        <v>1115</v>
      </c>
      <c r="D637" t="s">
        <v>32</v>
      </c>
      <c r="E637">
        <v>1911</v>
      </c>
      <c r="F637" s="1">
        <v>46164</v>
      </c>
      <c r="G637" t="s">
        <v>1219</v>
      </c>
      <c r="H637" t="s">
        <v>1210</v>
      </c>
      <c r="I637">
        <v>11.45</v>
      </c>
      <c r="J637">
        <v>93</v>
      </c>
      <c r="K637">
        <v>16</v>
      </c>
      <c r="L637" t="s">
        <v>1210</v>
      </c>
      <c r="M637">
        <v>13</v>
      </c>
    </row>
    <row r="638" spans="1:13" x14ac:dyDescent="0.45">
      <c r="A638" t="s">
        <v>750</v>
      </c>
      <c r="B638" t="s">
        <v>1225</v>
      </c>
      <c r="C638" t="s">
        <v>1123</v>
      </c>
      <c r="D638" t="s">
        <v>71</v>
      </c>
      <c r="E638">
        <v>1826</v>
      </c>
      <c r="F638" s="1">
        <v>46176</v>
      </c>
      <c r="G638" t="s">
        <v>1219</v>
      </c>
      <c r="H638" t="s">
        <v>1210</v>
      </c>
      <c r="I638">
        <v>12.02</v>
      </c>
      <c r="J638">
        <v>75</v>
      </c>
      <c r="K638">
        <v>402</v>
      </c>
      <c r="L638" t="s">
        <v>1210</v>
      </c>
      <c r="M638">
        <v>1</v>
      </c>
    </row>
    <row r="639" spans="1:13" x14ac:dyDescent="0.45">
      <c r="A639" t="s">
        <v>751</v>
      </c>
      <c r="B639" t="s">
        <v>1217</v>
      </c>
      <c r="C639" t="s">
        <v>1115</v>
      </c>
      <c r="D639" t="s">
        <v>33</v>
      </c>
      <c r="E639">
        <v>845</v>
      </c>
      <c r="F639" s="1">
        <v>46175</v>
      </c>
      <c r="G639" t="s">
        <v>1219</v>
      </c>
      <c r="H639" t="s">
        <v>1210</v>
      </c>
      <c r="I639">
        <v>16.28</v>
      </c>
      <c r="J639">
        <v>90</v>
      </c>
      <c r="K639">
        <v>280</v>
      </c>
      <c r="L639" t="s">
        <v>1210</v>
      </c>
      <c r="M639">
        <v>2</v>
      </c>
    </row>
    <row r="640" spans="1:13" x14ac:dyDescent="0.45">
      <c r="A640" t="s">
        <v>752</v>
      </c>
      <c r="B640" t="s">
        <v>1225</v>
      </c>
      <c r="C640" t="s">
        <v>1123</v>
      </c>
      <c r="D640" t="s">
        <v>96</v>
      </c>
      <c r="E640">
        <v>866</v>
      </c>
      <c r="F640" s="1">
        <v>46176</v>
      </c>
      <c r="G640" t="s">
        <v>1219</v>
      </c>
      <c r="H640" t="s">
        <v>1210</v>
      </c>
      <c r="I640">
        <v>4.43</v>
      </c>
      <c r="J640">
        <v>63</v>
      </c>
      <c r="K640">
        <v>115</v>
      </c>
      <c r="L640" t="s">
        <v>1210</v>
      </c>
      <c r="M640">
        <v>1</v>
      </c>
    </row>
    <row r="641" spans="1:13" x14ac:dyDescent="0.45">
      <c r="A641" t="s">
        <v>753</v>
      </c>
      <c r="B641" t="s">
        <v>1223</v>
      </c>
      <c r="C641" t="s">
        <v>1121</v>
      </c>
      <c r="D641" t="s">
        <v>1134</v>
      </c>
      <c r="E641">
        <v>417</v>
      </c>
      <c r="F641" s="1">
        <v>46175</v>
      </c>
      <c r="G641" t="s">
        <v>1219</v>
      </c>
      <c r="H641" t="s">
        <v>1210</v>
      </c>
      <c r="I641">
        <v>21.3</v>
      </c>
      <c r="J641">
        <v>108</v>
      </c>
      <c r="K641">
        <v>345</v>
      </c>
      <c r="L641" t="s">
        <v>1210</v>
      </c>
      <c r="M641">
        <v>2</v>
      </c>
    </row>
    <row r="642" spans="1:13" x14ac:dyDescent="0.45">
      <c r="A642" t="s">
        <v>754</v>
      </c>
      <c r="B642" t="s">
        <v>1217</v>
      </c>
      <c r="C642" t="s">
        <v>1115</v>
      </c>
      <c r="D642" t="s">
        <v>101</v>
      </c>
      <c r="E642">
        <v>870</v>
      </c>
      <c r="F642" s="1">
        <v>46176</v>
      </c>
      <c r="G642" t="s">
        <v>1219</v>
      </c>
      <c r="H642" t="s">
        <v>1210</v>
      </c>
      <c r="I642">
        <v>3.56</v>
      </c>
      <c r="J642">
        <v>64</v>
      </c>
      <c r="K642">
        <v>92</v>
      </c>
      <c r="L642" t="s">
        <v>1210</v>
      </c>
      <c r="M642">
        <v>1</v>
      </c>
    </row>
    <row r="643" spans="1:13" x14ac:dyDescent="0.45">
      <c r="A643" t="s">
        <v>755</v>
      </c>
      <c r="B643" t="s">
        <v>1217</v>
      </c>
      <c r="C643" t="s">
        <v>1120</v>
      </c>
      <c r="D643" t="s">
        <v>76</v>
      </c>
      <c r="E643">
        <v>345</v>
      </c>
      <c r="F643" s="1">
        <v>46175</v>
      </c>
      <c r="G643" t="s">
        <v>1221</v>
      </c>
      <c r="H643" t="s">
        <v>1210</v>
      </c>
      <c r="I643">
        <v>5.09</v>
      </c>
      <c r="J643">
        <v>40</v>
      </c>
      <c r="K643">
        <v>90</v>
      </c>
      <c r="L643" t="s">
        <v>1210</v>
      </c>
      <c r="M643">
        <v>2</v>
      </c>
    </row>
    <row r="644" spans="1:13" x14ac:dyDescent="0.45">
      <c r="A644" t="s">
        <v>756</v>
      </c>
      <c r="B644" t="s">
        <v>1217</v>
      </c>
      <c r="C644" t="s">
        <v>1114</v>
      </c>
      <c r="D644" t="s">
        <v>1135</v>
      </c>
      <c r="E644">
        <v>973</v>
      </c>
      <c r="F644" s="1">
        <v>46173</v>
      </c>
      <c r="G644" t="s">
        <v>1219</v>
      </c>
      <c r="H644" t="s">
        <v>1210</v>
      </c>
      <c r="I644">
        <v>13.31</v>
      </c>
      <c r="J644">
        <v>89</v>
      </c>
      <c r="K644">
        <v>313</v>
      </c>
      <c r="L644" t="s">
        <v>1210</v>
      </c>
      <c r="M644">
        <v>4</v>
      </c>
    </row>
    <row r="645" spans="1:13" x14ac:dyDescent="0.45">
      <c r="A645" t="s">
        <v>757</v>
      </c>
      <c r="B645" t="s">
        <v>1223</v>
      </c>
      <c r="C645" t="s">
        <v>1124</v>
      </c>
      <c r="D645" t="s">
        <v>1147</v>
      </c>
      <c r="E645">
        <v>723</v>
      </c>
      <c r="F645" s="1">
        <v>46176</v>
      </c>
      <c r="G645" t="s">
        <v>1219</v>
      </c>
      <c r="H645" t="s">
        <v>1210</v>
      </c>
      <c r="L645" t="s">
        <v>1353</v>
      </c>
      <c r="M645">
        <v>1</v>
      </c>
    </row>
    <row r="646" spans="1:13" x14ac:dyDescent="0.45">
      <c r="A646" t="s">
        <v>758</v>
      </c>
      <c r="B646" t="s">
        <v>1225</v>
      </c>
      <c r="C646" t="s">
        <v>1118</v>
      </c>
      <c r="D646" t="s">
        <v>1138</v>
      </c>
      <c r="E646">
        <v>429</v>
      </c>
      <c r="F646" s="1">
        <v>46175</v>
      </c>
      <c r="G646" t="s">
        <v>1219</v>
      </c>
      <c r="H646" t="s">
        <v>1210</v>
      </c>
      <c r="I646">
        <v>3.92</v>
      </c>
      <c r="J646">
        <v>49</v>
      </c>
      <c r="K646">
        <v>98</v>
      </c>
      <c r="L646" t="s">
        <v>1210</v>
      </c>
      <c r="M646">
        <v>2</v>
      </c>
    </row>
    <row r="647" spans="1:13" x14ac:dyDescent="0.45">
      <c r="A647" t="s">
        <v>759</v>
      </c>
      <c r="B647" t="s">
        <v>1217</v>
      </c>
      <c r="C647" t="s">
        <v>1126</v>
      </c>
      <c r="D647" t="s">
        <v>56</v>
      </c>
      <c r="E647">
        <v>2072</v>
      </c>
      <c r="F647" s="1">
        <v>46176</v>
      </c>
      <c r="G647" t="s">
        <v>1219</v>
      </c>
      <c r="H647" t="s">
        <v>1210</v>
      </c>
      <c r="I647">
        <v>6.27</v>
      </c>
      <c r="J647">
        <v>67</v>
      </c>
      <c r="K647">
        <v>90</v>
      </c>
      <c r="L647" t="s">
        <v>1210</v>
      </c>
      <c r="M647">
        <v>1</v>
      </c>
    </row>
    <row r="648" spans="1:13" x14ac:dyDescent="0.45">
      <c r="A648" t="s">
        <v>760</v>
      </c>
      <c r="B648" t="s">
        <v>1225</v>
      </c>
      <c r="C648" t="s">
        <v>1119</v>
      </c>
      <c r="D648" t="s">
        <v>95</v>
      </c>
      <c r="E648">
        <v>1563</v>
      </c>
      <c r="F648" s="1">
        <v>46176</v>
      </c>
      <c r="G648" t="s">
        <v>1219</v>
      </c>
      <c r="H648" t="s">
        <v>1210</v>
      </c>
      <c r="I648">
        <v>14.82</v>
      </c>
      <c r="J648">
        <v>132</v>
      </c>
      <c r="K648">
        <v>373</v>
      </c>
      <c r="L648" t="s">
        <v>1210</v>
      </c>
      <c r="M648">
        <v>1</v>
      </c>
    </row>
    <row r="649" spans="1:13" x14ac:dyDescent="0.45">
      <c r="A649" t="s">
        <v>761</v>
      </c>
      <c r="B649" t="s">
        <v>1217</v>
      </c>
      <c r="C649" t="s">
        <v>1126</v>
      </c>
      <c r="D649" t="s">
        <v>42</v>
      </c>
      <c r="E649">
        <v>2616</v>
      </c>
      <c r="F649" s="1">
        <v>46176</v>
      </c>
      <c r="G649" t="s">
        <v>1219</v>
      </c>
      <c r="H649" t="s">
        <v>1210</v>
      </c>
      <c r="I649">
        <v>7.45</v>
      </c>
      <c r="J649">
        <v>147</v>
      </c>
      <c r="K649">
        <v>28</v>
      </c>
      <c r="L649" t="s">
        <v>1210</v>
      </c>
      <c r="M649">
        <v>1</v>
      </c>
    </row>
    <row r="650" spans="1:13" x14ac:dyDescent="0.45">
      <c r="A650" t="s">
        <v>762</v>
      </c>
      <c r="B650" t="s">
        <v>1225</v>
      </c>
      <c r="C650" t="s">
        <v>1123</v>
      </c>
      <c r="D650" t="s">
        <v>50</v>
      </c>
      <c r="E650">
        <v>2087</v>
      </c>
      <c r="F650" s="1">
        <v>46176</v>
      </c>
      <c r="G650" t="s">
        <v>1219</v>
      </c>
      <c r="H650" t="s">
        <v>1210</v>
      </c>
      <c r="I650">
        <v>9.02</v>
      </c>
      <c r="J650">
        <v>114</v>
      </c>
      <c r="K650">
        <v>18</v>
      </c>
      <c r="L650" t="s">
        <v>1210</v>
      </c>
      <c r="M650">
        <v>1</v>
      </c>
    </row>
    <row r="651" spans="1:13" x14ac:dyDescent="0.45">
      <c r="A651" t="s">
        <v>763</v>
      </c>
      <c r="B651" t="s">
        <v>1217</v>
      </c>
      <c r="C651" t="s">
        <v>1126</v>
      </c>
      <c r="D651" t="s">
        <v>22</v>
      </c>
      <c r="E651">
        <v>1705</v>
      </c>
      <c r="F651" s="1">
        <v>46176</v>
      </c>
      <c r="G651" t="s">
        <v>1219</v>
      </c>
      <c r="H651" t="s">
        <v>1210</v>
      </c>
      <c r="I651">
        <v>5.27</v>
      </c>
      <c r="J651">
        <v>60</v>
      </c>
      <c r="K651">
        <v>129</v>
      </c>
      <c r="L651" t="s">
        <v>1210</v>
      </c>
      <c r="M651">
        <v>1</v>
      </c>
    </row>
    <row r="652" spans="1:13" x14ac:dyDescent="0.45">
      <c r="A652" t="s">
        <v>764</v>
      </c>
      <c r="B652" t="s">
        <v>1225</v>
      </c>
      <c r="C652" t="s">
        <v>1128</v>
      </c>
      <c r="D652" t="s">
        <v>70</v>
      </c>
      <c r="E652">
        <v>491</v>
      </c>
      <c r="F652" s="1">
        <v>46176</v>
      </c>
      <c r="G652" t="s">
        <v>1219</v>
      </c>
      <c r="H652" t="s">
        <v>1210</v>
      </c>
      <c r="I652">
        <v>5.04</v>
      </c>
      <c r="J652">
        <v>47</v>
      </c>
      <c r="K652">
        <v>96</v>
      </c>
      <c r="L652" t="s">
        <v>1210</v>
      </c>
      <c r="M652">
        <v>1</v>
      </c>
    </row>
    <row r="653" spans="1:13" x14ac:dyDescent="0.45">
      <c r="A653" t="s">
        <v>765</v>
      </c>
      <c r="B653" t="s">
        <v>1225</v>
      </c>
      <c r="C653" t="s">
        <v>1128</v>
      </c>
      <c r="D653" t="s">
        <v>66</v>
      </c>
      <c r="E653">
        <v>804</v>
      </c>
      <c r="F653" s="1">
        <v>46175</v>
      </c>
      <c r="G653" t="s">
        <v>1219</v>
      </c>
      <c r="H653" t="s">
        <v>1210</v>
      </c>
      <c r="I653">
        <v>23.39</v>
      </c>
      <c r="J653">
        <v>79</v>
      </c>
      <c r="K653">
        <v>329</v>
      </c>
      <c r="L653" t="s">
        <v>1210</v>
      </c>
      <c r="M653">
        <v>2</v>
      </c>
    </row>
    <row r="654" spans="1:13" x14ac:dyDescent="0.45">
      <c r="A654" t="s">
        <v>766</v>
      </c>
      <c r="B654" t="s">
        <v>1217</v>
      </c>
      <c r="C654" t="s">
        <v>1120</v>
      </c>
      <c r="D654" t="s">
        <v>54</v>
      </c>
      <c r="E654">
        <v>1683</v>
      </c>
      <c r="F654" s="1">
        <v>46176</v>
      </c>
      <c r="G654" t="s">
        <v>1219</v>
      </c>
      <c r="H654" t="s">
        <v>1210</v>
      </c>
      <c r="I654">
        <v>12.85</v>
      </c>
      <c r="J654">
        <v>91</v>
      </c>
      <c r="K654">
        <v>297</v>
      </c>
      <c r="L654" t="s">
        <v>1210</v>
      </c>
      <c r="M654">
        <v>1</v>
      </c>
    </row>
    <row r="655" spans="1:13" x14ac:dyDescent="0.45">
      <c r="A655" t="s">
        <v>767</v>
      </c>
      <c r="B655" t="s">
        <v>1225</v>
      </c>
      <c r="C655" t="s">
        <v>1128</v>
      </c>
      <c r="D655" t="s">
        <v>1134</v>
      </c>
      <c r="E655">
        <v>951</v>
      </c>
      <c r="F655" s="1">
        <v>46176</v>
      </c>
      <c r="G655" t="s">
        <v>1219</v>
      </c>
      <c r="H655" t="s">
        <v>1210</v>
      </c>
      <c r="I655">
        <v>21.3</v>
      </c>
      <c r="J655">
        <v>108</v>
      </c>
      <c r="K655">
        <v>345</v>
      </c>
      <c r="L655" t="s">
        <v>1210</v>
      </c>
      <c r="M655">
        <v>1</v>
      </c>
    </row>
    <row r="656" spans="1:13" x14ac:dyDescent="0.45">
      <c r="A656" t="s">
        <v>768</v>
      </c>
      <c r="B656" t="s">
        <v>1223</v>
      </c>
      <c r="C656" t="s">
        <v>1124</v>
      </c>
      <c r="D656" t="s">
        <v>53</v>
      </c>
      <c r="E656">
        <v>879</v>
      </c>
      <c r="F656" s="1">
        <v>46176</v>
      </c>
      <c r="G656" t="s">
        <v>1221</v>
      </c>
      <c r="H656" t="s">
        <v>1210</v>
      </c>
      <c r="I656">
        <v>10.029999999999999</v>
      </c>
      <c r="J656">
        <v>126</v>
      </c>
      <c r="K656">
        <v>17</v>
      </c>
      <c r="L656" t="s">
        <v>1210</v>
      </c>
      <c r="M656">
        <v>1</v>
      </c>
    </row>
    <row r="657" spans="1:13" x14ac:dyDescent="0.45">
      <c r="A657" t="s">
        <v>769</v>
      </c>
      <c r="B657" t="s">
        <v>1217</v>
      </c>
      <c r="C657" t="s">
        <v>1116</v>
      </c>
      <c r="D657" t="s">
        <v>10</v>
      </c>
      <c r="E657">
        <v>-100</v>
      </c>
      <c r="F657" s="1">
        <v>46174</v>
      </c>
      <c r="G657" t="s">
        <v>1219</v>
      </c>
      <c r="H657" t="s">
        <v>1233</v>
      </c>
      <c r="I657">
        <v>14.2</v>
      </c>
      <c r="J657">
        <v>95</v>
      </c>
      <c r="K657">
        <v>277</v>
      </c>
      <c r="L657" t="s">
        <v>1210</v>
      </c>
      <c r="M657">
        <v>3</v>
      </c>
    </row>
    <row r="658" spans="1:13" x14ac:dyDescent="0.45">
      <c r="A658" t="s">
        <v>770</v>
      </c>
      <c r="B658" t="s">
        <v>1223</v>
      </c>
      <c r="C658" t="s">
        <v>1127</v>
      </c>
      <c r="D658" t="s">
        <v>1133</v>
      </c>
      <c r="E658">
        <v>1093</v>
      </c>
      <c r="F658" s="1">
        <v>46176</v>
      </c>
      <c r="G658" t="s">
        <v>1219</v>
      </c>
      <c r="H658" t="s">
        <v>1210</v>
      </c>
      <c r="I658">
        <v>3.75</v>
      </c>
      <c r="J658">
        <v>41</v>
      </c>
      <c r="K658">
        <v>106</v>
      </c>
      <c r="L658" t="s">
        <v>1210</v>
      </c>
      <c r="M658">
        <v>1</v>
      </c>
    </row>
    <row r="659" spans="1:13" x14ac:dyDescent="0.45">
      <c r="A659" t="s">
        <v>771</v>
      </c>
      <c r="B659" t="s">
        <v>1225</v>
      </c>
      <c r="C659" t="s">
        <v>1118</v>
      </c>
      <c r="D659" t="s">
        <v>67</v>
      </c>
      <c r="E659">
        <v>2673</v>
      </c>
      <c r="F659" s="1">
        <v>46172</v>
      </c>
      <c r="G659" t="s">
        <v>1219</v>
      </c>
      <c r="H659" t="s">
        <v>1210</v>
      </c>
      <c r="I659">
        <v>8.32</v>
      </c>
      <c r="J659">
        <v>98</v>
      </c>
      <c r="K659">
        <v>16</v>
      </c>
      <c r="L659" t="s">
        <v>1210</v>
      </c>
      <c r="M659">
        <v>5</v>
      </c>
    </row>
    <row r="660" spans="1:13" x14ac:dyDescent="0.45">
      <c r="A660" t="s">
        <v>772</v>
      </c>
      <c r="B660" t="s">
        <v>1223</v>
      </c>
      <c r="C660" t="s">
        <v>1122</v>
      </c>
      <c r="D660" t="s">
        <v>100</v>
      </c>
      <c r="E660">
        <v>2046</v>
      </c>
      <c r="F660" s="1">
        <v>46176</v>
      </c>
      <c r="G660" t="s">
        <v>1219</v>
      </c>
      <c r="H660" t="s">
        <v>1210</v>
      </c>
      <c r="I660">
        <v>9.7899999999999991</v>
      </c>
      <c r="J660">
        <v>123</v>
      </c>
      <c r="K660">
        <v>334</v>
      </c>
      <c r="L660" t="s">
        <v>1210</v>
      </c>
      <c r="M660">
        <v>1</v>
      </c>
    </row>
    <row r="661" spans="1:13" x14ac:dyDescent="0.45">
      <c r="A661" t="s">
        <v>773</v>
      </c>
      <c r="B661" t="s">
        <v>1217</v>
      </c>
      <c r="C661" t="s">
        <v>1115</v>
      </c>
      <c r="D661" t="s">
        <v>95</v>
      </c>
      <c r="E661">
        <v>1483</v>
      </c>
      <c r="F661" s="1">
        <v>46176</v>
      </c>
      <c r="G661" t="s">
        <v>1219</v>
      </c>
      <c r="H661" t="s">
        <v>1210</v>
      </c>
      <c r="I661">
        <v>14.82</v>
      </c>
      <c r="J661">
        <v>132</v>
      </c>
      <c r="K661">
        <v>373</v>
      </c>
      <c r="L661" t="s">
        <v>1210</v>
      </c>
      <c r="M661">
        <v>1</v>
      </c>
    </row>
    <row r="662" spans="1:13" x14ac:dyDescent="0.45">
      <c r="A662" t="s">
        <v>774</v>
      </c>
      <c r="B662" t="s">
        <v>1223</v>
      </c>
      <c r="C662" t="s">
        <v>1127</v>
      </c>
      <c r="D662" t="s">
        <v>107</v>
      </c>
      <c r="E662">
        <v>962</v>
      </c>
      <c r="F662" s="1">
        <v>46176</v>
      </c>
      <c r="G662" t="s">
        <v>1219</v>
      </c>
      <c r="H662" t="s">
        <v>1210</v>
      </c>
      <c r="I662">
        <v>4.3600000000000003</v>
      </c>
      <c r="J662">
        <v>88</v>
      </c>
      <c r="K662">
        <v>108</v>
      </c>
      <c r="L662" t="s">
        <v>1210</v>
      </c>
      <c r="M662">
        <v>1</v>
      </c>
    </row>
    <row r="663" spans="1:13" x14ac:dyDescent="0.45">
      <c r="A663" t="s">
        <v>775</v>
      </c>
      <c r="B663" t="s">
        <v>1225</v>
      </c>
      <c r="C663" t="s">
        <v>1119</v>
      </c>
      <c r="D663" t="s">
        <v>68</v>
      </c>
      <c r="E663">
        <v>1343</v>
      </c>
      <c r="F663" s="1">
        <v>46176</v>
      </c>
      <c r="G663" t="s">
        <v>1219</v>
      </c>
      <c r="H663" t="s">
        <v>1210</v>
      </c>
      <c r="I663">
        <v>17.18</v>
      </c>
      <c r="J663">
        <v>81</v>
      </c>
      <c r="K663">
        <v>293</v>
      </c>
      <c r="L663" t="s">
        <v>1210</v>
      </c>
      <c r="M663">
        <v>1</v>
      </c>
    </row>
    <row r="664" spans="1:13" x14ac:dyDescent="0.45">
      <c r="A664" t="s">
        <v>776</v>
      </c>
      <c r="B664" t="s">
        <v>1225</v>
      </c>
      <c r="C664" t="s">
        <v>1128</v>
      </c>
      <c r="D664" t="s">
        <v>1141</v>
      </c>
      <c r="E664">
        <v>1175</v>
      </c>
      <c r="F664" s="1">
        <v>46175</v>
      </c>
      <c r="G664" t="s">
        <v>1219</v>
      </c>
      <c r="H664" t="s">
        <v>1210</v>
      </c>
      <c r="J664">
        <v>100</v>
      </c>
      <c r="K664">
        <v>512</v>
      </c>
      <c r="L664" t="s">
        <v>1210</v>
      </c>
      <c r="M664">
        <v>2</v>
      </c>
    </row>
    <row r="665" spans="1:13" x14ac:dyDescent="0.45">
      <c r="A665" t="s">
        <v>777</v>
      </c>
      <c r="B665" t="s">
        <v>1225</v>
      </c>
      <c r="C665" t="s">
        <v>1128</v>
      </c>
      <c r="D665" t="s">
        <v>88</v>
      </c>
      <c r="E665">
        <v>1859</v>
      </c>
      <c r="F665" s="1">
        <v>46175</v>
      </c>
      <c r="G665" t="s">
        <v>1219</v>
      </c>
      <c r="H665" t="s">
        <v>1210</v>
      </c>
      <c r="I665">
        <v>11.02</v>
      </c>
      <c r="J665">
        <v>69</v>
      </c>
      <c r="K665">
        <v>86</v>
      </c>
      <c r="L665" t="s">
        <v>1210</v>
      </c>
      <c r="M665">
        <v>2</v>
      </c>
    </row>
    <row r="666" spans="1:13" x14ac:dyDescent="0.45">
      <c r="A666" t="s">
        <v>778</v>
      </c>
      <c r="B666" t="s">
        <v>1223</v>
      </c>
      <c r="C666" t="s">
        <v>1121</v>
      </c>
      <c r="D666" t="s">
        <v>81</v>
      </c>
      <c r="E666">
        <v>1046</v>
      </c>
      <c r="F666" s="1">
        <v>46175</v>
      </c>
      <c r="G666" t="s">
        <v>1219</v>
      </c>
      <c r="H666" t="s">
        <v>1210</v>
      </c>
      <c r="I666">
        <v>20.5</v>
      </c>
      <c r="J666">
        <v>64</v>
      </c>
      <c r="K666">
        <v>359</v>
      </c>
      <c r="L666" t="s">
        <v>1210</v>
      </c>
      <c r="M666">
        <v>2</v>
      </c>
    </row>
    <row r="667" spans="1:13" x14ac:dyDescent="0.45">
      <c r="A667" t="s">
        <v>779</v>
      </c>
      <c r="B667" t="s">
        <v>1225</v>
      </c>
      <c r="C667" t="s">
        <v>1125</v>
      </c>
      <c r="D667" t="s">
        <v>47</v>
      </c>
      <c r="E667">
        <v>1516</v>
      </c>
      <c r="F667" s="1">
        <v>46176</v>
      </c>
      <c r="G667" t="s">
        <v>1219</v>
      </c>
      <c r="H667" t="s">
        <v>1210</v>
      </c>
      <c r="I667">
        <v>15.14</v>
      </c>
      <c r="J667">
        <v>117</v>
      </c>
      <c r="K667">
        <v>484</v>
      </c>
      <c r="L667" t="s">
        <v>1210</v>
      </c>
      <c r="M667">
        <v>1</v>
      </c>
    </row>
    <row r="668" spans="1:13" x14ac:dyDescent="0.45">
      <c r="A668" t="s">
        <v>780</v>
      </c>
      <c r="B668" t="s">
        <v>1217</v>
      </c>
      <c r="C668" t="s">
        <v>1126</v>
      </c>
      <c r="D668" t="s">
        <v>15</v>
      </c>
      <c r="E668">
        <v>431</v>
      </c>
      <c r="F668" s="1">
        <v>46176</v>
      </c>
      <c r="G668" t="s">
        <v>1219</v>
      </c>
      <c r="H668" t="s">
        <v>1210</v>
      </c>
      <c r="I668">
        <v>5.53</v>
      </c>
      <c r="J668">
        <v>42</v>
      </c>
      <c r="K668">
        <v>114</v>
      </c>
      <c r="L668" t="s">
        <v>1210</v>
      </c>
      <c r="M668">
        <v>1</v>
      </c>
    </row>
    <row r="669" spans="1:13" x14ac:dyDescent="0.45">
      <c r="A669" t="s">
        <v>781</v>
      </c>
      <c r="B669" t="s">
        <v>1225</v>
      </c>
      <c r="C669" t="s">
        <v>1125</v>
      </c>
      <c r="D669" t="s">
        <v>19</v>
      </c>
      <c r="E669">
        <v>2833</v>
      </c>
      <c r="F669" s="1">
        <v>46176</v>
      </c>
      <c r="G669" t="s">
        <v>1219</v>
      </c>
      <c r="H669" t="s">
        <v>1210</v>
      </c>
      <c r="I669">
        <v>8.0500000000000007</v>
      </c>
      <c r="J669">
        <v>147</v>
      </c>
      <c r="K669">
        <v>28</v>
      </c>
      <c r="L669" t="s">
        <v>1210</v>
      </c>
      <c r="M669">
        <v>1</v>
      </c>
    </row>
    <row r="670" spans="1:13" x14ac:dyDescent="0.45">
      <c r="A670" t="s">
        <v>782</v>
      </c>
      <c r="B670" t="s">
        <v>1223</v>
      </c>
      <c r="C670" t="s">
        <v>1122</v>
      </c>
      <c r="D670" t="s">
        <v>75</v>
      </c>
      <c r="E670">
        <v>1269</v>
      </c>
      <c r="F670" s="1">
        <v>46176</v>
      </c>
      <c r="G670" t="s">
        <v>1219</v>
      </c>
      <c r="H670" t="s">
        <v>1210</v>
      </c>
      <c r="J670">
        <v>71</v>
      </c>
      <c r="K670">
        <v>192</v>
      </c>
      <c r="L670" t="s">
        <v>1210</v>
      </c>
      <c r="M670">
        <v>1</v>
      </c>
    </row>
    <row r="671" spans="1:13" x14ac:dyDescent="0.45">
      <c r="A671" t="s">
        <v>783</v>
      </c>
      <c r="B671" t="s">
        <v>1217</v>
      </c>
      <c r="C671" t="s">
        <v>1114</v>
      </c>
      <c r="D671" t="s">
        <v>92</v>
      </c>
      <c r="E671">
        <v>756</v>
      </c>
      <c r="F671" s="1">
        <v>46174</v>
      </c>
      <c r="G671" t="s">
        <v>1219</v>
      </c>
      <c r="H671" t="s">
        <v>1210</v>
      </c>
      <c r="I671">
        <v>10.9</v>
      </c>
      <c r="J671">
        <v>131</v>
      </c>
      <c r="K671">
        <v>22</v>
      </c>
      <c r="L671" t="s">
        <v>1210</v>
      </c>
      <c r="M671">
        <v>3</v>
      </c>
    </row>
    <row r="672" spans="1:13" x14ac:dyDescent="0.45">
      <c r="A672" t="s">
        <v>784</v>
      </c>
      <c r="B672" t="s">
        <v>1225</v>
      </c>
      <c r="C672" t="s">
        <v>1125</v>
      </c>
      <c r="D672" t="s">
        <v>45</v>
      </c>
      <c r="E672">
        <v>1118</v>
      </c>
      <c r="F672" s="1">
        <v>46175</v>
      </c>
      <c r="G672" t="s">
        <v>1219</v>
      </c>
      <c r="H672" t="s">
        <v>1210</v>
      </c>
      <c r="I672">
        <v>17.47</v>
      </c>
      <c r="J672">
        <v>65</v>
      </c>
      <c r="K672">
        <v>216</v>
      </c>
      <c r="L672" t="s">
        <v>1210</v>
      </c>
      <c r="M672">
        <v>2</v>
      </c>
    </row>
    <row r="673" spans="1:13" x14ac:dyDescent="0.45">
      <c r="A673" t="s">
        <v>785</v>
      </c>
      <c r="B673" t="s">
        <v>1223</v>
      </c>
      <c r="C673" t="s">
        <v>1122</v>
      </c>
      <c r="D673" t="s">
        <v>61</v>
      </c>
      <c r="E673">
        <v>1769</v>
      </c>
      <c r="F673" s="1">
        <v>46176</v>
      </c>
      <c r="G673" t="s">
        <v>1219</v>
      </c>
      <c r="H673" t="s">
        <v>1210</v>
      </c>
      <c r="I673">
        <v>12.41</v>
      </c>
      <c r="J673">
        <v>95</v>
      </c>
      <c r="K673">
        <v>227</v>
      </c>
      <c r="L673" t="s">
        <v>1210</v>
      </c>
      <c r="M673">
        <v>1</v>
      </c>
    </row>
    <row r="674" spans="1:13" x14ac:dyDescent="0.45">
      <c r="A674" t="s">
        <v>786</v>
      </c>
      <c r="B674" t="s">
        <v>1225</v>
      </c>
      <c r="C674" t="s">
        <v>1119</v>
      </c>
      <c r="D674" t="s">
        <v>99</v>
      </c>
      <c r="E674">
        <v>2015</v>
      </c>
      <c r="F674" s="1">
        <v>46175</v>
      </c>
      <c r="G674" t="s">
        <v>1219</v>
      </c>
      <c r="H674" t="s">
        <v>1210</v>
      </c>
      <c r="I674">
        <v>4.26</v>
      </c>
      <c r="J674">
        <v>68</v>
      </c>
      <c r="K674">
        <v>117</v>
      </c>
      <c r="L674" t="s">
        <v>1210</v>
      </c>
      <c r="M674">
        <v>2</v>
      </c>
    </row>
    <row r="675" spans="1:13" x14ac:dyDescent="0.45">
      <c r="A675" t="s">
        <v>787</v>
      </c>
      <c r="B675" t="s">
        <v>1217</v>
      </c>
      <c r="C675" t="s">
        <v>1120</v>
      </c>
      <c r="D675" t="s">
        <v>43</v>
      </c>
      <c r="E675">
        <v>2129</v>
      </c>
      <c r="F675" s="1">
        <v>46176</v>
      </c>
      <c r="G675" t="s">
        <v>1219</v>
      </c>
      <c r="H675" t="s">
        <v>1210</v>
      </c>
      <c r="I675">
        <v>9.6999999999999993</v>
      </c>
      <c r="J675">
        <v>98</v>
      </c>
      <c r="K675">
        <v>115</v>
      </c>
      <c r="L675" t="s">
        <v>1210</v>
      </c>
      <c r="M675">
        <v>1</v>
      </c>
    </row>
    <row r="676" spans="1:13" x14ac:dyDescent="0.45">
      <c r="A676" t="s">
        <v>788</v>
      </c>
      <c r="B676" t="s">
        <v>1225</v>
      </c>
      <c r="C676" t="s">
        <v>1125</v>
      </c>
      <c r="D676" t="s">
        <v>1129</v>
      </c>
      <c r="E676">
        <v>2645</v>
      </c>
      <c r="F676" s="1">
        <v>46174</v>
      </c>
      <c r="G676" t="s">
        <v>1219</v>
      </c>
      <c r="H676" t="s">
        <v>1210</v>
      </c>
      <c r="I676">
        <v>3.43</v>
      </c>
      <c r="J676">
        <v>88</v>
      </c>
      <c r="K676">
        <v>109</v>
      </c>
      <c r="L676" t="s">
        <v>1210</v>
      </c>
      <c r="M676">
        <v>3</v>
      </c>
    </row>
    <row r="677" spans="1:13" x14ac:dyDescent="0.45">
      <c r="A677" t="s">
        <v>789</v>
      </c>
      <c r="B677" t="s">
        <v>1225</v>
      </c>
      <c r="C677" t="s">
        <v>1125</v>
      </c>
      <c r="D677" t="s">
        <v>89</v>
      </c>
      <c r="E677">
        <v>509</v>
      </c>
      <c r="F677" s="1">
        <v>46175</v>
      </c>
      <c r="G677" t="s">
        <v>1219</v>
      </c>
      <c r="H677" t="s">
        <v>1210</v>
      </c>
      <c r="I677">
        <v>13.67</v>
      </c>
      <c r="J677">
        <v>78</v>
      </c>
      <c r="K677">
        <v>247</v>
      </c>
      <c r="L677" t="s">
        <v>1210</v>
      </c>
      <c r="M677">
        <v>2</v>
      </c>
    </row>
    <row r="678" spans="1:13" x14ac:dyDescent="0.45">
      <c r="A678" t="s">
        <v>790</v>
      </c>
      <c r="B678" t="s">
        <v>1225</v>
      </c>
      <c r="C678" t="s">
        <v>1118</v>
      </c>
      <c r="D678" t="s">
        <v>76</v>
      </c>
      <c r="E678">
        <v>428</v>
      </c>
      <c r="F678" s="1">
        <v>46174</v>
      </c>
      <c r="G678" t="s">
        <v>1219</v>
      </c>
      <c r="H678" t="s">
        <v>1210</v>
      </c>
      <c r="I678">
        <v>5.09</v>
      </c>
      <c r="J678">
        <v>40</v>
      </c>
      <c r="K678">
        <v>90</v>
      </c>
      <c r="L678" t="s">
        <v>1210</v>
      </c>
      <c r="M678">
        <v>3</v>
      </c>
    </row>
    <row r="679" spans="1:13" x14ac:dyDescent="0.45">
      <c r="A679" t="s">
        <v>791</v>
      </c>
      <c r="B679" t="s">
        <v>1225</v>
      </c>
      <c r="C679" t="s">
        <v>1128</v>
      </c>
      <c r="D679" t="s">
        <v>110</v>
      </c>
      <c r="E679">
        <v>2870</v>
      </c>
      <c r="F679" s="1">
        <v>46175</v>
      </c>
      <c r="G679" t="s">
        <v>1219</v>
      </c>
      <c r="H679" t="s">
        <v>1210</v>
      </c>
      <c r="I679">
        <v>6.16</v>
      </c>
      <c r="J679">
        <v>104</v>
      </c>
      <c r="K679">
        <v>67</v>
      </c>
      <c r="L679" t="s">
        <v>1210</v>
      </c>
      <c r="M679">
        <v>2</v>
      </c>
    </row>
    <row r="680" spans="1:13" x14ac:dyDescent="0.45">
      <c r="A680" t="s">
        <v>792</v>
      </c>
      <c r="B680" t="s">
        <v>1223</v>
      </c>
      <c r="C680" t="s">
        <v>1117</v>
      </c>
      <c r="D680" t="s">
        <v>19</v>
      </c>
      <c r="E680">
        <v>1419</v>
      </c>
      <c r="F680" s="1">
        <v>46176</v>
      </c>
      <c r="G680" t="s">
        <v>1219</v>
      </c>
      <c r="H680" t="s">
        <v>1210</v>
      </c>
      <c r="I680">
        <v>8.0500000000000007</v>
      </c>
      <c r="J680">
        <v>147</v>
      </c>
      <c r="K680">
        <v>28</v>
      </c>
      <c r="L680" t="s">
        <v>1210</v>
      </c>
      <c r="M680">
        <v>1</v>
      </c>
    </row>
    <row r="681" spans="1:13" x14ac:dyDescent="0.45">
      <c r="A681" t="s">
        <v>793</v>
      </c>
      <c r="B681" t="s">
        <v>1223</v>
      </c>
      <c r="C681" t="s">
        <v>1122</v>
      </c>
      <c r="D681" t="s">
        <v>67</v>
      </c>
      <c r="E681">
        <v>2701</v>
      </c>
      <c r="F681" s="1">
        <v>46176</v>
      </c>
      <c r="G681" t="s">
        <v>1219</v>
      </c>
      <c r="H681" t="s">
        <v>1210</v>
      </c>
      <c r="I681">
        <v>8.32</v>
      </c>
      <c r="J681">
        <v>98</v>
      </c>
      <c r="K681">
        <v>16</v>
      </c>
      <c r="L681" t="s">
        <v>1210</v>
      </c>
      <c r="M681">
        <v>1</v>
      </c>
    </row>
    <row r="682" spans="1:13" x14ac:dyDescent="0.45">
      <c r="A682" t="s">
        <v>794</v>
      </c>
      <c r="B682" t="s">
        <v>1225</v>
      </c>
      <c r="C682" t="s">
        <v>1125</v>
      </c>
      <c r="D682" t="s">
        <v>29</v>
      </c>
      <c r="E682">
        <v>1691</v>
      </c>
      <c r="F682" s="1">
        <v>46175</v>
      </c>
      <c r="G682" t="s">
        <v>1219</v>
      </c>
      <c r="H682" t="s">
        <v>1210</v>
      </c>
      <c r="I682">
        <v>4</v>
      </c>
      <c r="J682">
        <v>58</v>
      </c>
      <c r="K682">
        <v>112</v>
      </c>
      <c r="L682" t="s">
        <v>1210</v>
      </c>
      <c r="M682">
        <v>2</v>
      </c>
    </row>
    <row r="683" spans="1:13" x14ac:dyDescent="0.45">
      <c r="A683" t="s">
        <v>795</v>
      </c>
      <c r="B683" t="s">
        <v>1217</v>
      </c>
      <c r="C683" t="s">
        <v>1126</v>
      </c>
      <c r="D683" t="s">
        <v>91</v>
      </c>
      <c r="E683">
        <v>1490</v>
      </c>
      <c r="F683" s="1">
        <v>46176</v>
      </c>
      <c r="G683" t="s">
        <v>1219</v>
      </c>
      <c r="H683" t="s">
        <v>1210</v>
      </c>
      <c r="I683">
        <v>13.9</v>
      </c>
      <c r="J683">
        <v>69</v>
      </c>
      <c r="K683">
        <v>106</v>
      </c>
      <c r="L683" t="s">
        <v>1210</v>
      </c>
      <c r="M683">
        <v>1</v>
      </c>
    </row>
    <row r="684" spans="1:13" x14ac:dyDescent="0.45">
      <c r="A684" t="s">
        <v>796</v>
      </c>
      <c r="B684" t="s">
        <v>1217</v>
      </c>
      <c r="C684" t="s">
        <v>1120</v>
      </c>
      <c r="D684" t="s">
        <v>19</v>
      </c>
      <c r="E684">
        <v>848</v>
      </c>
      <c r="F684" s="1">
        <v>46176</v>
      </c>
      <c r="G684" t="s">
        <v>1219</v>
      </c>
      <c r="H684" t="s">
        <v>1210</v>
      </c>
      <c r="I684">
        <v>8.0500000000000007</v>
      </c>
      <c r="J684">
        <v>147</v>
      </c>
      <c r="K684">
        <v>28</v>
      </c>
      <c r="L684" t="s">
        <v>1210</v>
      </c>
      <c r="M684">
        <v>1</v>
      </c>
    </row>
    <row r="685" spans="1:13" x14ac:dyDescent="0.45">
      <c r="A685" t="s">
        <v>797</v>
      </c>
      <c r="B685" t="s">
        <v>1225</v>
      </c>
      <c r="C685" t="s">
        <v>1123</v>
      </c>
      <c r="D685" t="s">
        <v>63</v>
      </c>
      <c r="E685">
        <v>1314</v>
      </c>
      <c r="F685" s="1">
        <v>46174</v>
      </c>
      <c r="G685" t="s">
        <v>1219</v>
      </c>
      <c r="H685" t="s">
        <v>1210</v>
      </c>
      <c r="I685">
        <v>4.29</v>
      </c>
      <c r="J685">
        <v>44</v>
      </c>
      <c r="K685">
        <v>111</v>
      </c>
      <c r="L685" t="s">
        <v>1210</v>
      </c>
      <c r="M685">
        <v>3</v>
      </c>
    </row>
    <row r="686" spans="1:13" x14ac:dyDescent="0.45">
      <c r="A686" t="s">
        <v>798</v>
      </c>
      <c r="B686" t="s">
        <v>1223</v>
      </c>
      <c r="C686" t="s">
        <v>1117</v>
      </c>
      <c r="D686" t="s">
        <v>59</v>
      </c>
      <c r="E686">
        <v>1300</v>
      </c>
      <c r="F686" s="1">
        <v>46174</v>
      </c>
      <c r="G686" t="s">
        <v>1219</v>
      </c>
      <c r="H686" t="s">
        <v>1210</v>
      </c>
      <c r="I686">
        <v>15.2</v>
      </c>
      <c r="J686">
        <v>135</v>
      </c>
      <c r="K686">
        <v>361</v>
      </c>
      <c r="L686" t="s">
        <v>1210</v>
      </c>
      <c r="M686">
        <v>3</v>
      </c>
    </row>
    <row r="687" spans="1:13" x14ac:dyDescent="0.45">
      <c r="A687" t="s">
        <v>799</v>
      </c>
      <c r="B687" t="s">
        <v>1223</v>
      </c>
      <c r="C687" t="s">
        <v>1121</v>
      </c>
      <c r="D687" t="s">
        <v>36</v>
      </c>
      <c r="E687">
        <v>2180</v>
      </c>
      <c r="F687" s="1">
        <v>46176</v>
      </c>
      <c r="G687" t="s">
        <v>1219</v>
      </c>
      <c r="H687" t="s">
        <v>1210</v>
      </c>
      <c r="I687">
        <v>7.51</v>
      </c>
      <c r="J687">
        <v>83</v>
      </c>
      <c r="K687">
        <v>18</v>
      </c>
      <c r="L687" t="s">
        <v>1210</v>
      </c>
      <c r="M687">
        <v>1</v>
      </c>
    </row>
    <row r="688" spans="1:13" x14ac:dyDescent="0.45">
      <c r="A688" t="s">
        <v>800</v>
      </c>
      <c r="B688" t="s">
        <v>1217</v>
      </c>
      <c r="C688" t="s">
        <v>1116</v>
      </c>
      <c r="D688" t="s">
        <v>10</v>
      </c>
      <c r="E688">
        <v>1532</v>
      </c>
      <c r="F688" s="1">
        <v>46176</v>
      </c>
      <c r="G688" t="s">
        <v>1219</v>
      </c>
      <c r="H688" t="s">
        <v>1210</v>
      </c>
      <c r="I688">
        <v>14.2</v>
      </c>
      <c r="J688">
        <v>95</v>
      </c>
      <c r="K688">
        <v>277</v>
      </c>
      <c r="L688" t="s">
        <v>1210</v>
      </c>
      <c r="M688">
        <v>1</v>
      </c>
    </row>
    <row r="689" spans="1:13" x14ac:dyDescent="0.45">
      <c r="A689" t="s">
        <v>801</v>
      </c>
      <c r="B689" t="s">
        <v>1217</v>
      </c>
      <c r="C689" t="s">
        <v>1115</v>
      </c>
      <c r="D689" t="s">
        <v>65</v>
      </c>
      <c r="E689">
        <v>801</v>
      </c>
      <c r="F689" s="1">
        <v>46176</v>
      </c>
      <c r="G689" t="s">
        <v>1219</v>
      </c>
      <c r="H689" t="s">
        <v>1210</v>
      </c>
      <c r="I689">
        <v>9.8000000000000007</v>
      </c>
      <c r="J689">
        <v>83</v>
      </c>
      <c r="K689">
        <v>15</v>
      </c>
      <c r="L689" t="s">
        <v>1210</v>
      </c>
      <c r="M689">
        <v>1</v>
      </c>
    </row>
    <row r="690" spans="1:13" x14ac:dyDescent="0.45">
      <c r="A690" t="s">
        <v>802</v>
      </c>
      <c r="B690" t="s">
        <v>1223</v>
      </c>
      <c r="C690" t="s">
        <v>1127</v>
      </c>
      <c r="D690" t="s">
        <v>100</v>
      </c>
      <c r="E690">
        <v>2014</v>
      </c>
      <c r="F690" s="1">
        <v>46174</v>
      </c>
      <c r="G690" t="s">
        <v>1219</v>
      </c>
      <c r="H690" t="s">
        <v>1210</v>
      </c>
      <c r="I690">
        <v>9.7899999999999991</v>
      </c>
      <c r="J690">
        <v>123</v>
      </c>
      <c r="K690">
        <v>334</v>
      </c>
      <c r="L690" t="s">
        <v>1210</v>
      </c>
      <c r="M690">
        <v>3</v>
      </c>
    </row>
    <row r="691" spans="1:13" x14ac:dyDescent="0.45">
      <c r="A691" t="s">
        <v>803</v>
      </c>
      <c r="B691" t="s">
        <v>1225</v>
      </c>
      <c r="C691" t="s">
        <v>1118</v>
      </c>
      <c r="D691" t="s">
        <v>43</v>
      </c>
      <c r="E691">
        <v>2119</v>
      </c>
      <c r="F691" s="1">
        <v>46174</v>
      </c>
      <c r="G691" t="s">
        <v>1219</v>
      </c>
      <c r="H691" t="s">
        <v>1210</v>
      </c>
      <c r="I691">
        <v>9.6999999999999993</v>
      </c>
      <c r="J691">
        <v>98</v>
      </c>
      <c r="K691">
        <v>115</v>
      </c>
      <c r="L691" t="s">
        <v>1210</v>
      </c>
      <c r="M691">
        <v>3</v>
      </c>
    </row>
    <row r="692" spans="1:13" x14ac:dyDescent="0.45">
      <c r="A692" t="s">
        <v>804</v>
      </c>
      <c r="B692" t="s">
        <v>1223</v>
      </c>
      <c r="C692" t="s">
        <v>1121</v>
      </c>
      <c r="D692" t="s">
        <v>85</v>
      </c>
      <c r="E692">
        <v>3074</v>
      </c>
      <c r="F692" s="1">
        <v>46175</v>
      </c>
      <c r="G692" t="s">
        <v>1219</v>
      </c>
      <c r="H692" t="s">
        <v>1210</v>
      </c>
      <c r="I692">
        <v>6.87</v>
      </c>
      <c r="J692">
        <v>101</v>
      </c>
      <c r="K692">
        <v>62</v>
      </c>
      <c r="L692" t="s">
        <v>1210</v>
      </c>
      <c r="M692">
        <v>2</v>
      </c>
    </row>
    <row r="693" spans="1:13" x14ac:dyDescent="0.45">
      <c r="A693" t="s">
        <v>805</v>
      </c>
      <c r="B693" t="s">
        <v>1225</v>
      </c>
      <c r="C693" t="s">
        <v>1123</v>
      </c>
      <c r="D693" t="s">
        <v>18</v>
      </c>
      <c r="E693">
        <v>1349</v>
      </c>
      <c r="F693" s="1">
        <v>46176</v>
      </c>
      <c r="G693" t="s">
        <v>1219</v>
      </c>
      <c r="H693" t="s">
        <v>1210</v>
      </c>
      <c r="I693">
        <v>16.489999999999998</v>
      </c>
      <c r="J693">
        <v>102</v>
      </c>
      <c r="K693">
        <v>315</v>
      </c>
      <c r="L693" t="s">
        <v>1210</v>
      </c>
      <c r="M693">
        <v>1</v>
      </c>
    </row>
    <row r="694" spans="1:13" x14ac:dyDescent="0.45">
      <c r="A694" t="s">
        <v>806</v>
      </c>
      <c r="B694" t="s">
        <v>1223</v>
      </c>
      <c r="C694" t="s">
        <v>1121</v>
      </c>
      <c r="D694" t="s">
        <v>88</v>
      </c>
      <c r="E694">
        <v>1209</v>
      </c>
      <c r="F694" s="1">
        <v>46175</v>
      </c>
      <c r="G694" t="s">
        <v>1219</v>
      </c>
      <c r="H694" t="s">
        <v>1210</v>
      </c>
      <c r="I694">
        <v>11.02</v>
      </c>
      <c r="J694">
        <v>69</v>
      </c>
      <c r="K694">
        <v>86</v>
      </c>
      <c r="L694" t="s">
        <v>1210</v>
      </c>
      <c r="M694">
        <v>2</v>
      </c>
    </row>
    <row r="695" spans="1:13" x14ac:dyDescent="0.45">
      <c r="A695" t="s">
        <v>807</v>
      </c>
      <c r="B695" t="s">
        <v>1223</v>
      </c>
      <c r="C695" t="s">
        <v>1117</v>
      </c>
      <c r="D695" t="s">
        <v>1135</v>
      </c>
      <c r="E695">
        <v>1447</v>
      </c>
      <c r="F695" s="1">
        <v>46175</v>
      </c>
      <c r="G695" t="s">
        <v>1221</v>
      </c>
      <c r="H695" t="s">
        <v>1210</v>
      </c>
      <c r="I695">
        <v>13.31</v>
      </c>
      <c r="J695">
        <v>89</v>
      </c>
      <c r="K695">
        <v>313</v>
      </c>
      <c r="L695" t="s">
        <v>1210</v>
      </c>
      <c r="M695">
        <v>2</v>
      </c>
    </row>
    <row r="696" spans="1:13" x14ac:dyDescent="0.45">
      <c r="A696" t="s">
        <v>808</v>
      </c>
      <c r="B696" t="s">
        <v>1223</v>
      </c>
      <c r="C696" t="s">
        <v>1121</v>
      </c>
      <c r="D696" t="s">
        <v>110</v>
      </c>
      <c r="E696">
        <v>3239</v>
      </c>
      <c r="F696" s="1">
        <v>46175</v>
      </c>
      <c r="G696" t="s">
        <v>1219</v>
      </c>
      <c r="H696" t="s">
        <v>1210</v>
      </c>
      <c r="I696">
        <v>6.16</v>
      </c>
      <c r="J696">
        <v>104</v>
      </c>
      <c r="K696">
        <v>67</v>
      </c>
      <c r="L696" t="s">
        <v>1210</v>
      </c>
      <c r="M696">
        <v>2</v>
      </c>
    </row>
    <row r="697" spans="1:13" x14ac:dyDescent="0.45">
      <c r="A697" t="s">
        <v>809</v>
      </c>
      <c r="B697" t="s">
        <v>1225</v>
      </c>
      <c r="C697" t="s">
        <v>1118</v>
      </c>
      <c r="D697" t="s">
        <v>1141</v>
      </c>
      <c r="E697">
        <v>722</v>
      </c>
      <c r="F697" s="1">
        <v>46174</v>
      </c>
      <c r="G697" t="s">
        <v>1219</v>
      </c>
      <c r="H697" t="s">
        <v>1210</v>
      </c>
      <c r="J697">
        <v>100</v>
      </c>
      <c r="K697">
        <v>512</v>
      </c>
      <c r="L697" t="s">
        <v>1210</v>
      </c>
      <c r="M697">
        <v>3</v>
      </c>
    </row>
    <row r="698" spans="1:13" x14ac:dyDescent="0.45">
      <c r="A698" t="s">
        <v>810</v>
      </c>
      <c r="B698" t="s">
        <v>1225</v>
      </c>
      <c r="C698" t="s">
        <v>1123</v>
      </c>
      <c r="D698" t="s">
        <v>57</v>
      </c>
      <c r="E698">
        <v>1209</v>
      </c>
      <c r="F698" s="1">
        <v>46176</v>
      </c>
      <c r="G698" t="s">
        <v>1219</v>
      </c>
      <c r="H698" t="s">
        <v>1210</v>
      </c>
      <c r="I698">
        <v>8.19</v>
      </c>
      <c r="J698">
        <v>82</v>
      </c>
      <c r="K698">
        <v>317</v>
      </c>
      <c r="L698" t="s">
        <v>1210</v>
      </c>
      <c r="M698">
        <v>1</v>
      </c>
    </row>
    <row r="699" spans="1:13" x14ac:dyDescent="0.45">
      <c r="A699" t="s">
        <v>811</v>
      </c>
      <c r="B699" t="s">
        <v>1223</v>
      </c>
      <c r="C699" t="s">
        <v>1127</v>
      </c>
      <c r="D699" t="s">
        <v>1148</v>
      </c>
      <c r="E699">
        <v>2624</v>
      </c>
      <c r="F699" s="1">
        <v>46174</v>
      </c>
      <c r="G699" t="s">
        <v>1219</v>
      </c>
      <c r="H699" t="s">
        <v>1210</v>
      </c>
      <c r="L699" t="s">
        <v>1353</v>
      </c>
      <c r="M699">
        <v>3</v>
      </c>
    </row>
    <row r="700" spans="1:13" x14ac:dyDescent="0.45">
      <c r="A700" t="s">
        <v>812</v>
      </c>
      <c r="B700" t="s">
        <v>1223</v>
      </c>
      <c r="C700" t="s">
        <v>1122</v>
      </c>
      <c r="D700" t="s">
        <v>101</v>
      </c>
      <c r="E700">
        <v>1881</v>
      </c>
      <c r="F700" s="1">
        <v>46176</v>
      </c>
      <c r="G700" t="s">
        <v>1219</v>
      </c>
      <c r="H700" t="s">
        <v>1210</v>
      </c>
      <c r="I700">
        <v>3.56</v>
      </c>
      <c r="J700">
        <v>64</v>
      </c>
      <c r="K700">
        <v>92</v>
      </c>
      <c r="L700" t="s">
        <v>1210</v>
      </c>
      <c r="M700">
        <v>1</v>
      </c>
    </row>
    <row r="701" spans="1:13" x14ac:dyDescent="0.45">
      <c r="A701" t="s">
        <v>813</v>
      </c>
      <c r="B701" t="s">
        <v>1223</v>
      </c>
      <c r="C701" t="s">
        <v>1127</v>
      </c>
      <c r="D701" t="s">
        <v>99</v>
      </c>
      <c r="E701">
        <v>1798</v>
      </c>
      <c r="F701" s="1">
        <v>46174</v>
      </c>
      <c r="G701" t="s">
        <v>1219</v>
      </c>
      <c r="H701" t="s">
        <v>1210</v>
      </c>
      <c r="I701">
        <v>4.26</v>
      </c>
      <c r="J701">
        <v>68</v>
      </c>
      <c r="K701">
        <v>117</v>
      </c>
      <c r="L701" t="s">
        <v>1210</v>
      </c>
      <c r="M701">
        <v>3</v>
      </c>
    </row>
    <row r="702" spans="1:13" x14ac:dyDescent="0.45">
      <c r="A702" t="s">
        <v>814</v>
      </c>
      <c r="B702" t="s">
        <v>1217</v>
      </c>
      <c r="C702" t="s">
        <v>1115</v>
      </c>
      <c r="D702" t="s">
        <v>40</v>
      </c>
      <c r="E702">
        <v>1249</v>
      </c>
      <c r="F702" s="1">
        <v>46175</v>
      </c>
      <c r="G702" t="s">
        <v>1219</v>
      </c>
      <c r="H702" t="s">
        <v>1210</v>
      </c>
      <c r="I702">
        <v>15.1</v>
      </c>
      <c r="J702">
        <v>74</v>
      </c>
      <c r="K702">
        <v>443</v>
      </c>
      <c r="L702" t="s">
        <v>1210</v>
      </c>
      <c r="M702">
        <v>2</v>
      </c>
    </row>
    <row r="703" spans="1:13" x14ac:dyDescent="0.45">
      <c r="A703" t="s">
        <v>815</v>
      </c>
      <c r="B703" t="s">
        <v>1217</v>
      </c>
      <c r="C703" t="s">
        <v>1116</v>
      </c>
      <c r="D703" t="s">
        <v>63</v>
      </c>
      <c r="E703">
        <v>622</v>
      </c>
      <c r="F703" s="1">
        <v>46176</v>
      </c>
      <c r="G703" t="s">
        <v>1219</v>
      </c>
      <c r="H703" t="s">
        <v>1210</v>
      </c>
      <c r="I703">
        <v>4.29</v>
      </c>
      <c r="J703">
        <v>44</v>
      </c>
      <c r="K703">
        <v>111</v>
      </c>
      <c r="L703" t="s">
        <v>1210</v>
      </c>
      <c r="M703">
        <v>1</v>
      </c>
    </row>
    <row r="704" spans="1:13" x14ac:dyDescent="0.45">
      <c r="A704" t="s">
        <v>816</v>
      </c>
      <c r="B704" t="s">
        <v>1225</v>
      </c>
      <c r="C704" t="s">
        <v>1123</v>
      </c>
      <c r="D704" t="s">
        <v>1137</v>
      </c>
      <c r="E704">
        <v>2046</v>
      </c>
      <c r="F704" s="1">
        <v>46175</v>
      </c>
      <c r="G704" t="s">
        <v>1219</v>
      </c>
      <c r="H704" t="s">
        <v>1210</v>
      </c>
      <c r="I704">
        <v>10.96</v>
      </c>
      <c r="J704">
        <v>128</v>
      </c>
      <c r="K704">
        <v>520</v>
      </c>
      <c r="L704" t="s">
        <v>1210</v>
      </c>
      <c r="M704">
        <v>2</v>
      </c>
    </row>
    <row r="705" spans="1:13" x14ac:dyDescent="0.45">
      <c r="A705" t="s">
        <v>817</v>
      </c>
      <c r="B705" t="s">
        <v>1217</v>
      </c>
      <c r="C705" t="s">
        <v>1115</v>
      </c>
      <c r="D705" t="s">
        <v>78</v>
      </c>
      <c r="E705">
        <v>1718</v>
      </c>
      <c r="F705" s="1">
        <v>46160</v>
      </c>
      <c r="G705" t="s">
        <v>1219</v>
      </c>
      <c r="H705" t="s">
        <v>1210</v>
      </c>
      <c r="I705">
        <v>11.26</v>
      </c>
      <c r="J705">
        <v>129</v>
      </c>
      <c r="K705">
        <v>24</v>
      </c>
      <c r="L705" t="s">
        <v>1210</v>
      </c>
      <c r="M705">
        <v>17</v>
      </c>
    </row>
    <row r="706" spans="1:13" x14ac:dyDescent="0.45">
      <c r="A706" t="s">
        <v>818</v>
      </c>
      <c r="B706" t="s">
        <v>1217</v>
      </c>
      <c r="C706" t="s">
        <v>1120</v>
      </c>
      <c r="D706" t="s">
        <v>15</v>
      </c>
      <c r="E706">
        <v>1196</v>
      </c>
      <c r="F706" s="1">
        <v>46176</v>
      </c>
      <c r="G706" t="s">
        <v>1219</v>
      </c>
      <c r="H706" t="s">
        <v>1210</v>
      </c>
      <c r="I706">
        <v>5.53</v>
      </c>
      <c r="J706">
        <v>42</v>
      </c>
      <c r="K706">
        <v>114</v>
      </c>
      <c r="L706" t="s">
        <v>1210</v>
      </c>
      <c r="M706">
        <v>1</v>
      </c>
    </row>
    <row r="707" spans="1:13" x14ac:dyDescent="0.45">
      <c r="A707" t="s">
        <v>819</v>
      </c>
      <c r="B707" t="s">
        <v>1217</v>
      </c>
      <c r="C707" t="s">
        <v>1114</v>
      </c>
      <c r="D707" t="s">
        <v>1129</v>
      </c>
      <c r="E707">
        <v>2796</v>
      </c>
      <c r="F707" s="1">
        <v>46173</v>
      </c>
      <c r="G707" t="s">
        <v>1219</v>
      </c>
      <c r="H707" t="s">
        <v>1210</v>
      </c>
      <c r="I707">
        <v>3.43</v>
      </c>
      <c r="J707">
        <v>88</v>
      </c>
      <c r="K707">
        <v>109</v>
      </c>
      <c r="L707" t="s">
        <v>1210</v>
      </c>
      <c r="M707">
        <v>4</v>
      </c>
    </row>
    <row r="708" spans="1:13" x14ac:dyDescent="0.45">
      <c r="A708" t="s">
        <v>820</v>
      </c>
      <c r="B708" t="s">
        <v>1217</v>
      </c>
      <c r="C708" t="s">
        <v>1120</v>
      </c>
      <c r="D708" t="s">
        <v>37</v>
      </c>
      <c r="E708">
        <v>2719</v>
      </c>
      <c r="F708" s="1">
        <v>46175</v>
      </c>
      <c r="G708" t="s">
        <v>1219</v>
      </c>
      <c r="H708" t="s">
        <v>1210</v>
      </c>
      <c r="I708">
        <v>7.76</v>
      </c>
      <c r="J708">
        <v>86</v>
      </c>
      <c r="K708">
        <v>112</v>
      </c>
      <c r="L708" t="s">
        <v>1210</v>
      </c>
      <c r="M708">
        <v>2</v>
      </c>
    </row>
    <row r="709" spans="1:13" x14ac:dyDescent="0.45">
      <c r="A709" t="s">
        <v>821</v>
      </c>
      <c r="B709" t="s">
        <v>1223</v>
      </c>
      <c r="C709" t="s">
        <v>1127</v>
      </c>
      <c r="D709" t="s">
        <v>75</v>
      </c>
      <c r="E709">
        <v>1773</v>
      </c>
      <c r="F709" s="1">
        <v>46174</v>
      </c>
      <c r="G709" t="s">
        <v>1219</v>
      </c>
      <c r="H709" t="s">
        <v>1210</v>
      </c>
      <c r="J709">
        <v>71</v>
      </c>
      <c r="K709">
        <v>192</v>
      </c>
      <c r="L709" t="s">
        <v>1210</v>
      </c>
      <c r="M709">
        <v>3</v>
      </c>
    </row>
    <row r="710" spans="1:13" x14ac:dyDescent="0.45">
      <c r="A710" t="s">
        <v>822</v>
      </c>
      <c r="B710" t="s">
        <v>1223</v>
      </c>
      <c r="C710" t="s">
        <v>1117</v>
      </c>
      <c r="D710" t="s">
        <v>1141</v>
      </c>
      <c r="E710">
        <v>1848</v>
      </c>
      <c r="F710" s="1">
        <v>46176</v>
      </c>
      <c r="G710" t="s">
        <v>1219</v>
      </c>
      <c r="H710" t="s">
        <v>1210</v>
      </c>
      <c r="J710">
        <v>100</v>
      </c>
      <c r="K710">
        <v>512</v>
      </c>
      <c r="L710" t="s">
        <v>1210</v>
      </c>
      <c r="M710">
        <v>1</v>
      </c>
    </row>
    <row r="711" spans="1:13" x14ac:dyDescent="0.45">
      <c r="A711" t="s">
        <v>823</v>
      </c>
      <c r="B711" t="s">
        <v>1225</v>
      </c>
      <c r="C711" t="s">
        <v>1128</v>
      </c>
      <c r="D711" t="s">
        <v>91</v>
      </c>
      <c r="E711">
        <v>1380</v>
      </c>
      <c r="F711" s="1">
        <v>46175</v>
      </c>
      <c r="G711" t="s">
        <v>1219</v>
      </c>
      <c r="H711" t="s">
        <v>1210</v>
      </c>
      <c r="I711">
        <v>13.9</v>
      </c>
      <c r="J711">
        <v>69</v>
      </c>
      <c r="K711">
        <v>106</v>
      </c>
      <c r="L711" t="s">
        <v>1210</v>
      </c>
      <c r="M711">
        <v>2</v>
      </c>
    </row>
    <row r="712" spans="1:13" x14ac:dyDescent="0.45">
      <c r="A712" t="s">
        <v>824</v>
      </c>
      <c r="B712" t="s">
        <v>1223</v>
      </c>
      <c r="C712" t="s">
        <v>1117</v>
      </c>
      <c r="D712" t="s">
        <v>98</v>
      </c>
      <c r="E712">
        <v>2398</v>
      </c>
      <c r="F712" s="1">
        <v>46176</v>
      </c>
      <c r="G712" t="s">
        <v>1219</v>
      </c>
      <c r="H712" t="s">
        <v>1210</v>
      </c>
      <c r="I712">
        <v>6.23</v>
      </c>
      <c r="J712">
        <v>78</v>
      </c>
      <c r="K712">
        <v>99</v>
      </c>
      <c r="L712" t="s">
        <v>1210</v>
      </c>
      <c r="M712">
        <v>1</v>
      </c>
    </row>
    <row r="713" spans="1:13" x14ac:dyDescent="0.45">
      <c r="A713" t="s">
        <v>825</v>
      </c>
      <c r="B713" t="s">
        <v>1223</v>
      </c>
      <c r="C713" t="s">
        <v>1127</v>
      </c>
      <c r="D713" t="s">
        <v>5</v>
      </c>
      <c r="E713">
        <v>1787</v>
      </c>
      <c r="F713" s="1">
        <v>46174</v>
      </c>
      <c r="G713" t="s">
        <v>1219</v>
      </c>
      <c r="H713" t="s">
        <v>1210</v>
      </c>
      <c r="I713">
        <v>10.6</v>
      </c>
      <c r="J713">
        <v>96</v>
      </c>
      <c r="K713">
        <v>445</v>
      </c>
      <c r="L713" t="s">
        <v>1210</v>
      </c>
      <c r="M713">
        <v>3</v>
      </c>
    </row>
    <row r="714" spans="1:13" x14ac:dyDescent="0.45">
      <c r="A714" t="s">
        <v>826</v>
      </c>
      <c r="B714" t="s">
        <v>1223</v>
      </c>
      <c r="C714" t="s">
        <v>1121</v>
      </c>
      <c r="D714" t="s">
        <v>44</v>
      </c>
      <c r="E714">
        <v>818</v>
      </c>
      <c r="F714" s="1">
        <v>46175</v>
      </c>
      <c r="G714" t="s">
        <v>1219</v>
      </c>
      <c r="H714" t="s">
        <v>1210</v>
      </c>
      <c r="I714">
        <v>3.48</v>
      </c>
      <c r="J714">
        <v>55</v>
      </c>
      <c r="K714">
        <v>118</v>
      </c>
      <c r="L714" t="s">
        <v>1210</v>
      </c>
      <c r="M714">
        <v>2</v>
      </c>
    </row>
    <row r="715" spans="1:13" x14ac:dyDescent="0.45">
      <c r="A715" t="s">
        <v>827</v>
      </c>
      <c r="B715" t="s">
        <v>1223</v>
      </c>
      <c r="C715" t="s">
        <v>1117</v>
      </c>
      <c r="D715" t="s">
        <v>49</v>
      </c>
      <c r="E715">
        <v>547</v>
      </c>
      <c r="F715" s="1">
        <v>46175</v>
      </c>
      <c r="G715" t="s">
        <v>1219</v>
      </c>
      <c r="H715" t="s">
        <v>1210</v>
      </c>
      <c r="I715">
        <v>21.99</v>
      </c>
      <c r="J715">
        <v>67</v>
      </c>
      <c r="K715">
        <v>213</v>
      </c>
      <c r="L715" t="s">
        <v>1210</v>
      </c>
      <c r="M715">
        <v>2</v>
      </c>
    </row>
    <row r="716" spans="1:13" x14ac:dyDescent="0.45">
      <c r="A716" t="s">
        <v>828</v>
      </c>
      <c r="B716" t="s">
        <v>1223</v>
      </c>
      <c r="C716" t="s">
        <v>1117</v>
      </c>
      <c r="D716" t="s">
        <v>58</v>
      </c>
      <c r="E716">
        <v>537</v>
      </c>
      <c r="F716" s="1">
        <v>46176</v>
      </c>
      <c r="G716" t="s">
        <v>1219</v>
      </c>
      <c r="H716" t="s">
        <v>1210</v>
      </c>
      <c r="I716">
        <v>14.79</v>
      </c>
      <c r="J716">
        <v>124</v>
      </c>
      <c r="K716">
        <v>423</v>
      </c>
      <c r="L716" t="s">
        <v>1210</v>
      </c>
      <c r="M716">
        <v>1</v>
      </c>
    </row>
    <row r="717" spans="1:13" x14ac:dyDescent="0.45">
      <c r="A717" t="s">
        <v>829</v>
      </c>
      <c r="B717" t="s">
        <v>1225</v>
      </c>
      <c r="C717" t="s">
        <v>1128</v>
      </c>
      <c r="D717" t="s">
        <v>42</v>
      </c>
      <c r="E717">
        <v>1225</v>
      </c>
      <c r="F717" s="1">
        <v>46175</v>
      </c>
      <c r="G717" t="s">
        <v>1221</v>
      </c>
      <c r="H717" t="s">
        <v>1210</v>
      </c>
      <c r="I717">
        <v>7.45</v>
      </c>
      <c r="J717">
        <v>147</v>
      </c>
      <c r="K717">
        <v>28</v>
      </c>
      <c r="L717" t="s">
        <v>1210</v>
      </c>
      <c r="M717">
        <v>2</v>
      </c>
    </row>
    <row r="718" spans="1:13" x14ac:dyDescent="0.45">
      <c r="A718" t="s">
        <v>830</v>
      </c>
      <c r="B718" t="s">
        <v>1217</v>
      </c>
      <c r="C718" t="s">
        <v>1114</v>
      </c>
      <c r="D718" t="s">
        <v>22</v>
      </c>
      <c r="E718">
        <v>1559</v>
      </c>
      <c r="F718" s="1">
        <v>46175</v>
      </c>
      <c r="G718" t="s">
        <v>1219</v>
      </c>
      <c r="H718" t="s">
        <v>1210</v>
      </c>
      <c r="I718">
        <v>5.27</v>
      </c>
      <c r="J718">
        <v>60</v>
      </c>
      <c r="K718">
        <v>129</v>
      </c>
      <c r="L718" t="s">
        <v>1210</v>
      </c>
      <c r="M718">
        <v>2</v>
      </c>
    </row>
    <row r="719" spans="1:13" x14ac:dyDescent="0.45">
      <c r="A719" t="s">
        <v>831</v>
      </c>
      <c r="B719" t="s">
        <v>1217</v>
      </c>
      <c r="C719" t="s">
        <v>1114</v>
      </c>
      <c r="D719" t="s">
        <v>84</v>
      </c>
      <c r="E719">
        <v>1105</v>
      </c>
      <c r="F719" s="1">
        <v>46174</v>
      </c>
      <c r="G719" t="s">
        <v>1219</v>
      </c>
      <c r="H719" t="s">
        <v>1210</v>
      </c>
      <c r="I719">
        <v>9.8699999999999992</v>
      </c>
      <c r="J719">
        <v>88</v>
      </c>
      <c r="K719">
        <v>25</v>
      </c>
      <c r="L719" t="s">
        <v>1210</v>
      </c>
      <c r="M719">
        <v>3</v>
      </c>
    </row>
    <row r="720" spans="1:13" x14ac:dyDescent="0.45">
      <c r="A720" t="s">
        <v>832</v>
      </c>
      <c r="B720" t="s">
        <v>1225</v>
      </c>
      <c r="C720" t="s">
        <v>1128</v>
      </c>
      <c r="D720" t="s">
        <v>1134</v>
      </c>
      <c r="E720">
        <v>894</v>
      </c>
      <c r="F720" s="1">
        <v>46176</v>
      </c>
      <c r="G720" t="s">
        <v>1219</v>
      </c>
      <c r="H720" t="s">
        <v>1210</v>
      </c>
      <c r="I720">
        <v>21.3</v>
      </c>
      <c r="J720">
        <v>108</v>
      </c>
      <c r="K720">
        <v>345</v>
      </c>
      <c r="L720" t="s">
        <v>1210</v>
      </c>
      <c r="M720">
        <v>1</v>
      </c>
    </row>
    <row r="721" spans="1:13" x14ac:dyDescent="0.45">
      <c r="A721" t="s">
        <v>833</v>
      </c>
      <c r="B721" t="s">
        <v>1223</v>
      </c>
      <c r="C721" t="s">
        <v>1117</v>
      </c>
      <c r="D721" t="s">
        <v>27</v>
      </c>
      <c r="E721">
        <v>1621</v>
      </c>
      <c r="F721" s="1">
        <v>46176</v>
      </c>
      <c r="G721" t="s">
        <v>1219</v>
      </c>
      <c r="H721" t="s">
        <v>1210</v>
      </c>
      <c r="I721">
        <v>4.37</v>
      </c>
      <c r="J721">
        <v>58</v>
      </c>
      <c r="K721">
        <v>92</v>
      </c>
      <c r="L721" t="s">
        <v>1210</v>
      </c>
      <c r="M721">
        <v>1</v>
      </c>
    </row>
    <row r="722" spans="1:13" x14ac:dyDescent="0.45">
      <c r="A722" t="s">
        <v>834</v>
      </c>
      <c r="B722" t="s">
        <v>1223</v>
      </c>
      <c r="C722" t="s">
        <v>1124</v>
      </c>
      <c r="D722" t="s">
        <v>69</v>
      </c>
      <c r="E722">
        <v>1705</v>
      </c>
      <c r="F722" s="1">
        <v>46176</v>
      </c>
      <c r="G722" t="s">
        <v>1219</v>
      </c>
      <c r="H722" t="s">
        <v>1210</v>
      </c>
      <c r="I722">
        <v>13.13</v>
      </c>
      <c r="J722">
        <v>82</v>
      </c>
      <c r="K722">
        <v>105</v>
      </c>
      <c r="L722" t="s">
        <v>1210</v>
      </c>
      <c r="M722">
        <v>1</v>
      </c>
    </row>
    <row r="723" spans="1:13" x14ac:dyDescent="0.45">
      <c r="A723" t="s">
        <v>835</v>
      </c>
      <c r="B723" t="s">
        <v>1225</v>
      </c>
      <c r="C723" t="s">
        <v>1123</v>
      </c>
      <c r="D723" t="s">
        <v>89</v>
      </c>
      <c r="E723">
        <v>1469</v>
      </c>
      <c r="F723" s="1">
        <v>46176</v>
      </c>
      <c r="G723" t="s">
        <v>1219</v>
      </c>
      <c r="H723" t="s">
        <v>1210</v>
      </c>
      <c r="I723">
        <v>13.67</v>
      </c>
      <c r="J723">
        <v>78</v>
      </c>
      <c r="K723">
        <v>247</v>
      </c>
      <c r="L723" t="s">
        <v>1210</v>
      </c>
      <c r="M723">
        <v>1</v>
      </c>
    </row>
    <row r="724" spans="1:13" x14ac:dyDescent="0.45">
      <c r="A724" t="s">
        <v>836</v>
      </c>
      <c r="B724" t="s">
        <v>1223</v>
      </c>
      <c r="C724" t="s">
        <v>1121</v>
      </c>
      <c r="D724" t="s">
        <v>78</v>
      </c>
      <c r="E724">
        <v>2013</v>
      </c>
      <c r="F724" s="1">
        <v>46176</v>
      </c>
      <c r="G724" t="s">
        <v>1219</v>
      </c>
      <c r="H724" t="s">
        <v>1210</v>
      </c>
      <c r="I724">
        <v>11.26</v>
      </c>
      <c r="J724">
        <v>129</v>
      </c>
      <c r="K724">
        <v>24</v>
      </c>
      <c r="L724" t="s">
        <v>1210</v>
      </c>
      <c r="M724">
        <v>1</v>
      </c>
    </row>
    <row r="725" spans="1:13" x14ac:dyDescent="0.45">
      <c r="A725" t="s">
        <v>837</v>
      </c>
      <c r="B725" t="s">
        <v>1225</v>
      </c>
      <c r="C725" t="s">
        <v>1123</v>
      </c>
      <c r="D725" t="s">
        <v>84</v>
      </c>
      <c r="E725">
        <v>2271</v>
      </c>
      <c r="F725" s="1">
        <v>46176</v>
      </c>
      <c r="G725" t="s">
        <v>1219</v>
      </c>
      <c r="H725" t="s">
        <v>1210</v>
      </c>
      <c r="I725">
        <v>9.8699999999999992</v>
      </c>
      <c r="J725">
        <v>88</v>
      </c>
      <c r="K725">
        <v>25</v>
      </c>
      <c r="L725" t="s">
        <v>1210</v>
      </c>
      <c r="M725">
        <v>1</v>
      </c>
    </row>
    <row r="726" spans="1:13" x14ac:dyDescent="0.45">
      <c r="A726" t="s">
        <v>838</v>
      </c>
      <c r="B726" t="s">
        <v>1223</v>
      </c>
      <c r="C726" t="s">
        <v>1127</v>
      </c>
      <c r="D726" t="s">
        <v>62</v>
      </c>
      <c r="E726">
        <v>655</v>
      </c>
      <c r="F726" s="1">
        <v>46176</v>
      </c>
      <c r="G726" t="s">
        <v>1219</v>
      </c>
      <c r="H726" t="s">
        <v>1210</v>
      </c>
      <c r="I726">
        <v>12.39</v>
      </c>
      <c r="J726">
        <v>134</v>
      </c>
      <c r="K726">
        <v>446</v>
      </c>
      <c r="L726" t="s">
        <v>1210</v>
      </c>
      <c r="M726">
        <v>1</v>
      </c>
    </row>
    <row r="727" spans="1:13" x14ac:dyDescent="0.45">
      <c r="A727" t="s">
        <v>839</v>
      </c>
      <c r="B727" t="s">
        <v>1225</v>
      </c>
      <c r="C727" t="s">
        <v>1128</v>
      </c>
      <c r="D727" t="s">
        <v>1138</v>
      </c>
      <c r="E727">
        <v>1300</v>
      </c>
      <c r="F727" s="1">
        <v>46176</v>
      </c>
      <c r="G727" t="s">
        <v>1219</v>
      </c>
      <c r="H727" t="s">
        <v>1210</v>
      </c>
      <c r="I727">
        <v>3.92</v>
      </c>
      <c r="J727">
        <v>49</v>
      </c>
      <c r="K727">
        <v>98</v>
      </c>
      <c r="L727" t="s">
        <v>1210</v>
      </c>
      <c r="M727">
        <v>1</v>
      </c>
    </row>
    <row r="728" spans="1:13" x14ac:dyDescent="0.45">
      <c r="A728" t="s">
        <v>840</v>
      </c>
      <c r="B728" t="s">
        <v>1217</v>
      </c>
      <c r="C728" t="s">
        <v>1116</v>
      </c>
      <c r="D728" t="s">
        <v>23</v>
      </c>
      <c r="E728">
        <v>2886</v>
      </c>
      <c r="F728" s="1">
        <v>46175</v>
      </c>
      <c r="G728" t="s">
        <v>1219</v>
      </c>
      <c r="H728" t="s">
        <v>1210</v>
      </c>
      <c r="I728">
        <v>7.71</v>
      </c>
      <c r="J728">
        <v>101</v>
      </c>
      <c r="K728">
        <v>23</v>
      </c>
      <c r="L728" t="s">
        <v>1210</v>
      </c>
      <c r="M728">
        <v>2</v>
      </c>
    </row>
    <row r="729" spans="1:13" x14ac:dyDescent="0.45">
      <c r="A729" t="s">
        <v>841</v>
      </c>
      <c r="B729" t="s">
        <v>1223</v>
      </c>
      <c r="C729" t="s">
        <v>1124</v>
      </c>
      <c r="D729" t="s">
        <v>66</v>
      </c>
      <c r="E729">
        <v>473</v>
      </c>
      <c r="F729" s="1">
        <v>46176</v>
      </c>
      <c r="G729" t="s">
        <v>1219</v>
      </c>
      <c r="H729" t="s">
        <v>1210</v>
      </c>
      <c r="I729">
        <v>23.39</v>
      </c>
      <c r="J729">
        <v>79</v>
      </c>
      <c r="K729">
        <v>329</v>
      </c>
      <c r="L729" t="s">
        <v>1210</v>
      </c>
      <c r="M729">
        <v>1</v>
      </c>
    </row>
    <row r="730" spans="1:13" x14ac:dyDescent="0.45">
      <c r="A730" t="s">
        <v>842</v>
      </c>
      <c r="B730" t="s">
        <v>1223</v>
      </c>
      <c r="C730" t="s">
        <v>1117</v>
      </c>
      <c r="D730" t="s">
        <v>59</v>
      </c>
      <c r="E730">
        <v>1466</v>
      </c>
      <c r="F730" s="1">
        <v>46176</v>
      </c>
      <c r="G730" t="s">
        <v>1219</v>
      </c>
      <c r="H730" t="s">
        <v>1210</v>
      </c>
      <c r="I730">
        <v>15.2</v>
      </c>
      <c r="J730">
        <v>135</v>
      </c>
      <c r="K730">
        <v>361</v>
      </c>
      <c r="L730" t="s">
        <v>1210</v>
      </c>
      <c r="M730">
        <v>1</v>
      </c>
    </row>
    <row r="731" spans="1:13" x14ac:dyDescent="0.45">
      <c r="A731" t="s">
        <v>843</v>
      </c>
      <c r="B731" t="s">
        <v>1225</v>
      </c>
      <c r="C731" t="s">
        <v>1125</v>
      </c>
      <c r="D731" t="s">
        <v>10</v>
      </c>
      <c r="E731">
        <v>1585</v>
      </c>
      <c r="F731" s="1">
        <v>46175</v>
      </c>
      <c r="G731" t="s">
        <v>1219</v>
      </c>
      <c r="H731" t="s">
        <v>1210</v>
      </c>
      <c r="I731">
        <v>14.2</v>
      </c>
      <c r="J731">
        <v>95</v>
      </c>
      <c r="K731">
        <v>277</v>
      </c>
      <c r="L731" t="s">
        <v>1210</v>
      </c>
      <c r="M731">
        <v>2</v>
      </c>
    </row>
    <row r="732" spans="1:13" x14ac:dyDescent="0.45">
      <c r="A732" t="s">
        <v>844</v>
      </c>
      <c r="B732" t="s">
        <v>1223</v>
      </c>
      <c r="C732" t="s">
        <v>1121</v>
      </c>
      <c r="D732" t="s">
        <v>58</v>
      </c>
      <c r="E732">
        <v>1484</v>
      </c>
      <c r="F732" s="1">
        <v>46176</v>
      </c>
      <c r="G732" t="s">
        <v>1219</v>
      </c>
      <c r="H732" t="s">
        <v>1210</v>
      </c>
      <c r="I732">
        <v>14.79</v>
      </c>
      <c r="J732">
        <v>124</v>
      </c>
      <c r="K732">
        <v>423</v>
      </c>
      <c r="L732" t="s">
        <v>1210</v>
      </c>
      <c r="M732">
        <v>1</v>
      </c>
    </row>
    <row r="733" spans="1:13" x14ac:dyDescent="0.45">
      <c r="A733" t="s">
        <v>845</v>
      </c>
      <c r="B733" t="s">
        <v>1217</v>
      </c>
      <c r="C733" t="s">
        <v>1115</v>
      </c>
      <c r="D733" t="s">
        <v>1134</v>
      </c>
      <c r="E733">
        <v>919</v>
      </c>
      <c r="F733" s="1">
        <v>46174</v>
      </c>
      <c r="G733" t="s">
        <v>1219</v>
      </c>
      <c r="H733" t="s">
        <v>1210</v>
      </c>
      <c r="I733">
        <v>21.3</v>
      </c>
      <c r="J733">
        <v>108</v>
      </c>
      <c r="K733">
        <v>345</v>
      </c>
      <c r="L733" t="s">
        <v>1210</v>
      </c>
      <c r="M733">
        <v>3</v>
      </c>
    </row>
    <row r="734" spans="1:13" x14ac:dyDescent="0.45">
      <c r="A734" t="s">
        <v>846</v>
      </c>
      <c r="B734" t="s">
        <v>1223</v>
      </c>
      <c r="C734" t="s">
        <v>1117</v>
      </c>
      <c r="D734" t="s">
        <v>30</v>
      </c>
      <c r="E734">
        <v>1934</v>
      </c>
      <c r="F734" s="1">
        <v>46175</v>
      </c>
      <c r="G734" t="s">
        <v>1219</v>
      </c>
      <c r="H734" t="s">
        <v>1210</v>
      </c>
      <c r="I734">
        <v>3.64</v>
      </c>
      <c r="J734">
        <v>62</v>
      </c>
      <c r="K734">
        <v>114</v>
      </c>
      <c r="L734" t="s">
        <v>1210</v>
      </c>
      <c r="M734">
        <v>2</v>
      </c>
    </row>
    <row r="735" spans="1:13" x14ac:dyDescent="0.45">
      <c r="A735" t="s">
        <v>847</v>
      </c>
      <c r="B735" t="s">
        <v>1225</v>
      </c>
      <c r="C735" t="s">
        <v>1123</v>
      </c>
      <c r="D735" t="s">
        <v>32</v>
      </c>
      <c r="E735">
        <v>1686</v>
      </c>
      <c r="F735" s="1">
        <v>46176</v>
      </c>
      <c r="G735" t="s">
        <v>1219</v>
      </c>
      <c r="H735" t="s">
        <v>1210</v>
      </c>
      <c r="I735">
        <v>11.45</v>
      </c>
      <c r="J735">
        <v>93</v>
      </c>
      <c r="K735">
        <v>16</v>
      </c>
      <c r="L735" t="s">
        <v>1210</v>
      </c>
      <c r="M735">
        <v>1</v>
      </c>
    </row>
    <row r="736" spans="1:13" x14ac:dyDescent="0.45">
      <c r="A736" t="s">
        <v>848</v>
      </c>
      <c r="B736" t="s">
        <v>1217</v>
      </c>
      <c r="C736" t="s">
        <v>1114</v>
      </c>
      <c r="D736" t="s">
        <v>84</v>
      </c>
      <c r="E736">
        <v>959</v>
      </c>
      <c r="F736" s="1">
        <v>46173</v>
      </c>
      <c r="G736" t="s">
        <v>1221</v>
      </c>
      <c r="H736" t="s">
        <v>1210</v>
      </c>
      <c r="I736">
        <v>9.8699999999999992</v>
      </c>
      <c r="J736">
        <v>88</v>
      </c>
      <c r="K736">
        <v>25</v>
      </c>
      <c r="L736" t="s">
        <v>1210</v>
      </c>
      <c r="M736">
        <v>4</v>
      </c>
    </row>
    <row r="737" spans="1:13" x14ac:dyDescent="0.45">
      <c r="A737" t="s">
        <v>849</v>
      </c>
      <c r="B737" t="s">
        <v>1223</v>
      </c>
      <c r="C737" t="s">
        <v>1124</v>
      </c>
      <c r="D737" t="s">
        <v>108</v>
      </c>
      <c r="E737">
        <v>953</v>
      </c>
      <c r="F737" s="1">
        <v>46176</v>
      </c>
      <c r="G737" t="s">
        <v>1219</v>
      </c>
      <c r="H737" t="s">
        <v>1210</v>
      </c>
      <c r="I737">
        <v>19.95</v>
      </c>
      <c r="J737">
        <v>78</v>
      </c>
      <c r="K737">
        <v>276</v>
      </c>
      <c r="L737" t="s">
        <v>1210</v>
      </c>
      <c r="M737">
        <v>1</v>
      </c>
    </row>
    <row r="738" spans="1:13" x14ac:dyDescent="0.45">
      <c r="A738" t="s">
        <v>850</v>
      </c>
      <c r="B738" t="s">
        <v>1225</v>
      </c>
      <c r="C738" t="s">
        <v>1125</v>
      </c>
      <c r="D738" t="s">
        <v>107</v>
      </c>
      <c r="E738">
        <v>2573</v>
      </c>
      <c r="F738" s="1">
        <v>46173</v>
      </c>
      <c r="G738" t="s">
        <v>1219</v>
      </c>
      <c r="H738" t="s">
        <v>1210</v>
      </c>
      <c r="I738">
        <v>4.3600000000000003</v>
      </c>
      <c r="J738">
        <v>88</v>
      </c>
      <c r="K738">
        <v>108</v>
      </c>
      <c r="L738" t="s">
        <v>1210</v>
      </c>
      <c r="M738">
        <v>4</v>
      </c>
    </row>
    <row r="739" spans="1:13" x14ac:dyDescent="0.45">
      <c r="A739" t="s">
        <v>851</v>
      </c>
      <c r="B739" t="s">
        <v>1217</v>
      </c>
      <c r="C739" t="s">
        <v>1116</v>
      </c>
      <c r="D739" t="s">
        <v>87</v>
      </c>
      <c r="E739">
        <v>1304</v>
      </c>
      <c r="F739" s="1">
        <v>46173</v>
      </c>
      <c r="G739" t="s">
        <v>1219</v>
      </c>
      <c r="H739" t="s">
        <v>1210</v>
      </c>
      <c r="I739">
        <v>17.28</v>
      </c>
      <c r="J739">
        <v>97</v>
      </c>
      <c r="K739">
        <v>271</v>
      </c>
      <c r="L739" t="s">
        <v>1210</v>
      </c>
      <c r="M739">
        <v>4</v>
      </c>
    </row>
    <row r="740" spans="1:13" x14ac:dyDescent="0.45">
      <c r="A740" t="s">
        <v>852</v>
      </c>
      <c r="B740" t="s">
        <v>1223</v>
      </c>
      <c r="C740" t="s">
        <v>1124</v>
      </c>
      <c r="D740" t="s">
        <v>93</v>
      </c>
      <c r="E740">
        <v>-100</v>
      </c>
      <c r="F740" s="1">
        <v>46176</v>
      </c>
      <c r="G740" t="s">
        <v>1219</v>
      </c>
      <c r="H740" t="s">
        <v>1233</v>
      </c>
      <c r="J740">
        <v>98</v>
      </c>
      <c r="K740">
        <v>359</v>
      </c>
      <c r="L740" t="s">
        <v>1210</v>
      </c>
      <c r="M740">
        <v>1</v>
      </c>
    </row>
    <row r="741" spans="1:13" x14ac:dyDescent="0.45">
      <c r="A741" t="s">
        <v>853</v>
      </c>
      <c r="B741" t="s">
        <v>1223</v>
      </c>
      <c r="C741" t="s">
        <v>1127</v>
      </c>
      <c r="D741" t="s">
        <v>109</v>
      </c>
      <c r="E741">
        <v>837</v>
      </c>
      <c r="F741" s="1">
        <v>46174</v>
      </c>
      <c r="G741" t="s">
        <v>1219</v>
      </c>
      <c r="H741" t="s">
        <v>1210</v>
      </c>
      <c r="I741">
        <v>12.09</v>
      </c>
      <c r="J741">
        <v>80</v>
      </c>
      <c r="K741">
        <v>138</v>
      </c>
      <c r="L741" t="s">
        <v>1210</v>
      </c>
      <c r="M741">
        <v>3</v>
      </c>
    </row>
    <row r="742" spans="1:13" x14ac:dyDescent="0.45">
      <c r="A742" t="s">
        <v>854</v>
      </c>
      <c r="B742" t="s">
        <v>1217</v>
      </c>
      <c r="C742" t="s">
        <v>1120</v>
      </c>
      <c r="D742" t="s">
        <v>85</v>
      </c>
      <c r="E742">
        <v>3076</v>
      </c>
      <c r="F742" s="1">
        <v>46176</v>
      </c>
      <c r="G742" t="s">
        <v>1219</v>
      </c>
      <c r="H742" t="s">
        <v>1210</v>
      </c>
      <c r="I742">
        <v>6.87</v>
      </c>
      <c r="J742">
        <v>101</v>
      </c>
      <c r="K742">
        <v>62</v>
      </c>
      <c r="L742" t="s">
        <v>1210</v>
      </c>
      <c r="M742">
        <v>1</v>
      </c>
    </row>
    <row r="743" spans="1:13" x14ac:dyDescent="0.45">
      <c r="A743" t="s">
        <v>855</v>
      </c>
      <c r="B743" t="s">
        <v>1217</v>
      </c>
      <c r="C743" t="s">
        <v>1120</v>
      </c>
      <c r="D743" t="s">
        <v>36</v>
      </c>
      <c r="E743">
        <v>1071</v>
      </c>
      <c r="F743" s="1">
        <v>46175</v>
      </c>
      <c r="G743" t="s">
        <v>1219</v>
      </c>
      <c r="H743" t="s">
        <v>1210</v>
      </c>
      <c r="I743">
        <v>7.51</v>
      </c>
      <c r="J743">
        <v>83</v>
      </c>
      <c r="K743">
        <v>18</v>
      </c>
      <c r="L743" t="s">
        <v>1210</v>
      </c>
      <c r="M743">
        <v>2</v>
      </c>
    </row>
    <row r="744" spans="1:13" x14ac:dyDescent="0.45">
      <c r="A744" t="s">
        <v>856</v>
      </c>
      <c r="B744" t="s">
        <v>1225</v>
      </c>
      <c r="C744" t="s">
        <v>1128</v>
      </c>
      <c r="D744" t="s">
        <v>97</v>
      </c>
      <c r="E744">
        <v>2343</v>
      </c>
      <c r="F744" s="1">
        <v>46176</v>
      </c>
      <c r="G744" t="s">
        <v>1219</v>
      </c>
      <c r="H744" t="s">
        <v>1210</v>
      </c>
      <c r="I744">
        <v>9.57</v>
      </c>
      <c r="J744">
        <v>92</v>
      </c>
      <c r="K744">
        <v>122</v>
      </c>
      <c r="L744" t="s">
        <v>1210</v>
      </c>
      <c r="M744">
        <v>1</v>
      </c>
    </row>
    <row r="745" spans="1:13" x14ac:dyDescent="0.45">
      <c r="A745" t="s">
        <v>857</v>
      </c>
      <c r="B745" t="s">
        <v>1223</v>
      </c>
      <c r="C745" t="s">
        <v>1121</v>
      </c>
      <c r="D745" t="s">
        <v>103</v>
      </c>
      <c r="E745">
        <v>1274</v>
      </c>
      <c r="F745" s="1">
        <v>46176</v>
      </c>
      <c r="G745" t="s">
        <v>1219</v>
      </c>
      <c r="H745" t="s">
        <v>1210</v>
      </c>
      <c r="I745">
        <v>16.66</v>
      </c>
      <c r="J745">
        <v>85</v>
      </c>
      <c r="K745">
        <v>333</v>
      </c>
      <c r="L745" t="s">
        <v>1210</v>
      </c>
      <c r="M745">
        <v>1</v>
      </c>
    </row>
    <row r="746" spans="1:13" x14ac:dyDescent="0.45">
      <c r="A746" t="s">
        <v>858</v>
      </c>
      <c r="B746" t="s">
        <v>1225</v>
      </c>
      <c r="C746" t="s">
        <v>1118</v>
      </c>
      <c r="D746" t="s">
        <v>23</v>
      </c>
      <c r="E746">
        <v>2690</v>
      </c>
      <c r="F746" s="1">
        <v>46174</v>
      </c>
      <c r="G746" t="s">
        <v>1219</v>
      </c>
      <c r="H746" t="s">
        <v>1210</v>
      </c>
      <c r="I746">
        <v>7.71</v>
      </c>
      <c r="J746">
        <v>101</v>
      </c>
      <c r="K746">
        <v>23</v>
      </c>
      <c r="L746" t="s">
        <v>1210</v>
      </c>
      <c r="M746">
        <v>3</v>
      </c>
    </row>
    <row r="747" spans="1:13" x14ac:dyDescent="0.45">
      <c r="A747" t="s">
        <v>859</v>
      </c>
      <c r="B747" t="s">
        <v>1223</v>
      </c>
      <c r="C747" t="s">
        <v>1122</v>
      </c>
      <c r="D747" t="s">
        <v>1138</v>
      </c>
      <c r="E747">
        <v>1300</v>
      </c>
      <c r="F747" s="1">
        <v>46176</v>
      </c>
      <c r="G747" t="s">
        <v>1219</v>
      </c>
      <c r="H747" t="s">
        <v>1210</v>
      </c>
      <c r="I747">
        <v>3.92</v>
      </c>
      <c r="J747">
        <v>49</v>
      </c>
      <c r="K747">
        <v>98</v>
      </c>
      <c r="L747" t="s">
        <v>1210</v>
      </c>
      <c r="M747">
        <v>1</v>
      </c>
    </row>
    <row r="748" spans="1:13" x14ac:dyDescent="0.45">
      <c r="A748" t="s">
        <v>860</v>
      </c>
      <c r="B748" t="s">
        <v>1217</v>
      </c>
      <c r="C748" t="s">
        <v>1120</v>
      </c>
      <c r="D748" t="s">
        <v>88</v>
      </c>
      <c r="E748">
        <v>980</v>
      </c>
      <c r="F748" s="1">
        <v>46175</v>
      </c>
      <c r="G748" t="s">
        <v>1219</v>
      </c>
      <c r="H748" t="s">
        <v>1210</v>
      </c>
      <c r="I748">
        <v>11.02</v>
      </c>
      <c r="J748">
        <v>69</v>
      </c>
      <c r="K748">
        <v>86</v>
      </c>
      <c r="L748" t="s">
        <v>1210</v>
      </c>
      <c r="M748">
        <v>2</v>
      </c>
    </row>
    <row r="749" spans="1:13" x14ac:dyDescent="0.45">
      <c r="A749" t="s">
        <v>861</v>
      </c>
      <c r="B749" t="s">
        <v>1225</v>
      </c>
      <c r="C749" t="s">
        <v>1128</v>
      </c>
      <c r="D749" t="s">
        <v>1130</v>
      </c>
      <c r="E749">
        <v>1824</v>
      </c>
      <c r="F749" s="1">
        <v>46175</v>
      </c>
      <c r="G749" t="s">
        <v>1219</v>
      </c>
      <c r="H749" t="s">
        <v>1210</v>
      </c>
      <c r="I749">
        <v>12.51</v>
      </c>
      <c r="J749">
        <v>73</v>
      </c>
      <c r="K749">
        <v>75</v>
      </c>
      <c r="L749" t="s">
        <v>1210</v>
      </c>
      <c r="M749">
        <v>2</v>
      </c>
    </row>
    <row r="750" spans="1:13" x14ac:dyDescent="0.45">
      <c r="A750" t="s">
        <v>862</v>
      </c>
      <c r="B750" t="s">
        <v>1225</v>
      </c>
      <c r="C750" t="s">
        <v>1125</v>
      </c>
      <c r="D750" t="s">
        <v>110</v>
      </c>
      <c r="E750">
        <v>1248</v>
      </c>
      <c r="F750" s="1">
        <v>46173</v>
      </c>
      <c r="G750" t="s">
        <v>1219</v>
      </c>
      <c r="H750" t="s">
        <v>1210</v>
      </c>
      <c r="I750">
        <v>6.16</v>
      </c>
      <c r="J750">
        <v>104</v>
      </c>
      <c r="K750">
        <v>67</v>
      </c>
      <c r="L750" t="s">
        <v>1210</v>
      </c>
      <c r="M750">
        <v>4</v>
      </c>
    </row>
    <row r="751" spans="1:13" x14ac:dyDescent="0.45">
      <c r="A751" t="s">
        <v>863</v>
      </c>
      <c r="B751" t="s">
        <v>1225</v>
      </c>
      <c r="C751" t="s">
        <v>1119</v>
      </c>
      <c r="D751" t="s">
        <v>105</v>
      </c>
      <c r="E751">
        <v>1163</v>
      </c>
      <c r="F751" s="1">
        <v>46176</v>
      </c>
      <c r="G751" t="s">
        <v>1219</v>
      </c>
      <c r="H751" t="s">
        <v>1210</v>
      </c>
      <c r="I751">
        <v>18.170000000000002</v>
      </c>
      <c r="J751">
        <v>61</v>
      </c>
      <c r="K751">
        <v>188</v>
      </c>
      <c r="L751" t="s">
        <v>1210</v>
      </c>
      <c r="M751">
        <v>1</v>
      </c>
    </row>
    <row r="752" spans="1:13" x14ac:dyDescent="0.45">
      <c r="A752" t="s">
        <v>864</v>
      </c>
      <c r="B752" t="s">
        <v>1225</v>
      </c>
      <c r="C752" t="s">
        <v>1128</v>
      </c>
      <c r="D752" t="s">
        <v>68</v>
      </c>
      <c r="E752">
        <v>814</v>
      </c>
      <c r="F752" s="1">
        <v>46175</v>
      </c>
      <c r="G752" t="s">
        <v>1219</v>
      </c>
      <c r="H752" t="s">
        <v>1210</v>
      </c>
      <c r="I752">
        <v>17.18</v>
      </c>
      <c r="J752">
        <v>81</v>
      </c>
      <c r="K752">
        <v>293</v>
      </c>
      <c r="L752" t="s">
        <v>1210</v>
      </c>
      <c r="M752">
        <v>2</v>
      </c>
    </row>
    <row r="753" spans="1:13" x14ac:dyDescent="0.45">
      <c r="A753" t="s">
        <v>865</v>
      </c>
      <c r="B753" t="s">
        <v>1223</v>
      </c>
      <c r="C753" t="s">
        <v>1127</v>
      </c>
      <c r="D753" t="s">
        <v>59</v>
      </c>
      <c r="E753">
        <v>573</v>
      </c>
      <c r="F753" s="1">
        <v>46175</v>
      </c>
      <c r="G753" t="s">
        <v>1219</v>
      </c>
      <c r="H753" t="s">
        <v>1210</v>
      </c>
      <c r="I753">
        <v>15.2</v>
      </c>
      <c r="J753">
        <v>135</v>
      </c>
      <c r="K753">
        <v>361</v>
      </c>
      <c r="L753" t="s">
        <v>1210</v>
      </c>
      <c r="M753">
        <v>2</v>
      </c>
    </row>
    <row r="754" spans="1:13" x14ac:dyDescent="0.45">
      <c r="A754" t="s">
        <v>866</v>
      </c>
      <c r="B754" t="s">
        <v>1217</v>
      </c>
      <c r="C754" t="s">
        <v>1116</v>
      </c>
      <c r="D754" t="s">
        <v>23</v>
      </c>
      <c r="E754">
        <v>2499</v>
      </c>
      <c r="F754" s="1">
        <v>46173</v>
      </c>
      <c r="G754" t="s">
        <v>1221</v>
      </c>
      <c r="H754" t="s">
        <v>1210</v>
      </c>
      <c r="I754">
        <v>7.71</v>
      </c>
      <c r="J754">
        <v>101</v>
      </c>
      <c r="K754">
        <v>23</v>
      </c>
      <c r="L754" t="s">
        <v>1210</v>
      </c>
      <c r="M754">
        <v>4</v>
      </c>
    </row>
    <row r="755" spans="1:13" x14ac:dyDescent="0.45">
      <c r="A755" t="s">
        <v>867</v>
      </c>
      <c r="B755" t="s">
        <v>1225</v>
      </c>
      <c r="C755" t="s">
        <v>1128</v>
      </c>
      <c r="D755" t="s">
        <v>56</v>
      </c>
      <c r="E755">
        <v>2050</v>
      </c>
      <c r="F755" s="1">
        <v>46176</v>
      </c>
      <c r="G755" t="s">
        <v>1219</v>
      </c>
      <c r="H755" t="s">
        <v>1210</v>
      </c>
      <c r="I755">
        <v>6.27</v>
      </c>
      <c r="J755">
        <v>67</v>
      </c>
      <c r="K755">
        <v>90</v>
      </c>
      <c r="L755" t="s">
        <v>1210</v>
      </c>
      <c r="M755">
        <v>1</v>
      </c>
    </row>
    <row r="756" spans="1:13" x14ac:dyDescent="0.45">
      <c r="A756" t="s">
        <v>868</v>
      </c>
      <c r="B756" t="s">
        <v>1217</v>
      </c>
      <c r="C756" t="s">
        <v>1126</v>
      </c>
      <c r="D756" t="s">
        <v>53</v>
      </c>
      <c r="E756">
        <v>1926</v>
      </c>
      <c r="F756" s="1">
        <v>46176</v>
      </c>
      <c r="G756" t="s">
        <v>1219</v>
      </c>
      <c r="H756" t="s">
        <v>1210</v>
      </c>
      <c r="I756">
        <v>10.029999999999999</v>
      </c>
      <c r="J756">
        <v>126</v>
      </c>
      <c r="K756">
        <v>17</v>
      </c>
      <c r="L756" t="s">
        <v>1210</v>
      </c>
      <c r="M756">
        <v>1</v>
      </c>
    </row>
    <row r="757" spans="1:13" x14ac:dyDescent="0.45">
      <c r="A757" t="s">
        <v>869</v>
      </c>
      <c r="B757" t="s">
        <v>1217</v>
      </c>
      <c r="C757" t="s">
        <v>1115</v>
      </c>
      <c r="D757" t="s">
        <v>70</v>
      </c>
      <c r="E757">
        <v>1263</v>
      </c>
      <c r="F757" s="1">
        <v>46176</v>
      </c>
      <c r="G757" t="s">
        <v>1219</v>
      </c>
      <c r="H757" t="s">
        <v>1210</v>
      </c>
      <c r="I757">
        <v>5.04</v>
      </c>
      <c r="J757">
        <v>47</v>
      </c>
      <c r="K757">
        <v>96</v>
      </c>
      <c r="L757" t="s">
        <v>1210</v>
      </c>
      <c r="M757">
        <v>1</v>
      </c>
    </row>
    <row r="758" spans="1:13" x14ac:dyDescent="0.45">
      <c r="A758" t="s">
        <v>870</v>
      </c>
      <c r="B758" t="s">
        <v>1217</v>
      </c>
      <c r="C758" t="s">
        <v>1115</v>
      </c>
      <c r="D758" t="s">
        <v>100</v>
      </c>
      <c r="E758">
        <v>1954</v>
      </c>
      <c r="F758" s="1">
        <v>46175</v>
      </c>
      <c r="G758" t="s">
        <v>1219</v>
      </c>
      <c r="H758" t="s">
        <v>1210</v>
      </c>
      <c r="I758">
        <v>9.7899999999999991</v>
      </c>
      <c r="J758">
        <v>123</v>
      </c>
      <c r="K758">
        <v>334</v>
      </c>
      <c r="L758" t="s">
        <v>1210</v>
      </c>
      <c r="M758">
        <v>2</v>
      </c>
    </row>
    <row r="759" spans="1:13" x14ac:dyDescent="0.45">
      <c r="A759" t="s">
        <v>871</v>
      </c>
      <c r="B759" t="s">
        <v>1223</v>
      </c>
      <c r="C759" t="s">
        <v>1122</v>
      </c>
      <c r="D759" t="s">
        <v>61</v>
      </c>
      <c r="E759">
        <v>1565</v>
      </c>
      <c r="F759" s="1">
        <v>46176</v>
      </c>
      <c r="G759" t="s">
        <v>1219</v>
      </c>
      <c r="H759" t="s">
        <v>1210</v>
      </c>
      <c r="I759">
        <v>12.41</v>
      </c>
      <c r="J759">
        <v>95</v>
      </c>
      <c r="K759">
        <v>227</v>
      </c>
      <c r="L759" t="s">
        <v>1210</v>
      </c>
      <c r="M759">
        <v>1</v>
      </c>
    </row>
    <row r="760" spans="1:13" x14ac:dyDescent="0.45">
      <c r="A760" t="s">
        <v>872</v>
      </c>
      <c r="B760" t="s">
        <v>1225</v>
      </c>
      <c r="C760" t="s">
        <v>1119</v>
      </c>
      <c r="D760" t="s">
        <v>53</v>
      </c>
      <c r="E760">
        <v>498</v>
      </c>
      <c r="F760" s="1">
        <v>46174</v>
      </c>
      <c r="G760" t="s">
        <v>1219</v>
      </c>
      <c r="H760" t="s">
        <v>1210</v>
      </c>
      <c r="I760">
        <v>10.029999999999999</v>
      </c>
      <c r="J760">
        <v>126</v>
      </c>
      <c r="K760">
        <v>17</v>
      </c>
      <c r="L760" t="s">
        <v>1210</v>
      </c>
      <c r="M760">
        <v>3</v>
      </c>
    </row>
    <row r="761" spans="1:13" x14ac:dyDescent="0.45">
      <c r="A761" t="s">
        <v>873</v>
      </c>
      <c r="B761" t="s">
        <v>1217</v>
      </c>
      <c r="C761" t="s">
        <v>1115</v>
      </c>
      <c r="D761" t="s">
        <v>45</v>
      </c>
      <c r="E761">
        <v>1139</v>
      </c>
      <c r="F761" s="1">
        <v>46175</v>
      </c>
      <c r="G761" t="s">
        <v>1219</v>
      </c>
      <c r="H761" t="s">
        <v>1210</v>
      </c>
      <c r="I761">
        <v>17.47</v>
      </c>
      <c r="J761">
        <v>65</v>
      </c>
      <c r="K761">
        <v>216</v>
      </c>
      <c r="L761" t="s">
        <v>1210</v>
      </c>
      <c r="M761">
        <v>2</v>
      </c>
    </row>
    <row r="762" spans="1:13" x14ac:dyDescent="0.45">
      <c r="A762" t="s">
        <v>874</v>
      </c>
      <c r="B762" t="s">
        <v>1225</v>
      </c>
      <c r="C762" t="s">
        <v>1125</v>
      </c>
      <c r="D762" t="s">
        <v>1129</v>
      </c>
      <c r="E762">
        <v>1576</v>
      </c>
      <c r="F762" s="1">
        <v>46175</v>
      </c>
      <c r="G762" t="s">
        <v>1219</v>
      </c>
      <c r="H762" t="s">
        <v>1210</v>
      </c>
      <c r="I762">
        <v>3.43</v>
      </c>
      <c r="J762">
        <v>88</v>
      </c>
      <c r="K762">
        <v>109</v>
      </c>
      <c r="L762" t="s">
        <v>1210</v>
      </c>
      <c r="M762">
        <v>2</v>
      </c>
    </row>
    <row r="763" spans="1:13" x14ac:dyDescent="0.45">
      <c r="A763" t="s">
        <v>875</v>
      </c>
      <c r="B763" t="s">
        <v>1225</v>
      </c>
      <c r="C763" t="s">
        <v>1123</v>
      </c>
      <c r="D763" t="s">
        <v>41</v>
      </c>
      <c r="E763">
        <v>3039</v>
      </c>
      <c r="F763" s="1">
        <v>46161</v>
      </c>
      <c r="G763" t="s">
        <v>1219</v>
      </c>
      <c r="H763" t="s">
        <v>1210</v>
      </c>
      <c r="I763">
        <v>6.24</v>
      </c>
      <c r="J763">
        <v>146</v>
      </c>
      <c r="K763">
        <v>24</v>
      </c>
      <c r="L763" t="s">
        <v>1210</v>
      </c>
      <c r="M763">
        <v>16</v>
      </c>
    </row>
    <row r="764" spans="1:13" x14ac:dyDescent="0.45">
      <c r="A764" t="s">
        <v>876</v>
      </c>
      <c r="B764" t="s">
        <v>1217</v>
      </c>
      <c r="C764" t="s">
        <v>1115</v>
      </c>
      <c r="D764" t="s">
        <v>74</v>
      </c>
      <c r="E764">
        <v>575</v>
      </c>
      <c r="F764" s="1">
        <v>46176</v>
      </c>
      <c r="G764" t="s">
        <v>1219</v>
      </c>
      <c r="H764" t="s">
        <v>1210</v>
      </c>
      <c r="I764">
        <v>12.77</v>
      </c>
      <c r="J764">
        <v>96</v>
      </c>
      <c r="K764">
        <v>122</v>
      </c>
      <c r="L764" t="s">
        <v>1210</v>
      </c>
      <c r="M764">
        <v>1</v>
      </c>
    </row>
    <row r="765" spans="1:13" x14ac:dyDescent="0.45">
      <c r="A765" t="s">
        <v>877</v>
      </c>
      <c r="B765" t="s">
        <v>1217</v>
      </c>
      <c r="C765" t="s">
        <v>1115</v>
      </c>
      <c r="D765" t="s">
        <v>1134</v>
      </c>
      <c r="E765">
        <v>407</v>
      </c>
      <c r="F765" s="1">
        <v>46176</v>
      </c>
      <c r="G765" t="s">
        <v>1219</v>
      </c>
      <c r="H765" t="s">
        <v>1210</v>
      </c>
      <c r="I765">
        <v>21.3</v>
      </c>
      <c r="J765">
        <v>108</v>
      </c>
      <c r="K765">
        <v>345</v>
      </c>
      <c r="L765" t="s">
        <v>1210</v>
      </c>
      <c r="M765">
        <v>1</v>
      </c>
    </row>
    <row r="766" spans="1:13" x14ac:dyDescent="0.45">
      <c r="A766" t="s">
        <v>878</v>
      </c>
      <c r="B766" t="s">
        <v>1217</v>
      </c>
      <c r="C766" t="s">
        <v>1115</v>
      </c>
      <c r="D766" t="s">
        <v>56</v>
      </c>
      <c r="E766">
        <v>1801</v>
      </c>
      <c r="F766" s="1">
        <v>46175</v>
      </c>
      <c r="G766" t="s">
        <v>1219</v>
      </c>
      <c r="H766" t="s">
        <v>1210</v>
      </c>
      <c r="I766">
        <v>6.27</v>
      </c>
      <c r="J766">
        <v>67</v>
      </c>
      <c r="K766">
        <v>90</v>
      </c>
      <c r="L766" t="s">
        <v>1210</v>
      </c>
      <c r="M766">
        <v>2</v>
      </c>
    </row>
    <row r="767" spans="1:13" x14ac:dyDescent="0.45">
      <c r="A767" t="s">
        <v>879</v>
      </c>
      <c r="B767" t="s">
        <v>1225</v>
      </c>
      <c r="C767" t="s">
        <v>1128</v>
      </c>
      <c r="D767" t="s">
        <v>36</v>
      </c>
      <c r="E767">
        <v>1550</v>
      </c>
      <c r="F767" s="1">
        <v>46166</v>
      </c>
      <c r="G767" t="s">
        <v>1219</v>
      </c>
      <c r="H767" t="s">
        <v>1210</v>
      </c>
      <c r="I767">
        <v>7.51</v>
      </c>
      <c r="J767">
        <v>83</v>
      </c>
      <c r="K767">
        <v>18</v>
      </c>
      <c r="L767" t="s">
        <v>1210</v>
      </c>
      <c r="M767">
        <v>11</v>
      </c>
    </row>
    <row r="768" spans="1:13" x14ac:dyDescent="0.45">
      <c r="A768" t="s">
        <v>880</v>
      </c>
      <c r="B768" t="s">
        <v>1217</v>
      </c>
      <c r="C768" t="s">
        <v>1114</v>
      </c>
      <c r="D768" t="s">
        <v>1131</v>
      </c>
      <c r="E768">
        <v>1017</v>
      </c>
      <c r="F768" s="1">
        <v>46175</v>
      </c>
      <c r="G768" t="s">
        <v>1219</v>
      </c>
      <c r="H768" t="s">
        <v>1210</v>
      </c>
      <c r="I768">
        <v>11.96</v>
      </c>
      <c r="J768">
        <v>101</v>
      </c>
      <c r="K768">
        <v>90</v>
      </c>
      <c r="L768" t="s">
        <v>1210</v>
      </c>
      <c r="M768">
        <v>2</v>
      </c>
    </row>
    <row r="769" spans="1:13" x14ac:dyDescent="0.45">
      <c r="A769" t="s">
        <v>881</v>
      </c>
      <c r="B769" t="s">
        <v>1217</v>
      </c>
      <c r="C769" t="s">
        <v>1114</v>
      </c>
      <c r="D769" t="s">
        <v>19</v>
      </c>
      <c r="E769">
        <v>2367</v>
      </c>
      <c r="F769" s="1">
        <v>46159</v>
      </c>
      <c r="G769" t="s">
        <v>1219</v>
      </c>
      <c r="H769" t="s">
        <v>1210</v>
      </c>
      <c r="I769">
        <v>8.0500000000000007</v>
      </c>
      <c r="J769">
        <v>147</v>
      </c>
      <c r="K769">
        <v>28</v>
      </c>
      <c r="L769" t="s">
        <v>1210</v>
      </c>
      <c r="M769">
        <v>18</v>
      </c>
    </row>
    <row r="770" spans="1:13" x14ac:dyDescent="0.45">
      <c r="A770" t="s">
        <v>882</v>
      </c>
      <c r="B770" t="s">
        <v>1223</v>
      </c>
      <c r="C770" t="s">
        <v>1117</v>
      </c>
      <c r="D770" t="s">
        <v>64</v>
      </c>
      <c r="E770">
        <v>1343</v>
      </c>
      <c r="F770" s="1">
        <v>46175</v>
      </c>
      <c r="G770" t="s">
        <v>1219</v>
      </c>
      <c r="H770" t="s">
        <v>1210</v>
      </c>
      <c r="J770">
        <v>49</v>
      </c>
      <c r="K770">
        <v>104</v>
      </c>
      <c r="L770" t="s">
        <v>1210</v>
      </c>
      <c r="M770">
        <v>2</v>
      </c>
    </row>
    <row r="771" spans="1:13" x14ac:dyDescent="0.45">
      <c r="A771" t="s">
        <v>883</v>
      </c>
      <c r="B771" t="s">
        <v>1217</v>
      </c>
      <c r="C771" t="s">
        <v>1114</v>
      </c>
      <c r="D771" t="s">
        <v>67</v>
      </c>
      <c r="E771">
        <v>2545</v>
      </c>
      <c r="F771" s="1">
        <v>46176</v>
      </c>
      <c r="G771" t="s">
        <v>1219</v>
      </c>
      <c r="H771" t="s">
        <v>1210</v>
      </c>
      <c r="I771">
        <v>8.32</v>
      </c>
      <c r="J771">
        <v>98</v>
      </c>
      <c r="K771">
        <v>16</v>
      </c>
      <c r="L771" t="s">
        <v>1210</v>
      </c>
      <c r="M771">
        <v>1</v>
      </c>
    </row>
    <row r="772" spans="1:13" x14ac:dyDescent="0.45">
      <c r="A772" t="s">
        <v>884</v>
      </c>
      <c r="B772" t="s">
        <v>1223</v>
      </c>
      <c r="C772" t="s">
        <v>1117</v>
      </c>
      <c r="D772" t="s">
        <v>15</v>
      </c>
      <c r="E772">
        <v>371</v>
      </c>
      <c r="F772" s="1">
        <v>46176</v>
      </c>
      <c r="G772" t="s">
        <v>1219</v>
      </c>
      <c r="H772" t="s">
        <v>1210</v>
      </c>
      <c r="I772">
        <v>5.53</v>
      </c>
      <c r="J772">
        <v>42</v>
      </c>
      <c r="K772">
        <v>114</v>
      </c>
      <c r="L772" t="s">
        <v>1210</v>
      </c>
      <c r="M772">
        <v>1</v>
      </c>
    </row>
    <row r="773" spans="1:13" x14ac:dyDescent="0.45">
      <c r="A773" t="s">
        <v>885</v>
      </c>
      <c r="B773" t="s">
        <v>1217</v>
      </c>
      <c r="C773" t="s">
        <v>1126</v>
      </c>
      <c r="D773" t="s">
        <v>39</v>
      </c>
      <c r="E773">
        <v>1439</v>
      </c>
      <c r="F773" s="1">
        <v>46176</v>
      </c>
      <c r="G773" t="s">
        <v>1219</v>
      </c>
      <c r="H773" t="s">
        <v>1210</v>
      </c>
      <c r="I773">
        <v>14.35</v>
      </c>
      <c r="J773">
        <v>70</v>
      </c>
      <c r="K773">
        <v>240</v>
      </c>
      <c r="L773" t="s">
        <v>1210</v>
      </c>
      <c r="M773">
        <v>1</v>
      </c>
    </row>
    <row r="774" spans="1:13" x14ac:dyDescent="0.45">
      <c r="A774" t="s">
        <v>886</v>
      </c>
      <c r="B774" t="s">
        <v>1223</v>
      </c>
      <c r="C774" t="s">
        <v>1117</v>
      </c>
      <c r="D774" t="s">
        <v>107</v>
      </c>
      <c r="E774">
        <v>2305</v>
      </c>
      <c r="F774" s="1">
        <v>46176</v>
      </c>
      <c r="G774" t="s">
        <v>1219</v>
      </c>
      <c r="H774" t="s">
        <v>1210</v>
      </c>
      <c r="I774">
        <v>4.3600000000000003</v>
      </c>
      <c r="J774">
        <v>88</v>
      </c>
      <c r="K774">
        <v>108</v>
      </c>
      <c r="L774" t="s">
        <v>1210</v>
      </c>
      <c r="M774">
        <v>1</v>
      </c>
    </row>
    <row r="775" spans="1:13" x14ac:dyDescent="0.45">
      <c r="A775" t="s">
        <v>887</v>
      </c>
      <c r="B775" t="s">
        <v>1223</v>
      </c>
      <c r="C775" t="s">
        <v>1122</v>
      </c>
      <c r="D775" t="s">
        <v>1131</v>
      </c>
      <c r="E775">
        <v>1631</v>
      </c>
      <c r="F775" s="1">
        <v>46176</v>
      </c>
      <c r="G775" t="s">
        <v>1219</v>
      </c>
      <c r="H775" t="s">
        <v>1210</v>
      </c>
      <c r="I775">
        <v>11.96</v>
      </c>
      <c r="J775">
        <v>101</v>
      </c>
      <c r="K775">
        <v>90</v>
      </c>
      <c r="L775" t="s">
        <v>1210</v>
      </c>
      <c r="M775">
        <v>1</v>
      </c>
    </row>
    <row r="776" spans="1:13" x14ac:dyDescent="0.45">
      <c r="A776" t="s">
        <v>888</v>
      </c>
      <c r="B776" t="s">
        <v>1223</v>
      </c>
      <c r="C776" t="s">
        <v>1117</v>
      </c>
      <c r="D776" t="s">
        <v>50</v>
      </c>
      <c r="E776">
        <v>2292</v>
      </c>
      <c r="F776" s="1">
        <v>46175</v>
      </c>
      <c r="G776" t="s">
        <v>1219</v>
      </c>
      <c r="H776" t="s">
        <v>1210</v>
      </c>
      <c r="I776">
        <v>9.02</v>
      </c>
      <c r="J776">
        <v>114</v>
      </c>
      <c r="K776">
        <v>18</v>
      </c>
      <c r="L776" t="s">
        <v>1210</v>
      </c>
      <c r="M776">
        <v>2</v>
      </c>
    </row>
    <row r="777" spans="1:13" x14ac:dyDescent="0.45">
      <c r="A777" t="s">
        <v>889</v>
      </c>
      <c r="B777" t="s">
        <v>1223</v>
      </c>
      <c r="C777" t="s">
        <v>1127</v>
      </c>
      <c r="D777" t="s">
        <v>97</v>
      </c>
      <c r="E777">
        <v>1026</v>
      </c>
      <c r="F777" s="1">
        <v>46176</v>
      </c>
      <c r="G777" t="s">
        <v>1219</v>
      </c>
      <c r="H777" t="s">
        <v>1210</v>
      </c>
      <c r="I777">
        <v>9.57</v>
      </c>
      <c r="J777">
        <v>92</v>
      </c>
      <c r="K777">
        <v>122</v>
      </c>
      <c r="L777" t="s">
        <v>1210</v>
      </c>
      <c r="M777">
        <v>1</v>
      </c>
    </row>
    <row r="778" spans="1:13" x14ac:dyDescent="0.45">
      <c r="A778" t="s">
        <v>890</v>
      </c>
      <c r="B778" t="s">
        <v>1225</v>
      </c>
      <c r="C778" t="s">
        <v>1123</v>
      </c>
      <c r="D778" t="s">
        <v>8</v>
      </c>
      <c r="E778">
        <v>688</v>
      </c>
      <c r="F778" s="1">
        <v>46176</v>
      </c>
      <c r="G778" t="s">
        <v>1219</v>
      </c>
      <c r="H778" t="s">
        <v>1210</v>
      </c>
      <c r="I778">
        <v>5.25</v>
      </c>
      <c r="J778">
        <v>76</v>
      </c>
      <c r="K778">
        <v>104</v>
      </c>
      <c r="L778" t="s">
        <v>1210</v>
      </c>
      <c r="M778">
        <v>1</v>
      </c>
    </row>
    <row r="779" spans="1:13" x14ac:dyDescent="0.45">
      <c r="A779" t="s">
        <v>891</v>
      </c>
      <c r="B779" t="s">
        <v>1225</v>
      </c>
      <c r="C779" t="s">
        <v>1118</v>
      </c>
      <c r="D779" t="s">
        <v>19</v>
      </c>
      <c r="E779">
        <v>2806</v>
      </c>
      <c r="F779" s="1">
        <v>46159</v>
      </c>
      <c r="G779" t="s">
        <v>1219</v>
      </c>
      <c r="H779" t="s">
        <v>1210</v>
      </c>
      <c r="I779">
        <v>8.0500000000000007</v>
      </c>
      <c r="J779">
        <v>147</v>
      </c>
      <c r="K779">
        <v>28</v>
      </c>
      <c r="L779" t="s">
        <v>1210</v>
      </c>
      <c r="M779">
        <v>18</v>
      </c>
    </row>
    <row r="780" spans="1:13" x14ac:dyDescent="0.45">
      <c r="A780" t="s">
        <v>892</v>
      </c>
      <c r="B780" t="s">
        <v>1223</v>
      </c>
      <c r="C780" t="s">
        <v>1124</v>
      </c>
      <c r="D780" t="s">
        <v>100</v>
      </c>
      <c r="E780">
        <v>1958</v>
      </c>
      <c r="F780" s="1">
        <v>46176</v>
      </c>
      <c r="G780" t="s">
        <v>1219</v>
      </c>
      <c r="H780" t="s">
        <v>1210</v>
      </c>
      <c r="I780">
        <v>9.7899999999999991</v>
      </c>
      <c r="J780">
        <v>123</v>
      </c>
      <c r="K780">
        <v>334</v>
      </c>
      <c r="L780" t="s">
        <v>1210</v>
      </c>
      <c r="M780">
        <v>1</v>
      </c>
    </row>
    <row r="781" spans="1:13" x14ac:dyDescent="0.45">
      <c r="A781" t="s">
        <v>893</v>
      </c>
      <c r="B781" t="s">
        <v>1225</v>
      </c>
      <c r="C781" t="s">
        <v>1125</v>
      </c>
      <c r="D781" t="s">
        <v>95</v>
      </c>
      <c r="E781">
        <v>1438</v>
      </c>
      <c r="F781" s="1">
        <v>46176</v>
      </c>
      <c r="G781" t="s">
        <v>1219</v>
      </c>
      <c r="H781" t="s">
        <v>1210</v>
      </c>
      <c r="I781">
        <v>14.82</v>
      </c>
      <c r="J781">
        <v>132</v>
      </c>
      <c r="K781">
        <v>373</v>
      </c>
      <c r="L781" t="s">
        <v>1210</v>
      </c>
      <c r="M781">
        <v>1</v>
      </c>
    </row>
    <row r="782" spans="1:13" x14ac:dyDescent="0.45">
      <c r="A782" t="s">
        <v>894</v>
      </c>
      <c r="B782" t="s">
        <v>1225</v>
      </c>
      <c r="C782" t="s">
        <v>1118</v>
      </c>
      <c r="D782" t="s">
        <v>61</v>
      </c>
      <c r="E782">
        <v>1833</v>
      </c>
      <c r="F782" s="1">
        <v>46176</v>
      </c>
      <c r="G782" t="s">
        <v>1219</v>
      </c>
      <c r="H782" t="s">
        <v>1210</v>
      </c>
      <c r="I782">
        <v>12.41</v>
      </c>
      <c r="J782">
        <v>95</v>
      </c>
      <c r="K782">
        <v>227</v>
      </c>
      <c r="L782" t="s">
        <v>1210</v>
      </c>
      <c r="M782">
        <v>1</v>
      </c>
    </row>
    <row r="783" spans="1:13" x14ac:dyDescent="0.45">
      <c r="A783" t="s">
        <v>895</v>
      </c>
      <c r="B783" t="s">
        <v>1217</v>
      </c>
      <c r="C783" t="s">
        <v>1114</v>
      </c>
      <c r="D783" t="s">
        <v>1141</v>
      </c>
      <c r="E783">
        <v>2259</v>
      </c>
      <c r="F783" s="1">
        <v>46175</v>
      </c>
      <c r="G783" t="s">
        <v>1219</v>
      </c>
      <c r="H783" t="s">
        <v>1210</v>
      </c>
      <c r="J783">
        <v>100</v>
      </c>
      <c r="K783">
        <v>512</v>
      </c>
      <c r="L783" t="s">
        <v>1210</v>
      </c>
      <c r="M783">
        <v>2</v>
      </c>
    </row>
    <row r="784" spans="1:13" x14ac:dyDescent="0.45">
      <c r="A784" t="s">
        <v>896</v>
      </c>
      <c r="B784" t="s">
        <v>1217</v>
      </c>
      <c r="C784" t="s">
        <v>1120</v>
      </c>
      <c r="D784" t="s">
        <v>1135</v>
      </c>
      <c r="E784">
        <v>689</v>
      </c>
      <c r="F784" s="1">
        <v>46175</v>
      </c>
      <c r="G784" t="s">
        <v>1219</v>
      </c>
      <c r="H784" t="s">
        <v>1210</v>
      </c>
      <c r="I784">
        <v>13.31</v>
      </c>
      <c r="J784">
        <v>89</v>
      </c>
      <c r="K784">
        <v>313</v>
      </c>
      <c r="L784" t="s">
        <v>1210</v>
      </c>
      <c r="M784">
        <v>2</v>
      </c>
    </row>
    <row r="785" spans="1:13" x14ac:dyDescent="0.45">
      <c r="A785" t="s">
        <v>897</v>
      </c>
      <c r="B785" t="s">
        <v>1223</v>
      </c>
      <c r="C785" t="s">
        <v>1124</v>
      </c>
      <c r="D785" t="s">
        <v>1130</v>
      </c>
      <c r="E785">
        <v>1603</v>
      </c>
      <c r="F785" s="1">
        <v>46176</v>
      </c>
      <c r="G785" t="s">
        <v>1219</v>
      </c>
      <c r="H785" t="s">
        <v>1210</v>
      </c>
      <c r="I785">
        <v>12.51</v>
      </c>
      <c r="J785">
        <v>73</v>
      </c>
      <c r="K785">
        <v>75</v>
      </c>
      <c r="L785" t="s">
        <v>1210</v>
      </c>
      <c r="M785">
        <v>1</v>
      </c>
    </row>
    <row r="786" spans="1:13" x14ac:dyDescent="0.45">
      <c r="A786" t="s">
        <v>898</v>
      </c>
      <c r="B786" t="s">
        <v>1223</v>
      </c>
      <c r="C786" t="s">
        <v>1117</v>
      </c>
      <c r="D786" t="s">
        <v>109</v>
      </c>
      <c r="E786">
        <v>718</v>
      </c>
      <c r="F786" s="1">
        <v>46176</v>
      </c>
      <c r="G786" t="s">
        <v>1219</v>
      </c>
      <c r="H786" t="s">
        <v>1210</v>
      </c>
      <c r="I786">
        <v>12.09</v>
      </c>
      <c r="J786">
        <v>80</v>
      </c>
      <c r="K786">
        <v>138</v>
      </c>
      <c r="L786" t="s">
        <v>1210</v>
      </c>
      <c r="M786">
        <v>1</v>
      </c>
    </row>
    <row r="787" spans="1:13" x14ac:dyDescent="0.45">
      <c r="A787" t="s">
        <v>899</v>
      </c>
      <c r="B787" t="s">
        <v>1225</v>
      </c>
      <c r="C787" t="s">
        <v>1118</v>
      </c>
      <c r="D787" t="s">
        <v>41</v>
      </c>
      <c r="E787">
        <v>3116</v>
      </c>
      <c r="F787" s="1">
        <v>46172</v>
      </c>
      <c r="G787" t="s">
        <v>1219</v>
      </c>
      <c r="H787" t="s">
        <v>1210</v>
      </c>
      <c r="I787">
        <v>6.24</v>
      </c>
      <c r="J787">
        <v>146</v>
      </c>
      <c r="K787">
        <v>24</v>
      </c>
      <c r="L787" t="s">
        <v>1210</v>
      </c>
      <c r="M787">
        <v>5</v>
      </c>
    </row>
    <row r="788" spans="1:13" x14ac:dyDescent="0.45">
      <c r="A788" t="s">
        <v>900</v>
      </c>
      <c r="B788" t="s">
        <v>1223</v>
      </c>
      <c r="C788" t="s">
        <v>1121</v>
      </c>
      <c r="D788" t="s">
        <v>74</v>
      </c>
      <c r="E788">
        <v>1815</v>
      </c>
      <c r="F788" s="1">
        <v>46175</v>
      </c>
      <c r="G788" t="s">
        <v>1219</v>
      </c>
      <c r="H788" t="s">
        <v>1210</v>
      </c>
      <c r="I788">
        <v>12.77</v>
      </c>
      <c r="J788">
        <v>96</v>
      </c>
      <c r="K788">
        <v>122</v>
      </c>
      <c r="L788" t="s">
        <v>1210</v>
      </c>
      <c r="M788">
        <v>2</v>
      </c>
    </row>
    <row r="789" spans="1:13" x14ac:dyDescent="0.45">
      <c r="A789" t="s">
        <v>901</v>
      </c>
      <c r="B789" t="s">
        <v>1223</v>
      </c>
      <c r="C789" t="s">
        <v>1122</v>
      </c>
      <c r="D789" t="s">
        <v>29</v>
      </c>
      <c r="E789">
        <v>684</v>
      </c>
      <c r="F789" s="1">
        <v>46176</v>
      </c>
      <c r="G789" t="s">
        <v>1219</v>
      </c>
      <c r="H789" t="s">
        <v>1210</v>
      </c>
      <c r="I789">
        <v>4</v>
      </c>
      <c r="J789">
        <v>58</v>
      </c>
      <c r="K789">
        <v>112</v>
      </c>
      <c r="L789" t="s">
        <v>1210</v>
      </c>
      <c r="M789">
        <v>1</v>
      </c>
    </row>
    <row r="790" spans="1:13" x14ac:dyDescent="0.45">
      <c r="A790" t="s">
        <v>902</v>
      </c>
      <c r="B790" t="s">
        <v>1225</v>
      </c>
      <c r="C790" t="s">
        <v>1128</v>
      </c>
      <c r="D790" t="s">
        <v>55</v>
      </c>
      <c r="E790">
        <v>1938</v>
      </c>
      <c r="F790" s="1">
        <v>46176</v>
      </c>
      <c r="G790" t="s">
        <v>1219</v>
      </c>
      <c r="H790" t="s">
        <v>1210</v>
      </c>
      <c r="I790">
        <v>3.48</v>
      </c>
      <c r="J790">
        <v>66</v>
      </c>
      <c r="K790">
        <v>112</v>
      </c>
      <c r="L790" t="s">
        <v>1210</v>
      </c>
      <c r="M790">
        <v>1</v>
      </c>
    </row>
    <row r="791" spans="1:13" x14ac:dyDescent="0.45">
      <c r="A791" t="s">
        <v>903</v>
      </c>
      <c r="B791" t="s">
        <v>1217</v>
      </c>
      <c r="C791" t="s">
        <v>1116</v>
      </c>
      <c r="D791" t="s">
        <v>99</v>
      </c>
      <c r="E791">
        <v>2074</v>
      </c>
      <c r="F791" s="1">
        <v>46174</v>
      </c>
      <c r="G791" t="s">
        <v>1219</v>
      </c>
      <c r="H791" t="s">
        <v>1210</v>
      </c>
      <c r="I791">
        <v>4.26</v>
      </c>
      <c r="J791">
        <v>68</v>
      </c>
      <c r="K791">
        <v>117</v>
      </c>
      <c r="L791" t="s">
        <v>1210</v>
      </c>
      <c r="M791">
        <v>3</v>
      </c>
    </row>
    <row r="792" spans="1:13" x14ac:dyDescent="0.45">
      <c r="A792" t="s">
        <v>904</v>
      </c>
      <c r="B792" t="s">
        <v>1223</v>
      </c>
      <c r="C792" t="s">
        <v>1122</v>
      </c>
      <c r="D792" t="s">
        <v>66</v>
      </c>
      <c r="E792">
        <v>939</v>
      </c>
      <c r="F792" s="1">
        <v>46176</v>
      </c>
      <c r="G792" t="s">
        <v>1221</v>
      </c>
      <c r="H792" t="s">
        <v>1210</v>
      </c>
      <c r="I792">
        <v>23.39</v>
      </c>
      <c r="J792">
        <v>79</v>
      </c>
      <c r="K792">
        <v>329</v>
      </c>
      <c r="L792" t="s">
        <v>1210</v>
      </c>
      <c r="M792">
        <v>1</v>
      </c>
    </row>
    <row r="793" spans="1:13" x14ac:dyDescent="0.45">
      <c r="A793" t="s">
        <v>905</v>
      </c>
      <c r="B793" t="s">
        <v>1225</v>
      </c>
      <c r="C793" t="s">
        <v>1118</v>
      </c>
      <c r="D793" t="s">
        <v>102</v>
      </c>
      <c r="E793">
        <v>649</v>
      </c>
      <c r="F793" s="1">
        <v>46175</v>
      </c>
      <c r="G793" t="s">
        <v>1219</v>
      </c>
      <c r="H793" t="s">
        <v>1210</v>
      </c>
      <c r="I793">
        <v>9.9499999999999993</v>
      </c>
      <c r="J793">
        <v>106</v>
      </c>
      <c r="K793">
        <v>376</v>
      </c>
      <c r="L793" t="s">
        <v>1210</v>
      </c>
      <c r="M793">
        <v>2</v>
      </c>
    </row>
    <row r="794" spans="1:13" x14ac:dyDescent="0.45">
      <c r="A794" t="s">
        <v>906</v>
      </c>
      <c r="B794" t="s">
        <v>1217</v>
      </c>
      <c r="C794" t="s">
        <v>1126</v>
      </c>
      <c r="D794" t="s">
        <v>57</v>
      </c>
      <c r="E794">
        <v>2361</v>
      </c>
      <c r="F794" s="1">
        <v>46175</v>
      </c>
      <c r="G794" t="s">
        <v>1219</v>
      </c>
      <c r="H794" t="s">
        <v>1210</v>
      </c>
      <c r="I794">
        <v>8.19</v>
      </c>
      <c r="J794">
        <v>82</v>
      </c>
      <c r="K794">
        <v>317</v>
      </c>
      <c r="L794" t="s">
        <v>1210</v>
      </c>
      <c r="M794">
        <v>2</v>
      </c>
    </row>
    <row r="795" spans="1:13" x14ac:dyDescent="0.45">
      <c r="A795" t="s">
        <v>907</v>
      </c>
      <c r="B795" t="s">
        <v>1225</v>
      </c>
      <c r="C795" t="s">
        <v>1119</v>
      </c>
      <c r="D795" t="s">
        <v>64</v>
      </c>
      <c r="E795">
        <v>1690</v>
      </c>
      <c r="F795" s="1">
        <v>46175</v>
      </c>
      <c r="G795" t="s">
        <v>1219</v>
      </c>
      <c r="H795" t="s">
        <v>1210</v>
      </c>
      <c r="J795">
        <v>49</v>
      </c>
      <c r="K795">
        <v>104</v>
      </c>
      <c r="L795" t="s">
        <v>1210</v>
      </c>
      <c r="M795">
        <v>2</v>
      </c>
    </row>
    <row r="796" spans="1:13" x14ac:dyDescent="0.45">
      <c r="A796" t="s">
        <v>908</v>
      </c>
      <c r="B796" t="s">
        <v>1217</v>
      </c>
      <c r="C796" t="s">
        <v>1116</v>
      </c>
      <c r="D796" t="s">
        <v>1149</v>
      </c>
      <c r="E796">
        <v>1238</v>
      </c>
      <c r="F796" s="1">
        <v>46174</v>
      </c>
      <c r="G796" t="s">
        <v>1219</v>
      </c>
      <c r="H796" t="s">
        <v>1210</v>
      </c>
      <c r="L796" t="s">
        <v>1353</v>
      </c>
      <c r="M796">
        <v>3</v>
      </c>
    </row>
    <row r="797" spans="1:13" x14ac:dyDescent="0.45">
      <c r="A797" t="s">
        <v>909</v>
      </c>
      <c r="B797" t="s">
        <v>1223</v>
      </c>
      <c r="C797" t="s">
        <v>1124</v>
      </c>
      <c r="D797" t="s">
        <v>42</v>
      </c>
      <c r="E797">
        <v>825</v>
      </c>
      <c r="F797" s="1">
        <v>46176</v>
      </c>
      <c r="G797" t="s">
        <v>1219</v>
      </c>
      <c r="H797" t="s">
        <v>1210</v>
      </c>
      <c r="I797">
        <v>7.45</v>
      </c>
      <c r="J797">
        <v>147</v>
      </c>
      <c r="K797">
        <v>28</v>
      </c>
      <c r="L797" t="s">
        <v>1210</v>
      </c>
      <c r="M797">
        <v>1</v>
      </c>
    </row>
    <row r="798" spans="1:13" x14ac:dyDescent="0.45">
      <c r="A798" t="s">
        <v>910</v>
      </c>
      <c r="B798" t="s">
        <v>1225</v>
      </c>
      <c r="C798" t="s">
        <v>1125</v>
      </c>
      <c r="D798" t="s">
        <v>1137</v>
      </c>
      <c r="E798">
        <v>1846</v>
      </c>
      <c r="F798" s="1">
        <v>46174</v>
      </c>
      <c r="G798" t="s">
        <v>1219</v>
      </c>
      <c r="H798" t="s">
        <v>1210</v>
      </c>
      <c r="I798">
        <v>10.96</v>
      </c>
      <c r="J798">
        <v>128</v>
      </c>
      <c r="K798">
        <v>520</v>
      </c>
      <c r="L798" t="s">
        <v>1210</v>
      </c>
      <c r="M798">
        <v>3</v>
      </c>
    </row>
    <row r="799" spans="1:13" x14ac:dyDescent="0.45">
      <c r="A799" t="s">
        <v>911</v>
      </c>
      <c r="B799" t="s">
        <v>1217</v>
      </c>
      <c r="C799" t="s">
        <v>1126</v>
      </c>
      <c r="D799" t="s">
        <v>62</v>
      </c>
      <c r="E799">
        <v>574</v>
      </c>
      <c r="F799" s="1">
        <v>46176</v>
      </c>
      <c r="G799" t="s">
        <v>1219</v>
      </c>
      <c r="H799" t="s">
        <v>1210</v>
      </c>
      <c r="I799">
        <v>12.39</v>
      </c>
      <c r="J799">
        <v>134</v>
      </c>
      <c r="K799">
        <v>446</v>
      </c>
      <c r="L799" t="s">
        <v>1210</v>
      </c>
      <c r="M799">
        <v>1</v>
      </c>
    </row>
    <row r="800" spans="1:13" x14ac:dyDescent="0.45">
      <c r="A800" t="s">
        <v>912</v>
      </c>
      <c r="B800" t="s">
        <v>1223</v>
      </c>
      <c r="C800" t="s">
        <v>1124</v>
      </c>
      <c r="D800" t="s">
        <v>99</v>
      </c>
      <c r="E800">
        <v>2055</v>
      </c>
      <c r="F800" s="1">
        <v>46176</v>
      </c>
      <c r="G800" t="s">
        <v>1219</v>
      </c>
      <c r="H800" t="s">
        <v>1210</v>
      </c>
      <c r="I800">
        <v>4.26</v>
      </c>
      <c r="J800">
        <v>68</v>
      </c>
      <c r="K800">
        <v>117</v>
      </c>
      <c r="L800" t="s">
        <v>1210</v>
      </c>
      <c r="M800">
        <v>1</v>
      </c>
    </row>
    <row r="801" spans="1:13" x14ac:dyDescent="0.45">
      <c r="A801" t="s">
        <v>913</v>
      </c>
      <c r="B801" t="s">
        <v>1225</v>
      </c>
      <c r="C801" t="s">
        <v>1128</v>
      </c>
      <c r="D801" t="s">
        <v>107</v>
      </c>
      <c r="E801">
        <v>2648</v>
      </c>
      <c r="F801" s="1">
        <v>46175</v>
      </c>
      <c r="G801" t="s">
        <v>1219</v>
      </c>
      <c r="H801" t="s">
        <v>1210</v>
      </c>
      <c r="I801">
        <v>4.3600000000000003</v>
      </c>
      <c r="J801">
        <v>88</v>
      </c>
      <c r="K801">
        <v>108</v>
      </c>
      <c r="L801" t="s">
        <v>1210</v>
      </c>
      <c r="M801">
        <v>2</v>
      </c>
    </row>
    <row r="802" spans="1:13" x14ac:dyDescent="0.45">
      <c r="A802" t="s">
        <v>914</v>
      </c>
      <c r="B802" t="s">
        <v>1223</v>
      </c>
      <c r="C802" t="s">
        <v>1122</v>
      </c>
      <c r="D802" t="s">
        <v>1137</v>
      </c>
      <c r="E802">
        <v>1889</v>
      </c>
      <c r="F802" s="1">
        <v>46176</v>
      </c>
      <c r="G802" t="s">
        <v>1219</v>
      </c>
      <c r="H802" t="s">
        <v>1210</v>
      </c>
      <c r="I802">
        <v>10.96</v>
      </c>
      <c r="J802">
        <v>128</v>
      </c>
      <c r="K802">
        <v>520</v>
      </c>
      <c r="L802" t="s">
        <v>1210</v>
      </c>
      <c r="M802">
        <v>1</v>
      </c>
    </row>
    <row r="803" spans="1:13" x14ac:dyDescent="0.45">
      <c r="A803" t="s">
        <v>915</v>
      </c>
      <c r="B803" t="s">
        <v>1225</v>
      </c>
      <c r="C803" t="s">
        <v>1125</v>
      </c>
      <c r="D803" t="s">
        <v>1135</v>
      </c>
      <c r="E803">
        <v>637</v>
      </c>
      <c r="F803" s="1">
        <v>46173</v>
      </c>
      <c r="G803" t="s">
        <v>1219</v>
      </c>
      <c r="H803" t="s">
        <v>1210</v>
      </c>
      <c r="I803">
        <v>13.31</v>
      </c>
      <c r="J803">
        <v>89</v>
      </c>
      <c r="K803">
        <v>313</v>
      </c>
      <c r="L803" t="s">
        <v>1210</v>
      </c>
      <c r="M803">
        <v>4</v>
      </c>
    </row>
    <row r="804" spans="1:13" x14ac:dyDescent="0.45">
      <c r="A804" t="s">
        <v>916</v>
      </c>
      <c r="B804" t="s">
        <v>1217</v>
      </c>
      <c r="C804" t="s">
        <v>1114</v>
      </c>
      <c r="D804" t="s">
        <v>35</v>
      </c>
      <c r="E804">
        <v>1039</v>
      </c>
      <c r="F804" s="1">
        <v>46176</v>
      </c>
      <c r="G804" t="s">
        <v>1219</v>
      </c>
      <c r="H804" t="s">
        <v>1210</v>
      </c>
      <c r="I804">
        <v>19.18</v>
      </c>
      <c r="J804">
        <v>95</v>
      </c>
      <c r="K804">
        <v>208</v>
      </c>
      <c r="L804" t="s">
        <v>1210</v>
      </c>
      <c r="M804">
        <v>1</v>
      </c>
    </row>
    <row r="805" spans="1:13" x14ac:dyDescent="0.45">
      <c r="A805" t="s">
        <v>917</v>
      </c>
      <c r="B805" t="s">
        <v>1223</v>
      </c>
      <c r="C805" t="s">
        <v>1122</v>
      </c>
      <c r="D805" t="s">
        <v>25</v>
      </c>
      <c r="E805">
        <v>1205</v>
      </c>
      <c r="F805" s="1">
        <v>46159</v>
      </c>
      <c r="G805" t="s">
        <v>1219</v>
      </c>
      <c r="H805" t="s">
        <v>1210</v>
      </c>
      <c r="I805">
        <v>10.37</v>
      </c>
      <c r="J805">
        <v>100</v>
      </c>
      <c r="K805">
        <v>24</v>
      </c>
      <c r="L805" t="s">
        <v>1210</v>
      </c>
      <c r="M805">
        <v>18</v>
      </c>
    </row>
    <row r="806" spans="1:13" x14ac:dyDescent="0.45">
      <c r="A806" t="s">
        <v>918</v>
      </c>
      <c r="B806" t="s">
        <v>1225</v>
      </c>
      <c r="C806" t="s">
        <v>1118</v>
      </c>
      <c r="D806" t="s">
        <v>64</v>
      </c>
      <c r="E806">
        <v>1522</v>
      </c>
      <c r="F806" s="1">
        <v>46173</v>
      </c>
      <c r="G806" t="s">
        <v>1219</v>
      </c>
      <c r="H806" t="s">
        <v>1210</v>
      </c>
      <c r="J806">
        <v>49</v>
      </c>
      <c r="K806">
        <v>104</v>
      </c>
      <c r="L806" t="s">
        <v>1210</v>
      </c>
      <c r="M806">
        <v>4</v>
      </c>
    </row>
    <row r="807" spans="1:13" x14ac:dyDescent="0.45">
      <c r="A807" t="s">
        <v>919</v>
      </c>
      <c r="B807" t="s">
        <v>1223</v>
      </c>
      <c r="C807" t="s">
        <v>1122</v>
      </c>
      <c r="D807" t="s">
        <v>1135</v>
      </c>
      <c r="E807">
        <v>395</v>
      </c>
      <c r="F807" s="1">
        <v>46176</v>
      </c>
      <c r="G807" t="s">
        <v>1219</v>
      </c>
      <c r="H807" t="s">
        <v>1210</v>
      </c>
      <c r="I807">
        <v>13.31</v>
      </c>
      <c r="J807">
        <v>89</v>
      </c>
      <c r="K807">
        <v>313</v>
      </c>
      <c r="L807" t="s">
        <v>1210</v>
      </c>
      <c r="M807">
        <v>1</v>
      </c>
    </row>
    <row r="808" spans="1:13" x14ac:dyDescent="0.45">
      <c r="A808" t="s">
        <v>920</v>
      </c>
      <c r="B808" t="s">
        <v>1217</v>
      </c>
      <c r="C808" t="s">
        <v>1114</v>
      </c>
      <c r="D808" t="s">
        <v>33</v>
      </c>
      <c r="E808">
        <v>1288</v>
      </c>
      <c r="F808" s="1">
        <v>46176</v>
      </c>
      <c r="G808" t="s">
        <v>1219</v>
      </c>
      <c r="H808" t="s">
        <v>1210</v>
      </c>
      <c r="I808">
        <v>16.28</v>
      </c>
      <c r="J808">
        <v>90</v>
      </c>
      <c r="K808">
        <v>280</v>
      </c>
      <c r="L808" t="s">
        <v>1210</v>
      </c>
      <c r="M808">
        <v>1</v>
      </c>
    </row>
    <row r="809" spans="1:13" x14ac:dyDescent="0.45">
      <c r="A809" t="s">
        <v>921</v>
      </c>
      <c r="B809" t="s">
        <v>1217</v>
      </c>
      <c r="C809" t="s">
        <v>1114</v>
      </c>
      <c r="D809" t="s">
        <v>13</v>
      </c>
      <c r="E809">
        <v>2829</v>
      </c>
      <c r="F809" s="1">
        <v>46174</v>
      </c>
      <c r="G809" t="s">
        <v>1219</v>
      </c>
      <c r="H809" t="s">
        <v>1210</v>
      </c>
      <c r="I809">
        <v>8.18</v>
      </c>
      <c r="J809">
        <v>90</v>
      </c>
      <c r="K809">
        <v>29</v>
      </c>
      <c r="L809" t="s">
        <v>1210</v>
      </c>
      <c r="M809">
        <v>3</v>
      </c>
    </row>
    <row r="810" spans="1:13" x14ac:dyDescent="0.45">
      <c r="A810" t="s">
        <v>922</v>
      </c>
      <c r="B810" t="s">
        <v>1223</v>
      </c>
      <c r="C810" t="s">
        <v>1121</v>
      </c>
      <c r="D810" t="s">
        <v>39</v>
      </c>
      <c r="E810">
        <v>1506</v>
      </c>
      <c r="F810" s="1">
        <v>46175</v>
      </c>
      <c r="G810" t="s">
        <v>1219</v>
      </c>
      <c r="H810" t="s">
        <v>1210</v>
      </c>
      <c r="I810">
        <v>14.35</v>
      </c>
      <c r="J810">
        <v>70</v>
      </c>
      <c r="K810">
        <v>240</v>
      </c>
      <c r="L810" t="s">
        <v>1210</v>
      </c>
      <c r="M810">
        <v>2</v>
      </c>
    </row>
    <row r="811" spans="1:13" x14ac:dyDescent="0.45">
      <c r="A811" t="s">
        <v>923</v>
      </c>
      <c r="B811" t="s">
        <v>1223</v>
      </c>
      <c r="C811" t="s">
        <v>1121</v>
      </c>
      <c r="D811" t="s">
        <v>44</v>
      </c>
      <c r="E811">
        <v>647</v>
      </c>
      <c r="F811" s="1">
        <v>46175</v>
      </c>
      <c r="G811" t="s">
        <v>1219</v>
      </c>
      <c r="H811" t="s">
        <v>1210</v>
      </c>
      <c r="I811">
        <v>3.48</v>
      </c>
      <c r="J811">
        <v>55</v>
      </c>
      <c r="K811">
        <v>118</v>
      </c>
      <c r="L811" t="s">
        <v>1210</v>
      </c>
      <c r="M811">
        <v>2</v>
      </c>
    </row>
    <row r="812" spans="1:13" x14ac:dyDescent="0.45">
      <c r="A812" t="s">
        <v>924</v>
      </c>
      <c r="B812" t="s">
        <v>1223</v>
      </c>
      <c r="C812" t="s">
        <v>1124</v>
      </c>
      <c r="D812" t="s">
        <v>44</v>
      </c>
      <c r="E812">
        <v>1438</v>
      </c>
      <c r="F812" s="1">
        <v>46176</v>
      </c>
      <c r="G812" t="s">
        <v>1219</v>
      </c>
      <c r="H812" t="s">
        <v>1210</v>
      </c>
      <c r="I812">
        <v>3.48</v>
      </c>
      <c r="J812">
        <v>55</v>
      </c>
      <c r="K812">
        <v>118</v>
      </c>
      <c r="L812" t="s">
        <v>1210</v>
      </c>
      <c r="M812">
        <v>1</v>
      </c>
    </row>
    <row r="813" spans="1:13" x14ac:dyDescent="0.45">
      <c r="A813" t="s">
        <v>925</v>
      </c>
      <c r="B813" t="s">
        <v>1223</v>
      </c>
      <c r="C813" t="s">
        <v>1117</v>
      </c>
      <c r="D813" t="s">
        <v>1133</v>
      </c>
      <c r="E813">
        <v>448</v>
      </c>
      <c r="F813" s="1">
        <v>46176</v>
      </c>
      <c r="G813" t="s">
        <v>1219</v>
      </c>
      <c r="H813" t="s">
        <v>1210</v>
      </c>
      <c r="I813">
        <v>3.75</v>
      </c>
      <c r="J813">
        <v>41</v>
      </c>
      <c r="K813">
        <v>106</v>
      </c>
      <c r="L813" t="s">
        <v>1210</v>
      </c>
      <c r="M813">
        <v>1</v>
      </c>
    </row>
    <row r="814" spans="1:13" x14ac:dyDescent="0.45">
      <c r="A814" t="s">
        <v>926</v>
      </c>
      <c r="B814" t="s">
        <v>1217</v>
      </c>
      <c r="C814" t="s">
        <v>1120</v>
      </c>
      <c r="D814" t="s">
        <v>1132</v>
      </c>
      <c r="E814">
        <v>1294</v>
      </c>
      <c r="F814" s="1">
        <v>46175</v>
      </c>
      <c r="G814" t="s">
        <v>1219</v>
      </c>
      <c r="H814" t="s">
        <v>1210</v>
      </c>
      <c r="I814">
        <v>15.52</v>
      </c>
      <c r="J814">
        <v>121</v>
      </c>
      <c r="K814">
        <v>517</v>
      </c>
      <c r="L814" t="s">
        <v>1210</v>
      </c>
      <c r="M814">
        <v>2</v>
      </c>
    </row>
    <row r="815" spans="1:13" x14ac:dyDescent="0.45">
      <c r="A815" t="s">
        <v>927</v>
      </c>
      <c r="B815" t="s">
        <v>1223</v>
      </c>
      <c r="C815" t="s">
        <v>1117</v>
      </c>
      <c r="D815" t="s">
        <v>1140</v>
      </c>
      <c r="E815">
        <v>2018</v>
      </c>
      <c r="F815" s="1">
        <v>46175</v>
      </c>
      <c r="G815" t="s">
        <v>1219</v>
      </c>
      <c r="H815" t="s">
        <v>1210</v>
      </c>
      <c r="I815">
        <v>11.43</v>
      </c>
      <c r="J815">
        <v>128</v>
      </c>
      <c r="K815">
        <v>530</v>
      </c>
      <c r="L815" t="s">
        <v>1210</v>
      </c>
      <c r="M815">
        <v>2</v>
      </c>
    </row>
    <row r="816" spans="1:13" x14ac:dyDescent="0.45">
      <c r="A816" t="s">
        <v>928</v>
      </c>
      <c r="B816" t="s">
        <v>1223</v>
      </c>
      <c r="C816" t="s">
        <v>1124</v>
      </c>
      <c r="D816" t="s">
        <v>70</v>
      </c>
      <c r="E816">
        <v>1468</v>
      </c>
      <c r="F816" s="1">
        <v>46176</v>
      </c>
      <c r="G816" t="s">
        <v>1221</v>
      </c>
      <c r="H816" t="s">
        <v>1210</v>
      </c>
      <c r="I816">
        <v>5.04</v>
      </c>
      <c r="J816">
        <v>47</v>
      </c>
      <c r="K816">
        <v>96</v>
      </c>
      <c r="L816" t="s">
        <v>1210</v>
      </c>
      <c r="M816">
        <v>1</v>
      </c>
    </row>
    <row r="817" spans="1:13" x14ac:dyDescent="0.45">
      <c r="A817" t="s">
        <v>929</v>
      </c>
      <c r="B817" t="s">
        <v>1217</v>
      </c>
      <c r="C817" t="s">
        <v>1126</v>
      </c>
      <c r="D817" t="s">
        <v>60</v>
      </c>
      <c r="E817">
        <v>2581</v>
      </c>
      <c r="F817" s="1">
        <v>46176</v>
      </c>
      <c r="G817" t="s">
        <v>1219</v>
      </c>
      <c r="H817" t="s">
        <v>1210</v>
      </c>
      <c r="I817">
        <v>3.02</v>
      </c>
      <c r="J817">
        <v>84</v>
      </c>
      <c r="K817">
        <v>111</v>
      </c>
      <c r="L817" t="s">
        <v>1210</v>
      </c>
      <c r="M817">
        <v>1</v>
      </c>
    </row>
    <row r="818" spans="1:13" x14ac:dyDescent="0.45">
      <c r="A818" t="s">
        <v>930</v>
      </c>
      <c r="B818" t="s">
        <v>1225</v>
      </c>
      <c r="C818" t="s">
        <v>1128</v>
      </c>
      <c r="D818" t="s">
        <v>85</v>
      </c>
      <c r="E818">
        <v>884</v>
      </c>
      <c r="F818" s="1">
        <v>46175</v>
      </c>
      <c r="G818" t="s">
        <v>1219</v>
      </c>
      <c r="H818" t="s">
        <v>1210</v>
      </c>
      <c r="I818">
        <v>6.87</v>
      </c>
      <c r="J818">
        <v>101</v>
      </c>
      <c r="K818">
        <v>62</v>
      </c>
      <c r="L818" t="s">
        <v>1210</v>
      </c>
      <c r="M818">
        <v>2</v>
      </c>
    </row>
    <row r="819" spans="1:13" x14ac:dyDescent="0.45">
      <c r="A819" t="s">
        <v>931</v>
      </c>
      <c r="B819" t="s">
        <v>1223</v>
      </c>
      <c r="C819" t="s">
        <v>1127</v>
      </c>
      <c r="D819" t="s">
        <v>60</v>
      </c>
      <c r="E819">
        <v>675</v>
      </c>
      <c r="F819" s="1">
        <v>46176</v>
      </c>
      <c r="G819" t="s">
        <v>1219</v>
      </c>
      <c r="H819" t="s">
        <v>1210</v>
      </c>
      <c r="I819">
        <v>3.02</v>
      </c>
      <c r="J819">
        <v>84</v>
      </c>
      <c r="K819">
        <v>111</v>
      </c>
      <c r="L819" t="s">
        <v>1210</v>
      </c>
      <c r="M819">
        <v>1</v>
      </c>
    </row>
    <row r="820" spans="1:13" x14ac:dyDescent="0.45">
      <c r="A820" t="s">
        <v>932</v>
      </c>
      <c r="B820" t="s">
        <v>1217</v>
      </c>
      <c r="C820" t="s">
        <v>1116</v>
      </c>
      <c r="D820" t="s">
        <v>58</v>
      </c>
      <c r="E820">
        <v>1387</v>
      </c>
      <c r="F820" s="1">
        <v>46173</v>
      </c>
      <c r="G820" t="s">
        <v>1219</v>
      </c>
      <c r="H820" t="s">
        <v>1210</v>
      </c>
      <c r="I820">
        <v>14.79</v>
      </c>
      <c r="J820">
        <v>124</v>
      </c>
      <c r="K820">
        <v>423</v>
      </c>
      <c r="L820" t="s">
        <v>1210</v>
      </c>
      <c r="M820">
        <v>4</v>
      </c>
    </row>
    <row r="821" spans="1:13" x14ac:dyDescent="0.45">
      <c r="A821" t="s">
        <v>933</v>
      </c>
      <c r="B821" t="s">
        <v>1217</v>
      </c>
      <c r="C821" t="s">
        <v>1114</v>
      </c>
      <c r="D821" t="s">
        <v>1150</v>
      </c>
      <c r="E821">
        <v>1764</v>
      </c>
      <c r="F821" s="1">
        <v>46175</v>
      </c>
      <c r="G821" t="s">
        <v>1219</v>
      </c>
      <c r="H821" t="s">
        <v>1210</v>
      </c>
      <c r="L821" t="s">
        <v>1353</v>
      </c>
      <c r="M821">
        <v>2</v>
      </c>
    </row>
    <row r="822" spans="1:13" x14ac:dyDescent="0.45">
      <c r="A822" t="s">
        <v>934</v>
      </c>
      <c r="B822" t="s">
        <v>1217</v>
      </c>
      <c r="C822" t="s">
        <v>1114</v>
      </c>
      <c r="D822" t="s">
        <v>98</v>
      </c>
      <c r="E822">
        <v>829</v>
      </c>
      <c r="F822" s="1">
        <v>46174</v>
      </c>
      <c r="G822" t="s">
        <v>1219</v>
      </c>
      <c r="H822" t="s">
        <v>1210</v>
      </c>
      <c r="I822">
        <v>6.23</v>
      </c>
      <c r="J822">
        <v>78</v>
      </c>
      <c r="K822">
        <v>99</v>
      </c>
      <c r="L822" t="s">
        <v>1210</v>
      </c>
      <c r="M822">
        <v>3</v>
      </c>
    </row>
    <row r="823" spans="1:13" x14ac:dyDescent="0.45">
      <c r="A823" t="s">
        <v>935</v>
      </c>
      <c r="B823" t="s">
        <v>1217</v>
      </c>
      <c r="C823" t="s">
        <v>1116</v>
      </c>
      <c r="D823" t="s">
        <v>41</v>
      </c>
      <c r="E823">
        <v>3509</v>
      </c>
      <c r="F823" s="1">
        <v>46175</v>
      </c>
      <c r="G823" t="s">
        <v>1219</v>
      </c>
      <c r="H823" t="s">
        <v>1210</v>
      </c>
      <c r="I823">
        <v>6.24</v>
      </c>
      <c r="J823">
        <v>146</v>
      </c>
      <c r="K823">
        <v>24</v>
      </c>
      <c r="L823" t="s">
        <v>1210</v>
      </c>
      <c r="M823">
        <v>2</v>
      </c>
    </row>
    <row r="824" spans="1:13" x14ac:dyDescent="0.45">
      <c r="A824" t="s">
        <v>936</v>
      </c>
      <c r="B824" t="s">
        <v>1217</v>
      </c>
      <c r="C824" t="s">
        <v>1126</v>
      </c>
      <c r="D824" t="s">
        <v>78</v>
      </c>
      <c r="E824">
        <v>1904</v>
      </c>
      <c r="F824" s="1">
        <v>46176</v>
      </c>
      <c r="G824" t="s">
        <v>1219</v>
      </c>
      <c r="H824" t="s">
        <v>1210</v>
      </c>
      <c r="I824">
        <v>11.26</v>
      </c>
      <c r="J824">
        <v>129</v>
      </c>
      <c r="K824">
        <v>24</v>
      </c>
      <c r="L824" t="s">
        <v>1210</v>
      </c>
      <c r="M824">
        <v>1</v>
      </c>
    </row>
    <row r="825" spans="1:13" x14ac:dyDescent="0.45">
      <c r="A825" t="s">
        <v>937</v>
      </c>
      <c r="B825" t="s">
        <v>1225</v>
      </c>
      <c r="C825" t="s">
        <v>1125</v>
      </c>
      <c r="D825" t="s">
        <v>85</v>
      </c>
      <c r="E825">
        <v>2830</v>
      </c>
      <c r="F825" s="1">
        <v>46173</v>
      </c>
      <c r="G825" t="s">
        <v>1219</v>
      </c>
      <c r="H825" t="s">
        <v>1210</v>
      </c>
      <c r="I825">
        <v>6.87</v>
      </c>
      <c r="J825">
        <v>101</v>
      </c>
      <c r="K825">
        <v>62</v>
      </c>
      <c r="L825" t="s">
        <v>1210</v>
      </c>
      <c r="M825">
        <v>4</v>
      </c>
    </row>
    <row r="826" spans="1:13" x14ac:dyDescent="0.45">
      <c r="A826" t="s">
        <v>938</v>
      </c>
      <c r="B826" t="s">
        <v>1225</v>
      </c>
      <c r="C826" t="s">
        <v>1128</v>
      </c>
      <c r="D826" t="s">
        <v>58</v>
      </c>
      <c r="E826">
        <v>1300</v>
      </c>
      <c r="F826" s="1">
        <v>46175</v>
      </c>
      <c r="G826" t="s">
        <v>1219</v>
      </c>
      <c r="H826" t="s">
        <v>1210</v>
      </c>
      <c r="I826">
        <v>14.79</v>
      </c>
      <c r="J826">
        <v>124</v>
      </c>
      <c r="K826">
        <v>423</v>
      </c>
      <c r="L826" t="s">
        <v>1210</v>
      </c>
      <c r="M826">
        <v>2</v>
      </c>
    </row>
    <row r="827" spans="1:13" x14ac:dyDescent="0.45">
      <c r="A827" t="s">
        <v>939</v>
      </c>
      <c r="B827" t="s">
        <v>1225</v>
      </c>
      <c r="C827" t="s">
        <v>1123</v>
      </c>
      <c r="D827" t="s">
        <v>101</v>
      </c>
      <c r="E827">
        <v>812</v>
      </c>
      <c r="F827" s="1">
        <v>46176</v>
      </c>
      <c r="G827" t="s">
        <v>1219</v>
      </c>
      <c r="H827" t="s">
        <v>1210</v>
      </c>
      <c r="I827">
        <v>3.56</v>
      </c>
      <c r="J827">
        <v>64</v>
      </c>
      <c r="K827">
        <v>92</v>
      </c>
      <c r="L827" t="s">
        <v>1210</v>
      </c>
      <c r="M827">
        <v>1</v>
      </c>
    </row>
    <row r="828" spans="1:13" x14ac:dyDescent="0.45">
      <c r="A828" t="s">
        <v>940</v>
      </c>
      <c r="B828" t="s">
        <v>1225</v>
      </c>
      <c r="C828" t="s">
        <v>1128</v>
      </c>
      <c r="D828" t="s">
        <v>95</v>
      </c>
      <c r="E828">
        <v>508</v>
      </c>
      <c r="F828" s="1">
        <v>46175</v>
      </c>
      <c r="G828" t="s">
        <v>1219</v>
      </c>
      <c r="H828" t="s">
        <v>1210</v>
      </c>
      <c r="I828">
        <v>14.82</v>
      </c>
      <c r="J828">
        <v>132</v>
      </c>
      <c r="K828">
        <v>373</v>
      </c>
      <c r="L828" t="s">
        <v>1210</v>
      </c>
      <c r="M828">
        <v>2</v>
      </c>
    </row>
    <row r="829" spans="1:13" x14ac:dyDescent="0.45">
      <c r="A829" t="s">
        <v>941</v>
      </c>
      <c r="B829" t="s">
        <v>1225</v>
      </c>
      <c r="C829" t="s">
        <v>1123</v>
      </c>
      <c r="D829" t="s">
        <v>67</v>
      </c>
      <c r="E829">
        <v>763</v>
      </c>
      <c r="F829" s="1">
        <v>46176</v>
      </c>
      <c r="G829" t="s">
        <v>1219</v>
      </c>
      <c r="H829" t="s">
        <v>1210</v>
      </c>
      <c r="I829">
        <v>8.32</v>
      </c>
      <c r="J829">
        <v>98</v>
      </c>
      <c r="K829">
        <v>16</v>
      </c>
      <c r="L829" t="s">
        <v>1210</v>
      </c>
      <c r="M829">
        <v>1</v>
      </c>
    </row>
    <row r="830" spans="1:13" x14ac:dyDescent="0.45">
      <c r="A830" t="s">
        <v>942</v>
      </c>
      <c r="B830" t="s">
        <v>1217</v>
      </c>
      <c r="C830" t="s">
        <v>1116</v>
      </c>
      <c r="D830" t="s">
        <v>51</v>
      </c>
      <c r="E830">
        <v>0</v>
      </c>
      <c r="F830" s="1">
        <v>46172</v>
      </c>
      <c r="G830" t="s">
        <v>1219</v>
      </c>
      <c r="H830" t="s">
        <v>1210</v>
      </c>
      <c r="I830">
        <v>3.44</v>
      </c>
      <c r="J830">
        <v>85</v>
      </c>
      <c r="K830">
        <v>102</v>
      </c>
      <c r="L830" t="s">
        <v>1210</v>
      </c>
      <c r="M830">
        <v>5</v>
      </c>
    </row>
    <row r="831" spans="1:13" x14ac:dyDescent="0.45">
      <c r="A831" t="s">
        <v>943</v>
      </c>
      <c r="B831" t="s">
        <v>1225</v>
      </c>
      <c r="C831" t="s">
        <v>1123</v>
      </c>
      <c r="D831" t="s">
        <v>80</v>
      </c>
      <c r="E831">
        <v>2180</v>
      </c>
      <c r="F831" s="1">
        <v>46176</v>
      </c>
      <c r="G831" t="s">
        <v>1219</v>
      </c>
      <c r="H831" t="s">
        <v>1210</v>
      </c>
      <c r="I831">
        <v>8.75</v>
      </c>
      <c r="J831">
        <v>123</v>
      </c>
      <c r="K831">
        <v>341</v>
      </c>
      <c r="L831" t="s">
        <v>1210</v>
      </c>
      <c r="M831">
        <v>1</v>
      </c>
    </row>
    <row r="832" spans="1:13" x14ac:dyDescent="0.45">
      <c r="A832" t="s">
        <v>944</v>
      </c>
      <c r="B832" t="s">
        <v>1223</v>
      </c>
      <c r="C832" t="s">
        <v>1127</v>
      </c>
      <c r="D832" t="s">
        <v>85</v>
      </c>
      <c r="E832">
        <v>1835</v>
      </c>
      <c r="F832" s="1">
        <v>46174</v>
      </c>
      <c r="G832" t="s">
        <v>1219</v>
      </c>
      <c r="H832" t="s">
        <v>1210</v>
      </c>
      <c r="I832">
        <v>6.87</v>
      </c>
      <c r="J832">
        <v>101</v>
      </c>
      <c r="K832">
        <v>62</v>
      </c>
      <c r="L832" t="s">
        <v>1210</v>
      </c>
      <c r="M832">
        <v>3</v>
      </c>
    </row>
    <row r="833" spans="1:13" x14ac:dyDescent="0.45">
      <c r="A833" t="s">
        <v>945</v>
      </c>
      <c r="B833" t="s">
        <v>1217</v>
      </c>
      <c r="C833" t="s">
        <v>1120</v>
      </c>
      <c r="D833" t="s">
        <v>1138</v>
      </c>
      <c r="E833">
        <v>1366</v>
      </c>
      <c r="F833" s="1">
        <v>46176</v>
      </c>
      <c r="G833" t="s">
        <v>1219</v>
      </c>
      <c r="H833" t="s">
        <v>1210</v>
      </c>
      <c r="I833">
        <v>3.92</v>
      </c>
      <c r="J833">
        <v>49</v>
      </c>
      <c r="K833">
        <v>98</v>
      </c>
      <c r="L833" t="s">
        <v>1210</v>
      </c>
      <c r="M833">
        <v>1</v>
      </c>
    </row>
    <row r="834" spans="1:13" x14ac:dyDescent="0.45">
      <c r="A834" t="s">
        <v>946</v>
      </c>
      <c r="B834" t="s">
        <v>1217</v>
      </c>
      <c r="C834" t="s">
        <v>1116</v>
      </c>
      <c r="D834" t="s">
        <v>106</v>
      </c>
      <c r="E834">
        <v>514</v>
      </c>
      <c r="F834" s="1">
        <v>46174</v>
      </c>
      <c r="G834" t="s">
        <v>1219</v>
      </c>
      <c r="H834" t="s">
        <v>1210</v>
      </c>
      <c r="I834">
        <v>4.24</v>
      </c>
      <c r="J834">
        <v>41</v>
      </c>
      <c r="K834">
        <v>111</v>
      </c>
      <c r="L834" t="s">
        <v>1210</v>
      </c>
      <c r="M834">
        <v>3</v>
      </c>
    </row>
    <row r="835" spans="1:13" x14ac:dyDescent="0.45">
      <c r="A835" t="s">
        <v>947</v>
      </c>
      <c r="B835" t="s">
        <v>1223</v>
      </c>
      <c r="C835" t="s">
        <v>1127</v>
      </c>
      <c r="D835" t="s">
        <v>5</v>
      </c>
      <c r="E835">
        <v>2007</v>
      </c>
      <c r="F835" s="1">
        <v>46174</v>
      </c>
      <c r="G835" t="s">
        <v>1221</v>
      </c>
      <c r="H835" t="s">
        <v>1210</v>
      </c>
      <c r="I835">
        <v>10.6</v>
      </c>
      <c r="J835">
        <v>96</v>
      </c>
      <c r="K835">
        <v>445</v>
      </c>
      <c r="L835" t="s">
        <v>1210</v>
      </c>
      <c r="M835">
        <v>3</v>
      </c>
    </row>
    <row r="836" spans="1:13" x14ac:dyDescent="0.45">
      <c r="A836" t="s">
        <v>948</v>
      </c>
      <c r="B836" t="s">
        <v>1217</v>
      </c>
      <c r="C836" t="s">
        <v>1114</v>
      </c>
      <c r="D836" t="s">
        <v>93</v>
      </c>
      <c r="E836">
        <v>832</v>
      </c>
      <c r="F836" s="1">
        <v>46173</v>
      </c>
      <c r="G836" t="s">
        <v>1219</v>
      </c>
      <c r="H836" t="s">
        <v>1210</v>
      </c>
      <c r="J836">
        <v>98</v>
      </c>
      <c r="K836">
        <v>359</v>
      </c>
      <c r="L836" t="s">
        <v>1210</v>
      </c>
      <c r="M836">
        <v>4</v>
      </c>
    </row>
    <row r="837" spans="1:13" x14ac:dyDescent="0.45">
      <c r="A837" t="s">
        <v>949</v>
      </c>
      <c r="B837" t="s">
        <v>1225</v>
      </c>
      <c r="C837" t="s">
        <v>1119</v>
      </c>
      <c r="D837" t="s">
        <v>8</v>
      </c>
      <c r="E837">
        <v>2316</v>
      </c>
      <c r="F837" s="1">
        <v>46174</v>
      </c>
      <c r="G837" t="s">
        <v>1219</v>
      </c>
      <c r="H837" t="s">
        <v>1210</v>
      </c>
      <c r="I837">
        <v>5.25</v>
      </c>
      <c r="J837">
        <v>76</v>
      </c>
      <c r="K837">
        <v>104</v>
      </c>
      <c r="L837" t="s">
        <v>1210</v>
      </c>
      <c r="M837">
        <v>3</v>
      </c>
    </row>
    <row r="838" spans="1:13" x14ac:dyDescent="0.45">
      <c r="A838" t="s">
        <v>950</v>
      </c>
      <c r="B838" t="s">
        <v>1217</v>
      </c>
      <c r="C838" t="s">
        <v>1126</v>
      </c>
      <c r="D838" t="s">
        <v>107</v>
      </c>
      <c r="E838">
        <v>1740</v>
      </c>
      <c r="F838" s="1">
        <v>46176</v>
      </c>
      <c r="G838" t="s">
        <v>1219</v>
      </c>
      <c r="H838" t="s">
        <v>1210</v>
      </c>
      <c r="I838">
        <v>4.3600000000000003</v>
      </c>
      <c r="J838">
        <v>88</v>
      </c>
      <c r="K838">
        <v>108</v>
      </c>
      <c r="L838" t="s">
        <v>1210</v>
      </c>
      <c r="M838">
        <v>1</v>
      </c>
    </row>
    <row r="839" spans="1:13" x14ac:dyDescent="0.45">
      <c r="A839" t="s">
        <v>951</v>
      </c>
      <c r="B839" t="s">
        <v>1223</v>
      </c>
      <c r="C839" t="s">
        <v>1121</v>
      </c>
      <c r="D839" t="s">
        <v>51</v>
      </c>
      <c r="E839">
        <v>2695</v>
      </c>
      <c r="F839" s="1">
        <v>46175</v>
      </c>
      <c r="G839" t="s">
        <v>1219</v>
      </c>
      <c r="H839" t="s">
        <v>1210</v>
      </c>
      <c r="I839">
        <v>3.44</v>
      </c>
      <c r="J839">
        <v>85</v>
      </c>
      <c r="K839">
        <v>102</v>
      </c>
      <c r="L839" t="s">
        <v>1210</v>
      </c>
      <c r="M839">
        <v>2</v>
      </c>
    </row>
    <row r="840" spans="1:13" x14ac:dyDescent="0.45">
      <c r="A840" t="s">
        <v>952</v>
      </c>
      <c r="B840" t="s">
        <v>1223</v>
      </c>
      <c r="C840" t="s">
        <v>1127</v>
      </c>
      <c r="D840" t="s">
        <v>76</v>
      </c>
      <c r="E840">
        <v>1211</v>
      </c>
      <c r="F840" s="1">
        <v>46176</v>
      </c>
      <c r="G840" t="s">
        <v>1219</v>
      </c>
      <c r="H840" t="s">
        <v>1210</v>
      </c>
      <c r="I840">
        <v>5.09</v>
      </c>
      <c r="J840">
        <v>40</v>
      </c>
      <c r="K840">
        <v>90</v>
      </c>
      <c r="L840" t="s">
        <v>1210</v>
      </c>
      <c r="M840">
        <v>1</v>
      </c>
    </row>
    <row r="841" spans="1:13" x14ac:dyDescent="0.45">
      <c r="A841" t="s">
        <v>953</v>
      </c>
      <c r="B841" t="s">
        <v>1217</v>
      </c>
      <c r="C841" t="s">
        <v>1120</v>
      </c>
      <c r="D841" t="s">
        <v>47</v>
      </c>
      <c r="E841">
        <v>1379</v>
      </c>
      <c r="F841" s="1">
        <v>46175</v>
      </c>
      <c r="G841" t="s">
        <v>1219</v>
      </c>
      <c r="H841" t="s">
        <v>1210</v>
      </c>
      <c r="I841">
        <v>15.14</v>
      </c>
      <c r="J841">
        <v>117</v>
      </c>
      <c r="K841">
        <v>484</v>
      </c>
      <c r="L841" t="s">
        <v>1210</v>
      </c>
      <c r="M841">
        <v>2</v>
      </c>
    </row>
    <row r="842" spans="1:13" x14ac:dyDescent="0.45">
      <c r="A842" t="s">
        <v>954</v>
      </c>
      <c r="B842" t="s">
        <v>1225</v>
      </c>
      <c r="C842" t="s">
        <v>1123</v>
      </c>
      <c r="D842" t="s">
        <v>52</v>
      </c>
      <c r="E842">
        <v>1819</v>
      </c>
      <c r="F842" s="1">
        <v>46176</v>
      </c>
      <c r="G842" t="s">
        <v>1219</v>
      </c>
      <c r="H842" t="s">
        <v>1210</v>
      </c>
      <c r="I842">
        <v>11.01</v>
      </c>
      <c r="J842">
        <v>98</v>
      </c>
      <c r="K842">
        <v>16</v>
      </c>
      <c r="L842" t="s">
        <v>1210</v>
      </c>
      <c r="M842">
        <v>1</v>
      </c>
    </row>
    <row r="843" spans="1:13" x14ac:dyDescent="0.45">
      <c r="A843" t="s">
        <v>955</v>
      </c>
      <c r="B843" t="s">
        <v>1223</v>
      </c>
      <c r="C843" t="s">
        <v>1122</v>
      </c>
      <c r="D843" t="s">
        <v>87</v>
      </c>
      <c r="E843">
        <v>1119</v>
      </c>
      <c r="F843" s="1">
        <v>46176</v>
      </c>
      <c r="G843" t="s">
        <v>1221</v>
      </c>
      <c r="H843" t="s">
        <v>1210</v>
      </c>
      <c r="I843">
        <v>17.28</v>
      </c>
      <c r="J843">
        <v>97</v>
      </c>
      <c r="K843">
        <v>271</v>
      </c>
      <c r="L843" t="s">
        <v>1210</v>
      </c>
      <c r="M843">
        <v>1</v>
      </c>
    </row>
    <row r="844" spans="1:13" x14ac:dyDescent="0.45">
      <c r="A844" t="s">
        <v>956</v>
      </c>
      <c r="B844" t="s">
        <v>1223</v>
      </c>
      <c r="C844" t="s">
        <v>1124</v>
      </c>
      <c r="D844" t="s">
        <v>58</v>
      </c>
      <c r="E844">
        <v>1363</v>
      </c>
      <c r="F844" s="1">
        <v>46176</v>
      </c>
      <c r="G844" t="s">
        <v>1219</v>
      </c>
      <c r="H844" t="s">
        <v>1210</v>
      </c>
      <c r="I844">
        <v>14.79</v>
      </c>
      <c r="J844">
        <v>124</v>
      </c>
      <c r="K844">
        <v>423</v>
      </c>
      <c r="L844" t="s">
        <v>1210</v>
      </c>
      <c r="M844">
        <v>1</v>
      </c>
    </row>
    <row r="845" spans="1:13" x14ac:dyDescent="0.45">
      <c r="A845" t="s">
        <v>957</v>
      </c>
      <c r="B845" t="s">
        <v>1225</v>
      </c>
      <c r="C845" t="s">
        <v>1128</v>
      </c>
      <c r="D845" t="s">
        <v>49</v>
      </c>
      <c r="E845">
        <v>892</v>
      </c>
      <c r="F845" s="1">
        <v>46176</v>
      </c>
      <c r="G845" t="s">
        <v>1221</v>
      </c>
      <c r="H845" t="s">
        <v>1210</v>
      </c>
      <c r="I845">
        <v>21.99</v>
      </c>
      <c r="J845">
        <v>67</v>
      </c>
      <c r="K845">
        <v>213</v>
      </c>
      <c r="L845" t="s">
        <v>1210</v>
      </c>
      <c r="M845">
        <v>1</v>
      </c>
    </row>
    <row r="846" spans="1:13" x14ac:dyDescent="0.45">
      <c r="A846" t="s">
        <v>958</v>
      </c>
      <c r="B846" t="s">
        <v>1217</v>
      </c>
      <c r="C846" t="s">
        <v>1114</v>
      </c>
      <c r="D846" t="s">
        <v>81</v>
      </c>
      <c r="E846">
        <v>401</v>
      </c>
      <c r="F846" s="1">
        <v>46174</v>
      </c>
      <c r="G846" t="s">
        <v>1219</v>
      </c>
      <c r="H846" t="s">
        <v>1210</v>
      </c>
      <c r="I846">
        <v>20.5</v>
      </c>
      <c r="J846">
        <v>64</v>
      </c>
      <c r="K846">
        <v>359</v>
      </c>
      <c r="L846" t="s">
        <v>1210</v>
      </c>
      <c r="M846">
        <v>3</v>
      </c>
    </row>
    <row r="847" spans="1:13" x14ac:dyDescent="0.45">
      <c r="A847" t="s">
        <v>959</v>
      </c>
      <c r="B847" t="s">
        <v>1223</v>
      </c>
      <c r="C847" t="s">
        <v>1121</v>
      </c>
      <c r="D847" t="s">
        <v>41</v>
      </c>
      <c r="E847">
        <v>3711</v>
      </c>
      <c r="F847" s="1">
        <v>46176</v>
      </c>
      <c r="G847" t="s">
        <v>1219</v>
      </c>
      <c r="H847" t="s">
        <v>1210</v>
      </c>
      <c r="I847">
        <v>6.24</v>
      </c>
      <c r="J847">
        <v>146</v>
      </c>
      <c r="K847">
        <v>24</v>
      </c>
      <c r="L847" t="s">
        <v>1210</v>
      </c>
      <c r="M847">
        <v>1</v>
      </c>
    </row>
    <row r="848" spans="1:13" x14ac:dyDescent="0.45">
      <c r="A848" t="s">
        <v>960</v>
      </c>
      <c r="B848" t="s">
        <v>1225</v>
      </c>
      <c r="C848" t="s">
        <v>1119</v>
      </c>
      <c r="D848" t="s">
        <v>5</v>
      </c>
      <c r="E848">
        <v>1128</v>
      </c>
      <c r="F848" s="1">
        <v>46175</v>
      </c>
      <c r="G848" t="s">
        <v>1219</v>
      </c>
      <c r="H848" t="s">
        <v>1210</v>
      </c>
      <c r="I848">
        <v>10.6</v>
      </c>
      <c r="J848">
        <v>96</v>
      </c>
      <c r="K848">
        <v>445</v>
      </c>
      <c r="L848" t="s">
        <v>1210</v>
      </c>
      <c r="M848">
        <v>2</v>
      </c>
    </row>
    <row r="849" spans="1:13" x14ac:dyDescent="0.45">
      <c r="A849" t="s">
        <v>961</v>
      </c>
      <c r="B849" t="s">
        <v>1217</v>
      </c>
      <c r="C849" t="s">
        <v>1115</v>
      </c>
      <c r="D849" t="s">
        <v>8</v>
      </c>
      <c r="E849">
        <v>648</v>
      </c>
      <c r="F849" s="1">
        <v>46176</v>
      </c>
      <c r="G849" t="s">
        <v>1219</v>
      </c>
      <c r="H849" t="s">
        <v>1210</v>
      </c>
      <c r="I849">
        <v>5.25</v>
      </c>
      <c r="J849">
        <v>76</v>
      </c>
      <c r="K849">
        <v>104</v>
      </c>
      <c r="L849" t="s">
        <v>1210</v>
      </c>
      <c r="M849">
        <v>1</v>
      </c>
    </row>
    <row r="850" spans="1:13" x14ac:dyDescent="0.45">
      <c r="A850" t="s">
        <v>962</v>
      </c>
      <c r="B850" t="s">
        <v>1217</v>
      </c>
      <c r="C850" t="s">
        <v>1120</v>
      </c>
      <c r="D850" t="s">
        <v>75</v>
      </c>
      <c r="E850">
        <v>1193</v>
      </c>
      <c r="F850" s="1">
        <v>46175</v>
      </c>
      <c r="G850" t="s">
        <v>1219</v>
      </c>
      <c r="H850" t="s">
        <v>1210</v>
      </c>
      <c r="J850">
        <v>71</v>
      </c>
      <c r="K850">
        <v>192</v>
      </c>
      <c r="L850" t="s">
        <v>1210</v>
      </c>
      <c r="M850">
        <v>2</v>
      </c>
    </row>
    <row r="851" spans="1:13" x14ac:dyDescent="0.45">
      <c r="A851" t="s">
        <v>963</v>
      </c>
      <c r="B851" t="s">
        <v>1223</v>
      </c>
      <c r="C851" t="s">
        <v>1117</v>
      </c>
      <c r="D851" t="s">
        <v>107</v>
      </c>
      <c r="E851">
        <v>2290</v>
      </c>
      <c r="F851" s="1">
        <v>46176</v>
      </c>
      <c r="G851" t="s">
        <v>1219</v>
      </c>
      <c r="H851" t="s">
        <v>1210</v>
      </c>
      <c r="I851">
        <v>4.3600000000000003</v>
      </c>
      <c r="J851">
        <v>88</v>
      </c>
      <c r="K851">
        <v>108</v>
      </c>
      <c r="L851" t="s">
        <v>1210</v>
      </c>
      <c r="M851">
        <v>1</v>
      </c>
    </row>
    <row r="852" spans="1:13" x14ac:dyDescent="0.45">
      <c r="A852" t="s">
        <v>964</v>
      </c>
      <c r="B852" t="s">
        <v>1223</v>
      </c>
      <c r="C852" t="s">
        <v>1127</v>
      </c>
      <c r="D852" t="s">
        <v>1138</v>
      </c>
      <c r="E852">
        <v>1488</v>
      </c>
      <c r="F852" s="1">
        <v>46174</v>
      </c>
      <c r="G852" t="s">
        <v>1219</v>
      </c>
      <c r="H852" t="s">
        <v>1210</v>
      </c>
      <c r="I852">
        <v>3.92</v>
      </c>
      <c r="J852">
        <v>49</v>
      </c>
      <c r="K852">
        <v>98</v>
      </c>
      <c r="L852" t="s">
        <v>1210</v>
      </c>
      <c r="M852">
        <v>3</v>
      </c>
    </row>
    <row r="853" spans="1:13" x14ac:dyDescent="0.45">
      <c r="A853" t="s">
        <v>965</v>
      </c>
      <c r="B853" t="s">
        <v>1223</v>
      </c>
      <c r="C853" t="s">
        <v>1121</v>
      </c>
      <c r="D853" t="s">
        <v>62</v>
      </c>
      <c r="E853">
        <v>1862</v>
      </c>
      <c r="F853" s="1">
        <v>46176</v>
      </c>
      <c r="G853" t="s">
        <v>1219</v>
      </c>
      <c r="H853" t="s">
        <v>1210</v>
      </c>
      <c r="I853">
        <v>12.39</v>
      </c>
      <c r="J853">
        <v>134</v>
      </c>
      <c r="K853">
        <v>446</v>
      </c>
      <c r="L853" t="s">
        <v>1210</v>
      </c>
      <c r="M853">
        <v>1</v>
      </c>
    </row>
    <row r="854" spans="1:13" x14ac:dyDescent="0.45">
      <c r="A854" t="s">
        <v>966</v>
      </c>
      <c r="B854" t="s">
        <v>1217</v>
      </c>
      <c r="C854" t="s">
        <v>1120</v>
      </c>
      <c r="D854" t="s">
        <v>39</v>
      </c>
      <c r="E854">
        <v>1570</v>
      </c>
      <c r="F854" s="1">
        <v>46176</v>
      </c>
      <c r="G854" t="s">
        <v>1219</v>
      </c>
      <c r="H854" t="s">
        <v>1210</v>
      </c>
      <c r="I854">
        <v>14.35</v>
      </c>
      <c r="J854">
        <v>70</v>
      </c>
      <c r="K854">
        <v>240</v>
      </c>
      <c r="L854" t="s">
        <v>1210</v>
      </c>
      <c r="M854">
        <v>1</v>
      </c>
    </row>
    <row r="855" spans="1:13" x14ac:dyDescent="0.45">
      <c r="A855" t="s">
        <v>967</v>
      </c>
      <c r="B855" t="s">
        <v>1223</v>
      </c>
      <c r="C855" t="s">
        <v>1121</v>
      </c>
      <c r="D855" t="s">
        <v>69</v>
      </c>
      <c r="E855">
        <v>1614</v>
      </c>
      <c r="F855" s="1">
        <v>46175</v>
      </c>
      <c r="G855" t="s">
        <v>1219</v>
      </c>
      <c r="H855" t="s">
        <v>1210</v>
      </c>
      <c r="I855">
        <v>13.13</v>
      </c>
      <c r="J855">
        <v>82</v>
      </c>
      <c r="K855">
        <v>105</v>
      </c>
      <c r="L855" t="s">
        <v>1210</v>
      </c>
      <c r="M855">
        <v>2</v>
      </c>
    </row>
    <row r="856" spans="1:13" x14ac:dyDescent="0.45">
      <c r="A856" t="s">
        <v>968</v>
      </c>
      <c r="B856" t="s">
        <v>1223</v>
      </c>
      <c r="C856" t="s">
        <v>1124</v>
      </c>
      <c r="D856" t="s">
        <v>92</v>
      </c>
      <c r="E856">
        <v>1994</v>
      </c>
      <c r="F856" s="1">
        <v>46176</v>
      </c>
      <c r="G856" t="s">
        <v>1219</v>
      </c>
      <c r="H856" t="s">
        <v>1210</v>
      </c>
      <c r="I856">
        <v>10.9</v>
      </c>
      <c r="J856">
        <v>131</v>
      </c>
      <c r="K856">
        <v>22</v>
      </c>
      <c r="L856" t="s">
        <v>1210</v>
      </c>
      <c r="M856">
        <v>1</v>
      </c>
    </row>
    <row r="857" spans="1:13" x14ac:dyDescent="0.45">
      <c r="A857" t="s">
        <v>969</v>
      </c>
      <c r="B857" t="s">
        <v>1217</v>
      </c>
      <c r="C857" t="s">
        <v>1115</v>
      </c>
      <c r="D857" t="s">
        <v>32</v>
      </c>
      <c r="E857">
        <v>1962</v>
      </c>
      <c r="F857" s="1">
        <v>46166</v>
      </c>
      <c r="G857" t="s">
        <v>1219</v>
      </c>
      <c r="H857" t="s">
        <v>1210</v>
      </c>
      <c r="I857">
        <v>11.45</v>
      </c>
      <c r="J857">
        <v>93</v>
      </c>
      <c r="K857">
        <v>16</v>
      </c>
      <c r="L857" t="s">
        <v>1210</v>
      </c>
      <c r="M857">
        <v>11</v>
      </c>
    </row>
    <row r="858" spans="1:13" x14ac:dyDescent="0.45">
      <c r="A858" t="s">
        <v>970</v>
      </c>
      <c r="B858" t="s">
        <v>1217</v>
      </c>
      <c r="C858" t="s">
        <v>1116</v>
      </c>
      <c r="D858" t="s">
        <v>1138</v>
      </c>
      <c r="E858">
        <v>1289</v>
      </c>
      <c r="F858" s="1">
        <v>46176</v>
      </c>
      <c r="G858" t="s">
        <v>1219</v>
      </c>
      <c r="H858" t="s">
        <v>1210</v>
      </c>
      <c r="I858">
        <v>3.92</v>
      </c>
      <c r="J858">
        <v>49</v>
      </c>
      <c r="K858">
        <v>98</v>
      </c>
      <c r="L858" t="s">
        <v>1210</v>
      </c>
      <c r="M858">
        <v>1</v>
      </c>
    </row>
    <row r="859" spans="1:13" x14ac:dyDescent="0.45">
      <c r="A859" t="s">
        <v>971</v>
      </c>
      <c r="B859" t="s">
        <v>1217</v>
      </c>
      <c r="C859" t="s">
        <v>1126</v>
      </c>
      <c r="D859" t="s">
        <v>54</v>
      </c>
      <c r="E859">
        <v>1514</v>
      </c>
      <c r="F859" s="1">
        <v>46176</v>
      </c>
      <c r="G859" t="s">
        <v>1219</v>
      </c>
      <c r="H859" t="s">
        <v>1210</v>
      </c>
      <c r="I859">
        <v>12.85</v>
      </c>
      <c r="J859">
        <v>91</v>
      </c>
      <c r="K859">
        <v>297</v>
      </c>
      <c r="L859" t="s">
        <v>1210</v>
      </c>
      <c r="M859">
        <v>1</v>
      </c>
    </row>
    <row r="860" spans="1:13" x14ac:dyDescent="0.45">
      <c r="A860" t="s">
        <v>972</v>
      </c>
      <c r="B860" t="s">
        <v>1223</v>
      </c>
      <c r="C860" t="s">
        <v>1124</v>
      </c>
      <c r="D860" t="s">
        <v>23</v>
      </c>
      <c r="E860">
        <v>3018</v>
      </c>
      <c r="F860" s="1">
        <v>46162</v>
      </c>
      <c r="G860" t="s">
        <v>1219</v>
      </c>
      <c r="H860" t="s">
        <v>1210</v>
      </c>
      <c r="I860">
        <v>7.71</v>
      </c>
      <c r="J860">
        <v>101</v>
      </c>
      <c r="K860">
        <v>23</v>
      </c>
      <c r="L860" t="s">
        <v>1210</v>
      </c>
      <c r="M860">
        <v>15</v>
      </c>
    </row>
    <row r="861" spans="1:13" x14ac:dyDescent="0.45">
      <c r="A861" t="s">
        <v>973</v>
      </c>
      <c r="B861" t="s">
        <v>1223</v>
      </c>
      <c r="C861" t="s">
        <v>1127</v>
      </c>
      <c r="D861" t="s">
        <v>107</v>
      </c>
      <c r="E861">
        <v>960</v>
      </c>
      <c r="F861" s="1">
        <v>46174</v>
      </c>
      <c r="G861" t="s">
        <v>1219</v>
      </c>
      <c r="H861" t="s">
        <v>1210</v>
      </c>
      <c r="I861">
        <v>4.3600000000000003</v>
      </c>
      <c r="J861">
        <v>88</v>
      </c>
      <c r="K861">
        <v>108</v>
      </c>
      <c r="L861" t="s">
        <v>1210</v>
      </c>
      <c r="M861">
        <v>3</v>
      </c>
    </row>
    <row r="862" spans="1:13" x14ac:dyDescent="0.45">
      <c r="A862" t="s">
        <v>974</v>
      </c>
      <c r="B862" t="s">
        <v>1225</v>
      </c>
      <c r="C862" t="s">
        <v>1118</v>
      </c>
      <c r="D862" t="s">
        <v>48</v>
      </c>
      <c r="E862">
        <v>1794</v>
      </c>
      <c r="F862" s="1">
        <v>46174</v>
      </c>
      <c r="G862" t="s">
        <v>1219</v>
      </c>
      <c r="H862" t="s">
        <v>1210</v>
      </c>
      <c r="I862">
        <v>5.49</v>
      </c>
      <c r="J862">
        <v>62</v>
      </c>
      <c r="K862">
        <v>91</v>
      </c>
      <c r="L862" t="s">
        <v>1210</v>
      </c>
      <c r="M862">
        <v>3</v>
      </c>
    </row>
    <row r="863" spans="1:13" x14ac:dyDescent="0.45">
      <c r="A863" t="s">
        <v>975</v>
      </c>
      <c r="B863" t="s">
        <v>1225</v>
      </c>
      <c r="C863" t="s">
        <v>1128</v>
      </c>
      <c r="D863" t="s">
        <v>1131</v>
      </c>
      <c r="E863">
        <v>1677</v>
      </c>
      <c r="F863" s="1">
        <v>46168</v>
      </c>
      <c r="G863" t="s">
        <v>1219</v>
      </c>
      <c r="H863" t="s">
        <v>1210</v>
      </c>
      <c r="I863">
        <v>11.96</v>
      </c>
      <c r="J863">
        <v>101</v>
      </c>
      <c r="K863">
        <v>90</v>
      </c>
      <c r="L863" t="s">
        <v>1210</v>
      </c>
      <c r="M863">
        <v>9</v>
      </c>
    </row>
    <row r="864" spans="1:13" x14ac:dyDescent="0.45">
      <c r="A864" t="s">
        <v>976</v>
      </c>
      <c r="B864" t="s">
        <v>1217</v>
      </c>
      <c r="C864" t="s">
        <v>1114</v>
      </c>
      <c r="D864" t="s">
        <v>55</v>
      </c>
      <c r="E864">
        <v>1788</v>
      </c>
      <c r="F864" s="1">
        <v>46176</v>
      </c>
      <c r="G864" t="s">
        <v>1219</v>
      </c>
      <c r="H864" t="s">
        <v>1210</v>
      </c>
      <c r="I864">
        <v>3.48</v>
      </c>
      <c r="J864">
        <v>66</v>
      </c>
      <c r="K864">
        <v>112</v>
      </c>
      <c r="L864" t="s">
        <v>1210</v>
      </c>
      <c r="M864">
        <v>1</v>
      </c>
    </row>
    <row r="865" spans="1:13" x14ac:dyDescent="0.45">
      <c r="A865" t="s">
        <v>977</v>
      </c>
      <c r="B865" t="s">
        <v>1223</v>
      </c>
      <c r="C865" t="s">
        <v>1117</v>
      </c>
      <c r="D865" t="s">
        <v>48</v>
      </c>
      <c r="E865">
        <v>1932</v>
      </c>
      <c r="F865" s="1">
        <v>46175</v>
      </c>
      <c r="G865" t="s">
        <v>1219</v>
      </c>
      <c r="H865" t="s">
        <v>1210</v>
      </c>
      <c r="I865">
        <v>5.49</v>
      </c>
      <c r="J865">
        <v>62</v>
      </c>
      <c r="K865">
        <v>91</v>
      </c>
      <c r="L865" t="s">
        <v>1210</v>
      </c>
      <c r="M865">
        <v>2</v>
      </c>
    </row>
    <row r="866" spans="1:13" x14ac:dyDescent="0.45">
      <c r="A866" t="s">
        <v>978</v>
      </c>
      <c r="B866" t="s">
        <v>1225</v>
      </c>
      <c r="C866" t="s">
        <v>1123</v>
      </c>
      <c r="D866" t="s">
        <v>44</v>
      </c>
      <c r="E866">
        <v>1076</v>
      </c>
      <c r="F866" s="1">
        <v>46176</v>
      </c>
      <c r="G866" t="s">
        <v>1221</v>
      </c>
      <c r="H866" t="s">
        <v>1210</v>
      </c>
      <c r="I866">
        <v>3.48</v>
      </c>
      <c r="J866">
        <v>55</v>
      </c>
      <c r="K866">
        <v>118</v>
      </c>
      <c r="L866" t="s">
        <v>1210</v>
      </c>
      <c r="M866">
        <v>1</v>
      </c>
    </row>
    <row r="867" spans="1:13" x14ac:dyDescent="0.45">
      <c r="A867" t="s">
        <v>979</v>
      </c>
      <c r="B867" t="s">
        <v>1217</v>
      </c>
      <c r="C867" t="s">
        <v>1116</v>
      </c>
      <c r="D867" t="s">
        <v>59</v>
      </c>
      <c r="E867">
        <v>1283</v>
      </c>
      <c r="F867" s="1">
        <v>46173</v>
      </c>
      <c r="G867" t="s">
        <v>1219</v>
      </c>
      <c r="H867" t="s">
        <v>1210</v>
      </c>
      <c r="I867">
        <v>15.2</v>
      </c>
      <c r="J867">
        <v>135</v>
      </c>
      <c r="K867">
        <v>361</v>
      </c>
      <c r="L867" t="s">
        <v>1210</v>
      </c>
      <c r="M867">
        <v>4</v>
      </c>
    </row>
    <row r="868" spans="1:13" x14ac:dyDescent="0.45">
      <c r="A868" t="s">
        <v>980</v>
      </c>
      <c r="B868" t="s">
        <v>1223</v>
      </c>
      <c r="C868" t="s">
        <v>1127</v>
      </c>
      <c r="D868" t="s">
        <v>91</v>
      </c>
      <c r="E868">
        <v>1644</v>
      </c>
      <c r="F868" s="1">
        <v>46176</v>
      </c>
      <c r="G868" t="s">
        <v>1219</v>
      </c>
      <c r="H868" t="s">
        <v>1210</v>
      </c>
      <c r="I868">
        <v>13.9</v>
      </c>
      <c r="J868">
        <v>69</v>
      </c>
      <c r="K868">
        <v>106</v>
      </c>
      <c r="L868" t="s">
        <v>1210</v>
      </c>
      <c r="M868">
        <v>1</v>
      </c>
    </row>
    <row r="869" spans="1:13" x14ac:dyDescent="0.45">
      <c r="A869" t="s">
        <v>981</v>
      </c>
      <c r="B869" t="s">
        <v>1217</v>
      </c>
      <c r="C869" t="s">
        <v>1115</v>
      </c>
      <c r="D869" t="s">
        <v>25</v>
      </c>
      <c r="E869">
        <v>2164</v>
      </c>
      <c r="F869" s="1">
        <v>46176</v>
      </c>
      <c r="G869" t="s">
        <v>1219</v>
      </c>
      <c r="H869" t="s">
        <v>1210</v>
      </c>
      <c r="I869">
        <v>10.37</v>
      </c>
      <c r="J869">
        <v>100</v>
      </c>
      <c r="K869">
        <v>24</v>
      </c>
      <c r="L869" t="s">
        <v>1210</v>
      </c>
      <c r="M869">
        <v>1</v>
      </c>
    </row>
    <row r="870" spans="1:13" x14ac:dyDescent="0.45">
      <c r="A870" t="s">
        <v>982</v>
      </c>
      <c r="B870" t="s">
        <v>1225</v>
      </c>
      <c r="C870" t="s">
        <v>1123</v>
      </c>
      <c r="D870" t="s">
        <v>63</v>
      </c>
      <c r="E870">
        <v>1171</v>
      </c>
      <c r="F870" s="1">
        <v>46176</v>
      </c>
      <c r="G870" t="s">
        <v>1219</v>
      </c>
      <c r="H870" t="s">
        <v>1210</v>
      </c>
      <c r="I870">
        <v>4.29</v>
      </c>
      <c r="J870">
        <v>44</v>
      </c>
      <c r="K870">
        <v>111</v>
      </c>
      <c r="L870" t="s">
        <v>1210</v>
      </c>
      <c r="M870">
        <v>1</v>
      </c>
    </row>
    <row r="871" spans="1:13" x14ac:dyDescent="0.45">
      <c r="A871" t="s">
        <v>983</v>
      </c>
      <c r="B871" t="s">
        <v>1225</v>
      </c>
      <c r="C871" t="s">
        <v>1125</v>
      </c>
      <c r="D871" t="s">
        <v>28</v>
      </c>
      <c r="E871">
        <v>1065</v>
      </c>
      <c r="F871" s="1">
        <v>46173</v>
      </c>
      <c r="G871" t="s">
        <v>1219</v>
      </c>
      <c r="H871" t="s">
        <v>1210</v>
      </c>
      <c r="I871">
        <v>8.94</v>
      </c>
      <c r="J871">
        <v>100</v>
      </c>
      <c r="K871">
        <v>17</v>
      </c>
      <c r="L871" t="s">
        <v>1210</v>
      </c>
      <c r="M871">
        <v>4</v>
      </c>
    </row>
    <row r="872" spans="1:13" x14ac:dyDescent="0.45">
      <c r="A872" t="s">
        <v>984</v>
      </c>
      <c r="B872" t="s">
        <v>1217</v>
      </c>
      <c r="C872" t="s">
        <v>1120</v>
      </c>
      <c r="D872" t="s">
        <v>32</v>
      </c>
      <c r="E872">
        <v>892</v>
      </c>
      <c r="F872" s="1">
        <v>46166</v>
      </c>
      <c r="G872" t="s">
        <v>1219</v>
      </c>
      <c r="H872" t="s">
        <v>1210</v>
      </c>
      <c r="I872">
        <v>11.45</v>
      </c>
      <c r="J872">
        <v>93</v>
      </c>
      <c r="K872">
        <v>16</v>
      </c>
      <c r="L872" t="s">
        <v>1210</v>
      </c>
      <c r="M872">
        <v>11</v>
      </c>
    </row>
    <row r="873" spans="1:13" x14ac:dyDescent="0.45">
      <c r="A873" t="s">
        <v>985</v>
      </c>
      <c r="B873" t="s">
        <v>1223</v>
      </c>
      <c r="C873" t="s">
        <v>1117</v>
      </c>
      <c r="D873" t="s">
        <v>50</v>
      </c>
      <c r="E873">
        <v>2431</v>
      </c>
      <c r="F873" s="1">
        <v>46166</v>
      </c>
      <c r="G873" t="s">
        <v>1219</v>
      </c>
      <c r="H873" t="s">
        <v>1210</v>
      </c>
      <c r="I873">
        <v>9.02</v>
      </c>
      <c r="J873">
        <v>114</v>
      </c>
      <c r="K873">
        <v>18</v>
      </c>
      <c r="L873" t="s">
        <v>1210</v>
      </c>
      <c r="M873">
        <v>11</v>
      </c>
    </row>
    <row r="874" spans="1:13" x14ac:dyDescent="0.45">
      <c r="A874" t="s">
        <v>986</v>
      </c>
      <c r="B874" t="s">
        <v>1217</v>
      </c>
      <c r="C874" t="s">
        <v>1115</v>
      </c>
      <c r="D874" t="s">
        <v>37</v>
      </c>
      <c r="E874">
        <v>2295</v>
      </c>
      <c r="F874" s="1">
        <v>46176</v>
      </c>
      <c r="G874" t="s">
        <v>1219</v>
      </c>
      <c r="H874" t="s">
        <v>1210</v>
      </c>
      <c r="I874">
        <v>7.76</v>
      </c>
      <c r="J874">
        <v>86</v>
      </c>
      <c r="K874">
        <v>112</v>
      </c>
      <c r="L874" t="s">
        <v>1210</v>
      </c>
      <c r="M874">
        <v>1</v>
      </c>
    </row>
    <row r="875" spans="1:13" x14ac:dyDescent="0.45">
      <c r="A875" t="s">
        <v>987</v>
      </c>
      <c r="B875" t="s">
        <v>1225</v>
      </c>
      <c r="C875" t="s">
        <v>1118</v>
      </c>
      <c r="D875" t="s">
        <v>75</v>
      </c>
      <c r="E875">
        <v>849</v>
      </c>
      <c r="F875" s="1">
        <v>46176</v>
      </c>
      <c r="G875" t="s">
        <v>1219</v>
      </c>
      <c r="H875" t="s">
        <v>1210</v>
      </c>
      <c r="J875">
        <v>71</v>
      </c>
      <c r="K875">
        <v>192</v>
      </c>
      <c r="L875" t="s">
        <v>1210</v>
      </c>
      <c r="M875">
        <v>1</v>
      </c>
    </row>
    <row r="876" spans="1:13" x14ac:dyDescent="0.45">
      <c r="A876" t="s">
        <v>988</v>
      </c>
      <c r="B876" t="s">
        <v>1225</v>
      </c>
      <c r="C876" t="s">
        <v>1125</v>
      </c>
      <c r="D876" t="s">
        <v>76</v>
      </c>
      <c r="E876">
        <v>790</v>
      </c>
      <c r="F876" s="1">
        <v>46175</v>
      </c>
      <c r="G876" t="s">
        <v>1219</v>
      </c>
      <c r="H876" t="s">
        <v>1210</v>
      </c>
      <c r="I876">
        <v>5.09</v>
      </c>
      <c r="J876">
        <v>40</v>
      </c>
      <c r="K876">
        <v>90</v>
      </c>
      <c r="L876" t="s">
        <v>1210</v>
      </c>
      <c r="M876">
        <v>2</v>
      </c>
    </row>
    <row r="877" spans="1:13" x14ac:dyDescent="0.45">
      <c r="A877" t="s">
        <v>989</v>
      </c>
      <c r="B877" t="s">
        <v>1225</v>
      </c>
      <c r="C877" t="s">
        <v>1123</v>
      </c>
      <c r="D877" t="s">
        <v>7</v>
      </c>
      <c r="E877">
        <v>1176</v>
      </c>
      <c r="F877" s="1">
        <v>46176</v>
      </c>
      <c r="G877" t="s">
        <v>1219</v>
      </c>
      <c r="H877" t="s">
        <v>1210</v>
      </c>
      <c r="I877">
        <v>9.56</v>
      </c>
      <c r="J877">
        <v>136</v>
      </c>
      <c r="K877">
        <v>345</v>
      </c>
      <c r="L877" t="s">
        <v>1210</v>
      </c>
      <c r="M877">
        <v>1</v>
      </c>
    </row>
    <row r="878" spans="1:13" x14ac:dyDescent="0.45">
      <c r="A878" t="s">
        <v>990</v>
      </c>
      <c r="B878" t="s">
        <v>1225</v>
      </c>
      <c r="C878" t="s">
        <v>1128</v>
      </c>
      <c r="D878" t="s">
        <v>55</v>
      </c>
      <c r="E878">
        <v>1130</v>
      </c>
      <c r="F878" s="1">
        <v>46175</v>
      </c>
      <c r="G878" t="s">
        <v>1219</v>
      </c>
      <c r="H878" t="s">
        <v>1210</v>
      </c>
      <c r="I878">
        <v>3.48</v>
      </c>
      <c r="J878">
        <v>66</v>
      </c>
      <c r="K878">
        <v>112</v>
      </c>
      <c r="L878" t="s">
        <v>1210</v>
      </c>
      <c r="M878">
        <v>2</v>
      </c>
    </row>
    <row r="879" spans="1:13" x14ac:dyDescent="0.45">
      <c r="A879" t="s">
        <v>991</v>
      </c>
      <c r="B879" t="s">
        <v>1225</v>
      </c>
      <c r="C879" t="s">
        <v>1125</v>
      </c>
      <c r="D879" t="s">
        <v>25</v>
      </c>
      <c r="E879">
        <v>2204</v>
      </c>
      <c r="F879" s="1">
        <v>46176</v>
      </c>
      <c r="G879" t="s">
        <v>1219</v>
      </c>
      <c r="H879" t="s">
        <v>1210</v>
      </c>
      <c r="I879">
        <v>10.37</v>
      </c>
      <c r="J879">
        <v>100</v>
      </c>
      <c r="K879">
        <v>24</v>
      </c>
      <c r="L879" t="s">
        <v>1210</v>
      </c>
      <c r="M879">
        <v>1</v>
      </c>
    </row>
    <row r="880" spans="1:13" x14ac:dyDescent="0.45">
      <c r="A880" t="s">
        <v>992</v>
      </c>
      <c r="B880" t="s">
        <v>1225</v>
      </c>
      <c r="C880" t="s">
        <v>1123</v>
      </c>
      <c r="D880" t="s">
        <v>64</v>
      </c>
      <c r="E880">
        <v>2171</v>
      </c>
      <c r="F880" s="1">
        <v>46176</v>
      </c>
      <c r="G880" t="s">
        <v>1219</v>
      </c>
      <c r="H880" t="s">
        <v>1210</v>
      </c>
      <c r="J880">
        <v>49</v>
      </c>
      <c r="K880">
        <v>104</v>
      </c>
      <c r="L880" t="s">
        <v>1210</v>
      </c>
      <c r="M880">
        <v>1</v>
      </c>
    </row>
    <row r="881" spans="1:13" x14ac:dyDescent="0.45">
      <c r="A881" t="s">
        <v>993</v>
      </c>
      <c r="B881" t="s">
        <v>1225</v>
      </c>
      <c r="C881" t="s">
        <v>1128</v>
      </c>
      <c r="D881" t="s">
        <v>107</v>
      </c>
      <c r="E881">
        <v>2302</v>
      </c>
      <c r="F881" s="1">
        <v>46176</v>
      </c>
      <c r="G881" t="s">
        <v>1219</v>
      </c>
      <c r="H881" t="s">
        <v>1210</v>
      </c>
      <c r="I881">
        <v>4.3600000000000003</v>
      </c>
      <c r="J881">
        <v>88</v>
      </c>
      <c r="K881">
        <v>108</v>
      </c>
      <c r="L881" t="s">
        <v>1210</v>
      </c>
      <c r="M881">
        <v>1</v>
      </c>
    </row>
    <row r="882" spans="1:13" x14ac:dyDescent="0.45">
      <c r="A882" t="s">
        <v>994</v>
      </c>
      <c r="B882" t="s">
        <v>1223</v>
      </c>
      <c r="C882" t="s">
        <v>1121</v>
      </c>
      <c r="D882" t="s">
        <v>76</v>
      </c>
      <c r="E882">
        <v>1064</v>
      </c>
      <c r="F882" s="1">
        <v>46174</v>
      </c>
      <c r="G882" t="s">
        <v>1219</v>
      </c>
      <c r="H882" t="s">
        <v>1210</v>
      </c>
      <c r="I882">
        <v>5.09</v>
      </c>
      <c r="J882">
        <v>40</v>
      </c>
      <c r="K882">
        <v>90</v>
      </c>
      <c r="L882" t="s">
        <v>1210</v>
      </c>
      <c r="M882">
        <v>3</v>
      </c>
    </row>
    <row r="883" spans="1:13" x14ac:dyDescent="0.45">
      <c r="A883" t="s">
        <v>995</v>
      </c>
      <c r="B883" t="s">
        <v>1223</v>
      </c>
      <c r="C883" t="s">
        <v>1127</v>
      </c>
      <c r="D883" t="s">
        <v>1130</v>
      </c>
      <c r="E883">
        <v>1140</v>
      </c>
      <c r="F883" s="1">
        <v>46174</v>
      </c>
      <c r="G883" t="s">
        <v>1219</v>
      </c>
      <c r="H883" t="s">
        <v>1210</v>
      </c>
      <c r="I883">
        <v>12.51</v>
      </c>
      <c r="J883">
        <v>73</v>
      </c>
      <c r="K883">
        <v>75</v>
      </c>
      <c r="L883" t="s">
        <v>1210</v>
      </c>
      <c r="M883">
        <v>3</v>
      </c>
    </row>
    <row r="884" spans="1:13" x14ac:dyDescent="0.45">
      <c r="A884" t="s">
        <v>996</v>
      </c>
      <c r="B884" t="s">
        <v>1223</v>
      </c>
      <c r="C884" t="s">
        <v>1127</v>
      </c>
      <c r="D884" t="s">
        <v>52</v>
      </c>
      <c r="E884">
        <v>553</v>
      </c>
      <c r="F884" s="1">
        <v>46174</v>
      </c>
      <c r="G884" t="s">
        <v>1219</v>
      </c>
      <c r="H884" t="s">
        <v>1210</v>
      </c>
      <c r="I884">
        <v>11.01</v>
      </c>
      <c r="J884">
        <v>98</v>
      </c>
      <c r="K884">
        <v>16</v>
      </c>
      <c r="L884" t="s">
        <v>1210</v>
      </c>
      <c r="M884">
        <v>3</v>
      </c>
    </row>
    <row r="885" spans="1:13" x14ac:dyDescent="0.45">
      <c r="A885" t="s">
        <v>997</v>
      </c>
      <c r="B885" t="s">
        <v>1223</v>
      </c>
      <c r="C885" t="s">
        <v>1127</v>
      </c>
      <c r="D885" t="s">
        <v>100</v>
      </c>
      <c r="E885">
        <v>2279</v>
      </c>
      <c r="F885" s="1">
        <v>46176</v>
      </c>
      <c r="G885" t="s">
        <v>1219</v>
      </c>
      <c r="H885" t="s">
        <v>1210</v>
      </c>
      <c r="I885">
        <v>9.7899999999999991</v>
      </c>
      <c r="J885">
        <v>123</v>
      </c>
      <c r="K885">
        <v>334</v>
      </c>
      <c r="L885" t="s">
        <v>1210</v>
      </c>
      <c r="M885">
        <v>1</v>
      </c>
    </row>
    <row r="886" spans="1:13" x14ac:dyDescent="0.45">
      <c r="A886" t="s">
        <v>998</v>
      </c>
      <c r="B886" t="s">
        <v>1217</v>
      </c>
      <c r="C886" t="s">
        <v>1116</v>
      </c>
      <c r="D886" t="s">
        <v>84</v>
      </c>
      <c r="E886">
        <v>2122</v>
      </c>
      <c r="F886" s="1">
        <v>46173</v>
      </c>
      <c r="G886" t="s">
        <v>1219</v>
      </c>
      <c r="H886" t="s">
        <v>1210</v>
      </c>
      <c r="I886">
        <v>9.8699999999999992</v>
      </c>
      <c r="J886">
        <v>88</v>
      </c>
      <c r="K886">
        <v>25</v>
      </c>
      <c r="L886" t="s">
        <v>1210</v>
      </c>
      <c r="M886">
        <v>4</v>
      </c>
    </row>
    <row r="887" spans="1:13" x14ac:dyDescent="0.45">
      <c r="A887" t="s">
        <v>999</v>
      </c>
      <c r="B887" t="s">
        <v>1223</v>
      </c>
      <c r="C887" t="s">
        <v>1127</v>
      </c>
      <c r="D887" t="s">
        <v>91</v>
      </c>
      <c r="E887">
        <v>1401</v>
      </c>
      <c r="F887" s="1">
        <v>46176</v>
      </c>
      <c r="G887" t="s">
        <v>1219</v>
      </c>
      <c r="H887" t="s">
        <v>1210</v>
      </c>
      <c r="I887">
        <v>13.9</v>
      </c>
      <c r="J887">
        <v>69</v>
      </c>
      <c r="K887">
        <v>106</v>
      </c>
      <c r="L887" t="s">
        <v>1210</v>
      </c>
      <c r="M887">
        <v>1</v>
      </c>
    </row>
    <row r="888" spans="1:13" x14ac:dyDescent="0.45">
      <c r="A888" t="s">
        <v>1000</v>
      </c>
      <c r="B888" t="s">
        <v>1217</v>
      </c>
      <c r="C888" t="s">
        <v>1120</v>
      </c>
      <c r="D888" t="s">
        <v>1137</v>
      </c>
      <c r="E888">
        <v>1861</v>
      </c>
      <c r="F888" s="1">
        <v>46175</v>
      </c>
      <c r="G888" t="s">
        <v>1219</v>
      </c>
      <c r="H888" t="s">
        <v>1210</v>
      </c>
      <c r="I888">
        <v>10.96</v>
      </c>
      <c r="J888">
        <v>128</v>
      </c>
      <c r="K888">
        <v>520</v>
      </c>
      <c r="L888" t="s">
        <v>1210</v>
      </c>
      <c r="M888">
        <v>2</v>
      </c>
    </row>
    <row r="889" spans="1:13" x14ac:dyDescent="0.45">
      <c r="A889" t="s">
        <v>1001</v>
      </c>
      <c r="B889" t="s">
        <v>1223</v>
      </c>
      <c r="C889" t="s">
        <v>1121</v>
      </c>
      <c r="D889" t="s">
        <v>59</v>
      </c>
      <c r="E889">
        <v>1466</v>
      </c>
      <c r="F889" s="1">
        <v>46175</v>
      </c>
      <c r="G889" t="s">
        <v>1219</v>
      </c>
      <c r="H889" t="s">
        <v>1210</v>
      </c>
      <c r="I889">
        <v>15.2</v>
      </c>
      <c r="J889">
        <v>135</v>
      </c>
      <c r="K889">
        <v>361</v>
      </c>
      <c r="L889" t="s">
        <v>1210</v>
      </c>
      <c r="M889">
        <v>2</v>
      </c>
    </row>
    <row r="890" spans="1:13" x14ac:dyDescent="0.45">
      <c r="A890" t="s">
        <v>1002</v>
      </c>
      <c r="B890" t="s">
        <v>1225</v>
      </c>
      <c r="C890" t="s">
        <v>1128</v>
      </c>
      <c r="D890" t="s">
        <v>1130</v>
      </c>
      <c r="E890">
        <v>1593</v>
      </c>
      <c r="F890" s="1">
        <v>46175</v>
      </c>
      <c r="G890" t="s">
        <v>1219</v>
      </c>
      <c r="H890" t="s">
        <v>1210</v>
      </c>
      <c r="I890">
        <v>12.51</v>
      </c>
      <c r="J890">
        <v>73</v>
      </c>
      <c r="K890">
        <v>75</v>
      </c>
      <c r="L890" t="s">
        <v>1210</v>
      </c>
      <c r="M890">
        <v>2</v>
      </c>
    </row>
    <row r="891" spans="1:13" x14ac:dyDescent="0.45">
      <c r="A891" t="s">
        <v>1003</v>
      </c>
      <c r="B891" t="s">
        <v>1217</v>
      </c>
      <c r="C891" t="s">
        <v>1116</v>
      </c>
      <c r="D891" t="s">
        <v>1138</v>
      </c>
      <c r="E891">
        <v>1397</v>
      </c>
      <c r="F891" s="1">
        <v>46176</v>
      </c>
      <c r="G891" t="s">
        <v>1219</v>
      </c>
      <c r="H891" t="s">
        <v>1210</v>
      </c>
      <c r="I891">
        <v>3.92</v>
      </c>
      <c r="J891">
        <v>49</v>
      </c>
      <c r="K891">
        <v>98</v>
      </c>
      <c r="L891" t="s">
        <v>1210</v>
      </c>
      <c r="M891">
        <v>1</v>
      </c>
    </row>
    <row r="892" spans="1:13" x14ac:dyDescent="0.45">
      <c r="A892" t="s">
        <v>1004</v>
      </c>
      <c r="B892" t="s">
        <v>1223</v>
      </c>
      <c r="C892" t="s">
        <v>1122</v>
      </c>
      <c r="D892" t="s">
        <v>20</v>
      </c>
      <c r="E892">
        <v>1207</v>
      </c>
      <c r="F892" s="1">
        <v>46176</v>
      </c>
      <c r="G892" t="s">
        <v>1219</v>
      </c>
      <c r="H892" t="s">
        <v>1210</v>
      </c>
      <c r="I892">
        <v>15.66</v>
      </c>
      <c r="J892">
        <v>72</v>
      </c>
      <c r="K892">
        <v>306</v>
      </c>
      <c r="L892" t="s">
        <v>1210</v>
      </c>
      <c r="M892">
        <v>1</v>
      </c>
    </row>
    <row r="893" spans="1:13" x14ac:dyDescent="0.45">
      <c r="A893" t="s">
        <v>1005</v>
      </c>
      <c r="B893" t="s">
        <v>1217</v>
      </c>
      <c r="C893" t="s">
        <v>1115</v>
      </c>
      <c r="D893" t="s">
        <v>83</v>
      </c>
      <c r="E893">
        <v>1756</v>
      </c>
      <c r="F893" s="1">
        <v>46175</v>
      </c>
      <c r="G893" t="s">
        <v>1219</v>
      </c>
      <c r="H893" t="s">
        <v>1210</v>
      </c>
      <c r="I893">
        <v>5.92</v>
      </c>
      <c r="J893">
        <v>57</v>
      </c>
      <c r="K893">
        <v>92</v>
      </c>
      <c r="L893" t="s">
        <v>1210</v>
      </c>
      <c r="M893">
        <v>2</v>
      </c>
    </row>
    <row r="894" spans="1:13" x14ac:dyDescent="0.45">
      <c r="A894" t="s">
        <v>1006</v>
      </c>
      <c r="B894" t="s">
        <v>1223</v>
      </c>
      <c r="C894" t="s">
        <v>1127</v>
      </c>
      <c r="D894" t="s">
        <v>57</v>
      </c>
      <c r="E894">
        <v>1391</v>
      </c>
      <c r="F894" s="1">
        <v>46174</v>
      </c>
      <c r="G894" t="s">
        <v>1219</v>
      </c>
      <c r="H894" t="s">
        <v>1210</v>
      </c>
      <c r="I894">
        <v>8.19</v>
      </c>
      <c r="J894">
        <v>82</v>
      </c>
      <c r="K894">
        <v>317</v>
      </c>
      <c r="L894" t="s">
        <v>1210</v>
      </c>
      <c r="M894">
        <v>3</v>
      </c>
    </row>
    <row r="895" spans="1:13" x14ac:dyDescent="0.45">
      <c r="A895" t="s">
        <v>1007</v>
      </c>
      <c r="B895" t="s">
        <v>1223</v>
      </c>
      <c r="C895" t="s">
        <v>1124</v>
      </c>
      <c r="D895" t="s">
        <v>92</v>
      </c>
      <c r="E895">
        <v>1985</v>
      </c>
      <c r="F895" s="1">
        <v>46160</v>
      </c>
      <c r="G895" t="s">
        <v>1219</v>
      </c>
      <c r="H895" t="s">
        <v>1210</v>
      </c>
      <c r="I895">
        <v>10.9</v>
      </c>
      <c r="J895">
        <v>131</v>
      </c>
      <c r="K895">
        <v>22</v>
      </c>
      <c r="L895" t="s">
        <v>1210</v>
      </c>
      <c r="M895">
        <v>17</v>
      </c>
    </row>
    <row r="896" spans="1:13" x14ac:dyDescent="0.45">
      <c r="A896" t="s">
        <v>1008</v>
      </c>
      <c r="B896" t="s">
        <v>1217</v>
      </c>
      <c r="C896" t="s">
        <v>1115</v>
      </c>
      <c r="D896" t="s">
        <v>107</v>
      </c>
      <c r="E896">
        <v>2521</v>
      </c>
      <c r="F896" s="1">
        <v>46175</v>
      </c>
      <c r="G896" t="s">
        <v>1219</v>
      </c>
      <c r="H896" t="s">
        <v>1210</v>
      </c>
      <c r="I896">
        <v>4.3600000000000003</v>
      </c>
      <c r="J896">
        <v>88</v>
      </c>
      <c r="K896">
        <v>108</v>
      </c>
      <c r="L896" t="s">
        <v>1210</v>
      </c>
      <c r="M896">
        <v>2</v>
      </c>
    </row>
    <row r="897" spans="1:13" x14ac:dyDescent="0.45">
      <c r="A897" t="s">
        <v>1009</v>
      </c>
      <c r="B897" t="s">
        <v>1225</v>
      </c>
      <c r="C897" t="s">
        <v>1128</v>
      </c>
      <c r="D897" t="s">
        <v>19</v>
      </c>
      <c r="E897">
        <v>1206</v>
      </c>
      <c r="F897" s="1">
        <v>46175</v>
      </c>
      <c r="G897" t="s">
        <v>1219</v>
      </c>
      <c r="H897" t="s">
        <v>1210</v>
      </c>
      <c r="I897">
        <v>8.0500000000000007</v>
      </c>
      <c r="J897">
        <v>147</v>
      </c>
      <c r="K897">
        <v>28</v>
      </c>
      <c r="L897" t="s">
        <v>1210</v>
      </c>
      <c r="M897">
        <v>2</v>
      </c>
    </row>
    <row r="898" spans="1:13" x14ac:dyDescent="0.45">
      <c r="A898" t="s">
        <v>1010</v>
      </c>
      <c r="B898" t="s">
        <v>1223</v>
      </c>
      <c r="C898" t="s">
        <v>1121</v>
      </c>
      <c r="D898" t="s">
        <v>1140</v>
      </c>
      <c r="E898">
        <v>1822</v>
      </c>
      <c r="F898" s="1">
        <v>46175</v>
      </c>
      <c r="G898" t="s">
        <v>1219</v>
      </c>
      <c r="H898" t="s">
        <v>1210</v>
      </c>
      <c r="I898">
        <v>11.43</v>
      </c>
      <c r="J898">
        <v>128</v>
      </c>
      <c r="K898">
        <v>530</v>
      </c>
      <c r="L898" t="s">
        <v>1210</v>
      </c>
      <c r="M898">
        <v>2</v>
      </c>
    </row>
    <row r="899" spans="1:13" x14ac:dyDescent="0.45">
      <c r="A899" t="s">
        <v>1011</v>
      </c>
      <c r="B899" t="s">
        <v>1217</v>
      </c>
      <c r="C899" t="s">
        <v>1120</v>
      </c>
      <c r="D899" t="s">
        <v>40</v>
      </c>
      <c r="E899">
        <v>1410</v>
      </c>
      <c r="F899" s="1">
        <v>46175</v>
      </c>
      <c r="G899" t="s">
        <v>1219</v>
      </c>
      <c r="H899" t="s">
        <v>1210</v>
      </c>
      <c r="I899">
        <v>15.1</v>
      </c>
      <c r="J899">
        <v>74</v>
      </c>
      <c r="K899">
        <v>443</v>
      </c>
      <c r="L899" t="s">
        <v>1210</v>
      </c>
      <c r="M899">
        <v>2</v>
      </c>
    </row>
    <row r="900" spans="1:13" x14ac:dyDescent="0.45">
      <c r="A900" t="s">
        <v>1012</v>
      </c>
      <c r="B900" t="s">
        <v>1225</v>
      </c>
      <c r="C900" t="s">
        <v>1119</v>
      </c>
      <c r="D900" t="s">
        <v>10</v>
      </c>
      <c r="E900">
        <v>1396</v>
      </c>
      <c r="F900" s="1">
        <v>46176</v>
      </c>
      <c r="G900" t="s">
        <v>1219</v>
      </c>
      <c r="H900" t="s">
        <v>1210</v>
      </c>
      <c r="I900">
        <v>14.2</v>
      </c>
      <c r="J900">
        <v>95</v>
      </c>
      <c r="K900">
        <v>277</v>
      </c>
      <c r="L900" t="s">
        <v>1210</v>
      </c>
      <c r="M900">
        <v>1</v>
      </c>
    </row>
    <row r="901" spans="1:13" x14ac:dyDescent="0.45">
      <c r="A901" t="s">
        <v>1013</v>
      </c>
      <c r="B901" t="s">
        <v>1225</v>
      </c>
      <c r="C901" t="s">
        <v>1123</v>
      </c>
      <c r="D901" t="s">
        <v>27</v>
      </c>
      <c r="E901">
        <v>780</v>
      </c>
      <c r="F901" s="1">
        <v>46176</v>
      </c>
      <c r="G901" t="s">
        <v>1219</v>
      </c>
      <c r="H901" t="s">
        <v>1210</v>
      </c>
      <c r="I901">
        <v>4.37</v>
      </c>
      <c r="J901">
        <v>58</v>
      </c>
      <c r="K901">
        <v>92</v>
      </c>
      <c r="L901" t="s">
        <v>1210</v>
      </c>
      <c r="M901">
        <v>1</v>
      </c>
    </row>
    <row r="902" spans="1:13" x14ac:dyDescent="0.45">
      <c r="A902" t="s">
        <v>1014</v>
      </c>
      <c r="B902" t="s">
        <v>1225</v>
      </c>
      <c r="C902" t="s">
        <v>1119</v>
      </c>
      <c r="D902" t="s">
        <v>89</v>
      </c>
      <c r="E902">
        <v>465</v>
      </c>
      <c r="F902" s="1">
        <v>46175</v>
      </c>
      <c r="G902" t="s">
        <v>1219</v>
      </c>
      <c r="H902" t="s">
        <v>1210</v>
      </c>
      <c r="I902">
        <v>13.67</v>
      </c>
      <c r="J902">
        <v>78</v>
      </c>
      <c r="K902">
        <v>247</v>
      </c>
      <c r="L902" t="s">
        <v>1210</v>
      </c>
      <c r="M902">
        <v>2</v>
      </c>
    </row>
    <row r="903" spans="1:13" x14ac:dyDescent="0.45">
      <c r="A903" t="s">
        <v>1015</v>
      </c>
      <c r="B903" t="s">
        <v>1217</v>
      </c>
      <c r="C903" t="s">
        <v>1115</v>
      </c>
      <c r="D903" t="s">
        <v>100</v>
      </c>
      <c r="E903">
        <v>2223</v>
      </c>
      <c r="F903" s="1">
        <v>46175</v>
      </c>
      <c r="G903" t="s">
        <v>1219</v>
      </c>
      <c r="H903" t="s">
        <v>1210</v>
      </c>
      <c r="I903">
        <v>9.7899999999999991</v>
      </c>
      <c r="J903">
        <v>123</v>
      </c>
      <c r="K903">
        <v>334</v>
      </c>
      <c r="L903" t="s">
        <v>1210</v>
      </c>
      <c r="M903">
        <v>2</v>
      </c>
    </row>
    <row r="904" spans="1:13" x14ac:dyDescent="0.45">
      <c r="A904" t="s">
        <v>1016</v>
      </c>
      <c r="B904" t="s">
        <v>1223</v>
      </c>
      <c r="C904" t="s">
        <v>1124</v>
      </c>
      <c r="D904" t="s">
        <v>93</v>
      </c>
      <c r="E904">
        <v>509</v>
      </c>
      <c r="F904" s="1">
        <v>46176</v>
      </c>
      <c r="G904" t="s">
        <v>1219</v>
      </c>
      <c r="H904" t="s">
        <v>1210</v>
      </c>
      <c r="J904">
        <v>98</v>
      </c>
      <c r="K904">
        <v>359</v>
      </c>
      <c r="L904" t="s">
        <v>1210</v>
      </c>
      <c r="M904">
        <v>1</v>
      </c>
    </row>
    <row r="905" spans="1:13" x14ac:dyDescent="0.45">
      <c r="A905" t="s">
        <v>1017</v>
      </c>
      <c r="B905" t="s">
        <v>1225</v>
      </c>
      <c r="C905" t="s">
        <v>1125</v>
      </c>
      <c r="D905" t="s">
        <v>80</v>
      </c>
      <c r="E905">
        <v>2461</v>
      </c>
      <c r="F905" s="1">
        <v>46174</v>
      </c>
      <c r="G905" t="s">
        <v>1219</v>
      </c>
      <c r="H905" t="s">
        <v>1210</v>
      </c>
      <c r="I905">
        <v>8.75</v>
      </c>
      <c r="J905">
        <v>123</v>
      </c>
      <c r="K905">
        <v>341</v>
      </c>
      <c r="L905" t="s">
        <v>1210</v>
      </c>
      <c r="M905">
        <v>3</v>
      </c>
    </row>
    <row r="906" spans="1:13" x14ac:dyDescent="0.45">
      <c r="A906" t="s">
        <v>1018</v>
      </c>
      <c r="B906" t="s">
        <v>1223</v>
      </c>
      <c r="C906" t="s">
        <v>1124</v>
      </c>
      <c r="D906" t="s">
        <v>77</v>
      </c>
      <c r="E906">
        <v>1167</v>
      </c>
      <c r="F906" s="1">
        <v>46176</v>
      </c>
      <c r="G906" t="s">
        <v>1219</v>
      </c>
      <c r="H906" t="s">
        <v>1210</v>
      </c>
      <c r="I906">
        <v>6.1</v>
      </c>
      <c r="J906">
        <v>137</v>
      </c>
      <c r="K906">
        <v>17</v>
      </c>
      <c r="L906" t="s">
        <v>1210</v>
      </c>
      <c r="M906">
        <v>1</v>
      </c>
    </row>
    <row r="907" spans="1:13" x14ac:dyDescent="0.45">
      <c r="A907" t="s">
        <v>1019</v>
      </c>
      <c r="B907" t="s">
        <v>1217</v>
      </c>
      <c r="C907" t="s">
        <v>1116</v>
      </c>
      <c r="D907" t="s">
        <v>8</v>
      </c>
      <c r="E907">
        <v>1390</v>
      </c>
      <c r="F907" s="1">
        <v>46175</v>
      </c>
      <c r="G907" t="s">
        <v>1219</v>
      </c>
      <c r="H907" t="s">
        <v>1210</v>
      </c>
      <c r="I907">
        <v>5.25</v>
      </c>
      <c r="J907">
        <v>76</v>
      </c>
      <c r="K907">
        <v>104</v>
      </c>
      <c r="L907" t="s">
        <v>1210</v>
      </c>
      <c r="M907">
        <v>2</v>
      </c>
    </row>
    <row r="908" spans="1:13" x14ac:dyDescent="0.45">
      <c r="A908" t="s">
        <v>1020</v>
      </c>
      <c r="B908" t="s">
        <v>1217</v>
      </c>
      <c r="C908" t="s">
        <v>1114</v>
      </c>
      <c r="D908" t="s">
        <v>103</v>
      </c>
      <c r="E908">
        <v>737</v>
      </c>
      <c r="F908" s="1">
        <v>46174</v>
      </c>
      <c r="G908" t="s">
        <v>1219</v>
      </c>
      <c r="H908" t="s">
        <v>1210</v>
      </c>
      <c r="I908">
        <v>16.66</v>
      </c>
      <c r="J908">
        <v>85</v>
      </c>
      <c r="K908">
        <v>333</v>
      </c>
      <c r="L908" t="s">
        <v>1210</v>
      </c>
      <c r="M908">
        <v>3</v>
      </c>
    </row>
    <row r="909" spans="1:13" x14ac:dyDescent="0.45">
      <c r="A909" t="s">
        <v>1021</v>
      </c>
      <c r="B909" t="s">
        <v>1225</v>
      </c>
      <c r="C909" t="s">
        <v>1125</v>
      </c>
      <c r="D909" t="s">
        <v>25</v>
      </c>
      <c r="E909">
        <v>2181</v>
      </c>
      <c r="F909" s="1">
        <v>46175</v>
      </c>
      <c r="G909" t="s">
        <v>1219</v>
      </c>
      <c r="H909" t="s">
        <v>1210</v>
      </c>
      <c r="I909">
        <v>10.37</v>
      </c>
      <c r="J909">
        <v>100</v>
      </c>
      <c r="K909">
        <v>24</v>
      </c>
      <c r="L909" t="s">
        <v>1210</v>
      </c>
      <c r="M909">
        <v>2</v>
      </c>
    </row>
    <row r="910" spans="1:13" x14ac:dyDescent="0.45">
      <c r="A910" t="s">
        <v>1022</v>
      </c>
      <c r="B910" t="s">
        <v>1225</v>
      </c>
      <c r="C910" t="s">
        <v>1125</v>
      </c>
      <c r="D910" t="s">
        <v>28</v>
      </c>
      <c r="E910">
        <v>1563</v>
      </c>
      <c r="F910" s="1">
        <v>46176</v>
      </c>
      <c r="G910" t="s">
        <v>1219</v>
      </c>
      <c r="H910" t="s">
        <v>1210</v>
      </c>
      <c r="I910">
        <v>8.94</v>
      </c>
      <c r="J910">
        <v>100</v>
      </c>
      <c r="K910">
        <v>17</v>
      </c>
      <c r="L910" t="s">
        <v>1210</v>
      </c>
      <c r="M910">
        <v>1</v>
      </c>
    </row>
    <row r="911" spans="1:13" x14ac:dyDescent="0.45">
      <c r="A911" t="s">
        <v>1023</v>
      </c>
      <c r="B911" t="s">
        <v>1223</v>
      </c>
      <c r="C911" t="s">
        <v>1117</v>
      </c>
      <c r="D911" t="s">
        <v>31</v>
      </c>
      <c r="E911">
        <v>1407</v>
      </c>
      <c r="F911" s="1">
        <v>46176</v>
      </c>
      <c r="G911" t="s">
        <v>1219</v>
      </c>
      <c r="H911" t="s">
        <v>1210</v>
      </c>
      <c r="I911">
        <v>8.67</v>
      </c>
      <c r="J911">
        <v>124</v>
      </c>
      <c r="K911">
        <v>512</v>
      </c>
      <c r="L911" t="s">
        <v>1210</v>
      </c>
      <c r="M911">
        <v>1</v>
      </c>
    </row>
    <row r="912" spans="1:13" x14ac:dyDescent="0.45">
      <c r="A912" t="s">
        <v>1024</v>
      </c>
      <c r="B912" t="s">
        <v>1223</v>
      </c>
      <c r="C912" t="s">
        <v>1124</v>
      </c>
      <c r="D912" t="s">
        <v>101</v>
      </c>
      <c r="E912">
        <v>1710</v>
      </c>
      <c r="F912" s="1">
        <v>46176</v>
      </c>
      <c r="G912" t="s">
        <v>1219</v>
      </c>
      <c r="H912" t="s">
        <v>1210</v>
      </c>
      <c r="I912">
        <v>3.56</v>
      </c>
      <c r="J912">
        <v>64</v>
      </c>
      <c r="K912">
        <v>92</v>
      </c>
      <c r="L912" t="s">
        <v>1210</v>
      </c>
      <c r="M912">
        <v>1</v>
      </c>
    </row>
    <row r="913" spans="1:13" x14ac:dyDescent="0.45">
      <c r="A913" t="s">
        <v>1025</v>
      </c>
      <c r="B913" t="s">
        <v>1223</v>
      </c>
      <c r="C913" t="s">
        <v>1117</v>
      </c>
      <c r="D913" t="s">
        <v>35</v>
      </c>
      <c r="E913">
        <v>1189</v>
      </c>
      <c r="F913" s="1">
        <v>46176</v>
      </c>
      <c r="G913" t="s">
        <v>1219</v>
      </c>
      <c r="H913" t="s">
        <v>1210</v>
      </c>
      <c r="I913">
        <v>19.18</v>
      </c>
      <c r="J913">
        <v>95</v>
      </c>
      <c r="K913">
        <v>208</v>
      </c>
      <c r="L913" t="s">
        <v>1210</v>
      </c>
      <c r="M913">
        <v>1</v>
      </c>
    </row>
    <row r="914" spans="1:13" x14ac:dyDescent="0.45">
      <c r="A914" t="s">
        <v>1026</v>
      </c>
      <c r="B914" t="s">
        <v>1223</v>
      </c>
      <c r="C914" t="s">
        <v>1117</v>
      </c>
      <c r="D914" t="s">
        <v>75</v>
      </c>
      <c r="E914">
        <v>1983</v>
      </c>
      <c r="F914" s="1">
        <v>46176</v>
      </c>
      <c r="G914" t="s">
        <v>1219</v>
      </c>
      <c r="H914" t="s">
        <v>1210</v>
      </c>
      <c r="J914">
        <v>71</v>
      </c>
      <c r="K914">
        <v>192</v>
      </c>
      <c r="L914" t="s">
        <v>1210</v>
      </c>
      <c r="M914">
        <v>1</v>
      </c>
    </row>
    <row r="915" spans="1:13" x14ac:dyDescent="0.45">
      <c r="A915" t="s">
        <v>1027</v>
      </c>
      <c r="B915" t="s">
        <v>1223</v>
      </c>
      <c r="C915" t="s">
        <v>1121</v>
      </c>
      <c r="D915" t="s">
        <v>105</v>
      </c>
      <c r="E915">
        <v>1161</v>
      </c>
      <c r="F915" s="1">
        <v>46176</v>
      </c>
      <c r="G915" t="s">
        <v>1219</v>
      </c>
      <c r="H915" t="s">
        <v>1210</v>
      </c>
      <c r="I915">
        <v>18.170000000000002</v>
      </c>
      <c r="J915">
        <v>61</v>
      </c>
      <c r="K915">
        <v>188</v>
      </c>
      <c r="L915" t="s">
        <v>1210</v>
      </c>
      <c r="M915">
        <v>1</v>
      </c>
    </row>
    <row r="916" spans="1:13" x14ac:dyDescent="0.45">
      <c r="A916" t="s">
        <v>1028</v>
      </c>
      <c r="B916" t="s">
        <v>1217</v>
      </c>
      <c r="C916" t="s">
        <v>1114</v>
      </c>
      <c r="D916" t="s">
        <v>1135</v>
      </c>
      <c r="E916">
        <v>448</v>
      </c>
      <c r="F916" s="1">
        <v>46175</v>
      </c>
      <c r="G916" t="s">
        <v>1219</v>
      </c>
      <c r="H916" t="s">
        <v>1210</v>
      </c>
      <c r="I916">
        <v>13.31</v>
      </c>
      <c r="J916">
        <v>89</v>
      </c>
      <c r="K916">
        <v>313</v>
      </c>
      <c r="L916" t="s">
        <v>1210</v>
      </c>
      <c r="M916">
        <v>2</v>
      </c>
    </row>
    <row r="917" spans="1:13" x14ac:dyDescent="0.45">
      <c r="A917" t="s">
        <v>1029</v>
      </c>
      <c r="B917" t="s">
        <v>1217</v>
      </c>
      <c r="C917" t="s">
        <v>1120</v>
      </c>
      <c r="D917" t="s">
        <v>53</v>
      </c>
      <c r="E917">
        <v>2020</v>
      </c>
      <c r="F917" s="1">
        <v>46176</v>
      </c>
      <c r="G917" t="s">
        <v>1219</v>
      </c>
      <c r="H917" t="s">
        <v>1210</v>
      </c>
      <c r="I917">
        <v>10.029999999999999</v>
      </c>
      <c r="J917">
        <v>126</v>
      </c>
      <c r="K917">
        <v>17</v>
      </c>
      <c r="L917" t="s">
        <v>1210</v>
      </c>
      <c r="M917">
        <v>1</v>
      </c>
    </row>
    <row r="918" spans="1:13" x14ac:dyDescent="0.45">
      <c r="A918" t="s">
        <v>1030</v>
      </c>
      <c r="B918" t="s">
        <v>1225</v>
      </c>
      <c r="C918" t="s">
        <v>1123</v>
      </c>
      <c r="D918" t="s">
        <v>60</v>
      </c>
      <c r="E918">
        <v>2282</v>
      </c>
      <c r="F918" s="1">
        <v>46176</v>
      </c>
      <c r="G918" t="s">
        <v>1219</v>
      </c>
      <c r="H918" t="s">
        <v>1210</v>
      </c>
      <c r="I918">
        <v>3.02</v>
      </c>
      <c r="J918">
        <v>84</v>
      </c>
      <c r="K918">
        <v>111</v>
      </c>
      <c r="L918" t="s">
        <v>1210</v>
      </c>
      <c r="M918">
        <v>1</v>
      </c>
    </row>
    <row r="919" spans="1:13" x14ac:dyDescent="0.45">
      <c r="A919" t="s">
        <v>1031</v>
      </c>
      <c r="B919" t="s">
        <v>1223</v>
      </c>
      <c r="C919" t="s">
        <v>1122</v>
      </c>
      <c r="D919" t="s">
        <v>1151</v>
      </c>
      <c r="E919">
        <v>3077</v>
      </c>
      <c r="F919" s="1">
        <v>46176</v>
      </c>
      <c r="G919" t="s">
        <v>1219</v>
      </c>
      <c r="H919" t="s">
        <v>1210</v>
      </c>
      <c r="L919" t="s">
        <v>1353</v>
      </c>
      <c r="M919">
        <v>1</v>
      </c>
    </row>
    <row r="920" spans="1:13" x14ac:dyDescent="0.45">
      <c r="A920" t="s">
        <v>1032</v>
      </c>
      <c r="B920" t="s">
        <v>1217</v>
      </c>
      <c r="C920" t="s">
        <v>1115</v>
      </c>
      <c r="D920" t="s">
        <v>28</v>
      </c>
      <c r="E920">
        <v>1579</v>
      </c>
      <c r="F920" s="1">
        <v>46176</v>
      </c>
      <c r="G920" t="s">
        <v>1219</v>
      </c>
      <c r="H920" t="s">
        <v>1210</v>
      </c>
      <c r="I920">
        <v>8.94</v>
      </c>
      <c r="J920">
        <v>100</v>
      </c>
      <c r="K920">
        <v>17</v>
      </c>
      <c r="L920" t="s">
        <v>1210</v>
      </c>
      <c r="M920">
        <v>1</v>
      </c>
    </row>
    <row r="921" spans="1:13" x14ac:dyDescent="0.45">
      <c r="A921" t="s">
        <v>1033</v>
      </c>
      <c r="B921" t="s">
        <v>1223</v>
      </c>
      <c r="C921" t="s">
        <v>1127</v>
      </c>
      <c r="D921" t="s">
        <v>39</v>
      </c>
      <c r="E921">
        <v>971</v>
      </c>
      <c r="F921" s="1">
        <v>46174</v>
      </c>
      <c r="G921" t="s">
        <v>1219</v>
      </c>
      <c r="H921" t="s">
        <v>1210</v>
      </c>
      <c r="I921">
        <v>14.35</v>
      </c>
      <c r="J921">
        <v>70</v>
      </c>
      <c r="K921">
        <v>240</v>
      </c>
      <c r="L921" t="s">
        <v>1210</v>
      </c>
      <c r="M921">
        <v>3</v>
      </c>
    </row>
    <row r="922" spans="1:13" x14ac:dyDescent="0.45">
      <c r="A922" t="s">
        <v>1034</v>
      </c>
      <c r="B922" t="s">
        <v>1223</v>
      </c>
      <c r="C922" t="s">
        <v>1127</v>
      </c>
      <c r="D922" t="s">
        <v>87</v>
      </c>
      <c r="E922">
        <v>1174</v>
      </c>
      <c r="F922" s="1">
        <v>46174</v>
      </c>
      <c r="G922" t="s">
        <v>1219</v>
      </c>
      <c r="H922" t="s">
        <v>1210</v>
      </c>
      <c r="I922">
        <v>17.28</v>
      </c>
      <c r="J922">
        <v>97</v>
      </c>
      <c r="K922">
        <v>271</v>
      </c>
      <c r="L922" t="s">
        <v>1210</v>
      </c>
      <c r="M922">
        <v>3</v>
      </c>
    </row>
    <row r="923" spans="1:13" x14ac:dyDescent="0.45">
      <c r="A923" t="s">
        <v>1035</v>
      </c>
      <c r="B923" t="s">
        <v>1217</v>
      </c>
      <c r="C923" t="s">
        <v>1116</v>
      </c>
      <c r="D923" t="s">
        <v>13</v>
      </c>
      <c r="E923">
        <v>908</v>
      </c>
      <c r="F923" s="1">
        <v>46175</v>
      </c>
      <c r="G923" t="s">
        <v>1219</v>
      </c>
      <c r="H923" t="s">
        <v>1210</v>
      </c>
      <c r="I923">
        <v>8.18</v>
      </c>
      <c r="J923">
        <v>90</v>
      </c>
      <c r="K923">
        <v>29</v>
      </c>
      <c r="L923" t="s">
        <v>1210</v>
      </c>
      <c r="M923">
        <v>2</v>
      </c>
    </row>
    <row r="924" spans="1:13" x14ac:dyDescent="0.45">
      <c r="A924" t="s">
        <v>1036</v>
      </c>
      <c r="B924" t="s">
        <v>1217</v>
      </c>
      <c r="C924" t="s">
        <v>1115</v>
      </c>
      <c r="D924" t="s">
        <v>61</v>
      </c>
      <c r="E924">
        <v>1720</v>
      </c>
      <c r="F924" s="1">
        <v>46176</v>
      </c>
      <c r="G924" t="s">
        <v>1219</v>
      </c>
      <c r="H924" t="s">
        <v>1210</v>
      </c>
      <c r="I924">
        <v>12.41</v>
      </c>
      <c r="J924">
        <v>95</v>
      </c>
      <c r="K924">
        <v>227</v>
      </c>
      <c r="L924" t="s">
        <v>1210</v>
      </c>
      <c r="M924">
        <v>1</v>
      </c>
    </row>
    <row r="925" spans="1:13" x14ac:dyDescent="0.45">
      <c r="A925" t="s">
        <v>1037</v>
      </c>
      <c r="B925" t="s">
        <v>1225</v>
      </c>
      <c r="C925" t="s">
        <v>1123</v>
      </c>
      <c r="D925" t="s">
        <v>68</v>
      </c>
      <c r="E925">
        <v>540</v>
      </c>
      <c r="F925" s="1">
        <v>46176</v>
      </c>
      <c r="G925" t="s">
        <v>1219</v>
      </c>
      <c r="H925" t="s">
        <v>1210</v>
      </c>
      <c r="I925">
        <v>17.18</v>
      </c>
      <c r="J925">
        <v>81</v>
      </c>
      <c r="K925">
        <v>293</v>
      </c>
      <c r="L925" t="s">
        <v>1210</v>
      </c>
      <c r="M925">
        <v>1</v>
      </c>
    </row>
    <row r="926" spans="1:13" x14ac:dyDescent="0.45">
      <c r="A926" t="s">
        <v>1038</v>
      </c>
      <c r="B926" t="s">
        <v>1217</v>
      </c>
      <c r="C926" t="s">
        <v>1126</v>
      </c>
      <c r="D926" t="s">
        <v>60</v>
      </c>
      <c r="E926">
        <v>2492</v>
      </c>
      <c r="F926" s="1">
        <v>46176</v>
      </c>
      <c r="G926" t="s">
        <v>1219</v>
      </c>
      <c r="H926" t="s">
        <v>1210</v>
      </c>
      <c r="I926">
        <v>3.02</v>
      </c>
      <c r="J926">
        <v>84</v>
      </c>
      <c r="K926">
        <v>111</v>
      </c>
      <c r="L926" t="s">
        <v>1210</v>
      </c>
      <c r="M926">
        <v>1</v>
      </c>
    </row>
    <row r="927" spans="1:13" x14ac:dyDescent="0.45">
      <c r="A927" t="s">
        <v>1039</v>
      </c>
      <c r="B927" t="s">
        <v>1217</v>
      </c>
      <c r="C927" t="s">
        <v>1116</v>
      </c>
      <c r="D927" t="s">
        <v>1129</v>
      </c>
      <c r="E927">
        <v>2587</v>
      </c>
      <c r="F927" s="1">
        <v>46176</v>
      </c>
      <c r="G927" t="s">
        <v>1219</v>
      </c>
      <c r="H927" t="s">
        <v>1210</v>
      </c>
      <c r="I927">
        <v>3.43</v>
      </c>
      <c r="J927">
        <v>88</v>
      </c>
      <c r="K927">
        <v>109</v>
      </c>
      <c r="L927" t="s">
        <v>1210</v>
      </c>
      <c r="M927">
        <v>1</v>
      </c>
    </row>
    <row r="928" spans="1:13" x14ac:dyDescent="0.45">
      <c r="A928" t="s">
        <v>1040</v>
      </c>
      <c r="B928" t="s">
        <v>1217</v>
      </c>
      <c r="C928" t="s">
        <v>1114</v>
      </c>
      <c r="D928" t="s">
        <v>51</v>
      </c>
      <c r="E928">
        <v>2260</v>
      </c>
      <c r="F928" s="1">
        <v>46176</v>
      </c>
      <c r="G928" t="s">
        <v>1219</v>
      </c>
      <c r="H928" t="s">
        <v>1210</v>
      </c>
      <c r="I928">
        <v>3.44</v>
      </c>
      <c r="J928">
        <v>85</v>
      </c>
      <c r="K928">
        <v>102</v>
      </c>
      <c r="L928" t="s">
        <v>1210</v>
      </c>
      <c r="M928">
        <v>1</v>
      </c>
    </row>
    <row r="929" spans="1:13" x14ac:dyDescent="0.45">
      <c r="A929" t="s">
        <v>1041</v>
      </c>
      <c r="B929" t="s">
        <v>1217</v>
      </c>
      <c r="C929" t="s">
        <v>1114</v>
      </c>
      <c r="D929" t="s">
        <v>72</v>
      </c>
      <c r="E929">
        <v>1150</v>
      </c>
      <c r="F929" s="1">
        <v>46176</v>
      </c>
      <c r="G929" t="s">
        <v>1219</v>
      </c>
      <c r="H929" t="s">
        <v>1210</v>
      </c>
      <c r="I929">
        <v>19.170000000000002</v>
      </c>
      <c r="J929">
        <v>119</v>
      </c>
      <c r="K929">
        <v>196</v>
      </c>
      <c r="L929" t="s">
        <v>1210</v>
      </c>
      <c r="M929">
        <v>1</v>
      </c>
    </row>
    <row r="930" spans="1:13" x14ac:dyDescent="0.45">
      <c r="A930" t="s">
        <v>1042</v>
      </c>
      <c r="B930" t="s">
        <v>1223</v>
      </c>
      <c r="C930" t="s">
        <v>1127</v>
      </c>
      <c r="D930" t="s">
        <v>1130</v>
      </c>
      <c r="E930">
        <v>833</v>
      </c>
      <c r="F930" s="1">
        <v>46175</v>
      </c>
      <c r="G930" t="s">
        <v>1219</v>
      </c>
      <c r="H930" t="s">
        <v>1210</v>
      </c>
      <c r="I930">
        <v>12.51</v>
      </c>
      <c r="J930">
        <v>73</v>
      </c>
      <c r="K930">
        <v>75</v>
      </c>
      <c r="L930" t="s">
        <v>1210</v>
      </c>
      <c r="M930">
        <v>2</v>
      </c>
    </row>
    <row r="931" spans="1:13" x14ac:dyDescent="0.45">
      <c r="A931" t="s">
        <v>1043</v>
      </c>
      <c r="B931" t="s">
        <v>1217</v>
      </c>
      <c r="C931" t="s">
        <v>1126</v>
      </c>
      <c r="D931" t="s">
        <v>1129</v>
      </c>
      <c r="E931">
        <v>2653</v>
      </c>
      <c r="F931" s="1">
        <v>46176</v>
      </c>
      <c r="G931" t="s">
        <v>1219</v>
      </c>
      <c r="H931" t="s">
        <v>1210</v>
      </c>
      <c r="I931">
        <v>3.43</v>
      </c>
      <c r="J931">
        <v>88</v>
      </c>
      <c r="K931">
        <v>109</v>
      </c>
      <c r="L931" t="s">
        <v>1210</v>
      </c>
      <c r="M931">
        <v>1</v>
      </c>
    </row>
    <row r="932" spans="1:13" x14ac:dyDescent="0.45">
      <c r="A932" t="s">
        <v>1044</v>
      </c>
      <c r="B932" t="s">
        <v>1225</v>
      </c>
      <c r="C932" t="s">
        <v>1118</v>
      </c>
      <c r="D932" t="s">
        <v>77</v>
      </c>
      <c r="E932">
        <v>3094</v>
      </c>
      <c r="F932" s="1">
        <v>46176</v>
      </c>
      <c r="G932" t="s">
        <v>1219</v>
      </c>
      <c r="H932" t="s">
        <v>1210</v>
      </c>
      <c r="I932">
        <v>6.1</v>
      </c>
      <c r="J932">
        <v>137</v>
      </c>
      <c r="K932">
        <v>17</v>
      </c>
      <c r="L932" t="s">
        <v>1210</v>
      </c>
      <c r="M932">
        <v>1</v>
      </c>
    </row>
    <row r="933" spans="1:13" x14ac:dyDescent="0.45">
      <c r="A933" t="s">
        <v>1045</v>
      </c>
      <c r="B933" t="s">
        <v>1217</v>
      </c>
      <c r="C933" t="s">
        <v>1114</v>
      </c>
      <c r="D933" t="s">
        <v>87</v>
      </c>
      <c r="E933">
        <v>1289</v>
      </c>
      <c r="F933" s="1">
        <v>46174</v>
      </c>
      <c r="G933" t="s">
        <v>1219</v>
      </c>
      <c r="H933" t="s">
        <v>1210</v>
      </c>
      <c r="I933">
        <v>17.28</v>
      </c>
      <c r="J933">
        <v>97</v>
      </c>
      <c r="K933">
        <v>271</v>
      </c>
      <c r="L933" t="s">
        <v>1210</v>
      </c>
      <c r="M933">
        <v>3</v>
      </c>
    </row>
    <row r="934" spans="1:13" x14ac:dyDescent="0.45">
      <c r="A934" t="s">
        <v>1046</v>
      </c>
      <c r="B934" t="s">
        <v>1217</v>
      </c>
      <c r="C934" t="s">
        <v>1114</v>
      </c>
      <c r="D934" t="s">
        <v>1132</v>
      </c>
      <c r="E934">
        <v>1326</v>
      </c>
      <c r="F934" s="1">
        <v>46175</v>
      </c>
      <c r="G934" t="s">
        <v>1219</v>
      </c>
      <c r="H934" t="s">
        <v>1210</v>
      </c>
      <c r="I934">
        <v>15.52</v>
      </c>
      <c r="J934">
        <v>121</v>
      </c>
      <c r="K934">
        <v>517</v>
      </c>
      <c r="L934" t="s">
        <v>1210</v>
      </c>
      <c r="M934">
        <v>2</v>
      </c>
    </row>
    <row r="935" spans="1:13" x14ac:dyDescent="0.45">
      <c r="A935" t="s">
        <v>1047</v>
      </c>
      <c r="B935" t="s">
        <v>1217</v>
      </c>
      <c r="C935" t="s">
        <v>1120</v>
      </c>
      <c r="D935" t="s">
        <v>51</v>
      </c>
      <c r="E935">
        <v>1140</v>
      </c>
      <c r="F935" s="1">
        <v>46175</v>
      </c>
      <c r="G935" t="s">
        <v>1219</v>
      </c>
      <c r="H935" t="s">
        <v>1210</v>
      </c>
      <c r="I935">
        <v>3.44</v>
      </c>
      <c r="J935">
        <v>85</v>
      </c>
      <c r="K935">
        <v>102</v>
      </c>
      <c r="L935" t="s">
        <v>1210</v>
      </c>
      <c r="M935">
        <v>2</v>
      </c>
    </row>
    <row r="936" spans="1:13" x14ac:dyDescent="0.45">
      <c r="A936" t="s">
        <v>1048</v>
      </c>
      <c r="B936" t="s">
        <v>1223</v>
      </c>
      <c r="C936" t="s">
        <v>1124</v>
      </c>
      <c r="D936" t="s">
        <v>70</v>
      </c>
      <c r="E936">
        <v>1485</v>
      </c>
      <c r="F936" s="1">
        <v>46176</v>
      </c>
      <c r="G936" t="s">
        <v>1219</v>
      </c>
      <c r="H936" t="s">
        <v>1210</v>
      </c>
      <c r="I936">
        <v>5.04</v>
      </c>
      <c r="J936">
        <v>47</v>
      </c>
      <c r="K936">
        <v>96</v>
      </c>
      <c r="L936" t="s">
        <v>1210</v>
      </c>
      <c r="M936">
        <v>1</v>
      </c>
    </row>
    <row r="937" spans="1:13" x14ac:dyDescent="0.45">
      <c r="A937" t="s">
        <v>1049</v>
      </c>
      <c r="B937" t="s">
        <v>1223</v>
      </c>
      <c r="C937" t="s">
        <v>1122</v>
      </c>
      <c r="D937" t="s">
        <v>65</v>
      </c>
      <c r="E937">
        <v>2199</v>
      </c>
      <c r="F937" s="1">
        <v>46176</v>
      </c>
      <c r="G937" t="s">
        <v>1219</v>
      </c>
      <c r="H937" t="s">
        <v>1210</v>
      </c>
      <c r="I937">
        <v>9.8000000000000007</v>
      </c>
      <c r="J937">
        <v>83</v>
      </c>
      <c r="K937">
        <v>15</v>
      </c>
      <c r="L937" t="s">
        <v>1210</v>
      </c>
      <c r="M937">
        <v>1</v>
      </c>
    </row>
    <row r="938" spans="1:13" x14ac:dyDescent="0.45">
      <c r="A938" t="s">
        <v>1050</v>
      </c>
      <c r="B938" t="s">
        <v>1217</v>
      </c>
      <c r="C938" t="s">
        <v>1126</v>
      </c>
      <c r="D938" t="s">
        <v>10</v>
      </c>
      <c r="E938">
        <v>1566</v>
      </c>
      <c r="F938" s="1">
        <v>46176</v>
      </c>
      <c r="G938" t="s">
        <v>1219</v>
      </c>
      <c r="H938" t="s">
        <v>1210</v>
      </c>
      <c r="I938">
        <v>14.2</v>
      </c>
      <c r="J938">
        <v>95</v>
      </c>
      <c r="K938">
        <v>277</v>
      </c>
      <c r="L938" t="s">
        <v>1210</v>
      </c>
      <c r="M938">
        <v>1</v>
      </c>
    </row>
    <row r="939" spans="1:13" x14ac:dyDescent="0.45">
      <c r="A939" t="s">
        <v>1051</v>
      </c>
      <c r="B939" t="s">
        <v>1217</v>
      </c>
      <c r="C939" t="s">
        <v>1115</v>
      </c>
      <c r="D939" t="s">
        <v>89</v>
      </c>
      <c r="E939">
        <v>1609</v>
      </c>
      <c r="F939" s="1">
        <v>46176</v>
      </c>
      <c r="G939" t="s">
        <v>1219</v>
      </c>
      <c r="H939" t="s">
        <v>1210</v>
      </c>
      <c r="I939">
        <v>13.67</v>
      </c>
      <c r="J939">
        <v>78</v>
      </c>
      <c r="K939">
        <v>247</v>
      </c>
      <c r="L939" t="s">
        <v>1210</v>
      </c>
      <c r="M939">
        <v>1</v>
      </c>
    </row>
    <row r="940" spans="1:13" x14ac:dyDescent="0.45">
      <c r="A940" t="s">
        <v>1052</v>
      </c>
      <c r="B940" t="s">
        <v>1223</v>
      </c>
      <c r="C940" t="s">
        <v>1117</v>
      </c>
      <c r="D940" t="s">
        <v>1130</v>
      </c>
      <c r="E940">
        <v>1827</v>
      </c>
      <c r="F940" s="1">
        <v>46175</v>
      </c>
      <c r="G940" t="s">
        <v>1219</v>
      </c>
      <c r="H940" t="s">
        <v>1210</v>
      </c>
      <c r="I940">
        <v>12.51</v>
      </c>
      <c r="J940">
        <v>73</v>
      </c>
      <c r="K940">
        <v>75</v>
      </c>
      <c r="L940" t="s">
        <v>1210</v>
      </c>
      <c r="M940">
        <v>2</v>
      </c>
    </row>
    <row r="941" spans="1:13" x14ac:dyDescent="0.45">
      <c r="A941" t="s">
        <v>1053</v>
      </c>
      <c r="B941" t="s">
        <v>1223</v>
      </c>
      <c r="C941" t="s">
        <v>1127</v>
      </c>
      <c r="D941" t="s">
        <v>74</v>
      </c>
      <c r="E941">
        <v>1498</v>
      </c>
      <c r="F941" s="1">
        <v>46176</v>
      </c>
      <c r="G941" t="s">
        <v>1219</v>
      </c>
      <c r="H941" t="s">
        <v>1210</v>
      </c>
      <c r="I941">
        <v>12.77</v>
      </c>
      <c r="J941">
        <v>96</v>
      </c>
      <c r="K941">
        <v>122</v>
      </c>
      <c r="L941" t="s">
        <v>1210</v>
      </c>
      <c r="M941">
        <v>1</v>
      </c>
    </row>
    <row r="942" spans="1:13" x14ac:dyDescent="0.45">
      <c r="A942" t="s">
        <v>1054</v>
      </c>
      <c r="B942" t="s">
        <v>1225</v>
      </c>
      <c r="C942" t="s">
        <v>1125</v>
      </c>
      <c r="D942" t="s">
        <v>59</v>
      </c>
      <c r="E942">
        <v>636</v>
      </c>
      <c r="F942" s="1">
        <v>46175</v>
      </c>
      <c r="G942" t="s">
        <v>1219</v>
      </c>
      <c r="H942" t="s">
        <v>1210</v>
      </c>
      <c r="I942">
        <v>15.2</v>
      </c>
      <c r="J942">
        <v>135</v>
      </c>
      <c r="K942">
        <v>361</v>
      </c>
      <c r="L942" t="s">
        <v>1210</v>
      </c>
      <c r="M942">
        <v>2</v>
      </c>
    </row>
    <row r="943" spans="1:13" x14ac:dyDescent="0.45">
      <c r="A943" t="s">
        <v>1055</v>
      </c>
      <c r="B943" t="s">
        <v>1217</v>
      </c>
      <c r="C943" t="s">
        <v>1114</v>
      </c>
      <c r="D943" t="s">
        <v>41</v>
      </c>
      <c r="E943">
        <v>1495</v>
      </c>
      <c r="F943" s="1">
        <v>46174</v>
      </c>
      <c r="G943" t="s">
        <v>1221</v>
      </c>
      <c r="H943" t="s">
        <v>1210</v>
      </c>
      <c r="I943">
        <v>6.24</v>
      </c>
      <c r="J943">
        <v>146</v>
      </c>
      <c r="K943">
        <v>24</v>
      </c>
      <c r="L943" t="s">
        <v>1210</v>
      </c>
      <c r="M943">
        <v>3</v>
      </c>
    </row>
    <row r="944" spans="1:13" x14ac:dyDescent="0.45">
      <c r="A944" t="s">
        <v>1056</v>
      </c>
      <c r="B944" t="s">
        <v>1225</v>
      </c>
      <c r="C944" t="s">
        <v>1118</v>
      </c>
      <c r="D944" t="s">
        <v>109</v>
      </c>
      <c r="E944">
        <v>1836</v>
      </c>
      <c r="F944" s="1">
        <v>46175</v>
      </c>
      <c r="G944" t="s">
        <v>1219</v>
      </c>
      <c r="H944" t="s">
        <v>1210</v>
      </c>
      <c r="I944">
        <v>12.09</v>
      </c>
      <c r="J944">
        <v>80</v>
      </c>
      <c r="K944">
        <v>138</v>
      </c>
      <c r="L944" t="s">
        <v>1210</v>
      </c>
      <c r="M944">
        <v>2</v>
      </c>
    </row>
    <row r="945" spans="1:13" x14ac:dyDescent="0.45">
      <c r="A945" t="s">
        <v>1057</v>
      </c>
      <c r="B945" t="s">
        <v>1217</v>
      </c>
      <c r="C945" t="s">
        <v>1126</v>
      </c>
      <c r="D945" t="s">
        <v>107</v>
      </c>
      <c r="E945">
        <v>2533</v>
      </c>
      <c r="F945" s="1">
        <v>46176</v>
      </c>
      <c r="G945" t="s">
        <v>1219</v>
      </c>
      <c r="H945" t="s">
        <v>1210</v>
      </c>
      <c r="I945">
        <v>4.3600000000000003</v>
      </c>
      <c r="J945">
        <v>88</v>
      </c>
      <c r="K945">
        <v>108</v>
      </c>
      <c r="L945" t="s">
        <v>1210</v>
      </c>
      <c r="M945">
        <v>1</v>
      </c>
    </row>
    <row r="946" spans="1:13" x14ac:dyDescent="0.45">
      <c r="A946" t="s">
        <v>1058</v>
      </c>
      <c r="B946" t="s">
        <v>1225</v>
      </c>
      <c r="C946" t="s">
        <v>1125</v>
      </c>
      <c r="D946" t="s">
        <v>69</v>
      </c>
      <c r="E946">
        <v>1647</v>
      </c>
      <c r="F946" s="1">
        <v>46176</v>
      </c>
      <c r="G946" t="s">
        <v>1219</v>
      </c>
      <c r="H946" t="s">
        <v>1210</v>
      </c>
      <c r="I946">
        <v>13.13</v>
      </c>
      <c r="J946">
        <v>82</v>
      </c>
      <c r="K946">
        <v>105</v>
      </c>
      <c r="L946" t="s">
        <v>1210</v>
      </c>
      <c r="M946">
        <v>1</v>
      </c>
    </row>
    <row r="947" spans="1:13" x14ac:dyDescent="0.45">
      <c r="A947" t="s">
        <v>1059</v>
      </c>
      <c r="B947" t="s">
        <v>1225</v>
      </c>
      <c r="C947" t="s">
        <v>1128</v>
      </c>
      <c r="D947" t="s">
        <v>25</v>
      </c>
      <c r="E947">
        <v>1016</v>
      </c>
      <c r="F947" s="1">
        <v>46161</v>
      </c>
      <c r="G947" t="s">
        <v>1219</v>
      </c>
      <c r="H947" t="s">
        <v>1210</v>
      </c>
      <c r="I947">
        <v>10.37</v>
      </c>
      <c r="J947">
        <v>100</v>
      </c>
      <c r="K947">
        <v>24</v>
      </c>
      <c r="L947" t="s">
        <v>1210</v>
      </c>
      <c r="M947">
        <v>16</v>
      </c>
    </row>
    <row r="948" spans="1:13" x14ac:dyDescent="0.45">
      <c r="A948" t="s">
        <v>1060</v>
      </c>
      <c r="B948" t="s">
        <v>1225</v>
      </c>
      <c r="C948" t="s">
        <v>1123</v>
      </c>
      <c r="D948" t="s">
        <v>89</v>
      </c>
      <c r="E948">
        <v>1614</v>
      </c>
      <c r="F948" s="1">
        <v>46176</v>
      </c>
      <c r="G948" t="s">
        <v>1219</v>
      </c>
      <c r="H948" t="s">
        <v>1210</v>
      </c>
      <c r="I948">
        <v>13.67</v>
      </c>
      <c r="J948">
        <v>78</v>
      </c>
      <c r="K948">
        <v>247</v>
      </c>
      <c r="L948" t="s">
        <v>1210</v>
      </c>
      <c r="M948">
        <v>1</v>
      </c>
    </row>
    <row r="949" spans="1:13" x14ac:dyDescent="0.45">
      <c r="A949" t="s">
        <v>1061</v>
      </c>
      <c r="B949" t="s">
        <v>1223</v>
      </c>
      <c r="C949" t="s">
        <v>1124</v>
      </c>
      <c r="D949" t="s">
        <v>97</v>
      </c>
      <c r="E949">
        <v>2370</v>
      </c>
      <c r="F949" s="1">
        <v>46176</v>
      </c>
      <c r="G949" t="s">
        <v>1219</v>
      </c>
      <c r="H949" t="s">
        <v>1210</v>
      </c>
      <c r="I949">
        <v>9.57</v>
      </c>
      <c r="J949">
        <v>92</v>
      </c>
      <c r="K949">
        <v>122</v>
      </c>
      <c r="L949" t="s">
        <v>1210</v>
      </c>
      <c r="M949">
        <v>1</v>
      </c>
    </row>
    <row r="950" spans="1:13" x14ac:dyDescent="0.45">
      <c r="A950" t="s">
        <v>1062</v>
      </c>
      <c r="B950" t="s">
        <v>1225</v>
      </c>
      <c r="C950" t="s">
        <v>1128</v>
      </c>
      <c r="D950" t="s">
        <v>89</v>
      </c>
      <c r="E950">
        <v>914</v>
      </c>
      <c r="F950" s="1">
        <v>46175</v>
      </c>
      <c r="G950" t="s">
        <v>1219</v>
      </c>
      <c r="H950" t="s">
        <v>1210</v>
      </c>
      <c r="I950">
        <v>13.67</v>
      </c>
      <c r="J950">
        <v>78</v>
      </c>
      <c r="K950">
        <v>247</v>
      </c>
      <c r="L950" t="s">
        <v>1210</v>
      </c>
      <c r="M950">
        <v>2</v>
      </c>
    </row>
    <row r="951" spans="1:13" x14ac:dyDescent="0.45">
      <c r="A951" t="s">
        <v>1063</v>
      </c>
      <c r="B951" t="s">
        <v>1217</v>
      </c>
      <c r="C951" t="s">
        <v>1115</v>
      </c>
      <c r="D951" t="s">
        <v>67</v>
      </c>
      <c r="E951">
        <v>2461</v>
      </c>
      <c r="F951" s="1">
        <v>46176</v>
      </c>
      <c r="G951" t="s">
        <v>1219</v>
      </c>
      <c r="H951" t="s">
        <v>1210</v>
      </c>
      <c r="I951">
        <v>8.32</v>
      </c>
      <c r="J951">
        <v>98</v>
      </c>
      <c r="K951">
        <v>16</v>
      </c>
      <c r="L951" t="s">
        <v>1210</v>
      </c>
      <c r="M951">
        <v>1</v>
      </c>
    </row>
    <row r="952" spans="1:13" x14ac:dyDescent="0.45">
      <c r="A952" t="s">
        <v>1064</v>
      </c>
      <c r="B952" t="s">
        <v>1223</v>
      </c>
      <c r="C952" t="s">
        <v>1122</v>
      </c>
      <c r="D952" t="s">
        <v>71</v>
      </c>
      <c r="E952">
        <v>415</v>
      </c>
      <c r="F952" s="1">
        <v>46176</v>
      </c>
      <c r="G952" t="s">
        <v>1219</v>
      </c>
      <c r="H952" t="s">
        <v>1210</v>
      </c>
      <c r="I952">
        <v>12.02</v>
      </c>
      <c r="J952">
        <v>75</v>
      </c>
      <c r="K952">
        <v>402</v>
      </c>
      <c r="L952" t="s">
        <v>1210</v>
      </c>
      <c r="M952">
        <v>1</v>
      </c>
    </row>
    <row r="953" spans="1:13" x14ac:dyDescent="0.45">
      <c r="A953" t="s">
        <v>1065</v>
      </c>
      <c r="B953" t="s">
        <v>1225</v>
      </c>
      <c r="C953" t="s">
        <v>1119</v>
      </c>
      <c r="D953" t="s">
        <v>41</v>
      </c>
      <c r="E953">
        <v>1192</v>
      </c>
      <c r="F953" s="1">
        <v>46176</v>
      </c>
      <c r="G953" t="s">
        <v>1219</v>
      </c>
      <c r="H953" t="s">
        <v>1210</v>
      </c>
      <c r="I953">
        <v>6.24</v>
      </c>
      <c r="J953">
        <v>146</v>
      </c>
      <c r="K953">
        <v>24</v>
      </c>
      <c r="L953" t="s">
        <v>1210</v>
      </c>
      <c r="M953">
        <v>1</v>
      </c>
    </row>
    <row r="954" spans="1:13" x14ac:dyDescent="0.45">
      <c r="A954" t="s">
        <v>1066</v>
      </c>
      <c r="B954" t="s">
        <v>1223</v>
      </c>
      <c r="C954" t="s">
        <v>1124</v>
      </c>
      <c r="D954" t="s">
        <v>25</v>
      </c>
      <c r="E954">
        <v>1935</v>
      </c>
      <c r="F954" s="1">
        <v>46176</v>
      </c>
      <c r="G954" t="s">
        <v>1219</v>
      </c>
      <c r="H954" t="s">
        <v>1210</v>
      </c>
      <c r="I954">
        <v>10.37</v>
      </c>
      <c r="J954">
        <v>100</v>
      </c>
      <c r="K954">
        <v>24</v>
      </c>
      <c r="L954" t="s">
        <v>1210</v>
      </c>
      <c r="M954">
        <v>1</v>
      </c>
    </row>
    <row r="955" spans="1:13" x14ac:dyDescent="0.45">
      <c r="A955" t="s">
        <v>1067</v>
      </c>
      <c r="B955" t="s">
        <v>1217</v>
      </c>
      <c r="C955" t="s">
        <v>1115</v>
      </c>
      <c r="D955" t="s">
        <v>5</v>
      </c>
      <c r="E955">
        <v>2077</v>
      </c>
      <c r="F955" s="1">
        <v>46175</v>
      </c>
      <c r="G955" t="s">
        <v>1219</v>
      </c>
      <c r="H955" t="s">
        <v>1210</v>
      </c>
      <c r="I955">
        <v>10.6</v>
      </c>
      <c r="J955">
        <v>96</v>
      </c>
      <c r="K955">
        <v>445</v>
      </c>
      <c r="L955" t="s">
        <v>1210</v>
      </c>
      <c r="M955">
        <v>2</v>
      </c>
    </row>
    <row r="956" spans="1:13" x14ac:dyDescent="0.45">
      <c r="A956" t="s">
        <v>1068</v>
      </c>
      <c r="B956" t="s">
        <v>1225</v>
      </c>
      <c r="C956" t="s">
        <v>1123</v>
      </c>
      <c r="D956" t="s">
        <v>66</v>
      </c>
      <c r="E956">
        <v>371</v>
      </c>
      <c r="F956" s="1">
        <v>46176</v>
      </c>
      <c r="G956" t="s">
        <v>1219</v>
      </c>
      <c r="H956" t="s">
        <v>1210</v>
      </c>
      <c r="I956">
        <v>23.39</v>
      </c>
      <c r="J956">
        <v>79</v>
      </c>
      <c r="K956">
        <v>329</v>
      </c>
      <c r="L956" t="s">
        <v>1210</v>
      </c>
      <c r="M956">
        <v>1</v>
      </c>
    </row>
    <row r="957" spans="1:13" x14ac:dyDescent="0.45">
      <c r="A957" t="s">
        <v>1069</v>
      </c>
      <c r="B957" t="s">
        <v>1225</v>
      </c>
      <c r="C957" t="s">
        <v>1125</v>
      </c>
      <c r="D957" t="s">
        <v>43</v>
      </c>
      <c r="E957">
        <v>2066</v>
      </c>
      <c r="F957" s="1">
        <v>46173</v>
      </c>
      <c r="G957" t="s">
        <v>1219</v>
      </c>
      <c r="H957" t="s">
        <v>1210</v>
      </c>
      <c r="I957">
        <v>9.6999999999999993</v>
      </c>
      <c r="J957">
        <v>98</v>
      </c>
      <c r="K957">
        <v>115</v>
      </c>
      <c r="L957" t="s">
        <v>1210</v>
      </c>
      <c r="M957">
        <v>4</v>
      </c>
    </row>
    <row r="958" spans="1:13" x14ac:dyDescent="0.45">
      <c r="A958" t="s">
        <v>1070</v>
      </c>
      <c r="B958" t="s">
        <v>1217</v>
      </c>
      <c r="C958" t="s">
        <v>1120</v>
      </c>
      <c r="D958" t="s">
        <v>1131</v>
      </c>
      <c r="E958">
        <v>1831</v>
      </c>
      <c r="F958" s="1">
        <v>46176</v>
      </c>
      <c r="G958" t="s">
        <v>1219</v>
      </c>
      <c r="H958" t="s">
        <v>1210</v>
      </c>
      <c r="I958">
        <v>11.96</v>
      </c>
      <c r="J958">
        <v>101</v>
      </c>
      <c r="K958">
        <v>90</v>
      </c>
      <c r="L958" t="s">
        <v>1210</v>
      </c>
      <c r="M958">
        <v>1</v>
      </c>
    </row>
    <row r="959" spans="1:13" x14ac:dyDescent="0.45">
      <c r="A959" t="s">
        <v>1071</v>
      </c>
      <c r="B959" t="s">
        <v>1225</v>
      </c>
      <c r="C959" t="s">
        <v>1125</v>
      </c>
      <c r="D959" t="s">
        <v>83</v>
      </c>
      <c r="E959">
        <v>1680</v>
      </c>
      <c r="F959" s="1">
        <v>46175</v>
      </c>
      <c r="G959" t="s">
        <v>1219</v>
      </c>
      <c r="H959" t="s">
        <v>1210</v>
      </c>
      <c r="I959">
        <v>5.92</v>
      </c>
      <c r="J959">
        <v>57</v>
      </c>
      <c r="K959">
        <v>92</v>
      </c>
      <c r="L959" t="s">
        <v>1210</v>
      </c>
      <c r="M959">
        <v>2</v>
      </c>
    </row>
    <row r="960" spans="1:13" x14ac:dyDescent="0.45">
      <c r="A960" t="s">
        <v>1072</v>
      </c>
      <c r="B960" t="s">
        <v>1223</v>
      </c>
      <c r="C960" t="s">
        <v>1127</v>
      </c>
      <c r="D960" t="s">
        <v>77</v>
      </c>
      <c r="E960">
        <v>1804</v>
      </c>
      <c r="F960" s="1">
        <v>46176</v>
      </c>
      <c r="G960" t="s">
        <v>1219</v>
      </c>
      <c r="H960" t="s">
        <v>1210</v>
      </c>
      <c r="I960">
        <v>6.1</v>
      </c>
      <c r="J960">
        <v>137</v>
      </c>
      <c r="K960">
        <v>17</v>
      </c>
      <c r="L960" t="s">
        <v>1210</v>
      </c>
      <c r="M960">
        <v>1</v>
      </c>
    </row>
    <row r="961" spans="1:13" x14ac:dyDescent="0.45">
      <c r="A961" t="s">
        <v>1073</v>
      </c>
      <c r="B961" t="s">
        <v>1225</v>
      </c>
      <c r="C961" t="s">
        <v>1119</v>
      </c>
      <c r="D961" t="s">
        <v>30</v>
      </c>
      <c r="E961">
        <v>944</v>
      </c>
      <c r="F961" s="1">
        <v>46175</v>
      </c>
      <c r="G961" t="s">
        <v>1219</v>
      </c>
      <c r="H961" t="s">
        <v>1210</v>
      </c>
      <c r="I961">
        <v>3.64</v>
      </c>
      <c r="J961">
        <v>62</v>
      </c>
      <c r="K961">
        <v>114</v>
      </c>
      <c r="L961" t="s">
        <v>1210</v>
      </c>
      <c r="M961">
        <v>2</v>
      </c>
    </row>
    <row r="962" spans="1:13" x14ac:dyDescent="0.45">
      <c r="A962" t="s">
        <v>1074</v>
      </c>
      <c r="B962" t="s">
        <v>1225</v>
      </c>
      <c r="C962" t="s">
        <v>1118</v>
      </c>
      <c r="D962" t="s">
        <v>13</v>
      </c>
      <c r="E962">
        <v>1342</v>
      </c>
      <c r="F962" s="1">
        <v>46176</v>
      </c>
      <c r="G962" t="s">
        <v>1219</v>
      </c>
      <c r="H962" t="s">
        <v>1210</v>
      </c>
      <c r="I962">
        <v>8.18</v>
      </c>
      <c r="J962">
        <v>90</v>
      </c>
      <c r="K962">
        <v>29</v>
      </c>
      <c r="L962" t="s">
        <v>1210</v>
      </c>
      <c r="M962">
        <v>1</v>
      </c>
    </row>
    <row r="963" spans="1:13" x14ac:dyDescent="0.45">
      <c r="A963" t="s">
        <v>1075</v>
      </c>
      <c r="B963" t="s">
        <v>1217</v>
      </c>
      <c r="C963" t="s">
        <v>1114</v>
      </c>
      <c r="D963" t="s">
        <v>92</v>
      </c>
      <c r="E963">
        <v>491</v>
      </c>
      <c r="F963" s="1">
        <v>46173</v>
      </c>
      <c r="G963" t="s">
        <v>1219</v>
      </c>
      <c r="H963" t="s">
        <v>1210</v>
      </c>
      <c r="I963">
        <v>10.9</v>
      </c>
      <c r="J963">
        <v>131</v>
      </c>
      <c r="K963">
        <v>22</v>
      </c>
      <c r="L963" t="s">
        <v>1210</v>
      </c>
      <c r="M963">
        <v>4</v>
      </c>
    </row>
    <row r="964" spans="1:13" x14ac:dyDescent="0.45">
      <c r="A964" t="s">
        <v>1076</v>
      </c>
      <c r="B964" t="s">
        <v>1223</v>
      </c>
      <c r="C964" t="s">
        <v>1121</v>
      </c>
      <c r="D964" t="s">
        <v>25</v>
      </c>
      <c r="E964">
        <v>1173</v>
      </c>
      <c r="F964" s="1">
        <v>46175</v>
      </c>
      <c r="G964" t="s">
        <v>1219</v>
      </c>
      <c r="H964" t="s">
        <v>1210</v>
      </c>
      <c r="I964">
        <v>10.37</v>
      </c>
      <c r="J964">
        <v>100</v>
      </c>
      <c r="K964">
        <v>24</v>
      </c>
      <c r="L964" t="s">
        <v>1210</v>
      </c>
      <c r="M964">
        <v>2</v>
      </c>
    </row>
    <row r="965" spans="1:13" x14ac:dyDescent="0.45">
      <c r="A965" t="s">
        <v>1077</v>
      </c>
      <c r="B965" t="s">
        <v>1217</v>
      </c>
      <c r="C965" t="s">
        <v>1120</v>
      </c>
      <c r="D965" t="s">
        <v>83</v>
      </c>
      <c r="E965">
        <v>1523</v>
      </c>
      <c r="F965" s="1">
        <v>46175</v>
      </c>
      <c r="G965" t="s">
        <v>1219</v>
      </c>
      <c r="H965" t="s">
        <v>1210</v>
      </c>
      <c r="I965">
        <v>5.92</v>
      </c>
      <c r="J965">
        <v>57</v>
      </c>
      <c r="K965">
        <v>92</v>
      </c>
      <c r="L965" t="s">
        <v>1210</v>
      </c>
      <c r="M965">
        <v>2</v>
      </c>
    </row>
    <row r="966" spans="1:13" x14ac:dyDescent="0.45">
      <c r="A966" t="s">
        <v>1078</v>
      </c>
      <c r="B966" t="s">
        <v>1225</v>
      </c>
      <c r="C966" t="s">
        <v>1119</v>
      </c>
      <c r="D966" t="s">
        <v>80</v>
      </c>
      <c r="E966">
        <v>2289</v>
      </c>
      <c r="F966" s="1">
        <v>46175</v>
      </c>
      <c r="G966" t="s">
        <v>1219</v>
      </c>
      <c r="H966" t="s">
        <v>1210</v>
      </c>
      <c r="I966">
        <v>8.75</v>
      </c>
      <c r="J966">
        <v>123</v>
      </c>
      <c r="K966">
        <v>341</v>
      </c>
      <c r="L966" t="s">
        <v>1210</v>
      </c>
      <c r="M966">
        <v>2</v>
      </c>
    </row>
    <row r="967" spans="1:13" x14ac:dyDescent="0.45">
      <c r="A967" t="s">
        <v>1079</v>
      </c>
      <c r="B967" t="s">
        <v>1223</v>
      </c>
      <c r="C967" t="s">
        <v>1127</v>
      </c>
      <c r="D967" t="s">
        <v>39</v>
      </c>
      <c r="E967">
        <v>664</v>
      </c>
      <c r="F967" s="1">
        <v>46174</v>
      </c>
      <c r="G967" t="s">
        <v>1219</v>
      </c>
      <c r="H967" t="s">
        <v>1210</v>
      </c>
      <c r="I967">
        <v>14.35</v>
      </c>
      <c r="J967">
        <v>70</v>
      </c>
      <c r="K967">
        <v>240</v>
      </c>
      <c r="L967" t="s">
        <v>1210</v>
      </c>
      <c r="M967">
        <v>3</v>
      </c>
    </row>
    <row r="968" spans="1:13" x14ac:dyDescent="0.45">
      <c r="A968" t="s">
        <v>1080</v>
      </c>
      <c r="B968" t="s">
        <v>1223</v>
      </c>
      <c r="C968" t="s">
        <v>1121</v>
      </c>
      <c r="D968" t="s">
        <v>87</v>
      </c>
      <c r="E968">
        <v>1320</v>
      </c>
      <c r="F968" s="1">
        <v>46176</v>
      </c>
      <c r="G968" t="s">
        <v>1219</v>
      </c>
      <c r="H968" t="s">
        <v>1210</v>
      </c>
      <c r="I968">
        <v>17.28</v>
      </c>
      <c r="J968">
        <v>97</v>
      </c>
      <c r="K968">
        <v>271</v>
      </c>
      <c r="L968" t="s">
        <v>1210</v>
      </c>
      <c r="M968">
        <v>1</v>
      </c>
    </row>
    <row r="969" spans="1:13" x14ac:dyDescent="0.45">
      <c r="A969" t="s">
        <v>1081</v>
      </c>
      <c r="B969" t="s">
        <v>1217</v>
      </c>
      <c r="C969" t="s">
        <v>1126</v>
      </c>
      <c r="D969" t="s">
        <v>24</v>
      </c>
      <c r="E969">
        <v>929</v>
      </c>
      <c r="F969" s="1">
        <v>46174</v>
      </c>
      <c r="G969" t="s">
        <v>1219</v>
      </c>
      <c r="H969" t="s">
        <v>1210</v>
      </c>
      <c r="I969">
        <v>6.95</v>
      </c>
      <c r="J969">
        <v>66</v>
      </c>
      <c r="K969">
        <v>95</v>
      </c>
      <c r="L969" t="s">
        <v>1210</v>
      </c>
      <c r="M969">
        <v>3</v>
      </c>
    </row>
    <row r="970" spans="1:13" x14ac:dyDescent="0.45">
      <c r="A970" t="s">
        <v>1082</v>
      </c>
      <c r="B970" t="s">
        <v>1223</v>
      </c>
      <c r="C970" t="s">
        <v>1124</v>
      </c>
      <c r="D970" t="s">
        <v>77</v>
      </c>
      <c r="E970">
        <v>3116</v>
      </c>
      <c r="F970" s="1">
        <v>46176</v>
      </c>
      <c r="G970" t="s">
        <v>1219</v>
      </c>
      <c r="H970" t="s">
        <v>1210</v>
      </c>
      <c r="I970">
        <v>6.1</v>
      </c>
      <c r="J970">
        <v>137</v>
      </c>
      <c r="K970">
        <v>17</v>
      </c>
      <c r="L970" t="s">
        <v>1210</v>
      </c>
      <c r="M970">
        <v>1</v>
      </c>
    </row>
    <row r="971" spans="1:13" x14ac:dyDescent="0.45">
      <c r="A971" t="s">
        <v>1083</v>
      </c>
      <c r="B971" t="s">
        <v>1217</v>
      </c>
      <c r="C971" t="s">
        <v>1115</v>
      </c>
      <c r="D971" t="s">
        <v>85</v>
      </c>
      <c r="E971">
        <v>2716</v>
      </c>
      <c r="F971" s="1">
        <v>46175</v>
      </c>
      <c r="G971" t="s">
        <v>1219</v>
      </c>
      <c r="H971" t="s">
        <v>1210</v>
      </c>
      <c r="I971">
        <v>6.87</v>
      </c>
      <c r="J971">
        <v>101</v>
      </c>
      <c r="K971">
        <v>62</v>
      </c>
      <c r="L971" t="s">
        <v>1210</v>
      </c>
      <c r="M971">
        <v>2</v>
      </c>
    </row>
    <row r="972" spans="1:13" x14ac:dyDescent="0.45">
      <c r="A972" t="s">
        <v>1084</v>
      </c>
      <c r="B972" t="s">
        <v>1223</v>
      </c>
      <c r="C972" t="s">
        <v>1127</v>
      </c>
      <c r="D972" t="s">
        <v>12</v>
      </c>
      <c r="E972">
        <v>1010</v>
      </c>
      <c r="F972" s="1">
        <v>46174</v>
      </c>
      <c r="G972" t="s">
        <v>1219</v>
      </c>
      <c r="H972" t="s">
        <v>1210</v>
      </c>
      <c r="J972">
        <v>69</v>
      </c>
      <c r="K972">
        <v>291</v>
      </c>
      <c r="L972" t="s">
        <v>1210</v>
      </c>
      <c r="M972">
        <v>3</v>
      </c>
    </row>
    <row r="973" spans="1:13" x14ac:dyDescent="0.45">
      <c r="A973" t="s">
        <v>1085</v>
      </c>
      <c r="B973" t="s">
        <v>1217</v>
      </c>
      <c r="C973" t="s">
        <v>1114</v>
      </c>
      <c r="D973" t="s">
        <v>1132</v>
      </c>
      <c r="E973">
        <v>1375</v>
      </c>
      <c r="F973" s="1">
        <v>46176</v>
      </c>
      <c r="G973" t="s">
        <v>1219</v>
      </c>
      <c r="H973" t="s">
        <v>1210</v>
      </c>
      <c r="I973">
        <v>15.52</v>
      </c>
      <c r="J973">
        <v>121</v>
      </c>
      <c r="K973">
        <v>517</v>
      </c>
      <c r="L973" t="s">
        <v>1210</v>
      </c>
      <c r="M973">
        <v>1</v>
      </c>
    </row>
    <row r="974" spans="1:13" x14ac:dyDescent="0.45">
      <c r="A974" t="s">
        <v>1086</v>
      </c>
      <c r="B974" t="s">
        <v>1223</v>
      </c>
      <c r="C974" t="s">
        <v>1117</v>
      </c>
      <c r="D974" t="s">
        <v>1135</v>
      </c>
      <c r="E974">
        <v>1689</v>
      </c>
      <c r="F974" s="1">
        <v>46176</v>
      </c>
      <c r="G974" t="s">
        <v>1219</v>
      </c>
      <c r="H974" t="s">
        <v>1210</v>
      </c>
      <c r="I974">
        <v>13.31</v>
      </c>
      <c r="J974">
        <v>89</v>
      </c>
      <c r="K974">
        <v>313</v>
      </c>
      <c r="L974" t="s">
        <v>1210</v>
      </c>
      <c r="M974">
        <v>1</v>
      </c>
    </row>
    <row r="975" spans="1:13" x14ac:dyDescent="0.45">
      <c r="A975" t="s">
        <v>1087</v>
      </c>
      <c r="B975" t="s">
        <v>1223</v>
      </c>
      <c r="C975" t="s">
        <v>1124</v>
      </c>
      <c r="D975" t="s">
        <v>25</v>
      </c>
      <c r="E975">
        <v>1948</v>
      </c>
      <c r="F975" s="1">
        <v>46176</v>
      </c>
      <c r="G975" t="s">
        <v>1219</v>
      </c>
      <c r="H975" t="s">
        <v>1210</v>
      </c>
      <c r="I975">
        <v>10.37</v>
      </c>
      <c r="J975">
        <v>100</v>
      </c>
      <c r="K975">
        <v>24</v>
      </c>
      <c r="L975" t="s">
        <v>1210</v>
      </c>
      <c r="M975">
        <v>1</v>
      </c>
    </row>
    <row r="976" spans="1:13" x14ac:dyDescent="0.45">
      <c r="A976" t="s">
        <v>1088</v>
      </c>
      <c r="B976" t="s">
        <v>1223</v>
      </c>
      <c r="C976" t="s">
        <v>1121</v>
      </c>
      <c r="D976" t="s">
        <v>62</v>
      </c>
      <c r="E976">
        <v>711</v>
      </c>
      <c r="F976" s="1">
        <v>46175</v>
      </c>
      <c r="G976" t="s">
        <v>1219</v>
      </c>
      <c r="H976" t="s">
        <v>1210</v>
      </c>
      <c r="I976">
        <v>12.39</v>
      </c>
      <c r="J976">
        <v>134</v>
      </c>
      <c r="K976">
        <v>446</v>
      </c>
      <c r="L976" t="s">
        <v>1210</v>
      </c>
      <c r="M976">
        <v>2</v>
      </c>
    </row>
    <row r="977" spans="1:13" x14ac:dyDescent="0.45">
      <c r="A977" t="s">
        <v>1089</v>
      </c>
      <c r="B977" t="s">
        <v>1217</v>
      </c>
      <c r="C977" t="s">
        <v>1116</v>
      </c>
      <c r="D977" t="s">
        <v>53</v>
      </c>
      <c r="E977">
        <v>2103</v>
      </c>
      <c r="F977" s="1">
        <v>46175</v>
      </c>
      <c r="G977" t="s">
        <v>1219</v>
      </c>
      <c r="H977" t="s">
        <v>1210</v>
      </c>
      <c r="I977">
        <v>10.029999999999999</v>
      </c>
      <c r="J977">
        <v>126</v>
      </c>
      <c r="K977">
        <v>17</v>
      </c>
      <c r="L977" t="s">
        <v>1210</v>
      </c>
      <c r="M977">
        <v>2</v>
      </c>
    </row>
    <row r="978" spans="1:13" x14ac:dyDescent="0.45">
      <c r="A978" t="s">
        <v>1090</v>
      </c>
      <c r="B978" t="s">
        <v>1223</v>
      </c>
      <c r="C978" t="s">
        <v>1122</v>
      </c>
      <c r="D978" t="s">
        <v>39</v>
      </c>
      <c r="E978">
        <v>1331</v>
      </c>
      <c r="F978" s="1">
        <v>46176</v>
      </c>
      <c r="G978" t="s">
        <v>1219</v>
      </c>
      <c r="H978" t="s">
        <v>1210</v>
      </c>
      <c r="I978">
        <v>14.35</v>
      </c>
      <c r="J978">
        <v>70</v>
      </c>
      <c r="K978">
        <v>240</v>
      </c>
      <c r="L978" t="s">
        <v>1210</v>
      </c>
      <c r="M978">
        <v>1</v>
      </c>
    </row>
    <row r="979" spans="1:13" x14ac:dyDescent="0.45">
      <c r="A979" t="s">
        <v>1091</v>
      </c>
      <c r="B979" t="s">
        <v>1223</v>
      </c>
      <c r="C979" t="s">
        <v>1122</v>
      </c>
      <c r="D979" t="s">
        <v>45</v>
      </c>
      <c r="E979">
        <v>1097</v>
      </c>
      <c r="F979" s="1">
        <v>46176</v>
      </c>
      <c r="G979" t="s">
        <v>1221</v>
      </c>
      <c r="H979" t="s">
        <v>1210</v>
      </c>
      <c r="I979">
        <v>17.47</v>
      </c>
      <c r="J979">
        <v>65</v>
      </c>
      <c r="K979">
        <v>216</v>
      </c>
      <c r="L979" t="s">
        <v>1210</v>
      </c>
      <c r="M979">
        <v>1</v>
      </c>
    </row>
    <row r="980" spans="1:13" x14ac:dyDescent="0.45">
      <c r="A980" t="s">
        <v>1092</v>
      </c>
      <c r="B980" t="s">
        <v>1223</v>
      </c>
      <c r="C980" t="s">
        <v>1127</v>
      </c>
      <c r="D980" t="s">
        <v>1136</v>
      </c>
      <c r="E980">
        <v>1121</v>
      </c>
      <c r="F980" s="1">
        <v>46174</v>
      </c>
      <c r="G980" t="s">
        <v>1219</v>
      </c>
      <c r="H980" t="s">
        <v>1210</v>
      </c>
      <c r="I980">
        <v>11.98</v>
      </c>
      <c r="J980">
        <v>86</v>
      </c>
      <c r="K980">
        <v>123</v>
      </c>
      <c r="L980" t="s">
        <v>1210</v>
      </c>
      <c r="M980">
        <v>3</v>
      </c>
    </row>
    <row r="981" spans="1:13" x14ac:dyDescent="0.45">
      <c r="A981" t="s">
        <v>1093</v>
      </c>
      <c r="B981" t="s">
        <v>1225</v>
      </c>
      <c r="C981" t="s">
        <v>1125</v>
      </c>
      <c r="D981" t="s">
        <v>32</v>
      </c>
      <c r="E981">
        <v>914</v>
      </c>
      <c r="F981" s="1">
        <v>46168</v>
      </c>
      <c r="G981" t="s">
        <v>1219</v>
      </c>
      <c r="H981" t="s">
        <v>1210</v>
      </c>
      <c r="I981">
        <v>11.45</v>
      </c>
      <c r="J981">
        <v>93</v>
      </c>
      <c r="K981">
        <v>16</v>
      </c>
      <c r="L981" t="s">
        <v>1210</v>
      </c>
      <c r="M981">
        <v>9</v>
      </c>
    </row>
    <row r="982" spans="1:13" x14ac:dyDescent="0.45">
      <c r="A982" t="s">
        <v>1094</v>
      </c>
      <c r="B982" t="s">
        <v>1225</v>
      </c>
      <c r="C982" t="s">
        <v>1119</v>
      </c>
      <c r="D982" t="s">
        <v>42</v>
      </c>
      <c r="E982">
        <v>3029</v>
      </c>
      <c r="F982" s="1">
        <v>46176</v>
      </c>
      <c r="G982" t="s">
        <v>1219</v>
      </c>
      <c r="H982" t="s">
        <v>1210</v>
      </c>
      <c r="I982">
        <v>7.45</v>
      </c>
      <c r="J982">
        <v>147</v>
      </c>
      <c r="K982">
        <v>28</v>
      </c>
      <c r="L982" t="s">
        <v>1210</v>
      </c>
      <c r="M982">
        <v>1</v>
      </c>
    </row>
    <row r="983" spans="1:13" x14ac:dyDescent="0.45">
      <c r="A983" t="s">
        <v>1095</v>
      </c>
      <c r="B983" t="s">
        <v>1217</v>
      </c>
      <c r="C983" t="s">
        <v>1114</v>
      </c>
      <c r="D983" t="s">
        <v>50</v>
      </c>
      <c r="E983">
        <v>2190</v>
      </c>
      <c r="F983" s="1">
        <v>46163</v>
      </c>
      <c r="G983" t="s">
        <v>1219</v>
      </c>
      <c r="H983" t="s">
        <v>1210</v>
      </c>
      <c r="I983">
        <v>9.02</v>
      </c>
      <c r="J983">
        <v>114</v>
      </c>
      <c r="K983">
        <v>18</v>
      </c>
      <c r="L983" t="s">
        <v>1210</v>
      </c>
      <c r="M983">
        <v>14</v>
      </c>
    </row>
    <row r="984" spans="1:13" x14ac:dyDescent="0.45">
      <c r="A984" t="s">
        <v>1096</v>
      </c>
      <c r="B984" t="s">
        <v>1225</v>
      </c>
      <c r="C984" t="s">
        <v>1118</v>
      </c>
      <c r="D984" t="s">
        <v>88</v>
      </c>
      <c r="E984">
        <v>1727</v>
      </c>
      <c r="F984" s="1">
        <v>46172</v>
      </c>
      <c r="G984" t="s">
        <v>1219</v>
      </c>
      <c r="H984" t="s">
        <v>1210</v>
      </c>
      <c r="I984">
        <v>11.02</v>
      </c>
      <c r="J984">
        <v>69</v>
      </c>
      <c r="K984">
        <v>86</v>
      </c>
      <c r="L984" t="s">
        <v>1210</v>
      </c>
      <c r="M984">
        <v>5</v>
      </c>
    </row>
    <row r="985" spans="1:13" x14ac:dyDescent="0.45">
      <c r="A985" t="s">
        <v>1097</v>
      </c>
      <c r="B985" t="s">
        <v>1223</v>
      </c>
      <c r="C985" t="s">
        <v>1124</v>
      </c>
      <c r="D985" t="s">
        <v>36</v>
      </c>
      <c r="E985">
        <v>2602</v>
      </c>
      <c r="F985" s="1">
        <v>46174</v>
      </c>
      <c r="G985" t="s">
        <v>1219</v>
      </c>
      <c r="H985" t="s">
        <v>1210</v>
      </c>
      <c r="I985">
        <v>7.51</v>
      </c>
      <c r="J985">
        <v>83</v>
      </c>
      <c r="K985">
        <v>18</v>
      </c>
      <c r="L985" t="s">
        <v>1210</v>
      </c>
      <c r="M985">
        <v>3</v>
      </c>
    </row>
    <row r="986" spans="1:13" x14ac:dyDescent="0.45">
      <c r="A986" t="s">
        <v>1098</v>
      </c>
      <c r="B986" t="s">
        <v>1223</v>
      </c>
      <c r="C986" t="s">
        <v>1121</v>
      </c>
      <c r="D986" t="s">
        <v>40</v>
      </c>
      <c r="E986">
        <v>1250</v>
      </c>
      <c r="F986" s="1">
        <v>46175</v>
      </c>
      <c r="G986" t="s">
        <v>1219</v>
      </c>
      <c r="H986" t="s">
        <v>1210</v>
      </c>
      <c r="I986">
        <v>15.1</v>
      </c>
      <c r="J986">
        <v>74</v>
      </c>
      <c r="K986">
        <v>443</v>
      </c>
      <c r="L986" t="s">
        <v>1210</v>
      </c>
      <c r="M986">
        <v>2</v>
      </c>
    </row>
    <row r="987" spans="1:13" x14ac:dyDescent="0.45">
      <c r="A987" t="s">
        <v>1099</v>
      </c>
      <c r="B987" t="s">
        <v>1217</v>
      </c>
      <c r="C987" t="s">
        <v>1116</v>
      </c>
      <c r="D987" t="s">
        <v>27</v>
      </c>
      <c r="E987">
        <v>1598</v>
      </c>
      <c r="F987" s="1">
        <v>46175</v>
      </c>
      <c r="G987" t="s">
        <v>1219</v>
      </c>
      <c r="H987" t="s">
        <v>1210</v>
      </c>
      <c r="I987">
        <v>4.37</v>
      </c>
      <c r="J987">
        <v>58</v>
      </c>
      <c r="K987">
        <v>92</v>
      </c>
      <c r="L987" t="s">
        <v>1210</v>
      </c>
      <c r="M987">
        <v>2</v>
      </c>
    </row>
    <row r="988" spans="1:13" x14ac:dyDescent="0.45">
      <c r="A988" t="s">
        <v>1100</v>
      </c>
      <c r="B988" t="s">
        <v>1225</v>
      </c>
      <c r="C988" t="s">
        <v>1118</v>
      </c>
      <c r="D988" t="s">
        <v>62</v>
      </c>
      <c r="E988">
        <v>1543</v>
      </c>
      <c r="F988" s="1">
        <v>46175</v>
      </c>
      <c r="G988" t="s">
        <v>1219</v>
      </c>
      <c r="H988" t="s">
        <v>1210</v>
      </c>
      <c r="I988">
        <v>12.39</v>
      </c>
      <c r="J988">
        <v>134</v>
      </c>
      <c r="K988">
        <v>446</v>
      </c>
      <c r="L988" t="s">
        <v>1210</v>
      </c>
      <c r="M988">
        <v>2</v>
      </c>
    </row>
    <row r="989" spans="1:13" x14ac:dyDescent="0.45">
      <c r="A989" t="s">
        <v>1101</v>
      </c>
      <c r="B989" t="s">
        <v>1223</v>
      </c>
      <c r="C989" t="s">
        <v>1124</v>
      </c>
      <c r="D989" t="s">
        <v>24</v>
      </c>
      <c r="E989">
        <v>816</v>
      </c>
      <c r="F989" s="1">
        <v>46176</v>
      </c>
      <c r="G989" t="s">
        <v>1219</v>
      </c>
      <c r="H989" t="s">
        <v>1210</v>
      </c>
      <c r="I989">
        <v>6.95</v>
      </c>
      <c r="J989">
        <v>66</v>
      </c>
      <c r="K989">
        <v>95</v>
      </c>
      <c r="L989" t="s">
        <v>1210</v>
      </c>
      <c r="M989">
        <v>1</v>
      </c>
    </row>
    <row r="990" spans="1:13" x14ac:dyDescent="0.45">
      <c r="A990" t="s">
        <v>1102</v>
      </c>
      <c r="B990" t="s">
        <v>1225</v>
      </c>
      <c r="C990" t="s">
        <v>1128</v>
      </c>
      <c r="D990" t="s">
        <v>32</v>
      </c>
      <c r="E990">
        <v>537</v>
      </c>
      <c r="F990" s="1">
        <v>46176</v>
      </c>
      <c r="G990" t="s">
        <v>1219</v>
      </c>
      <c r="H990" t="s">
        <v>1210</v>
      </c>
      <c r="I990">
        <v>11.45</v>
      </c>
      <c r="J990">
        <v>93</v>
      </c>
      <c r="K990">
        <v>16</v>
      </c>
      <c r="L990" t="s">
        <v>1210</v>
      </c>
      <c r="M990">
        <v>1</v>
      </c>
    </row>
    <row r="991" spans="1:13" x14ac:dyDescent="0.45">
      <c r="A991" t="s">
        <v>1103</v>
      </c>
      <c r="B991" t="s">
        <v>1223</v>
      </c>
      <c r="C991" t="s">
        <v>1127</v>
      </c>
      <c r="D991" t="s">
        <v>106</v>
      </c>
      <c r="E991">
        <v>1297</v>
      </c>
      <c r="F991" s="1">
        <v>46175</v>
      </c>
      <c r="G991" t="s">
        <v>1219</v>
      </c>
      <c r="H991" t="s">
        <v>1210</v>
      </c>
      <c r="I991">
        <v>4.24</v>
      </c>
      <c r="J991">
        <v>41</v>
      </c>
      <c r="K991">
        <v>111</v>
      </c>
      <c r="L991" t="s">
        <v>1210</v>
      </c>
      <c r="M991">
        <v>2</v>
      </c>
    </row>
    <row r="992" spans="1:13" x14ac:dyDescent="0.45">
      <c r="A992" t="s">
        <v>1104</v>
      </c>
      <c r="B992" t="s">
        <v>1225</v>
      </c>
      <c r="C992" t="s">
        <v>1125</v>
      </c>
      <c r="D992" t="s">
        <v>42</v>
      </c>
      <c r="E992">
        <v>3066</v>
      </c>
      <c r="F992" s="1">
        <v>46173</v>
      </c>
      <c r="G992" t="s">
        <v>1219</v>
      </c>
      <c r="H992" t="s">
        <v>1210</v>
      </c>
      <c r="I992">
        <v>7.45</v>
      </c>
      <c r="J992">
        <v>147</v>
      </c>
      <c r="K992">
        <v>28</v>
      </c>
      <c r="L992" t="s">
        <v>1210</v>
      </c>
      <c r="M992">
        <v>4</v>
      </c>
    </row>
    <row r="993" spans="1:13" x14ac:dyDescent="0.45">
      <c r="A993" t="s">
        <v>1105</v>
      </c>
      <c r="B993" t="s">
        <v>1217</v>
      </c>
      <c r="C993" t="s">
        <v>1120</v>
      </c>
      <c r="D993" t="s">
        <v>18</v>
      </c>
      <c r="E993">
        <v>626</v>
      </c>
      <c r="F993" s="1">
        <v>46175</v>
      </c>
      <c r="G993" t="s">
        <v>1219</v>
      </c>
      <c r="H993" t="s">
        <v>1210</v>
      </c>
      <c r="I993">
        <v>16.489999999999998</v>
      </c>
      <c r="J993">
        <v>102</v>
      </c>
      <c r="K993">
        <v>315</v>
      </c>
      <c r="L993" t="s">
        <v>1210</v>
      </c>
      <c r="M993">
        <v>2</v>
      </c>
    </row>
    <row r="994" spans="1:13" x14ac:dyDescent="0.45">
      <c r="A994" t="s">
        <v>1106</v>
      </c>
      <c r="B994" t="s">
        <v>1225</v>
      </c>
      <c r="C994" t="s">
        <v>1119</v>
      </c>
      <c r="D994" t="s">
        <v>45</v>
      </c>
      <c r="E994">
        <v>1318</v>
      </c>
      <c r="F994" s="1">
        <v>46176</v>
      </c>
      <c r="G994" t="s">
        <v>1219</v>
      </c>
      <c r="H994" t="s">
        <v>1210</v>
      </c>
      <c r="I994">
        <v>17.47</v>
      </c>
      <c r="J994">
        <v>65</v>
      </c>
      <c r="K994">
        <v>216</v>
      </c>
      <c r="L994" t="s">
        <v>1210</v>
      </c>
      <c r="M994">
        <v>1</v>
      </c>
    </row>
    <row r="995" spans="1:13" x14ac:dyDescent="0.45">
      <c r="A995" t="s">
        <v>1107</v>
      </c>
      <c r="B995" t="s">
        <v>1223</v>
      </c>
      <c r="C995" t="s">
        <v>1124</v>
      </c>
      <c r="D995" t="s">
        <v>1138</v>
      </c>
      <c r="E995">
        <v>1513</v>
      </c>
      <c r="F995" s="1">
        <v>46169</v>
      </c>
      <c r="G995" t="s">
        <v>1219</v>
      </c>
      <c r="H995" t="s">
        <v>1210</v>
      </c>
      <c r="I995">
        <v>3.92</v>
      </c>
      <c r="J995">
        <v>49</v>
      </c>
      <c r="K995">
        <v>98</v>
      </c>
      <c r="L995" t="s">
        <v>1210</v>
      </c>
      <c r="M995">
        <v>8</v>
      </c>
    </row>
    <row r="996" spans="1:13" x14ac:dyDescent="0.45">
      <c r="A996" t="s">
        <v>1108</v>
      </c>
      <c r="B996" t="s">
        <v>1225</v>
      </c>
      <c r="C996" t="s">
        <v>1128</v>
      </c>
      <c r="D996" t="s">
        <v>69</v>
      </c>
      <c r="E996">
        <v>413</v>
      </c>
      <c r="F996" s="1">
        <v>46175</v>
      </c>
      <c r="G996" t="s">
        <v>1219</v>
      </c>
      <c r="H996" t="s">
        <v>1210</v>
      </c>
      <c r="I996">
        <v>13.13</v>
      </c>
      <c r="J996">
        <v>82</v>
      </c>
      <c r="K996">
        <v>105</v>
      </c>
      <c r="L996" t="s">
        <v>1210</v>
      </c>
      <c r="M996">
        <v>2</v>
      </c>
    </row>
    <row r="997" spans="1:13" x14ac:dyDescent="0.45">
      <c r="A997" t="s">
        <v>1109</v>
      </c>
      <c r="B997" t="s">
        <v>1223</v>
      </c>
      <c r="C997" t="s">
        <v>1117</v>
      </c>
      <c r="D997" t="s">
        <v>13</v>
      </c>
      <c r="E997">
        <v>2568</v>
      </c>
      <c r="F997" s="1">
        <v>46175</v>
      </c>
      <c r="G997" t="s">
        <v>1219</v>
      </c>
      <c r="H997" t="s">
        <v>1210</v>
      </c>
      <c r="I997">
        <v>8.18</v>
      </c>
      <c r="J997">
        <v>90</v>
      </c>
      <c r="K997">
        <v>29</v>
      </c>
      <c r="L997" t="s">
        <v>1210</v>
      </c>
      <c r="M997">
        <v>2</v>
      </c>
    </row>
    <row r="998" spans="1:13" x14ac:dyDescent="0.45">
      <c r="A998" t="s">
        <v>1110</v>
      </c>
      <c r="B998" t="s">
        <v>1225</v>
      </c>
      <c r="C998" t="s">
        <v>1118</v>
      </c>
      <c r="D998" t="s">
        <v>103</v>
      </c>
      <c r="E998">
        <v>535</v>
      </c>
      <c r="F998" s="1">
        <v>46174</v>
      </c>
      <c r="G998" t="s">
        <v>1219</v>
      </c>
      <c r="H998" t="s">
        <v>1210</v>
      </c>
      <c r="I998">
        <v>16.66</v>
      </c>
      <c r="J998">
        <v>85</v>
      </c>
      <c r="K998">
        <v>333</v>
      </c>
      <c r="L998" t="s">
        <v>1210</v>
      </c>
      <c r="M998">
        <v>3</v>
      </c>
    </row>
    <row r="999" spans="1:13" x14ac:dyDescent="0.45">
      <c r="A999" t="s">
        <v>1111</v>
      </c>
      <c r="B999" t="s">
        <v>1225</v>
      </c>
      <c r="C999" t="s">
        <v>1118</v>
      </c>
      <c r="D999" t="s">
        <v>36</v>
      </c>
      <c r="E999">
        <v>2145</v>
      </c>
      <c r="F999" s="1">
        <v>46175</v>
      </c>
      <c r="G999" t="s">
        <v>1221</v>
      </c>
      <c r="H999" t="s">
        <v>1210</v>
      </c>
      <c r="I999">
        <v>7.51</v>
      </c>
      <c r="J999">
        <v>83</v>
      </c>
      <c r="K999">
        <v>18</v>
      </c>
      <c r="L999" t="s">
        <v>1210</v>
      </c>
      <c r="M999">
        <v>2</v>
      </c>
    </row>
    <row r="1000" spans="1:13" x14ac:dyDescent="0.45">
      <c r="A1000" t="s">
        <v>1112</v>
      </c>
      <c r="B1000" t="s">
        <v>1223</v>
      </c>
      <c r="C1000" t="s">
        <v>1121</v>
      </c>
      <c r="D1000" t="s">
        <v>7</v>
      </c>
      <c r="E1000">
        <v>2129</v>
      </c>
      <c r="F1000" s="1">
        <v>46176</v>
      </c>
      <c r="G1000" t="s">
        <v>1219</v>
      </c>
      <c r="H1000" t="s">
        <v>1210</v>
      </c>
      <c r="I1000">
        <v>9.56</v>
      </c>
      <c r="J1000">
        <v>136</v>
      </c>
      <c r="K1000">
        <v>345</v>
      </c>
      <c r="L1000" t="s">
        <v>1210</v>
      </c>
      <c r="M1000">
        <v>1</v>
      </c>
    </row>
    <row r="1001" spans="1:13" x14ac:dyDescent="0.45">
      <c r="A1001" t="s">
        <v>1113</v>
      </c>
      <c r="B1001" t="s">
        <v>1225</v>
      </c>
      <c r="C1001" t="s">
        <v>1118</v>
      </c>
      <c r="D1001" t="s">
        <v>95</v>
      </c>
      <c r="E1001">
        <v>1561</v>
      </c>
      <c r="F1001" s="1">
        <v>46175</v>
      </c>
      <c r="G1001" t="s">
        <v>1221</v>
      </c>
      <c r="H1001" t="s">
        <v>1210</v>
      </c>
      <c r="I1001">
        <v>14.82</v>
      </c>
      <c r="J1001">
        <v>132</v>
      </c>
      <c r="K1001">
        <v>373</v>
      </c>
      <c r="L1001" t="s">
        <v>1210</v>
      </c>
      <c r="M1001">
        <v>2</v>
      </c>
    </row>
    <row r="1002" spans="1:13" x14ac:dyDescent="0.45">
      <c r="A1002" t="s">
        <v>1241</v>
      </c>
      <c r="B1002" t="s">
        <v>1223</v>
      </c>
      <c r="C1002" t="s">
        <v>1124</v>
      </c>
      <c r="D1002" t="s">
        <v>47</v>
      </c>
      <c r="E1002">
        <v>1457</v>
      </c>
      <c r="F1002" s="1">
        <v>46176</v>
      </c>
      <c r="G1002" t="s">
        <v>1219</v>
      </c>
      <c r="H1002" t="s">
        <v>1210</v>
      </c>
      <c r="I1002">
        <v>15.14</v>
      </c>
      <c r="J1002">
        <v>117</v>
      </c>
      <c r="K1002">
        <v>484</v>
      </c>
      <c r="L1002" t="s">
        <v>1210</v>
      </c>
      <c r="M1002">
        <v>1</v>
      </c>
    </row>
    <row r="1003" spans="1:13" x14ac:dyDescent="0.45">
      <c r="A1003" t="s">
        <v>1242</v>
      </c>
      <c r="B1003" t="s">
        <v>1225</v>
      </c>
      <c r="C1003" t="s">
        <v>1123</v>
      </c>
      <c r="D1003" t="s">
        <v>100</v>
      </c>
      <c r="E1003">
        <v>2168</v>
      </c>
      <c r="F1003" s="1">
        <v>46176</v>
      </c>
      <c r="G1003" t="s">
        <v>1219</v>
      </c>
      <c r="H1003" t="s">
        <v>1210</v>
      </c>
      <c r="I1003">
        <v>9.7899999999999991</v>
      </c>
      <c r="J1003">
        <v>123</v>
      </c>
      <c r="K1003">
        <v>334</v>
      </c>
      <c r="L1003" t="s">
        <v>1210</v>
      </c>
      <c r="M1003">
        <v>1</v>
      </c>
    </row>
    <row r="1004" spans="1:13" x14ac:dyDescent="0.45">
      <c r="A1004" t="s">
        <v>1243</v>
      </c>
      <c r="B1004" t="s">
        <v>1225</v>
      </c>
      <c r="C1004" t="s">
        <v>1123</v>
      </c>
      <c r="D1004" t="s">
        <v>68</v>
      </c>
      <c r="E1004">
        <v>467</v>
      </c>
      <c r="F1004" s="1">
        <v>46176</v>
      </c>
      <c r="G1004" t="s">
        <v>1219</v>
      </c>
      <c r="H1004" t="s">
        <v>1210</v>
      </c>
      <c r="I1004">
        <v>17.18</v>
      </c>
      <c r="J1004">
        <v>81</v>
      </c>
      <c r="K1004">
        <v>293</v>
      </c>
      <c r="L1004" t="s">
        <v>1210</v>
      </c>
      <c r="M1004">
        <v>1</v>
      </c>
    </row>
    <row r="1005" spans="1:13" x14ac:dyDescent="0.45">
      <c r="A1005" t="s">
        <v>1244</v>
      </c>
      <c r="B1005" t="s">
        <v>1217</v>
      </c>
      <c r="C1005" t="s">
        <v>1126</v>
      </c>
      <c r="D1005" t="s">
        <v>87</v>
      </c>
      <c r="E1005">
        <v>1143</v>
      </c>
      <c r="F1005" s="1">
        <v>46176</v>
      </c>
      <c r="G1005" t="s">
        <v>1219</v>
      </c>
      <c r="H1005" t="s">
        <v>1210</v>
      </c>
      <c r="I1005">
        <v>17.28</v>
      </c>
      <c r="J1005">
        <v>97</v>
      </c>
      <c r="K1005">
        <v>271</v>
      </c>
      <c r="L1005" t="s">
        <v>1210</v>
      </c>
      <c r="M1005">
        <v>1</v>
      </c>
    </row>
    <row r="1006" spans="1:13" x14ac:dyDescent="0.45">
      <c r="A1006" t="s">
        <v>1245</v>
      </c>
      <c r="B1006" t="s">
        <v>1223</v>
      </c>
      <c r="C1006" t="s">
        <v>1117</v>
      </c>
      <c r="D1006" t="s">
        <v>28</v>
      </c>
      <c r="E1006">
        <v>2400</v>
      </c>
      <c r="F1006" s="1">
        <v>46175</v>
      </c>
      <c r="G1006" t="s">
        <v>1219</v>
      </c>
      <c r="H1006" t="s">
        <v>1210</v>
      </c>
      <c r="I1006">
        <v>8.94</v>
      </c>
      <c r="J1006">
        <v>100</v>
      </c>
      <c r="K1006">
        <v>17</v>
      </c>
      <c r="L1006" t="s">
        <v>1210</v>
      </c>
      <c r="M1006">
        <v>2</v>
      </c>
    </row>
    <row r="1007" spans="1:13" x14ac:dyDescent="0.45">
      <c r="A1007" t="s">
        <v>1246</v>
      </c>
      <c r="B1007" t="s">
        <v>1225</v>
      </c>
      <c r="C1007" t="s">
        <v>1125</v>
      </c>
      <c r="D1007" t="s">
        <v>1140</v>
      </c>
      <c r="E1007">
        <v>680</v>
      </c>
      <c r="F1007" s="1">
        <v>46176</v>
      </c>
      <c r="G1007" t="s">
        <v>1219</v>
      </c>
      <c r="H1007" t="s">
        <v>1210</v>
      </c>
      <c r="I1007">
        <v>11.43</v>
      </c>
      <c r="J1007">
        <v>128</v>
      </c>
      <c r="K1007">
        <v>530</v>
      </c>
      <c r="L1007" t="s">
        <v>1210</v>
      </c>
      <c r="M1007">
        <v>1</v>
      </c>
    </row>
    <row r="1008" spans="1:13" x14ac:dyDescent="0.45">
      <c r="A1008" t="s">
        <v>1247</v>
      </c>
      <c r="B1008" t="s">
        <v>1217</v>
      </c>
      <c r="C1008" t="s">
        <v>1126</v>
      </c>
      <c r="D1008" t="s">
        <v>36</v>
      </c>
      <c r="E1008">
        <v>2211</v>
      </c>
      <c r="F1008" s="1">
        <v>46176</v>
      </c>
      <c r="G1008" t="s">
        <v>1219</v>
      </c>
      <c r="H1008" t="s">
        <v>1210</v>
      </c>
      <c r="I1008">
        <v>7.51</v>
      </c>
      <c r="J1008">
        <v>83</v>
      </c>
      <c r="K1008">
        <v>18</v>
      </c>
      <c r="L1008" t="s">
        <v>1210</v>
      </c>
      <c r="M1008">
        <v>1</v>
      </c>
    </row>
    <row r="1009" spans="1:13" x14ac:dyDescent="0.45">
      <c r="A1009" t="s">
        <v>1248</v>
      </c>
      <c r="B1009" t="s">
        <v>1225</v>
      </c>
      <c r="C1009" t="s">
        <v>1123</v>
      </c>
      <c r="D1009" t="s">
        <v>64</v>
      </c>
      <c r="E1009">
        <v>909</v>
      </c>
      <c r="F1009" s="1">
        <v>46176</v>
      </c>
      <c r="G1009" t="s">
        <v>1219</v>
      </c>
      <c r="H1009" t="s">
        <v>1210</v>
      </c>
      <c r="J1009">
        <v>49</v>
      </c>
      <c r="K1009">
        <v>104</v>
      </c>
      <c r="L1009" t="s">
        <v>1210</v>
      </c>
      <c r="M1009">
        <v>1</v>
      </c>
    </row>
    <row r="1010" spans="1:13" x14ac:dyDescent="0.45">
      <c r="A1010" t="s">
        <v>1249</v>
      </c>
      <c r="B1010" t="s">
        <v>1223</v>
      </c>
      <c r="C1010" t="s">
        <v>1127</v>
      </c>
      <c r="D1010" t="s">
        <v>50</v>
      </c>
      <c r="E1010">
        <v>2171</v>
      </c>
      <c r="F1010" s="1">
        <v>46175</v>
      </c>
      <c r="G1010" t="s">
        <v>1219</v>
      </c>
      <c r="H1010" t="s">
        <v>1210</v>
      </c>
      <c r="I1010">
        <v>9.02</v>
      </c>
      <c r="J1010">
        <v>114</v>
      </c>
      <c r="K1010">
        <v>18</v>
      </c>
      <c r="L1010" t="s">
        <v>1210</v>
      </c>
      <c r="M1010">
        <v>2</v>
      </c>
    </row>
    <row r="1011" spans="1:13" x14ac:dyDescent="0.45">
      <c r="A1011" t="s">
        <v>1250</v>
      </c>
      <c r="B1011" t="s">
        <v>1223</v>
      </c>
      <c r="C1011" t="s">
        <v>1127</v>
      </c>
      <c r="D1011" t="s">
        <v>1138</v>
      </c>
      <c r="E1011">
        <v>573</v>
      </c>
      <c r="F1011" s="1">
        <v>46176</v>
      </c>
      <c r="G1011" t="s">
        <v>1219</v>
      </c>
      <c r="H1011" t="s">
        <v>1210</v>
      </c>
      <c r="I1011">
        <v>3.92</v>
      </c>
      <c r="J1011">
        <v>49</v>
      </c>
      <c r="K1011">
        <v>98</v>
      </c>
      <c r="L1011" t="s">
        <v>1210</v>
      </c>
      <c r="M1011">
        <v>1</v>
      </c>
    </row>
    <row r="1012" spans="1:13" x14ac:dyDescent="0.45">
      <c r="A1012" t="s">
        <v>1251</v>
      </c>
      <c r="B1012" t="s">
        <v>1217</v>
      </c>
      <c r="C1012" t="s">
        <v>1114</v>
      </c>
      <c r="D1012" t="s">
        <v>25</v>
      </c>
      <c r="E1012">
        <v>2052</v>
      </c>
      <c r="F1012" s="1">
        <v>46175</v>
      </c>
      <c r="G1012" t="s">
        <v>1219</v>
      </c>
      <c r="H1012" t="s">
        <v>1210</v>
      </c>
      <c r="I1012">
        <v>10.37</v>
      </c>
      <c r="J1012">
        <v>100</v>
      </c>
      <c r="K1012">
        <v>24</v>
      </c>
      <c r="L1012" t="s">
        <v>1210</v>
      </c>
      <c r="M1012">
        <v>2</v>
      </c>
    </row>
    <row r="1013" spans="1:13" x14ac:dyDescent="0.45">
      <c r="A1013" t="s">
        <v>1252</v>
      </c>
      <c r="B1013" t="s">
        <v>1225</v>
      </c>
      <c r="C1013" t="s">
        <v>1123</v>
      </c>
      <c r="D1013" t="s">
        <v>5</v>
      </c>
      <c r="E1013">
        <v>2068</v>
      </c>
      <c r="F1013" s="1">
        <v>46176</v>
      </c>
      <c r="G1013" t="s">
        <v>1219</v>
      </c>
      <c r="H1013" t="s">
        <v>1210</v>
      </c>
      <c r="I1013">
        <v>10.6</v>
      </c>
      <c r="J1013">
        <v>96</v>
      </c>
      <c r="K1013">
        <v>445</v>
      </c>
      <c r="L1013" t="s">
        <v>1210</v>
      </c>
      <c r="M1013">
        <v>1</v>
      </c>
    </row>
    <row r="1014" spans="1:13" x14ac:dyDescent="0.45">
      <c r="A1014" t="s">
        <v>1253</v>
      </c>
      <c r="B1014" t="s">
        <v>1217</v>
      </c>
      <c r="C1014" t="s">
        <v>1114</v>
      </c>
      <c r="D1014" t="s">
        <v>85</v>
      </c>
      <c r="E1014">
        <v>3135</v>
      </c>
      <c r="F1014" s="1">
        <v>46173</v>
      </c>
      <c r="G1014" t="s">
        <v>1219</v>
      </c>
      <c r="H1014" t="s">
        <v>1210</v>
      </c>
      <c r="I1014">
        <v>6.87</v>
      </c>
      <c r="J1014">
        <v>101</v>
      </c>
      <c r="K1014">
        <v>62</v>
      </c>
      <c r="L1014" t="s">
        <v>1210</v>
      </c>
      <c r="M1014">
        <v>4</v>
      </c>
    </row>
    <row r="1015" spans="1:13" x14ac:dyDescent="0.45">
      <c r="A1015" t="s">
        <v>1254</v>
      </c>
      <c r="B1015" t="s">
        <v>1223</v>
      </c>
      <c r="C1015" t="s">
        <v>1117</v>
      </c>
      <c r="D1015" t="s">
        <v>23</v>
      </c>
      <c r="E1015">
        <v>1063</v>
      </c>
      <c r="F1015" s="1">
        <v>46176</v>
      </c>
      <c r="G1015" t="s">
        <v>1219</v>
      </c>
      <c r="H1015" t="s">
        <v>1210</v>
      </c>
      <c r="I1015">
        <v>7.71</v>
      </c>
      <c r="J1015">
        <v>101</v>
      </c>
      <c r="K1015">
        <v>23</v>
      </c>
      <c r="L1015" t="s">
        <v>1210</v>
      </c>
      <c r="M1015">
        <v>1</v>
      </c>
    </row>
    <row r="1016" spans="1:13" x14ac:dyDescent="0.45">
      <c r="A1016" t="s">
        <v>1255</v>
      </c>
      <c r="B1016" t="s">
        <v>1217</v>
      </c>
      <c r="C1016" t="s">
        <v>1120</v>
      </c>
      <c r="D1016" t="s">
        <v>15</v>
      </c>
      <c r="E1016">
        <v>1290</v>
      </c>
      <c r="F1016" s="1">
        <v>46175</v>
      </c>
      <c r="G1016" t="s">
        <v>1219</v>
      </c>
      <c r="H1016" t="s">
        <v>1210</v>
      </c>
      <c r="I1016">
        <v>5.53</v>
      </c>
      <c r="J1016">
        <v>42</v>
      </c>
      <c r="K1016">
        <v>114</v>
      </c>
      <c r="L1016" t="s">
        <v>1210</v>
      </c>
      <c r="M1016">
        <v>2</v>
      </c>
    </row>
    <row r="1017" spans="1:13" x14ac:dyDescent="0.45">
      <c r="A1017" t="s">
        <v>1256</v>
      </c>
      <c r="B1017" t="s">
        <v>1217</v>
      </c>
      <c r="C1017" t="s">
        <v>1120</v>
      </c>
      <c r="D1017" t="s">
        <v>1130</v>
      </c>
      <c r="E1017">
        <v>1042</v>
      </c>
      <c r="F1017" s="1">
        <v>46176</v>
      </c>
      <c r="G1017" t="s">
        <v>1219</v>
      </c>
      <c r="H1017" t="s">
        <v>1210</v>
      </c>
      <c r="I1017">
        <v>12.51</v>
      </c>
      <c r="J1017">
        <v>73</v>
      </c>
      <c r="K1017">
        <v>75</v>
      </c>
      <c r="L1017" t="s">
        <v>1210</v>
      </c>
      <c r="M1017">
        <v>1</v>
      </c>
    </row>
    <row r="1018" spans="1:13" x14ac:dyDescent="0.45">
      <c r="A1018" t="s">
        <v>1257</v>
      </c>
      <c r="B1018" t="s">
        <v>1223</v>
      </c>
      <c r="C1018" t="s">
        <v>1122</v>
      </c>
      <c r="D1018" t="s">
        <v>76</v>
      </c>
      <c r="E1018">
        <v>696</v>
      </c>
      <c r="F1018" s="1">
        <v>46176</v>
      </c>
      <c r="G1018" t="s">
        <v>1219</v>
      </c>
      <c r="H1018" t="s">
        <v>1210</v>
      </c>
      <c r="I1018">
        <v>5.09</v>
      </c>
      <c r="J1018">
        <v>40</v>
      </c>
      <c r="K1018">
        <v>90</v>
      </c>
      <c r="L1018" t="s">
        <v>1210</v>
      </c>
      <c r="M1018">
        <v>1</v>
      </c>
    </row>
    <row r="1019" spans="1:13" x14ac:dyDescent="0.45">
      <c r="A1019" t="s">
        <v>1258</v>
      </c>
      <c r="B1019" t="s">
        <v>1225</v>
      </c>
      <c r="C1019" t="s">
        <v>1123</v>
      </c>
      <c r="D1019" t="s">
        <v>42</v>
      </c>
      <c r="E1019">
        <v>2635</v>
      </c>
      <c r="F1019" s="1">
        <v>46176</v>
      </c>
      <c r="G1019" t="s">
        <v>1219</v>
      </c>
      <c r="H1019" t="s">
        <v>1210</v>
      </c>
      <c r="I1019">
        <v>7.45</v>
      </c>
      <c r="J1019">
        <v>147</v>
      </c>
      <c r="K1019">
        <v>28</v>
      </c>
      <c r="L1019" t="s">
        <v>1210</v>
      </c>
      <c r="M1019">
        <v>1</v>
      </c>
    </row>
    <row r="1020" spans="1:13" x14ac:dyDescent="0.45">
      <c r="A1020" t="s">
        <v>1259</v>
      </c>
      <c r="B1020" t="s">
        <v>1217</v>
      </c>
      <c r="C1020" t="s">
        <v>1126</v>
      </c>
      <c r="D1020" t="s">
        <v>64</v>
      </c>
      <c r="E1020">
        <v>2538</v>
      </c>
      <c r="F1020" s="1">
        <v>46176</v>
      </c>
      <c r="G1020" t="s">
        <v>1219</v>
      </c>
      <c r="H1020" t="s">
        <v>1210</v>
      </c>
      <c r="J1020">
        <v>49</v>
      </c>
      <c r="K1020">
        <v>104</v>
      </c>
      <c r="L1020" t="s">
        <v>1210</v>
      </c>
      <c r="M1020">
        <v>1</v>
      </c>
    </row>
    <row r="1021" spans="1:13" x14ac:dyDescent="0.45">
      <c r="A1021" t="s">
        <v>1260</v>
      </c>
      <c r="B1021" t="s">
        <v>1225</v>
      </c>
      <c r="C1021" t="s">
        <v>1119</v>
      </c>
      <c r="D1021" t="s">
        <v>25</v>
      </c>
      <c r="E1021">
        <v>561</v>
      </c>
      <c r="F1021" s="1">
        <v>46176</v>
      </c>
      <c r="G1021" t="s">
        <v>1219</v>
      </c>
      <c r="H1021" t="s">
        <v>1210</v>
      </c>
      <c r="I1021">
        <v>10.37</v>
      </c>
      <c r="J1021">
        <v>100</v>
      </c>
      <c r="K1021">
        <v>24</v>
      </c>
      <c r="L1021" t="s">
        <v>1210</v>
      </c>
      <c r="M1021">
        <v>1</v>
      </c>
    </row>
    <row r="1022" spans="1:13" x14ac:dyDescent="0.45">
      <c r="A1022" t="s">
        <v>1261</v>
      </c>
      <c r="B1022" t="s">
        <v>1225</v>
      </c>
      <c r="C1022" t="s">
        <v>1118</v>
      </c>
      <c r="D1022" t="s">
        <v>84</v>
      </c>
      <c r="E1022">
        <v>2055</v>
      </c>
      <c r="F1022" s="1">
        <v>46173</v>
      </c>
      <c r="G1022" t="s">
        <v>1219</v>
      </c>
      <c r="H1022" t="s">
        <v>1210</v>
      </c>
      <c r="I1022">
        <v>9.8699999999999992</v>
      </c>
      <c r="J1022">
        <v>88</v>
      </c>
      <c r="K1022">
        <v>25</v>
      </c>
      <c r="L1022" t="s">
        <v>1210</v>
      </c>
      <c r="M1022">
        <v>4</v>
      </c>
    </row>
    <row r="1023" spans="1:13" x14ac:dyDescent="0.45">
      <c r="A1023" t="s">
        <v>1262</v>
      </c>
      <c r="B1023" t="s">
        <v>1225</v>
      </c>
      <c r="C1023" t="s">
        <v>1128</v>
      </c>
      <c r="D1023" t="s">
        <v>27</v>
      </c>
      <c r="E1023">
        <v>1588</v>
      </c>
      <c r="F1023" s="1">
        <v>46175</v>
      </c>
      <c r="G1023" t="s">
        <v>1219</v>
      </c>
      <c r="H1023" t="s">
        <v>1210</v>
      </c>
      <c r="I1023">
        <v>4.37</v>
      </c>
      <c r="J1023">
        <v>58</v>
      </c>
      <c r="K1023">
        <v>92</v>
      </c>
      <c r="L1023" t="s">
        <v>1210</v>
      </c>
      <c r="M1023">
        <v>2</v>
      </c>
    </row>
    <row r="1024" spans="1:13" x14ac:dyDescent="0.45">
      <c r="A1024" t="s">
        <v>1263</v>
      </c>
      <c r="B1024" t="s">
        <v>1217</v>
      </c>
      <c r="C1024" t="s">
        <v>1126</v>
      </c>
      <c r="D1024" t="s">
        <v>48</v>
      </c>
      <c r="E1024">
        <v>640</v>
      </c>
      <c r="F1024" s="1">
        <v>46176</v>
      </c>
      <c r="G1024" t="s">
        <v>1219</v>
      </c>
      <c r="H1024" t="s">
        <v>1210</v>
      </c>
      <c r="I1024">
        <v>5.49</v>
      </c>
      <c r="J1024">
        <v>62</v>
      </c>
      <c r="K1024">
        <v>91</v>
      </c>
      <c r="L1024" t="s">
        <v>1210</v>
      </c>
      <c r="M1024">
        <v>1</v>
      </c>
    </row>
    <row r="1025" spans="1:13" x14ac:dyDescent="0.45">
      <c r="A1025" t="s">
        <v>1264</v>
      </c>
      <c r="B1025" t="s">
        <v>1225</v>
      </c>
      <c r="C1025" t="s">
        <v>1123</v>
      </c>
      <c r="D1025" t="s">
        <v>1129</v>
      </c>
      <c r="E1025">
        <v>2743</v>
      </c>
      <c r="F1025" s="1">
        <v>46176</v>
      </c>
      <c r="G1025" t="s">
        <v>1219</v>
      </c>
      <c r="H1025" t="s">
        <v>1210</v>
      </c>
      <c r="I1025">
        <v>3.43</v>
      </c>
      <c r="J1025">
        <v>88</v>
      </c>
      <c r="K1025">
        <v>109</v>
      </c>
      <c r="L1025" t="s">
        <v>1210</v>
      </c>
      <c r="M1025">
        <v>1</v>
      </c>
    </row>
    <row r="1026" spans="1:13" x14ac:dyDescent="0.45">
      <c r="A1026" t="s">
        <v>1265</v>
      </c>
      <c r="B1026" t="s">
        <v>1217</v>
      </c>
      <c r="C1026" t="s">
        <v>1115</v>
      </c>
      <c r="D1026" t="s">
        <v>88</v>
      </c>
      <c r="E1026">
        <v>1979</v>
      </c>
      <c r="F1026" s="1">
        <v>46176</v>
      </c>
      <c r="G1026" t="s">
        <v>1219</v>
      </c>
      <c r="H1026" t="s">
        <v>1210</v>
      </c>
      <c r="I1026">
        <v>11.02</v>
      </c>
      <c r="J1026">
        <v>69</v>
      </c>
      <c r="K1026">
        <v>86</v>
      </c>
      <c r="L1026" t="s">
        <v>1210</v>
      </c>
      <c r="M1026">
        <v>1</v>
      </c>
    </row>
    <row r="1027" spans="1:13" x14ac:dyDescent="0.45">
      <c r="A1027" t="s">
        <v>1266</v>
      </c>
      <c r="B1027" t="s">
        <v>1217</v>
      </c>
      <c r="C1027" t="s">
        <v>1126</v>
      </c>
      <c r="D1027" t="s">
        <v>47</v>
      </c>
      <c r="E1027">
        <v>899</v>
      </c>
      <c r="F1027" s="1">
        <v>46176</v>
      </c>
      <c r="G1027" t="s">
        <v>1219</v>
      </c>
      <c r="H1027" t="s">
        <v>1210</v>
      </c>
      <c r="I1027">
        <v>15.14</v>
      </c>
      <c r="J1027">
        <v>117</v>
      </c>
      <c r="K1027">
        <v>484</v>
      </c>
      <c r="L1027" t="s">
        <v>1210</v>
      </c>
      <c r="M1027">
        <v>1</v>
      </c>
    </row>
    <row r="1028" spans="1:13" x14ac:dyDescent="0.45">
      <c r="A1028" t="s">
        <v>1267</v>
      </c>
      <c r="B1028" t="s">
        <v>1223</v>
      </c>
      <c r="C1028" t="s">
        <v>1124</v>
      </c>
      <c r="D1028" t="s">
        <v>101</v>
      </c>
      <c r="E1028">
        <v>1910</v>
      </c>
      <c r="F1028" s="1">
        <v>46176</v>
      </c>
      <c r="G1028" t="s">
        <v>1219</v>
      </c>
      <c r="H1028" t="s">
        <v>1210</v>
      </c>
      <c r="I1028">
        <v>3.56</v>
      </c>
      <c r="J1028">
        <v>64</v>
      </c>
      <c r="K1028">
        <v>92</v>
      </c>
      <c r="L1028" t="s">
        <v>1210</v>
      </c>
      <c r="M1028">
        <v>1</v>
      </c>
    </row>
    <row r="1029" spans="1:13" x14ac:dyDescent="0.45">
      <c r="A1029" t="s">
        <v>1268</v>
      </c>
      <c r="B1029" t="s">
        <v>1225</v>
      </c>
      <c r="C1029" t="s">
        <v>1119</v>
      </c>
      <c r="D1029" t="s">
        <v>109</v>
      </c>
      <c r="E1029">
        <v>1809</v>
      </c>
      <c r="F1029" s="1">
        <v>46174</v>
      </c>
      <c r="G1029" t="s">
        <v>1221</v>
      </c>
      <c r="H1029" t="s">
        <v>1210</v>
      </c>
      <c r="I1029">
        <v>12.09</v>
      </c>
      <c r="J1029">
        <v>80</v>
      </c>
      <c r="K1029">
        <v>138</v>
      </c>
      <c r="L1029" t="s">
        <v>1210</v>
      </c>
      <c r="M1029">
        <v>3</v>
      </c>
    </row>
    <row r="1030" spans="1:13" x14ac:dyDescent="0.45">
      <c r="A1030" t="s">
        <v>1269</v>
      </c>
      <c r="B1030" t="s">
        <v>1223</v>
      </c>
      <c r="C1030" t="s">
        <v>1121</v>
      </c>
      <c r="D1030" t="s">
        <v>109</v>
      </c>
      <c r="E1030">
        <v>1902</v>
      </c>
      <c r="F1030" s="1">
        <v>46176</v>
      </c>
      <c r="G1030" t="s">
        <v>1219</v>
      </c>
      <c r="H1030" t="s">
        <v>1210</v>
      </c>
      <c r="I1030">
        <v>12.09</v>
      </c>
      <c r="J1030">
        <v>80</v>
      </c>
      <c r="K1030">
        <v>138</v>
      </c>
      <c r="L1030" t="s">
        <v>1210</v>
      </c>
      <c r="M1030">
        <v>1</v>
      </c>
    </row>
    <row r="1031" spans="1:13" x14ac:dyDescent="0.45">
      <c r="A1031" t="s">
        <v>1270</v>
      </c>
      <c r="B1031" t="s">
        <v>1223</v>
      </c>
      <c r="C1031" t="s">
        <v>1121</v>
      </c>
      <c r="D1031" t="s">
        <v>41</v>
      </c>
      <c r="E1031">
        <v>1361</v>
      </c>
      <c r="F1031" s="1">
        <v>46175</v>
      </c>
      <c r="G1031" t="s">
        <v>1219</v>
      </c>
      <c r="H1031" t="s">
        <v>1210</v>
      </c>
      <c r="I1031">
        <v>6.24</v>
      </c>
      <c r="J1031">
        <v>146</v>
      </c>
      <c r="K1031">
        <v>24</v>
      </c>
      <c r="L1031" t="s">
        <v>1210</v>
      </c>
      <c r="M1031">
        <v>2</v>
      </c>
    </row>
    <row r="1032" spans="1:13" x14ac:dyDescent="0.45">
      <c r="A1032" t="s">
        <v>1271</v>
      </c>
      <c r="B1032" t="s">
        <v>1223</v>
      </c>
      <c r="C1032" t="s">
        <v>1124</v>
      </c>
      <c r="D1032" t="s">
        <v>71</v>
      </c>
      <c r="E1032">
        <v>1637</v>
      </c>
      <c r="F1032" s="1">
        <v>46176</v>
      </c>
      <c r="G1032" t="s">
        <v>1219</v>
      </c>
      <c r="H1032" t="s">
        <v>1210</v>
      </c>
      <c r="I1032">
        <v>12.02</v>
      </c>
      <c r="J1032">
        <v>75</v>
      </c>
      <c r="K1032">
        <v>402</v>
      </c>
      <c r="L1032" t="s">
        <v>1210</v>
      </c>
      <c r="M1032">
        <v>1</v>
      </c>
    </row>
    <row r="1033" spans="1:13" x14ac:dyDescent="0.45">
      <c r="A1033" t="s">
        <v>1272</v>
      </c>
      <c r="B1033" t="s">
        <v>1225</v>
      </c>
      <c r="C1033" t="s">
        <v>1119</v>
      </c>
      <c r="D1033" t="s">
        <v>35</v>
      </c>
      <c r="E1033">
        <v>396</v>
      </c>
      <c r="F1033" s="1">
        <v>46174</v>
      </c>
      <c r="G1033" t="s">
        <v>1219</v>
      </c>
      <c r="H1033" t="s">
        <v>1210</v>
      </c>
      <c r="I1033">
        <v>19.18</v>
      </c>
      <c r="J1033">
        <v>95</v>
      </c>
      <c r="K1033">
        <v>208</v>
      </c>
      <c r="L1033" t="s">
        <v>1210</v>
      </c>
      <c r="M1033">
        <v>3</v>
      </c>
    </row>
    <row r="1034" spans="1:13" x14ac:dyDescent="0.45">
      <c r="A1034" t="s">
        <v>1273</v>
      </c>
      <c r="B1034" t="s">
        <v>1223</v>
      </c>
      <c r="C1034" t="s">
        <v>1122</v>
      </c>
      <c r="D1034" t="s">
        <v>1274</v>
      </c>
      <c r="E1034">
        <v>1721</v>
      </c>
      <c r="F1034" s="1">
        <v>46176</v>
      </c>
      <c r="G1034" t="s">
        <v>1219</v>
      </c>
      <c r="H1034" t="s">
        <v>1210</v>
      </c>
      <c r="L1034" t="s">
        <v>1353</v>
      </c>
      <c r="M1034">
        <v>1</v>
      </c>
    </row>
    <row r="1035" spans="1:13" x14ac:dyDescent="0.45">
      <c r="A1035" t="s">
        <v>1275</v>
      </c>
      <c r="B1035" t="s">
        <v>1225</v>
      </c>
      <c r="C1035" t="s">
        <v>1119</v>
      </c>
      <c r="D1035" t="s">
        <v>80</v>
      </c>
      <c r="E1035">
        <v>558</v>
      </c>
      <c r="F1035" s="1">
        <v>46176</v>
      </c>
      <c r="G1035" t="s">
        <v>1219</v>
      </c>
      <c r="H1035" t="s">
        <v>1210</v>
      </c>
      <c r="I1035">
        <v>8.75</v>
      </c>
      <c r="J1035">
        <v>123</v>
      </c>
      <c r="K1035">
        <v>341</v>
      </c>
      <c r="L1035" t="s">
        <v>1210</v>
      </c>
      <c r="M1035">
        <v>1</v>
      </c>
    </row>
    <row r="1036" spans="1:13" x14ac:dyDescent="0.45">
      <c r="A1036" t="s">
        <v>1276</v>
      </c>
      <c r="B1036" t="s">
        <v>1217</v>
      </c>
      <c r="C1036" t="s">
        <v>1126</v>
      </c>
      <c r="D1036" t="s">
        <v>69</v>
      </c>
      <c r="E1036">
        <v>585</v>
      </c>
      <c r="F1036" s="1">
        <v>46176</v>
      </c>
      <c r="G1036" t="s">
        <v>1219</v>
      </c>
      <c r="H1036" t="s">
        <v>1210</v>
      </c>
      <c r="I1036">
        <v>13.13</v>
      </c>
      <c r="J1036">
        <v>82</v>
      </c>
      <c r="K1036">
        <v>105</v>
      </c>
      <c r="L1036" t="s">
        <v>1210</v>
      </c>
      <c r="M1036">
        <v>1</v>
      </c>
    </row>
    <row r="1037" spans="1:13" x14ac:dyDescent="0.45">
      <c r="A1037" t="s">
        <v>1277</v>
      </c>
      <c r="B1037" t="s">
        <v>1225</v>
      </c>
      <c r="C1037" t="s">
        <v>1123</v>
      </c>
      <c r="D1037" t="s">
        <v>84</v>
      </c>
      <c r="E1037">
        <v>1926</v>
      </c>
      <c r="F1037" s="1">
        <v>46176</v>
      </c>
      <c r="G1037" t="s">
        <v>1219</v>
      </c>
      <c r="H1037" t="s">
        <v>1210</v>
      </c>
      <c r="I1037">
        <v>9.8699999999999992</v>
      </c>
      <c r="J1037">
        <v>88</v>
      </c>
      <c r="K1037">
        <v>25</v>
      </c>
      <c r="L1037" t="s">
        <v>1210</v>
      </c>
      <c r="M1037">
        <v>1</v>
      </c>
    </row>
    <row r="1038" spans="1:13" x14ac:dyDescent="0.45">
      <c r="A1038" t="s">
        <v>1278</v>
      </c>
      <c r="B1038" t="s">
        <v>1217</v>
      </c>
      <c r="C1038" t="s">
        <v>1120</v>
      </c>
      <c r="D1038" t="s">
        <v>36</v>
      </c>
      <c r="E1038">
        <v>1025</v>
      </c>
      <c r="F1038" s="1">
        <v>46175</v>
      </c>
      <c r="G1038" t="s">
        <v>1219</v>
      </c>
      <c r="H1038" t="s">
        <v>1210</v>
      </c>
      <c r="I1038">
        <v>7.51</v>
      </c>
      <c r="J1038">
        <v>83</v>
      </c>
      <c r="K1038">
        <v>18</v>
      </c>
      <c r="L1038" t="s">
        <v>1210</v>
      </c>
      <c r="M1038">
        <v>2</v>
      </c>
    </row>
    <row r="1039" spans="1:13" x14ac:dyDescent="0.45">
      <c r="A1039" t="s">
        <v>1279</v>
      </c>
      <c r="B1039" t="s">
        <v>1217</v>
      </c>
      <c r="C1039" t="s">
        <v>1120</v>
      </c>
      <c r="D1039" t="s">
        <v>70</v>
      </c>
      <c r="E1039">
        <v>1329</v>
      </c>
      <c r="F1039" s="1">
        <v>46175</v>
      </c>
      <c r="G1039" t="s">
        <v>1219</v>
      </c>
      <c r="H1039" t="s">
        <v>1210</v>
      </c>
      <c r="I1039">
        <v>5.04</v>
      </c>
      <c r="J1039">
        <v>47</v>
      </c>
      <c r="K1039">
        <v>96</v>
      </c>
      <c r="L1039" t="s">
        <v>1210</v>
      </c>
      <c r="M1039">
        <v>2</v>
      </c>
    </row>
    <row r="1040" spans="1:13" x14ac:dyDescent="0.45">
      <c r="A1040" t="s">
        <v>1280</v>
      </c>
      <c r="B1040" t="s">
        <v>1223</v>
      </c>
      <c r="C1040" t="s">
        <v>1121</v>
      </c>
      <c r="D1040" t="s">
        <v>87</v>
      </c>
      <c r="E1040">
        <v>624</v>
      </c>
      <c r="F1040" s="1">
        <v>46175</v>
      </c>
      <c r="G1040" t="s">
        <v>1219</v>
      </c>
      <c r="H1040" t="s">
        <v>1210</v>
      </c>
      <c r="I1040">
        <v>17.28</v>
      </c>
      <c r="J1040">
        <v>97</v>
      </c>
      <c r="K1040">
        <v>271</v>
      </c>
      <c r="L1040" t="s">
        <v>1210</v>
      </c>
      <c r="M1040">
        <v>2</v>
      </c>
    </row>
    <row r="1041" spans="1:13" x14ac:dyDescent="0.45">
      <c r="A1041" t="s">
        <v>1281</v>
      </c>
      <c r="B1041" t="s">
        <v>1217</v>
      </c>
      <c r="C1041" t="s">
        <v>1114</v>
      </c>
      <c r="D1041" t="s">
        <v>60</v>
      </c>
      <c r="E1041">
        <v>930</v>
      </c>
      <c r="F1041" s="1">
        <v>46175</v>
      </c>
      <c r="G1041" t="s">
        <v>1219</v>
      </c>
      <c r="H1041" t="s">
        <v>1210</v>
      </c>
      <c r="I1041">
        <v>3.02</v>
      </c>
      <c r="J1041">
        <v>84</v>
      </c>
      <c r="K1041">
        <v>111</v>
      </c>
      <c r="L1041" t="s">
        <v>1210</v>
      </c>
      <c r="M1041">
        <v>2</v>
      </c>
    </row>
    <row r="1042" spans="1:13" x14ac:dyDescent="0.45">
      <c r="A1042" t="s">
        <v>1282</v>
      </c>
      <c r="B1042" t="s">
        <v>1217</v>
      </c>
      <c r="C1042" t="s">
        <v>1114</v>
      </c>
      <c r="D1042" t="s">
        <v>37</v>
      </c>
      <c r="E1042">
        <v>700</v>
      </c>
      <c r="F1042" s="1">
        <v>46173</v>
      </c>
      <c r="G1042" t="s">
        <v>1219</v>
      </c>
      <c r="H1042" t="s">
        <v>1210</v>
      </c>
      <c r="I1042">
        <v>7.76</v>
      </c>
      <c r="J1042">
        <v>86</v>
      </c>
      <c r="K1042">
        <v>112</v>
      </c>
      <c r="L1042" t="s">
        <v>1210</v>
      </c>
      <c r="M1042">
        <v>4</v>
      </c>
    </row>
    <row r="1043" spans="1:13" x14ac:dyDescent="0.45">
      <c r="A1043" t="s">
        <v>1283</v>
      </c>
      <c r="B1043" t="s">
        <v>1217</v>
      </c>
      <c r="C1043" t="s">
        <v>1120</v>
      </c>
      <c r="D1043" t="s">
        <v>98</v>
      </c>
      <c r="E1043">
        <v>586</v>
      </c>
      <c r="F1043" s="1">
        <v>46176</v>
      </c>
      <c r="G1043" t="s">
        <v>1219</v>
      </c>
      <c r="H1043" t="s">
        <v>1210</v>
      </c>
      <c r="I1043">
        <v>6.23</v>
      </c>
      <c r="J1043">
        <v>78</v>
      </c>
      <c r="K1043">
        <v>99</v>
      </c>
      <c r="L1043" t="s">
        <v>1210</v>
      </c>
      <c r="M1043">
        <v>1</v>
      </c>
    </row>
    <row r="1044" spans="1:13" x14ac:dyDescent="0.45">
      <c r="A1044" t="s">
        <v>1284</v>
      </c>
      <c r="B1044" t="s">
        <v>1223</v>
      </c>
      <c r="C1044" t="s">
        <v>1117</v>
      </c>
      <c r="D1044" t="s">
        <v>54</v>
      </c>
      <c r="E1044">
        <v>1545</v>
      </c>
      <c r="F1044" s="1">
        <v>46175</v>
      </c>
      <c r="G1044" t="s">
        <v>1219</v>
      </c>
      <c r="H1044" t="s">
        <v>1210</v>
      </c>
      <c r="I1044">
        <v>12.85</v>
      </c>
      <c r="J1044">
        <v>91</v>
      </c>
      <c r="K1044">
        <v>297</v>
      </c>
      <c r="L1044" t="s">
        <v>1210</v>
      </c>
      <c r="M1044">
        <v>2</v>
      </c>
    </row>
    <row r="1045" spans="1:13" x14ac:dyDescent="0.45">
      <c r="A1045" t="s">
        <v>1285</v>
      </c>
      <c r="B1045" t="s">
        <v>1223</v>
      </c>
      <c r="C1045" t="s">
        <v>1127</v>
      </c>
      <c r="D1045" t="s">
        <v>43</v>
      </c>
      <c r="E1045">
        <v>2170</v>
      </c>
      <c r="F1045" s="1">
        <v>46174</v>
      </c>
      <c r="G1045" t="s">
        <v>1219</v>
      </c>
      <c r="H1045" t="s">
        <v>1210</v>
      </c>
      <c r="I1045">
        <v>9.6999999999999993</v>
      </c>
      <c r="J1045">
        <v>98</v>
      </c>
      <c r="K1045">
        <v>115</v>
      </c>
      <c r="L1045" t="s">
        <v>1210</v>
      </c>
      <c r="M1045">
        <v>3</v>
      </c>
    </row>
    <row r="1046" spans="1:13" x14ac:dyDescent="0.45">
      <c r="A1046" t="s">
        <v>1286</v>
      </c>
      <c r="B1046" t="s">
        <v>1225</v>
      </c>
      <c r="C1046" t="s">
        <v>1119</v>
      </c>
      <c r="D1046" t="s">
        <v>10</v>
      </c>
      <c r="E1046">
        <v>1429</v>
      </c>
      <c r="F1046" s="1">
        <v>46174</v>
      </c>
      <c r="G1046" t="s">
        <v>1219</v>
      </c>
      <c r="H1046" t="s">
        <v>1210</v>
      </c>
      <c r="I1046">
        <v>14.2</v>
      </c>
      <c r="J1046">
        <v>95</v>
      </c>
      <c r="K1046">
        <v>277</v>
      </c>
      <c r="L1046" t="s">
        <v>1210</v>
      </c>
      <c r="M1046">
        <v>3</v>
      </c>
    </row>
    <row r="1047" spans="1:13" x14ac:dyDescent="0.45">
      <c r="A1047" t="s">
        <v>1287</v>
      </c>
      <c r="B1047" t="s">
        <v>1223</v>
      </c>
      <c r="C1047" t="s">
        <v>1122</v>
      </c>
      <c r="D1047" t="s">
        <v>53</v>
      </c>
      <c r="E1047">
        <v>2224</v>
      </c>
      <c r="F1047" s="1">
        <v>46176</v>
      </c>
      <c r="G1047" t="s">
        <v>1219</v>
      </c>
      <c r="H1047" t="s">
        <v>1210</v>
      </c>
      <c r="I1047">
        <v>10.029999999999999</v>
      </c>
      <c r="J1047">
        <v>126</v>
      </c>
      <c r="K1047">
        <v>17</v>
      </c>
      <c r="L1047" t="s">
        <v>1210</v>
      </c>
      <c r="M1047">
        <v>1</v>
      </c>
    </row>
    <row r="1048" spans="1:13" x14ac:dyDescent="0.45">
      <c r="A1048" t="s">
        <v>1288</v>
      </c>
      <c r="B1048" t="s">
        <v>1225</v>
      </c>
      <c r="C1048" t="s">
        <v>1123</v>
      </c>
      <c r="D1048" t="s">
        <v>51</v>
      </c>
      <c r="E1048">
        <v>1174</v>
      </c>
      <c r="F1048" s="1">
        <v>46176</v>
      </c>
      <c r="G1048" t="s">
        <v>1219</v>
      </c>
      <c r="H1048" t="s">
        <v>1210</v>
      </c>
      <c r="I1048">
        <v>3.44</v>
      </c>
      <c r="J1048">
        <v>85</v>
      </c>
      <c r="K1048">
        <v>102</v>
      </c>
      <c r="L1048" t="s">
        <v>1210</v>
      </c>
      <c r="M1048">
        <v>1</v>
      </c>
    </row>
    <row r="1049" spans="1:13" x14ac:dyDescent="0.45">
      <c r="A1049" t="s">
        <v>1289</v>
      </c>
      <c r="B1049" t="s">
        <v>1225</v>
      </c>
      <c r="C1049" t="s">
        <v>1128</v>
      </c>
      <c r="D1049" t="s">
        <v>84</v>
      </c>
      <c r="E1049">
        <v>2093</v>
      </c>
      <c r="F1049" s="1">
        <v>46175</v>
      </c>
      <c r="G1049" t="s">
        <v>1219</v>
      </c>
      <c r="H1049" t="s">
        <v>1210</v>
      </c>
      <c r="I1049">
        <v>9.8699999999999992</v>
      </c>
      <c r="J1049">
        <v>88</v>
      </c>
      <c r="K1049">
        <v>25</v>
      </c>
      <c r="L1049" t="s">
        <v>1210</v>
      </c>
      <c r="M1049">
        <v>2</v>
      </c>
    </row>
    <row r="1050" spans="1:13" x14ac:dyDescent="0.45">
      <c r="A1050" t="s">
        <v>1290</v>
      </c>
      <c r="B1050" t="s">
        <v>1223</v>
      </c>
      <c r="C1050" t="s">
        <v>1117</v>
      </c>
      <c r="D1050" t="s">
        <v>56</v>
      </c>
      <c r="E1050">
        <v>2078</v>
      </c>
      <c r="F1050" s="1">
        <v>46176</v>
      </c>
      <c r="G1050" t="s">
        <v>1219</v>
      </c>
      <c r="H1050" t="s">
        <v>1210</v>
      </c>
      <c r="I1050">
        <v>6.27</v>
      </c>
      <c r="J1050">
        <v>67</v>
      </c>
      <c r="K1050">
        <v>90</v>
      </c>
      <c r="L1050" t="s">
        <v>1210</v>
      </c>
      <c r="M1050">
        <v>1</v>
      </c>
    </row>
    <row r="1051" spans="1:13" x14ac:dyDescent="0.45">
      <c r="A1051" t="s">
        <v>1291</v>
      </c>
      <c r="B1051" t="s">
        <v>1225</v>
      </c>
      <c r="C1051" t="s">
        <v>1128</v>
      </c>
      <c r="D1051" t="s">
        <v>103</v>
      </c>
      <c r="E1051">
        <v>1237</v>
      </c>
      <c r="F1051" s="1">
        <v>46176</v>
      </c>
      <c r="G1051" t="s">
        <v>1219</v>
      </c>
      <c r="H1051" t="s">
        <v>1210</v>
      </c>
      <c r="I1051">
        <v>16.66</v>
      </c>
      <c r="J1051">
        <v>85</v>
      </c>
      <c r="K1051">
        <v>333</v>
      </c>
      <c r="L1051" t="s">
        <v>1210</v>
      </c>
      <c r="M1051">
        <v>1</v>
      </c>
    </row>
    <row r="1052" spans="1:13" x14ac:dyDescent="0.45">
      <c r="A1052" t="s">
        <v>1292</v>
      </c>
      <c r="B1052" t="s">
        <v>1217</v>
      </c>
      <c r="C1052" t="s">
        <v>1114</v>
      </c>
      <c r="D1052" t="s">
        <v>43</v>
      </c>
      <c r="E1052">
        <v>1468</v>
      </c>
      <c r="F1052" s="1">
        <v>46176</v>
      </c>
      <c r="G1052" t="s">
        <v>1219</v>
      </c>
      <c r="H1052" t="s">
        <v>1210</v>
      </c>
      <c r="I1052">
        <v>9.6999999999999993</v>
      </c>
      <c r="J1052">
        <v>98</v>
      </c>
      <c r="K1052">
        <v>115</v>
      </c>
      <c r="L1052" t="s">
        <v>1210</v>
      </c>
      <c r="M1052">
        <v>1</v>
      </c>
    </row>
    <row r="1053" spans="1:13" x14ac:dyDescent="0.45">
      <c r="A1053" t="s">
        <v>1293</v>
      </c>
      <c r="B1053" t="s">
        <v>1225</v>
      </c>
      <c r="C1053" t="s">
        <v>1119</v>
      </c>
      <c r="D1053" t="s">
        <v>36</v>
      </c>
      <c r="E1053">
        <v>2572</v>
      </c>
      <c r="F1053" s="1">
        <v>46174</v>
      </c>
      <c r="G1053" t="s">
        <v>1219</v>
      </c>
      <c r="H1053" t="s">
        <v>1210</v>
      </c>
      <c r="I1053">
        <v>7.51</v>
      </c>
      <c r="J1053">
        <v>83</v>
      </c>
      <c r="K1053">
        <v>18</v>
      </c>
      <c r="L1053" t="s">
        <v>1210</v>
      </c>
      <c r="M1053">
        <v>3</v>
      </c>
    </row>
    <row r="1054" spans="1:13" x14ac:dyDescent="0.45">
      <c r="A1054" t="s">
        <v>1294</v>
      </c>
      <c r="B1054" t="s">
        <v>1225</v>
      </c>
      <c r="C1054" t="s">
        <v>1128</v>
      </c>
      <c r="D1054" t="s">
        <v>1140</v>
      </c>
      <c r="E1054">
        <v>692</v>
      </c>
      <c r="F1054" s="1">
        <v>46176</v>
      </c>
      <c r="G1054" t="s">
        <v>1219</v>
      </c>
      <c r="H1054" t="s">
        <v>1210</v>
      </c>
      <c r="I1054">
        <v>11.43</v>
      </c>
      <c r="J1054">
        <v>128</v>
      </c>
      <c r="K1054">
        <v>530</v>
      </c>
      <c r="L1054" t="s">
        <v>1210</v>
      </c>
      <c r="M1054">
        <v>1</v>
      </c>
    </row>
    <row r="1055" spans="1:13" x14ac:dyDescent="0.45">
      <c r="A1055" t="s">
        <v>1295</v>
      </c>
      <c r="B1055" t="s">
        <v>1217</v>
      </c>
      <c r="C1055" t="s">
        <v>1115</v>
      </c>
      <c r="D1055" t="s">
        <v>53</v>
      </c>
      <c r="E1055">
        <v>2293</v>
      </c>
      <c r="F1055" s="1">
        <v>46176</v>
      </c>
      <c r="G1055" t="s">
        <v>1219</v>
      </c>
      <c r="H1055" t="s">
        <v>1210</v>
      </c>
      <c r="I1055">
        <v>10.029999999999999</v>
      </c>
      <c r="J1055">
        <v>126</v>
      </c>
      <c r="K1055">
        <v>17</v>
      </c>
      <c r="L1055" t="s">
        <v>1210</v>
      </c>
      <c r="M1055">
        <v>1</v>
      </c>
    </row>
    <row r="1056" spans="1:13" x14ac:dyDescent="0.45">
      <c r="A1056" t="s">
        <v>1296</v>
      </c>
      <c r="B1056" t="s">
        <v>1225</v>
      </c>
      <c r="C1056" t="s">
        <v>1123</v>
      </c>
      <c r="D1056" t="s">
        <v>39</v>
      </c>
      <c r="E1056">
        <v>1442</v>
      </c>
      <c r="F1056" s="1">
        <v>46176</v>
      </c>
      <c r="G1056" t="s">
        <v>1219</v>
      </c>
      <c r="H1056" t="s">
        <v>1210</v>
      </c>
      <c r="I1056">
        <v>14.35</v>
      </c>
      <c r="J1056">
        <v>70</v>
      </c>
      <c r="K1056">
        <v>240</v>
      </c>
      <c r="L1056" t="s">
        <v>1210</v>
      </c>
      <c r="M1056">
        <v>1</v>
      </c>
    </row>
    <row r="1057" spans="1:13" x14ac:dyDescent="0.45">
      <c r="A1057" t="s">
        <v>1297</v>
      </c>
      <c r="B1057" t="s">
        <v>1223</v>
      </c>
      <c r="C1057" t="s">
        <v>1117</v>
      </c>
      <c r="D1057" t="s">
        <v>35</v>
      </c>
      <c r="E1057">
        <v>1190</v>
      </c>
      <c r="F1057" s="1">
        <v>46176</v>
      </c>
      <c r="G1057" t="s">
        <v>1219</v>
      </c>
      <c r="H1057" t="s">
        <v>1210</v>
      </c>
      <c r="I1057">
        <v>19.18</v>
      </c>
      <c r="J1057">
        <v>95</v>
      </c>
      <c r="K1057">
        <v>208</v>
      </c>
      <c r="L1057" t="s">
        <v>1210</v>
      </c>
      <c r="M1057">
        <v>1</v>
      </c>
    </row>
    <row r="1058" spans="1:13" x14ac:dyDescent="0.45">
      <c r="A1058" t="s">
        <v>1298</v>
      </c>
      <c r="B1058" t="s">
        <v>1217</v>
      </c>
      <c r="C1058" t="s">
        <v>1115</v>
      </c>
      <c r="D1058" t="s">
        <v>70</v>
      </c>
      <c r="E1058">
        <v>1253</v>
      </c>
      <c r="F1058" s="1">
        <v>46176</v>
      </c>
      <c r="G1058" t="s">
        <v>1219</v>
      </c>
      <c r="H1058" t="s">
        <v>1210</v>
      </c>
      <c r="I1058">
        <v>5.04</v>
      </c>
      <c r="J1058">
        <v>47</v>
      </c>
      <c r="K1058">
        <v>96</v>
      </c>
      <c r="L1058" t="s">
        <v>1210</v>
      </c>
      <c r="M1058">
        <v>1</v>
      </c>
    </row>
    <row r="1059" spans="1:13" x14ac:dyDescent="0.45">
      <c r="A1059" t="s">
        <v>1299</v>
      </c>
      <c r="B1059" t="s">
        <v>1217</v>
      </c>
      <c r="C1059" t="s">
        <v>1120</v>
      </c>
      <c r="D1059" t="s">
        <v>60</v>
      </c>
      <c r="E1059">
        <v>2685</v>
      </c>
      <c r="F1059" s="1">
        <v>46175</v>
      </c>
      <c r="G1059" t="s">
        <v>1219</v>
      </c>
      <c r="H1059" t="s">
        <v>1210</v>
      </c>
      <c r="I1059">
        <v>3.02</v>
      </c>
      <c r="J1059">
        <v>84</v>
      </c>
      <c r="K1059">
        <v>111</v>
      </c>
      <c r="L1059" t="s">
        <v>1210</v>
      </c>
      <c r="M1059">
        <v>2</v>
      </c>
    </row>
    <row r="1060" spans="1:13" x14ac:dyDescent="0.45">
      <c r="A1060" t="s">
        <v>1300</v>
      </c>
      <c r="B1060" t="s">
        <v>1217</v>
      </c>
      <c r="C1060" t="s">
        <v>1115</v>
      </c>
      <c r="D1060" t="s">
        <v>55</v>
      </c>
      <c r="E1060">
        <v>1894</v>
      </c>
      <c r="F1060" s="1">
        <v>46176</v>
      </c>
      <c r="G1060" t="s">
        <v>1219</v>
      </c>
      <c r="H1060" t="s">
        <v>1210</v>
      </c>
      <c r="I1060">
        <v>3.48</v>
      </c>
      <c r="J1060">
        <v>66</v>
      </c>
      <c r="K1060">
        <v>112</v>
      </c>
      <c r="L1060" t="s">
        <v>1210</v>
      </c>
      <c r="M1060">
        <v>1</v>
      </c>
    </row>
    <row r="1061" spans="1:13" x14ac:dyDescent="0.45">
      <c r="A1061" t="s">
        <v>1301</v>
      </c>
      <c r="B1061" t="s">
        <v>1225</v>
      </c>
      <c r="C1061" t="s">
        <v>1128</v>
      </c>
      <c r="D1061" t="s">
        <v>7</v>
      </c>
      <c r="E1061">
        <v>645</v>
      </c>
      <c r="F1061" s="1">
        <v>46175</v>
      </c>
      <c r="G1061" t="s">
        <v>1219</v>
      </c>
      <c r="H1061" t="s">
        <v>1210</v>
      </c>
      <c r="I1061">
        <v>9.56</v>
      </c>
      <c r="J1061">
        <v>136</v>
      </c>
      <c r="K1061">
        <v>345</v>
      </c>
      <c r="L1061" t="s">
        <v>1210</v>
      </c>
      <c r="M1061">
        <v>2</v>
      </c>
    </row>
    <row r="1062" spans="1:13" x14ac:dyDescent="0.45">
      <c r="A1062" t="s">
        <v>1302</v>
      </c>
      <c r="B1062" t="s">
        <v>1223</v>
      </c>
      <c r="C1062" t="s">
        <v>1124</v>
      </c>
      <c r="D1062" t="s">
        <v>63</v>
      </c>
      <c r="E1062">
        <v>1308</v>
      </c>
      <c r="F1062" s="1">
        <v>46176</v>
      </c>
      <c r="G1062" t="s">
        <v>1219</v>
      </c>
      <c r="H1062" t="s">
        <v>1210</v>
      </c>
      <c r="I1062">
        <v>4.29</v>
      </c>
      <c r="J1062">
        <v>44</v>
      </c>
      <c r="K1062">
        <v>111</v>
      </c>
      <c r="L1062" t="s">
        <v>1210</v>
      </c>
      <c r="M1062">
        <v>1</v>
      </c>
    </row>
    <row r="1063" spans="1:13" x14ac:dyDescent="0.45">
      <c r="A1063" t="s">
        <v>1303</v>
      </c>
      <c r="B1063" t="s">
        <v>1225</v>
      </c>
      <c r="C1063" t="s">
        <v>1119</v>
      </c>
      <c r="D1063" t="s">
        <v>53</v>
      </c>
      <c r="E1063">
        <v>1997</v>
      </c>
      <c r="F1063" s="1">
        <v>46176</v>
      </c>
      <c r="G1063" t="s">
        <v>1219</v>
      </c>
      <c r="H1063" t="s">
        <v>1210</v>
      </c>
      <c r="I1063">
        <v>10.029999999999999</v>
      </c>
      <c r="J1063">
        <v>126</v>
      </c>
      <c r="K1063">
        <v>17</v>
      </c>
      <c r="L1063" t="s">
        <v>1210</v>
      </c>
      <c r="M1063">
        <v>1</v>
      </c>
    </row>
    <row r="1064" spans="1:13" x14ac:dyDescent="0.45">
      <c r="A1064" t="s">
        <v>1304</v>
      </c>
      <c r="B1064" t="s">
        <v>1225</v>
      </c>
      <c r="C1064" t="s">
        <v>1118</v>
      </c>
      <c r="D1064" t="s">
        <v>63</v>
      </c>
      <c r="E1064">
        <v>1315</v>
      </c>
      <c r="F1064" s="1">
        <v>46176</v>
      </c>
      <c r="G1064" t="s">
        <v>1219</v>
      </c>
      <c r="H1064" t="s">
        <v>1210</v>
      </c>
      <c r="I1064">
        <v>4.29</v>
      </c>
      <c r="J1064">
        <v>44</v>
      </c>
      <c r="K1064">
        <v>111</v>
      </c>
      <c r="L1064" t="s">
        <v>1210</v>
      </c>
      <c r="M1064">
        <v>1</v>
      </c>
    </row>
    <row r="1065" spans="1:13" x14ac:dyDescent="0.45">
      <c r="A1065" t="s">
        <v>1305</v>
      </c>
      <c r="B1065" t="s">
        <v>1223</v>
      </c>
      <c r="C1065" t="s">
        <v>1127</v>
      </c>
      <c r="D1065" t="s">
        <v>63</v>
      </c>
      <c r="E1065">
        <v>294</v>
      </c>
      <c r="F1065" s="1">
        <v>46174</v>
      </c>
      <c r="G1065" t="s">
        <v>1219</v>
      </c>
      <c r="H1065" t="s">
        <v>1210</v>
      </c>
      <c r="I1065">
        <v>4.29</v>
      </c>
      <c r="J1065">
        <v>44</v>
      </c>
      <c r="K1065">
        <v>111</v>
      </c>
      <c r="L1065" t="s">
        <v>1210</v>
      </c>
      <c r="M1065">
        <v>3</v>
      </c>
    </row>
    <row r="1066" spans="1:13" x14ac:dyDescent="0.45">
      <c r="A1066" t="s">
        <v>1306</v>
      </c>
      <c r="B1066" t="s">
        <v>1223</v>
      </c>
      <c r="C1066" t="s">
        <v>1121</v>
      </c>
      <c r="D1066" t="s">
        <v>12</v>
      </c>
      <c r="E1066">
        <v>1490</v>
      </c>
      <c r="F1066" s="1">
        <v>46175</v>
      </c>
      <c r="G1066" t="s">
        <v>1219</v>
      </c>
      <c r="H1066" t="s">
        <v>1210</v>
      </c>
      <c r="J1066">
        <v>69</v>
      </c>
      <c r="K1066">
        <v>291</v>
      </c>
      <c r="L1066" t="s">
        <v>1210</v>
      </c>
      <c r="M1066">
        <v>2</v>
      </c>
    </row>
    <row r="1067" spans="1:13" x14ac:dyDescent="0.45">
      <c r="A1067" t="s">
        <v>1307</v>
      </c>
      <c r="B1067" t="s">
        <v>1225</v>
      </c>
      <c r="C1067" t="s">
        <v>1128</v>
      </c>
      <c r="D1067" t="s">
        <v>36</v>
      </c>
      <c r="E1067">
        <v>2448</v>
      </c>
      <c r="F1067" s="1">
        <v>46169</v>
      </c>
      <c r="G1067" t="s">
        <v>1221</v>
      </c>
      <c r="H1067" t="s">
        <v>1210</v>
      </c>
      <c r="I1067">
        <v>7.51</v>
      </c>
      <c r="J1067">
        <v>83</v>
      </c>
      <c r="K1067">
        <v>18</v>
      </c>
      <c r="L1067" t="s">
        <v>1210</v>
      </c>
      <c r="M1067">
        <v>8</v>
      </c>
    </row>
    <row r="1068" spans="1:13" x14ac:dyDescent="0.45">
      <c r="A1068" t="s">
        <v>1308</v>
      </c>
      <c r="B1068" t="s">
        <v>1223</v>
      </c>
      <c r="C1068" t="s">
        <v>1117</v>
      </c>
      <c r="D1068" t="s">
        <v>37</v>
      </c>
      <c r="E1068">
        <v>1080</v>
      </c>
      <c r="F1068" s="1">
        <v>46175</v>
      </c>
      <c r="G1068" t="s">
        <v>1219</v>
      </c>
      <c r="H1068" t="s">
        <v>1210</v>
      </c>
      <c r="I1068">
        <v>7.76</v>
      </c>
      <c r="J1068">
        <v>86</v>
      </c>
      <c r="K1068">
        <v>112</v>
      </c>
      <c r="L1068" t="s">
        <v>1210</v>
      </c>
      <c r="M1068">
        <v>2</v>
      </c>
    </row>
    <row r="1069" spans="1:13" x14ac:dyDescent="0.45">
      <c r="A1069" t="s">
        <v>1309</v>
      </c>
      <c r="B1069" t="s">
        <v>1223</v>
      </c>
      <c r="C1069" t="s">
        <v>1122</v>
      </c>
      <c r="D1069" t="s">
        <v>87</v>
      </c>
      <c r="E1069">
        <v>564</v>
      </c>
      <c r="F1069" s="1">
        <v>46176</v>
      </c>
      <c r="G1069" t="s">
        <v>1219</v>
      </c>
      <c r="H1069" t="s">
        <v>1210</v>
      </c>
      <c r="I1069">
        <v>17.28</v>
      </c>
      <c r="J1069">
        <v>97</v>
      </c>
      <c r="K1069">
        <v>271</v>
      </c>
      <c r="L1069" t="s">
        <v>1210</v>
      </c>
      <c r="M1069">
        <v>1</v>
      </c>
    </row>
    <row r="1070" spans="1:13" x14ac:dyDescent="0.45">
      <c r="A1070" t="s">
        <v>1310</v>
      </c>
      <c r="B1070" t="s">
        <v>1223</v>
      </c>
      <c r="C1070" t="s">
        <v>1127</v>
      </c>
      <c r="D1070" t="s">
        <v>53</v>
      </c>
      <c r="E1070">
        <v>2168</v>
      </c>
      <c r="F1070" s="1">
        <v>46174</v>
      </c>
      <c r="G1070" t="s">
        <v>1219</v>
      </c>
      <c r="H1070" t="s">
        <v>1210</v>
      </c>
      <c r="I1070">
        <v>10.029999999999999</v>
      </c>
      <c r="J1070">
        <v>126</v>
      </c>
      <c r="K1070">
        <v>17</v>
      </c>
      <c r="L1070" t="s">
        <v>1210</v>
      </c>
      <c r="M1070">
        <v>3</v>
      </c>
    </row>
    <row r="1071" spans="1:13" x14ac:dyDescent="0.45">
      <c r="A1071" t="s">
        <v>1311</v>
      </c>
      <c r="B1071" t="s">
        <v>1217</v>
      </c>
      <c r="C1071" t="s">
        <v>1120</v>
      </c>
      <c r="D1071" t="s">
        <v>93</v>
      </c>
      <c r="E1071">
        <v>757</v>
      </c>
      <c r="F1071" s="1">
        <v>46175</v>
      </c>
      <c r="G1071" t="s">
        <v>1219</v>
      </c>
      <c r="H1071" t="s">
        <v>1210</v>
      </c>
      <c r="J1071">
        <v>98</v>
      </c>
      <c r="K1071">
        <v>359</v>
      </c>
      <c r="L1071" t="s">
        <v>1210</v>
      </c>
      <c r="M1071">
        <v>2</v>
      </c>
    </row>
    <row r="1072" spans="1:13" x14ac:dyDescent="0.45">
      <c r="A1072" t="s">
        <v>1312</v>
      </c>
      <c r="B1072" t="s">
        <v>1225</v>
      </c>
      <c r="C1072" t="s">
        <v>1119</v>
      </c>
      <c r="D1072" t="s">
        <v>37</v>
      </c>
      <c r="E1072">
        <v>2721</v>
      </c>
      <c r="F1072" s="1">
        <v>46174</v>
      </c>
      <c r="G1072" t="s">
        <v>1219</v>
      </c>
      <c r="H1072" t="s">
        <v>1210</v>
      </c>
      <c r="I1072">
        <v>7.76</v>
      </c>
      <c r="J1072">
        <v>86</v>
      </c>
      <c r="K1072">
        <v>112</v>
      </c>
      <c r="L1072" t="s">
        <v>1210</v>
      </c>
      <c r="M1072">
        <v>3</v>
      </c>
    </row>
    <row r="1073" spans="1:13" x14ac:dyDescent="0.45">
      <c r="A1073" t="s">
        <v>1313</v>
      </c>
      <c r="B1073" t="s">
        <v>1223</v>
      </c>
      <c r="C1073" t="s">
        <v>1117</v>
      </c>
      <c r="D1073" t="s">
        <v>1140</v>
      </c>
      <c r="E1073">
        <v>1676</v>
      </c>
      <c r="F1073" s="1">
        <v>46175</v>
      </c>
      <c r="G1073" t="s">
        <v>1219</v>
      </c>
      <c r="H1073" t="s">
        <v>1210</v>
      </c>
      <c r="I1073">
        <v>11.43</v>
      </c>
      <c r="J1073">
        <v>128</v>
      </c>
      <c r="K1073">
        <v>530</v>
      </c>
      <c r="L1073" t="s">
        <v>1210</v>
      </c>
      <c r="M1073">
        <v>2</v>
      </c>
    </row>
    <row r="1074" spans="1:13" x14ac:dyDescent="0.45">
      <c r="A1074" t="s">
        <v>1314</v>
      </c>
      <c r="B1074" t="s">
        <v>1223</v>
      </c>
      <c r="C1074" t="s">
        <v>1122</v>
      </c>
      <c r="D1074" t="s">
        <v>36</v>
      </c>
      <c r="E1074">
        <v>871</v>
      </c>
      <c r="F1074" s="1">
        <v>46176</v>
      </c>
      <c r="G1074" t="s">
        <v>1219</v>
      </c>
      <c r="H1074" t="s">
        <v>1210</v>
      </c>
      <c r="I1074">
        <v>7.51</v>
      </c>
      <c r="J1074">
        <v>83</v>
      </c>
      <c r="K1074">
        <v>18</v>
      </c>
      <c r="L1074" t="s">
        <v>1210</v>
      </c>
      <c r="M1074">
        <v>1</v>
      </c>
    </row>
    <row r="1075" spans="1:13" x14ac:dyDescent="0.45">
      <c r="A1075" t="s">
        <v>1315</v>
      </c>
      <c r="B1075" t="s">
        <v>1217</v>
      </c>
      <c r="C1075" t="s">
        <v>1126</v>
      </c>
      <c r="D1075" t="s">
        <v>69</v>
      </c>
      <c r="E1075">
        <v>1453</v>
      </c>
      <c r="F1075" s="1">
        <v>46176</v>
      </c>
      <c r="G1075" t="s">
        <v>1219</v>
      </c>
      <c r="H1075" t="s">
        <v>1210</v>
      </c>
      <c r="I1075">
        <v>13.13</v>
      </c>
      <c r="J1075">
        <v>82</v>
      </c>
      <c r="K1075">
        <v>105</v>
      </c>
      <c r="L1075" t="s">
        <v>1210</v>
      </c>
      <c r="M1075">
        <v>1</v>
      </c>
    </row>
    <row r="1076" spans="1:13" x14ac:dyDescent="0.45">
      <c r="A1076" t="s">
        <v>1316</v>
      </c>
      <c r="B1076" t="s">
        <v>1225</v>
      </c>
      <c r="C1076" t="s">
        <v>1118</v>
      </c>
      <c r="D1076" t="s">
        <v>12</v>
      </c>
      <c r="E1076">
        <v>1792</v>
      </c>
      <c r="F1076" s="1">
        <v>46175</v>
      </c>
      <c r="G1076" t="s">
        <v>1219</v>
      </c>
      <c r="H1076" t="s">
        <v>1210</v>
      </c>
      <c r="J1076">
        <v>69</v>
      </c>
      <c r="K1076">
        <v>291</v>
      </c>
      <c r="L1076" t="s">
        <v>1210</v>
      </c>
      <c r="M1076">
        <v>2</v>
      </c>
    </row>
    <row r="1077" spans="1:13" x14ac:dyDescent="0.45">
      <c r="A1077" t="s">
        <v>1317</v>
      </c>
      <c r="B1077" t="s">
        <v>1223</v>
      </c>
      <c r="C1077" t="s">
        <v>1124</v>
      </c>
      <c r="D1077" t="s">
        <v>53</v>
      </c>
      <c r="E1077">
        <v>1984</v>
      </c>
      <c r="F1077" s="1">
        <v>46176</v>
      </c>
      <c r="G1077" t="s">
        <v>1219</v>
      </c>
      <c r="H1077" t="s">
        <v>1210</v>
      </c>
      <c r="I1077">
        <v>10.029999999999999</v>
      </c>
      <c r="J1077">
        <v>126</v>
      </c>
      <c r="K1077">
        <v>17</v>
      </c>
      <c r="L1077" t="s">
        <v>1210</v>
      </c>
      <c r="M1077">
        <v>1</v>
      </c>
    </row>
    <row r="1078" spans="1:13" x14ac:dyDescent="0.45">
      <c r="A1078" t="s">
        <v>1318</v>
      </c>
      <c r="B1078" t="s">
        <v>1225</v>
      </c>
      <c r="C1078" t="s">
        <v>1123</v>
      </c>
      <c r="D1078" t="s">
        <v>96</v>
      </c>
      <c r="E1078">
        <v>1844</v>
      </c>
      <c r="F1078" s="1">
        <v>46176</v>
      </c>
      <c r="G1078" t="s">
        <v>1219</v>
      </c>
      <c r="H1078" t="s">
        <v>1210</v>
      </c>
      <c r="I1078">
        <v>4.43</v>
      </c>
      <c r="J1078">
        <v>63</v>
      </c>
      <c r="K1078">
        <v>115</v>
      </c>
      <c r="L1078" t="s">
        <v>1210</v>
      </c>
      <c r="M1078">
        <v>1</v>
      </c>
    </row>
    <row r="1079" spans="1:13" x14ac:dyDescent="0.45">
      <c r="A1079" t="s">
        <v>1319</v>
      </c>
      <c r="B1079" t="s">
        <v>1223</v>
      </c>
      <c r="C1079" t="s">
        <v>1117</v>
      </c>
      <c r="D1079" t="s">
        <v>61</v>
      </c>
      <c r="E1079">
        <v>1553</v>
      </c>
      <c r="F1079" s="1">
        <v>46175</v>
      </c>
      <c r="G1079" t="s">
        <v>1219</v>
      </c>
      <c r="H1079" t="s">
        <v>1210</v>
      </c>
      <c r="I1079">
        <v>12.41</v>
      </c>
      <c r="J1079">
        <v>95</v>
      </c>
      <c r="K1079">
        <v>227</v>
      </c>
      <c r="L1079" t="s">
        <v>1210</v>
      </c>
      <c r="M1079">
        <v>2</v>
      </c>
    </row>
    <row r="1080" spans="1:13" x14ac:dyDescent="0.45">
      <c r="A1080" t="s">
        <v>1320</v>
      </c>
      <c r="B1080" t="s">
        <v>1223</v>
      </c>
      <c r="C1080" t="s">
        <v>1121</v>
      </c>
      <c r="D1080" t="s">
        <v>13</v>
      </c>
      <c r="E1080">
        <v>2839</v>
      </c>
      <c r="F1080" s="1">
        <v>46159</v>
      </c>
      <c r="G1080" t="s">
        <v>1219</v>
      </c>
      <c r="H1080" t="s">
        <v>1210</v>
      </c>
      <c r="I1080">
        <v>8.18</v>
      </c>
      <c r="J1080">
        <v>90</v>
      </c>
      <c r="K1080">
        <v>29</v>
      </c>
      <c r="L1080" t="s">
        <v>1210</v>
      </c>
      <c r="M1080">
        <v>18</v>
      </c>
    </row>
    <row r="1081" spans="1:13" x14ac:dyDescent="0.45">
      <c r="A1081" t="s">
        <v>1321</v>
      </c>
      <c r="B1081" t="s">
        <v>1225</v>
      </c>
      <c r="C1081" t="s">
        <v>1119</v>
      </c>
      <c r="D1081" t="s">
        <v>44</v>
      </c>
      <c r="E1081">
        <v>649</v>
      </c>
      <c r="F1081" s="1">
        <v>46175</v>
      </c>
      <c r="G1081" t="s">
        <v>1219</v>
      </c>
      <c r="H1081" t="s">
        <v>1210</v>
      </c>
      <c r="I1081">
        <v>3.48</v>
      </c>
      <c r="J1081">
        <v>55</v>
      </c>
      <c r="K1081">
        <v>118</v>
      </c>
      <c r="L1081" t="s">
        <v>1210</v>
      </c>
      <c r="M1081">
        <v>2</v>
      </c>
    </row>
    <row r="1082" spans="1:13" x14ac:dyDescent="0.45">
      <c r="A1082" t="s">
        <v>1322</v>
      </c>
      <c r="B1082" t="s">
        <v>1223</v>
      </c>
      <c r="C1082" t="s">
        <v>1127</v>
      </c>
      <c r="D1082" t="s">
        <v>1137</v>
      </c>
      <c r="E1082">
        <v>2045</v>
      </c>
      <c r="F1082" s="1">
        <v>46175</v>
      </c>
      <c r="G1082" t="s">
        <v>1219</v>
      </c>
      <c r="H1082" t="s">
        <v>1210</v>
      </c>
      <c r="I1082">
        <v>10.96</v>
      </c>
      <c r="J1082">
        <v>128</v>
      </c>
      <c r="K1082">
        <v>520</v>
      </c>
      <c r="L1082" t="s">
        <v>1210</v>
      </c>
      <c r="M1082">
        <v>2</v>
      </c>
    </row>
    <row r="1083" spans="1:13" x14ac:dyDescent="0.45">
      <c r="A1083" t="s">
        <v>1323</v>
      </c>
      <c r="B1083" t="s">
        <v>1225</v>
      </c>
      <c r="C1083" t="s">
        <v>1125</v>
      </c>
      <c r="D1083" t="s">
        <v>56</v>
      </c>
      <c r="E1083">
        <v>963</v>
      </c>
      <c r="F1083" s="1">
        <v>46175</v>
      </c>
      <c r="G1083" t="s">
        <v>1219</v>
      </c>
      <c r="H1083" t="s">
        <v>1210</v>
      </c>
      <c r="I1083">
        <v>6.27</v>
      </c>
      <c r="J1083">
        <v>67</v>
      </c>
      <c r="K1083">
        <v>90</v>
      </c>
      <c r="L1083" t="s">
        <v>1210</v>
      </c>
      <c r="M1083">
        <v>2</v>
      </c>
    </row>
    <row r="1084" spans="1:13" x14ac:dyDescent="0.45">
      <c r="A1084" t="s">
        <v>1324</v>
      </c>
      <c r="B1084" t="s">
        <v>1223</v>
      </c>
      <c r="C1084" t="s">
        <v>1124</v>
      </c>
      <c r="D1084" t="s">
        <v>102</v>
      </c>
      <c r="E1084">
        <v>1989</v>
      </c>
      <c r="F1084" s="1">
        <v>46176</v>
      </c>
      <c r="G1084" t="s">
        <v>1219</v>
      </c>
      <c r="H1084" t="s">
        <v>1210</v>
      </c>
      <c r="I1084">
        <v>9.9499999999999993</v>
      </c>
      <c r="J1084">
        <v>106</v>
      </c>
      <c r="K1084">
        <v>376</v>
      </c>
      <c r="L1084" t="s">
        <v>1210</v>
      </c>
      <c r="M1084">
        <v>1</v>
      </c>
    </row>
    <row r="1085" spans="1:13" x14ac:dyDescent="0.45">
      <c r="A1085" t="s">
        <v>1325</v>
      </c>
      <c r="B1085" t="s">
        <v>1223</v>
      </c>
      <c r="C1085" t="s">
        <v>1127</v>
      </c>
      <c r="D1085" t="s">
        <v>55</v>
      </c>
      <c r="E1085">
        <v>662</v>
      </c>
      <c r="F1085" s="1">
        <v>46174</v>
      </c>
      <c r="G1085" t="s">
        <v>1219</v>
      </c>
      <c r="H1085" t="s">
        <v>1210</v>
      </c>
      <c r="I1085">
        <v>3.48</v>
      </c>
      <c r="J1085">
        <v>66</v>
      </c>
      <c r="K1085">
        <v>112</v>
      </c>
      <c r="L1085" t="s">
        <v>1210</v>
      </c>
      <c r="M1085">
        <v>3</v>
      </c>
    </row>
    <row r="1086" spans="1:13" x14ac:dyDescent="0.45">
      <c r="A1086" t="s">
        <v>1326</v>
      </c>
      <c r="B1086" t="s">
        <v>1225</v>
      </c>
      <c r="C1086" t="s">
        <v>1119</v>
      </c>
      <c r="D1086" t="s">
        <v>66</v>
      </c>
      <c r="E1086">
        <v>924</v>
      </c>
      <c r="F1086" s="1">
        <v>46175</v>
      </c>
      <c r="G1086" t="s">
        <v>1219</v>
      </c>
      <c r="H1086" t="s">
        <v>1210</v>
      </c>
      <c r="I1086">
        <v>23.39</v>
      </c>
      <c r="J1086">
        <v>79</v>
      </c>
      <c r="K1086">
        <v>329</v>
      </c>
      <c r="L1086" t="s">
        <v>1210</v>
      </c>
      <c r="M1086">
        <v>2</v>
      </c>
    </row>
    <row r="1087" spans="1:13" x14ac:dyDescent="0.45">
      <c r="A1087" t="s">
        <v>1327</v>
      </c>
      <c r="B1087" t="s">
        <v>1223</v>
      </c>
      <c r="C1087" t="s">
        <v>1122</v>
      </c>
      <c r="D1087" t="s">
        <v>57</v>
      </c>
      <c r="E1087">
        <v>769</v>
      </c>
      <c r="F1087" s="1">
        <v>46176</v>
      </c>
      <c r="G1087" t="s">
        <v>1219</v>
      </c>
      <c r="H1087" t="s">
        <v>1210</v>
      </c>
      <c r="I1087">
        <v>8.19</v>
      </c>
      <c r="J1087">
        <v>82</v>
      </c>
      <c r="K1087">
        <v>317</v>
      </c>
      <c r="L1087" t="s">
        <v>1210</v>
      </c>
      <c r="M1087">
        <v>1</v>
      </c>
    </row>
    <row r="1088" spans="1:13" x14ac:dyDescent="0.45">
      <c r="A1088" t="s">
        <v>1328</v>
      </c>
      <c r="B1088" t="s">
        <v>1223</v>
      </c>
      <c r="C1088" t="s">
        <v>1121</v>
      </c>
      <c r="D1088" t="s">
        <v>108</v>
      </c>
      <c r="E1088">
        <v>630</v>
      </c>
      <c r="F1088" s="1">
        <v>46175</v>
      </c>
      <c r="G1088" t="s">
        <v>1219</v>
      </c>
      <c r="H1088" t="s">
        <v>1210</v>
      </c>
      <c r="I1088">
        <v>19.95</v>
      </c>
      <c r="J1088">
        <v>78</v>
      </c>
      <c r="K1088">
        <v>276</v>
      </c>
      <c r="L1088" t="s">
        <v>1210</v>
      </c>
      <c r="M1088">
        <v>2</v>
      </c>
    </row>
    <row r="1089" spans="1:13" x14ac:dyDescent="0.45">
      <c r="A1089" t="s">
        <v>1329</v>
      </c>
      <c r="B1089" t="s">
        <v>1217</v>
      </c>
      <c r="C1089" t="s">
        <v>1116</v>
      </c>
      <c r="D1089" t="s">
        <v>13</v>
      </c>
      <c r="E1089">
        <v>2516</v>
      </c>
      <c r="F1089" s="1">
        <v>46175</v>
      </c>
      <c r="G1089" t="s">
        <v>1219</v>
      </c>
      <c r="H1089" t="s">
        <v>1210</v>
      </c>
      <c r="I1089">
        <v>8.18</v>
      </c>
      <c r="J1089">
        <v>90</v>
      </c>
      <c r="K1089">
        <v>29</v>
      </c>
      <c r="L1089" t="s">
        <v>1210</v>
      </c>
      <c r="M1089">
        <v>2</v>
      </c>
    </row>
    <row r="1090" spans="1:13" x14ac:dyDescent="0.45">
      <c r="A1090" t="s">
        <v>1330</v>
      </c>
      <c r="B1090" t="s">
        <v>1217</v>
      </c>
      <c r="C1090" t="s">
        <v>1116</v>
      </c>
      <c r="D1090" t="s">
        <v>23</v>
      </c>
      <c r="E1090">
        <v>1434</v>
      </c>
      <c r="F1090" s="1">
        <v>46164</v>
      </c>
      <c r="G1090" t="s">
        <v>1219</v>
      </c>
      <c r="H1090" t="s">
        <v>1210</v>
      </c>
      <c r="I1090">
        <v>7.71</v>
      </c>
      <c r="J1090">
        <v>101</v>
      </c>
      <c r="K1090">
        <v>23</v>
      </c>
      <c r="L1090" t="s">
        <v>1210</v>
      </c>
      <c r="M1090">
        <v>13</v>
      </c>
    </row>
    <row r="1091" spans="1:13" x14ac:dyDescent="0.45">
      <c r="A1091" t="s">
        <v>1331</v>
      </c>
      <c r="B1091" t="s">
        <v>1223</v>
      </c>
      <c r="C1091" t="s">
        <v>1127</v>
      </c>
      <c r="D1091" t="s">
        <v>51</v>
      </c>
      <c r="E1091">
        <v>2717</v>
      </c>
      <c r="F1091" s="1">
        <v>46175</v>
      </c>
      <c r="G1091" t="s">
        <v>1219</v>
      </c>
      <c r="H1091" t="s">
        <v>1210</v>
      </c>
      <c r="I1091">
        <v>3.44</v>
      </c>
      <c r="J1091">
        <v>85</v>
      </c>
      <c r="K1091">
        <v>102</v>
      </c>
      <c r="L1091" t="s">
        <v>1210</v>
      </c>
      <c r="M1091">
        <v>2</v>
      </c>
    </row>
    <row r="1092" spans="1:13" x14ac:dyDescent="0.45">
      <c r="A1092" t="s">
        <v>1332</v>
      </c>
      <c r="B1092" t="s">
        <v>1217</v>
      </c>
      <c r="C1092" t="s">
        <v>1126</v>
      </c>
      <c r="D1092" t="s">
        <v>5</v>
      </c>
      <c r="E1092">
        <v>1957</v>
      </c>
      <c r="F1092" s="1">
        <v>46176</v>
      </c>
      <c r="G1092" t="s">
        <v>1219</v>
      </c>
      <c r="H1092" t="s">
        <v>1210</v>
      </c>
      <c r="I1092">
        <v>10.6</v>
      </c>
      <c r="J1092">
        <v>96</v>
      </c>
      <c r="K1092">
        <v>445</v>
      </c>
      <c r="L1092" t="s">
        <v>1210</v>
      </c>
      <c r="M1092">
        <v>1</v>
      </c>
    </row>
    <row r="1093" spans="1:13" x14ac:dyDescent="0.45">
      <c r="A1093" t="s">
        <v>1333</v>
      </c>
      <c r="B1093" t="s">
        <v>1223</v>
      </c>
      <c r="C1093" t="s">
        <v>1124</v>
      </c>
      <c r="D1093" t="s">
        <v>36</v>
      </c>
      <c r="E1093">
        <v>2201</v>
      </c>
      <c r="F1093" s="1">
        <v>46163</v>
      </c>
      <c r="G1093" t="s">
        <v>1219</v>
      </c>
      <c r="H1093" t="s">
        <v>1210</v>
      </c>
      <c r="I1093">
        <v>7.51</v>
      </c>
      <c r="J1093">
        <v>83</v>
      </c>
      <c r="K1093">
        <v>18</v>
      </c>
      <c r="L1093" t="s">
        <v>1210</v>
      </c>
      <c r="M1093">
        <v>14</v>
      </c>
    </row>
    <row r="1094" spans="1:13" x14ac:dyDescent="0.45">
      <c r="A1094" t="s">
        <v>1334</v>
      </c>
      <c r="B1094" t="s">
        <v>1217</v>
      </c>
      <c r="C1094" t="s">
        <v>1114</v>
      </c>
      <c r="D1094" t="s">
        <v>84</v>
      </c>
      <c r="E1094">
        <v>2138</v>
      </c>
      <c r="F1094" s="1">
        <v>46174</v>
      </c>
      <c r="G1094" t="s">
        <v>1219</v>
      </c>
      <c r="H1094" t="s">
        <v>1210</v>
      </c>
      <c r="I1094">
        <v>9.8699999999999992</v>
      </c>
      <c r="J1094">
        <v>88</v>
      </c>
      <c r="K1094">
        <v>25</v>
      </c>
      <c r="L1094" t="s">
        <v>1210</v>
      </c>
      <c r="M1094">
        <v>3</v>
      </c>
    </row>
    <row r="1095" spans="1:13" x14ac:dyDescent="0.45">
      <c r="A1095" t="s">
        <v>1335</v>
      </c>
      <c r="B1095" t="s">
        <v>1225</v>
      </c>
      <c r="C1095" t="s">
        <v>1118</v>
      </c>
      <c r="D1095" t="s">
        <v>68</v>
      </c>
      <c r="E1095">
        <v>327</v>
      </c>
      <c r="F1095" s="1">
        <v>46176</v>
      </c>
      <c r="G1095" t="s">
        <v>1219</v>
      </c>
      <c r="H1095" t="s">
        <v>1210</v>
      </c>
      <c r="I1095">
        <v>17.18</v>
      </c>
      <c r="J1095">
        <v>81</v>
      </c>
      <c r="K1095">
        <v>293</v>
      </c>
      <c r="L1095" t="s">
        <v>1210</v>
      </c>
      <c r="M1095">
        <v>1</v>
      </c>
    </row>
    <row r="1096" spans="1:13" x14ac:dyDescent="0.45">
      <c r="A1096" t="s">
        <v>1336</v>
      </c>
      <c r="B1096" t="s">
        <v>1217</v>
      </c>
      <c r="C1096" t="s">
        <v>1120</v>
      </c>
      <c r="D1096" t="s">
        <v>1130</v>
      </c>
      <c r="E1096">
        <v>1586</v>
      </c>
      <c r="F1096" s="1">
        <v>46175</v>
      </c>
      <c r="G1096" t="s">
        <v>1219</v>
      </c>
      <c r="H1096" t="s">
        <v>1210</v>
      </c>
      <c r="I1096">
        <v>12.51</v>
      </c>
      <c r="J1096">
        <v>73</v>
      </c>
      <c r="K1096">
        <v>75</v>
      </c>
      <c r="L1096" t="s">
        <v>1210</v>
      </c>
      <c r="M1096">
        <v>2</v>
      </c>
    </row>
    <row r="1097" spans="1:13" x14ac:dyDescent="0.45">
      <c r="A1097" t="s">
        <v>1337</v>
      </c>
      <c r="B1097" t="s">
        <v>1225</v>
      </c>
      <c r="C1097" t="s">
        <v>1119</v>
      </c>
      <c r="D1097" t="s">
        <v>1133</v>
      </c>
      <c r="E1097">
        <v>558</v>
      </c>
      <c r="F1097" s="1">
        <v>46176</v>
      </c>
      <c r="G1097" t="s">
        <v>1221</v>
      </c>
      <c r="H1097" t="s">
        <v>1210</v>
      </c>
      <c r="I1097">
        <v>3.75</v>
      </c>
      <c r="J1097">
        <v>41</v>
      </c>
      <c r="K1097">
        <v>106</v>
      </c>
      <c r="L1097" t="s">
        <v>1210</v>
      </c>
      <c r="M1097">
        <v>1</v>
      </c>
    </row>
    <row r="1098" spans="1:13" x14ac:dyDescent="0.45">
      <c r="A1098" t="s">
        <v>1338</v>
      </c>
      <c r="B1098" t="s">
        <v>1223</v>
      </c>
      <c r="C1098" t="s">
        <v>1117</v>
      </c>
      <c r="D1098" t="s">
        <v>106</v>
      </c>
      <c r="E1098">
        <v>507</v>
      </c>
      <c r="F1098" s="1">
        <v>46176</v>
      </c>
      <c r="G1098" t="s">
        <v>1219</v>
      </c>
      <c r="H1098" t="s">
        <v>1210</v>
      </c>
      <c r="I1098">
        <v>4.24</v>
      </c>
      <c r="J1098">
        <v>41</v>
      </c>
      <c r="K1098">
        <v>111</v>
      </c>
      <c r="L1098" t="s">
        <v>1210</v>
      </c>
      <c r="M1098">
        <v>1</v>
      </c>
    </row>
    <row r="1099" spans="1:13" x14ac:dyDescent="0.45">
      <c r="A1099" t="s">
        <v>1339</v>
      </c>
      <c r="B1099" t="s">
        <v>1225</v>
      </c>
      <c r="C1099" t="s">
        <v>1123</v>
      </c>
      <c r="D1099" t="s">
        <v>51</v>
      </c>
      <c r="E1099">
        <v>2301</v>
      </c>
      <c r="F1099" s="1">
        <v>46176</v>
      </c>
      <c r="G1099" t="s">
        <v>1219</v>
      </c>
      <c r="H1099" t="s">
        <v>1210</v>
      </c>
      <c r="I1099">
        <v>3.44</v>
      </c>
      <c r="J1099">
        <v>85</v>
      </c>
      <c r="K1099">
        <v>102</v>
      </c>
      <c r="L1099" t="s">
        <v>1210</v>
      </c>
      <c r="M1099">
        <v>1</v>
      </c>
    </row>
    <row r="1100" spans="1:13" x14ac:dyDescent="0.45">
      <c r="A1100" t="s">
        <v>1340</v>
      </c>
      <c r="B1100" t="s">
        <v>1223</v>
      </c>
      <c r="C1100" t="s">
        <v>1124</v>
      </c>
      <c r="D1100" t="s">
        <v>99</v>
      </c>
      <c r="E1100">
        <v>1831</v>
      </c>
      <c r="F1100" s="1">
        <v>46176</v>
      </c>
      <c r="G1100" t="s">
        <v>1219</v>
      </c>
      <c r="H1100" t="s">
        <v>1210</v>
      </c>
      <c r="I1100">
        <v>4.26</v>
      </c>
      <c r="J1100">
        <v>68</v>
      </c>
      <c r="K1100">
        <v>117</v>
      </c>
      <c r="L1100" t="s">
        <v>1210</v>
      </c>
      <c r="M1100">
        <v>1</v>
      </c>
    </row>
    <row r="1101" spans="1:13" x14ac:dyDescent="0.45">
      <c r="A1101" t="s">
        <v>1341</v>
      </c>
      <c r="B1101" t="s">
        <v>1217</v>
      </c>
      <c r="C1101" t="s">
        <v>1115</v>
      </c>
      <c r="D1101" t="s">
        <v>43</v>
      </c>
      <c r="E1101">
        <v>2062</v>
      </c>
      <c r="F1101" s="1">
        <v>46175</v>
      </c>
      <c r="G1101" t="s">
        <v>1219</v>
      </c>
      <c r="H1101" t="s">
        <v>1210</v>
      </c>
      <c r="I1101">
        <v>9.6999999999999993</v>
      </c>
      <c r="J1101">
        <v>98</v>
      </c>
      <c r="K1101">
        <v>115</v>
      </c>
      <c r="L1101" t="s">
        <v>1210</v>
      </c>
      <c r="M1101">
        <v>2</v>
      </c>
    </row>
    <row r="1102" spans="1:13" x14ac:dyDescent="0.45">
      <c r="A1102" t="s">
        <v>1342</v>
      </c>
      <c r="B1102" t="s">
        <v>1223</v>
      </c>
      <c r="C1102" t="s">
        <v>1122</v>
      </c>
      <c r="D1102" t="s">
        <v>54</v>
      </c>
      <c r="E1102">
        <v>1723</v>
      </c>
      <c r="F1102" s="1">
        <v>46176</v>
      </c>
      <c r="G1102" t="s">
        <v>1219</v>
      </c>
      <c r="H1102" t="s">
        <v>1210</v>
      </c>
      <c r="I1102">
        <v>12.85</v>
      </c>
      <c r="J1102">
        <v>91</v>
      </c>
      <c r="K1102">
        <v>297</v>
      </c>
      <c r="L1102" t="s">
        <v>1210</v>
      </c>
      <c r="M1102">
        <v>1</v>
      </c>
    </row>
    <row r="1103" spans="1:13" x14ac:dyDescent="0.45">
      <c r="A1103" t="s">
        <v>1343</v>
      </c>
      <c r="B1103" t="s">
        <v>1223</v>
      </c>
      <c r="C1103" t="s">
        <v>1121</v>
      </c>
      <c r="D1103" t="s">
        <v>59</v>
      </c>
      <c r="E1103">
        <v>1527</v>
      </c>
      <c r="F1103" s="1">
        <v>46176</v>
      </c>
      <c r="G1103" t="s">
        <v>1219</v>
      </c>
      <c r="H1103" t="s">
        <v>1210</v>
      </c>
      <c r="I1103">
        <v>15.2</v>
      </c>
      <c r="J1103">
        <v>135</v>
      </c>
      <c r="K1103">
        <v>361</v>
      </c>
      <c r="L1103" t="s">
        <v>1210</v>
      </c>
      <c r="M1103">
        <v>1</v>
      </c>
    </row>
    <row r="1104" spans="1:13" x14ac:dyDescent="0.45">
      <c r="A1104" t="s">
        <v>1344</v>
      </c>
      <c r="B1104" t="s">
        <v>1225</v>
      </c>
      <c r="C1104" t="s">
        <v>1128</v>
      </c>
      <c r="D1104" t="s">
        <v>52</v>
      </c>
      <c r="E1104">
        <v>668</v>
      </c>
      <c r="F1104" s="1">
        <v>46176</v>
      </c>
      <c r="G1104" t="s">
        <v>1219</v>
      </c>
      <c r="H1104" t="s">
        <v>1210</v>
      </c>
      <c r="I1104">
        <v>11.01</v>
      </c>
      <c r="J1104">
        <v>98</v>
      </c>
      <c r="K1104">
        <v>16</v>
      </c>
      <c r="L1104" t="s">
        <v>1210</v>
      </c>
      <c r="M1104">
        <v>1</v>
      </c>
    </row>
    <row r="1105" spans="1:13" x14ac:dyDescent="0.45">
      <c r="A1105" t="s">
        <v>1345</v>
      </c>
      <c r="B1105" t="s">
        <v>1223</v>
      </c>
      <c r="C1105" t="s">
        <v>1124</v>
      </c>
      <c r="D1105" t="s">
        <v>100</v>
      </c>
      <c r="E1105">
        <v>611</v>
      </c>
      <c r="F1105" s="1">
        <v>46176</v>
      </c>
      <c r="G1105" t="s">
        <v>1219</v>
      </c>
      <c r="H1105" t="s">
        <v>1210</v>
      </c>
      <c r="I1105">
        <v>9.7899999999999991</v>
      </c>
      <c r="J1105">
        <v>123</v>
      </c>
      <c r="K1105">
        <v>334</v>
      </c>
      <c r="L1105" t="s">
        <v>1210</v>
      </c>
      <c r="M1105">
        <v>1</v>
      </c>
    </row>
    <row r="1106" spans="1:13" x14ac:dyDescent="0.45">
      <c r="A1106" t="s">
        <v>1346</v>
      </c>
      <c r="B1106" t="s">
        <v>1225</v>
      </c>
      <c r="C1106" t="s">
        <v>1128</v>
      </c>
      <c r="D1106" t="s">
        <v>18</v>
      </c>
      <c r="E1106">
        <v>1170</v>
      </c>
      <c r="F1106" s="1">
        <v>46176</v>
      </c>
      <c r="G1106" t="s">
        <v>1219</v>
      </c>
      <c r="H1106" t="s">
        <v>1210</v>
      </c>
      <c r="I1106">
        <v>16.489999999999998</v>
      </c>
      <c r="J1106">
        <v>102</v>
      </c>
      <c r="K1106">
        <v>315</v>
      </c>
      <c r="L1106" t="s">
        <v>1210</v>
      </c>
      <c r="M1106">
        <v>1</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5FD78-FDDE-4703-9B36-72E0071A7391}">
  <dimension ref="A1:V1106"/>
  <sheetViews>
    <sheetView topLeftCell="C158" zoomScale="61" zoomScaleNormal="50" workbookViewId="0">
      <selection activeCell="AB178" sqref="AB178"/>
    </sheetView>
  </sheetViews>
  <sheetFormatPr defaultRowHeight="14.25" x14ac:dyDescent="0.45"/>
  <cols>
    <col min="6" max="6" width="9.06640625" style="1"/>
    <col min="12" max="12" width="11.53125" bestFit="1" customWidth="1"/>
    <col min="16" max="17" width="12.33203125" bestFit="1" customWidth="1"/>
    <col min="18" max="18" width="8.796875" bestFit="1" customWidth="1"/>
    <col min="19" max="19" width="11.73046875" bestFit="1" customWidth="1"/>
    <col min="20" max="20" width="16.86328125" bestFit="1" customWidth="1"/>
    <col min="21" max="21" width="11.46484375" bestFit="1" customWidth="1"/>
    <col min="22" max="22" width="12.86328125" bestFit="1" customWidth="1"/>
  </cols>
  <sheetData>
    <row r="1" spans="1:22" x14ac:dyDescent="0.45">
      <c r="A1" t="str" cm="1">
        <f t="array" ref="A1:M1106">Transit_Enriched[#All]</f>
        <v>Order_ID</v>
      </c>
      <c r="B1" t="str">
        <v>Origin</v>
      </c>
      <c r="C1" t="str">
        <v>Destination</v>
      </c>
      <c r="D1" t="str">
        <v>Item_Code</v>
      </c>
      <c r="E1" t="str">
        <v>Quantity</v>
      </c>
      <c r="F1" s="1" t="str">
        <v>Dispatch_Date</v>
      </c>
      <c r="G1" t="str">
        <v>SAP_Status</v>
      </c>
      <c r="H1" t="str">
        <v>Qty_Quality</v>
      </c>
      <c r="I1" t="str">
        <v>Weight_kg</v>
      </c>
      <c r="J1" t="str">
        <v>Units_Per_Pallet</v>
      </c>
      <c r="K1" t="str">
        <v>Shelf_Life_Days</v>
      </c>
      <c r="L1" t="str">
        <v>Match_Status</v>
      </c>
      <c r="M1" t="str">
        <v>Dias_En_Transito</v>
      </c>
      <c r="O1" t="s">
        <v>1355</v>
      </c>
      <c r="P1" t="s">
        <v>1356</v>
      </c>
      <c r="Q1" t="s">
        <v>1357</v>
      </c>
      <c r="R1" t="s">
        <v>1361</v>
      </c>
      <c r="S1" t="s">
        <v>1359</v>
      </c>
      <c r="T1" t="s">
        <v>1358</v>
      </c>
      <c r="U1" t="s">
        <v>1362</v>
      </c>
      <c r="V1" t="s">
        <v>1363</v>
      </c>
    </row>
    <row r="2" spans="1:22" x14ac:dyDescent="0.45">
      <c r="A2" t="str">
        <v>SO-50312</v>
      </c>
      <c r="B2" t="str">
        <v>PL-SUR</v>
      </c>
      <c r="C2" t="str">
        <v>CD-MER</v>
      </c>
      <c r="D2" t="str">
        <v>LAC-1013</v>
      </c>
      <c r="E2">
        <v>2260</v>
      </c>
      <c r="F2" s="1">
        <v>46173</v>
      </c>
      <c r="G2" t="str">
        <v>In Transit</v>
      </c>
      <c r="H2" t="str">
        <v>OK</v>
      </c>
      <c r="I2">
        <v>8.32</v>
      </c>
      <c r="J2">
        <v>98</v>
      </c>
      <c r="K2">
        <v>16</v>
      </c>
      <c r="L2" t="str">
        <v>OK</v>
      </c>
      <c r="M2">
        <v>4</v>
      </c>
      <c r="O2">
        <f>IF(L2="HUERFANO","n/a",IF(ISNUMBER(J2),E2/J2,"n/a"))</f>
        <v>23.061224489795919</v>
      </c>
      <c r="P2">
        <f>IF(L2="HUERFANO","n/a",IFERROR(E2*I2/24000*100,""))</f>
        <v>78.346666666666664</v>
      </c>
      <c r="Q2">
        <f>IF(L2="HUERFANO","n/a",IFERROR(O2/33*100,""))</f>
        <v>69.882498453927028</v>
      </c>
      <c r="R2">
        <f>IF(L2="HUERFANO","n/a",IFERROR(MAX(CEILING(P2/100,1),CEILING(Q2/100,1)),""))</f>
        <v>1</v>
      </c>
      <c r="S2">
        <f>IF(L2="HUERFANO","n/a",IFERROR(MAX(P2,Q2)/(R2*100)*100,""))</f>
        <v>78.346666666666664</v>
      </c>
      <c r="T2" t="str">
        <f>IF(L2="HUERFANO","n/a",IF(S2&lt;75,"CARGA INEFICIENTE","OK"))</f>
        <v>OK</v>
      </c>
      <c r="U2" t="str">
        <f>IF(L2="HUERFANO","n/a",IF(AND(LEFT(D2,3)="LAC",(K2-M2)/K2*100&lt;70),"FEFO RIESGO","OK"))</f>
        <v>OK</v>
      </c>
      <c r="V2" t="str">
        <f>IF(L2="HUERFANO","n/a",IF(AND(G2="In Transit",M2&gt;5),"FANTASMA","OK"))</f>
        <v>OK</v>
      </c>
    </row>
    <row r="3" spans="1:22" x14ac:dyDescent="0.45">
      <c r="A3" t="str">
        <v>SO-50335</v>
      </c>
      <c r="B3" t="str">
        <v>PL-NTE</v>
      </c>
      <c r="C3" t="str">
        <v>CD-HER</v>
      </c>
      <c r="D3" t="str">
        <v>LAC-1013</v>
      </c>
      <c r="E3">
        <v>2769</v>
      </c>
      <c r="F3" s="1">
        <v>46175</v>
      </c>
      <c r="G3" t="str">
        <v>Delivered</v>
      </c>
      <c r="H3" t="str">
        <v>OK</v>
      </c>
      <c r="I3">
        <v>8.32</v>
      </c>
      <c r="J3">
        <v>98</v>
      </c>
      <c r="K3">
        <v>16</v>
      </c>
      <c r="L3" t="str">
        <v>OK</v>
      </c>
      <c r="M3">
        <v>2</v>
      </c>
      <c r="O3">
        <f t="shared" ref="O3:O66" si="0">IF(L3="HUERFANO","n/a",IF(ISNUMBER(J3),E3/J3,"n/a"))</f>
        <v>28.255102040816325</v>
      </c>
      <c r="P3">
        <f t="shared" ref="P3:P66" si="1">IF(L3="HUERFANO","n/a",IFERROR(E3*I3/24000*100,""))</f>
        <v>95.992000000000004</v>
      </c>
      <c r="Q3">
        <f t="shared" ref="Q3:Q66" si="2">IF(L3="HUERFANO","n/a",IFERROR(O3/33*100,""))</f>
        <v>85.621521335807046</v>
      </c>
      <c r="R3">
        <f t="shared" ref="R3:R66" si="3">IF(L3="HUERFANO","n/a",IFERROR(MAX(CEILING(P3/100,1),CEILING(Q3/100,1)),""))</f>
        <v>1</v>
      </c>
      <c r="S3">
        <f t="shared" ref="S3:S66" si="4">IF(L3="HUERFANO","n/a",IFERROR(MAX(P3,Q3)/(R3*100)*100,""))</f>
        <v>95.992000000000004</v>
      </c>
      <c r="T3" t="str">
        <f t="shared" ref="T3:T66" si="5">IF(L3="HUERFANO","n/a",IF(S3&lt;75,"CARGA INEFICIENTE","OK"))</f>
        <v>OK</v>
      </c>
      <c r="U3" t="str">
        <f t="shared" ref="U3:U66" si="6">IF(L3="HUERFANO","n/a",IF(AND(LEFT(D3,3)="LAC",(K3-M3)/K3*100&lt;70),"FEFO RIESGO","OK"))</f>
        <v>OK</v>
      </c>
      <c r="V3" t="str">
        <f t="shared" ref="V3:V66" si="7">IF(L3="HUERFANO","n/a",IF(AND(G3="In Transit",M3&gt;5),"FANTASMA","OK"))</f>
        <v>OK</v>
      </c>
    </row>
    <row r="4" spans="1:22" x14ac:dyDescent="0.45">
      <c r="A4" t="str">
        <v>SO-50334</v>
      </c>
      <c r="B4" t="str">
        <v>PL-NTE</v>
      </c>
      <c r="C4" t="str">
        <v>CD-SAL</v>
      </c>
      <c r="D4" t="str">
        <v>ABA-1008</v>
      </c>
      <c r="E4">
        <v>2157</v>
      </c>
      <c r="F4" s="1">
        <v>46175</v>
      </c>
      <c r="G4" t="str">
        <v>In Transit</v>
      </c>
      <c r="H4" t="str">
        <v>OK</v>
      </c>
      <c r="I4">
        <v>10.6</v>
      </c>
      <c r="J4">
        <v>96</v>
      </c>
      <c r="K4">
        <v>445</v>
      </c>
      <c r="L4" t="str">
        <v>OK</v>
      </c>
      <c r="M4">
        <v>2</v>
      </c>
      <c r="O4">
        <f t="shared" si="0"/>
        <v>22.46875</v>
      </c>
      <c r="P4">
        <f t="shared" si="1"/>
        <v>95.267499999999998</v>
      </c>
      <c r="Q4">
        <f t="shared" si="2"/>
        <v>68.087121212121218</v>
      </c>
      <c r="R4">
        <f t="shared" si="3"/>
        <v>1</v>
      </c>
      <c r="S4">
        <f t="shared" si="4"/>
        <v>95.267499999999998</v>
      </c>
      <c r="T4" t="str">
        <f t="shared" si="5"/>
        <v>OK</v>
      </c>
      <c r="U4" t="str">
        <f t="shared" si="6"/>
        <v>OK</v>
      </c>
      <c r="V4" t="str">
        <f t="shared" si="7"/>
        <v>OK</v>
      </c>
    </row>
    <row r="5" spans="1:22" x14ac:dyDescent="0.45">
      <c r="A5" t="str">
        <v>SO-50098</v>
      </c>
      <c r="B5" t="str">
        <v>PL-CEN</v>
      </c>
      <c r="C5" t="str">
        <v>CD-VER</v>
      </c>
      <c r="D5" t="str">
        <v>ABA-1008</v>
      </c>
      <c r="E5">
        <v>2130</v>
      </c>
      <c r="F5" s="1">
        <v>46174</v>
      </c>
      <c r="G5" t="str">
        <v>In Transit</v>
      </c>
      <c r="H5" t="str">
        <v>OK</v>
      </c>
      <c r="I5">
        <v>10.6</v>
      </c>
      <c r="J5">
        <v>96</v>
      </c>
      <c r="K5">
        <v>445</v>
      </c>
      <c r="L5" t="str">
        <v>OK</v>
      </c>
      <c r="M5">
        <v>3</v>
      </c>
      <c r="O5">
        <f t="shared" si="0"/>
        <v>22.1875</v>
      </c>
      <c r="P5">
        <f t="shared" si="1"/>
        <v>94.075000000000003</v>
      </c>
      <c r="Q5">
        <f t="shared" si="2"/>
        <v>67.234848484848484</v>
      </c>
      <c r="R5">
        <f t="shared" si="3"/>
        <v>1</v>
      </c>
      <c r="S5">
        <f t="shared" si="4"/>
        <v>94.075000000000003</v>
      </c>
      <c r="T5" t="str">
        <f t="shared" si="5"/>
        <v>OK</v>
      </c>
      <c r="U5" t="str">
        <f t="shared" si="6"/>
        <v>OK</v>
      </c>
      <c r="V5" t="str">
        <f t="shared" si="7"/>
        <v>OK</v>
      </c>
    </row>
    <row r="6" spans="1:22" x14ac:dyDescent="0.45">
      <c r="A6" t="str">
        <v>SO-50626</v>
      </c>
      <c r="B6" t="str">
        <v>PL-SUR</v>
      </c>
      <c r="C6" t="str">
        <v>CD-LEO</v>
      </c>
      <c r="D6" t="str">
        <v>BOT-1001</v>
      </c>
      <c r="E6">
        <v>1998</v>
      </c>
      <c r="F6" s="1">
        <v>46175</v>
      </c>
      <c r="G6" t="str">
        <v>Delivered</v>
      </c>
      <c r="H6" t="str">
        <v>OK</v>
      </c>
      <c r="I6">
        <v>6.95</v>
      </c>
      <c r="J6">
        <v>66</v>
      </c>
      <c r="K6">
        <v>95</v>
      </c>
      <c r="L6" t="str">
        <v>OK</v>
      </c>
      <c r="M6">
        <v>2</v>
      </c>
      <c r="O6">
        <f t="shared" si="0"/>
        <v>30.272727272727273</v>
      </c>
      <c r="P6">
        <f t="shared" si="1"/>
        <v>57.858750000000001</v>
      </c>
      <c r="Q6">
        <f t="shared" si="2"/>
        <v>91.735537190082653</v>
      </c>
      <c r="R6">
        <f t="shared" si="3"/>
        <v>1</v>
      </c>
      <c r="S6">
        <f t="shared" si="4"/>
        <v>91.735537190082653</v>
      </c>
      <c r="T6" t="str">
        <f t="shared" si="5"/>
        <v>OK</v>
      </c>
      <c r="U6" t="str">
        <f t="shared" si="6"/>
        <v>OK</v>
      </c>
      <c r="V6" t="str">
        <f t="shared" si="7"/>
        <v>OK</v>
      </c>
    </row>
    <row r="7" spans="1:22" x14ac:dyDescent="0.45">
      <c r="A7" t="str">
        <v>SO-51098</v>
      </c>
      <c r="B7" t="str">
        <v>PL-CEN</v>
      </c>
      <c r="C7" t="str">
        <v>CD-TOL</v>
      </c>
      <c r="D7" t="str">
        <v>BOT-1001</v>
      </c>
      <c r="E7">
        <v>2091</v>
      </c>
      <c r="F7" s="1">
        <v>46170</v>
      </c>
      <c r="G7" t="str">
        <v>In Transit</v>
      </c>
      <c r="H7" t="str">
        <v>OK</v>
      </c>
      <c r="I7">
        <v>6.95</v>
      </c>
      <c r="J7">
        <v>66</v>
      </c>
      <c r="K7">
        <v>95</v>
      </c>
      <c r="L7" t="str">
        <v>OK</v>
      </c>
      <c r="M7">
        <v>7</v>
      </c>
      <c r="O7">
        <f t="shared" si="0"/>
        <v>31.681818181818183</v>
      </c>
      <c r="P7">
        <f t="shared" si="1"/>
        <v>60.551875000000003</v>
      </c>
      <c r="Q7">
        <f t="shared" si="2"/>
        <v>96.005509641873289</v>
      </c>
      <c r="R7">
        <f t="shared" si="3"/>
        <v>1</v>
      </c>
      <c r="S7">
        <f t="shared" si="4"/>
        <v>96.005509641873289</v>
      </c>
      <c r="T7" t="str">
        <f t="shared" si="5"/>
        <v>OK</v>
      </c>
      <c r="U7" t="str">
        <f t="shared" si="6"/>
        <v>OK</v>
      </c>
      <c r="V7" t="str">
        <f t="shared" si="7"/>
        <v>FANTASMA</v>
      </c>
    </row>
    <row r="8" spans="1:22" x14ac:dyDescent="0.45">
      <c r="A8" t="str">
        <v>SO-51025</v>
      </c>
      <c r="B8" t="str">
        <v>PL-SUR</v>
      </c>
      <c r="C8" t="str">
        <v>CD-CAN</v>
      </c>
      <c r="D8" t="str">
        <v>LAC-1003</v>
      </c>
      <c r="E8">
        <v>2320</v>
      </c>
      <c r="F8" s="1">
        <v>46162</v>
      </c>
      <c r="G8" t="str">
        <v>In Transit</v>
      </c>
      <c r="H8" t="str">
        <v>OK</v>
      </c>
      <c r="I8">
        <v>9.02</v>
      </c>
      <c r="J8">
        <v>114</v>
      </c>
      <c r="K8">
        <v>18</v>
      </c>
      <c r="L8" t="str">
        <v>OK</v>
      </c>
      <c r="M8">
        <v>15</v>
      </c>
      <c r="O8">
        <f t="shared" si="0"/>
        <v>20.350877192982455</v>
      </c>
      <c r="P8">
        <f t="shared" si="1"/>
        <v>87.193333333333328</v>
      </c>
      <c r="Q8">
        <f t="shared" si="2"/>
        <v>61.669324827219562</v>
      </c>
      <c r="R8">
        <f t="shared" si="3"/>
        <v>1</v>
      </c>
      <c r="S8">
        <f t="shared" si="4"/>
        <v>87.193333333333328</v>
      </c>
      <c r="T8" t="str">
        <f t="shared" si="5"/>
        <v>OK</v>
      </c>
      <c r="U8" t="str">
        <f t="shared" si="6"/>
        <v>FEFO RIESGO</v>
      </c>
      <c r="V8" t="str">
        <f t="shared" si="7"/>
        <v>FANTASMA</v>
      </c>
    </row>
    <row r="9" spans="1:22" x14ac:dyDescent="0.45">
      <c r="A9" t="str">
        <v>SO-50981</v>
      </c>
      <c r="B9" t="str">
        <v>PL-SUR</v>
      </c>
      <c r="C9" t="str">
        <v>CD-GDL</v>
      </c>
      <c r="D9" t="str">
        <v>LAC-1003</v>
      </c>
      <c r="E9">
        <v>2296</v>
      </c>
      <c r="F9" s="1">
        <v>46176</v>
      </c>
      <c r="G9" t="str">
        <v>In Transit</v>
      </c>
      <c r="H9" t="str">
        <v>OK</v>
      </c>
      <c r="I9">
        <v>9.02</v>
      </c>
      <c r="J9">
        <v>114</v>
      </c>
      <c r="K9">
        <v>18</v>
      </c>
      <c r="L9" t="str">
        <v>OK</v>
      </c>
      <c r="M9">
        <v>1</v>
      </c>
      <c r="O9">
        <f t="shared" si="0"/>
        <v>20.140350877192983</v>
      </c>
      <c r="P9">
        <f t="shared" si="1"/>
        <v>86.291333333333327</v>
      </c>
      <c r="Q9">
        <f t="shared" si="2"/>
        <v>61.03136629452419</v>
      </c>
      <c r="R9">
        <f t="shared" si="3"/>
        <v>1</v>
      </c>
      <c r="S9">
        <f t="shared" si="4"/>
        <v>86.291333333333327</v>
      </c>
      <c r="T9" t="str">
        <f t="shared" si="5"/>
        <v>OK</v>
      </c>
      <c r="U9" t="str">
        <f t="shared" si="6"/>
        <v>OK</v>
      </c>
      <c r="V9" t="str">
        <f t="shared" si="7"/>
        <v>OK</v>
      </c>
    </row>
    <row r="10" spans="1:22" x14ac:dyDescent="0.45">
      <c r="A10" t="str">
        <v>SO-50240</v>
      </c>
      <c r="B10" t="str">
        <v>PL-CEN</v>
      </c>
      <c r="C10" t="str">
        <v>CD-PUE</v>
      </c>
      <c r="D10" t="str">
        <v>BOT-1009</v>
      </c>
      <c r="E10">
        <v>997</v>
      </c>
      <c r="F10" s="1">
        <v>46176</v>
      </c>
      <c r="G10" t="str">
        <v>In Transit</v>
      </c>
      <c r="H10" t="str">
        <v>OK</v>
      </c>
      <c r="I10">
        <v>5.25</v>
      </c>
      <c r="J10">
        <v>76</v>
      </c>
      <c r="K10">
        <v>104</v>
      </c>
      <c r="L10" t="str">
        <v>OK</v>
      </c>
      <c r="M10">
        <v>1</v>
      </c>
      <c r="O10">
        <f t="shared" si="0"/>
        <v>13.118421052631579</v>
      </c>
      <c r="P10">
        <f t="shared" si="1"/>
        <v>21.809374999999999</v>
      </c>
      <c r="Q10">
        <f t="shared" si="2"/>
        <v>39.752791068580542</v>
      </c>
      <c r="R10">
        <f t="shared" si="3"/>
        <v>1</v>
      </c>
      <c r="S10">
        <f t="shared" si="4"/>
        <v>39.752791068580542</v>
      </c>
      <c r="T10" t="str">
        <f t="shared" si="5"/>
        <v>CARGA INEFICIENTE</v>
      </c>
      <c r="U10" t="str">
        <f t="shared" si="6"/>
        <v>OK</v>
      </c>
      <c r="V10" t="str">
        <f t="shared" si="7"/>
        <v>OK</v>
      </c>
    </row>
    <row r="11" spans="1:22" x14ac:dyDescent="0.45">
      <c r="A11" t="str">
        <v>SO-50101</v>
      </c>
      <c r="B11" t="str">
        <v>PL-CEN</v>
      </c>
      <c r="C11" t="str">
        <v>CD-TOL</v>
      </c>
      <c r="D11" t="str">
        <v>BOT-1011</v>
      </c>
      <c r="E11">
        <v>2534</v>
      </c>
      <c r="F11" s="1">
        <v>46176</v>
      </c>
      <c r="G11" t="str">
        <v>In Transit</v>
      </c>
      <c r="H11" t="str">
        <v>OK</v>
      </c>
      <c r="I11">
        <v>3.43</v>
      </c>
      <c r="J11">
        <v>88</v>
      </c>
      <c r="K11">
        <v>109</v>
      </c>
      <c r="L11" t="str">
        <v>OK</v>
      </c>
      <c r="M11">
        <v>1</v>
      </c>
      <c r="O11">
        <f t="shared" si="0"/>
        <v>28.795454545454547</v>
      </c>
      <c r="P11">
        <f t="shared" si="1"/>
        <v>36.21508333333334</v>
      </c>
      <c r="Q11">
        <f t="shared" si="2"/>
        <v>87.258953168044087</v>
      </c>
      <c r="R11">
        <f t="shared" si="3"/>
        <v>1</v>
      </c>
      <c r="S11">
        <f t="shared" si="4"/>
        <v>87.258953168044087</v>
      </c>
      <c r="T11" t="str">
        <f t="shared" si="5"/>
        <v>OK</v>
      </c>
      <c r="U11" t="str">
        <f t="shared" si="6"/>
        <v>OK</v>
      </c>
      <c r="V11" t="str">
        <f t="shared" si="7"/>
        <v>OK</v>
      </c>
    </row>
    <row r="12" spans="1:22" x14ac:dyDescent="0.45">
      <c r="A12" t="str">
        <v>SO-50596</v>
      </c>
      <c r="B12" t="str">
        <v>PL-CEN</v>
      </c>
      <c r="C12" t="str">
        <v>CD-QRO</v>
      </c>
      <c r="D12" t="str">
        <v>BOT-1011</v>
      </c>
      <c r="E12">
        <v>2712</v>
      </c>
      <c r="F12" s="1">
        <v>46175</v>
      </c>
      <c r="G12" t="str">
        <v>In Transit</v>
      </c>
      <c r="H12" t="str">
        <v>OK</v>
      </c>
      <c r="I12">
        <v>3.43</v>
      </c>
      <c r="J12">
        <v>88</v>
      </c>
      <c r="K12">
        <v>109</v>
      </c>
      <c r="L12" t="str">
        <v>OK</v>
      </c>
      <c r="M12">
        <v>2</v>
      </c>
      <c r="O12">
        <f t="shared" si="0"/>
        <v>30.818181818181817</v>
      </c>
      <c r="P12">
        <f t="shared" si="1"/>
        <v>38.759</v>
      </c>
      <c r="Q12">
        <f t="shared" si="2"/>
        <v>93.388429752066116</v>
      </c>
      <c r="R12">
        <f t="shared" si="3"/>
        <v>1</v>
      </c>
      <c r="S12">
        <f t="shared" si="4"/>
        <v>93.388429752066116</v>
      </c>
      <c r="T12" t="str">
        <f t="shared" si="5"/>
        <v>OK</v>
      </c>
      <c r="U12" t="str">
        <f t="shared" si="6"/>
        <v>OK</v>
      </c>
      <c r="V12" t="str">
        <f t="shared" si="7"/>
        <v>OK</v>
      </c>
    </row>
    <row r="13" spans="1:22" x14ac:dyDescent="0.45">
      <c r="A13" t="str">
        <v>SO-50083</v>
      </c>
      <c r="B13" t="str">
        <v>PL-CEN</v>
      </c>
      <c r="C13" t="str">
        <v>CD-VER</v>
      </c>
      <c r="D13" t="str">
        <v>BEB-1005</v>
      </c>
      <c r="E13">
        <v>901</v>
      </c>
      <c r="F13" s="1">
        <v>46176</v>
      </c>
      <c r="G13" t="str">
        <v>In Transit</v>
      </c>
      <c r="H13" t="str">
        <v>OK</v>
      </c>
      <c r="I13">
        <v>14.2</v>
      </c>
      <c r="J13">
        <v>95</v>
      </c>
      <c r="K13">
        <v>277</v>
      </c>
      <c r="L13" t="str">
        <v>OK</v>
      </c>
      <c r="M13">
        <v>1</v>
      </c>
      <c r="O13">
        <f t="shared" si="0"/>
        <v>9.4842105263157901</v>
      </c>
      <c r="P13">
        <f t="shared" si="1"/>
        <v>53.309166666666663</v>
      </c>
      <c r="Q13">
        <f t="shared" si="2"/>
        <v>28.740031897926638</v>
      </c>
      <c r="R13">
        <f t="shared" si="3"/>
        <v>1</v>
      </c>
      <c r="S13">
        <f t="shared" si="4"/>
        <v>53.309166666666663</v>
      </c>
      <c r="T13" t="str">
        <f t="shared" si="5"/>
        <v>CARGA INEFICIENTE</v>
      </c>
      <c r="U13" t="str">
        <f t="shared" si="6"/>
        <v>OK</v>
      </c>
      <c r="V13" t="str">
        <f t="shared" si="7"/>
        <v>OK</v>
      </c>
    </row>
    <row r="14" spans="1:22" x14ac:dyDescent="0.45">
      <c r="A14" t="str">
        <v>SO-50671</v>
      </c>
      <c r="B14" t="str">
        <v>PL-SUR</v>
      </c>
      <c r="C14" t="str">
        <v>CD-GDL</v>
      </c>
      <c r="D14" t="str">
        <v>BEB-1005</v>
      </c>
      <c r="E14">
        <v>1391</v>
      </c>
      <c r="F14" s="1">
        <v>46176</v>
      </c>
      <c r="G14" t="str">
        <v>In Transit</v>
      </c>
      <c r="H14" t="str">
        <v>OK</v>
      </c>
      <c r="I14">
        <v>14.2</v>
      </c>
      <c r="J14">
        <v>95</v>
      </c>
      <c r="K14">
        <v>277</v>
      </c>
      <c r="L14" t="str">
        <v>OK</v>
      </c>
      <c r="M14">
        <v>1</v>
      </c>
      <c r="O14">
        <f t="shared" si="0"/>
        <v>14.642105263157895</v>
      </c>
      <c r="P14">
        <f t="shared" si="1"/>
        <v>82.30083333333333</v>
      </c>
      <c r="Q14">
        <f t="shared" si="2"/>
        <v>44.370015948963314</v>
      </c>
      <c r="R14">
        <f t="shared" si="3"/>
        <v>1</v>
      </c>
      <c r="S14">
        <f t="shared" si="4"/>
        <v>82.30083333333333</v>
      </c>
      <c r="T14" t="str">
        <f t="shared" si="5"/>
        <v>OK</v>
      </c>
      <c r="U14" t="str">
        <f t="shared" si="6"/>
        <v>OK</v>
      </c>
      <c r="V14" t="str">
        <f t="shared" si="7"/>
        <v>OK</v>
      </c>
    </row>
    <row r="15" spans="1:22" x14ac:dyDescent="0.45">
      <c r="A15" t="str">
        <v>SO-50957</v>
      </c>
      <c r="B15" t="str">
        <v>PL-SUR</v>
      </c>
      <c r="C15" t="str">
        <v>CD-CAN</v>
      </c>
      <c r="D15" t="str">
        <v>BEB-1005</v>
      </c>
      <c r="E15">
        <v>991</v>
      </c>
      <c r="F15" s="1">
        <v>46175</v>
      </c>
      <c r="G15" t="str">
        <v>Delivered</v>
      </c>
      <c r="H15" t="str">
        <v>OK</v>
      </c>
      <c r="I15">
        <v>14.2</v>
      </c>
      <c r="J15">
        <v>95</v>
      </c>
      <c r="K15">
        <v>277</v>
      </c>
      <c r="L15" t="str">
        <v>OK</v>
      </c>
      <c r="M15">
        <v>2</v>
      </c>
      <c r="O15">
        <f t="shared" si="0"/>
        <v>10.43157894736842</v>
      </c>
      <c r="P15">
        <f t="shared" si="1"/>
        <v>58.634166666666665</v>
      </c>
      <c r="Q15">
        <f t="shared" si="2"/>
        <v>31.610845295055817</v>
      </c>
      <c r="R15">
        <f t="shared" si="3"/>
        <v>1</v>
      </c>
      <c r="S15">
        <f t="shared" si="4"/>
        <v>58.634166666666665</v>
      </c>
      <c r="T15" t="str">
        <f t="shared" si="5"/>
        <v>CARGA INEFICIENTE</v>
      </c>
      <c r="U15" t="str">
        <f t="shared" si="6"/>
        <v>OK</v>
      </c>
      <c r="V15" t="str">
        <f t="shared" si="7"/>
        <v>OK</v>
      </c>
    </row>
    <row r="16" spans="1:22" x14ac:dyDescent="0.45">
      <c r="A16" t="str">
        <v>SO-50776</v>
      </c>
      <c r="B16" t="str">
        <v>PL-SUR</v>
      </c>
      <c r="C16" t="str">
        <v>CD-LEO</v>
      </c>
      <c r="D16" t="str">
        <v>PRO-1000</v>
      </c>
      <c r="E16">
        <v>1036</v>
      </c>
      <c r="F16" s="1">
        <v>46176</v>
      </c>
      <c r="G16" t="str">
        <v>In Transit</v>
      </c>
      <c r="H16" t="str">
        <v>OK</v>
      </c>
      <c r="I16">
        <v>12.51</v>
      </c>
      <c r="J16">
        <v>73</v>
      </c>
      <c r="K16">
        <v>75</v>
      </c>
      <c r="L16" t="str">
        <v>OK</v>
      </c>
      <c r="M16">
        <v>1</v>
      </c>
      <c r="O16">
        <f t="shared" si="0"/>
        <v>14.191780821917808</v>
      </c>
      <c r="P16">
        <f t="shared" si="1"/>
        <v>54.0015</v>
      </c>
      <c r="Q16">
        <f t="shared" si="2"/>
        <v>43.005396430053963</v>
      </c>
      <c r="R16">
        <f t="shared" si="3"/>
        <v>1</v>
      </c>
      <c r="S16">
        <f t="shared" si="4"/>
        <v>54.0015</v>
      </c>
      <c r="T16" t="str">
        <f t="shared" si="5"/>
        <v>CARGA INEFICIENTE</v>
      </c>
      <c r="U16" t="str">
        <f t="shared" si="6"/>
        <v>OK</v>
      </c>
      <c r="V16" t="str">
        <f t="shared" si="7"/>
        <v>OK</v>
      </c>
    </row>
    <row r="17" spans="1:22" x14ac:dyDescent="0.45">
      <c r="A17" t="str">
        <v>SO-50477</v>
      </c>
      <c r="B17" t="str">
        <v>PL-CEN</v>
      </c>
      <c r="C17" t="str">
        <v>CD-VER</v>
      </c>
      <c r="D17" t="str">
        <v>PRO-1000</v>
      </c>
      <c r="E17">
        <v>704</v>
      </c>
      <c r="F17" s="1">
        <v>46175</v>
      </c>
      <c r="G17" t="str">
        <v>In Transit</v>
      </c>
      <c r="H17" t="str">
        <v>OK</v>
      </c>
      <c r="I17">
        <v>12.51</v>
      </c>
      <c r="J17">
        <v>73</v>
      </c>
      <c r="K17">
        <v>75</v>
      </c>
      <c r="L17" t="str">
        <v>OK</v>
      </c>
      <c r="M17">
        <v>2</v>
      </c>
      <c r="O17">
        <f t="shared" si="0"/>
        <v>9.6438356164383556</v>
      </c>
      <c r="P17">
        <f t="shared" si="1"/>
        <v>36.695999999999998</v>
      </c>
      <c r="Q17">
        <f t="shared" si="2"/>
        <v>29.223744292237441</v>
      </c>
      <c r="R17">
        <f t="shared" si="3"/>
        <v>1</v>
      </c>
      <c r="S17">
        <f t="shared" si="4"/>
        <v>36.695999999999998</v>
      </c>
      <c r="T17" t="str">
        <f t="shared" si="5"/>
        <v>CARGA INEFICIENTE</v>
      </c>
      <c r="U17" t="str">
        <f t="shared" si="6"/>
        <v>OK</v>
      </c>
      <c r="V17" t="str">
        <f t="shared" si="7"/>
        <v>OK</v>
      </c>
    </row>
    <row r="18" spans="1:22" x14ac:dyDescent="0.45">
      <c r="A18" t="str">
        <v>SO-50404</v>
      </c>
      <c r="B18" t="str">
        <v>PL-NTE</v>
      </c>
      <c r="C18" t="str">
        <v>CD-TIJ</v>
      </c>
      <c r="D18" t="str">
        <v>PRO-1000</v>
      </c>
      <c r="E18">
        <v>615</v>
      </c>
      <c r="F18" s="1">
        <v>46175</v>
      </c>
      <c r="G18" t="str">
        <v>In Transit</v>
      </c>
      <c r="H18" t="str">
        <v>OK</v>
      </c>
      <c r="I18">
        <v>12.51</v>
      </c>
      <c r="J18">
        <v>73</v>
      </c>
      <c r="K18">
        <v>75</v>
      </c>
      <c r="L18" t="str">
        <v>OK</v>
      </c>
      <c r="M18">
        <v>2</v>
      </c>
      <c r="O18">
        <f t="shared" si="0"/>
        <v>8.4246575342465757</v>
      </c>
      <c r="P18">
        <f t="shared" si="1"/>
        <v>32.056874999999998</v>
      </c>
      <c r="Q18">
        <f t="shared" si="2"/>
        <v>25.529265255292653</v>
      </c>
      <c r="R18">
        <f t="shared" si="3"/>
        <v>1</v>
      </c>
      <c r="S18">
        <f t="shared" si="4"/>
        <v>32.056874999999998</v>
      </c>
      <c r="T18" t="str">
        <f t="shared" si="5"/>
        <v>CARGA INEFICIENTE</v>
      </c>
      <c r="U18" t="str">
        <f t="shared" si="6"/>
        <v>OK</v>
      </c>
      <c r="V18" t="str">
        <f t="shared" si="7"/>
        <v>OK</v>
      </c>
    </row>
    <row r="19" spans="1:22" x14ac:dyDescent="0.45">
      <c r="A19" t="str">
        <v>SO-50667</v>
      </c>
      <c r="B19" t="str">
        <v>PL-SUR</v>
      </c>
      <c r="C19" t="str">
        <v>CD-LEO</v>
      </c>
      <c r="D19" t="str">
        <v>PRO-1000</v>
      </c>
      <c r="E19">
        <v>1515</v>
      </c>
      <c r="F19" s="1">
        <v>46175</v>
      </c>
      <c r="G19" t="str">
        <v>In Transit</v>
      </c>
      <c r="H19" t="str">
        <v>OK</v>
      </c>
      <c r="I19">
        <v>12.51</v>
      </c>
      <c r="J19">
        <v>73</v>
      </c>
      <c r="K19">
        <v>75</v>
      </c>
      <c r="L19" t="str">
        <v>OK</v>
      </c>
      <c r="M19">
        <v>2</v>
      </c>
      <c r="O19">
        <f t="shared" si="0"/>
        <v>20.753424657534246</v>
      </c>
      <c r="P19">
        <f t="shared" si="1"/>
        <v>78.969375000000014</v>
      </c>
      <c r="Q19">
        <f t="shared" si="2"/>
        <v>62.889165628891654</v>
      </c>
      <c r="R19">
        <f t="shared" si="3"/>
        <v>1</v>
      </c>
      <c r="S19">
        <f t="shared" si="4"/>
        <v>78.969375000000014</v>
      </c>
      <c r="T19" t="str">
        <f t="shared" si="5"/>
        <v>OK</v>
      </c>
      <c r="U19" t="str">
        <f t="shared" si="6"/>
        <v>OK</v>
      </c>
      <c r="V19" t="str">
        <f t="shared" si="7"/>
        <v>OK</v>
      </c>
    </row>
    <row r="20" spans="1:22" x14ac:dyDescent="0.45">
      <c r="A20" t="str">
        <v>SO-50987</v>
      </c>
      <c r="B20" t="str">
        <v>PL-CEN</v>
      </c>
      <c r="C20" t="str">
        <v>CD-VER</v>
      </c>
      <c r="D20" t="str">
        <v>PRO-1000</v>
      </c>
      <c r="E20">
        <v>1830</v>
      </c>
      <c r="F20" s="1">
        <v>46174</v>
      </c>
      <c r="G20" t="str">
        <v>In Transit</v>
      </c>
      <c r="H20" t="str">
        <v>OK</v>
      </c>
      <c r="I20">
        <v>12.51</v>
      </c>
      <c r="J20">
        <v>73</v>
      </c>
      <c r="K20">
        <v>75</v>
      </c>
      <c r="L20" t="str">
        <v>OK</v>
      </c>
      <c r="M20">
        <v>3</v>
      </c>
      <c r="O20">
        <f t="shared" si="0"/>
        <v>25.068493150684933</v>
      </c>
      <c r="P20">
        <f t="shared" si="1"/>
        <v>95.388750000000002</v>
      </c>
      <c r="Q20">
        <f t="shared" si="2"/>
        <v>75.965130759651316</v>
      </c>
      <c r="R20">
        <f t="shared" si="3"/>
        <v>1</v>
      </c>
      <c r="S20">
        <f t="shared" si="4"/>
        <v>95.388750000000002</v>
      </c>
      <c r="T20" t="str">
        <f t="shared" si="5"/>
        <v>OK</v>
      </c>
      <c r="U20" t="str">
        <f t="shared" si="6"/>
        <v>OK</v>
      </c>
      <c r="V20" t="str">
        <f t="shared" si="7"/>
        <v>OK</v>
      </c>
    </row>
    <row r="21" spans="1:22" x14ac:dyDescent="0.45">
      <c r="A21" t="str">
        <v>SO-50583</v>
      </c>
      <c r="B21" t="str">
        <v>PL-CEN</v>
      </c>
      <c r="C21" t="str">
        <v>CD-PUE</v>
      </c>
      <c r="D21" t="str">
        <v>PRO-1000</v>
      </c>
      <c r="E21">
        <v>1610</v>
      </c>
      <c r="F21" s="1">
        <v>46176</v>
      </c>
      <c r="G21" t="str">
        <v>In Transit</v>
      </c>
      <c r="H21" t="str">
        <v>OK</v>
      </c>
      <c r="I21">
        <v>12.51</v>
      </c>
      <c r="J21">
        <v>73</v>
      </c>
      <c r="K21">
        <v>75</v>
      </c>
      <c r="L21" t="str">
        <v>OK</v>
      </c>
      <c r="M21">
        <v>1</v>
      </c>
      <c r="O21">
        <f t="shared" si="0"/>
        <v>22.054794520547944</v>
      </c>
      <c r="P21">
        <f t="shared" si="1"/>
        <v>83.921249999999986</v>
      </c>
      <c r="Q21">
        <f t="shared" si="2"/>
        <v>66.832710668327096</v>
      </c>
      <c r="R21">
        <f t="shared" si="3"/>
        <v>1</v>
      </c>
      <c r="S21">
        <f t="shared" si="4"/>
        <v>83.921249999999986</v>
      </c>
      <c r="T21" t="str">
        <f t="shared" si="5"/>
        <v>OK</v>
      </c>
      <c r="U21" t="str">
        <f t="shared" si="6"/>
        <v>OK</v>
      </c>
      <c r="V21" t="str">
        <f t="shared" si="7"/>
        <v>OK</v>
      </c>
    </row>
    <row r="22" spans="1:22" x14ac:dyDescent="0.45">
      <c r="A22" t="str">
        <v>SO-50491</v>
      </c>
      <c r="B22" t="str">
        <v>PL-NTE</v>
      </c>
      <c r="C22" t="str">
        <v>CD-TIJ</v>
      </c>
      <c r="D22" t="str">
        <v>PRO-1005</v>
      </c>
      <c r="E22">
        <v>530</v>
      </c>
      <c r="F22" s="1">
        <v>46173</v>
      </c>
      <c r="G22" t="str">
        <v>In Transit</v>
      </c>
      <c r="H22" t="str">
        <v>OK</v>
      </c>
      <c r="I22">
        <v>11.02</v>
      </c>
      <c r="J22">
        <v>69</v>
      </c>
      <c r="K22">
        <v>86</v>
      </c>
      <c r="L22" t="str">
        <v>OK</v>
      </c>
      <c r="M22">
        <v>4</v>
      </c>
      <c r="O22">
        <f t="shared" si="0"/>
        <v>7.6811594202898554</v>
      </c>
      <c r="P22">
        <f t="shared" si="1"/>
        <v>24.33583333333333</v>
      </c>
      <c r="Q22">
        <f t="shared" si="2"/>
        <v>23.276240667545018</v>
      </c>
      <c r="R22">
        <f t="shared" si="3"/>
        <v>1</v>
      </c>
      <c r="S22">
        <f t="shared" si="4"/>
        <v>24.33583333333333</v>
      </c>
      <c r="T22" t="str">
        <f t="shared" si="5"/>
        <v>CARGA INEFICIENTE</v>
      </c>
      <c r="U22" t="str">
        <f t="shared" si="6"/>
        <v>OK</v>
      </c>
      <c r="V22" t="str">
        <f t="shared" si="7"/>
        <v>OK</v>
      </c>
    </row>
    <row r="23" spans="1:22" x14ac:dyDescent="0.45">
      <c r="A23" t="str">
        <v>SO-51018</v>
      </c>
      <c r="B23" t="str">
        <v>PL-SUR</v>
      </c>
      <c r="C23" t="str">
        <v>CD-CAN</v>
      </c>
      <c r="D23" t="str">
        <v>LAC-1000</v>
      </c>
      <c r="E23">
        <v>2426</v>
      </c>
      <c r="F23" s="1">
        <v>46160</v>
      </c>
      <c r="G23" t="str">
        <v>In Transit</v>
      </c>
      <c r="H23" t="str">
        <v>OK</v>
      </c>
      <c r="I23">
        <v>8.18</v>
      </c>
      <c r="J23">
        <v>90</v>
      </c>
      <c r="K23">
        <v>29</v>
      </c>
      <c r="L23" t="str">
        <v>OK</v>
      </c>
      <c r="M23">
        <v>17</v>
      </c>
      <c r="O23">
        <f t="shared" si="0"/>
        <v>26.955555555555556</v>
      </c>
      <c r="P23">
        <f t="shared" si="1"/>
        <v>82.686166666666665</v>
      </c>
      <c r="Q23">
        <f t="shared" si="2"/>
        <v>81.683501683501675</v>
      </c>
      <c r="R23">
        <f t="shared" si="3"/>
        <v>1</v>
      </c>
      <c r="S23">
        <f t="shared" si="4"/>
        <v>82.686166666666665</v>
      </c>
      <c r="T23" t="str">
        <f t="shared" si="5"/>
        <v>OK</v>
      </c>
      <c r="U23" t="str">
        <f t="shared" si="6"/>
        <v>FEFO RIESGO</v>
      </c>
      <c r="V23" t="str">
        <f t="shared" si="7"/>
        <v>FANTASMA</v>
      </c>
    </row>
    <row r="24" spans="1:22" x14ac:dyDescent="0.45">
      <c r="A24" t="str">
        <v>SO-50006</v>
      </c>
      <c r="B24" t="str">
        <v>PL-SUR</v>
      </c>
      <c r="C24" t="str">
        <v>CD-LEO</v>
      </c>
      <c r="D24" t="str">
        <v>PRO-1009</v>
      </c>
      <c r="E24">
        <v>1089</v>
      </c>
      <c r="F24" s="1">
        <v>46176</v>
      </c>
      <c r="G24" t="str">
        <v>In Transit</v>
      </c>
      <c r="H24" t="str">
        <v>OK</v>
      </c>
      <c r="I24">
        <v>11.96</v>
      </c>
      <c r="J24">
        <v>101</v>
      </c>
      <c r="K24">
        <v>90</v>
      </c>
      <c r="L24" t="str">
        <v>OK</v>
      </c>
      <c r="M24">
        <v>1</v>
      </c>
      <c r="O24">
        <f t="shared" si="0"/>
        <v>10.782178217821782</v>
      </c>
      <c r="P24">
        <f t="shared" si="1"/>
        <v>54.268499999999996</v>
      </c>
      <c r="Q24">
        <f t="shared" si="2"/>
        <v>32.673267326732677</v>
      </c>
      <c r="R24">
        <f t="shared" si="3"/>
        <v>1</v>
      </c>
      <c r="S24">
        <f t="shared" si="4"/>
        <v>54.268499999999996</v>
      </c>
      <c r="T24" t="str">
        <f t="shared" si="5"/>
        <v>CARGA INEFICIENTE</v>
      </c>
      <c r="U24" t="str">
        <f t="shared" si="6"/>
        <v>OK</v>
      </c>
      <c r="V24" t="str">
        <f t="shared" si="7"/>
        <v>OK</v>
      </c>
    </row>
    <row r="25" spans="1:22" x14ac:dyDescent="0.45">
      <c r="A25" t="str">
        <v>SO-50058</v>
      </c>
      <c r="B25" t="str">
        <v>PL-NTE</v>
      </c>
      <c r="C25" t="str">
        <v>CD-CHI</v>
      </c>
      <c r="D25" t="str">
        <v>LAC-1002</v>
      </c>
      <c r="E25">
        <v>2802</v>
      </c>
      <c r="F25" s="1">
        <v>46176</v>
      </c>
      <c r="G25" t="str">
        <v>In Transit</v>
      </c>
      <c r="H25" t="str">
        <v>OK</v>
      </c>
      <c r="I25">
        <v>7.71</v>
      </c>
      <c r="J25">
        <v>101</v>
      </c>
      <c r="K25">
        <v>23</v>
      </c>
      <c r="L25" t="str">
        <v>OK</v>
      </c>
      <c r="M25">
        <v>1</v>
      </c>
      <c r="O25">
        <f t="shared" si="0"/>
        <v>27.742574257425744</v>
      </c>
      <c r="P25">
        <f t="shared" si="1"/>
        <v>90.01424999999999</v>
      </c>
      <c r="Q25">
        <f t="shared" si="2"/>
        <v>84.068406840684077</v>
      </c>
      <c r="R25">
        <f t="shared" si="3"/>
        <v>1</v>
      </c>
      <c r="S25">
        <f t="shared" si="4"/>
        <v>90.01424999999999</v>
      </c>
      <c r="T25" t="str">
        <f t="shared" si="5"/>
        <v>OK</v>
      </c>
      <c r="U25" t="str">
        <f t="shared" si="6"/>
        <v>OK</v>
      </c>
      <c r="V25" t="str">
        <f t="shared" si="7"/>
        <v>OK</v>
      </c>
    </row>
    <row r="26" spans="1:22" x14ac:dyDescent="0.45">
      <c r="A26" t="str">
        <v>SO-50163</v>
      </c>
      <c r="B26" t="str">
        <v>PL-NTE</v>
      </c>
      <c r="C26" t="str">
        <v>CD-SAL</v>
      </c>
      <c r="D26" t="str">
        <v>LAC-1002</v>
      </c>
      <c r="E26">
        <v>1188</v>
      </c>
      <c r="F26" s="1">
        <v>46175</v>
      </c>
      <c r="G26" t="str">
        <v>In Transit</v>
      </c>
      <c r="H26" t="str">
        <v>OK</v>
      </c>
      <c r="I26">
        <v>7.71</v>
      </c>
      <c r="J26">
        <v>101</v>
      </c>
      <c r="K26">
        <v>23</v>
      </c>
      <c r="L26" t="str">
        <v>OK</v>
      </c>
      <c r="M26">
        <v>2</v>
      </c>
      <c r="O26">
        <f t="shared" si="0"/>
        <v>11.762376237623762</v>
      </c>
      <c r="P26">
        <f t="shared" si="1"/>
        <v>38.164499999999997</v>
      </c>
      <c r="Q26">
        <f t="shared" si="2"/>
        <v>35.64356435643564</v>
      </c>
      <c r="R26">
        <f t="shared" si="3"/>
        <v>1</v>
      </c>
      <c r="S26">
        <f t="shared" si="4"/>
        <v>38.164499999999997</v>
      </c>
      <c r="T26" t="str">
        <f t="shared" si="5"/>
        <v>CARGA INEFICIENTE</v>
      </c>
      <c r="U26" t="str">
        <f t="shared" si="6"/>
        <v>OK</v>
      </c>
      <c r="V26" t="str">
        <f t="shared" si="7"/>
        <v>OK</v>
      </c>
    </row>
    <row r="27" spans="1:22" x14ac:dyDescent="0.45">
      <c r="A27" t="str">
        <v>SO-51008</v>
      </c>
      <c r="B27" t="str">
        <v>PL-SUR</v>
      </c>
      <c r="C27" t="str">
        <v>CD-MOR</v>
      </c>
      <c r="D27" t="str">
        <v>LAC-1016</v>
      </c>
      <c r="E27">
        <v>1766</v>
      </c>
      <c r="F27" s="1">
        <v>46163</v>
      </c>
      <c r="G27" t="str">
        <v>In Transit</v>
      </c>
      <c r="H27" t="str">
        <v>OK</v>
      </c>
      <c r="I27">
        <v>10.9</v>
      </c>
      <c r="J27">
        <v>131</v>
      </c>
      <c r="K27">
        <v>22</v>
      </c>
      <c r="L27" t="str">
        <v>OK</v>
      </c>
      <c r="M27">
        <v>14</v>
      </c>
      <c r="O27">
        <f t="shared" si="0"/>
        <v>13.480916030534351</v>
      </c>
      <c r="P27">
        <f t="shared" si="1"/>
        <v>80.205833333333345</v>
      </c>
      <c r="Q27">
        <f t="shared" si="2"/>
        <v>40.851260698588945</v>
      </c>
      <c r="R27">
        <f t="shared" si="3"/>
        <v>1</v>
      </c>
      <c r="S27">
        <f t="shared" si="4"/>
        <v>80.205833333333345</v>
      </c>
      <c r="T27" t="str">
        <f t="shared" si="5"/>
        <v>OK</v>
      </c>
      <c r="U27" t="str">
        <f t="shared" si="6"/>
        <v>FEFO RIESGO</v>
      </c>
      <c r="V27" t="str">
        <f t="shared" si="7"/>
        <v>FANTASMA</v>
      </c>
    </row>
    <row r="28" spans="1:22" x14ac:dyDescent="0.45">
      <c r="A28" t="str">
        <v>SO-50123</v>
      </c>
      <c r="B28" t="str">
        <v>PL-CEN</v>
      </c>
      <c r="C28" t="str">
        <v>CD-TOL</v>
      </c>
      <c r="D28" t="str">
        <v>LAC-1016</v>
      </c>
      <c r="E28">
        <v>2117</v>
      </c>
      <c r="F28" s="1">
        <v>46175</v>
      </c>
      <c r="G28" t="str">
        <v>In Transit</v>
      </c>
      <c r="H28" t="str">
        <v>OK</v>
      </c>
      <c r="I28">
        <v>10.9</v>
      </c>
      <c r="J28">
        <v>131</v>
      </c>
      <c r="K28">
        <v>22</v>
      </c>
      <c r="L28" t="str">
        <v>OK</v>
      </c>
      <c r="M28">
        <v>2</v>
      </c>
      <c r="O28">
        <f t="shared" si="0"/>
        <v>16.16030534351145</v>
      </c>
      <c r="P28">
        <f t="shared" si="1"/>
        <v>96.147083333333327</v>
      </c>
      <c r="Q28">
        <f t="shared" si="2"/>
        <v>48.970622253065002</v>
      </c>
      <c r="R28">
        <f t="shared" si="3"/>
        <v>1</v>
      </c>
      <c r="S28">
        <f t="shared" si="4"/>
        <v>96.147083333333327</v>
      </c>
      <c r="T28" t="str">
        <f t="shared" si="5"/>
        <v>OK</v>
      </c>
      <c r="U28" t="str">
        <f t="shared" si="6"/>
        <v>OK</v>
      </c>
      <c r="V28" t="str">
        <f t="shared" si="7"/>
        <v>OK</v>
      </c>
    </row>
    <row r="29" spans="1:22" x14ac:dyDescent="0.45">
      <c r="A29" t="str">
        <v>SO-50385</v>
      </c>
      <c r="B29" t="str">
        <v>PL-NTE</v>
      </c>
      <c r="C29" t="str">
        <v>CD-CHI</v>
      </c>
      <c r="D29" t="str">
        <v>LAC-1016</v>
      </c>
      <c r="E29">
        <v>734</v>
      </c>
      <c r="F29" s="1">
        <v>46175</v>
      </c>
      <c r="G29" t="str">
        <v>In Transit</v>
      </c>
      <c r="H29" t="str">
        <v>OK</v>
      </c>
      <c r="I29">
        <v>10.9</v>
      </c>
      <c r="J29">
        <v>131</v>
      </c>
      <c r="K29">
        <v>22</v>
      </c>
      <c r="L29" t="str">
        <v>OK</v>
      </c>
      <c r="M29">
        <v>2</v>
      </c>
      <c r="O29">
        <f t="shared" si="0"/>
        <v>5.6030534351145036</v>
      </c>
      <c r="P29">
        <f t="shared" si="1"/>
        <v>33.335833333333333</v>
      </c>
      <c r="Q29">
        <f t="shared" si="2"/>
        <v>16.978949803377283</v>
      </c>
      <c r="R29">
        <f t="shared" si="3"/>
        <v>1</v>
      </c>
      <c r="S29">
        <f t="shared" si="4"/>
        <v>33.335833333333333</v>
      </c>
      <c r="T29" t="str">
        <f t="shared" si="5"/>
        <v>CARGA INEFICIENTE</v>
      </c>
      <c r="U29" t="str">
        <f t="shared" si="6"/>
        <v>OK</v>
      </c>
      <c r="V29" t="str">
        <f t="shared" si="7"/>
        <v>OK</v>
      </c>
    </row>
    <row r="30" spans="1:22" x14ac:dyDescent="0.45">
      <c r="A30" t="str">
        <v>SO-50564</v>
      </c>
      <c r="B30" t="str">
        <v>PL-NTE</v>
      </c>
      <c r="C30" t="str">
        <v>CD-TIJ</v>
      </c>
      <c r="D30" t="str">
        <v>BEB-1000</v>
      </c>
      <c r="E30">
        <v>1252</v>
      </c>
      <c r="F30" s="1">
        <v>46175</v>
      </c>
      <c r="G30" t="str">
        <v>In Transit</v>
      </c>
      <c r="H30" t="str">
        <v>OK</v>
      </c>
      <c r="I30">
        <v>16.489999999999998</v>
      </c>
      <c r="J30">
        <v>102</v>
      </c>
      <c r="K30">
        <v>315</v>
      </c>
      <c r="L30" t="str">
        <v>OK</v>
      </c>
      <c r="M30">
        <v>2</v>
      </c>
      <c r="O30">
        <f t="shared" si="0"/>
        <v>12.274509803921569</v>
      </c>
      <c r="P30">
        <f t="shared" si="1"/>
        <v>86.022833333333324</v>
      </c>
      <c r="Q30">
        <f t="shared" si="2"/>
        <v>37.195484254307786</v>
      </c>
      <c r="R30">
        <f t="shared" si="3"/>
        <v>1</v>
      </c>
      <c r="S30">
        <f t="shared" si="4"/>
        <v>86.022833333333324</v>
      </c>
      <c r="T30" t="str">
        <f t="shared" si="5"/>
        <v>OK</v>
      </c>
      <c r="U30" t="str">
        <f t="shared" si="6"/>
        <v>OK</v>
      </c>
      <c r="V30" t="str">
        <f t="shared" si="7"/>
        <v>OK</v>
      </c>
    </row>
    <row r="31" spans="1:22" x14ac:dyDescent="0.45">
      <c r="A31" t="str">
        <v>SO-50262</v>
      </c>
      <c r="B31" t="str">
        <v>PL-SUR</v>
      </c>
      <c r="C31" t="str">
        <v>CD-MOR</v>
      </c>
      <c r="D31" t="str">
        <v>LAC-1014</v>
      </c>
      <c r="E31">
        <v>2414</v>
      </c>
      <c r="F31" s="1">
        <v>46175</v>
      </c>
      <c r="G31" t="str">
        <v>In Transit</v>
      </c>
      <c r="H31" t="str">
        <v>OK</v>
      </c>
      <c r="I31">
        <v>8.0500000000000007</v>
      </c>
      <c r="J31">
        <v>147</v>
      </c>
      <c r="K31">
        <v>28</v>
      </c>
      <c r="L31" t="str">
        <v>OK</v>
      </c>
      <c r="M31">
        <v>2</v>
      </c>
      <c r="O31">
        <f t="shared" si="0"/>
        <v>16.421768707482993</v>
      </c>
      <c r="P31">
        <f t="shared" si="1"/>
        <v>80.969583333333333</v>
      </c>
      <c r="Q31">
        <f t="shared" si="2"/>
        <v>49.762935477221191</v>
      </c>
      <c r="R31">
        <f t="shared" si="3"/>
        <v>1</v>
      </c>
      <c r="S31">
        <f t="shared" si="4"/>
        <v>80.969583333333333</v>
      </c>
      <c r="T31" t="str">
        <f t="shared" si="5"/>
        <v>OK</v>
      </c>
      <c r="U31" t="str">
        <f t="shared" si="6"/>
        <v>OK</v>
      </c>
      <c r="V31" t="str">
        <f t="shared" si="7"/>
        <v>OK</v>
      </c>
    </row>
    <row r="32" spans="1:22" x14ac:dyDescent="0.45">
      <c r="A32" t="str">
        <v>SO-50165</v>
      </c>
      <c r="B32" t="str">
        <v>PL-SUR</v>
      </c>
      <c r="C32" t="str">
        <v>CD-MER</v>
      </c>
      <c r="D32" t="str">
        <v>LAC-1014</v>
      </c>
      <c r="E32">
        <v>2494</v>
      </c>
      <c r="F32" s="1">
        <v>46176</v>
      </c>
      <c r="G32" t="str">
        <v>In Transit</v>
      </c>
      <c r="H32" t="str">
        <v>OK</v>
      </c>
      <c r="I32">
        <v>8.0500000000000007</v>
      </c>
      <c r="J32">
        <v>147</v>
      </c>
      <c r="K32">
        <v>28</v>
      </c>
      <c r="L32" t="str">
        <v>OK</v>
      </c>
      <c r="M32">
        <v>1</v>
      </c>
      <c r="O32">
        <f t="shared" si="0"/>
        <v>16.965986394557824</v>
      </c>
      <c r="P32">
        <f t="shared" si="1"/>
        <v>83.65291666666667</v>
      </c>
      <c r="Q32">
        <f t="shared" si="2"/>
        <v>51.412079983508555</v>
      </c>
      <c r="R32">
        <f t="shared" si="3"/>
        <v>1</v>
      </c>
      <c r="S32">
        <f t="shared" si="4"/>
        <v>83.65291666666667</v>
      </c>
      <c r="T32" t="str">
        <f t="shared" si="5"/>
        <v>OK</v>
      </c>
      <c r="U32" t="str">
        <f t="shared" si="6"/>
        <v>OK</v>
      </c>
      <c r="V32" t="str">
        <f t="shared" si="7"/>
        <v>OK</v>
      </c>
    </row>
    <row r="33" spans="1:22" x14ac:dyDescent="0.45">
      <c r="A33" t="str">
        <v>SO-50168</v>
      </c>
      <c r="B33" t="str">
        <v>PL-CEN</v>
      </c>
      <c r="C33" t="str">
        <v>CD-CDMX</v>
      </c>
      <c r="D33" t="str">
        <v>BOT-1017</v>
      </c>
      <c r="E33">
        <v>1253</v>
      </c>
      <c r="F33" s="1">
        <v>46176</v>
      </c>
      <c r="G33" t="str">
        <v>In Transit</v>
      </c>
      <c r="H33" t="str">
        <v>OK</v>
      </c>
      <c r="I33">
        <v>3.75</v>
      </c>
      <c r="J33">
        <v>41</v>
      </c>
      <c r="K33">
        <v>106</v>
      </c>
      <c r="L33" t="str">
        <v>OK</v>
      </c>
      <c r="M33">
        <v>1</v>
      </c>
      <c r="O33">
        <f t="shared" si="0"/>
        <v>30.560975609756099</v>
      </c>
      <c r="P33">
        <f t="shared" si="1"/>
        <v>19.578125</v>
      </c>
      <c r="Q33">
        <f t="shared" si="2"/>
        <v>92.609016999260902</v>
      </c>
      <c r="R33">
        <f t="shared" si="3"/>
        <v>1</v>
      </c>
      <c r="S33">
        <f t="shared" si="4"/>
        <v>92.609016999260902</v>
      </c>
      <c r="T33" t="str">
        <f t="shared" si="5"/>
        <v>OK</v>
      </c>
      <c r="U33" t="str">
        <f t="shared" si="6"/>
        <v>OK</v>
      </c>
      <c r="V33" t="str">
        <f t="shared" si="7"/>
        <v>OK</v>
      </c>
    </row>
    <row r="34" spans="1:22" x14ac:dyDescent="0.45">
      <c r="A34" t="str">
        <v>SO-50124</v>
      </c>
      <c r="B34" t="str">
        <v>PL-NTE</v>
      </c>
      <c r="C34" t="str">
        <v>CD-TIJ</v>
      </c>
      <c r="D34" t="str">
        <v>BEB-1006</v>
      </c>
      <c r="E34">
        <v>736</v>
      </c>
      <c r="F34" s="1">
        <v>46174</v>
      </c>
      <c r="G34" t="str">
        <v>In Transit</v>
      </c>
      <c r="H34" t="str">
        <v>OK</v>
      </c>
      <c r="I34">
        <v>17.18</v>
      </c>
      <c r="J34">
        <v>81</v>
      </c>
      <c r="K34">
        <v>293</v>
      </c>
      <c r="L34" t="str">
        <v>OK</v>
      </c>
      <c r="M34">
        <v>3</v>
      </c>
      <c r="O34">
        <f t="shared" si="0"/>
        <v>9.0864197530864192</v>
      </c>
      <c r="P34">
        <f t="shared" si="1"/>
        <v>52.685333333333325</v>
      </c>
      <c r="Q34">
        <f t="shared" si="2"/>
        <v>27.534605312383086</v>
      </c>
      <c r="R34">
        <f t="shared" si="3"/>
        <v>1</v>
      </c>
      <c r="S34">
        <f t="shared" si="4"/>
        <v>52.685333333333325</v>
      </c>
      <c r="T34" t="str">
        <f t="shared" si="5"/>
        <v>CARGA INEFICIENTE</v>
      </c>
      <c r="U34" t="str">
        <f t="shared" si="6"/>
        <v>OK</v>
      </c>
      <c r="V34" t="str">
        <f t="shared" si="7"/>
        <v>OK</v>
      </c>
    </row>
    <row r="35" spans="1:22" x14ac:dyDescent="0.45">
      <c r="A35" t="str">
        <v>SO-50587</v>
      </c>
      <c r="B35" t="str">
        <v>PL-CEN</v>
      </c>
      <c r="C35" t="str">
        <v>CD-TOL</v>
      </c>
      <c r="D35" t="str">
        <v>ABA-1011</v>
      </c>
      <c r="E35">
        <v>2027</v>
      </c>
      <c r="F35" s="1">
        <v>46175</v>
      </c>
      <c r="G35" t="str">
        <v>In Transit</v>
      </c>
      <c r="H35" t="str">
        <v>OK</v>
      </c>
      <c r="I35">
        <v>9.9499999999999993</v>
      </c>
      <c r="J35">
        <v>106</v>
      </c>
      <c r="K35">
        <v>376</v>
      </c>
      <c r="L35" t="str">
        <v>OK</v>
      </c>
      <c r="M35">
        <v>2</v>
      </c>
      <c r="O35">
        <f t="shared" si="0"/>
        <v>19.122641509433961</v>
      </c>
      <c r="P35">
        <f t="shared" si="1"/>
        <v>84.036041666666662</v>
      </c>
      <c r="Q35">
        <f t="shared" si="2"/>
        <v>57.947398513436241</v>
      </c>
      <c r="R35">
        <f t="shared" si="3"/>
        <v>1</v>
      </c>
      <c r="S35">
        <f t="shared" si="4"/>
        <v>84.036041666666662</v>
      </c>
      <c r="T35" t="str">
        <f t="shared" si="5"/>
        <v>OK</v>
      </c>
      <c r="U35" t="str">
        <f t="shared" si="6"/>
        <v>OK</v>
      </c>
      <c r="V35" t="str">
        <f t="shared" si="7"/>
        <v>OK</v>
      </c>
    </row>
    <row r="36" spans="1:22" x14ac:dyDescent="0.45">
      <c r="A36" t="str">
        <v>SO-50129</v>
      </c>
      <c r="B36" t="str">
        <v>PL-NTE</v>
      </c>
      <c r="C36" t="str">
        <v>CD-CHI</v>
      </c>
      <c r="D36" t="str">
        <v>ABA-1017</v>
      </c>
      <c r="E36">
        <v>2054</v>
      </c>
      <c r="F36" s="1">
        <v>46174</v>
      </c>
      <c r="G36" t="str">
        <v>In Transit</v>
      </c>
      <c r="H36" t="str">
        <v>OK</v>
      </c>
      <c r="I36">
        <v>10.96</v>
      </c>
      <c r="J36">
        <v>128</v>
      </c>
      <c r="K36">
        <v>520</v>
      </c>
      <c r="L36" t="str">
        <v>OK</v>
      </c>
      <c r="M36">
        <v>3</v>
      </c>
      <c r="O36">
        <f t="shared" si="0"/>
        <v>16.046875</v>
      </c>
      <c r="P36">
        <f t="shared" si="1"/>
        <v>93.799333333333337</v>
      </c>
      <c r="Q36">
        <f t="shared" si="2"/>
        <v>48.626893939393938</v>
      </c>
      <c r="R36">
        <f t="shared" si="3"/>
        <v>1</v>
      </c>
      <c r="S36">
        <f t="shared" si="4"/>
        <v>93.799333333333337</v>
      </c>
      <c r="T36" t="str">
        <f t="shared" si="5"/>
        <v>OK</v>
      </c>
      <c r="U36" t="str">
        <f t="shared" si="6"/>
        <v>OK</v>
      </c>
      <c r="V36" t="str">
        <f t="shared" si="7"/>
        <v>OK</v>
      </c>
    </row>
    <row r="37" spans="1:22" x14ac:dyDescent="0.45">
      <c r="A37" t="str">
        <v>SO-50469</v>
      </c>
      <c r="B37" t="str">
        <v>PL-CEN</v>
      </c>
      <c r="C37" t="str">
        <v>CD-QRO</v>
      </c>
      <c r="D37" t="str">
        <v>BOT-1015</v>
      </c>
      <c r="E37">
        <v>1628</v>
      </c>
      <c r="F37" s="1">
        <v>46175</v>
      </c>
      <c r="G37" t="str">
        <v>In Transit</v>
      </c>
      <c r="H37" t="str">
        <v>OK</v>
      </c>
      <c r="I37">
        <v>3.64</v>
      </c>
      <c r="J37">
        <v>62</v>
      </c>
      <c r="K37">
        <v>114</v>
      </c>
      <c r="L37" t="str">
        <v>OK</v>
      </c>
      <c r="M37">
        <v>2</v>
      </c>
      <c r="O37">
        <f t="shared" si="0"/>
        <v>26.258064516129032</v>
      </c>
      <c r="P37">
        <f t="shared" si="1"/>
        <v>24.691333333333336</v>
      </c>
      <c r="Q37">
        <f t="shared" si="2"/>
        <v>79.569892473118273</v>
      </c>
      <c r="R37">
        <f t="shared" si="3"/>
        <v>1</v>
      </c>
      <c r="S37">
        <f t="shared" si="4"/>
        <v>79.569892473118273</v>
      </c>
      <c r="T37" t="str">
        <f t="shared" si="5"/>
        <v>OK</v>
      </c>
      <c r="U37" t="str">
        <f t="shared" si="6"/>
        <v>OK</v>
      </c>
      <c r="V37" t="str">
        <f t="shared" si="7"/>
        <v>OK</v>
      </c>
    </row>
    <row r="38" spans="1:22" x14ac:dyDescent="0.45">
      <c r="A38" t="str">
        <v>SO-50431</v>
      </c>
      <c r="B38" t="str">
        <v>PL-CEN</v>
      </c>
      <c r="C38" t="str">
        <v>CD-TOL</v>
      </c>
      <c r="D38" t="str">
        <v>BOT-1015</v>
      </c>
      <c r="E38">
        <v>1894</v>
      </c>
      <c r="F38" s="1">
        <v>46175</v>
      </c>
      <c r="G38" t="str">
        <v>In Transit</v>
      </c>
      <c r="H38" t="str">
        <v>OK</v>
      </c>
      <c r="I38">
        <v>3.64</v>
      </c>
      <c r="J38">
        <v>62</v>
      </c>
      <c r="K38">
        <v>114</v>
      </c>
      <c r="L38" t="str">
        <v>OK</v>
      </c>
      <c r="M38">
        <v>2</v>
      </c>
      <c r="O38">
        <f t="shared" si="0"/>
        <v>30.548387096774192</v>
      </c>
      <c r="P38">
        <f t="shared" si="1"/>
        <v>28.725666666666665</v>
      </c>
      <c r="Q38">
        <f t="shared" si="2"/>
        <v>92.570869990224821</v>
      </c>
      <c r="R38">
        <f t="shared" si="3"/>
        <v>1</v>
      </c>
      <c r="S38">
        <f t="shared" si="4"/>
        <v>92.570869990224821</v>
      </c>
      <c r="T38" t="str">
        <f t="shared" si="5"/>
        <v>OK</v>
      </c>
      <c r="U38" t="str">
        <f t="shared" si="6"/>
        <v>OK</v>
      </c>
      <c r="V38" t="str">
        <f t="shared" si="7"/>
        <v>OK</v>
      </c>
    </row>
    <row r="39" spans="1:22" x14ac:dyDescent="0.45">
      <c r="A39" t="str">
        <v>SO-50676</v>
      </c>
      <c r="B39" t="str">
        <v>PL-SUR</v>
      </c>
      <c r="C39" t="str">
        <v>CD-CAN</v>
      </c>
      <c r="D39" t="str">
        <v>BOT-1015</v>
      </c>
      <c r="E39">
        <v>920</v>
      </c>
      <c r="F39" s="1">
        <v>46176</v>
      </c>
      <c r="G39" t="str">
        <v>In Transit</v>
      </c>
      <c r="H39" t="str">
        <v>OK</v>
      </c>
      <c r="I39">
        <v>3.64</v>
      </c>
      <c r="J39">
        <v>62</v>
      </c>
      <c r="K39">
        <v>114</v>
      </c>
      <c r="L39" t="str">
        <v>OK</v>
      </c>
      <c r="M39">
        <v>1</v>
      </c>
      <c r="O39">
        <f t="shared" si="0"/>
        <v>14.838709677419354</v>
      </c>
      <c r="P39">
        <f t="shared" si="1"/>
        <v>13.953333333333335</v>
      </c>
      <c r="Q39">
        <f t="shared" si="2"/>
        <v>44.965786901270768</v>
      </c>
      <c r="R39">
        <f t="shared" si="3"/>
        <v>1</v>
      </c>
      <c r="S39">
        <f t="shared" si="4"/>
        <v>44.965786901270768</v>
      </c>
      <c r="T39" t="str">
        <f t="shared" si="5"/>
        <v>CARGA INEFICIENTE</v>
      </c>
      <c r="U39" t="str">
        <f t="shared" si="6"/>
        <v>OK</v>
      </c>
      <c r="V39" t="str">
        <f t="shared" si="7"/>
        <v>OK</v>
      </c>
    </row>
    <row r="40" spans="1:22" x14ac:dyDescent="0.45">
      <c r="A40" t="str">
        <v>SO-50571</v>
      </c>
      <c r="B40" t="str">
        <v>PL-CEN</v>
      </c>
      <c r="C40" t="str">
        <v>CD-CDMX</v>
      </c>
      <c r="D40" t="str">
        <v>ABA-1006</v>
      </c>
      <c r="E40">
        <v>851</v>
      </c>
      <c r="F40" s="1">
        <v>46176</v>
      </c>
      <c r="G40" t="str">
        <v>In Transit</v>
      </c>
      <c r="H40" t="str">
        <v>OK</v>
      </c>
      <c r="I40">
        <v>12.39</v>
      </c>
      <c r="J40">
        <v>134</v>
      </c>
      <c r="K40">
        <v>446</v>
      </c>
      <c r="L40" t="str">
        <v>OK</v>
      </c>
      <c r="M40">
        <v>1</v>
      </c>
      <c r="O40">
        <f t="shared" si="0"/>
        <v>6.3507462686567164</v>
      </c>
      <c r="P40">
        <f t="shared" si="1"/>
        <v>43.932875000000003</v>
      </c>
      <c r="Q40">
        <f t="shared" si="2"/>
        <v>19.244685662596112</v>
      </c>
      <c r="R40">
        <f t="shared" si="3"/>
        <v>1</v>
      </c>
      <c r="S40">
        <f t="shared" si="4"/>
        <v>43.932875000000003</v>
      </c>
      <c r="T40" t="str">
        <f t="shared" si="5"/>
        <v>CARGA INEFICIENTE</v>
      </c>
      <c r="U40" t="str">
        <f t="shared" si="6"/>
        <v>OK</v>
      </c>
      <c r="V40" t="str">
        <f t="shared" si="7"/>
        <v>OK</v>
      </c>
    </row>
    <row r="41" spans="1:22" x14ac:dyDescent="0.45">
      <c r="A41" t="str">
        <v>SO-50139</v>
      </c>
      <c r="B41" t="str">
        <v>PL-CEN</v>
      </c>
      <c r="C41" t="str">
        <v>CD-VER</v>
      </c>
      <c r="D41" t="str">
        <v>ABA-1006</v>
      </c>
      <c r="E41">
        <v>1109</v>
      </c>
      <c r="F41" s="1">
        <v>46175</v>
      </c>
      <c r="G41" t="str">
        <v>In Transit</v>
      </c>
      <c r="H41" t="str">
        <v>OK</v>
      </c>
      <c r="I41">
        <v>12.39</v>
      </c>
      <c r="J41">
        <v>134</v>
      </c>
      <c r="K41">
        <v>446</v>
      </c>
      <c r="L41" t="str">
        <v>OK</v>
      </c>
      <c r="M41">
        <v>2</v>
      </c>
      <c r="O41">
        <f t="shared" si="0"/>
        <v>8.2761194029850742</v>
      </c>
      <c r="P41">
        <f t="shared" si="1"/>
        <v>57.252124999999999</v>
      </c>
      <c r="Q41">
        <f t="shared" si="2"/>
        <v>25.079149706015375</v>
      </c>
      <c r="R41">
        <f t="shared" si="3"/>
        <v>1</v>
      </c>
      <c r="S41">
        <f t="shared" si="4"/>
        <v>57.252124999999999</v>
      </c>
      <c r="T41" t="str">
        <f t="shared" si="5"/>
        <v>CARGA INEFICIENTE</v>
      </c>
      <c r="U41" t="str">
        <f t="shared" si="6"/>
        <v>OK</v>
      </c>
      <c r="V41" t="str">
        <f t="shared" si="7"/>
        <v>OK</v>
      </c>
    </row>
    <row r="42" spans="1:22" x14ac:dyDescent="0.45">
      <c r="A42" t="str">
        <v>SO-50128</v>
      </c>
      <c r="B42" t="str">
        <v>PL-CEN</v>
      </c>
      <c r="C42" t="str">
        <v>CD-CDMX</v>
      </c>
      <c r="D42" t="str">
        <v>PRO-1014</v>
      </c>
      <c r="E42">
        <v>1891</v>
      </c>
      <c r="F42" s="1">
        <v>46176</v>
      </c>
      <c r="G42" t="str">
        <v>In Transit</v>
      </c>
      <c r="H42" t="str">
        <v>OK</v>
      </c>
      <c r="I42">
        <v>5.27</v>
      </c>
      <c r="J42">
        <v>60</v>
      </c>
      <c r="K42">
        <v>129</v>
      </c>
      <c r="L42" t="str">
        <v>OK</v>
      </c>
      <c r="M42">
        <v>1</v>
      </c>
      <c r="O42">
        <f t="shared" si="0"/>
        <v>31.516666666666666</v>
      </c>
      <c r="P42">
        <f t="shared" si="1"/>
        <v>41.523208333333336</v>
      </c>
      <c r="Q42">
        <f t="shared" si="2"/>
        <v>95.505050505050505</v>
      </c>
      <c r="R42">
        <f t="shared" si="3"/>
        <v>1</v>
      </c>
      <c r="S42">
        <f t="shared" si="4"/>
        <v>95.505050505050505</v>
      </c>
      <c r="T42" t="str">
        <f t="shared" si="5"/>
        <v>OK</v>
      </c>
      <c r="U42" t="str">
        <f t="shared" si="6"/>
        <v>OK</v>
      </c>
      <c r="V42" t="str">
        <f t="shared" si="7"/>
        <v>OK</v>
      </c>
    </row>
    <row r="43" spans="1:22" x14ac:dyDescent="0.45">
      <c r="A43" t="str">
        <v>SO-50977</v>
      </c>
      <c r="B43" t="str">
        <v>PL-NTE</v>
      </c>
      <c r="C43" t="str">
        <v>CD-MTY</v>
      </c>
      <c r="D43" t="str">
        <v>ABA-1016</v>
      </c>
      <c r="E43">
        <v>1347</v>
      </c>
      <c r="F43" s="1">
        <v>46176</v>
      </c>
      <c r="G43" t="str">
        <v>In Transit</v>
      </c>
      <c r="H43" t="str">
        <v>OK</v>
      </c>
      <c r="I43">
        <v>15.52</v>
      </c>
      <c r="J43">
        <v>121</v>
      </c>
      <c r="K43">
        <v>517</v>
      </c>
      <c r="L43" t="str">
        <v>OK</v>
      </c>
      <c r="M43">
        <v>1</v>
      </c>
      <c r="O43">
        <f t="shared" si="0"/>
        <v>11.132231404958677</v>
      </c>
      <c r="P43">
        <f t="shared" si="1"/>
        <v>87.105999999999995</v>
      </c>
      <c r="Q43">
        <f t="shared" si="2"/>
        <v>33.734034560480843</v>
      </c>
      <c r="R43">
        <f t="shared" si="3"/>
        <v>1</v>
      </c>
      <c r="S43">
        <f t="shared" si="4"/>
        <v>87.105999999999995</v>
      </c>
      <c r="T43" t="str">
        <f t="shared" si="5"/>
        <v>OK</v>
      </c>
      <c r="U43" t="str">
        <f t="shared" si="6"/>
        <v>OK</v>
      </c>
      <c r="V43" t="str">
        <f t="shared" si="7"/>
        <v>OK</v>
      </c>
    </row>
    <row r="44" spans="1:22" x14ac:dyDescent="0.45">
      <c r="A44" t="str">
        <v>SO-50534</v>
      </c>
      <c r="B44" t="str">
        <v>PL-CEN</v>
      </c>
      <c r="C44" t="str">
        <v>CD-QRO</v>
      </c>
      <c r="D44" t="str">
        <v>ABA-1016</v>
      </c>
      <c r="E44">
        <v>782</v>
      </c>
      <c r="F44" s="1">
        <v>46175</v>
      </c>
      <c r="G44" t="str">
        <v>In Transit</v>
      </c>
      <c r="H44" t="str">
        <v>OK</v>
      </c>
      <c r="I44">
        <v>15.52</v>
      </c>
      <c r="J44">
        <v>121</v>
      </c>
      <c r="K44">
        <v>517</v>
      </c>
      <c r="L44" t="str">
        <v>OK</v>
      </c>
      <c r="M44">
        <v>2</v>
      </c>
      <c r="O44">
        <f t="shared" si="0"/>
        <v>6.4628099173553721</v>
      </c>
      <c r="P44">
        <f t="shared" si="1"/>
        <v>50.569333333333333</v>
      </c>
      <c r="Q44">
        <f t="shared" si="2"/>
        <v>19.58427247683446</v>
      </c>
      <c r="R44">
        <f t="shared" si="3"/>
        <v>1</v>
      </c>
      <c r="S44">
        <f t="shared" si="4"/>
        <v>50.569333333333333</v>
      </c>
      <c r="T44" t="str">
        <f t="shared" si="5"/>
        <v>CARGA INEFICIENTE</v>
      </c>
      <c r="U44" t="str">
        <f t="shared" si="6"/>
        <v>OK</v>
      </c>
      <c r="V44" t="str">
        <f t="shared" si="7"/>
        <v>OK</v>
      </c>
    </row>
    <row r="45" spans="1:22" x14ac:dyDescent="0.45">
      <c r="A45" t="str">
        <v>SO-50541</v>
      </c>
      <c r="B45" t="str">
        <v>PL-NTE</v>
      </c>
      <c r="C45" t="str">
        <v>CD-MTY</v>
      </c>
      <c r="D45" t="str">
        <v>ABA-1016</v>
      </c>
      <c r="E45">
        <v>850</v>
      </c>
      <c r="F45" s="1">
        <v>46176</v>
      </c>
      <c r="G45" t="str">
        <v>In Transit</v>
      </c>
      <c r="H45" t="str">
        <v>OK</v>
      </c>
      <c r="I45">
        <v>15.52</v>
      </c>
      <c r="J45">
        <v>121</v>
      </c>
      <c r="K45">
        <v>517</v>
      </c>
      <c r="L45" t="str">
        <v>OK</v>
      </c>
      <c r="M45">
        <v>1</v>
      </c>
      <c r="O45">
        <f t="shared" si="0"/>
        <v>7.0247933884297522</v>
      </c>
      <c r="P45">
        <f t="shared" si="1"/>
        <v>54.966666666666661</v>
      </c>
      <c r="Q45">
        <f t="shared" si="2"/>
        <v>21.287252692211371</v>
      </c>
      <c r="R45">
        <f t="shared" si="3"/>
        <v>1</v>
      </c>
      <c r="S45">
        <f t="shared" si="4"/>
        <v>54.966666666666661</v>
      </c>
      <c r="T45" t="str">
        <f t="shared" si="5"/>
        <v>CARGA INEFICIENTE</v>
      </c>
      <c r="U45" t="str">
        <f t="shared" si="6"/>
        <v>OK</v>
      </c>
      <c r="V45" t="str">
        <f t="shared" si="7"/>
        <v>OK</v>
      </c>
    </row>
    <row r="46" spans="1:22" x14ac:dyDescent="0.45">
      <c r="A46" t="str">
        <v>SO-50660</v>
      </c>
      <c r="B46" t="str">
        <v>PL-SUR</v>
      </c>
      <c r="C46" t="str">
        <v>CD-MER</v>
      </c>
      <c r="D46" t="str">
        <v>BOT-1014</v>
      </c>
      <c r="E46">
        <v>1504</v>
      </c>
      <c r="F46" s="1">
        <v>46176</v>
      </c>
      <c r="G46" t="str">
        <v>In Transit</v>
      </c>
      <c r="H46" t="str">
        <v>OK</v>
      </c>
      <c r="I46">
        <v>3.92</v>
      </c>
      <c r="J46">
        <v>49</v>
      </c>
      <c r="K46">
        <v>98</v>
      </c>
      <c r="L46" t="str">
        <v>OK</v>
      </c>
      <c r="M46">
        <v>1</v>
      </c>
      <c r="O46">
        <f t="shared" si="0"/>
        <v>30.693877551020407</v>
      </c>
      <c r="P46">
        <f t="shared" si="1"/>
        <v>24.565333333333335</v>
      </c>
      <c r="Q46">
        <f t="shared" si="2"/>
        <v>93.011750154607299</v>
      </c>
      <c r="R46">
        <f t="shared" si="3"/>
        <v>1</v>
      </c>
      <c r="S46">
        <f t="shared" si="4"/>
        <v>93.011750154607299</v>
      </c>
      <c r="T46" t="str">
        <f t="shared" si="5"/>
        <v>OK</v>
      </c>
      <c r="U46" t="str">
        <f t="shared" si="6"/>
        <v>OK</v>
      </c>
      <c r="V46" t="str">
        <f t="shared" si="7"/>
        <v>OK</v>
      </c>
    </row>
    <row r="47" spans="1:22" x14ac:dyDescent="0.45">
      <c r="A47" t="str">
        <v>SO-50478</v>
      </c>
      <c r="B47" t="str">
        <v>PL-SUR</v>
      </c>
      <c r="C47" t="str">
        <v>CD-LEO</v>
      </c>
      <c r="D47" t="str">
        <v>BOT-1003</v>
      </c>
      <c r="E47">
        <v>1770</v>
      </c>
      <c r="F47" s="1">
        <v>46175</v>
      </c>
      <c r="G47" t="str">
        <v>In Transit</v>
      </c>
      <c r="H47" t="str">
        <v>OK</v>
      </c>
      <c r="I47">
        <v>5.92</v>
      </c>
      <c r="J47">
        <v>57</v>
      </c>
      <c r="K47">
        <v>92</v>
      </c>
      <c r="L47" t="str">
        <v>OK</v>
      </c>
      <c r="M47">
        <v>2</v>
      </c>
      <c r="O47">
        <f t="shared" si="0"/>
        <v>31.05263157894737</v>
      </c>
      <c r="P47">
        <f t="shared" si="1"/>
        <v>43.66</v>
      </c>
      <c r="Q47">
        <f t="shared" si="2"/>
        <v>94.098883572567786</v>
      </c>
      <c r="R47">
        <f t="shared" si="3"/>
        <v>1</v>
      </c>
      <c r="S47">
        <f t="shared" si="4"/>
        <v>94.098883572567786</v>
      </c>
      <c r="T47" t="str">
        <f t="shared" si="5"/>
        <v>OK</v>
      </c>
      <c r="U47" t="str">
        <f t="shared" si="6"/>
        <v>OK</v>
      </c>
      <c r="V47" t="str">
        <f t="shared" si="7"/>
        <v>OK</v>
      </c>
    </row>
    <row r="48" spans="1:22" x14ac:dyDescent="0.45">
      <c r="A48" t="str">
        <v>SO-50479</v>
      </c>
      <c r="B48" t="str">
        <v>PL-CEN</v>
      </c>
      <c r="C48" t="str">
        <v>CD-PUE</v>
      </c>
      <c r="D48" t="str">
        <v>BEB-1014</v>
      </c>
      <c r="E48">
        <v>852</v>
      </c>
      <c r="F48" s="1">
        <v>46176</v>
      </c>
      <c r="G48" t="str">
        <v>In Transit</v>
      </c>
      <c r="H48" t="str">
        <v>OK</v>
      </c>
      <c r="I48">
        <v>12.41</v>
      </c>
      <c r="J48">
        <v>95</v>
      </c>
      <c r="K48">
        <v>227</v>
      </c>
      <c r="L48" t="str">
        <v>OK</v>
      </c>
      <c r="M48">
        <v>1</v>
      </c>
      <c r="O48">
        <f t="shared" si="0"/>
        <v>8.9684210526315784</v>
      </c>
      <c r="P48">
        <f t="shared" si="1"/>
        <v>44.055499999999995</v>
      </c>
      <c r="Q48">
        <f t="shared" si="2"/>
        <v>27.177033492822964</v>
      </c>
      <c r="R48">
        <f t="shared" si="3"/>
        <v>1</v>
      </c>
      <c r="S48">
        <f t="shared" si="4"/>
        <v>44.055499999999995</v>
      </c>
      <c r="T48" t="str">
        <f t="shared" si="5"/>
        <v>CARGA INEFICIENTE</v>
      </c>
      <c r="U48" t="str">
        <f t="shared" si="6"/>
        <v>OK</v>
      </c>
      <c r="V48" t="str">
        <f t="shared" si="7"/>
        <v>OK</v>
      </c>
    </row>
    <row r="49" spans="1:22" x14ac:dyDescent="0.45">
      <c r="A49" t="str">
        <v>SO-50134</v>
      </c>
      <c r="B49" t="str">
        <v>PL-NTE</v>
      </c>
      <c r="C49" t="str">
        <v>CD-MTY</v>
      </c>
      <c r="D49" t="str">
        <v>BEB-1014</v>
      </c>
      <c r="E49">
        <v>1588</v>
      </c>
      <c r="F49" s="1">
        <v>46176</v>
      </c>
      <c r="G49" t="str">
        <v>In Transit</v>
      </c>
      <c r="H49" t="str">
        <v>OK</v>
      </c>
      <c r="I49">
        <v>12.41</v>
      </c>
      <c r="J49">
        <v>95</v>
      </c>
      <c r="K49">
        <v>227</v>
      </c>
      <c r="L49" t="str">
        <v>OK</v>
      </c>
      <c r="M49">
        <v>1</v>
      </c>
      <c r="O49">
        <f t="shared" si="0"/>
        <v>16.715789473684211</v>
      </c>
      <c r="P49">
        <f t="shared" si="1"/>
        <v>82.112833333333342</v>
      </c>
      <c r="Q49">
        <f t="shared" si="2"/>
        <v>50.653907496012764</v>
      </c>
      <c r="R49">
        <f t="shared" si="3"/>
        <v>1</v>
      </c>
      <c r="S49">
        <f t="shared" si="4"/>
        <v>82.112833333333342</v>
      </c>
      <c r="T49" t="str">
        <f t="shared" si="5"/>
        <v>OK</v>
      </c>
      <c r="U49" t="str">
        <f t="shared" si="6"/>
        <v>OK</v>
      </c>
      <c r="V49" t="str">
        <f t="shared" si="7"/>
        <v>OK</v>
      </c>
    </row>
    <row r="50" spans="1:22" x14ac:dyDescent="0.45">
      <c r="A50" t="str">
        <v>SO-50919</v>
      </c>
      <c r="B50" t="str">
        <v>PL-SUR</v>
      </c>
      <c r="C50" t="str">
        <v>CD-GDL</v>
      </c>
      <c r="D50" t="str">
        <v>BEB-1014</v>
      </c>
      <c r="E50">
        <v>1710</v>
      </c>
      <c r="F50" s="1">
        <v>46176</v>
      </c>
      <c r="G50" t="str">
        <v>In Transit</v>
      </c>
      <c r="H50" t="str">
        <v>OK</v>
      </c>
      <c r="I50">
        <v>12.41</v>
      </c>
      <c r="J50">
        <v>95</v>
      </c>
      <c r="K50">
        <v>227</v>
      </c>
      <c r="L50" t="str">
        <v>OK</v>
      </c>
      <c r="M50">
        <v>1</v>
      </c>
      <c r="O50">
        <f t="shared" si="0"/>
        <v>18</v>
      </c>
      <c r="P50">
        <f t="shared" si="1"/>
        <v>88.421250000000001</v>
      </c>
      <c r="Q50">
        <f t="shared" si="2"/>
        <v>54.54545454545454</v>
      </c>
      <c r="R50">
        <f t="shared" si="3"/>
        <v>1</v>
      </c>
      <c r="S50">
        <f t="shared" si="4"/>
        <v>88.421250000000001</v>
      </c>
      <c r="T50" t="str">
        <f t="shared" si="5"/>
        <v>OK</v>
      </c>
      <c r="U50" t="str">
        <f t="shared" si="6"/>
        <v>OK</v>
      </c>
      <c r="V50" t="str">
        <f t="shared" si="7"/>
        <v>OK</v>
      </c>
    </row>
    <row r="51" spans="1:22" x14ac:dyDescent="0.45">
      <c r="A51" t="str">
        <v>SO-50126</v>
      </c>
      <c r="B51" t="str">
        <v>PL-CEN</v>
      </c>
      <c r="C51" t="str">
        <v>CD-PUE</v>
      </c>
      <c r="D51" t="str">
        <v>BOT-1013</v>
      </c>
      <c r="E51">
        <v>641</v>
      </c>
      <c r="F51" s="1">
        <v>46176</v>
      </c>
      <c r="G51" t="str">
        <v>In Transit</v>
      </c>
      <c r="H51" t="str">
        <v>OK</v>
      </c>
      <c r="I51">
        <v>4</v>
      </c>
      <c r="J51">
        <v>58</v>
      </c>
      <c r="K51">
        <v>112</v>
      </c>
      <c r="L51" t="str">
        <v>OK</v>
      </c>
      <c r="M51">
        <v>1</v>
      </c>
      <c r="O51">
        <f t="shared" si="0"/>
        <v>11.051724137931034</v>
      </c>
      <c r="P51">
        <f t="shared" si="1"/>
        <v>10.683333333333334</v>
      </c>
      <c r="Q51">
        <f t="shared" si="2"/>
        <v>33.49007314524556</v>
      </c>
      <c r="R51">
        <f t="shared" si="3"/>
        <v>1</v>
      </c>
      <c r="S51">
        <f t="shared" si="4"/>
        <v>33.49007314524556</v>
      </c>
      <c r="T51" t="str">
        <f t="shared" si="5"/>
        <v>CARGA INEFICIENTE</v>
      </c>
      <c r="U51" t="str">
        <f t="shared" si="6"/>
        <v>OK</v>
      </c>
      <c r="V51" t="str">
        <f t="shared" si="7"/>
        <v>OK</v>
      </c>
    </row>
    <row r="52" spans="1:22" x14ac:dyDescent="0.45">
      <c r="A52" t="str">
        <v>SO-50755</v>
      </c>
      <c r="B52" t="str">
        <v>PL-NTE</v>
      </c>
      <c r="C52" t="str">
        <v>CD-MTY</v>
      </c>
      <c r="D52" t="str">
        <v>BOT-1013</v>
      </c>
      <c r="E52">
        <v>1625</v>
      </c>
      <c r="F52" s="1">
        <v>46176</v>
      </c>
      <c r="G52" t="str">
        <v>In Transit</v>
      </c>
      <c r="H52" t="str">
        <v>OK</v>
      </c>
      <c r="I52">
        <v>4</v>
      </c>
      <c r="J52">
        <v>58</v>
      </c>
      <c r="K52">
        <v>112</v>
      </c>
      <c r="L52" t="str">
        <v>OK</v>
      </c>
      <c r="M52">
        <v>1</v>
      </c>
      <c r="O52">
        <f t="shared" si="0"/>
        <v>28.017241379310345</v>
      </c>
      <c r="P52">
        <f t="shared" si="1"/>
        <v>27.083333333333332</v>
      </c>
      <c r="Q52">
        <f t="shared" si="2"/>
        <v>84.900731452455588</v>
      </c>
      <c r="R52">
        <f t="shared" si="3"/>
        <v>1</v>
      </c>
      <c r="S52">
        <f t="shared" si="4"/>
        <v>84.900731452455588</v>
      </c>
      <c r="T52" t="str">
        <f t="shared" si="5"/>
        <v>OK</v>
      </c>
      <c r="U52" t="str">
        <f t="shared" si="6"/>
        <v>OK</v>
      </c>
      <c r="V52" t="str">
        <f t="shared" si="7"/>
        <v>OK</v>
      </c>
    </row>
    <row r="53" spans="1:22" x14ac:dyDescent="0.45">
      <c r="A53" t="str">
        <v>SO-50834</v>
      </c>
      <c r="B53" t="str">
        <v>PL-SUR</v>
      </c>
      <c r="C53" t="str">
        <v>CD-LEO</v>
      </c>
      <c r="D53" t="str">
        <v>BOT-1013</v>
      </c>
      <c r="E53">
        <v>1749</v>
      </c>
      <c r="F53" s="1">
        <v>46176</v>
      </c>
      <c r="G53" t="str">
        <v>In Transit</v>
      </c>
      <c r="H53" t="str">
        <v>OK</v>
      </c>
      <c r="I53">
        <v>4</v>
      </c>
      <c r="J53">
        <v>58</v>
      </c>
      <c r="K53">
        <v>112</v>
      </c>
      <c r="L53" t="str">
        <v>OK</v>
      </c>
      <c r="M53">
        <v>1</v>
      </c>
      <c r="O53">
        <f t="shared" si="0"/>
        <v>30.155172413793103</v>
      </c>
      <c r="P53">
        <f t="shared" si="1"/>
        <v>29.15</v>
      </c>
      <c r="Q53">
        <f t="shared" si="2"/>
        <v>91.379310344827587</v>
      </c>
      <c r="R53">
        <f t="shared" si="3"/>
        <v>1</v>
      </c>
      <c r="S53">
        <f t="shared" si="4"/>
        <v>91.379310344827587</v>
      </c>
      <c r="T53" t="str">
        <f t="shared" si="5"/>
        <v>OK</v>
      </c>
      <c r="U53" t="str">
        <f t="shared" si="6"/>
        <v>OK</v>
      </c>
      <c r="V53" t="str">
        <f t="shared" si="7"/>
        <v>OK</v>
      </c>
    </row>
    <row r="54" spans="1:22" x14ac:dyDescent="0.45">
      <c r="A54" t="str">
        <v>SO-50303</v>
      </c>
      <c r="B54" t="str">
        <v>PL-SUR</v>
      </c>
      <c r="C54" t="str">
        <v>CD-MOR</v>
      </c>
      <c r="D54" t="str">
        <v>BEB-1021</v>
      </c>
      <c r="E54">
        <v>1372</v>
      </c>
      <c r="F54" s="1">
        <v>46176</v>
      </c>
      <c r="G54" t="str">
        <v>In Transit</v>
      </c>
      <c r="H54" t="str">
        <v>OK</v>
      </c>
      <c r="I54">
        <v>16.28</v>
      </c>
      <c r="J54">
        <v>90</v>
      </c>
      <c r="K54">
        <v>280</v>
      </c>
      <c r="L54" t="str">
        <v>OK</v>
      </c>
      <c r="M54">
        <v>1</v>
      </c>
      <c r="O54">
        <f t="shared" si="0"/>
        <v>15.244444444444444</v>
      </c>
      <c r="P54">
        <f t="shared" si="1"/>
        <v>93.067333333333337</v>
      </c>
      <c r="Q54">
        <f t="shared" si="2"/>
        <v>46.195286195286194</v>
      </c>
      <c r="R54">
        <f t="shared" si="3"/>
        <v>1</v>
      </c>
      <c r="S54">
        <f t="shared" si="4"/>
        <v>93.067333333333337</v>
      </c>
      <c r="T54" t="str">
        <f t="shared" si="5"/>
        <v>OK</v>
      </c>
      <c r="U54" t="str">
        <f t="shared" si="6"/>
        <v>OK</v>
      </c>
      <c r="V54" t="str">
        <f t="shared" si="7"/>
        <v>OK</v>
      </c>
    </row>
    <row r="55" spans="1:22" x14ac:dyDescent="0.45">
      <c r="A55" t="str">
        <v>SO-50859</v>
      </c>
      <c r="B55" t="str">
        <v>PL-NTE</v>
      </c>
      <c r="C55" t="str">
        <v>CD-TIJ</v>
      </c>
      <c r="D55" t="str">
        <v>PRO-1008</v>
      </c>
      <c r="E55">
        <v>1614</v>
      </c>
      <c r="F55" s="1">
        <v>46173</v>
      </c>
      <c r="G55" t="str">
        <v>In Transit</v>
      </c>
      <c r="H55" t="str">
        <v>OK</v>
      </c>
      <c r="I55">
        <v>11.98</v>
      </c>
      <c r="J55">
        <v>86</v>
      </c>
      <c r="K55">
        <v>123</v>
      </c>
      <c r="L55" t="str">
        <v>OK</v>
      </c>
      <c r="M55">
        <v>4</v>
      </c>
      <c r="O55">
        <f t="shared" si="0"/>
        <v>18.767441860465116</v>
      </c>
      <c r="P55">
        <f t="shared" si="1"/>
        <v>80.5655</v>
      </c>
      <c r="Q55">
        <f t="shared" si="2"/>
        <v>56.871035940803381</v>
      </c>
      <c r="R55">
        <f t="shared" si="3"/>
        <v>1</v>
      </c>
      <c r="S55">
        <f t="shared" si="4"/>
        <v>80.5655</v>
      </c>
      <c r="T55" t="str">
        <f t="shared" si="5"/>
        <v>OK</v>
      </c>
      <c r="U55" t="str">
        <f t="shared" si="6"/>
        <v>OK</v>
      </c>
      <c r="V55" t="str">
        <f t="shared" si="7"/>
        <v>OK</v>
      </c>
    </row>
    <row r="56" spans="1:22" x14ac:dyDescent="0.45">
      <c r="A56" t="str">
        <v>SO-50192</v>
      </c>
      <c r="B56" t="str">
        <v>PL-SUR</v>
      </c>
      <c r="C56" t="str">
        <v>CD-GDL</v>
      </c>
      <c r="D56" t="str">
        <v>PRO-1008</v>
      </c>
      <c r="E56">
        <v>1928</v>
      </c>
      <c r="F56" s="1">
        <v>46176</v>
      </c>
      <c r="G56" t="str">
        <v>In Transit</v>
      </c>
      <c r="H56" t="str">
        <v>OK</v>
      </c>
      <c r="I56">
        <v>11.98</v>
      </c>
      <c r="J56">
        <v>86</v>
      </c>
      <c r="K56">
        <v>123</v>
      </c>
      <c r="L56" t="str">
        <v>OK</v>
      </c>
      <c r="M56">
        <v>1</v>
      </c>
      <c r="O56">
        <f t="shared" si="0"/>
        <v>22.418604651162791</v>
      </c>
      <c r="P56">
        <f t="shared" si="1"/>
        <v>96.239333333333349</v>
      </c>
      <c r="Q56">
        <f t="shared" si="2"/>
        <v>67.935165609584217</v>
      </c>
      <c r="R56">
        <f t="shared" si="3"/>
        <v>1</v>
      </c>
      <c r="S56">
        <f t="shared" si="4"/>
        <v>96.239333333333349</v>
      </c>
      <c r="T56" t="str">
        <f t="shared" si="5"/>
        <v>OK</v>
      </c>
      <c r="U56" t="str">
        <f t="shared" si="6"/>
        <v>OK</v>
      </c>
      <c r="V56" t="str">
        <f t="shared" si="7"/>
        <v>OK</v>
      </c>
    </row>
    <row r="57" spans="1:22" x14ac:dyDescent="0.45">
      <c r="A57" t="str">
        <v>SO-50863</v>
      </c>
      <c r="B57" t="str">
        <v>PL-NTE</v>
      </c>
      <c r="C57" t="str">
        <v>CD-CHI</v>
      </c>
      <c r="D57" t="str">
        <v>BEB-1020</v>
      </c>
      <c r="E57">
        <v>1211</v>
      </c>
      <c r="F57" s="1">
        <v>46175</v>
      </c>
      <c r="G57" t="str">
        <v>In Transit</v>
      </c>
      <c r="H57" t="str">
        <v>OK</v>
      </c>
      <c r="I57">
        <v>16.66</v>
      </c>
      <c r="J57">
        <v>85</v>
      </c>
      <c r="K57">
        <v>333</v>
      </c>
      <c r="L57" t="str">
        <v>OK</v>
      </c>
      <c r="M57">
        <v>2</v>
      </c>
      <c r="O57">
        <f t="shared" si="0"/>
        <v>14.247058823529411</v>
      </c>
      <c r="P57">
        <f t="shared" si="1"/>
        <v>84.063583333333327</v>
      </c>
      <c r="Q57">
        <f t="shared" si="2"/>
        <v>43.172905525846701</v>
      </c>
      <c r="R57">
        <f t="shared" si="3"/>
        <v>1</v>
      </c>
      <c r="S57">
        <f t="shared" si="4"/>
        <v>84.063583333333327</v>
      </c>
      <c r="T57" t="str">
        <f t="shared" si="5"/>
        <v>OK</v>
      </c>
      <c r="U57" t="str">
        <f t="shared" si="6"/>
        <v>OK</v>
      </c>
      <c r="V57" t="str">
        <f t="shared" si="7"/>
        <v>OK</v>
      </c>
    </row>
    <row r="58" spans="1:22" x14ac:dyDescent="0.45">
      <c r="A58" t="str">
        <v>SO-50211</v>
      </c>
      <c r="B58" t="str">
        <v>PL-NTE</v>
      </c>
      <c r="C58" t="str">
        <v>CD-TIJ</v>
      </c>
      <c r="D58" t="str">
        <v>LAC-1005</v>
      </c>
      <c r="E58">
        <v>2117</v>
      </c>
      <c r="F58" s="1">
        <v>46176</v>
      </c>
      <c r="G58" t="str">
        <v>In Transit</v>
      </c>
      <c r="H58" t="str">
        <v>OK</v>
      </c>
      <c r="I58">
        <v>8.94</v>
      </c>
      <c r="J58">
        <v>100</v>
      </c>
      <c r="K58">
        <v>17</v>
      </c>
      <c r="L58" t="str">
        <v>OK</v>
      </c>
      <c r="M58">
        <v>1</v>
      </c>
      <c r="O58">
        <f t="shared" si="0"/>
        <v>21.17</v>
      </c>
      <c r="P58">
        <f t="shared" si="1"/>
        <v>78.858249999999998</v>
      </c>
      <c r="Q58">
        <f t="shared" si="2"/>
        <v>64.151515151515156</v>
      </c>
      <c r="R58">
        <f t="shared" si="3"/>
        <v>1</v>
      </c>
      <c r="S58">
        <f t="shared" si="4"/>
        <v>78.858249999999998</v>
      </c>
      <c r="T58" t="str">
        <f t="shared" si="5"/>
        <v>OK</v>
      </c>
      <c r="U58" t="str">
        <f t="shared" si="6"/>
        <v>OK</v>
      </c>
      <c r="V58" t="str">
        <f t="shared" si="7"/>
        <v>OK</v>
      </c>
    </row>
    <row r="59" spans="1:22" x14ac:dyDescent="0.45">
      <c r="A59" t="str">
        <v>SO-50569</v>
      </c>
      <c r="B59" t="str">
        <v>PL-CEN</v>
      </c>
      <c r="C59" t="str">
        <v>CD-QRO</v>
      </c>
      <c r="D59" t="str">
        <v>ABA-1004</v>
      </c>
      <c r="E59">
        <v>1559</v>
      </c>
      <c r="F59" s="1">
        <v>46175</v>
      </c>
      <c r="G59" t="str">
        <v>In Transit</v>
      </c>
      <c r="H59" t="str">
        <v>OK</v>
      </c>
      <c r="I59">
        <v>12.85</v>
      </c>
      <c r="J59">
        <v>91</v>
      </c>
      <c r="K59">
        <v>297</v>
      </c>
      <c r="L59" t="str">
        <v>OK</v>
      </c>
      <c r="M59">
        <v>2</v>
      </c>
      <c r="O59">
        <f t="shared" si="0"/>
        <v>17.131868131868131</v>
      </c>
      <c r="P59">
        <f t="shared" si="1"/>
        <v>83.471458333333331</v>
      </c>
      <c r="Q59">
        <f t="shared" si="2"/>
        <v>51.914751914751911</v>
      </c>
      <c r="R59">
        <f t="shared" si="3"/>
        <v>1</v>
      </c>
      <c r="S59">
        <f t="shared" si="4"/>
        <v>83.471458333333331</v>
      </c>
      <c r="T59" t="str">
        <f t="shared" si="5"/>
        <v>OK</v>
      </c>
      <c r="U59" t="str">
        <f t="shared" si="6"/>
        <v>OK</v>
      </c>
      <c r="V59" t="str">
        <f t="shared" si="7"/>
        <v>OK</v>
      </c>
    </row>
    <row r="60" spans="1:22" x14ac:dyDescent="0.45">
      <c r="A60" t="str">
        <v>SO-50416</v>
      </c>
      <c r="B60" t="str">
        <v>PL-SUR</v>
      </c>
      <c r="C60" t="str">
        <v>CD-MOR</v>
      </c>
      <c r="D60" t="str">
        <v>ABA-1004</v>
      </c>
      <c r="E60">
        <v>1677</v>
      </c>
      <c r="F60" s="1">
        <v>46176</v>
      </c>
      <c r="G60" t="str">
        <v>In Transit</v>
      </c>
      <c r="H60" t="str">
        <v>OK</v>
      </c>
      <c r="I60">
        <v>12.85</v>
      </c>
      <c r="J60">
        <v>91</v>
      </c>
      <c r="K60">
        <v>297</v>
      </c>
      <c r="L60" t="str">
        <v>OK</v>
      </c>
      <c r="M60">
        <v>1</v>
      </c>
      <c r="O60">
        <f t="shared" si="0"/>
        <v>18.428571428571427</v>
      </c>
      <c r="P60">
        <f t="shared" si="1"/>
        <v>89.789375000000007</v>
      </c>
      <c r="Q60">
        <f t="shared" si="2"/>
        <v>55.844155844155843</v>
      </c>
      <c r="R60">
        <f t="shared" si="3"/>
        <v>1</v>
      </c>
      <c r="S60">
        <f t="shared" si="4"/>
        <v>89.789375000000007</v>
      </c>
      <c r="T60" t="str">
        <f t="shared" si="5"/>
        <v>OK</v>
      </c>
      <c r="U60" t="str">
        <f t="shared" si="6"/>
        <v>OK</v>
      </c>
      <c r="V60" t="str">
        <f t="shared" si="7"/>
        <v>OK</v>
      </c>
    </row>
    <row r="61" spans="1:22" x14ac:dyDescent="0.45">
      <c r="A61" t="str">
        <v>SO-50184</v>
      </c>
      <c r="B61" t="str">
        <v>PL-SUR</v>
      </c>
      <c r="C61" t="str">
        <v>CD-MOR</v>
      </c>
      <c r="D61" t="str">
        <v>BOT-1018</v>
      </c>
      <c r="E61">
        <v>1447</v>
      </c>
      <c r="F61" s="1">
        <v>46176</v>
      </c>
      <c r="G61" t="str">
        <v>In Transit</v>
      </c>
      <c r="H61" t="str">
        <v>OK</v>
      </c>
      <c r="I61">
        <v>6.23</v>
      </c>
      <c r="J61">
        <v>78</v>
      </c>
      <c r="K61">
        <v>99</v>
      </c>
      <c r="L61" t="str">
        <v>OK</v>
      </c>
      <c r="M61">
        <v>1</v>
      </c>
      <c r="O61">
        <f t="shared" si="0"/>
        <v>18.551282051282051</v>
      </c>
      <c r="P61">
        <f t="shared" si="1"/>
        <v>37.561708333333335</v>
      </c>
      <c r="Q61">
        <f t="shared" si="2"/>
        <v>56.216006216006221</v>
      </c>
      <c r="R61">
        <f t="shared" si="3"/>
        <v>1</v>
      </c>
      <c r="S61">
        <f t="shared" si="4"/>
        <v>56.216006216006221</v>
      </c>
      <c r="T61" t="str">
        <f t="shared" si="5"/>
        <v>CARGA INEFICIENTE</v>
      </c>
      <c r="U61" t="str">
        <f t="shared" si="6"/>
        <v>OK</v>
      </c>
      <c r="V61" t="str">
        <f t="shared" si="7"/>
        <v>OK</v>
      </c>
    </row>
    <row r="62" spans="1:22" x14ac:dyDescent="0.45">
      <c r="A62" t="str">
        <v>SO-50960</v>
      </c>
      <c r="B62" t="str">
        <v>PL-CEN</v>
      </c>
      <c r="C62" t="str">
        <v>CD-CDMX</v>
      </c>
      <c r="D62" t="str">
        <v>ABA-1013</v>
      </c>
      <c r="E62">
        <v>848</v>
      </c>
      <c r="F62" s="1">
        <v>46176</v>
      </c>
      <c r="G62" t="str">
        <v>In Transit</v>
      </c>
      <c r="H62" t="str">
        <v>OK</v>
      </c>
      <c r="I62">
        <v>12.02</v>
      </c>
      <c r="J62">
        <v>75</v>
      </c>
      <c r="K62">
        <v>402</v>
      </c>
      <c r="L62" t="str">
        <v>OK</v>
      </c>
      <c r="M62">
        <v>1</v>
      </c>
      <c r="O62">
        <f t="shared" si="0"/>
        <v>11.306666666666667</v>
      </c>
      <c r="P62">
        <f t="shared" si="1"/>
        <v>42.470666666666659</v>
      </c>
      <c r="Q62">
        <f t="shared" si="2"/>
        <v>34.262626262626263</v>
      </c>
      <c r="R62">
        <f t="shared" si="3"/>
        <v>1</v>
      </c>
      <c r="S62">
        <f t="shared" si="4"/>
        <v>42.470666666666659</v>
      </c>
      <c r="T62" t="str">
        <f t="shared" si="5"/>
        <v>CARGA INEFICIENTE</v>
      </c>
      <c r="U62" t="str">
        <f t="shared" si="6"/>
        <v>OK</v>
      </c>
      <c r="V62" t="str">
        <f t="shared" si="7"/>
        <v>OK</v>
      </c>
    </row>
    <row r="63" spans="1:22" x14ac:dyDescent="0.45">
      <c r="A63" t="str">
        <v>SO-50118</v>
      </c>
      <c r="B63" t="str">
        <v>PL-NTE</v>
      </c>
      <c r="C63" t="str">
        <v>CD-TIJ</v>
      </c>
      <c r="D63" t="str">
        <v>ABA-1013</v>
      </c>
      <c r="E63">
        <v>1592</v>
      </c>
      <c r="F63" s="1">
        <v>46172</v>
      </c>
      <c r="G63" t="str">
        <v>In Transit</v>
      </c>
      <c r="H63" t="str">
        <v>OK</v>
      </c>
      <c r="I63">
        <v>12.02</v>
      </c>
      <c r="J63">
        <v>75</v>
      </c>
      <c r="K63">
        <v>402</v>
      </c>
      <c r="L63" t="str">
        <v>OK</v>
      </c>
      <c r="M63">
        <v>5</v>
      </c>
      <c r="O63">
        <f t="shared" si="0"/>
        <v>21.226666666666667</v>
      </c>
      <c r="P63">
        <f t="shared" si="1"/>
        <v>79.73266666666666</v>
      </c>
      <c r="Q63">
        <f t="shared" si="2"/>
        <v>64.323232323232332</v>
      </c>
      <c r="R63">
        <f t="shared" si="3"/>
        <v>1</v>
      </c>
      <c r="S63">
        <f t="shared" si="4"/>
        <v>79.73266666666666</v>
      </c>
      <c r="T63" t="str">
        <f t="shared" si="5"/>
        <v>OK</v>
      </c>
      <c r="U63" t="str">
        <f t="shared" si="6"/>
        <v>OK</v>
      </c>
      <c r="V63" t="str">
        <f t="shared" si="7"/>
        <v>OK</v>
      </c>
    </row>
    <row r="64" spans="1:22" x14ac:dyDescent="0.45">
      <c r="A64" t="str">
        <v>SO-50338</v>
      </c>
      <c r="B64" t="str">
        <v>PL-NTE</v>
      </c>
      <c r="C64" t="str">
        <v>CD-CHI</v>
      </c>
      <c r="D64" t="str">
        <v>ABA-1013</v>
      </c>
      <c r="E64">
        <v>589</v>
      </c>
      <c r="F64" s="1">
        <v>46175</v>
      </c>
      <c r="G64" t="str">
        <v>In Transit</v>
      </c>
      <c r="H64" t="str">
        <v>OK</v>
      </c>
      <c r="I64">
        <v>12.02</v>
      </c>
      <c r="J64">
        <v>75</v>
      </c>
      <c r="K64">
        <v>402</v>
      </c>
      <c r="L64" t="str">
        <v>OK</v>
      </c>
      <c r="M64">
        <v>2</v>
      </c>
      <c r="O64">
        <f t="shared" si="0"/>
        <v>7.8533333333333335</v>
      </c>
      <c r="P64">
        <f t="shared" si="1"/>
        <v>29.499083333333331</v>
      </c>
      <c r="Q64">
        <f t="shared" si="2"/>
        <v>23.797979797979799</v>
      </c>
      <c r="R64">
        <f t="shared" si="3"/>
        <v>1</v>
      </c>
      <c r="S64">
        <f t="shared" si="4"/>
        <v>29.499083333333331</v>
      </c>
      <c r="T64" t="str">
        <f t="shared" si="5"/>
        <v>CARGA INEFICIENTE</v>
      </c>
      <c r="U64" t="str">
        <f t="shared" si="6"/>
        <v>OK</v>
      </c>
      <c r="V64" t="str">
        <f t="shared" si="7"/>
        <v>OK</v>
      </c>
    </row>
    <row r="65" spans="1:22" x14ac:dyDescent="0.45">
      <c r="A65" t="str">
        <v>SO-50047</v>
      </c>
      <c r="B65" t="str">
        <v>PL-NTE</v>
      </c>
      <c r="C65" t="str">
        <v>CD-HER</v>
      </c>
      <c r="D65" t="str">
        <v>BEB-1009</v>
      </c>
      <c r="E65">
        <v>1120</v>
      </c>
      <c r="F65" s="1">
        <v>46174</v>
      </c>
      <c r="G65" t="str">
        <v>In Transit</v>
      </c>
      <c r="H65" t="str">
        <v>OK</v>
      </c>
      <c r="I65">
        <v>18.170000000000002</v>
      </c>
      <c r="J65">
        <v>61</v>
      </c>
      <c r="K65">
        <v>188</v>
      </c>
      <c r="L65" t="str">
        <v>OK</v>
      </c>
      <c r="M65">
        <v>3</v>
      </c>
      <c r="O65">
        <f t="shared" si="0"/>
        <v>18.360655737704917</v>
      </c>
      <c r="P65">
        <f t="shared" si="1"/>
        <v>84.793333333333337</v>
      </c>
      <c r="Q65">
        <f t="shared" si="2"/>
        <v>55.638350720317931</v>
      </c>
      <c r="R65">
        <f t="shared" si="3"/>
        <v>1</v>
      </c>
      <c r="S65">
        <f t="shared" si="4"/>
        <v>84.793333333333337</v>
      </c>
      <c r="T65" t="str">
        <f t="shared" si="5"/>
        <v>OK</v>
      </c>
      <c r="U65" t="str">
        <f t="shared" si="6"/>
        <v>OK</v>
      </c>
      <c r="V65" t="str">
        <f t="shared" si="7"/>
        <v>OK</v>
      </c>
    </row>
    <row r="66" spans="1:22" x14ac:dyDescent="0.45">
      <c r="A66" t="str">
        <v>SO-50500</v>
      </c>
      <c r="B66" t="str">
        <v>PL-NTE</v>
      </c>
      <c r="C66" t="str">
        <v>CD-HER</v>
      </c>
      <c r="D66" t="str">
        <v>PRO-1002</v>
      </c>
      <c r="E66">
        <v>2134</v>
      </c>
      <c r="F66" s="1">
        <v>46176</v>
      </c>
      <c r="G66" t="str">
        <v>In Transit</v>
      </c>
      <c r="H66" t="str">
        <v>OK</v>
      </c>
      <c r="I66">
        <v>9.6999999999999993</v>
      </c>
      <c r="J66">
        <v>98</v>
      </c>
      <c r="K66">
        <v>115</v>
      </c>
      <c r="L66" t="str">
        <v>OK</v>
      </c>
      <c r="M66">
        <v>1</v>
      </c>
      <c r="O66">
        <f t="shared" si="0"/>
        <v>21.775510204081634</v>
      </c>
      <c r="P66">
        <f t="shared" si="1"/>
        <v>86.249166666666667</v>
      </c>
      <c r="Q66">
        <f t="shared" si="2"/>
        <v>65.986394557823132</v>
      </c>
      <c r="R66">
        <f t="shared" si="3"/>
        <v>1</v>
      </c>
      <c r="S66">
        <f t="shared" si="4"/>
        <v>86.249166666666667</v>
      </c>
      <c r="T66" t="str">
        <f t="shared" si="5"/>
        <v>OK</v>
      </c>
      <c r="U66" t="str">
        <f t="shared" si="6"/>
        <v>OK</v>
      </c>
      <c r="V66" t="str">
        <f t="shared" si="7"/>
        <v>OK</v>
      </c>
    </row>
    <row r="67" spans="1:22" x14ac:dyDescent="0.45">
      <c r="A67" t="str">
        <v>SO-50875</v>
      </c>
      <c r="B67" t="str">
        <v>PL-SUR</v>
      </c>
      <c r="C67" t="str">
        <v>CD-GDL</v>
      </c>
      <c r="D67" t="str">
        <v>PRO-1002</v>
      </c>
      <c r="E67">
        <v>557</v>
      </c>
      <c r="F67" s="1">
        <v>46176</v>
      </c>
      <c r="G67" t="str">
        <v>In Transit</v>
      </c>
      <c r="H67" t="str">
        <v>OK</v>
      </c>
      <c r="I67">
        <v>9.6999999999999993</v>
      </c>
      <c r="J67">
        <v>98</v>
      </c>
      <c r="K67">
        <v>115</v>
      </c>
      <c r="L67" t="str">
        <v>OK</v>
      </c>
      <c r="M67">
        <v>1</v>
      </c>
      <c r="O67">
        <f t="shared" ref="O67:O130" si="8">IF(L67="HUERFANO","n/a",IF(ISNUMBER(J67),E67/J67,"n/a"))</f>
        <v>5.6836734693877551</v>
      </c>
      <c r="P67">
        <f t="shared" ref="P67:P130" si="9">IF(L67="HUERFANO","n/a",IFERROR(E67*I67/24000*100,""))</f>
        <v>22.512083333333333</v>
      </c>
      <c r="Q67">
        <f t="shared" ref="Q67:Q130" si="10">IF(L67="HUERFANO","n/a",IFERROR(O67/33*100,""))</f>
        <v>17.223252937538653</v>
      </c>
      <c r="R67">
        <f t="shared" ref="R67:R130" si="11">IF(L67="HUERFANO","n/a",IFERROR(MAX(CEILING(P67/100,1),CEILING(Q67/100,1)),""))</f>
        <v>1</v>
      </c>
      <c r="S67">
        <f t="shared" ref="S67:S130" si="12">IF(L67="HUERFANO","n/a",IFERROR(MAX(P67,Q67)/(R67*100)*100,""))</f>
        <v>22.512083333333333</v>
      </c>
      <c r="T67" t="str">
        <f t="shared" ref="T67:T130" si="13">IF(L67="HUERFANO","n/a",IF(S67&lt;75,"CARGA INEFICIENTE","OK"))</f>
        <v>CARGA INEFICIENTE</v>
      </c>
      <c r="U67" t="str">
        <f t="shared" ref="U67:U130" si="14">IF(L67="HUERFANO","n/a",IF(AND(LEFT(D67,3)="LAC",(K67-M67)/K67*100&lt;70),"FEFO RIESGO","OK"))</f>
        <v>OK</v>
      </c>
      <c r="V67" t="str">
        <f t="shared" ref="V67:V130" si="15">IF(L67="HUERFANO","n/a",IF(AND(G67="In Transit",M67&gt;5),"FANTASMA","OK"))</f>
        <v>OK</v>
      </c>
    </row>
    <row r="68" spans="1:22" x14ac:dyDescent="0.45">
      <c r="A68" t="str">
        <v>SO-51071</v>
      </c>
      <c r="B68" t="str">
        <v>PL-CEN</v>
      </c>
      <c r="C68" t="str">
        <v>CD-CDMX</v>
      </c>
      <c r="D68" t="str">
        <v>BEB-1017</v>
      </c>
      <c r="E68">
        <v>1028</v>
      </c>
      <c r="F68" s="1">
        <v>46175</v>
      </c>
      <c r="G68" t="str">
        <v>In Transit</v>
      </c>
      <c r="H68" t="str">
        <v>OK</v>
      </c>
      <c r="I68">
        <v>21.3</v>
      </c>
      <c r="J68">
        <v>108</v>
      </c>
      <c r="K68">
        <v>345</v>
      </c>
      <c r="L68" t="str">
        <v>OK</v>
      </c>
      <c r="M68">
        <v>2</v>
      </c>
      <c r="O68">
        <f t="shared" si="8"/>
        <v>9.518518518518519</v>
      </c>
      <c r="P68">
        <f t="shared" si="9"/>
        <v>91.235000000000014</v>
      </c>
      <c r="Q68">
        <f t="shared" si="10"/>
        <v>28.843995510662179</v>
      </c>
      <c r="R68">
        <f t="shared" si="11"/>
        <v>1</v>
      </c>
      <c r="S68">
        <f t="shared" si="12"/>
        <v>91.235000000000014</v>
      </c>
      <c r="T68" t="str">
        <f t="shared" si="13"/>
        <v>OK</v>
      </c>
      <c r="U68" t="str">
        <f t="shared" si="14"/>
        <v>OK</v>
      </c>
      <c r="V68" t="str">
        <f t="shared" si="15"/>
        <v>OK</v>
      </c>
    </row>
    <row r="69" spans="1:22" x14ac:dyDescent="0.45">
      <c r="A69" t="str">
        <v>SO-50068</v>
      </c>
      <c r="B69" t="str">
        <v>PL-CEN</v>
      </c>
      <c r="C69" t="str">
        <v>CD-VER</v>
      </c>
      <c r="D69" t="str">
        <v>PRO-1010</v>
      </c>
      <c r="E69">
        <v>1565</v>
      </c>
      <c r="F69" s="1">
        <v>46176</v>
      </c>
      <c r="G69" t="str">
        <v>In Transit</v>
      </c>
      <c r="H69" t="str">
        <v>OK</v>
      </c>
      <c r="I69">
        <v>7.76</v>
      </c>
      <c r="J69">
        <v>86</v>
      </c>
      <c r="K69">
        <v>112</v>
      </c>
      <c r="L69" t="str">
        <v>OK</v>
      </c>
      <c r="M69">
        <v>1</v>
      </c>
      <c r="O69">
        <f t="shared" si="8"/>
        <v>18.197674418604652</v>
      </c>
      <c r="P69">
        <f t="shared" si="9"/>
        <v>50.601666666666667</v>
      </c>
      <c r="Q69">
        <f t="shared" si="10"/>
        <v>55.144467935165608</v>
      </c>
      <c r="R69">
        <f t="shared" si="11"/>
        <v>1</v>
      </c>
      <c r="S69">
        <f t="shared" si="12"/>
        <v>55.144467935165608</v>
      </c>
      <c r="T69" t="str">
        <f t="shared" si="13"/>
        <v>CARGA INEFICIENTE</v>
      </c>
      <c r="U69" t="str">
        <f t="shared" si="14"/>
        <v>OK</v>
      </c>
      <c r="V69" t="str">
        <f t="shared" si="15"/>
        <v>OK</v>
      </c>
    </row>
    <row r="70" spans="1:22" x14ac:dyDescent="0.45">
      <c r="A70" t="str">
        <v>SO-50197</v>
      </c>
      <c r="B70" t="str">
        <v>PL-SUR</v>
      </c>
      <c r="C70" t="str">
        <v>CD-CAN</v>
      </c>
      <c r="D70" t="str">
        <v>BOT-1020</v>
      </c>
      <c r="E70">
        <v>1267</v>
      </c>
      <c r="F70" s="1">
        <v>46176</v>
      </c>
      <c r="G70" t="str">
        <v>In Transit</v>
      </c>
      <c r="H70" t="str">
        <v>OK</v>
      </c>
      <c r="I70">
        <v>6.27</v>
      </c>
      <c r="J70">
        <v>67</v>
      </c>
      <c r="K70">
        <v>90</v>
      </c>
      <c r="L70" t="str">
        <v>OK</v>
      </c>
      <c r="M70">
        <v>1</v>
      </c>
      <c r="O70">
        <f t="shared" si="8"/>
        <v>18.910447761194028</v>
      </c>
      <c r="P70">
        <f t="shared" si="9"/>
        <v>33.100375</v>
      </c>
      <c r="Q70">
        <f t="shared" si="10"/>
        <v>57.304387155133419</v>
      </c>
      <c r="R70">
        <f t="shared" si="11"/>
        <v>1</v>
      </c>
      <c r="S70">
        <f t="shared" si="12"/>
        <v>57.304387155133419</v>
      </c>
      <c r="T70" t="str">
        <f t="shared" si="13"/>
        <v>CARGA INEFICIENTE</v>
      </c>
      <c r="U70" t="str">
        <f t="shared" si="14"/>
        <v>OK</v>
      </c>
      <c r="V70" t="str">
        <f t="shared" si="15"/>
        <v>OK</v>
      </c>
    </row>
    <row r="71" spans="1:22" x14ac:dyDescent="0.45">
      <c r="A71" t="str">
        <v>SO-50172</v>
      </c>
      <c r="B71" t="str">
        <v>PL-CEN</v>
      </c>
      <c r="C71" t="str">
        <v>CD-PUE</v>
      </c>
      <c r="D71" t="str">
        <v>BOT-1020</v>
      </c>
      <c r="E71">
        <v>661</v>
      </c>
      <c r="F71" s="1">
        <v>46176</v>
      </c>
      <c r="G71" t="str">
        <v>In Transit</v>
      </c>
      <c r="H71" t="str">
        <v>OK</v>
      </c>
      <c r="I71">
        <v>6.27</v>
      </c>
      <c r="J71">
        <v>67</v>
      </c>
      <c r="K71">
        <v>90</v>
      </c>
      <c r="L71" t="str">
        <v>OK</v>
      </c>
      <c r="M71">
        <v>1</v>
      </c>
      <c r="O71">
        <f t="shared" si="8"/>
        <v>9.8656716417910442</v>
      </c>
      <c r="P71">
        <f t="shared" si="9"/>
        <v>17.268625</v>
      </c>
      <c r="Q71">
        <f t="shared" si="10"/>
        <v>29.895974672094074</v>
      </c>
      <c r="R71">
        <f t="shared" si="11"/>
        <v>1</v>
      </c>
      <c r="S71">
        <f t="shared" si="12"/>
        <v>29.895974672094074</v>
      </c>
      <c r="T71" t="str">
        <f t="shared" si="13"/>
        <v>CARGA INEFICIENTE</v>
      </c>
      <c r="U71" t="str">
        <f t="shared" si="14"/>
        <v>OK</v>
      </c>
      <c r="V71" t="str">
        <f t="shared" si="15"/>
        <v>OK</v>
      </c>
    </row>
    <row r="72" spans="1:22" x14ac:dyDescent="0.45">
      <c r="A72" t="str">
        <v>SO-50120</v>
      </c>
      <c r="B72" t="str">
        <v>PL-CEN</v>
      </c>
      <c r="C72" t="str">
        <v>CD-CDMX</v>
      </c>
      <c r="D72" t="str">
        <v>BOT-1004</v>
      </c>
      <c r="E72">
        <v>1763</v>
      </c>
      <c r="F72" s="1">
        <v>46176</v>
      </c>
      <c r="G72" t="str">
        <v>In Transit</v>
      </c>
      <c r="H72" t="str">
        <v>OK</v>
      </c>
      <c r="I72">
        <v>4.43</v>
      </c>
      <c r="J72">
        <v>63</v>
      </c>
      <c r="K72">
        <v>115</v>
      </c>
      <c r="L72" t="str">
        <v>OK</v>
      </c>
      <c r="M72">
        <v>1</v>
      </c>
      <c r="O72">
        <f t="shared" si="8"/>
        <v>27.984126984126984</v>
      </c>
      <c r="P72">
        <f t="shared" si="9"/>
        <v>32.542041666666663</v>
      </c>
      <c r="Q72">
        <f t="shared" si="10"/>
        <v>84.800384800384805</v>
      </c>
      <c r="R72">
        <f t="shared" si="11"/>
        <v>1</v>
      </c>
      <c r="S72">
        <f t="shared" si="12"/>
        <v>84.800384800384805</v>
      </c>
      <c r="T72" t="str">
        <f t="shared" si="13"/>
        <v>OK</v>
      </c>
      <c r="U72" t="str">
        <f t="shared" si="14"/>
        <v>OK</v>
      </c>
      <c r="V72" t="str">
        <f t="shared" si="15"/>
        <v>OK</v>
      </c>
    </row>
    <row r="73" spans="1:22" x14ac:dyDescent="0.45">
      <c r="A73" t="str">
        <v>SO-50460</v>
      </c>
      <c r="B73" t="str">
        <v>PL-SUR</v>
      </c>
      <c r="C73" t="str">
        <v>CD-LEO</v>
      </c>
      <c r="D73" t="str">
        <v>BOT-1004</v>
      </c>
      <c r="E73">
        <v>1173</v>
      </c>
      <c r="F73" s="1">
        <v>46175</v>
      </c>
      <c r="G73" t="str">
        <v>In Transit</v>
      </c>
      <c r="H73" t="str">
        <v>OK</v>
      </c>
      <c r="I73">
        <v>4.43</v>
      </c>
      <c r="J73">
        <v>63</v>
      </c>
      <c r="K73">
        <v>115</v>
      </c>
      <c r="L73" t="str">
        <v>OK</v>
      </c>
      <c r="M73">
        <v>2</v>
      </c>
      <c r="O73">
        <f t="shared" si="8"/>
        <v>18.61904761904762</v>
      </c>
      <c r="P73">
        <f t="shared" si="9"/>
        <v>21.651624999999996</v>
      </c>
      <c r="Q73">
        <f t="shared" si="10"/>
        <v>56.421356421356428</v>
      </c>
      <c r="R73">
        <f t="shared" si="11"/>
        <v>1</v>
      </c>
      <c r="S73">
        <f t="shared" si="12"/>
        <v>56.421356421356428</v>
      </c>
      <c r="T73" t="str">
        <f t="shared" si="13"/>
        <v>CARGA INEFICIENTE</v>
      </c>
      <c r="U73" t="str">
        <f t="shared" si="14"/>
        <v>OK</v>
      </c>
      <c r="V73" t="str">
        <f t="shared" si="15"/>
        <v>OK</v>
      </c>
    </row>
    <row r="74" spans="1:22" x14ac:dyDescent="0.45">
      <c r="A74" t="str">
        <v>SO-50131</v>
      </c>
      <c r="B74" t="str">
        <v>PL-SUR</v>
      </c>
      <c r="C74" t="str">
        <v>CD-MOR</v>
      </c>
      <c r="D74" t="str">
        <v>LAC-1010</v>
      </c>
      <c r="E74">
        <v>1251</v>
      </c>
      <c r="F74" s="1">
        <v>46176</v>
      </c>
      <c r="G74" t="str">
        <v>In Transit</v>
      </c>
      <c r="H74" t="str">
        <v>OK</v>
      </c>
      <c r="I74">
        <v>6.24</v>
      </c>
      <c r="J74">
        <v>146</v>
      </c>
      <c r="K74">
        <v>24</v>
      </c>
      <c r="L74" t="str">
        <v>OK</v>
      </c>
      <c r="M74">
        <v>1</v>
      </c>
      <c r="O74">
        <f t="shared" si="8"/>
        <v>8.5684931506849313</v>
      </c>
      <c r="P74">
        <f t="shared" si="9"/>
        <v>32.526000000000003</v>
      </c>
      <c r="Q74">
        <f t="shared" si="10"/>
        <v>25.965130759651306</v>
      </c>
      <c r="R74">
        <f t="shared" si="11"/>
        <v>1</v>
      </c>
      <c r="S74">
        <f t="shared" si="12"/>
        <v>32.526000000000003</v>
      </c>
      <c r="T74" t="str">
        <f t="shared" si="13"/>
        <v>CARGA INEFICIENTE</v>
      </c>
      <c r="U74" t="str">
        <f t="shared" si="14"/>
        <v>OK</v>
      </c>
      <c r="V74" t="str">
        <f t="shared" si="15"/>
        <v>OK</v>
      </c>
    </row>
    <row r="75" spans="1:22" x14ac:dyDescent="0.45">
      <c r="A75" t="str">
        <v>SO-50731</v>
      </c>
      <c r="B75" t="str">
        <v>PL-NTE</v>
      </c>
      <c r="C75" t="str">
        <v>CD-HER</v>
      </c>
      <c r="D75" t="str">
        <v>LAC-1010</v>
      </c>
      <c r="E75">
        <v>3695</v>
      </c>
      <c r="F75" s="1">
        <v>46173</v>
      </c>
      <c r="G75" t="str">
        <v>In Transit</v>
      </c>
      <c r="H75" t="str">
        <v>OK</v>
      </c>
      <c r="I75">
        <v>6.24</v>
      </c>
      <c r="J75">
        <v>146</v>
      </c>
      <c r="K75">
        <v>24</v>
      </c>
      <c r="L75" t="str">
        <v>OK</v>
      </c>
      <c r="M75">
        <v>4</v>
      </c>
      <c r="O75">
        <f t="shared" si="8"/>
        <v>25.30821917808219</v>
      </c>
      <c r="P75">
        <f t="shared" si="9"/>
        <v>96.07</v>
      </c>
      <c r="Q75">
        <f t="shared" si="10"/>
        <v>76.691573266915725</v>
      </c>
      <c r="R75">
        <f t="shared" si="11"/>
        <v>1</v>
      </c>
      <c r="S75">
        <f t="shared" si="12"/>
        <v>96.07</v>
      </c>
      <c r="T75" t="str">
        <f t="shared" si="13"/>
        <v>OK</v>
      </c>
      <c r="U75" t="str">
        <f t="shared" si="14"/>
        <v>OK</v>
      </c>
      <c r="V75" t="str">
        <f t="shared" si="15"/>
        <v>OK</v>
      </c>
    </row>
    <row r="76" spans="1:22" x14ac:dyDescent="0.45">
      <c r="A76" t="str">
        <v>SO-51029</v>
      </c>
      <c r="B76" t="str">
        <v>PL-NTE</v>
      </c>
      <c r="C76" t="str">
        <v>CD-TIJ</v>
      </c>
      <c r="D76" t="str">
        <v>LAC-1015</v>
      </c>
      <c r="E76">
        <v>1961</v>
      </c>
      <c r="F76" s="1">
        <v>46162</v>
      </c>
      <c r="G76" t="str">
        <v>In Transit</v>
      </c>
      <c r="H76" t="str">
        <v>OK</v>
      </c>
      <c r="I76">
        <v>11.26</v>
      </c>
      <c r="J76">
        <v>129</v>
      </c>
      <c r="K76">
        <v>24</v>
      </c>
      <c r="L76" t="str">
        <v>OK</v>
      </c>
      <c r="M76">
        <v>15</v>
      </c>
      <c r="O76">
        <f t="shared" si="8"/>
        <v>15.2015503875969</v>
      </c>
      <c r="P76">
        <f t="shared" si="9"/>
        <v>92.003583333333339</v>
      </c>
      <c r="Q76">
        <f t="shared" si="10"/>
        <v>46.065304204839094</v>
      </c>
      <c r="R76">
        <f t="shared" si="11"/>
        <v>1</v>
      </c>
      <c r="S76">
        <f t="shared" si="12"/>
        <v>92.003583333333339</v>
      </c>
      <c r="T76" t="str">
        <f t="shared" si="13"/>
        <v>OK</v>
      </c>
      <c r="U76" t="str">
        <f t="shared" si="14"/>
        <v>FEFO RIESGO</v>
      </c>
      <c r="V76" t="str">
        <f t="shared" si="15"/>
        <v>FANTASMA</v>
      </c>
    </row>
    <row r="77" spans="1:22" x14ac:dyDescent="0.45">
      <c r="A77" t="str">
        <v>SO-51056</v>
      </c>
      <c r="B77" t="str">
        <v>PL-CEN</v>
      </c>
      <c r="C77" t="str">
        <v>CD-CDMX</v>
      </c>
      <c r="D77" t="str">
        <v>BEB-1008</v>
      </c>
      <c r="E77">
        <v>1093</v>
      </c>
      <c r="F77" s="1">
        <v>46175</v>
      </c>
      <c r="G77" t="str">
        <v>In Transit</v>
      </c>
      <c r="H77" t="str">
        <v>OK</v>
      </c>
      <c r="I77">
        <v>17.47</v>
      </c>
      <c r="J77">
        <v>65</v>
      </c>
      <c r="K77">
        <v>216</v>
      </c>
      <c r="L77" t="str">
        <v>OK</v>
      </c>
      <c r="M77">
        <v>2</v>
      </c>
      <c r="O77">
        <f t="shared" si="8"/>
        <v>16.815384615384616</v>
      </c>
      <c r="P77">
        <f t="shared" si="9"/>
        <v>79.561291666666662</v>
      </c>
      <c r="Q77">
        <f t="shared" si="10"/>
        <v>50.955710955710956</v>
      </c>
      <c r="R77">
        <f t="shared" si="11"/>
        <v>1</v>
      </c>
      <c r="S77">
        <f t="shared" si="12"/>
        <v>79.561291666666662</v>
      </c>
      <c r="T77" t="str">
        <f t="shared" si="13"/>
        <v>OK</v>
      </c>
      <c r="U77" t="str">
        <f t="shared" si="14"/>
        <v>OK</v>
      </c>
      <c r="V77" t="str">
        <f t="shared" si="15"/>
        <v>OK</v>
      </c>
    </row>
    <row r="78" spans="1:22" x14ac:dyDescent="0.45">
      <c r="A78" t="str">
        <v>SO-50323</v>
      </c>
      <c r="B78" t="str">
        <v>PL-SUR</v>
      </c>
      <c r="C78" t="str">
        <v>CD-MOR</v>
      </c>
      <c r="D78" t="str">
        <v>ABA-1005</v>
      </c>
      <c r="E78">
        <v>1531</v>
      </c>
      <c r="F78" s="1">
        <v>46176</v>
      </c>
      <c r="G78" t="str">
        <v>In Transit</v>
      </c>
      <c r="H78" t="str">
        <v>OK</v>
      </c>
      <c r="I78">
        <v>13.31</v>
      </c>
      <c r="J78">
        <v>89</v>
      </c>
      <c r="K78">
        <v>313</v>
      </c>
      <c r="L78" t="str">
        <v>OK</v>
      </c>
      <c r="M78">
        <v>1</v>
      </c>
      <c r="O78">
        <f t="shared" si="8"/>
        <v>17.202247191011235</v>
      </c>
      <c r="P78">
        <f t="shared" si="9"/>
        <v>84.906708333333341</v>
      </c>
      <c r="Q78">
        <f t="shared" si="10"/>
        <v>52.128021790943137</v>
      </c>
      <c r="R78">
        <f t="shared" si="11"/>
        <v>1</v>
      </c>
      <c r="S78">
        <f t="shared" si="12"/>
        <v>84.906708333333341</v>
      </c>
      <c r="T78" t="str">
        <f t="shared" si="13"/>
        <v>OK</v>
      </c>
      <c r="U78" t="str">
        <f t="shared" si="14"/>
        <v>OK</v>
      </c>
      <c r="V78" t="str">
        <f t="shared" si="15"/>
        <v>OK</v>
      </c>
    </row>
    <row r="79" spans="1:22" x14ac:dyDescent="0.45">
      <c r="A79" t="str">
        <v>SO-50495</v>
      </c>
      <c r="B79" t="str">
        <v>PL-NTE</v>
      </c>
      <c r="C79" t="str">
        <v>CD-SAL</v>
      </c>
      <c r="D79" t="str">
        <v>ABA-1012</v>
      </c>
      <c r="E79">
        <v>1446</v>
      </c>
      <c r="F79" s="1">
        <v>46175</v>
      </c>
      <c r="G79" t="str">
        <v>In Transit</v>
      </c>
      <c r="H79" t="str">
        <v>OK</v>
      </c>
      <c r="I79">
        <v>15.14</v>
      </c>
      <c r="J79">
        <v>117</v>
      </c>
      <c r="K79">
        <v>484</v>
      </c>
      <c r="L79" t="str">
        <v>OK</v>
      </c>
      <c r="M79">
        <v>2</v>
      </c>
      <c r="O79">
        <f t="shared" si="8"/>
        <v>12.358974358974359</v>
      </c>
      <c r="P79">
        <f t="shared" si="9"/>
        <v>91.21850000000002</v>
      </c>
      <c r="Q79">
        <f t="shared" si="10"/>
        <v>37.45143745143745</v>
      </c>
      <c r="R79">
        <f t="shared" si="11"/>
        <v>1</v>
      </c>
      <c r="S79">
        <f t="shared" si="12"/>
        <v>91.21850000000002</v>
      </c>
      <c r="T79" t="str">
        <f t="shared" si="13"/>
        <v>OK</v>
      </c>
      <c r="U79" t="str">
        <f t="shared" si="14"/>
        <v>OK</v>
      </c>
      <c r="V79" t="str">
        <f t="shared" si="15"/>
        <v>OK</v>
      </c>
    </row>
    <row r="80" spans="1:22" x14ac:dyDescent="0.45">
      <c r="A80" t="str">
        <v>SO-50754</v>
      </c>
      <c r="B80" t="str">
        <v>PL-NTE</v>
      </c>
      <c r="C80" t="str">
        <v>CD-CHI</v>
      </c>
      <c r="D80" t="str">
        <v>ABA-1012</v>
      </c>
      <c r="E80">
        <v>1431</v>
      </c>
      <c r="F80" s="1">
        <v>46175</v>
      </c>
      <c r="G80" t="str">
        <v>In Transit</v>
      </c>
      <c r="H80" t="str">
        <v>OK</v>
      </c>
      <c r="I80">
        <v>15.14</v>
      </c>
      <c r="J80">
        <v>117</v>
      </c>
      <c r="K80">
        <v>484</v>
      </c>
      <c r="L80" t="str">
        <v>OK</v>
      </c>
      <c r="M80">
        <v>2</v>
      </c>
      <c r="O80">
        <f t="shared" si="8"/>
        <v>12.23076923076923</v>
      </c>
      <c r="P80">
        <f t="shared" si="9"/>
        <v>90.27225</v>
      </c>
      <c r="Q80">
        <f t="shared" si="10"/>
        <v>37.06293706293706</v>
      </c>
      <c r="R80">
        <f t="shared" si="11"/>
        <v>1</v>
      </c>
      <c r="S80">
        <f t="shared" si="12"/>
        <v>90.27225</v>
      </c>
      <c r="T80" t="str">
        <f t="shared" si="13"/>
        <v>OK</v>
      </c>
      <c r="U80" t="str">
        <f t="shared" si="14"/>
        <v>OK</v>
      </c>
      <c r="V80" t="str">
        <f t="shared" si="15"/>
        <v>OK</v>
      </c>
    </row>
    <row r="81" spans="1:22" x14ac:dyDescent="0.45">
      <c r="A81" t="str">
        <v>SO-50853</v>
      </c>
      <c r="B81" t="str">
        <v>PL-SUR</v>
      </c>
      <c r="C81" t="str">
        <v>CD-GDL</v>
      </c>
      <c r="D81" t="str">
        <v>BEB-1003</v>
      </c>
      <c r="E81">
        <v>929</v>
      </c>
      <c r="F81" s="1">
        <v>46176</v>
      </c>
      <c r="G81" t="str">
        <v>In Transit</v>
      </c>
      <c r="H81" t="str">
        <v>OK</v>
      </c>
      <c r="I81">
        <v>20.5</v>
      </c>
      <c r="J81">
        <v>64</v>
      </c>
      <c r="K81">
        <v>359</v>
      </c>
      <c r="L81" t="str">
        <v>OK</v>
      </c>
      <c r="M81">
        <v>1</v>
      </c>
      <c r="O81">
        <f t="shared" si="8"/>
        <v>14.515625</v>
      </c>
      <c r="P81">
        <f t="shared" si="9"/>
        <v>79.35208333333334</v>
      </c>
      <c r="Q81">
        <f t="shared" si="10"/>
        <v>43.986742424242422</v>
      </c>
      <c r="R81">
        <f t="shared" si="11"/>
        <v>1</v>
      </c>
      <c r="S81">
        <f t="shared" si="12"/>
        <v>79.35208333333334</v>
      </c>
      <c r="T81" t="str">
        <f t="shared" si="13"/>
        <v>OK</v>
      </c>
      <c r="U81" t="str">
        <f t="shared" si="14"/>
        <v>OK</v>
      </c>
      <c r="V81" t="str">
        <f t="shared" si="15"/>
        <v>OK</v>
      </c>
    </row>
    <row r="82" spans="1:22" x14ac:dyDescent="0.45">
      <c r="A82" t="str">
        <v>SO-50751</v>
      </c>
      <c r="B82" t="str">
        <v>PL-CEN</v>
      </c>
      <c r="C82" t="str">
        <v>CD-VER</v>
      </c>
      <c r="D82" t="str">
        <v>BOT-1005</v>
      </c>
      <c r="E82">
        <v>1891</v>
      </c>
      <c r="F82" s="1">
        <v>46175</v>
      </c>
      <c r="G82" t="str">
        <v>Delivered</v>
      </c>
      <c r="H82" t="str">
        <v>OK</v>
      </c>
      <c r="I82">
        <v>5.49</v>
      </c>
      <c r="J82">
        <v>62</v>
      </c>
      <c r="K82">
        <v>91</v>
      </c>
      <c r="L82" t="str">
        <v>OK</v>
      </c>
      <c r="M82">
        <v>2</v>
      </c>
      <c r="O82">
        <f t="shared" si="8"/>
        <v>30.5</v>
      </c>
      <c r="P82">
        <f t="shared" si="9"/>
        <v>43.256625</v>
      </c>
      <c r="Q82">
        <f t="shared" si="10"/>
        <v>92.424242424242422</v>
      </c>
      <c r="R82">
        <f t="shared" si="11"/>
        <v>1</v>
      </c>
      <c r="S82">
        <f t="shared" si="12"/>
        <v>92.424242424242422</v>
      </c>
      <c r="T82" t="str">
        <f t="shared" si="13"/>
        <v>OK</v>
      </c>
      <c r="U82" t="str">
        <f t="shared" si="14"/>
        <v>OK</v>
      </c>
      <c r="V82" t="str">
        <f t="shared" si="15"/>
        <v>OK</v>
      </c>
    </row>
    <row r="83" spans="1:22" x14ac:dyDescent="0.45">
      <c r="A83" t="str">
        <v>SO-50004</v>
      </c>
      <c r="B83" t="str">
        <v>PL-CEN</v>
      </c>
      <c r="C83" t="str">
        <v>CD-PUE</v>
      </c>
      <c r="D83" t="str">
        <v>BOT-1005</v>
      </c>
      <c r="E83">
        <v>565</v>
      </c>
      <c r="F83" s="1">
        <v>46176</v>
      </c>
      <c r="G83" t="str">
        <v>In Transit</v>
      </c>
      <c r="H83" t="str">
        <v>OK</v>
      </c>
      <c r="I83">
        <v>5.49</v>
      </c>
      <c r="J83">
        <v>62</v>
      </c>
      <c r="K83">
        <v>91</v>
      </c>
      <c r="L83" t="str">
        <v>OK</v>
      </c>
      <c r="M83">
        <v>1</v>
      </c>
      <c r="O83">
        <f t="shared" si="8"/>
        <v>9.112903225806452</v>
      </c>
      <c r="P83">
        <f t="shared" si="9"/>
        <v>12.924375</v>
      </c>
      <c r="Q83">
        <f t="shared" si="10"/>
        <v>27.614858260019552</v>
      </c>
      <c r="R83">
        <f t="shared" si="11"/>
        <v>1</v>
      </c>
      <c r="S83">
        <f t="shared" si="12"/>
        <v>27.614858260019552</v>
      </c>
      <c r="T83" t="str">
        <f t="shared" si="13"/>
        <v>CARGA INEFICIENTE</v>
      </c>
      <c r="U83" t="str">
        <f t="shared" si="14"/>
        <v>OK</v>
      </c>
      <c r="V83" t="str">
        <f t="shared" si="15"/>
        <v>OK</v>
      </c>
    </row>
    <row r="84" spans="1:22" x14ac:dyDescent="0.45">
      <c r="A84" t="str">
        <v>SO-50415</v>
      </c>
      <c r="B84" t="str">
        <v>PL-CEN</v>
      </c>
      <c r="C84" t="str">
        <v>CD-CDMX</v>
      </c>
      <c r="D84" t="str">
        <v>BEB-1015</v>
      </c>
      <c r="E84">
        <v>976</v>
      </c>
      <c r="F84" s="1">
        <v>46176</v>
      </c>
      <c r="G84" t="str">
        <v>In Transit</v>
      </c>
      <c r="H84" t="str">
        <v>OK</v>
      </c>
      <c r="I84">
        <v>19.95</v>
      </c>
      <c r="J84">
        <v>78</v>
      </c>
      <c r="K84">
        <v>276</v>
      </c>
      <c r="L84" t="str">
        <v>OK</v>
      </c>
      <c r="M84">
        <v>1</v>
      </c>
      <c r="O84">
        <f t="shared" si="8"/>
        <v>12.512820512820513</v>
      </c>
      <c r="P84">
        <f t="shared" si="9"/>
        <v>81.13</v>
      </c>
      <c r="Q84">
        <f t="shared" si="10"/>
        <v>37.917637917637919</v>
      </c>
      <c r="R84">
        <f t="shared" si="11"/>
        <v>1</v>
      </c>
      <c r="S84">
        <f t="shared" si="12"/>
        <v>81.13</v>
      </c>
      <c r="T84" t="str">
        <f t="shared" si="13"/>
        <v>OK</v>
      </c>
      <c r="U84" t="str">
        <f t="shared" si="14"/>
        <v>OK</v>
      </c>
      <c r="V84" t="str">
        <f t="shared" si="15"/>
        <v>OK</v>
      </c>
    </row>
    <row r="85" spans="1:22" x14ac:dyDescent="0.45">
      <c r="A85" t="str">
        <v>SO-50199</v>
      </c>
      <c r="B85" t="str">
        <v>PL-SUR</v>
      </c>
      <c r="C85" t="str">
        <v>CD-GDL</v>
      </c>
      <c r="D85" t="str">
        <v>BEB-1015</v>
      </c>
      <c r="E85">
        <v>1003</v>
      </c>
      <c r="F85" s="1">
        <v>46176</v>
      </c>
      <c r="G85" t="str">
        <v>In Transit</v>
      </c>
      <c r="H85" t="str">
        <v>OK</v>
      </c>
      <c r="I85">
        <v>19.95</v>
      </c>
      <c r="J85">
        <v>78</v>
      </c>
      <c r="K85">
        <v>276</v>
      </c>
      <c r="L85" t="str">
        <v>OK</v>
      </c>
      <c r="M85">
        <v>1</v>
      </c>
      <c r="O85">
        <f t="shared" si="8"/>
        <v>12.858974358974359</v>
      </c>
      <c r="P85">
        <f t="shared" si="9"/>
        <v>83.374374999999986</v>
      </c>
      <c r="Q85">
        <f t="shared" si="10"/>
        <v>38.966588966588965</v>
      </c>
      <c r="R85">
        <f t="shared" si="11"/>
        <v>1</v>
      </c>
      <c r="S85">
        <f t="shared" si="12"/>
        <v>83.374374999999986</v>
      </c>
      <c r="T85" t="str">
        <f t="shared" si="13"/>
        <v>OK</v>
      </c>
      <c r="U85" t="str">
        <f t="shared" si="14"/>
        <v>OK</v>
      </c>
      <c r="V85" t="str">
        <f t="shared" si="15"/>
        <v>OK</v>
      </c>
    </row>
    <row r="86" spans="1:22" x14ac:dyDescent="0.45">
      <c r="A86" t="str">
        <v>SO-50413</v>
      </c>
      <c r="B86" t="str">
        <v>PL-NTE</v>
      </c>
      <c r="C86" t="str">
        <v>CD-HER</v>
      </c>
      <c r="D86" t="str">
        <v>BEB-1015</v>
      </c>
      <c r="E86">
        <v>1151</v>
      </c>
      <c r="F86" s="1">
        <v>46174</v>
      </c>
      <c r="G86" t="str">
        <v>In Transit</v>
      </c>
      <c r="H86" t="str">
        <v>OK</v>
      </c>
      <c r="I86">
        <v>19.95</v>
      </c>
      <c r="J86">
        <v>78</v>
      </c>
      <c r="K86">
        <v>276</v>
      </c>
      <c r="L86" t="str">
        <v>OK</v>
      </c>
      <c r="M86">
        <v>3</v>
      </c>
      <c r="O86">
        <f t="shared" si="8"/>
        <v>14.756410256410257</v>
      </c>
      <c r="P86">
        <f t="shared" si="9"/>
        <v>95.67687500000001</v>
      </c>
      <c r="Q86">
        <f t="shared" si="10"/>
        <v>44.716394716394717</v>
      </c>
      <c r="R86">
        <f t="shared" si="11"/>
        <v>1</v>
      </c>
      <c r="S86">
        <f t="shared" si="12"/>
        <v>95.67687500000001</v>
      </c>
      <c r="T86" t="str">
        <f t="shared" si="13"/>
        <v>OK</v>
      </c>
      <c r="U86" t="str">
        <f t="shared" si="14"/>
        <v>OK</v>
      </c>
      <c r="V86" t="str">
        <f t="shared" si="15"/>
        <v>OK</v>
      </c>
    </row>
    <row r="87" spans="1:22" x14ac:dyDescent="0.45">
      <c r="A87" t="str">
        <v>SO-50012</v>
      </c>
      <c r="B87" t="str">
        <v>PL-CEN</v>
      </c>
      <c r="C87" t="str">
        <v>CD-QRO</v>
      </c>
      <c r="D87" t="str">
        <v>BEB-1015</v>
      </c>
      <c r="E87">
        <v>491</v>
      </c>
      <c r="F87" s="1">
        <v>46175</v>
      </c>
      <c r="G87" t="str">
        <v>In Transit</v>
      </c>
      <c r="H87" t="str">
        <v>OK</v>
      </c>
      <c r="I87">
        <v>19.95</v>
      </c>
      <c r="J87">
        <v>78</v>
      </c>
      <c r="K87">
        <v>276</v>
      </c>
      <c r="L87" t="str">
        <v>OK</v>
      </c>
      <c r="M87">
        <v>2</v>
      </c>
      <c r="O87">
        <f t="shared" si="8"/>
        <v>6.2948717948717947</v>
      </c>
      <c r="P87">
        <f t="shared" si="9"/>
        <v>40.814374999999998</v>
      </c>
      <c r="Q87">
        <f t="shared" si="10"/>
        <v>19.075369075369075</v>
      </c>
      <c r="R87">
        <f t="shared" si="11"/>
        <v>1</v>
      </c>
      <c r="S87">
        <f t="shared" si="12"/>
        <v>40.814374999999998</v>
      </c>
      <c r="T87" t="str">
        <f t="shared" si="13"/>
        <v>CARGA INEFICIENTE</v>
      </c>
      <c r="U87" t="str">
        <f t="shared" si="14"/>
        <v>OK</v>
      </c>
      <c r="V87" t="str">
        <f t="shared" si="15"/>
        <v>OK</v>
      </c>
    </row>
    <row r="88" spans="1:22" x14ac:dyDescent="0.45">
      <c r="A88" t="str">
        <v>SO-50697</v>
      </c>
      <c r="B88" t="str">
        <v>PL-CEN</v>
      </c>
      <c r="C88" t="str">
        <v>CD-TOL</v>
      </c>
      <c r="D88" t="str">
        <v>BEB-1015</v>
      </c>
      <c r="E88">
        <v>1162</v>
      </c>
      <c r="F88" s="1">
        <v>46176</v>
      </c>
      <c r="G88" t="str">
        <v>In Transit</v>
      </c>
      <c r="H88" t="str">
        <v>OK</v>
      </c>
      <c r="I88">
        <v>19.95</v>
      </c>
      <c r="J88">
        <v>78</v>
      </c>
      <c r="K88">
        <v>276</v>
      </c>
      <c r="L88" t="str">
        <v>OK</v>
      </c>
      <c r="M88">
        <v>1</v>
      </c>
      <c r="O88">
        <f t="shared" si="8"/>
        <v>14.897435897435898</v>
      </c>
      <c r="P88">
        <f t="shared" si="9"/>
        <v>96.591250000000002</v>
      </c>
      <c r="Q88">
        <f t="shared" si="10"/>
        <v>45.143745143745143</v>
      </c>
      <c r="R88">
        <f t="shared" si="11"/>
        <v>1</v>
      </c>
      <c r="S88">
        <f t="shared" si="12"/>
        <v>96.591250000000002</v>
      </c>
      <c r="T88" t="str">
        <f t="shared" si="13"/>
        <v>OK</v>
      </c>
      <c r="U88" t="str">
        <f t="shared" si="14"/>
        <v>OK</v>
      </c>
      <c r="V88" t="str">
        <f t="shared" si="15"/>
        <v>OK</v>
      </c>
    </row>
    <row r="89" spans="1:22" x14ac:dyDescent="0.45">
      <c r="A89" t="str">
        <v>SO-50149</v>
      </c>
      <c r="B89" t="str">
        <v>PL-SUR</v>
      </c>
      <c r="C89" t="str">
        <v>CD-CAN</v>
      </c>
      <c r="D89" t="str">
        <v>LAC-1006</v>
      </c>
      <c r="E89">
        <v>2124</v>
      </c>
      <c r="F89" s="1">
        <v>46176</v>
      </c>
      <c r="G89" t="str">
        <v>In Transit</v>
      </c>
      <c r="H89" t="str">
        <v>OK</v>
      </c>
      <c r="I89">
        <v>10.029999999999999</v>
      </c>
      <c r="J89">
        <v>126</v>
      </c>
      <c r="K89">
        <v>17</v>
      </c>
      <c r="L89" t="str">
        <v>OK</v>
      </c>
      <c r="M89">
        <v>1</v>
      </c>
      <c r="O89">
        <f t="shared" si="8"/>
        <v>16.857142857142858</v>
      </c>
      <c r="P89">
        <f t="shared" si="9"/>
        <v>88.765499999999989</v>
      </c>
      <c r="Q89">
        <f t="shared" si="10"/>
        <v>51.082251082251084</v>
      </c>
      <c r="R89">
        <f t="shared" si="11"/>
        <v>1</v>
      </c>
      <c r="S89">
        <f t="shared" si="12"/>
        <v>88.765499999999989</v>
      </c>
      <c r="T89" t="str">
        <f t="shared" si="13"/>
        <v>OK</v>
      </c>
      <c r="U89" t="str">
        <f t="shared" si="14"/>
        <v>OK</v>
      </c>
      <c r="V89" t="str">
        <f t="shared" si="15"/>
        <v>OK</v>
      </c>
    </row>
    <row r="90" spans="1:22" x14ac:dyDescent="0.45">
      <c r="A90" t="str">
        <v>SO-50247</v>
      </c>
      <c r="B90" t="str">
        <v>PL-NTE</v>
      </c>
      <c r="C90" t="str">
        <v>CD-HER</v>
      </c>
      <c r="D90" t="str">
        <v>BOT-1000</v>
      </c>
      <c r="E90">
        <v>1878</v>
      </c>
      <c r="F90" s="1">
        <v>46174</v>
      </c>
      <c r="G90" t="str">
        <v>In Transit</v>
      </c>
      <c r="H90" t="str">
        <v>OK</v>
      </c>
      <c r="I90">
        <v>3.56</v>
      </c>
      <c r="J90">
        <v>64</v>
      </c>
      <c r="K90">
        <v>92</v>
      </c>
      <c r="L90" t="str">
        <v>OK</v>
      </c>
      <c r="M90">
        <v>3</v>
      </c>
      <c r="O90">
        <f t="shared" si="8"/>
        <v>29.34375</v>
      </c>
      <c r="P90">
        <f t="shared" si="9"/>
        <v>27.857000000000003</v>
      </c>
      <c r="Q90">
        <f t="shared" si="10"/>
        <v>88.920454545454547</v>
      </c>
      <c r="R90">
        <f t="shared" si="11"/>
        <v>1</v>
      </c>
      <c r="S90">
        <f t="shared" si="12"/>
        <v>88.920454545454547</v>
      </c>
      <c r="T90" t="str">
        <f t="shared" si="13"/>
        <v>OK</v>
      </c>
      <c r="U90" t="str">
        <f t="shared" si="14"/>
        <v>OK</v>
      </c>
      <c r="V90" t="str">
        <f t="shared" si="15"/>
        <v>OK</v>
      </c>
    </row>
    <row r="91" spans="1:22" x14ac:dyDescent="0.45">
      <c r="A91" t="str">
        <v>SO-50474</v>
      </c>
      <c r="B91" t="str">
        <v>PL-NTE</v>
      </c>
      <c r="C91" t="str">
        <v>CD-SAL</v>
      </c>
      <c r="D91" t="str">
        <v>PRO-1003</v>
      </c>
      <c r="E91">
        <v>1579</v>
      </c>
      <c r="F91" s="1">
        <v>46175</v>
      </c>
      <c r="G91" t="str">
        <v>In Transit</v>
      </c>
      <c r="H91" t="str">
        <v>OK</v>
      </c>
      <c r="I91">
        <v>13.9</v>
      </c>
      <c r="J91">
        <v>69</v>
      </c>
      <c r="K91">
        <v>106</v>
      </c>
      <c r="L91" t="str">
        <v>OK</v>
      </c>
      <c r="M91">
        <v>2</v>
      </c>
      <c r="O91">
        <f t="shared" si="8"/>
        <v>22.884057971014492</v>
      </c>
      <c r="P91">
        <f t="shared" si="9"/>
        <v>91.450416666666683</v>
      </c>
      <c r="Q91">
        <f t="shared" si="10"/>
        <v>69.345630215195428</v>
      </c>
      <c r="R91">
        <f t="shared" si="11"/>
        <v>1</v>
      </c>
      <c r="S91">
        <f t="shared" si="12"/>
        <v>91.450416666666683</v>
      </c>
      <c r="T91" t="str">
        <f t="shared" si="13"/>
        <v>OK</v>
      </c>
      <c r="U91" t="str">
        <f t="shared" si="14"/>
        <v>OK</v>
      </c>
      <c r="V91" t="str">
        <f t="shared" si="15"/>
        <v>OK</v>
      </c>
    </row>
    <row r="92" spans="1:22" x14ac:dyDescent="0.45">
      <c r="A92" t="str">
        <v>SO-50656</v>
      </c>
      <c r="B92" t="str">
        <v>PL-SUR</v>
      </c>
      <c r="C92" t="str">
        <v>CD-MER</v>
      </c>
      <c r="D92" t="str">
        <v>PRO-1003</v>
      </c>
      <c r="E92">
        <v>1444</v>
      </c>
      <c r="F92" s="1">
        <v>46175</v>
      </c>
      <c r="G92" t="str">
        <v>In Transit</v>
      </c>
      <c r="H92" t="str">
        <v>OK</v>
      </c>
      <c r="I92">
        <v>13.9</v>
      </c>
      <c r="J92">
        <v>69</v>
      </c>
      <c r="K92">
        <v>106</v>
      </c>
      <c r="L92" t="str">
        <v>OK</v>
      </c>
      <c r="M92">
        <v>2</v>
      </c>
      <c r="O92">
        <f t="shared" si="8"/>
        <v>20.927536231884059</v>
      </c>
      <c r="P92">
        <f t="shared" si="9"/>
        <v>83.631666666666675</v>
      </c>
      <c r="Q92">
        <f t="shared" si="10"/>
        <v>63.416776460254724</v>
      </c>
      <c r="R92">
        <f t="shared" si="11"/>
        <v>1</v>
      </c>
      <c r="S92">
        <f t="shared" si="12"/>
        <v>83.631666666666675</v>
      </c>
      <c r="T92" t="str">
        <f t="shared" si="13"/>
        <v>OK</v>
      </c>
      <c r="U92" t="str">
        <f t="shared" si="14"/>
        <v>OK</v>
      </c>
      <c r="V92" t="str">
        <f t="shared" si="15"/>
        <v>OK</v>
      </c>
    </row>
    <row r="93" spans="1:22" x14ac:dyDescent="0.45">
      <c r="A93" t="str">
        <v>SO-51004</v>
      </c>
      <c r="B93" t="str">
        <v>PL-SUR</v>
      </c>
      <c r="C93" t="str">
        <v>CD-MER</v>
      </c>
      <c r="D93" t="str">
        <v>LAC-1008</v>
      </c>
      <c r="E93">
        <v>2215</v>
      </c>
      <c r="F93" s="1">
        <v>46165</v>
      </c>
      <c r="G93" t="str">
        <v>In Transit</v>
      </c>
      <c r="H93" t="str">
        <v>OK</v>
      </c>
      <c r="I93">
        <v>9.8000000000000007</v>
      </c>
      <c r="J93">
        <v>83</v>
      </c>
      <c r="K93">
        <v>15</v>
      </c>
      <c r="L93" t="str">
        <v>OK</v>
      </c>
      <c r="M93">
        <v>12</v>
      </c>
      <c r="O93">
        <f t="shared" si="8"/>
        <v>26.686746987951807</v>
      </c>
      <c r="P93">
        <f t="shared" si="9"/>
        <v>90.44583333333334</v>
      </c>
      <c r="Q93">
        <f t="shared" si="10"/>
        <v>80.868930266520621</v>
      </c>
      <c r="R93">
        <f t="shared" si="11"/>
        <v>1</v>
      </c>
      <c r="S93">
        <f t="shared" si="12"/>
        <v>90.44583333333334</v>
      </c>
      <c r="T93" t="str">
        <f t="shared" si="13"/>
        <v>OK</v>
      </c>
      <c r="U93" t="str">
        <f t="shared" si="14"/>
        <v>FEFO RIESGO</v>
      </c>
      <c r="V93" t="str">
        <f t="shared" si="15"/>
        <v>FANTASMA</v>
      </c>
    </row>
    <row r="94" spans="1:22" x14ac:dyDescent="0.45">
      <c r="A94" t="str">
        <v>SO-51034</v>
      </c>
      <c r="B94" t="str">
        <v>PL-NTE</v>
      </c>
      <c r="C94" t="str">
        <v>CD-MTY</v>
      </c>
      <c r="D94" t="str">
        <v>LAC-1008</v>
      </c>
      <c r="E94">
        <v>2025</v>
      </c>
      <c r="F94" s="1">
        <v>46165</v>
      </c>
      <c r="G94" t="str">
        <v>In Transit</v>
      </c>
      <c r="H94" t="str">
        <v>OK</v>
      </c>
      <c r="I94">
        <v>9.8000000000000007</v>
      </c>
      <c r="J94">
        <v>83</v>
      </c>
      <c r="K94">
        <v>15</v>
      </c>
      <c r="L94" t="str">
        <v>OK</v>
      </c>
      <c r="M94">
        <v>12</v>
      </c>
      <c r="O94">
        <f t="shared" si="8"/>
        <v>24.397590361445783</v>
      </c>
      <c r="P94">
        <f t="shared" si="9"/>
        <v>82.6875</v>
      </c>
      <c r="Q94">
        <f t="shared" si="10"/>
        <v>73.932092004381161</v>
      </c>
      <c r="R94">
        <f t="shared" si="11"/>
        <v>1</v>
      </c>
      <c r="S94">
        <f t="shared" si="12"/>
        <v>82.6875</v>
      </c>
      <c r="T94" t="str">
        <f t="shared" si="13"/>
        <v>OK</v>
      </c>
      <c r="U94" t="str">
        <f t="shared" si="14"/>
        <v>FEFO RIESGO</v>
      </c>
      <c r="V94" t="str">
        <f t="shared" si="15"/>
        <v>FANTASMA</v>
      </c>
    </row>
    <row r="95" spans="1:22" x14ac:dyDescent="0.45">
      <c r="A95" t="str">
        <v>SO-50205</v>
      </c>
      <c r="B95" t="str">
        <v>PL-CEN</v>
      </c>
      <c r="C95" t="str">
        <v>CD-TOL</v>
      </c>
      <c r="D95" t="str">
        <v>BEB-1016</v>
      </c>
      <c r="E95">
        <v>826</v>
      </c>
      <c r="F95" s="1">
        <v>46176</v>
      </c>
      <c r="G95" t="str">
        <v>In Transit</v>
      </c>
      <c r="H95" t="str">
        <v>OK</v>
      </c>
      <c r="I95">
        <v>0</v>
      </c>
      <c r="J95">
        <v>98</v>
      </c>
      <c r="K95">
        <v>359</v>
      </c>
      <c r="L95" t="str">
        <v>OK</v>
      </c>
      <c r="M95">
        <v>1</v>
      </c>
      <c r="O95">
        <f t="shared" si="8"/>
        <v>8.4285714285714288</v>
      </c>
      <c r="P95">
        <f t="shared" si="9"/>
        <v>0</v>
      </c>
      <c r="Q95">
        <f t="shared" si="10"/>
        <v>25.541125541125542</v>
      </c>
      <c r="R95">
        <f t="shared" si="11"/>
        <v>1</v>
      </c>
      <c r="S95">
        <f t="shared" si="12"/>
        <v>25.541125541125542</v>
      </c>
      <c r="T95" t="str">
        <f t="shared" si="13"/>
        <v>CARGA INEFICIENTE</v>
      </c>
      <c r="U95" t="str">
        <f t="shared" si="14"/>
        <v>OK</v>
      </c>
      <c r="V95" t="str">
        <f t="shared" si="15"/>
        <v>OK</v>
      </c>
    </row>
    <row r="96" spans="1:22" x14ac:dyDescent="0.45">
      <c r="A96" t="str">
        <v>SO-50968</v>
      </c>
      <c r="B96" t="str">
        <v>PL-NTE</v>
      </c>
      <c r="C96" t="str">
        <v>CD-HER</v>
      </c>
      <c r="D96" t="str">
        <v>PRO-1006</v>
      </c>
      <c r="E96">
        <v>1859</v>
      </c>
      <c r="F96" s="1">
        <v>46174</v>
      </c>
      <c r="G96" t="str">
        <v>In Transit</v>
      </c>
      <c r="H96" t="str">
        <v>OK</v>
      </c>
      <c r="I96">
        <v>12.09</v>
      </c>
      <c r="J96">
        <v>80</v>
      </c>
      <c r="K96">
        <v>138</v>
      </c>
      <c r="L96" t="str">
        <v>OK</v>
      </c>
      <c r="M96">
        <v>3</v>
      </c>
      <c r="O96">
        <f t="shared" si="8"/>
        <v>23.237500000000001</v>
      </c>
      <c r="P96">
        <f t="shared" si="9"/>
        <v>93.647125000000003</v>
      </c>
      <c r="Q96">
        <f t="shared" si="10"/>
        <v>70.416666666666671</v>
      </c>
      <c r="R96">
        <f t="shared" si="11"/>
        <v>1</v>
      </c>
      <c r="S96">
        <f t="shared" si="12"/>
        <v>93.647125000000003</v>
      </c>
      <c r="T96" t="str">
        <f t="shared" si="13"/>
        <v>OK</v>
      </c>
      <c r="U96" t="str">
        <f t="shared" si="14"/>
        <v>OK</v>
      </c>
      <c r="V96" t="str">
        <f t="shared" si="15"/>
        <v>OK</v>
      </c>
    </row>
    <row r="97" spans="1:22" x14ac:dyDescent="0.45">
      <c r="A97" t="str">
        <v>SO-50890</v>
      </c>
      <c r="B97" t="str">
        <v>PL-CEN</v>
      </c>
      <c r="C97" t="str">
        <v>CD-TOL</v>
      </c>
      <c r="D97" t="str">
        <v>PRO-1006</v>
      </c>
      <c r="E97">
        <v>1899</v>
      </c>
      <c r="F97" s="1">
        <v>46176</v>
      </c>
      <c r="G97" t="str">
        <v>In Transit</v>
      </c>
      <c r="H97" t="str">
        <v>OK</v>
      </c>
      <c r="I97">
        <v>12.09</v>
      </c>
      <c r="J97">
        <v>80</v>
      </c>
      <c r="K97">
        <v>138</v>
      </c>
      <c r="L97" t="str">
        <v>OK</v>
      </c>
      <c r="M97">
        <v>1</v>
      </c>
      <c r="O97">
        <f t="shared" si="8"/>
        <v>23.737500000000001</v>
      </c>
      <c r="P97">
        <f t="shared" si="9"/>
        <v>95.662125000000003</v>
      </c>
      <c r="Q97">
        <f t="shared" si="10"/>
        <v>71.931818181818187</v>
      </c>
      <c r="R97">
        <f t="shared" si="11"/>
        <v>1</v>
      </c>
      <c r="S97">
        <f t="shared" si="12"/>
        <v>95.662125000000003</v>
      </c>
      <c r="T97" t="str">
        <f t="shared" si="13"/>
        <v>OK</v>
      </c>
      <c r="U97" t="str">
        <f t="shared" si="14"/>
        <v>OK</v>
      </c>
      <c r="V97" t="str">
        <f t="shared" si="15"/>
        <v>OK</v>
      </c>
    </row>
    <row r="98" spans="1:22" x14ac:dyDescent="0.45">
      <c r="A98" t="str">
        <v>SO-50591</v>
      </c>
      <c r="B98" t="str">
        <v>PL-SUR</v>
      </c>
      <c r="C98" t="str">
        <v>CD-CAN</v>
      </c>
      <c r="D98" t="str">
        <v>LAC-1012</v>
      </c>
      <c r="E98">
        <v>609</v>
      </c>
      <c r="F98" s="1">
        <v>46173</v>
      </c>
      <c r="G98" t="str">
        <v>In Transit</v>
      </c>
      <c r="H98" t="str">
        <v>OK</v>
      </c>
      <c r="I98">
        <v>9.8699999999999992</v>
      </c>
      <c r="J98">
        <v>88</v>
      </c>
      <c r="K98">
        <v>25</v>
      </c>
      <c r="L98" t="str">
        <v>OK</v>
      </c>
      <c r="M98">
        <v>4</v>
      </c>
      <c r="O98">
        <f t="shared" si="8"/>
        <v>6.9204545454545459</v>
      </c>
      <c r="P98">
        <f t="shared" si="9"/>
        <v>25.045125000000002</v>
      </c>
      <c r="Q98">
        <f t="shared" si="10"/>
        <v>20.971074380165291</v>
      </c>
      <c r="R98">
        <f t="shared" si="11"/>
        <v>1</v>
      </c>
      <c r="S98">
        <f t="shared" si="12"/>
        <v>25.045125000000002</v>
      </c>
      <c r="T98" t="str">
        <f t="shared" si="13"/>
        <v>CARGA INEFICIENTE</v>
      </c>
      <c r="U98" t="str">
        <f t="shared" si="14"/>
        <v>OK</v>
      </c>
      <c r="V98" t="str">
        <f t="shared" si="15"/>
        <v>OK</v>
      </c>
    </row>
    <row r="99" spans="1:22" x14ac:dyDescent="0.45">
      <c r="A99" t="str">
        <v>SO-50484</v>
      </c>
      <c r="B99" t="str">
        <v>PL-NTE</v>
      </c>
      <c r="C99" t="str">
        <v>CD-SAL</v>
      </c>
      <c r="D99" t="str">
        <v>BEB-1007</v>
      </c>
      <c r="E99">
        <v>1491</v>
      </c>
      <c r="F99" s="1">
        <v>46176</v>
      </c>
      <c r="G99" t="str">
        <v>In Transit</v>
      </c>
      <c r="H99" t="str">
        <v>OK</v>
      </c>
      <c r="I99">
        <v>13.67</v>
      </c>
      <c r="J99">
        <v>78</v>
      </c>
      <c r="K99">
        <v>247</v>
      </c>
      <c r="L99" t="str">
        <v>OK</v>
      </c>
      <c r="M99">
        <v>1</v>
      </c>
      <c r="O99">
        <f t="shared" si="8"/>
        <v>19.115384615384617</v>
      </c>
      <c r="P99">
        <f t="shared" si="9"/>
        <v>84.924875</v>
      </c>
      <c r="Q99">
        <f t="shared" si="10"/>
        <v>57.925407925407931</v>
      </c>
      <c r="R99">
        <f t="shared" si="11"/>
        <v>1</v>
      </c>
      <c r="S99">
        <f t="shared" si="12"/>
        <v>84.924875</v>
      </c>
      <c r="T99" t="str">
        <f t="shared" si="13"/>
        <v>OK</v>
      </c>
      <c r="U99" t="str">
        <f t="shared" si="14"/>
        <v>OK</v>
      </c>
      <c r="V99" t="str">
        <f t="shared" si="15"/>
        <v>OK</v>
      </c>
    </row>
    <row r="100" spans="1:22" x14ac:dyDescent="0.45">
      <c r="A100" t="str">
        <v>SO-50860</v>
      </c>
      <c r="B100" t="str">
        <v>PL-CEN</v>
      </c>
      <c r="C100" t="str">
        <v>CD-CDMX</v>
      </c>
      <c r="D100" t="str">
        <v>PRO-1015</v>
      </c>
      <c r="E100">
        <v>3302</v>
      </c>
      <c r="F100" s="1">
        <v>46176</v>
      </c>
      <c r="G100" t="str">
        <v>In Transit</v>
      </c>
      <c r="H100" t="str">
        <v>OK</v>
      </c>
      <c r="I100">
        <v>6.16</v>
      </c>
      <c r="J100">
        <v>104</v>
      </c>
      <c r="K100">
        <v>67</v>
      </c>
      <c r="L100" t="str">
        <v>OK</v>
      </c>
      <c r="M100">
        <v>1</v>
      </c>
      <c r="O100">
        <f t="shared" si="8"/>
        <v>31.75</v>
      </c>
      <c r="P100">
        <f t="shared" si="9"/>
        <v>84.751333333333335</v>
      </c>
      <c r="Q100">
        <f t="shared" si="10"/>
        <v>96.212121212121218</v>
      </c>
      <c r="R100">
        <f t="shared" si="11"/>
        <v>1</v>
      </c>
      <c r="S100">
        <f t="shared" si="12"/>
        <v>96.212121212121218</v>
      </c>
      <c r="T100" t="str">
        <f t="shared" si="13"/>
        <v>OK</v>
      </c>
      <c r="U100" t="str">
        <f t="shared" si="14"/>
        <v>OK</v>
      </c>
      <c r="V100" t="str">
        <f t="shared" si="15"/>
        <v>OK</v>
      </c>
    </row>
    <row r="101" spans="1:22" x14ac:dyDescent="0.45">
      <c r="A101" t="str">
        <v>SO-51069</v>
      </c>
      <c r="B101" t="str">
        <v>PL-SUR</v>
      </c>
      <c r="C101" t="str">
        <v>CD-LEO</v>
      </c>
      <c r="D101" t="str">
        <v>ABA-1010</v>
      </c>
      <c r="E101">
        <v>2523</v>
      </c>
      <c r="F101" s="1">
        <v>46174</v>
      </c>
      <c r="G101" t="str">
        <v>In Transit</v>
      </c>
      <c r="H101" t="str">
        <v>OK</v>
      </c>
      <c r="I101">
        <v>8.75</v>
      </c>
      <c r="J101">
        <v>123</v>
      </c>
      <c r="K101">
        <v>341</v>
      </c>
      <c r="L101" t="str">
        <v>OK</v>
      </c>
      <c r="M101">
        <v>3</v>
      </c>
      <c r="O101">
        <f t="shared" si="8"/>
        <v>20.512195121951219</v>
      </c>
      <c r="P101">
        <f t="shared" si="9"/>
        <v>91.984375</v>
      </c>
      <c r="Q101">
        <f t="shared" si="10"/>
        <v>62.158167036215815</v>
      </c>
      <c r="R101">
        <f t="shared" si="11"/>
        <v>1</v>
      </c>
      <c r="S101">
        <f t="shared" si="12"/>
        <v>91.984375</v>
      </c>
      <c r="T101" t="str">
        <f t="shared" si="13"/>
        <v>OK</v>
      </c>
      <c r="U101" t="str">
        <f t="shared" si="14"/>
        <v>OK</v>
      </c>
      <c r="V101" t="str">
        <f t="shared" si="15"/>
        <v>OK</v>
      </c>
    </row>
    <row r="102" spans="1:22" x14ac:dyDescent="0.45">
      <c r="A102" t="str">
        <v>SO-50712</v>
      </c>
      <c r="B102" t="str">
        <v>PL-NTE</v>
      </c>
      <c r="C102" t="str">
        <v>CD-TIJ</v>
      </c>
      <c r="D102" t="str">
        <v>ABA-1019</v>
      </c>
      <c r="E102">
        <v>1279</v>
      </c>
      <c r="F102" s="1">
        <v>46173</v>
      </c>
      <c r="G102" t="str">
        <v>In Transit</v>
      </c>
      <c r="H102" t="str">
        <v>OK</v>
      </c>
      <c r="I102">
        <v>14.82</v>
      </c>
      <c r="J102">
        <v>132</v>
      </c>
      <c r="K102">
        <v>373</v>
      </c>
      <c r="L102" t="str">
        <v>OK</v>
      </c>
      <c r="M102">
        <v>4</v>
      </c>
      <c r="O102">
        <f t="shared" si="8"/>
        <v>9.6893939393939394</v>
      </c>
      <c r="P102">
        <f t="shared" si="9"/>
        <v>78.978249999999989</v>
      </c>
      <c r="Q102">
        <f t="shared" si="10"/>
        <v>29.361799816345268</v>
      </c>
      <c r="R102">
        <f t="shared" si="11"/>
        <v>1</v>
      </c>
      <c r="S102">
        <f t="shared" si="12"/>
        <v>78.978249999999989</v>
      </c>
      <c r="T102" t="str">
        <f t="shared" si="13"/>
        <v>OK</v>
      </c>
      <c r="U102" t="str">
        <f t="shared" si="14"/>
        <v>OK</v>
      </c>
      <c r="V102" t="str">
        <f t="shared" si="15"/>
        <v>OK</v>
      </c>
    </row>
    <row r="103" spans="1:22" x14ac:dyDescent="0.45">
      <c r="A103" t="str">
        <v>SO-50254</v>
      </c>
      <c r="B103" t="str">
        <v>PL-SUR</v>
      </c>
      <c r="C103" t="str">
        <v>CD-GDL</v>
      </c>
      <c r="D103" t="str">
        <v>ABA-1003</v>
      </c>
      <c r="E103">
        <v>2461</v>
      </c>
      <c r="F103" s="1">
        <v>46176</v>
      </c>
      <c r="G103" t="str">
        <v>In Transit</v>
      </c>
      <c r="H103" t="str">
        <v>OK</v>
      </c>
      <c r="I103">
        <v>8.67</v>
      </c>
      <c r="J103">
        <v>124</v>
      </c>
      <c r="K103">
        <v>512</v>
      </c>
      <c r="L103" t="str">
        <v>OK</v>
      </c>
      <c r="M103">
        <v>1</v>
      </c>
      <c r="O103">
        <f t="shared" si="8"/>
        <v>19.846774193548388</v>
      </c>
      <c r="P103">
        <f t="shared" si="9"/>
        <v>88.903624999999991</v>
      </c>
      <c r="Q103">
        <f t="shared" si="10"/>
        <v>60.141739980449657</v>
      </c>
      <c r="R103">
        <f t="shared" si="11"/>
        <v>1</v>
      </c>
      <c r="S103">
        <f t="shared" si="12"/>
        <v>88.903624999999991</v>
      </c>
      <c r="T103" t="str">
        <f t="shared" si="13"/>
        <v>OK</v>
      </c>
      <c r="U103" t="str">
        <f t="shared" si="14"/>
        <v>OK</v>
      </c>
      <c r="V103" t="str">
        <f t="shared" si="15"/>
        <v>OK</v>
      </c>
    </row>
    <row r="104" spans="1:22" x14ac:dyDescent="0.45">
      <c r="A104" t="str">
        <v>SO-50231</v>
      </c>
      <c r="B104" t="str">
        <v>PL-NTE</v>
      </c>
      <c r="C104" t="str">
        <v>CD-CHI</v>
      </c>
      <c r="D104" t="str">
        <v>BEB-1003</v>
      </c>
      <c r="E104">
        <v>1039</v>
      </c>
      <c r="F104" s="1">
        <v>46175</v>
      </c>
      <c r="G104" t="str">
        <v>In Transit</v>
      </c>
      <c r="H104" t="str">
        <v>OK</v>
      </c>
      <c r="I104">
        <v>20.5</v>
      </c>
      <c r="J104">
        <v>64</v>
      </c>
      <c r="K104">
        <v>359</v>
      </c>
      <c r="L104" t="str">
        <v>OK</v>
      </c>
      <c r="M104">
        <v>2</v>
      </c>
      <c r="O104">
        <f t="shared" si="8"/>
        <v>16.234375</v>
      </c>
      <c r="P104">
        <f t="shared" si="9"/>
        <v>88.747916666666669</v>
      </c>
      <c r="Q104">
        <f t="shared" si="10"/>
        <v>49.195075757575758</v>
      </c>
      <c r="R104">
        <f t="shared" si="11"/>
        <v>1</v>
      </c>
      <c r="S104">
        <f t="shared" si="12"/>
        <v>88.747916666666669</v>
      </c>
      <c r="T104" t="str">
        <f t="shared" si="13"/>
        <v>OK</v>
      </c>
      <c r="U104" t="str">
        <f t="shared" si="14"/>
        <v>OK</v>
      </c>
      <c r="V104" t="str">
        <f t="shared" si="15"/>
        <v>OK</v>
      </c>
    </row>
    <row r="105" spans="1:22" x14ac:dyDescent="0.45">
      <c r="A105" t="str">
        <v>SO-51011</v>
      </c>
      <c r="B105" t="str">
        <v>PL-SUR</v>
      </c>
      <c r="C105" t="str">
        <v>CD-LEO</v>
      </c>
      <c r="D105" t="str">
        <v>LAC-1005</v>
      </c>
      <c r="E105">
        <v>2399</v>
      </c>
      <c r="F105" s="1">
        <v>46166</v>
      </c>
      <c r="G105" t="str">
        <v>In Transit</v>
      </c>
      <c r="H105" t="str">
        <v>OK</v>
      </c>
      <c r="I105">
        <v>8.94</v>
      </c>
      <c r="J105">
        <v>100</v>
      </c>
      <c r="K105">
        <v>17</v>
      </c>
      <c r="L105" t="str">
        <v>OK</v>
      </c>
      <c r="M105">
        <v>11</v>
      </c>
      <c r="O105">
        <f t="shared" si="8"/>
        <v>23.99</v>
      </c>
      <c r="P105">
        <f t="shared" si="9"/>
        <v>89.362749999999991</v>
      </c>
      <c r="Q105">
        <f t="shared" si="10"/>
        <v>72.696969696969688</v>
      </c>
      <c r="R105">
        <f t="shared" si="11"/>
        <v>1</v>
      </c>
      <c r="S105">
        <f t="shared" si="12"/>
        <v>89.362749999999991</v>
      </c>
      <c r="T105" t="str">
        <f t="shared" si="13"/>
        <v>OK</v>
      </c>
      <c r="U105" t="str">
        <f t="shared" si="14"/>
        <v>FEFO RIESGO</v>
      </c>
      <c r="V105" t="str">
        <f t="shared" si="15"/>
        <v>FANTASMA</v>
      </c>
    </row>
    <row r="106" spans="1:22" x14ac:dyDescent="0.45">
      <c r="A106" t="str">
        <v>SO-50137</v>
      </c>
      <c r="B106" t="str">
        <v>PL-CEN</v>
      </c>
      <c r="C106" t="str">
        <v>CD-TOL</v>
      </c>
      <c r="D106" t="str">
        <v>BEB-1004</v>
      </c>
      <c r="E106">
        <v>450</v>
      </c>
      <c r="F106" s="1">
        <v>46176</v>
      </c>
      <c r="G106" t="str">
        <v>In Transit</v>
      </c>
      <c r="H106" t="str">
        <v>OK</v>
      </c>
      <c r="I106">
        <v>21.99</v>
      </c>
      <c r="J106">
        <v>67</v>
      </c>
      <c r="K106">
        <v>213</v>
      </c>
      <c r="L106" t="str">
        <v>OK</v>
      </c>
      <c r="M106">
        <v>1</v>
      </c>
      <c r="O106">
        <f t="shared" si="8"/>
        <v>6.7164179104477615</v>
      </c>
      <c r="P106">
        <f t="shared" si="9"/>
        <v>41.231250000000003</v>
      </c>
      <c r="Q106">
        <f t="shared" si="10"/>
        <v>20.3527815468114</v>
      </c>
      <c r="R106">
        <f t="shared" si="11"/>
        <v>1</v>
      </c>
      <c r="S106">
        <f t="shared" si="12"/>
        <v>41.231250000000003</v>
      </c>
      <c r="T106" t="str">
        <f t="shared" si="13"/>
        <v>CARGA INEFICIENTE</v>
      </c>
      <c r="U106" t="str">
        <f t="shared" si="14"/>
        <v>OK</v>
      </c>
      <c r="V106" t="str">
        <f t="shared" si="15"/>
        <v>OK</v>
      </c>
    </row>
    <row r="107" spans="1:22" x14ac:dyDescent="0.45">
      <c r="A107" t="str">
        <v>SO-50767</v>
      </c>
      <c r="B107" t="str">
        <v>PL-CEN</v>
      </c>
      <c r="C107" t="str">
        <v>CD-PUE</v>
      </c>
      <c r="D107" t="str">
        <v>ABA-1003</v>
      </c>
      <c r="E107">
        <v>943</v>
      </c>
      <c r="F107" s="1">
        <v>46176</v>
      </c>
      <c r="G107" t="str">
        <v>In Transit</v>
      </c>
      <c r="H107" t="str">
        <v>OK</v>
      </c>
      <c r="I107">
        <v>8.67</v>
      </c>
      <c r="J107">
        <v>124</v>
      </c>
      <c r="K107">
        <v>512</v>
      </c>
      <c r="L107" t="str">
        <v>OK</v>
      </c>
      <c r="M107">
        <v>1</v>
      </c>
      <c r="O107">
        <f t="shared" si="8"/>
        <v>7.604838709677419</v>
      </c>
      <c r="P107">
        <f t="shared" si="9"/>
        <v>34.065874999999998</v>
      </c>
      <c r="Q107">
        <f t="shared" si="10"/>
        <v>23.044965786901269</v>
      </c>
      <c r="R107">
        <f t="shared" si="11"/>
        <v>1</v>
      </c>
      <c r="S107">
        <f t="shared" si="12"/>
        <v>34.065874999999998</v>
      </c>
      <c r="T107" t="str">
        <f t="shared" si="13"/>
        <v>CARGA INEFICIENTE</v>
      </c>
      <c r="U107" t="str">
        <f t="shared" si="14"/>
        <v>OK</v>
      </c>
      <c r="V107" t="str">
        <f t="shared" si="15"/>
        <v>OK</v>
      </c>
    </row>
    <row r="108" spans="1:22" x14ac:dyDescent="0.45">
      <c r="A108" t="str">
        <v>SO-50342</v>
      </c>
      <c r="B108" t="str">
        <v>PL-NTE</v>
      </c>
      <c r="C108" t="str">
        <v>CD-TIJ</v>
      </c>
      <c r="D108" t="str">
        <v>BEB-1013</v>
      </c>
      <c r="E108">
        <v>1141</v>
      </c>
      <c r="F108" s="1">
        <v>46172</v>
      </c>
      <c r="G108" t="str">
        <v>In Transit</v>
      </c>
      <c r="H108" t="str">
        <v>OK</v>
      </c>
      <c r="I108">
        <v>17.28</v>
      </c>
      <c r="J108">
        <v>97</v>
      </c>
      <c r="K108">
        <v>271</v>
      </c>
      <c r="L108" t="str">
        <v>OK</v>
      </c>
      <c r="M108">
        <v>5</v>
      </c>
      <c r="O108">
        <f t="shared" si="8"/>
        <v>11.762886597938145</v>
      </c>
      <c r="P108">
        <f t="shared" si="9"/>
        <v>82.152000000000001</v>
      </c>
      <c r="Q108">
        <f t="shared" si="10"/>
        <v>35.645110902842866</v>
      </c>
      <c r="R108">
        <f t="shared" si="11"/>
        <v>1</v>
      </c>
      <c r="S108">
        <f t="shared" si="12"/>
        <v>82.152000000000001</v>
      </c>
      <c r="T108" t="str">
        <f t="shared" si="13"/>
        <v>OK</v>
      </c>
      <c r="U108" t="str">
        <f t="shared" si="14"/>
        <v>OK</v>
      </c>
      <c r="V108" t="str">
        <f t="shared" si="15"/>
        <v>OK</v>
      </c>
    </row>
    <row r="109" spans="1:22" x14ac:dyDescent="0.45">
      <c r="A109" t="str">
        <v>SO-50135</v>
      </c>
      <c r="B109" t="str">
        <v>PL-NTE</v>
      </c>
      <c r="C109" t="str">
        <v>CD-SAL</v>
      </c>
      <c r="D109" t="str">
        <v>PRO-1004</v>
      </c>
      <c r="E109">
        <v>548</v>
      </c>
      <c r="F109" s="1">
        <v>46175</v>
      </c>
      <c r="G109" t="str">
        <v>In Transit</v>
      </c>
      <c r="H109" t="str">
        <v>OK</v>
      </c>
      <c r="I109">
        <v>12.77</v>
      </c>
      <c r="J109">
        <v>96</v>
      </c>
      <c r="K109">
        <v>122</v>
      </c>
      <c r="L109" t="str">
        <v>OK</v>
      </c>
      <c r="M109">
        <v>2</v>
      </c>
      <c r="O109">
        <f t="shared" si="8"/>
        <v>5.708333333333333</v>
      </c>
      <c r="P109">
        <f t="shared" si="9"/>
        <v>29.15816666666667</v>
      </c>
      <c r="Q109">
        <f t="shared" si="10"/>
        <v>17.297979797979799</v>
      </c>
      <c r="R109">
        <f t="shared" si="11"/>
        <v>1</v>
      </c>
      <c r="S109">
        <f t="shared" si="12"/>
        <v>29.15816666666667</v>
      </c>
      <c r="T109" t="str">
        <f t="shared" si="13"/>
        <v>CARGA INEFICIENTE</v>
      </c>
      <c r="U109" t="str">
        <f t="shared" si="14"/>
        <v>OK</v>
      </c>
      <c r="V109" t="str">
        <f t="shared" si="15"/>
        <v>OK</v>
      </c>
    </row>
    <row r="110" spans="1:22" x14ac:dyDescent="0.45">
      <c r="A110" t="str">
        <v>SO-50846</v>
      </c>
      <c r="B110" t="str">
        <v>PL-SUR</v>
      </c>
      <c r="C110" t="str">
        <v>CD-MOR</v>
      </c>
      <c r="D110" t="str">
        <v>PRO-1013</v>
      </c>
      <c r="E110">
        <v>1074</v>
      </c>
      <c r="F110" s="1">
        <v>46176</v>
      </c>
      <c r="G110" t="str">
        <v>In Transit</v>
      </c>
      <c r="H110" t="str">
        <v>OK</v>
      </c>
      <c r="I110">
        <v>4.37</v>
      </c>
      <c r="J110">
        <v>58</v>
      </c>
      <c r="K110">
        <v>92</v>
      </c>
      <c r="L110" t="str">
        <v>OK</v>
      </c>
      <c r="M110">
        <v>1</v>
      </c>
      <c r="O110">
        <f t="shared" si="8"/>
        <v>18.517241379310345</v>
      </c>
      <c r="P110">
        <f t="shared" si="9"/>
        <v>19.55575</v>
      </c>
      <c r="Q110">
        <f t="shared" si="10"/>
        <v>56.112852664576806</v>
      </c>
      <c r="R110">
        <f t="shared" si="11"/>
        <v>1</v>
      </c>
      <c r="S110">
        <f t="shared" si="12"/>
        <v>56.112852664576806</v>
      </c>
      <c r="T110" t="str">
        <f t="shared" si="13"/>
        <v>CARGA INEFICIENTE</v>
      </c>
      <c r="U110" t="str">
        <f t="shared" si="14"/>
        <v>OK</v>
      </c>
      <c r="V110" t="str">
        <f t="shared" si="15"/>
        <v>OK</v>
      </c>
    </row>
    <row r="111" spans="1:22" x14ac:dyDescent="0.45">
      <c r="A111" t="str">
        <v>SO-50718</v>
      </c>
      <c r="B111" t="str">
        <v>PL-SUR</v>
      </c>
      <c r="C111" t="str">
        <v>CD-CAN</v>
      </c>
      <c r="D111" t="str">
        <v>ABA-1004</v>
      </c>
      <c r="E111">
        <v>1507</v>
      </c>
      <c r="F111" s="1">
        <v>46172</v>
      </c>
      <c r="G111" t="str">
        <v>In Transit</v>
      </c>
      <c r="H111" t="str">
        <v>OK</v>
      </c>
      <c r="I111">
        <v>12.85</v>
      </c>
      <c r="J111">
        <v>91</v>
      </c>
      <c r="K111">
        <v>297</v>
      </c>
      <c r="L111" t="str">
        <v>OK</v>
      </c>
      <c r="M111">
        <v>5</v>
      </c>
      <c r="O111">
        <f t="shared" si="8"/>
        <v>16.560439560439562</v>
      </c>
      <c r="P111">
        <f t="shared" si="9"/>
        <v>80.687291666666667</v>
      </c>
      <c r="Q111">
        <f t="shared" si="10"/>
        <v>50.183150183150182</v>
      </c>
      <c r="R111">
        <f t="shared" si="11"/>
        <v>1</v>
      </c>
      <c r="S111">
        <f t="shared" si="12"/>
        <v>80.687291666666667</v>
      </c>
      <c r="T111" t="str">
        <f t="shared" si="13"/>
        <v>OK</v>
      </c>
      <c r="U111" t="str">
        <f t="shared" si="14"/>
        <v>OK</v>
      </c>
      <c r="V111" t="str">
        <f t="shared" si="15"/>
        <v>OK</v>
      </c>
    </row>
    <row r="112" spans="1:22" x14ac:dyDescent="0.45">
      <c r="A112" t="str">
        <v>SO-50377</v>
      </c>
      <c r="B112" t="str">
        <v>PL-SUR</v>
      </c>
      <c r="C112" t="str">
        <v>CD-MER</v>
      </c>
      <c r="D112" t="str">
        <v>BEB-1011</v>
      </c>
      <c r="E112">
        <v>874</v>
      </c>
      <c r="F112" s="1">
        <v>46176</v>
      </c>
      <c r="G112" t="str">
        <v>In Transit</v>
      </c>
      <c r="H112" t="str">
        <v>OK</v>
      </c>
      <c r="I112">
        <v>23.39</v>
      </c>
      <c r="J112">
        <v>79</v>
      </c>
      <c r="K112">
        <v>329</v>
      </c>
      <c r="L112" t="str">
        <v>OK</v>
      </c>
      <c r="M112">
        <v>1</v>
      </c>
      <c r="O112">
        <f t="shared" si="8"/>
        <v>11.063291139240507</v>
      </c>
      <c r="P112">
        <f t="shared" si="9"/>
        <v>85.178583333333336</v>
      </c>
      <c r="Q112">
        <f t="shared" si="10"/>
        <v>33.525124664365165</v>
      </c>
      <c r="R112">
        <f t="shared" si="11"/>
        <v>1</v>
      </c>
      <c r="S112">
        <f t="shared" si="12"/>
        <v>85.178583333333336</v>
      </c>
      <c r="T112" t="str">
        <f t="shared" si="13"/>
        <v>OK</v>
      </c>
      <c r="U112" t="str">
        <f t="shared" si="14"/>
        <v>OK</v>
      </c>
      <c r="V112" t="str">
        <f t="shared" si="15"/>
        <v>OK</v>
      </c>
    </row>
    <row r="113" spans="1:22" x14ac:dyDescent="0.45">
      <c r="A113" t="str">
        <v>SO-50362</v>
      </c>
      <c r="B113" t="str">
        <v>PL-SUR</v>
      </c>
      <c r="C113" t="str">
        <v>CD-MER</v>
      </c>
      <c r="D113" t="str">
        <v>LAC-1007</v>
      </c>
      <c r="E113">
        <v>669</v>
      </c>
      <c r="F113" s="1">
        <v>46173</v>
      </c>
      <c r="G113" t="str">
        <v>In Transit</v>
      </c>
      <c r="H113" t="str">
        <v>OK</v>
      </c>
      <c r="I113">
        <v>10.37</v>
      </c>
      <c r="J113">
        <v>100</v>
      </c>
      <c r="K113">
        <v>24</v>
      </c>
      <c r="L113" t="str">
        <v>OK</v>
      </c>
      <c r="M113">
        <v>4</v>
      </c>
      <c r="O113">
        <f t="shared" si="8"/>
        <v>6.69</v>
      </c>
      <c r="P113">
        <f t="shared" si="9"/>
        <v>28.906375000000001</v>
      </c>
      <c r="Q113">
        <f t="shared" si="10"/>
        <v>20.272727272727273</v>
      </c>
      <c r="R113">
        <f t="shared" si="11"/>
        <v>1</v>
      </c>
      <c r="S113">
        <f t="shared" si="12"/>
        <v>28.906375000000001</v>
      </c>
      <c r="T113" t="str">
        <f t="shared" si="13"/>
        <v>CARGA INEFICIENTE</v>
      </c>
      <c r="U113" t="str">
        <f t="shared" si="14"/>
        <v>OK</v>
      </c>
      <c r="V113" t="str">
        <f t="shared" si="15"/>
        <v>OK</v>
      </c>
    </row>
    <row r="114" spans="1:22" x14ac:dyDescent="0.45">
      <c r="A114" t="str">
        <v>SO-50719</v>
      </c>
      <c r="B114" t="str">
        <v>PL-NTE</v>
      </c>
      <c r="C114" t="str">
        <v>CD-CHI</v>
      </c>
      <c r="D114" t="str">
        <v>LAC-1003</v>
      </c>
      <c r="E114">
        <v>2319</v>
      </c>
      <c r="F114" s="1">
        <v>46175</v>
      </c>
      <c r="G114" t="str">
        <v>In Transit</v>
      </c>
      <c r="H114" t="str">
        <v>OK</v>
      </c>
      <c r="I114">
        <v>9.02</v>
      </c>
      <c r="J114">
        <v>114</v>
      </c>
      <c r="K114">
        <v>18</v>
      </c>
      <c r="L114" t="str">
        <v>OK</v>
      </c>
      <c r="M114">
        <v>2</v>
      </c>
      <c r="O114">
        <f t="shared" si="8"/>
        <v>20.342105263157894</v>
      </c>
      <c r="P114">
        <f t="shared" si="9"/>
        <v>87.155749999999983</v>
      </c>
      <c r="Q114">
        <f t="shared" si="10"/>
        <v>61.642743221690587</v>
      </c>
      <c r="R114">
        <f t="shared" si="11"/>
        <v>1</v>
      </c>
      <c r="S114">
        <f t="shared" si="12"/>
        <v>87.155749999999983</v>
      </c>
      <c r="T114" t="str">
        <f t="shared" si="13"/>
        <v>OK</v>
      </c>
      <c r="U114" t="str">
        <f t="shared" si="14"/>
        <v>OK</v>
      </c>
      <c r="V114" t="str">
        <f t="shared" si="15"/>
        <v>OK</v>
      </c>
    </row>
    <row r="115" spans="1:22" x14ac:dyDescent="0.45">
      <c r="A115" t="str">
        <v>SO-51063</v>
      </c>
      <c r="B115" t="str">
        <v>PL-NTE</v>
      </c>
      <c r="C115" t="str">
        <v>CD-TIJ</v>
      </c>
      <c r="D115" t="str">
        <v>PRO-1011</v>
      </c>
      <c r="E115">
        <v>2368</v>
      </c>
      <c r="F115" s="1">
        <v>46175</v>
      </c>
      <c r="G115" t="str">
        <v>In Transit</v>
      </c>
      <c r="H115" t="str">
        <v>OK</v>
      </c>
      <c r="I115">
        <v>4.3600000000000003</v>
      </c>
      <c r="J115">
        <v>88</v>
      </c>
      <c r="K115">
        <v>108</v>
      </c>
      <c r="L115" t="str">
        <v>OK</v>
      </c>
      <c r="M115">
        <v>2</v>
      </c>
      <c r="O115">
        <f t="shared" si="8"/>
        <v>26.90909090909091</v>
      </c>
      <c r="P115">
        <f t="shared" si="9"/>
        <v>43.018666666666675</v>
      </c>
      <c r="Q115">
        <f t="shared" si="10"/>
        <v>81.542699724517902</v>
      </c>
      <c r="R115">
        <f t="shared" si="11"/>
        <v>1</v>
      </c>
      <c r="S115">
        <f t="shared" si="12"/>
        <v>81.542699724517902</v>
      </c>
      <c r="T115" t="str">
        <f t="shared" si="13"/>
        <v>OK</v>
      </c>
      <c r="U115" t="str">
        <f t="shared" si="14"/>
        <v>OK</v>
      </c>
      <c r="V115" t="str">
        <f t="shared" si="15"/>
        <v>OK</v>
      </c>
    </row>
    <row r="116" spans="1:22" x14ac:dyDescent="0.45">
      <c r="A116" t="str">
        <v>SO-50341</v>
      </c>
      <c r="B116" t="str">
        <v>PL-SUR</v>
      </c>
      <c r="C116" t="str">
        <v>CD-LEO</v>
      </c>
      <c r="D116" t="str">
        <v>BEB-1020</v>
      </c>
      <c r="E116">
        <v>1306</v>
      </c>
      <c r="F116" s="1">
        <v>46175</v>
      </c>
      <c r="G116" t="str">
        <v>In Transit</v>
      </c>
      <c r="H116" t="str">
        <v>OK</v>
      </c>
      <c r="I116">
        <v>16.66</v>
      </c>
      <c r="J116">
        <v>85</v>
      </c>
      <c r="K116">
        <v>333</v>
      </c>
      <c r="L116" t="str">
        <v>OK</v>
      </c>
      <c r="M116">
        <v>2</v>
      </c>
      <c r="O116">
        <f t="shared" si="8"/>
        <v>15.364705882352942</v>
      </c>
      <c r="P116">
        <f t="shared" si="9"/>
        <v>90.658166666666659</v>
      </c>
      <c r="Q116">
        <f t="shared" si="10"/>
        <v>46.559714795008915</v>
      </c>
      <c r="R116">
        <f t="shared" si="11"/>
        <v>1</v>
      </c>
      <c r="S116">
        <f t="shared" si="12"/>
        <v>90.658166666666659</v>
      </c>
      <c r="T116" t="str">
        <f t="shared" si="13"/>
        <v>OK</v>
      </c>
      <c r="U116" t="str">
        <f t="shared" si="14"/>
        <v>OK</v>
      </c>
      <c r="V116" t="str">
        <f t="shared" si="15"/>
        <v>OK</v>
      </c>
    </row>
    <row r="117" spans="1:22" x14ac:dyDescent="0.45">
      <c r="A117" t="str">
        <v>SO-50456</v>
      </c>
      <c r="B117" t="str">
        <v>PL-CEN</v>
      </c>
      <c r="C117" t="str">
        <v>CD-PUE</v>
      </c>
      <c r="D117" t="str">
        <v>BOT-1017</v>
      </c>
      <c r="E117">
        <v>1070</v>
      </c>
      <c r="F117" s="1">
        <v>46176</v>
      </c>
      <c r="G117" t="str">
        <v>In Transit</v>
      </c>
      <c r="H117" t="str">
        <v>OK</v>
      </c>
      <c r="I117">
        <v>3.75</v>
      </c>
      <c r="J117">
        <v>41</v>
      </c>
      <c r="K117">
        <v>106</v>
      </c>
      <c r="L117" t="str">
        <v>OK</v>
      </c>
      <c r="M117">
        <v>1</v>
      </c>
      <c r="O117">
        <f t="shared" si="8"/>
        <v>26.097560975609756</v>
      </c>
      <c r="P117">
        <f t="shared" si="9"/>
        <v>16.71875</v>
      </c>
      <c r="Q117">
        <f t="shared" si="10"/>
        <v>79.083518107908361</v>
      </c>
      <c r="R117">
        <f t="shared" si="11"/>
        <v>1</v>
      </c>
      <c r="S117">
        <f t="shared" si="12"/>
        <v>79.083518107908361</v>
      </c>
      <c r="T117" t="str">
        <f t="shared" si="13"/>
        <v>OK</v>
      </c>
      <c r="U117" t="str">
        <f t="shared" si="14"/>
        <v>OK</v>
      </c>
      <c r="V117" t="str">
        <f t="shared" si="15"/>
        <v>OK</v>
      </c>
    </row>
    <row r="118" spans="1:22" x14ac:dyDescent="0.45">
      <c r="A118" t="str">
        <v>SO-50457</v>
      </c>
      <c r="B118" t="str">
        <v>PL-CEN</v>
      </c>
      <c r="C118" t="str">
        <v>CD-VER</v>
      </c>
      <c r="D118" t="str">
        <v>ABA-1015</v>
      </c>
      <c r="E118">
        <v>2324</v>
      </c>
      <c r="F118" s="1">
        <v>46176</v>
      </c>
      <c r="G118" t="str">
        <v>In Transit</v>
      </c>
      <c r="H118" t="str">
        <v>OK</v>
      </c>
      <c r="I118">
        <v>8.19</v>
      </c>
      <c r="J118">
        <v>82</v>
      </c>
      <c r="K118">
        <v>317</v>
      </c>
      <c r="L118" t="str">
        <v>OK</v>
      </c>
      <c r="M118">
        <v>1</v>
      </c>
      <c r="O118">
        <f t="shared" si="8"/>
        <v>28.341463414634145</v>
      </c>
      <c r="P118">
        <f t="shared" si="9"/>
        <v>79.306499999999986</v>
      </c>
      <c r="Q118">
        <f t="shared" si="10"/>
        <v>85.883222468588315</v>
      </c>
      <c r="R118">
        <f t="shared" si="11"/>
        <v>1</v>
      </c>
      <c r="S118">
        <f t="shared" si="12"/>
        <v>85.883222468588315</v>
      </c>
      <c r="T118" t="str">
        <f t="shared" si="13"/>
        <v>OK</v>
      </c>
      <c r="U118" t="str">
        <f t="shared" si="14"/>
        <v>OK</v>
      </c>
      <c r="V118" t="str">
        <f t="shared" si="15"/>
        <v>OK</v>
      </c>
    </row>
    <row r="119" spans="1:22" x14ac:dyDescent="0.45">
      <c r="A119" t="str">
        <v>SO-50838</v>
      </c>
      <c r="B119" t="str">
        <v>PL-SUR</v>
      </c>
      <c r="C119" t="str">
        <v>CD-LEO</v>
      </c>
      <c r="D119" t="str">
        <v>ABA-1015</v>
      </c>
      <c r="E119">
        <v>2122</v>
      </c>
      <c r="F119" s="1">
        <v>46176</v>
      </c>
      <c r="G119" t="str">
        <v>In Transit</v>
      </c>
      <c r="H119" t="str">
        <v>OK</v>
      </c>
      <c r="I119">
        <v>8.19</v>
      </c>
      <c r="J119">
        <v>82</v>
      </c>
      <c r="K119">
        <v>317</v>
      </c>
      <c r="L119" t="str">
        <v>OK</v>
      </c>
      <c r="M119">
        <v>1</v>
      </c>
      <c r="O119">
        <f t="shared" si="8"/>
        <v>25.878048780487806</v>
      </c>
      <c r="P119">
        <f t="shared" si="9"/>
        <v>72.413249999999991</v>
      </c>
      <c r="Q119">
        <f t="shared" si="10"/>
        <v>78.418329637841836</v>
      </c>
      <c r="R119">
        <f t="shared" si="11"/>
        <v>1</v>
      </c>
      <c r="S119">
        <f t="shared" si="12"/>
        <v>78.418329637841836</v>
      </c>
      <c r="T119" t="str">
        <f t="shared" si="13"/>
        <v>OK</v>
      </c>
      <c r="U119" t="str">
        <f t="shared" si="14"/>
        <v>OK</v>
      </c>
      <c r="V119" t="str">
        <f t="shared" si="15"/>
        <v>OK</v>
      </c>
    </row>
    <row r="120" spans="1:22" x14ac:dyDescent="0.45">
      <c r="A120" t="str">
        <v>SO-50095</v>
      </c>
      <c r="B120" t="str">
        <v>PL-CEN</v>
      </c>
      <c r="C120" t="str">
        <v>CD-CDMX</v>
      </c>
      <c r="D120" t="str">
        <v>PRO-1012</v>
      </c>
      <c r="E120">
        <v>-25</v>
      </c>
      <c r="F120" s="1">
        <v>46176</v>
      </c>
      <c r="G120" t="str">
        <v>In Transit</v>
      </c>
      <c r="H120" t="str">
        <v>INVALIDO</v>
      </c>
      <c r="I120">
        <v>6.87</v>
      </c>
      <c r="J120">
        <v>101</v>
      </c>
      <c r="K120">
        <v>62</v>
      </c>
      <c r="L120" t="str">
        <v>OK</v>
      </c>
      <c r="M120">
        <v>1</v>
      </c>
      <c r="O120">
        <f t="shared" si="8"/>
        <v>-0.24752475247524752</v>
      </c>
      <c r="P120">
        <f t="shared" si="9"/>
        <v>-0.71562500000000007</v>
      </c>
      <c r="Q120">
        <f t="shared" si="10"/>
        <v>-0.75007500750075007</v>
      </c>
      <c r="R120">
        <f t="shared" si="11"/>
        <v>0</v>
      </c>
      <c r="S120" t="str">
        <f t="shared" si="12"/>
        <v/>
      </c>
      <c r="T120" t="str">
        <f t="shared" si="13"/>
        <v>OK</v>
      </c>
      <c r="U120" t="str">
        <f t="shared" si="14"/>
        <v>OK</v>
      </c>
      <c r="V120" t="str">
        <f t="shared" si="15"/>
        <v>OK</v>
      </c>
    </row>
    <row r="121" spans="1:22" x14ac:dyDescent="0.45">
      <c r="A121" t="str">
        <v>SO-51006</v>
      </c>
      <c r="B121" t="str">
        <v>PL-SUR</v>
      </c>
      <c r="C121" t="str">
        <v>CD-MER</v>
      </c>
      <c r="D121" t="str">
        <v>LAC-1011</v>
      </c>
      <c r="E121">
        <v>3779</v>
      </c>
      <c r="F121" s="1">
        <v>46163</v>
      </c>
      <c r="G121" t="str">
        <v>In Transit</v>
      </c>
      <c r="H121" t="str">
        <v>OK</v>
      </c>
      <c r="I121">
        <v>6.1</v>
      </c>
      <c r="J121">
        <v>137</v>
      </c>
      <c r="K121">
        <v>17</v>
      </c>
      <c r="L121" t="str">
        <v>OK</v>
      </c>
      <c r="M121">
        <v>14</v>
      </c>
      <c r="O121">
        <f t="shared" si="8"/>
        <v>27.583941605839417</v>
      </c>
      <c r="P121">
        <f t="shared" si="9"/>
        <v>96.049583333333317</v>
      </c>
      <c r="Q121">
        <f t="shared" si="10"/>
        <v>83.587701835877027</v>
      </c>
      <c r="R121">
        <f t="shared" si="11"/>
        <v>1</v>
      </c>
      <c r="S121">
        <f t="shared" si="12"/>
        <v>96.049583333333317</v>
      </c>
      <c r="T121" t="str">
        <f t="shared" si="13"/>
        <v>OK</v>
      </c>
      <c r="U121" t="str">
        <f t="shared" si="14"/>
        <v>FEFO RIESGO</v>
      </c>
      <c r="V121" t="str">
        <f t="shared" si="15"/>
        <v>FANTASMA</v>
      </c>
    </row>
    <row r="122" spans="1:22" x14ac:dyDescent="0.45">
      <c r="A122" t="str">
        <v>SO-50758</v>
      </c>
      <c r="B122" t="str">
        <v>PL-NTE</v>
      </c>
      <c r="C122" t="str">
        <v>CD-TIJ</v>
      </c>
      <c r="D122" t="str">
        <v>BOT-1000</v>
      </c>
      <c r="E122">
        <v>1217</v>
      </c>
      <c r="F122" s="1">
        <v>46174</v>
      </c>
      <c r="G122" t="str">
        <v>In Transit</v>
      </c>
      <c r="H122" t="str">
        <v>OK</v>
      </c>
      <c r="I122">
        <v>3.56</v>
      </c>
      <c r="J122">
        <v>64</v>
      </c>
      <c r="K122">
        <v>92</v>
      </c>
      <c r="L122" t="str">
        <v>OK</v>
      </c>
      <c r="M122">
        <v>3</v>
      </c>
      <c r="O122">
        <f t="shared" si="8"/>
        <v>19.015625</v>
      </c>
      <c r="P122">
        <f t="shared" si="9"/>
        <v>18.052166666666668</v>
      </c>
      <c r="Q122">
        <f t="shared" si="10"/>
        <v>57.623106060606055</v>
      </c>
      <c r="R122">
        <f t="shared" si="11"/>
        <v>1</v>
      </c>
      <c r="S122">
        <f t="shared" si="12"/>
        <v>57.623106060606055</v>
      </c>
      <c r="T122" t="str">
        <f t="shared" si="13"/>
        <v>CARGA INEFICIENTE</v>
      </c>
      <c r="U122" t="str">
        <f t="shared" si="14"/>
        <v>OK</v>
      </c>
      <c r="V122" t="str">
        <f t="shared" si="15"/>
        <v>OK</v>
      </c>
    </row>
    <row r="123" spans="1:22" x14ac:dyDescent="0.45">
      <c r="A123" t="str">
        <v>SO-51096</v>
      </c>
      <c r="B123" t="str">
        <v>PL-SUR</v>
      </c>
      <c r="C123" t="str">
        <v>CD-GDL</v>
      </c>
      <c r="D123" t="str">
        <v>LAC-1005</v>
      </c>
      <c r="E123">
        <v>1002</v>
      </c>
      <c r="F123" s="1">
        <v>46169</v>
      </c>
      <c r="G123" t="str">
        <v>In Transit</v>
      </c>
      <c r="H123" t="str">
        <v>OK</v>
      </c>
      <c r="I123">
        <v>8.94</v>
      </c>
      <c r="J123">
        <v>100</v>
      </c>
      <c r="K123">
        <v>17</v>
      </c>
      <c r="L123" t="str">
        <v>OK</v>
      </c>
      <c r="M123">
        <v>8</v>
      </c>
      <c r="O123">
        <f t="shared" si="8"/>
        <v>10.02</v>
      </c>
      <c r="P123">
        <f t="shared" si="9"/>
        <v>37.3245</v>
      </c>
      <c r="Q123">
        <f t="shared" si="10"/>
        <v>30.363636363636363</v>
      </c>
      <c r="R123">
        <f t="shared" si="11"/>
        <v>1</v>
      </c>
      <c r="S123">
        <f t="shared" si="12"/>
        <v>37.3245</v>
      </c>
      <c r="T123" t="str">
        <f t="shared" si="13"/>
        <v>CARGA INEFICIENTE</v>
      </c>
      <c r="U123" t="str">
        <f t="shared" si="14"/>
        <v>FEFO RIESGO</v>
      </c>
      <c r="V123" t="str">
        <f t="shared" si="15"/>
        <v>FANTASMA</v>
      </c>
    </row>
    <row r="124" spans="1:22" x14ac:dyDescent="0.45">
      <c r="A124" t="str">
        <v>SO-50429</v>
      </c>
      <c r="B124" t="str">
        <v>PL-NTE</v>
      </c>
      <c r="C124" t="str">
        <v>CD-CHI</v>
      </c>
      <c r="D124" t="str">
        <v>BOT-1013</v>
      </c>
      <c r="E124">
        <v>612</v>
      </c>
      <c r="F124" s="1">
        <v>46175</v>
      </c>
      <c r="G124" t="str">
        <v>In Transit</v>
      </c>
      <c r="H124" t="str">
        <v>OK</v>
      </c>
      <c r="I124">
        <v>4</v>
      </c>
      <c r="J124">
        <v>58</v>
      </c>
      <c r="K124">
        <v>112</v>
      </c>
      <c r="L124" t="str">
        <v>OK</v>
      </c>
      <c r="M124">
        <v>2</v>
      </c>
      <c r="O124">
        <f t="shared" si="8"/>
        <v>10.551724137931034</v>
      </c>
      <c r="P124">
        <f t="shared" si="9"/>
        <v>10.199999999999999</v>
      </c>
      <c r="Q124">
        <f t="shared" si="10"/>
        <v>31.974921630094045</v>
      </c>
      <c r="R124">
        <f t="shared" si="11"/>
        <v>1</v>
      </c>
      <c r="S124">
        <f t="shared" si="12"/>
        <v>31.974921630094045</v>
      </c>
      <c r="T124" t="str">
        <f t="shared" si="13"/>
        <v>CARGA INEFICIENTE</v>
      </c>
      <c r="U124" t="str">
        <f t="shared" si="14"/>
        <v>OK</v>
      </c>
      <c r="V124" t="str">
        <f t="shared" si="15"/>
        <v>OK</v>
      </c>
    </row>
    <row r="125" spans="1:22" x14ac:dyDescent="0.45">
      <c r="A125" t="str">
        <v>SO-50170</v>
      </c>
      <c r="B125" t="str">
        <v>PL-NTE</v>
      </c>
      <c r="C125" t="str">
        <v>CD-HER</v>
      </c>
      <c r="D125" t="str">
        <v>BEB-1003</v>
      </c>
      <c r="E125">
        <v>1043</v>
      </c>
      <c r="F125" s="1">
        <v>46175</v>
      </c>
      <c r="G125" t="str">
        <v>In Transit</v>
      </c>
      <c r="H125" t="str">
        <v>OK</v>
      </c>
      <c r="I125">
        <v>20.5</v>
      </c>
      <c r="J125">
        <v>64</v>
      </c>
      <c r="K125">
        <v>359</v>
      </c>
      <c r="L125" t="str">
        <v>OK</v>
      </c>
      <c r="M125">
        <v>2</v>
      </c>
      <c r="O125">
        <f t="shared" si="8"/>
        <v>16.296875</v>
      </c>
      <c r="P125">
        <f t="shared" si="9"/>
        <v>89.089583333333337</v>
      </c>
      <c r="Q125">
        <f t="shared" si="10"/>
        <v>49.384469696969695</v>
      </c>
      <c r="R125">
        <f t="shared" si="11"/>
        <v>1</v>
      </c>
      <c r="S125">
        <f t="shared" si="12"/>
        <v>89.089583333333337</v>
      </c>
      <c r="T125" t="str">
        <f t="shared" si="13"/>
        <v>OK</v>
      </c>
      <c r="U125" t="str">
        <f t="shared" si="14"/>
        <v>OK</v>
      </c>
      <c r="V125" t="str">
        <f t="shared" si="15"/>
        <v>OK</v>
      </c>
    </row>
    <row r="126" spans="1:22" x14ac:dyDescent="0.45">
      <c r="A126" t="str">
        <v>SO-50632</v>
      </c>
      <c r="B126" t="str">
        <v>PL-SUR</v>
      </c>
      <c r="C126" t="str">
        <v>CD-CAN</v>
      </c>
      <c r="D126" t="str">
        <v>ABA-1010</v>
      </c>
      <c r="E126">
        <v>2269</v>
      </c>
      <c r="F126" s="1">
        <v>46175</v>
      </c>
      <c r="G126" t="str">
        <v>In Transit</v>
      </c>
      <c r="H126" t="str">
        <v>OK</v>
      </c>
      <c r="I126">
        <v>8.75</v>
      </c>
      <c r="J126">
        <v>123</v>
      </c>
      <c r="K126">
        <v>341</v>
      </c>
      <c r="L126" t="str">
        <v>OK</v>
      </c>
      <c r="M126">
        <v>2</v>
      </c>
      <c r="O126">
        <f t="shared" si="8"/>
        <v>18.447154471544714</v>
      </c>
      <c r="P126">
        <f t="shared" si="9"/>
        <v>82.723958333333343</v>
      </c>
      <c r="Q126">
        <f t="shared" si="10"/>
        <v>55.900468095590043</v>
      </c>
      <c r="R126">
        <f t="shared" si="11"/>
        <v>1</v>
      </c>
      <c r="S126">
        <f t="shared" si="12"/>
        <v>82.723958333333343</v>
      </c>
      <c r="T126" t="str">
        <f t="shared" si="13"/>
        <v>OK</v>
      </c>
      <c r="U126" t="str">
        <f t="shared" si="14"/>
        <v>OK</v>
      </c>
      <c r="V126" t="str">
        <f t="shared" si="15"/>
        <v>OK</v>
      </c>
    </row>
    <row r="127" spans="1:22" x14ac:dyDescent="0.45">
      <c r="A127" t="str">
        <v>SO-50869</v>
      </c>
      <c r="B127" t="str">
        <v>PL-CEN</v>
      </c>
      <c r="C127" t="str">
        <v>CD-VER</v>
      </c>
      <c r="D127" t="str">
        <v>LAC-1010</v>
      </c>
      <c r="E127">
        <v>3469</v>
      </c>
      <c r="F127" s="1">
        <v>46175</v>
      </c>
      <c r="G127" t="str">
        <v>In Transit</v>
      </c>
      <c r="H127" t="str">
        <v>OK</v>
      </c>
      <c r="I127">
        <v>6.24</v>
      </c>
      <c r="J127">
        <v>146</v>
      </c>
      <c r="K127">
        <v>24</v>
      </c>
      <c r="L127" t="str">
        <v>OK</v>
      </c>
      <c r="M127">
        <v>2</v>
      </c>
      <c r="O127">
        <f t="shared" si="8"/>
        <v>23.760273972602739</v>
      </c>
      <c r="P127">
        <f t="shared" si="9"/>
        <v>90.194000000000003</v>
      </c>
      <c r="Q127">
        <f t="shared" si="10"/>
        <v>72.000830220008311</v>
      </c>
      <c r="R127">
        <f t="shared" si="11"/>
        <v>1</v>
      </c>
      <c r="S127">
        <f t="shared" si="12"/>
        <v>90.194000000000003</v>
      </c>
      <c r="T127" t="str">
        <f t="shared" si="13"/>
        <v>OK</v>
      </c>
      <c r="U127" t="str">
        <f t="shared" si="14"/>
        <v>OK</v>
      </c>
      <c r="V127" t="str">
        <f t="shared" si="15"/>
        <v>OK</v>
      </c>
    </row>
    <row r="128" spans="1:22" x14ac:dyDescent="0.45">
      <c r="A128" t="str">
        <v>SO-50462</v>
      </c>
      <c r="B128" t="str">
        <v>PL-NTE</v>
      </c>
      <c r="C128" t="str">
        <v>CD-TIJ</v>
      </c>
      <c r="D128" t="str">
        <v>PRO-1000</v>
      </c>
      <c r="E128">
        <v>1622</v>
      </c>
      <c r="F128" s="1">
        <v>46174</v>
      </c>
      <c r="G128" t="str">
        <v>In Transit</v>
      </c>
      <c r="H128" t="str">
        <v>OK</v>
      </c>
      <c r="I128">
        <v>12.51</v>
      </c>
      <c r="J128">
        <v>73</v>
      </c>
      <c r="K128">
        <v>75</v>
      </c>
      <c r="L128" t="str">
        <v>OK</v>
      </c>
      <c r="M128">
        <v>3</v>
      </c>
      <c r="O128">
        <f t="shared" si="8"/>
        <v>22.219178082191782</v>
      </c>
      <c r="P128">
        <f t="shared" si="9"/>
        <v>84.546750000000003</v>
      </c>
      <c r="Q128">
        <f t="shared" si="10"/>
        <v>67.330842673308439</v>
      </c>
      <c r="R128">
        <f t="shared" si="11"/>
        <v>1</v>
      </c>
      <c r="S128">
        <f t="shared" si="12"/>
        <v>84.546750000000003</v>
      </c>
      <c r="T128" t="str">
        <f t="shared" si="13"/>
        <v>OK</v>
      </c>
      <c r="U128" t="str">
        <f t="shared" si="14"/>
        <v>OK</v>
      </c>
      <c r="V128" t="str">
        <f t="shared" si="15"/>
        <v>OK</v>
      </c>
    </row>
    <row r="129" spans="1:22" x14ac:dyDescent="0.45">
      <c r="A129" t="str">
        <v>SO-50407</v>
      </c>
      <c r="B129" t="str">
        <v>PL-CEN</v>
      </c>
      <c r="C129" t="str">
        <v>CD-TOL</v>
      </c>
      <c r="D129" t="str">
        <v>BOT-1022</v>
      </c>
      <c r="E129">
        <v>1527</v>
      </c>
      <c r="F129" s="1">
        <v>46175</v>
      </c>
      <c r="G129" t="str">
        <v>In Transit</v>
      </c>
      <c r="H129" t="str">
        <v>OK</v>
      </c>
      <c r="I129">
        <v>3.48</v>
      </c>
      <c r="J129">
        <v>55</v>
      </c>
      <c r="K129">
        <v>118</v>
      </c>
      <c r="L129" t="str">
        <v>OK</v>
      </c>
      <c r="M129">
        <v>2</v>
      </c>
      <c r="O129">
        <f t="shared" si="8"/>
        <v>27.763636363636362</v>
      </c>
      <c r="P129">
        <f t="shared" si="9"/>
        <v>22.141500000000001</v>
      </c>
      <c r="Q129">
        <f t="shared" si="10"/>
        <v>84.132231404958674</v>
      </c>
      <c r="R129">
        <f t="shared" si="11"/>
        <v>1</v>
      </c>
      <c r="S129">
        <f t="shared" si="12"/>
        <v>84.132231404958674</v>
      </c>
      <c r="T129" t="str">
        <f t="shared" si="13"/>
        <v>OK</v>
      </c>
      <c r="U129" t="str">
        <f t="shared" si="14"/>
        <v>OK</v>
      </c>
      <c r="V129" t="str">
        <f t="shared" si="15"/>
        <v>OK</v>
      </c>
    </row>
    <row r="130" spans="1:22" x14ac:dyDescent="0.45">
      <c r="A130" t="str">
        <v>SO-50279</v>
      </c>
      <c r="B130" t="str">
        <v>PL-NTE</v>
      </c>
      <c r="C130" t="str">
        <v>CD-HER</v>
      </c>
      <c r="D130" t="str">
        <v>BEB-1008</v>
      </c>
      <c r="E130">
        <v>574</v>
      </c>
      <c r="F130" s="1">
        <v>46173</v>
      </c>
      <c r="G130" t="str">
        <v>In Transit</v>
      </c>
      <c r="H130" t="str">
        <v>OK</v>
      </c>
      <c r="I130">
        <v>17.47</v>
      </c>
      <c r="J130">
        <v>65</v>
      </c>
      <c r="K130">
        <v>216</v>
      </c>
      <c r="L130" t="str">
        <v>OK</v>
      </c>
      <c r="M130">
        <v>4</v>
      </c>
      <c r="O130">
        <f t="shared" si="8"/>
        <v>8.8307692307692314</v>
      </c>
      <c r="P130">
        <f t="shared" si="9"/>
        <v>41.782416666666663</v>
      </c>
      <c r="Q130">
        <f t="shared" si="10"/>
        <v>26.759906759906759</v>
      </c>
      <c r="R130">
        <f t="shared" si="11"/>
        <v>1</v>
      </c>
      <c r="S130">
        <f t="shared" si="12"/>
        <v>41.782416666666663</v>
      </c>
      <c r="T130" t="str">
        <f t="shared" si="13"/>
        <v>CARGA INEFICIENTE</v>
      </c>
      <c r="U130" t="str">
        <f t="shared" si="14"/>
        <v>OK</v>
      </c>
      <c r="V130" t="str">
        <f t="shared" si="15"/>
        <v>OK</v>
      </c>
    </row>
    <row r="131" spans="1:22" x14ac:dyDescent="0.45">
      <c r="A131" t="str">
        <v>SO-50851</v>
      </c>
      <c r="B131" t="str">
        <v>PL-CEN</v>
      </c>
      <c r="C131" t="str">
        <v>CD-PUE</v>
      </c>
      <c r="D131" t="str">
        <v>BEB-1008</v>
      </c>
      <c r="E131">
        <v>1265</v>
      </c>
      <c r="F131" s="1">
        <v>46176</v>
      </c>
      <c r="G131" t="str">
        <v>In Transit</v>
      </c>
      <c r="H131" t="str">
        <v>OK</v>
      </c>
      <c r="I131">
        <v>17.47</v>
      </c>
      <c r="J131">
        <v>65</v>
      </c>
      <c r="K131">
        <v>216</v>
      </c>
      <c r="L131" t="str">
        <v>OK</v>
      </c>
      <c r="M131">
        <v>1</v>
      </c>
      <c r="O131">
        <f t="shared" ref="O131:O194" si="16">IF(L131="HUERFANO","n/a",IF(ISNUMBER(J131),E131/J131,"n/a"))</f>
        <v>19.46153846153846</v>
      </c>
      <c r="P131">
        <f t="shared" ref="P131:P194" si="17">IF(L131="HUERFANO","n/a",IFERROR(E131*I131/24000*100,""))</f>
        <v>92.08145833333333</v>
      </c>
      <c r="Q131">
        <f t="shared" ref="Q131:Q194" si="18">IF(L131="HUERFANO","n/a",IFERROR(O131/33*100,""))</f>
        <v>58.974358974358964</v>
      </c>
      <c r="R131">
        <f t="shared" ref="R131:R194" si="19">IF(L131="HUERFANO","n/a",IFERROR(MAX(CEILING(P131/100,1),CEILING(Q131/100,1)),""))</f>
        <v>1</v>
      </c>
      <c r="S131">
        <f t="shared" ref="S131:S194" si="20">IF(L131="HUERFANO","n/a",IFERROR(MAX(P131,Q131)/(R131*100)*100,""))</f>
        <v>92.08145833333333</v>
      </c>
      <c r="T131" t="str">
        <f t="shared" ref="T131:T194" si="21">IF(L131="HUERFANO","n/a",IF(S131&lt;75,"CARGA INEFICIENTE","OK"))</f>
        <v>OK</v>
      </c>
      <c r="U131" t="str">
        <f t="shared" ref="U131:U194" si="22">IF(L131="HUERFANO","n/a",IF(AND(LEFT(D131,3)="LAC",(K131-M131)/K131*100&lt;70),"FEFO RIESGO","OK"))</f>
        <v>OK</v>
      </c>
      <c r="V131" t="str">
        <f t="shared" ref="V131:V194" si="23">IF(L131="HUERFANO","n/a",IF(AND(G131="In Transit",M131&gt;5),"FANTASMA","OK"))</f>
        <v>OK</v>
      </c>
    </row>
    <row r="132" spans="1:22" x14ac:dyDescent="0.45">
      <c r="A132" t="str">
        <v>SO-50952</v>
      </c>
      <c r="B132" t="str">
        <v>PL-SUR</v>
      </c>
      <c r="C132" t="str">
        <v>CD-MER</v>
      </c>
      <c r="D132" t="str">
        <v>BEB-1011</v>
      </c>
      <c r="E132">
        <v>952</v>
      </c>
      <c r="F132" s="1">
        <v>46174</v>
      </c>
      <c r="G132" t="str">
        <v>In Transit</v>
      </c>
      <c r="H132" t="str">
        <v>OK</v>
      </c>
      <c r="I132">
        <v>23.39</v>
      </c>
      <c r="J132">
        <v>79</v>
      </c>
      <c r="K132">
        <v>329</v>
      </c>
      <c r="L132" t="str">
        <v>OK</v>
      </c>
      <c r="M132">
        <v>3</v>
      </c>
      <c r="O132">
        <f t="shared" si="16"/>
        <v>12.050632911392405</v>
      </c>
      <c r="P132">
        <f t="shared" si="17"/>
        <v>92.780333333333331</v>
      </c>
      <c r="Q132">
        <f t="shared" si="18"/>
        <v>36.517069428461838</v>
      </c>
      <c r="R132">
        <f t="shared" si="19"/>
        <v>1</v>
      </c>
      <c r="S132">
        <f t="shared" si="20"/>
        <v>92.780333333333331</v>
      </c>
      <c r="T132" t="str">
        <f t="shared" si="21"/>
        <v>OK</v>
      </c>
      <c r="U132" t="str">
        <f t="shared" si="22"/>
        <v>OK</v>
      </c>
      <c r="V132" t="str">
        <f t="shared" si="23"/>
        <v>OK</v>
      </c>
    </row>
    <row r="133" spans="1:22" x14ac:dyDescent="0.45">
      <c r="A133" t="str">
        <v>SO-50251</v>
      </c>
      <c r="B133" t="str">
        <v>PL-NTE</v>
      </c>
      <c r="C133" t="str">
        <v>CD-HER</v>
      </c>
      <c r="D133" t="str">
        <v>BEB-1015</v>
      </c>
      <c r="E133">
        <v>1009</v>
      </c>
      <c r="F133" s="1">
        <v>46175</v>
      </c>
      <c r="G133" t="str">
        <v>In Transit</v>
      </c>
      <c r="H133" t="str">
        <v>OK</v>
      </c>
      <c r="I133">
        <v>19.95</v>
      </c>
      <c r="J133">
        <v>78</v>
      </c>
      <c r="K133">
        <v>276</v>
      </c>
      <c r="L133" t="str">
        <v>OK</v>
      </c>
      <c r="M133">
        <v>2</v>
      </c>
      <c r="O133">
        <f t="shared" si="16"/>
        <v>12.935897435897436</v>
      </c>
      <c r="P133">
        <f t="shared" si="17"/>
        <v>83.873124999999987</v>
      </c>
      <c r="Q133">
        <f t="shared" si="18"/>
        <v>39.199689199689203</v>
      </c>
      <c r="R133">
        <f t="shared" si="19"/>
        <v>1</v>
      </c>
      <c r="S133">
        <f t="shared" si="20"/>
        <v>83.873124999999987</v>
      </c>
      <c r="T133" t="str">
        <f t="shared" si="21"/>
        <v>OK</v>
      </c>
      <c r="U133" t="str">
        <f t="shared" si="22"/>
        <v>OK</v>
      </c>
      <c r="V133" t="str">
        <f t="shared" si="23"/>
        <v>OK</v>
      </c>
    </row>
    <row r="134" spans="1:22" x14ac:dyDescent="0.45">
      <c r="A134" t="str">
        <v>SO-50156</v>
      </c>
      <c r="B134" t="str">
        <v>PL-SUR</v>
      </c>
      <c r="C134" t="str">
        <v>CD-MOR</v>
      </c>
      <c r="D134" t="str">
        <v>BOT-1020</v>
      </c>
      <c r="E134">
        <v>595</v>
      </c>
      <c r="F134" s="1">
        <v>46176</v>
      </c>
      <c r="G134" t="str">
        <v>In Transit</v>
      </c>
      <c r="H134" t="str">
        <v>OK</v>
      </c>
      <c r="I134">
        <v>6.27</v>
      </c>
      <c r="J134">
        <v>67</v>
      </c>
      <c r="K134">
        <v>90</v>
      </c>
      <c r="L134" t="str">
        <v>OK</v>
      </c>
      <c r="M134">
        <v>1</v>
      </c>
      <c r="O134">
        <f t="shared" si="16"/>
        <v>8.8805970149253728</v>
      </c>
      <c r="P134">
        <f t="shared" si="17"/>
        <v>15.544374999999999</v>
      </c>
      <c r="Q134">
        <f t="shared" si="18"/>
        <v>26.910900045228402</v>
      </c>
      <c r="R134">
        <f t="shared" si="19"/>
        <v>1</v>
      </c>
      <c r="S134">
        <f t="shared" si="20"/>
        <v>26.910900045228402</v>
      </c>
      <c r="T134" t="str">
        <f t="shared" si="21"/>
        <v>CARGA INEFICIENTE</v>
      </c>
      <c r="U134" t="str">
        <f t="shared" si="22"/>
        <v>OK</v>
      </c>
      <c r="V134" t="str">
        <f t="shared" si="23"/>
        <v>OK</v>
      </c>
    </row>
    <row r="135" spans="1:22" x14ac:dyDescent="0.45">
      <c r="A135" t="str">
        <v>SO-50343</v>
      </c>
      <c r="B135" t="str">
        <v>PL-CEN</v>
      </c>
      <c r="C135" t="str">
        <v>CD-VER</v>
      </c>
      <c r="D135" t="str">
        <v>BEB-1003</v>
      </c>
      <c r="E135">
        <v>1020</v>
      </c>
      <c r="F135" s="1">
        <v>46175</v>
      </c>
      <c r="G135" t="str">
        <v>In Transit</v>
      </c>
      <c r="H135" t="str">
        <v>OK</v>
      </c>
      <c r="I135">
        <v>20.5</v>
      </c>
      <c r="J135">
        <v>64</v>
      </c>
      <c r="K135">
        <v>359</v>
      </c>
      <c r="L135" t="str">
        <v>OK</v>
      </c>
      <c r="M135">
        <v>2</v>
      </c>
      <c r="O135">
        <f t="shared" si="16"/>
        <v>15.9375</v>
      </c>
      <c r="P135">
        <f t="shared" si="17"/>
        <v>87.125</v>
      </c>
      <c r="Q135">
        <f t="shared" si="18"/>
        <v>48.295454545454547</v>
      </c>
      <c r="R135">
        <f t="shared" si="19"/>
        <v>1</v>
      </c>
      <c r="S135">
        <f t="shared" si="20"/>
        <v>87.125</v>
      </c>
      <c r="T135" t="str">
        <f t="shared" si="21"/>
        <v>OK</v>
      </c>
      <c r="U135" t="str">
        <f t="shared" si="22"/>
        <v>OK</v>
      </c>
      <c r="V135" t="str">
        <f t="shared" si="23"/>
        <v>OK</v>
      </c>
    </row>
    <row r="136" spans="1:22" x14ac:dyDescent="0.45">
      <c r="A136" t="str">
        <v>SO-50476</v>
      </c>
      <c r="B136" t="str">
        <v>PL-SUR</v>
      </c>
      <c r="C136" t="str">
        <v>CD-LEO</v>
      </c>
      <c r="D136" t="str">
        <v>ABA-1016</v>
      </c>
      <c r="E136">
        <v>380</v>
      </c>
      <c r="F136" s="1">
        <v>46175</v>
      </c>
      <c r="G136" t="str">
        <v>In Transit</v>
      </c>
      <c r="H136" t="str">
        <v>OK</v>
      </c>
      <c r="I136">
        <v>15.52</v>
      </c>
      <c r="J136">
        <v>121</v>
      </c>
      <c r="K136">
        <v>517</v>
      </c>
      <c r="L136" t="str">
        <v>OK</v>
      </c>
      <c r="M136">
        <v>2</v>
      </c>
      <c r="O136">
        <f t="shared" si="16"/>
        <v>3.1404958677685952</v>
      </c>
      <c r="P136">
        <f t="shared" si="17"/>
        <v>24.573333333333331</v>
      </c>
      <c r="Q136">
        <f t="shared" si="18"/>
        <v>9.5166541447533177</v>
      </c>
      <c r="R136">
        <f t="shared" si="19"/>
        <v>1</v>
      </c>
      <c r="S136">
        <f t="shared" si="20"/>
        <v>24.573333333333331</v>
      </c>
      <c r="T136" t="str">
        <f t="shared" si="21"/>
        <v>CARGA INEFICIENTE</v>
      </c>
      <c r="U136" t="str">
        <f t="shared" si="22"/>
        <v>OK</v>
      </c>
      <c r="V136" t="str">
        <f t="shared" si="23"/>
        <v>OK</v>
      </c>
    </row>
    <row r="137" spans="1:22" x14ac:dyDescent="0.45">
      <c r="A137" t="str">
        <v>SO-50634</v>
      </c>
      <c r="B137" t="str">
        <v>PL-CEN</v>
      </c>
      <c r="C137" t="str">
        <v>CD-QRO</v>
      </c>
      <c r="D137" t="str">
        <v>ABA-1017</v>
      </c>
      <c r="E137">
        <v>1929</v>
      </c>
      <c r="F137" s="1">
        <v>46176</v>
      </c>
      <c r="G137" t="str">
        <v>In Transit</v>
      </c>
      <c r="H137" t="str">
        <v>OK</v>
      </c>
      <c r="I137">
        <v>10.96</v>
      </c>
      <c r="J137">
        <v>128</v>
      </c>
      <c r="K137">
        <v>520</v>
      </c>
      <c r="L137" t="str">
        <v>OK</v>
      </c>
      <c r="M137">
        <v>1</v>
      </c>
      <c r="O137">
        <f t="shared" si="16"/>
        <v>15.0703125</v>
      </c>
      <c r="P137">
        <f t="shared" si="17"/>
        <v>88.090999999999994</v>
      </c>
      <c r="Q137">
        <f t="shared" si="18"/>
        <v>45.667613636363633</v>
      </c>
      <c r="R137">
        <f t="shared" si="19"/>
        <v>1</v>
      </c>
      <c r="S137">
        <f t="shared" si="20"/>
        <v>88.090999999999994</v>
      </c>
      <c r="T137" t="str">
        <f t="shared" si="21"/>
        <v>OK</v>
      </c>
      <c r="U137" t="str">
        <f t="shared" si="22"/>
        <v>OK</v>
      </c>
      <c r="V137" t="str">
        <f t="shared" si="23"/>
        <v>OK</v>
      </c>
    </row>
    <row r="138" spans="1:22" x14ac:dyDescent="0.45">
      <c r="A138" t="str">
        <v>SO-50680</v>
      </c>
      <c r="B138" t="str">
        <v>PL-SUR</v>
      </c>
      <c r="C138" t="str">
        <v>CD-LEO</v>
      </c>
      <c r="D138" t="str">
        <v>ABA-1005</v>
      </c>
      <c r="E138">
        <v>1442</v>
      </c>
      <c r="F138" s="1">
        <v>46175</v>
      </c>
      <c r="G138" t="str">
        <v>In Transit</v>
      </c>
      <c r="H138" t="str">
        <v>OK</v>
      </c>
      <c r="I138">
        <v>13.31</v>
      </c>
      <c r="J138">
        <v>89</v>
      </c>
      <c r="K138">
        <v>313</v>
      </c>
      <c r="L138" t="str">
        <v>OK</v>
      </c>
      <c r="M138">
        <v>2</v>
      </c>
      <c r="O138">
        <f t="shared" si="16"/>
        <v>16.202247191011235</v>
      </c>
      <c r="P138">
        <f t="shared" si="17"/>
        <v>79.970916666666668</v>
      </c>
      <c r="Q138">
        <f t="shared" si="18"/>
        <v>49.097718760640106</v>
      </c>
      <c r="R138">
        <f t="shared" si="19"/>
        <v>1</v>
      </c>
      <c r="S138">
        <f t="shared" si="20"/>
        <v>79.970916666666668</v>
      </c>
      <c r="T138" t="str">
        <f t="shared" si="21"/>
        <v>OK</v>
      </c>
      <c r="U138" t="str">
        <f t="shared" si="22"/>
        <v>OK</v>
      </c>
      <c r="V138" t="str">
        <f t="shared" si="23"/>
        <v>OK</v>
      </c>
    </row>
    <row r="139" spans="1:22" x14ac:dyDescent="0.45">
      <c r="A139" t="str">
        <v>SO-50862</v>
      </c>
      <c r="B139" t="str">
        <v>PL-NTE</v>
      </c>
      <c r="C139" t="str">
        <v>CD-SAL</v>
      </c>
      <c r="D139" t="str">
        <v>BEB-1006</v>
      </c>
      <c r="E139">
        <v>590</v>
      </c>
      <c r="F139" s="1">
        <v>46175</v>
      </c>
      <c r="G139" t="str">
        <v>In Transit</v>
      </c>
      <c r="H139" t="str">
        <v>OK</v>
      </c>
      <c r="I139">
        <v>17.18</v>
      </c>
      <c r="J139">
        <v>81</v>
      </c>
      <c r="K139">
        <v>293</v>
      </c>
      <c r="L139" t="str">
        <v>OK</v>
      </c>
      <c r="M139">
        <v>2</v>
      </c>
      <c r="O139">
        <f t="shared" si="16"/>
        <v>7.283950617283951</v>
      </c>
      <c r="P139">
        <f t="shared" si="17"/>
        <v>42.234166666666667</v>
      </c>
      <c r="Q139">
        <f t="shared" si="18"/>
        <v>22.072577628133185</v>
      </c>
      <c r="R139">
        <f t="shared" si="19"/>
        <v>1</v>
      </c>
      <c r="S139">
        <f t="shared" si="20"/>
        <v>42.234166666666667</v>
      </c>
      <c r="T139" t="str">
        <f t="shared" si="21"/>
        <v>CARGA INEFICIENTE</v>
      </c>
      <c r="U139" t="str">
        <f t="shared" si="22"/>
        <v>OK</v>
      </c>
      <c r="V139" t="str">
        <f t="shared" si="23"/>
        <v>OK</v>
      </c>
    </row>
    <row r="140" spans="1:22" x14ac:dyDescent="0.45">
      <c r="A140" t="str">
        <v>SO-50146</v>
      </c>
      <c r="B140" t="str">
        <v>PL-NTE</v>
      </c>
      <c r="C140" t="str">
        <v>CD-HER</v>
      </c>
      <c r="D140" t="str">
        <v>PRO-1001</v>
      </c>
      <c r="E140">
        <v>2137</v>
      </c>
      <c r="F140" s="1">
        <v>46174</v>
      </c>
      <c r="G140" t="str">
        <v>In Transit</v>
      </c>
      <c r="H140" t="str">
        <v>OK</v>
      </c>
      <c r="I140">
        <v>9.57</v>
      </c>
      <c r="J140">
        <v>92</v>
      </c>
      <c r="K140">
        <v>122</v>
      </c>
      <c r="L140" t="str">
        <v>OK</v>
      </c>
      <c r="M140">
        <v>3</v>
      </c>
      <c r="O140">
        <f t="shared" si="16"/>
        <v>23.228260869565219</v>
      </c>
      <c r="P140">
        <f t="shared" si="17"/>
        <v>85.212874999999997</v>
      </c>
      <c r="Q140">
        <f t="shared" si="18"/>
        <v>70.388669301712781</v>
      </c>
      <c r="R140">
        <f t="shared" si="19"/>
        <v>1</v>
      </c>
      <c r="S140">
        <f t="shared" si="20"/>
        <v>85.212874999999997</v>
      </c>
      <c r="T140" t="str">
        <f t="shared" si="21"/>
        <v>OK</v>
      </c>
      <c r="U140" t="str">
        <f t="shared" si="22"/>
        <v>OK</v>
      </c>
      <c r="V140" t="str">
        <f t="shared" si="23"/>
        <v>OK</v>
      </c>
    </row>
    <row r="141" spans="1:22" x14ac:dyDescent="0.45">
      <c r="A141" t="str">
        <v>SO-50984</v>
      </c>
      <c r="B141" t="str">
        <v>PL-SUR</v>
      </c>
      <c r="C141" t="str">
        <v>CD-CAN</v>
      </c>
      <c r="D141" t="str">
        <v>ABA-1013</v>
      </c>
      <c r="E141">
        <v>1895</v>
      </c>
      <c r="F141" s="1">
        <v>46176</v>
      </c>
      <c r="G141" t="str">
        <v>In Transit</v>
      </c>
      <c r="H141" t="str">
        <v>OK</v>
      </c>
      <c r="I141">
        <v>12.02</v>
      </c>
      <c r="J141">
        <v>75</v>
      </c>
      <c r="K141">
        <v>402</v>
      </c>
      <c r="L141" t="str">
        <v>OK</v>
      </c>
      <c r="M141">
        <v>1</v>
      </c>
      <c r="O141">
        <f t="shared" si="16"/>
        <v>25.266666666666666</v>
      </c>
      <c r="P141">
        <f t="shared" si="17"/>
        <v>94.907916666666665</v>
      </c>
      <c r="Q141">
        <f t="shared" si="18"/>
        <v>76.565656565656553</v>
      </c>
      <c r="R141">
        <f t="shared" si="19"/>
        <v>1</v>
      </c>
      <c r="S141">
        <f t="shared" si="20"/>
        <v>94.907916666666665</v>
      </c>
      <c r="T141" t="str">
        <f t="shared" si="21"/>
        <v>OK</v>
      </c>
      <c r="U141" t="str">
        <f t="shared" si="22"/>
        <v>OK</v>
      </c>
      <c r="V141" t="str">
        <f t="shared" si="23"/>
        <v>OK</v>
      </c>
    </row>
    <row r="142" spans="1:22" x14ac:dyDescent="0.45">
      <c r="A142" t="str">
        <v>SO-50222</v>
      </c>
      <c r="B142" t="str">
        <v>PL-NTE</v>
      </c>
      <c r="C142" t="str">
        <v>CD-CHI</v>
      </c>
      <c r="D142" t="str">
        <v>PRO-1000</v>
      </c>
      <c r="E142">
        <v>518</v>
      </c>
      <c r="F142" s="1">
        <v>46176</v>
      </c>
      <c r="G142" t="str">
        <v>In Transit</v>
      </c>
      <c r="H142" t="str">
        <v>OK</v>
      </c>
      <c r="I142">
        <v>12.51</v>
      </c>
      <c r="J142">
        <v>73</v>
      </c>
      <c r="K142">
        <v>75</v>
      </c>
      <c r="L142" t="str">
        <v>OK</v>
      </c>
      <c r="M142">
        <v>1</v>
      </c>
      <c r="O142">
        <f t="shared" si="16"/>
        <v>7.095890410958904</v>
      </c>
      <c r="P142">
        <f t="shared" si="17"/>
        <v>27.00075</v>
      </c>
      <c r="Q142">
        <f t="shared" si="18"/>
        <v>21.502698215026982</v>
      </c>
      <c r="R142">
        <f t="shared" si="19"/>
        <v>1</v>
      </c>
      <c r="S142">
        <f t="shared" si="20"/>
        <v>27.00075</v>
      </c>
      <c r="T142" t="str">
        <f t="shared" si="21"/>
        <v>CARGA INEFICIENTE</v>
      </c>
      <c r="U142" t="str">
        <f t="shared" si="22"/>
        <v>OK</v>
      </c>
      <c r="V142" t="str">
        <f t="shared" si="23"/>
        <v>OK</v>
      </c>
    </row>
    <row r="143" spans="1:22" x14ac:dyDescent="0.45">
      <c r="A143" t="str">
        <v>SO-50590</v>
      </c>
      <c r="B143" t="str">
        <v>PL-NTE</v>
      </c>
      <c r="C143" t="str">
        <v>CD-SAL</v>
      </c>
      <c r="D143" t="str">
        <v>ABA-1003</v>
      </c>
      <c r="E143">
        <v>2509</v>
      </c>
      <c r="F143" s="1">
        <v>46175</v>
      </c>
      <c r="G143" t="str">
        <v>In Transit</v>
      </c>
      <c r="H143" t="str">
        <v>OK</v>
      </c>
      <c r="I143">
        <v>8.67</v>
      </c>
      <c r="J143">
        <v>124</v>
      </c>
      <c r="K143">
        <v>512</v>
      </c>
      <c r="L143" t="str">
        <v>OK</v>
      </c>
      <c r="M143">
        <v>2</v>
      </c>
      <c r="O143">
        <f t="shared" si="16"/>
        <v>20.233870967741936</v>
      </c>
      <c r="P143">
        <f t="shared" si="17"/>
        <v>90.637625</v>
      </c>
      <c r="Q143">
        <f t="shared" si="18"/>
        <v>61.314760508308893</v>
      </c>
      <c r="R143">
        <f t="shared" si="19"/>
        <v>1</v>
      </c>
      <c r="S143">
        <f t="shared" si="20"/>
        <v>90.637625</v>
      </c>
      <c r="T143" t="str">
        <f t="shared" si="21"/>
        <v>OK</v>
      </c>
      <c r="U143" t="str">
        <f t="shared" si="22"/>
        <v>OK</v>
      </c>
      <c r="V143" t="str">
        <f t="shared" si="23"/>
        <v>OK</v>
      </c>
    </row>
    <row r="144" spans="1:22" x14ac:dyDescent="0.45">
      <c r="A144" t="str">
        <v>SO-50125</v>
      </c>
      <c r="B144" t="str">
        <v>PL-NTE</v>
      </c>
      <c r="C144" t="str">
        <v>CD-SAL</v>
      </c>
      <c r="D144" t="str">
        <v>ABA-1017</v>
      </c>
      <c r="E144">
        <v>1158</v>
      </c>
      <c r="F144" s="1">
        <v>46175</v>
      </c>
      <c r="G144" t="str">
        <v>In Transit</v>
      </c>
      <c r="H144" t="str">
        <v>OK</v>
      </c>
      <c r="I144">
        <v>10.96</v>
      </c>
      <c r="J144">
        <v>128</v>
      </c>
      <c r="K144">
        <v>520</v>
      </c>
      <c r="L144" t="str">
        <v>OK</v>
      </c>
      <c r="M144">
        <v>2</v>
      </c>
      <c r="O144">
        <f t="shared" si="16"/>
        <v>9.046875</v>
      </c>
      <c r="P144">
        <f t="shared" si="17"/>
        <v>52.881999999999998</v>
      </c>
      <c r="Q144">
        <f t="shared" si="18"/>
        <v>27.41477272727273</v>
      </c>
      <c r="R144">
        <f t="shared" si="19"/>
        <v>1</v>
      </c>
      <c r="S144">
        <f t="shared" si="20"/>
        <v>52.881999999999998</v>
      </c>
      <c r="T144" t="str">
        <f t="shared" si="21"/>
        <v>CARGA INEFICIENTE</v>
      </c>
      <c r="U144" t="str">
        <f t="shared" si="22"/>
        <v>OK</v>
      </c>
      <c r="V144" t="str">
        <f t="shared" si="23"/>
        <v>OK</v>
      </c>
    </row>
    <row r="145" spans="1:22" x14ac:dyDescent="0.45">
      <c r="A145" t="str">
        <v>SO-50517</v>
      </c>
      <c r="B145" t="str">
        <v>PL-SUR</v>
      </c>
      <c r="C145" t="str">
        <v>CD-MER</v>
      </c>
      <c r="D145" t="str">
        <v>BEB-1020</v>
      </c>
      <c r="E145">
        <v>1180</v>
      </c>
      <c r="F145" s="1">
        <v>46175</v>
      </c>
      <c r="G145" t="str">
        <v>In Transit</v>
      </c>
      <c r="H145" t="str">
        <v>OK</v>
      </c>
      <c r="I145">
        <v>16.66</v>
      </c>
      <c r="J145">
        <v>85</v>
      </c>
      <c r="K145">
        <v>333</v>
      </c>
      <c r="L145" t="str">
        <v>OK</v>
      </c>
      <c r="M145">
        <v>2</v>
      </c>
      <c r="O145">
        <f t="shared" si="16"/>
        <v>13.882352941176471</v>
      </c>
      <c r="P145">
        <f t="shared" si="17"/>
        <v>81.911666666666662</v>
      </c>
      <c r="Q145">
        <f t="shared" si="18"/>
        <v>42.067736185383247</v>
      </c>
      <c r="R145">
        <f t="shared" si="19"/>
        <v>1</v>
      </c>
      <c r="S145">
        <f t="shared" si="20"/>
        <v>81.911666666666662</v>
      </c>
      <c r="T145" t="str">
        <f t="shared" si="21"/>
        <v>OK</v>
      </c>
      <c r="U145" t="str">
        <f t="shared" si="22"/>
        <v>OK</v>
      </c>
      <c r="V145" t="str">
        <f t="shared" si="23"/>
        <v>OK</v>
      </c>
    </row>
    <row r="146" spans="1:22" x14ac:dyDescent="0.45">
      <c r="A146" t="str">
        <v>SO-50225</v>
      </c>
      <c r="B146" t="str">
        <v>PL-SUR</v>
      </c>
      <c r="C146" t="str">
        <v>CD-GDL</v>
      </c>
      <c r="D146" t="str">
        <v>ABA-1015</v>
      </c>
      <c r="E146">
        <v>2304</v>
      </c>
      <c r="F146" s="1">
        <v>46176</v>
      </c>
      <c r="G146" t="str">
        <v>In Transit</v>
      </c>
      <c r="H146" t="str">
        <v>OK</v>
      </c>
      <c r="I146">
        <v>8.19</v>
      </c>
      <c r="J146">
        <v>82</v>
      </c>
      <c r="K146">
        <v>317</v>
      </c>
      <c r="L146" t="str">
        <v>OK</v>
      </c>
      <c r="M146">
        <v>1</v>
      </c>
      <c r="O146">
        <f t="shared" si="16"/>
        <v>28.097560975609756</v>
      </c>
      <c r="P146">
        <f t="shared" si="17"/>
        <v>78.623999999999995</v>
      </c>
      <c r="Q146">
        <f t="shared" si="18"/>
        <v>85.144124168514409</v>
      </c>
      <c r="R146">
        <f t="shared" si="19"/>
        <v>1</v>
      </c>
      <c r="S146">
        <f t="shared" si="20"/>
        <v>85.144124168514409</v>
      </c>
      <c r="T146" t="str">
        <f t="shared" si="21"/>
        <v>OK</v>
      </c>
      <c r="U146" t="str">
        <f t="shared" si="22"/>
        <v>OK</v>
      </c>
      <c r="V146" t="str">
        <f t="shared" si="23"/>
        <v>OK</v>
      </c>
    </row>
    <row r="147" spans="1:22" x14ac:dyDescent="0.45">
      <c r="A147" t="str">
        <v>SO-50291</v>
      </c>
      <c r="B147" t="str">
        <v>PL-SUR</v>
      </c>
      <c r="C147" t="str">
        <v>CD-LEO</v>
      </c>
      <c r="D147" t="str">
        <v>LAC-1003</v>
      </c>
      <c r="E147">
        <v>2516</v>
      </c>
      <c r="F147" s="1">
        <v>46175</v>
      </c>
      <c r="G147" t="str">
        <v>In Transit</v>
      </c>
      <c r="H147" t="str">
        <v>OK</v>
      </c>
      <c r="I147">
        <v>9.02</v>
      </c>
      <c r="J147">
        <v>114</v>
      </c>
      <c r="K147">
        <v>18</v>
      </c>
      <c r="L147" t="str">
        <v>OK</v>
      </c>
      <c r="M147">
        <v>2</v>
      </c>
      <c r="O147">
        <f t="shared" si="16"/>
        <v>22.07017543859649</v>
      </c>
      <c r="P147">
        <f t="shared" si="17"/>
        <v>94.559666666666658</v>
      </c>
      <c r="Q147">
        <f t="shared" si="18"/>
        <v>66.879319510898455</v>
      </c>
      <c r="R147">
        <f t="shared" si="19"/>
        <v>1</v>
      </c>
      <c r="S147">
        <f t="shared" si="20"/>
        <v>94.559666666666658</v>
      </c>
      <c r="T147" t="str">
        <f t="shared" si="21"/>
        <v>OK</v>
      </c>
      <c r="U147" t="str">
        <f t="shared" si="22"/>
        <v>OK</v>
      </c>
      <c r="V147" t="str">
        <f t="shared" si="23"/>
        <v>OK</v>
      </c>
    </row>
    <row r="148" spans="1:22" x14ac:dyDescent="0.45">
      <c r="A148" t="str">
        <v>SO-50136</v>
      </c>
      <c r="B148" t="str">
        <v>PL-SUR</v>
      </c>
      <c r="C148" t="str">
        <v>CD-CAN</v>
      </c>
      <c r="D148" t="str">
        <v>BEB-1019</v>
      </c>
      <c r="E148">
        <v>1333</v>
      </c>
      <c r="F148" s="1">
        <v>46172</v>
      </c>
      <c r="G148" t="str">
        <v>In Transit</v>
      </c>
      <c r="H148" t="str">
        <v>OK</v>
      </c>
      <c r="I148">
        <v>14.35</v>
      </c>
      <c r="J148">
        <v>70</v>
      </c>
      <c r="K148">
        <v>240</v>
      </c>
      <c r="L148" t="str">
        <v>OK</v>
      </c>
      <c r="M148">
        <v>5</v>
      </c>
      <c r="O148">
        <f t="shared" si="16"/>
        <v>19.042857142857144</v>
      </c>
      <c r="P148">
        <f t="shared" si="17"/>
        <v>79.702291666666653</v>
      </c>
      <c r="Q148">
        <f t="shared" si="18"/>
        <v>57.705627705627712</v>
      </c>
      <c r="R148">
        <f t="shared" si="19"/>
        <v>1</v>
      </c>
      <c r="S148">
        <f t="shared" si="20"/>
        <v>79.702291666666653</v>
      </c>
      <c r="T148" t="str">
        <f t="shared" si="21"/>
        <v>OK</v>
      </c>
      <c r="U148" t="str">
        <f t="shared" si="22"/>
        <v>OK</v>
      </c>
      <c r="V148" t="str">
        <f t="shared" si="23"/>
        <v>OK</v>
      </c>
    </row>
    <row r="149" spans="1:22" x14ac:dyDescent="0.45">
      <c r="A149" t="str">
        <v>SO-50629</v>
      </c>
      <c r="B149" t="str">
        <v>PL-SUR</v>
      </c>
      <c r="C149" t="str">
        <v>CD-MER</v>
      </c>
      <c r="D149" t="str">
        <v>LAC-1002</v>
      </c>
      <c r="E149">
        <v>2825</v>
      </c>
      <c r="F149" s="1">
        <v>46173</v>
      </c>
      <c r="G149" t="str">
        <v>In Transit</v>
      </c>
      <c r="H149" t="str">
        <v>OK</v>
      </c>
      <c r="I149">
        <v>7.71</v>
      </c>
      <c r="J149">
        <v>101</v>
      </c>
      <c r="K149">
        <v>23</v>
      </c>
      <c r="L149" t="str">
        <v>OK</v>
      </c>
      <c r="M149">
        <v>4</v>
      </c>
      <c r="O149">
        <f t="shared" si="16"/>
        <v>27.970297029702969</v>
      </c>
      <c r="P149">
        <f t="shared" si="17"/>
        <v>90.753124999999997</v>
      </c>
      <c r="Q149">
        <f t="shared" si="18"/>
        <v>84.758475847584762</v>
      </c>
      <c r="R149">
        <f t="shared" si="19"/>
        <v>1</v>
      </c>
      <c r="S149">
        <f t="shared" si="20"/>
        <v>90.753124999999997</v>
      </c>
      <c r="T149" t="str">
        <f t="shared" si="21"/>
        <v>OK</v>
      </c>
      <c r="U149" t="str">
        <f t="shared" si="22"/>
        <v>OK</v>
      </c>
      <c r="V149" t="str">
        <f t="shared" si="23"/>
        <v>OK</v>
      </c>
    </row>
    <row r="150" spans="1:22" x14ac:dyDescent="0.45">
      <c r="A150" t="str">
        <v>SO-50876</v>
      </c>
      <c r="B150" t="str">
        <v>PL-CEN</v>
      </c>
      <c r="C150" t="str">
        <v>CD-VER</v>
      </c>
      <c r="D150" t="str">
        <v>LAC-1016</v>
      </c>
      <c r="E150">
        <v>1757</v>
      </c>
      <c r="F150" s="1">
        <v>46176</v>
      </c>
      <c r="G150" t="str">
        <v>In Transit</v>
      </c>
      <c r="H150" t="str">
        <v>OK</v>
      </c>
      <c r="I150">
        <v>10.9</v>
      </c>
      <c r="J150">
        <v>131</v>
      </c>
      <c r="K150">
        <v>22</v>
      </c>
      <c r="L150" t="str">
        <v>OK</v>
      </c>
      <c r="M150">
        <v>1</v>
      </c>
      <c r="O150">
        <f t="shared" si="16"/>
        <v>13.412213740458014</v>
      </c>
      <c r="P150">
        <f t="shared" si="17"/>
        <v>79.797083333333333</v>
      </c>
      <c r="Q150">
        <f t="shared" si="18"/>
        <v>40.643071940781859</v>
      </c>
      <c r="R150">
        <f t="shared" si="19"/>
        <v>1</v>
      </c>
      <c r="S150">
        <f t="shared" si="20"/>
        <v>79.797083333333333</v>
      </c>
      <c r="T150" t="str">
        <f t="shared" si="21"/>
        <v>OK</v>
      </c>
      <c r="U150" t="str">
        <f t="shared" si="22"/>
        <v>OK</v>
      </c>
      <c r="V150" t="str">
        <f t="shared" si="23"/>
        <v>OK</v>
      </c>
    </row>
    <row r="151" spans="1:22" x14ac:dyDescent="0.45">
      <c r="A151" t="str">
        <v>SO-50580</v>
      </c>
      <c r="B151" t="str">
        <v>PL-CEN</v>
      </c>
      <c r="C151" t="str">
        <v>CD-CDMX</v>
      </c>
      <c r="D151" t="str">
        <v>PRO-1011</v>
      </c>
      <c r="E151">
        <v>2623</v>
      </c>
      <c r="F151" s="1">
        <v>46176</v>
      </c>
      <c r="G151" t="str">
        <v>In Transit</v>
      </c>
      <c r="H151" t="str">
        <v>OK</v>
      </c>
      <c r="I151">
        <v>4.3600000000000003</v>
      </c>
      <c r="J151">
        <v>88</v>
      </c>
      <c r="K151">
        <v>108</v>
      </c>
      <c r="L151" t="str">
        <v>OK</v>
      </c>
      <c r="M151">
        <v>1</v>
      </c>
      <c r="O151">
        <f t="shared" si="16"/>
        <v>29.806818181818183</v>
      </c>
      <c r="P151">
        <f t="shared" si="17"/>
        <v>47.651166666666668</v>
      </c>
      <c r="Q151">
        <f t="shared" si="18"/>
        <v>90.323691460055102</v>
      </c>
      <c r="R151">
        <f t="shared" si="19"/>
        <v>1</v>
      </c>
      <c r="S151">
        <f t="shared" si="20"/>
        <v>90.323691460055102</v>
      </c>
      <c r="T151" t="str">
        <f t="shared" si="21"/>
        <v>OK</v>
      </c>
      <c r="U151" t="str">
        <f t="shared" si="22"/>
        <v>OK</v>
      </c>
      <c r="V151" t="str">
        <f t="shared" si="23"/>
        <v>OK</v>
      </c>
    </row>
    <row r="152" spans="1:22" x14ac:dyDescent="0.45">
      <c r="A152" t="str">
        <v>SO-50732</v>
      </c>
      <c r="B152" t="str">
        <v>PL-CEN</v>
      </c>
      <c r="C152" t="str">
        <v>CD-QRO</v>
      </c>
      <c r="D152" t="str">
        <v>BOT-1008</v>
      </c>
      <c r="E152">
        <v>1798</v>
      </c>
      <c r="F152" s="1">
        <v>46176</v>
      </c>
      <c r="G152" t="str">
        <v>In Transit</v>
      </c>
      <c r="H152" t="str">
        <v>OK</v>
      </c>
      <c r="I152">
        <v>3.48</v>
      </c>
      <c r="J152">
        <v>66</v>
      </c>
      <c r="K152">
        <v>112</v>
      </c>
      <c r="L152" t="str">
        <v>OK</v>
      </c>
      <c r="M152">
        <v>1</v>
      </c>
      <c r="O152">
        <f t="shared" si="16"/>
        <v>27.242424242424242</v>
      </c>
      <c r="P152">
        <f t="shared" si="17"/>
        <v>26.070999999999998</v>
      </c>
      <c r="Q152">
        <f t="shared" si="18"/>
        <v>82.552800734618913</v>
      </c>
      <c r="R152">
        <f t="shared" si="19"/>
        <v>1</v>
      </c>
      <c r="S152">
        <f t="shared" si="20"/>
        <v>82.552800734618913</v>
      </c>
      <c r="T152" t="str">
        <f t="shared" si="21"/>
        <v>OK</v>
      </c>
      <c r="U152" t="str">
        <f t="shared" si="22"/>
        <v>OK</v>
      </c>
      <c r="V152" t="str">
        <f t="shared" si="23"/>
        <v>OK</v>
      </c>
    </row>
    <row r="153" spans="1:22" x14ac:dyDescent="0.45">
      <c r="A153" t="str">
        <v>SO-50633</v>
      </c>
      <c r="B153" t="str">
        <v>PL-NTE</v>
      </c>
      <c r="C153" t="str">
        <v>CD-CHI</v>
      </c>
      <c r="D153" t="str">
        <v>BOT-1007</v>
      </c>
      <c r="E153">
        <v>3645</v>
      </c>
      <c r="F153" s="1">
        <v>46175</v>
      </c>
      <c r="G153" t="str">
        <v>In Transit</v>
      </c>
      <c r="H153" t="str">
        <v>OK</v>
      </c>
      <c r="I153">
        <v>0</v>
      </c>
      <c r="J153">
        <v>49</v>
      </c>
      <c r="K153">
        <v>104</v>
      </c>
      <c r="L153" t="str">
        <v>OK</v>
      </c>
      <c r="M153">
        <v>2</v>
      </c>
      <c r="O153">
        <f t="shared" si="16"/>
        <v>74.387755102040813</v>
      </c>
      <c r="P153">
        <f t="shared" si="17"/>
        <v>0</v>
      </c>
      <c r="Q153">
        <f t="shared" si="18"/>
        <v>225.417439703154</v>
      </c>
      <c r="R153">
        <f t="shared" si="19"/>
        <v>3</v>
      </c>
      <c r="S153">
        <f t="shared" si="20"/>
        <v>75.139146567718001</v>
      </c>
      <c r="T153" t="str">
        <f t="shared" si="21"/>
        <v>OK</v>
      </c>
      <c r="U153" t="str">
        <f t="shared" si="22"/>
        <v>OK</v>
      </c>
      <c r="V153" t="str">
        <f t="shared" si="23"/>
        <v>OK</v>
      </c>
    </row>
    <row r="154" spans="1:22" x14ac:dyDescent="0.45">
      <c r="A154" t="str">
        <v>SO-50944</v>
      </c>
      <c r="B154" t="str">
        <v>PL-SUR</v>
      </c>
      <c r="C154" t="str">
        <v>CD-LEO</v>
      </c>
      <c r="D154" t="str">
        <v>BOT-1013</v>
      </c>
      <c r="E154">
        <v>1536</v>
      </c>
      <c r="F154" s="1">
        <v>46176</v>
      </c>
      <c r="G154" t="str">
        <v>In Transit</v>
      </c>
      <c r="H154" t="str">
        <v>OK</v>
      </c>
      <c r="I154">
        <v>4</v>
      </c>
      <c r="J154">
        <v>58</v>
      </c>
      <c r="K154">
        <v>112</v>
      </c>
      <c r="L154" t="str">
        <v>OK</v>
      </c>
      <c r="M154">
        <v>1</v>
      </c>
      <c r="O154">
        <f t="shared" si="16"/>
        <v>26.482758620689655</v>
      </c>
      <c r="P154">
        <f t="shared" si="17"/>
        <v>25.6</v>
      </c>
      <c r="Q154">
        <f t="shared" si="18"/>
        <v>80.250783699059554</v>
      </c>
      <c r="R154">
        <f t="shared" si="19"/>
        <v>1</v>
      </c>
      <c r="S154">
        <f t="shared" si="20"/>
        <v>80.250783699059554</v>
      </c>
      <c r="T154" t="str">
        <f t="shared" si="21"/>
        <v>OK</v>
      </c>
      <c r="U154" t="str">
        <f t="shared" si="22"/>
        <v>OK</v>
      </c>
      <c r="V154" t="str">
        <f t="shared" si="23"/>
        <v>OK</v>
      </c>
    </row>
    <row r="155" spans="1:22" x14ac:dyDescent="0.45">
      <c r="A155" t="str">
        <v>SO-50053</v>
      </c>
      <c r="B155" t="str">
        <v>PL-SUR</v>
      </c>
      <c r="C155" t="str">
        <v>CD-MER</v>
      </c>
      <c r="D155" t="str">
        <v>BOT-1008</v>
      </c>
      <c r="E155">
        <v>1736</v>
      </c>
      <c r="F155" s="1">
        <v>46174</v>
      </c>
      <c r="G155" t="str">
        <v>Delivered</v>
      </c>
      <c r="H155" t="str">
        <v>OK</v>
      </c>
      <c r="I155">
        <v>3.48</v>
      </c>
      <c r="J155">
        <v>66</v>
      </c>
      <c r="K155">
        <v>112</v>
      </c>
      <c r="L155" t="str">
        <v>OK</v>
      </c>
      <c r="M155">
        <v>3</v>
      </c>
      <c r="O155">
        <f t="shared" si="16"/>
        <v>26.303030303030305</v>
      </c>
      <c r="P155">
        <f t="shared" si="17"/>
        <v>25.172000000000001</v>
      </c>
      <c r="Q155">
        <f t="shared" si="18"/>
        <v>79.706152433425174</v>
      </c>
      <c r="R155">
        <f t="shared" si="19"/>
        <v>1</v>
      </c>
      <c r="S155">
        <f t="shared" si="20"/>
        <v>79.706152433425174</v>
      </c>
      <c r="T155" t="str">
        <f t="shared" si="21"/>
        <v>OK</v>
      </c>
      <c r="U155" t="str">
        <f t="shared" si="22"/>
        <v>OK</v>
      </c>
      <c r="V155" t="str">
        <f t="shared" si="23"/>
        <v>OK</v>
      </c>
    </row>
    <row r="156" spans="1:22" x14ac:dyDescent="0.45">
      <c r="A156" t="str">
        <v>SO-50018</v>
      </c>
      <c r="B156" t="str">
        <v>PL-NTE</v>
      </c>
      <c r="C156" t="str">
        <v>CD-MTY</v>
      </c>
      <c r="D156" t="str">
        <v>BEB-1009</v>
      </c>
      <c r="E156">
        <v>1198</v>
      </c>
      <c r="F156" s="1">
        <v>46176</v>
      </c>
      <c r="G156" t="str">
        <v>In Transit</v>
      </c>
      <c r="H156" t="str">
        <v>OK</v>
      </c>
      <c r="I156">
        <v>18.170000000000002</v>
      </c>
      <c r="J156">
        <v>61</v>
      </c>
      <c r="K156">
        <v>188</v>
      </c>
      <c r="L156" t="str">
        <v>OK</v>
      </c>
      <c r="M156">
        <v>1</v>
      </c>
      <c r="O156">
        <f t="shared" si="16"/>
        <v>19.639344262295083</v>
      </c>
      <c r="P156">
        <f t="shared" si="17"/>
        <v>90.698583333333346</v>
      </c>
      <c r="Q156">
        <f t="shared" si="18"/>
        <v>59.513164431197218</v>
      </c>
      <c r="R156">
        <f t="shared" si="19"/>
        <v>1</v>
      </c>
      <c r="S156">
        <f t="shared" si="20"/>
        <v>90.698583333333346</v>
      </c>
      <c r="T156" t="str">
        <f t="shared" si="21"/>
        <v>OK</v>
      </c>
      <c r="U156" t="str">
        <f t="shared" si="22"/>
        <v>OK</v>
      </c>
      <c r="V156" t="str">
        <f t="shared" si="23"/>
        <v>OK</v>
      </c>
    </row>
    <row r="157" spans="1:22" x14ac:dyDescent="0.45">
      <c r="A157" t="str">
        <v>SO-50029</v>
      </c>
      <c r="B157" t="str">
        <v>PL-CEN</v>
      </c>
      <c r="C157" t="str">
        <v>CD-VER</v>
      </c>
      <c r="D157" t="str">
        <v>LAC-1014</v>
      </c>
      <c r="E157">
        <v>1147</v>
      </c>
      <c r="F157" s="1">
        <v>46175</v>
      </c>
      <c r="G157" t="str">
        <v>In Transit</v>
      </c>
      <c r="H157" t="str">
        <v>OK</v>
      </c>
      <c r="I157">
        <v>8.0500000000000007</v>
      </c>
      <c r="J157">
        <v>147</v>
      </c>
      <c r="K157">
        <v>28</v>
      </c>
      <c r="L157" t="str">
        <v>OK</v>
      </c>
      <c r="M157">
        <v>2</v>
      </c>
      <c r="O157">
        <f t="shared" si="16"/>
        <v>7.8027210884353737</v>
      </c>
      <c r="P157">
        <f t="shared" si="17"/>
        <v>38.472291666666671</v>
      </c>
      <c r="Q157">
        <f t="shared" si="18"/>
        <v>23.644609358895071</v>
      </c>
      <c r="R157">
        <f t="shared" si="19"/>
        <v>1</v>
      </c>
      <c r="S157">
        <f t="shared" si="20"/>
        <v>38.472291666666671</v>
      </c>
      <c r="T157" t="str">
        <f t="shared" si="21"/>
        <v>CARGA INEFICIENTE</v>
      </c>
      <c r="U157" t="str">
        <f t="shared" si="22"/>
        <v>OK</v>
      </c>
      <c r="V157" t="str">
        <f t="shared" si="23"/>
        <v>OK</v>
      </c>
    </row>
    <row r="158" spans="1:22" x14ac:dyDescent="0.45">
      <c r="A158" t="str">
        <v>SO-50572</v>
      </c>
      <c r="B158" t="str">
        <v>PL-SUR</v>
      </c>
      <c r="C158" t="str">
        <v>CD-LEO</v>
      </c>
      <c r="D158" t="str">
        <v>ABA-1005</v>
      </c>
      <c r="E158">
        <v>1646</v>
      </c>
      <c r="F158" s="1">
        <v>46175</v>
      </c>
      <c r="G158" t="str">
        <v>In Transit</v>
      </c>
      <c r="H158" t="str">
        <v>OK</v>
      </c>
      <c r="I158">
        <v>13.31</v>
      </c>
      <c r="J158">
        <v>89</v>
      </c>
      <c r="K158">
        <v>313</v>
      </c>
      <c r="L158" t="str">
        <v>OK</v>
      </c>
      <c r="M158">
        <v>2</v>
      </c>
      <c r="O158">
        <f t="shared" si="16"/>
        <v>18.49438202247191</v>
      </c>
      <c r="P158">
        <f t="shared" si="17"/>
        <v>91.284416666666672</v>
      </c>
      <c r="Q158">
        <f t="shared" si="18"/>
        <v>56.043581886278517</v>
      </c>
      <c r="R158">
        <f t="shared" si="19"/>
        <v>1</v>
      </c>
      <c r="S158">
        <f t="shared" si="20"/>
        <v>91.284416666666672</v>
      </c>
      <c r="T158" t="str">
        <f t="shared" si="21"/>
        <v>OK</v>
      </c>
      <c r="U158" t="str">
        <f t="shared" si="22"/>
        <v>OK</v>
      </c>
      <c r="V158" t="str">
        <f t="shared" si="23"/>
        <v>OK</v>
      </c>
    </row>
    <row r="159" spans="1:22" x14ac:dyDescent="0.45">
      <c r="A159" t="str">
        <v>SO-50586</v>
      </c>
      <c r="B159" t="str">
        <v>PL-NTE</v>
      </c>
      <c r="C159" t="str">
        <v>CD-MTY</v>
      </c>
      <c r="D159" t="str">
        <v>BEB-1016</v>
      </c>
      <c r="E159">
        <v>415</v>
      </c>
      <c r="F159" s="1">
        <v>46176</v>
      </c>
      <c r="G159" t="str">
        <v>In Transit</v>
      </c>
      <c r="H159" t="str">
        <v>OK</v>
      </c>
      <c r="I159">
        <v>0</v>
      </c>
      <c r="J159">
        <v>98</v>
      </c>
      <c r="K159">
        <v>359</v>
      </c>
      <c r="L159" t="str">
        <v>OK</v>
      </c>
      <c r="M159">
        <v>1</v>
      </c>
      <c r="O159">
        <f t="shared" si="16"/>
        <v>4.2346938775510203</v>
      </c>
      <c r="P159">
        <f t="shared" si="17"/>
        <v>0</v>
      </c>
      <c r="Q159">
        <f t="shared" si="18"/>
        <v>12.832405689548546</v>
      </c>
      <c r="R159">
        <f t="shared" si="19"/>
        <v>1</v>
      </c>
      <c r="S159">
        <f t="shared" si="20"/>
        <v>12.832405689548546</v>
      </c>
      <c r="T159" t="str">
        <f t="shared" si="21"/>
        <v>CARGA INEFICIENTE</v>
      </c>
      <c r="U159" t="str">
        <f t="shared" si="22"/>
        <v>OK</v>
      </c>
      <c r="V159" t="str">
        <f t="shared" si="23"/>
        <v>OK</v>
      </c>
    </row>
    <row r="160" spans="1:22" x14ac:dyDescent="0.45">
      <c r="A160" t="str">
        <v>SO-50422</v>
      </c>
      <c r="B160" t="str">
        <v>PL-SUR</v>
      </c>
      <c r="C160" t="str">
        <v>CD-LEO</v>
      </c>
      <c r="D160" t="str">
        <v>ABA-1003</v>
      </c>
      <c r="E160">
        <v>2305</v>
      </c>
      <c r="F160" s="1">
        <v>46176</v>
      </c>
      <c r="G160" t="str">
        <v>In Transit</v>
      </c>
      <c r="H160" t="str">
        <v>OK</v>
      </c>
      <c r="I160">
        <v>8.67</v>
      </c>
      <c r="J160">
        <v>124</v>
      </c>
      <c r="K160">
        <v>512</v>
      </c>
      <c r="L160" t="str">
        <v>OK</v>
      </c>
      <c r="M160">
        <v>1</v>
      </c>
      <c r="O160">
        <f t="shared" si="16"/>
        <v>18.588709677419356</v>
      </c>
      <c r="P160">
        <f t="shared" si="17"/>
        <v>83.268124999999998</v>
      </c>
      <c r="Q160">
        <f t="shared" si="18"/>
        <v>56.329423264907142</v>
      </c>
      <c r="R160">
        <f t="shared" si="19"/>
        <v>1</v>
      </c>
      <c r="S160">
        <f t="shared" si="20"/>
        <v>83.268124999999998</v>
      </c>
      <c r="T160" t="str">
        <f t="shared" si="21"/>
        <v>OK</v>
      </c>
      <c r="U160" t="str">
        <f t="shared" si="22"/>
        <v>OK</v>
      </c>
      <c r="V160" t="str">
        <f t="shared" si="23"/>
        <v>OK</v>
      </c>
    </row>
    <row r="161" spans="1:22" x14ac:dyDescent="0.45">
      <c r="A161" t="str">
        <v>SO-50072</v>
      </c>
      <c r="B161" t="str">
        <v>PL-CEN</v>
      </c>
      <c r="C161" t="str">
        <v>CD-VER</v>
      </c>
      <c r="D161" t="str">
        <v>LAC-1015</v>
      </c>
      <c r="E161">
        <v>1235</v>
      </c>
      <c r="F161" s="1">
        <v>46175</v>
      </c>
      <c r="G161" t="str">
        <v>In Transit</v>
      </c>
      <c r="H161" t="str">
        <v>OK</v>
      </c>
      <c r="I161">
        <v>11.26</v>
      </c>
      <c r="J161">
        <v>129</v>
      </c>
      <c r="K161">
        <v>24</v>
      </c>
      <c r="L161" t="str">
        <v>OK</v>
      </c>
      <c r="M161">
        <v>2</v>
      </c>
      <c r="O161">
        <f t="shared" si="16"/>
        <v>9.5736434108527124</v>
      </c>
      <c r="P161">
        <f t="shared" si="17"/>
        <v>57.942083333333336</v>
      </c>
      <c r="Q161">
        <f t="shared" si="18"/>
        <v>29.011040638947616</v>
      </c>
      <c r="R161">
        <f t="shared" si="19"/>
        <v>1</v>
      </c>
      <c r="S161">
        <f t="shared" si="20"/>
        <v>57.942083333333336</v>
      </c>
      <c r="T161" t="str">
        <f t="shared" si="21"/>
        <v>CARGA INEFICIENTE</v>
      </c>
      <c r="U161" t="str">
        <f t="shared" si="22"/>
        <v>OK</v>
      </c>
      <c r="V161" t="str">
        <f t="shared" si="23"/>
        <v>OK</v>
      </c>
    </row>
    <row r="162" spans="1:22" x14ac:dyDescent="0.45">
      <c r="A162" t="str">
        <v>SO-50159</v>
      </c>
      <c r="B162" t="str">
        <v>PL-SUR</v>
      </c>
      <c r="C162" t="str">
        <v>CD-MER</v>
      </c>
      <c r="D162" t="str">
        <v>PRO-1010</v>
      </c>
      <c r="E162">
        <v>2215</v>
      </c>
      <c r="F162" s="1">
        <v>46176</v>
      </c>
      <c r="G162" t="str">
        <v>In Transit</v>
      </c>
      <c r="H162" t="str">
        <v>OK</v>
      </c>
      <c r="I162">
        <v>7.76</v>
      </c>
      <c r="J162">
        <v>86</v>
      </c>
      <c r="K162">
        <v>112</v>
      </c>
      <c r="L162" t="str">
        <v>OK</v>
      </c>
      <c r="M162">
        <v>1</v>
      </c>
      <c r="O162">
        <f t="shared" si="16"/>
        <v>25.755813953488371</v>
      </c>
      <c r="P162">
        <f t="shared" si="17"/>
        <v>71.618333333333325</v>
      </c>
      <c r="Q162">
        <f t="shared" si="18"/>
        <v>78.047921071176887</v>
      </c>
      <c r="R162">
        <f t="shared" si="19"/>
        <v>1</v>
      </c>
      <c r="S162">
        <f t="shared" si="20"/>
        <v>78.047921071176887</v>
      </c>
      <c r="T162" t="str">
        <f t="shared" si="21"/>
        <v>OK</v>
      </c>
      <c r="U162" t="str">
        <f t="shared" si="22"/>
        <v>OK</v>
      </c>
      <c r="V162" t="str">
        <f t="shared" si="23"/>
        <v>OK</v>
      </c>
    </row>
    <row r="163" spans="1:22" x14ac:dyDescent="0.45">
      <c r="A163" t="str">
        <v>SO-50864</v>
      </c>
      <c r="B163" t="str">
        <v>PL-SUR</v>
      </c>
      <c r="C163" t="str">
        <v>CD-LEO</v>
      </c>
      <c r="D163" t="str">
        <v>ABA-1015</v>
      </c>
      <c r="E163">
        <v>1030</v>
      </c>
      <c r="F163" s="1">
        <v>46175</v>
      </c>
      <c r="G163" t="str">
        <v>In Transit</v>
      </c>
      <c r="H163" t="str">
        <v>OK</v>
      </c>
      <c r="I163">
        <v>8.19</v>
      </c>
      <c r="J163">
        <v>82</v>
      </c>
      <c r="K163">
        <v>317</v>
      </c>
      <c r="L163" t="str">
        <v>OK</v>
      </c>
      <c r="M163">
        <v>2</v>
      </c>
      <c r="O163">
        <f t="shared" si="16"/>
        <v>12.560975609756097</v>
      </c>
      <c r="P163">
        <f t="shared" si="17"/>
        <v>35.148749999999993</v>
      </c>
      <c r="Q163">
        <f t="shared" si="18"/>
        <v>38.063562453806355</v>
      </c>
      <c r="R163">
        <f t="shared" si="19"/>
        <v>1</v>
      </c>
      <c r="S163">
        <f t="shared" si="20"/>
        <v>38.063562453806355</v>
      </c>
      <c r="T163" t="str">
        <f t="shared" si="21"/>
        <v>CARGA INEFICIENTE</v>
      </c>
      <c r="U163" t="str">
        <f t="shared" si="22"/>
        <v>OK</v>
      </c>
      <c r="V163" t="str">
        <f t="shared" si="23"/>
        <v>OK</v>
      </c>
    </row>
    <row r="164" spans="1:22" x14ac:dyDescent="0.45">
      <c r="A164" t="str">
        <v>SO-50847</v>
      </c>
      <c r="B164" t="str">
        <v>PL-NTE</v>
      </c>
      <c r="C164" t="str">
        <v>CD-TIJ</v>
      </c>
      <c r="D164" t="str">
        <v>BOT-1021</v>
      </c>
      <c r="E164">
        <v>709</v>
      </c>
      <c r="F164" s="1">
        <v>46176</v>
      </c>
      <c r="G164" t="str">
        <v>In Transit</v>
      </c>
      <c r="H164" t="str">
        <v>OK</v>
      </c>
      <c r="I164">
        <v>5.04</v>
      </c>
      <c r="J164">
        <v>47</v>
      </c>
      <c r="K164">
        <v>96</v>
      </c>
      <c r="L164" t="str">
        <v>OK</v>
      </c>
      <c r="M164">
        <v>1</v>
      </c>
      <c r="O164">
        <f t="shared" si="16"/>
        <v>15.085106382978724</v>
      </c>
      <c r="P164">
        <f t="shared" si="17"/>
        <v>14.888999999999999</v>
      </c>
      <c r="Q164">
        <f t="shared" si="18"/>
        <v>45.712443584784012</v>
      </c>
      <c r="R164">
        <f t="shared" si="19"/>
        <v>1</v>
      </c>
      <c r="S164">
        <f t="shared" si="20"/>
        <v>45.712443584784012</v>
      </c>
      <c r="T164" t="str">
        <f t="shared" si="21"/>
        <v>CARGA INEFICIENTE</v>
      </c>
      <c r="U164" t="str">
        <f t="shared" si="22"/>
        <v>OK</v>
      </c>
      <c r="V164" t="str">
        <f t="shared" si="23"/>
        <v>OK</v>
      </c>
    </row>
    <row r="165" spans="1:22" x14ac:dyDescent="0.45">
      <c r="A165" t="str">
        <v>SO-50709</v>
      </c>
      <c r="B165" t="str">
        <v>PL-NTE</v>
      </c>
      <c r="C165" t="str">
        <v>CD-SAL</v>
      </c>
      <c r="D165" t="str">
        <v>ABA-1017</v>
      </c>
      <c r="E165">
        <v>0</v>
      </c>
      <c r="F165" s="1">
        <v>46175</v>
      </c>
      <c r="G165" t="str">
        <v>In Transit</v>
      </c>
      <c r="H165" t="str">
        <v>OK</v>
      </c>
      <c r="I165">
        <v>10.96</v>
      </c>
      <c r="J165">
        <v>128</v>
      </c>
      <c r="K165">
        <v>520</v>
      </c>
      <c r="L165" t="str">
        <v>OK</v>
      </c>
      <c r="M165">
        <v>2</v>
      </c>
      <c r="O165">
        <f t="shared" si="16"/>
        <v>0</v>
      </c>
      <c r="P165">
        <f t="shared" si="17"/>
        <v>0</v>
      </c>
      <c r="Q165">
        <f t="shared" si="18"/>
        <v>0</v>
      </c>
      <c r="R165">
        <f t="shared" si="19"/>
        <v>0</v>
      </c>
      <c r="S165" t="str">
        <f t="shared" si="20"/>
        <v/>
      </c>
      <c r="T165" t="str">
        <f t="shared" si="21"/>
        <v>OK</v>
      </c>
      <c r="U165" t="str">
        <f t="shared" si="22"/>
        <v>OK</v>
      </c>
      <c r="V165" t="str">
        <f t="shared" si="23"/>
        <v>OK</v>
      </c>
    </row>
    <row r="166" spans="1:22" x14ac:dyDescent="0.45">
      <c r="A166" t="str">
        <v>SO-50971</v>
      </c>
      <c r="B166" t="str">
        <v>PL-CEN</v>
      </c>
      <c r="C166" t="str">
        <v>CD-VER</v>
      </c>
      <c r="D166" t="str">
        <v>BEB-1020</v>
      </c>
      <c r="E166">
        <v>1317</v>
      </c>
      <c r="F166" s="1">
        <v>46174</v>
      </c>
      <c r="G166" t="str">
        <v>In Transit</v>
      </c>
      <c r="H166" t="str">
        <v>OK</v>
      </c>
      <c r="I166">
        <v>16.66</v>
      </c>
      <c r="J166">
        <v>85</v>
      </c>
      <c r="K166">
        <v>333</v>
      </c>
      <c r="L166" t="str">
        <v>OK</v>
      </c>
      <c r="M166">
        <v>3</v>
      </c>
      <c r="O166">
        <f t="shared" si="16"/>
        <v>15.494117647058824</v>
      </c>
      <c r="P166">
        <f t="shared" si="17"/>
        <v>91.421750000000003</v>
      </c>
      <c r="Q166">
        <f t="shared" si="18"/>
        <v>46.951871657754012</v>
      </c>
      <c r="R166">
        <f t="shared" si="19"/>
        <v>1</v>
      </c>
      <c r="S166">
        <f t="shared" si="20"/>
        <v>91.421750000000003</v>
      </c>
      <c r="T166" t="str">
        <f t="shared" si="21"/>
        <v>OK</v>
      </c>
      <c r="U166" t="str">
        <f t="shared" si="22"/>
        <v>OK</v>
      </c>
      <c r="V166" t="str">
        <f t="shared" si="23"/>
        <v>OK</v>
      </c>
    </row>
    <row r="167" spans="1:22" x14ac:dyDescent="0.45">
      <c r="A167" t="str">
        <v>SO-50214</v>
      </c>
      <c r="B167" t="str">
        <v>PL-NTE</v>
      </c>
      <c r="C167" t="str">
        <v>CD-HER</v>
      </c>
      <c r="D167" t="str">
        <v>LAC-1009</v>
      </c>
      <c r="E167">
        <v>1706</v>
      </c>
      <c r="F167" s="1">
        <v>46173</v>
      </c>
      <c r="G167" t="str">
        <v>In Transit</v>
      </c>
      <c r="H167" t="str">
        <v>OK</v>
      </c>
      <c r="I167">
        <v>11.01</v>
      </c>
      <c r="J167">
        <v>98</v>
      </c>
      <c r="K167">
        <v>16</v>
      </c>
      <c r="L167" t="str">
        <v>OK</v>
      </c>
      <c r="M167">
        <v>4</v>
      </c>
      <c r="O167">
        <f t="shared" si="16"/>
        <v>17.408163265306122</v>
      </c>
      <c r="P167">
        <f t="shared" si="17"/>
        <v>78.262749999999997</v>
      </c>
      <c r="Q167">
        <f t="shared" si="18"/>
        <v>52.752009894867037</v>
      </c>
      <c r="R167">
        <f t="shared" si="19"/>
        <v>1</v>
      </c>
      <c r="S167">
        <f t="shared" si="20"/>
        <v>78.262749999999997</v>
      </c>
      <c r="T167" t="str">
        <f t="shared" si="21"/>
        <v>OK</v>
      </c>
      <c r="U167" t="str">
        <f t="shared" si="22"/>
        <v>OK</v>
      </c>
      <c r="V167" t="str">
        <f t="shared" si="23"/>
        <v>OK</v>
      </c>
    </row>
    <row r="168" spans="1:22" x14ac:dyDescent="0.45">
      <c r="A168" t="str">
        <v>SO-50464</v>
      </c>
      <c r="B168" t="str">
        <v>PL-NTE</v>
      </c>
      <c r="C168" t="str">
        <v>CD-HER</v>
      </c>
      <c r="D168" t="str">
        <v>BOT-1000</v>
      </c>
      <c r="E168">
        <v>2001</v>
      </c>
      <c r="F168" s="1">
        <v>46176</v>
      </c>
      <c r="G168" t="str">
        <v>In Transit</v>
      </c>
      <c r="H168" t="str">
        <v>OK</v>
      </c>
      <c r="I168">
        <v>3.56</v>
      </c>
      <c r="J168">
        <v>64</v>
      </c>
      <c r="K168">
        <v>92</v>
      </c>
      <c r="L168" t="str">
        <v>OK</v>
      </c>
      <c r="M168">
        <v>1</v>
      </c>
      <c r="O168">
        <f t="shared" si="16"/>
        <v>31.265625</v>
      </c>
      <c r="P168">
        <f t="shared" si="17"/>
        <v>29.6815</v>
      </c>
      <c r="Q168">
        <f t="shared" si="18"/>
        <v>94.744318181818173</v>
      </c>
      <c r="R168">
        <f t="shared" si="19"/>
        <v>1</v>
      </c>
      <c r="S168">
        <f t="shared" si="20"/>
        <v>94.744318181818173</v>
      </c>
      <c r="T168" t="str">
        <f t="shared" si="21"/>
        <v>OK</v>
      </c>
      <c r="U168" t="str">
        <f t="shared" si="22"/>
        <v>OK</v>
      </c>
      <c r="V168" t="str">
        <f t="shared" si="23"/>
        <v>OK</v>
      </c>
    </row>
    <row r="169" spans="1:22" x14ac:dyDescent="0.45">
      <c r="A169" t="str">
        <v>SO-50866</v>
      </c>
      <c r="B169" t="str">
        <v>PL-NTE</v>
      </c>
      <c r="C169" t="str">
        <v>CD-SAL</v>
      </c>
      <c r="D169" t="str">
        <v>BOT-1012</v>
      </c>
      <c r="E169">
        <v>1036</v>
      </c>
      <c r="F169" s="1">
        <v>46175</v>
      </c>
      <c r="G169" t="str">
        <v>In Transit</v>
      </c>
      <c r="H169" t="str">
        <v>OK</v>
      </c>
      <c r="I169">
        <v>4.26</v>
      </c>
      <c r="J169">
        <v>68</v>
      </c>
      <c r="K169">
        <v>117</v>
      </c>
      <c r="L169" t="str">
        <v>OK</v>
      </c>
      <c r="M169">
        <v>2</v>
      </c>
      <c r="O169">
        <f t="shared" si="16"/>
        <v>15.235294117647058</v>
      </c>
      <c r="P169">
        <f t="shared" si="17"/>
        <v>18.388999999999999</v>
      </c>
      <c r="Q169">
        <f t="shared" si="18"/>
        <v>46.167557932263811</v>
      </c>
      <c r="R169">
        <f t="shared" si="19"/>
        <v>1</v>
      </c>
      <c r="S169">
        <f t="shared" si="20"/>
        <v>46.167557932263811</v>
      </c>
      <c r="T169" t="str">
        <f t="shared" si="21"/>
        <v>CARGA INEFICIENTE</v>
      </c>
      <c r="U169" t="str">
        <f t="shared" si="22"/>
        <v>OK</v>
      </c>
      <c r="V169" t="str">
        <f t="shared" si="23"/>
        <v>OK</v>
      </c>
    </row>
    <row r="170" spans="1:22" x14ac:dyDescent="0.45">
      <c r="A170" t="str">
        <v>SO-50453</v>
      </c>
      <c r="B170" t="str">
        <v>PL-CEN</v>
      </c>
      <c r="C170" t="str">
        <v>CD-TOL</v>
      </c>
      <c r="D170" t="str">
        <v>LAC-1002</v>
      </c>
      <c r="E170">
        <v>2910</v>
      </c>
      <c r="F170" s="1">
        <v>46176</v>
      </c>
      <c r="G170" t="str">
        <v>In Transit</v>
      </c>
      <c r="H170" t="str">
        <v>OK</v>
      </c>
      <c r="I170">
        <v>7.71</v>
      </c>
      <c r="J170">
        <v>101</v>
      </c>
      <c r="K170">
        <v>23</v>
      </c>
      <c r="L170" t="str">
        <v>OK</v>
      </c>
      <c r="M170">
        <v>1</v>
      </c>
      <c r="O170">
        <f t="shared" si="16"/>
        <v>28.811881188118811</v>
      </c>
      <c r="P170">
        <f t="shared" si="17"/>
        <v>93.483750000000001</v>
      </c>
      <c r="Q170">
        <f t="shared" si="18"/>
        <v>87.308730873087299</v>
      </c>
      <c r="R170">
        <f t="shared" si="19"/>
        <v>1</v>
      </c>
      <c r="S170">
        <f t="shared" si="20"/>
        <v>93.483750000000001</v>
      </c>
      <c r="T170" t="str">
        <f t="shared" si="21"/>
        <v>OK</v>
      </c>
      <c r="U170" t="str">
        <f t="shared" si="22"/>
        <v>OK</v>
      </c>
      <c r="V170" t="str">
        <f t="shared" si="23"/>
        <v>OK</v>
      </c>
    </row>
    <row r="171" spans="1:22" x14ac:dyDescent="0.45">
      <c r="A171" t="str">
        <v>SO-50624</v>
      </c>
      <c r="B171" t="str">
        <v>PL-CEN</v>
      </c>
      <c r="C171" t="str">
        <v>CD-TOL</v>
      </c>
      <c r="D171" t="str">
        <v>XXX-8415</v>
      </c>
      <c r="E171">
        <v>768</v>
      </c>
      <c r="F171" s="1">
        <v>46176</v>
      </c>
      <c r="G171" t="str">
        <v>In Transit</v>
      </c>
      <c r="H171" t="str">
        <v>OK</v>
      </c>
      <c r="I171">
        <v>0</v>
      </c>
      <c r="J171">
        <v>0</v>
      </c>
      <c r="K171">
        <v>0</v>
      </c>
      <c r="L171" t="str">
        <v>HUERFANO</v>
      </c>
      <c r="M171">
        <v>1</v>
      </c>
      <c r="O171" t="str">
        <f t="shared" si="16"/>
        <v>n/a</v>
      </c>
      <c r="P171" t="str">
        <f t="shared" si="17"/>
        <v>n/a</v>
      </c>
      <c r="Q171" t="str">
        <f t="shared" si="18"/>
        <v>n/a</v>
      </c>
      <c r="R171" t="str">
        <f t="shared" si="19"/>
        <v>n/a</v>
      </c>
      <c r="S171" t="str">
        <f t="shared" si="20"/>
        <v>n/a</v>
      </c>
      <c r="T171" t="str">
        <f t="shared" si="21"/>
        <v>n/a</v>
      </c>
      <c r="U171" t="str">
        <f t="shared" si="22"/>
        <v>n/a</v>
      </c>
      <c r="V171" t="str">
        <f t="shared" si="23"/>
        <v>n/a</v>
      </c>
    </row>
    <row r="172" spans="1:22" x14ac:dyDescent="0.45">
      <c r="A172" t="str">
        <v>SO-50873</v>
      </c>
      <c r="B172" t="str">
        <v>PL-CEN</v>
      </c>
      <c r="C172" t="str">
        <v>CD-CDMX</v>
      </c>
      <c r="D172" t="str">
        <v>LAC-1009</v>
      </c>
      <c r="E172">
        <v>1863</v>
      </c>
      <c r="F172" s="1">
        <v>46176</v>
      </c>
      <c r="G172" t="str">
        <v>In Transit</v>
      </c>
      <c r="H172" t="str">
        <v>OK</v>
      </c>
      <c r="I172">
        <v>11.01</v>
      </c>
      <c r="J172">
        <v>98</v>
      </c>
      <c r="K172">
        <v>16</v>
      </c>
      <c r="L172" t="str">
        <v>OK</v>
      </c>
      <c r="M172">
        <v>1</v>
      </c>
      <c r="O172">
        <f t="shared" si="16"/>
        <v>19.010204081632654</v>
      </c>
      <c r="P172">
        <f t="shared" si="17"/>
        <v>85.465125000000015</v>
      </c>
      <c r="Q172">
        <f t="shared" si="18"/>
        <v>57.606679035250465</v>
      </c>
      <c r="R172">
        <f t="shared" si="19"/>
        <v>1</v>
      </c>
      <c r="S172">
        <f t="shared" si="20"/>
        <v>85.465125000000015</v>
      </c>
      <c r="T172" t="str">
        <f t="shared" si="21"/>
        <v>OK</v>
      </c>
      <c r="U172" t="str">
        <f t="shared" si="22"/>
        <v>OK</v>
      </c>
      <c r="V172" t="str">
        <f t="shared" si="23"/>
        <v>OK</v>
      </c>
    </row>
    <row r="173" spans="1:22" x14ac:dyDescent="0.45">
      <c r="A173" t="str">
        <v>SO-50887</v>
      </c>
      <c r="B173" t="str">
        <v>PL-CEN</v>
      </c>
      <c r="C173" t="str">
        <v>CD-QRO</v>
      </c>
      <c r="D173" t="str">
        <v>PRO-1011</v>
      </c>
      <c r="E173">
        <v>2718</v>
      </c>
      <c r="F173" s="1">
        <v>46176</v>
      </c>
      <c r="G173" t="str">
        <v>In Transit</v>
      </c>
      <c r="H173" t="str">
        <v>OK</v>
      </c>
      <c r="I173">
        <v>4.3600000000000003</v>
      </c>
      <c r="J173">
        <v>88</v>
      </c>
      <c r="K173">
        <v>108</v>
      </c>
      <c r="L173" t="str">
        <v>OK</v>
      </c>
      <c r="M173">
        <v>1</v>
      </c>
      <c r="O173">
        <f t="shared" si="16"/>
        <v>30.886363636363637</v>
      </c>
      <c r="P173">
        <f t="shared" si="17"/>
        <v>49.377000000000002</v>
      </c>
      <c r="Q173">
        <f t="shared" si="18"/>
        <v>93.59504132231406</v>
      </c>
      <c r="R173">
        <f t="shared" si="19"/>
        <v>1</v>
      </c>
      <c r="S173">
        <f t="shared" si="20"/>
        <v>93.59504132231406</v>
      </c>
      <c r="T173" t="str">
        <f t="shared" si="21"/>
        <v>OK</v>
      </c>
      <c r="U173" t="str">
        <f t="shared" si="22"/>
        <v>OK</v>
      </c>
      <c r="V173" t="str">
        <f t="shared" si="23"/>
        <v>OK</v>
      </c>
    </row>
    <row r="174" spans="1:22" x14ac:dyDescent="0.45">
      <c r="A174" t="str">
        <v>SO-51086</v>
      </c>
      <c r="B174" t="str">
        <v>PL-CEN</v>
      </c>
      <c r="C174" t="str">
        <v>CD-CDMX</v>
      </c>
      <c r="D174" t="str">
        <v>BOT-1017</v>
      </c>
      <c r="E174">
        <v>1098</v>
      </c>
      <c r="F174" s="1">
        <v>46174</v>
      </c>
      <c r="G174" t="str">
        <v>In Transit</v>
      </c>
      <c r="H174" t="str">
        <v>OK</v>
      </c>
      <c r="I174">
        <v>3.75</v>
      </c>
      <c r="J174">
        <v>41</v>
      </c>
      <c r="K174">
        <v>106</v>
      </c>
      <c r="L174" t="str">
        <v>OK</v>
      </c>
      <c r="M174">
        <v>3</v>
      </c>
      <c r="O174">
        <f t="shared" si="16"/>
        <v>26.780487804878049</v>
      </c>
      <c r="P174">
        <f t="shared" si="17"/>
        <v>17.15625</v>
      </c>
      <c r="Q174">
        <f t="shared" si="18"/>
        <v>81.152993348115302</v>
      </c>
      <c r="R174">
        <f t="shared" si="19"/>
        <v>1</v>
      </c>
      <c r="S174">
        <f t="shared" si="20"/>
        <v>81.152993348115302</v>
      </c>
      <c r="T174" t="str">
        <f t="shared" si="21"/>
        <v>OK</v>
      </c>
      <c r="U174" t="str">
        <f t="shared" si="22"/>
        <v>OK</v>
      </c>
      <c r="V174" t="str">
        <f t="shared" si="23"/>
        <v>OK</v>
      </c>
    </row>
    <row r="175" spans="1:22" x14ac:dyDescent="0.45">
      <c r="A175" t="str">
        <v>SO-50057</v>
      </c>
      <c r="B175" t="str">
        <v>PL-SUR</v>
      </c>
      <c r="C175" t="str">
        <v>CD-CAN</v>
      </c>
      <c r="D175" t="str">
        <v>BEB-1007</v>
      </c>
      <c r="E175">
        <v>1515</v>
      </c>
      <c r="F175" s="1">
        <v>46176</v>
      </c>
      <c r="G175" t="str">
        <v>In Transit</v>
      </c>
      <c r="H175" t="str">
        <v>OK</v>
      </c>
      <c r="I175">
        <v>13.67</v>
      </c>
      <c r="J175">
        <v>78</v>
      </c>
      <c r="K175">
        <v>247</v>
      </c>
      <c r="L175" t="str">
        <v>OK</v>
      </c>
      <c r="M175">
        <v>1</v>
      </c>
      <c r="O175">
        <f t="shared" si="16"/>
        <v>19.423076923076923</v>
      </c>
      <c r="P175">
        <f t="shared" si="17"/>
        <v>86.29187499999999</v>
      </c>
      <c r="Q175">
        <f t="shared" si="18"/>
        <v>58.857808857808855</v>
      </c>
      <c r="R175">
        <f t="shared" si="19"/>
        <v>1</v>
      </c>
      <c r="S175">
        <f t="shared" si="20"/>
        <v>86.29187499999999</v>
      </c>
      <c r="T175" t="str">
        <f t="shared" si="21"/>
        <v>OK</v>
      </c>
      <c r="U175" t="str">
        <f t="shared" si="22"/>
        <v>OK</v>
      </c>
      <c r="V175" t="str">
        <f t="shared" si="23"/>
        <v>OK</v>
      </c>
    </row>
    <row r="176" spans="1:22" x14ac:dyDescent="0.45">
      <c r="A176" t="str">
        <v>SO-50837</v>
      </c>
      <c r="B176" t="str">
        <v>PL-SUR</v>
      </c>
      <c r="C176" t="str">
        <v>CD-MER</v>
      </c>
      <c r="D176" t="str">
        <v>ABA-1007</v>
      </c>
      <c r="E176">
        <v>2204</v>
      </c>
      <c r="F176" s="1">
        <v>46175</v>
      </c>
      <c r="G176" t="str">
        <v>In Transit</v>
      </c>
      <c r="H176" t="str">
        <v>OK</v>
      </c>
      <c r="I176">
        <v>9.7899999999999991</v>
      </c>
      <c r="J176">
        <v>123</v>
      </c>
      <c r="K176">
        <v>334</v>
      </c>
      <c r="L176" t="str">
        <v>OK</v>
      </c>
      <c r="M176">
        <v>2</v>
      </c>
      <c r="O176">
        <f t="shared" si="16"/>
        <v>17.918699186991869</v>
      </c>
      <c r="P176">
        <f t="shared" si="17"/>
        <v>89.904833333333329</v>
      </c>
      <c r="Q176">
        <f t="shared" si="18"/>
        <v>54.299088445429909</v>
      </c>
      <c r="R176">
        <f t="shared" si="19"/>
        <v>1</v>
      </c>
      <c r="S176">
        <f t="shared" si="20"/>
        <v>89.904833333333329</v>
      </c>
      <c r="T176" t="str">
        <f t="shared" si="21"/>
        <v>OK</v>
      </c>
      <c r="U176" t="str">
        <f t="shared" si="22"/>
        <v>OK</v>
      </c>
      <c r="V176" t="str">
        <f t="shared" si="23"/>
        <v>OK</v>
      </c>
    </row>
    <row r="177" spans="1:22" x14ac:dyDescent="0.45">
      <c r="A177" t="str">
        <v>SO-50060</v>
      </c>
      <c r="B177" t="str">
        <v>PL-NTE</v>
      </c>
      <c r="C177" t="str">
        <v>CD-TIJ</v>
      </c>
      <c r="D177" t="str">
        <v>LAC-1012</v>
      </c>
      <c r="E177">
        <v>819</v>
      </c>
      <c r="F177" s="1">
        <v>46175</v>
      </c>
      <c r="G177" t="str">
        <v>In Transit</v>
      </c>
      <c r="H177" t="str">
        <v>OK</v>
      </c>
      <c r="I177">
        <v>9.8699999999999992</v>
      </c>
      <c r="J177">
        <v>88</v>
      </c>
      <c r="K177">
        <v>25</v>
      </c>
      <c r="L177" t="str">
        <v>OK</v>
      </c>
      <c r="M177">
        <v>2</v>
      </c>
      <c r="O177">
        <f t="shared" si="16"/>
        <v>9.3068181818181817</v>
      </c>
      <c r="P177">
        <f t="shared" si="17"/>
        <v>33.681374999999996</v>
      </c>
      <c r="Q177">
        <f t="shared" si="18"/>
        <v>28.202479338842974</v>
      </c>
      <c r="R177">
        <f t="shared" si="19"/>
        <v>1</v>
      </c>
      <c r="S177">
        <f t="shared" si="20"/>
        <v>33.681374999999996</v>
      </c>
      <c r="T177" t="str">
        <f t="shared" si="21"/>
        <v>CARGA INEFICIENTE</v>
      </c>
      <c r="U177" t="str">
        <f t="shared" si="22"/>
        <v>OK</v>
      </c>
      <c r="V177" t="str">
        <f t="shared" si="23"/>
        <v>OK</v>
      </c>
    </row>
    <row r="178" spans="1:22" x14ac:dyDescent="0.45">
      <c r="A178" t="str">
        <v>SO-50737</v>
      </c>
      <c r="B178" t="str">
        <v>PL-CEN</v>
      </c>
      <c r="C178" t="str">
        <v>CD-CDMX</v>
      </c>
      <c r="D178" t="str">
        <v>BEB-1007</v>
      </c>
      <c r="E178">
        <v>645</v>
      </c>
      <c r="F178" s="1">
        <v>46176</v>
      </c>
      <c r="G178" t="str">
        <v>In Transit</v>
      </c>
      <c r="H178" t="str">
        <v>OK</v>
      </c>
      <c r="I178">
        <v>13.67</v>
      </c>
      <c r="J178">
        <v>78</v>
      </c>
      <c r="K178">
        <v>247</v>
      </c>
      <c r="L178" t="str">
        <v>OK</v>
      </c>
      <c r="M178">
        <v>1</v>
      </c>
      <c r="O178">
        <f t="shared" si="16"/>
        <v>8.2692307692307701</v>
      </c>
      <c r="P178">
        <f t="shared" si="17"/>
        <v>36.738124999999997</v>
      </c>
      <c r="Q178">
        <f t="shared" si="18"/>
        <v>25.058275058275058</v>
      </c>
      <c r="R178">
        <f t="shared" si="19"/>
        <v>1</v>
      </c>
      <c r="S178">
        <f t="shared" si="20"/>
        <v>36.738124999999997</v>
      </c>
      <c r="T178" t="str">
        <f t="shared" si="21"/>
        <v>CARGA INEFICIENTE</v>
      </c>
      <c r="U178" t="str">
        <f t="shared" si="22"/>
        <v>OK</v>
      </c>
      <c r="V178" t="str">
        <f t="shared" si="23"/>
        <v>OK</v>
      </c>
    </row>
    <row r="179" spans="1:22" x14ac:dyDescent="0.45">
      <c r="A179" t="str">
        <v>SO-50403</v>
      </c>
      <c r="B179" t="str">
        <v>PL-SUR</v>
      </c>
      <c r="C179" t="str">
        <v>CD-MOR</v>
      </c>
      <c r="D179" t="str">
        <v>BOT-1009</v>
      </c>
      <c r="E179">
        <v>2421</v>
      </c>
      <c r="F179" s="1">
        <v>46176</v>
      </c>
      <c r="G179" t="str">
        <v>In Transit</v>
      </c>
      <c r="H179" t="str">
        <v>OK</v>
      </c>
      <c r="I179">
        <v>5.25</v>
      </c>
      <c r="J179">
        <v>76</v>
      </c>
      <c r="K179">
        <v>104</v>
      </c>
      <c r="L179" t="str">
        <v>OK</v>
      </c>
      <c r="M179">
        <v>1</v>
      </c>
      <c r="O179">
        <f t="shared" si="16"/>
        <v>31.855263157894736</v>
      </c>
      <c r="P179">
        <f t="shared" si="17"/>
        <v>52.959374999999994</v>
      </c>
      <c r="Q179">
        <f t="shared" si="18"/>
        <v>96.5311004784689</v>
      </c>
      <c r="R179">
        <f t="shared" si="19"/>
        <v>1</v>
      </c>
      <c r="S179">
        <f t="shared" si="20"/>
        <v>96.5311004784689</v>
      </c>
      <c r="T179" t="str">
        <f t="shared" si="21"/>
        <v>OK</v>
      </c>
      <c r="U179" t="str">
        <f t="shared" si="22"/>
        <v>OK</v>
      </c>
      <c r="V179" t="str">
        <f t="shared" si="23"/>
        <v>OK</v>
      </c>
    </row>
    <row r="180" spans="1:22" x14ac:dyDescent="0.45">
      <c r="A180" t="str">
        <v>SO-50636</v>
      </c>
      <c r="B180" t="str">
        <v>PL-NTE</v>
      </c>
      <c r="C180" t="str">
        <v>CD-TIJ</v>
      </c>
      <c r="D180" t="str">
        <v>PRO-1001</v>
      </c>
      <c r="E180">
        <v>1008</v>
      </c>
      <c r="F180" s="1">
        <v>46174</v>
      </c>
      <c r="G180" t="str">
        <v>In Transit</v>
      </c>
      <c r="H180" t="str">
        <v>OK</v>
      </c>
      <c r="I180">
        <v>9.57</v>
      </c>
      <c r="J180">
        <v>92</v>
      </c>
      <c r="K180">
        <v>122</v>
      </c>
      <c r="L180" t="str">
        <v>OK</v>
      </c>
      <c r="M180">
        <v>3</v>
      </c>
      <c r="O180">
        <f t="shared" si="16"/>
        <v>10.956521739130435</v>
      </c>
      <c r="P180">
        <f t="shared" si="17"/>
        <v>40.193999999999996</v>
      </c>
      <c r="Q180">
        <f t="shared" si="18"/>
        <v>33.201581027667984</v>
      </c>
      <c r="R180">
        <f t="shared" si="19"/>
        <v>1</v>
      </c>
      <c r="S180">
        <f t="shared" si="20"/>
        <v>40.193999999999996</v>
      </c>
      <c r="T180" t="str">
        <f t="shared" si="21"/>
        <v>CARGA INEFICIENTE</v>
      </c>
      <c r="U180" t="str">
        <f t="shared" si="22"/>
        <v>OK</v>
      </c>
      <c r="V180" t="str">
        <f t="shared" si="23"/>
        <v>OK</v>
      </c>
    </row>
    <row r="181" spans="1:22" x14ac:dyDescent="0.45">
      <c r="A181" t="str">
        <v>SO-50773</v>
      </c>
      <c r="B181" t="str">
        <v>PL-CEN</v>
      </c>
      <c r="C181" t="str">
        <v>CD-QRO</v>
      </c>
      <c r="D181" t="str">
        <v>ABA-1000</v>
      </c>
      <c r="E181">
        <v>614</v>
      </c>
      <c r="F181" s="1">
        <v>46176</v>
      </c>
      <c r="G181" t="str">
        <v>In Transit</v>
      </c>
      <c r="H181" t="str">
        <v>OK</v>
      </c>
      <c r="I181">
        <v>15.2</v>
      </c>
      <c r="J181">
        <v>135</v>
      </c>
      <c r="K181">
        <v>361</v>
      </c>
      <c r="L181" t="str">
        <v>OK</v>
      </c>
      <c r="M181">
        <v>1</v>
      </c>
      <c r="O181">
        <f t="shared" si="16"/>
        <v>4.5481481481481483</v>
      </c>
      <c r="P181">
        <f t="shared" si="17"/>
        <v>38.886666666666663</v>
      </c>
      <c r="Q181">
        <f t="shared" si="18"/>
        <v>13.782267115600449</v>
      </c>
      <c r="R181">
        <f t="shared" si="19"/>
        <v>1</v>
      </c>
      <c r="S181">
        <f t="shared" si="20"/>
        <v>38.886666666666663</v>
      </c>
      <c r="T181" t="str">
        <f t="shared" si="21"/>
        <v>CARGA INEFICIENTE</v>
      </c>
      <c r="U181" t="str">
        <f t="shared" si="22"/>
        <v>OK</v>
      </c>
      <c r="V181" t="str">
        <f t="shared" si="23"/>
        <v>OK</v>
      </c>
    </row>
    <row r="182" spans="1:22" x14ac:dyDescent="0.45">
      <c r="A182" t="str">
        <v>SO-50820</v>
      </c>
      <c r="B182" t="str">
        <v>PL-SUR</v>
      </c>
      <c r="C182" t="str">
        <v>CD-GDL</v>
      </c>
      <c r="D182" t="str">
        <v>BEB-1015</v>
      </c>
      <c r="E182">
        <v>347</v>
      </c>
      <c r="F182" s="1">
        <v>46176</v>
      </c>
      <c r="G182" t="str">
        <v>In Transit</v>
      </c>
      <c r="H182" t="str">
        <v>OK</v>
      </c>
      <c r="I182">
        <v>19.95</v>
      </c>
      <c r="J182">
        <v>78</v>
      </c>
      <c r="K182">
        <v>276</v>
      </c>
      <c r="L182" t="str">
        <v>OK</v>
      </c>
      <c r="M182">
        <v>1</v>
      </c>
      <c r="O182">
        <f t="shared" si="16"/>
        <v>4.4487179487179489</v>
      </c>
      <c r="P182">
        <f t="shared" si="17"/>
        <v>28.844374999999999</v>
      </c>
      <c r="Q182">
        <f t="shared" si="18"/>
        <v>13.480963480963482</v>
      </c>
      <c r="R182">
        <f t="shared" si="19"/>
        <v>1</v>
      </c>
      <c r="S182">
        <f t="shared" si="20"/>
        <v>28.844374999999999</v>
      </c>
      <c r="T182" t="str">
        <f t="shared" si="21"/>
        <v>CARGA INEFICIENTE</v>
      </c>
      <c r="U182" t="str">
        <f t="shared" si="22"/>
        <v>OK</v>
      </c>
      <c r="V182" t="str">
        <f t="shared" si="23"/>
        <v>OK</v>
      </c>
    </row>
    <row r="183" spans="1:22" x14ac:dyDescent="0.45">
      <c r="A183" t="str">
        <v>SO-50002</v>
      </c>
      <c r="B183" t="str">
        <v>PL-NTE</v>
      </c>
      <c r="C183" t="str">
        <v>CD-CHI</v>
      </c>
      <c r="D183" t="str">
        <v>BOT-1011</v>
      </c>
      <c r="E183">
        <v>2595</v>
      </c>
      <c r="F183" s="1">
        <v>46175</v>
      </c>
      <c r="G183" t="str">
        <v>In Transit</v>
      </c>
      <c r="H183" t="str">
        <v>OK</v>
      </c>
      <c r="I183">
        <v>3.43</v>
      </c>
      <c r="J183">
        <v>88</v>
      </c>
      <c r="K183">
        <v>109</v>
      </c>
      <c r="L183" t="str">
        <v>OK</v>
      </c>
      <c r="M183">
        <v>2</v>
      </c>
      <c r="O183">
        <f t="shared" si="16"/>
        <v>29.488636363636363</v>
      </c>
      <c r="P183">
        <f t="shared" si="17"/>
        <v>37.086874999999999</v>
      </c>
      <c r="Q183">
        <f t="shared" si="18"/>
        <v>89.359504132231407</v>
      </c>
      <c r="R183">
        <f t="shared" si="19"/>
        <v>1</v>
      </c>
      <c r="S183">
        <f t="shared" si="20"/>
        <v>89.359504132231407</v>
      </c>
      <c r="T183" t="str">
        <f t="shared" si="21"/>
        <v>OK</v>
      </c>
      <c r="U183" t="str">
        <f t="shared" si="22"/>
        <v>OK</v>
      </c>
      <c r="V183" t="str">
        <f t="shared" si="23"/>
        <v>OK</v>
      </c>
    </row>
    <row r="184" spans="1:22" x14ac:dyDescent="0.45">
      <c r="A184" t="str">
        <v>SO-50884</v>
      </c>
      <c r="B184" t="str">
        <v>PL-SUR</v>
      </c>
      <c r="C184" t="str">
        <v>CD-LEO</v>
      </c>
      <c r="D184" t="str">
        <v>BOT-1010</v>
      </c>
      <c r="E184">
        <v>1145</v>
      </c>
      <c r="F184" s="1">
        <v>46175</v>
      </c>
      <c r="G184" t="str">
        <v>In Transit</v>
      </c>
      <c r="H184" t="str">
        <v>OK</v>
      </c>
      <c r="I184">
        <v>5.09</v>
      </c>
      <c r="J184">
        <v>40</v>
      </c>
      <c r="K184">
        <v>90</v>
      </c>
      <c r="L184" t="str">
        <v>OK</v>
      </c>
      <c r="M184">
        <v>2</v>
      </c>
      <c r="O184">
        <f t="shared" si="16"/>
        <v>28.625</v>
      </c>
      <c r="P184">
        <f t="shared" si="17"/>
        <v>24.283541666666668</v>
      </c>
      <c r="Q184">
        <f t="shared" si="18"/>
        <v>86.742424242424249</v>
      </c>
      <c r="R184">
        <f t="shared" si="19"/>
        <v>1</v>
      </c>
      <c r="S184">
        <f t="shared" si="20"/>
        <v>86.742424242424249</v>
      </c>
      <c r="T184" t="str">
        <f t="shared" si="21"/>
        <v>OK</v>
      </c>
      <c r="U184" t="str">
        <f t="shared" si="22"/>
        <v>OK</v>
      </c>
      <c r="V184" t="str">
        <f t="shared" si="23"/>
        <v>OK</v>
      </c>
    </row>
    <row r="185" spans="1:22" x14ac:dyDescent="0.45">
      <c r="A185" t="str">
        <v>SO-50043</v>
      </c>
      <c r="B185" t="str">
        <v>PL-NTE</v>
      </c>
      <c r="C185" t="str">
        <v>CD-HER</v>
      </c>
      <c r="D185" t="str">
        <v>ABA-1004</v>
      </c>
      <c r="E185">
        <v>1788</v>
      </c>
      <c r="F185" s="1">
        <v>46174</v>
      </c>
      <c r="G185" t="str">
        <v>In Transit</v>
      </c>
      <c r="H185" t="str">
        <v>OK</v>
      </c>
      <c r="I185">
        <v>12.85</v>
      </c>
      <c r="J185">
        <v>91</v>
      </c>
      <c r="K185">
        <v>297</v>
      </c>
      <c r="L185" t="str">
        <v>OK</v>
      </c>
      <c r="M185">
        <v>3</v>
      </c>
      <c r="O185">
        <f t="shared" si="16"/>
        <v>19.64835164835165</v>
      </c>
      <c r="P185">
        <f t="shared" si="17"/>
        <v>95.732500000000002</v>
      </c>
      <c r="Q185">
        <f t="shared" si="18"/>
        <v>59.540459540459544</v>
      </c>
      <c r="R185">
        <f t="shared" si="19"/>
        <v>1</v>
      </c>
      <c r="S185">
        <f t="shared" si="20"/>
        <v>95.732500000000002</v>
      </c>
      <c r="T185" t="str">
        <f t="shared" si="21"/>
        <v>OK</v>
      </c>
      <c r="U185" t="str">
        <f t="shared" si="22"/>
        <v>OK</v>
      </c>
      <c r="V185" t="str">
        <f t="shared" si="23"/>
        <v>OK</v>
      </c>
    </row>
    <row r="186" spans="1:22" x14ac:dyDescent="0.45">
      <c r="A186" t="str">
        <v>SO-50448</v>
      </c>
      <c r="B186" t="str">
        <v>PL-NTE</v>
      </c>
      <c r="C186" t="str">
        <v>CD-HER</v>
      </c>
      <c r="D186" t="str">
        <v>BEB-1015</v>
      </c>
      <c r="E186">
        <v>1159</v>
      </c>
      <c r="F186" s="1">
        <v>46173</v>
      </c>
      <c r="G186" t="str">
        <v>In Transit</v>
      </c>
      <c r="H186" t="str">
        <v>OK</v>
      </c>
      <c r="I186">
        <v>19.95</v>
      </c>
      <c r="J186">
        <v>78</v>
      </c>
      <c r="K186">
        <v>276</v>
      </c>
      <c r="L186" t="str">
        <v>OK</v>
      </c>
      <c r="M186">
        <v>4</v>
      </c>
      <c r="O186">
        <f t="shared" si="16"/>
        <v>14.858974358974359</v>
      </c>
      <c r="P186">
        <f t="shared" si="17"/>
        <v>96.341875000000002</v>
      </c>
      <c r="Q186">
        <f t="shared" si="18"/>
        <v>45.027195027195027</v>
      </c>
      <c r="R186">
        <f t="shared" si="19"/>
        <v>1</v>
      </c>
      <c r="S186">
        <f t="shared" si="20"/>
        <v>96.341875000000002</v>
      </c>
      <c r="T186" t="str">
        <f t="shared" si="21"/>
        <v>OK</v>
      </c>
      <c r="U186" t="str">
        <f t="shared" si="22"/>
        <v>OK</v>
      </c>
      <c r="V186" t="str">
        <f t="shared" si="23"/>
        <v>OK</v>
      </c>
    </row>
    <row r="187" spans="1:22" x14ac:dyDescent="0.45">
      <c r="A187" t="str">
        <v>SO-51026</v>
      </c>
      <c r="B187" t="str">
        <v>PL-SUR</v>
      </c>
      <c r="C187" t="str">
        <v>CD-MER</v>
      </c>
      <c r="D187" t="str">
        <v>LAC-1010</v>
      </c>
      <c r="E187">
        <v>3205</v>
      </c>
      <c r="F187" s="1">
        <v>46159</v>
      </c>
      <c r="G187" t="str">
        <v>In Transit</v>
      </c>
      <c r="H187" t="str">
        <v>OK</v>
      </c>
      <c r="I187">
        <v>6.24</v>
      </c>
      <c r="J187">
        <v>146</v>
      </c>
      <c r="K187">
        <v>24</v>
      </c>
      <c r="L187" t="str">
        <v>OK</v>
      </c>
      <c r="M187">
        <v>18</v>
      </c>
      <c r="O187">
        <f t="shared" si="16"/>
        <v>21.952054794520549</v>
      </c>
      <c r="P187">
        <f t="shared" si="17"/>
        <v>83.33</v>
      </c>
      <c r="Q187">
        <f t="shared" si="18"/>
        <v>66.52137816521379</v>
      </c>
      <c r="R187">
        <f t="shared" si="19"/>
        <v>1</v>
      </c>
      <c r="S187">
        <f t="shared" si="20"/>
        <v>83.33</v>
      </c>
      <c r="T187" t="str">
        <f t="shared" si="21"/>
        <v>OK</v>
      </c>
      <c r="U187" t="str">
        <f t="shared" si="22"/>
        <v>FEFO RIESGO</v>
      </c>
      <c r="V187" t="str">
        <f t="shared" si="23"/>
        <v>FANTASMA</v>
      </c>
    </row>
    <row r="188" spans="1:22" x14ac:dyDescent="0.45">
      <c r="A188" t="str">
        <v>SO-50514</v>
      </c>
      <c r="B188" t="str">
        <v>PL-CEN</v>
      </c>
      <c r="C188" t="str">
        <v>CD-CDMX</v>
      </c>
      <c r="D188" t="str">
        <v>LAC-1006</v>
      </c>
      <c r="E188">
        <v>1397</v>
      </c>
      <c r="F188" s="1">
        <v>46176</v>
      </c>
      <c r="G188" t="str">
        <v>In Transit</v>
      </c>
      <c r="H188" t="str">
        <v>OK</v>
      </c>
      <c r="I188">
        <v>10.029999999999999</v>
      </c>
      <c r="J188">
        <v>126</v>
      </c>
      <c r="K188">
        <v>17</v>
      </c>
      <c r="L188" t="str">
        <v>OK</v>
      </c>
      <c r="M188">
        <v>1</v>
      </c>
      <c r="O188">
        <f t="shared" si="16"/>
        <v>11.087301587301587</v>
      </c>
      <c r="P188">
        <f t="shared" si="17"/>
        <v>58.382958333333335</v>
      </c>
      <c r="Q188">
        <f t="shared" si="18"/>
        <v>33.597883597883602</v>
      </c>
      <c r="R188">
        <f t="shared" si="19"/>
        <v>1</v>
      </c>
      <c r="S188">
        <f t="shared" si="20"/>
        <v>58.382958333333335</v>
      </c>
      <c r="T188" t="str">
        <f t="shared" si="21"/>
        <v>CARGA INEFICIENTE</v>
      </c>
      <c r="U188" t="str">
        <f t="shared" si="22"/>
        <v>OK</v>
      </c>
      <c r="V188" t="str">
        <f t="shared" si="23"/>
        <v>OK</v>
      </c>
    </row>
    <row r="189" spans="1:22" x14ac:dyDescent="0.45">
      <c r="A189" t="str">
        <v>SO-50978</v>
      </c>
      <c r="B189" t="str">
        <v>PL-SUR</v>
      </c>
      <c r="C189" t="str">
        <v>CD-GDL</v>
      </c>
      <c r="D189" t="str">
        <v>BOT-1020</v>
      </c>
      <c r="E189">
        <v>1287</v>
      </c>
      <c r="F189" s="1">
        <v>46176</v>
      </c>
      <c r="G189" t="str">
        <v>In Transit</v>
      </c>
      <c r="H189" t="str">
        <v>OK</v>
      </c>
      <c r="I189">
        <v>6.27</v>
      </c>
      <c r="J189">
        <v>67</v>
      </c>
      <c r="K189">
        <v>90</v>
      </c>
      <c r="L189" t="str">
        <v>OK</v>
      </c>
      <c r="M189">
        <v>1</v>
      </c>
      <c r="O189">
        <f t="shared" si="16"/>
        <v>19.208955223880597</v>
      </c>
      <c r="P189">
        <f t="shared" si="17"/>
        <v>33.622874999999993</v>
      </c>
      <c r="Q189">
        <f t="shared" si="18"/>
        <v>58.208955223880601</v>
      </c>
      <c r="R189">
        <f t="shared" si="19"/>
        <v>1</v>
      </c>
      <c r="S189">
        <f t="shared" si="20"/>
        <v>58.208955223880601</v>
      </c>
      <c r="T189" t="str">
        <f t="shared" si="21"/>
        <v>CARGA INEFICIENTE</v>
      </c>
      <c r="U189" t="str">
        <f t="shared" si="22"/>
        <v>OK</v>
      </c>
      <c r="V189" t="str">
        <f t="shared" si="23"/>
        <v>OK</v>
      </c>
    </row>
    <row r="190" spans="1:22" x14ac:dyDescent="0.45">
      <c r="A190" t="str">
        <v>SO-50705</v>
      </c>
      <c r="B190" t="str">
        <v>PL-CEN</v>
      </c>
      <c r="C190" t="str">
        <v>CD-QRO</v>
      </c>
      <c r="D190" t="str">
        <v>BEB-1003</v>
      </c>
      <c r="E190">
        <v>1103</v>
      </c>
      <c r="F190" s="1">
        <v>46176</v>
      </c>
      <c r="G190" t="str">
        <v>Delivered</v>
      </c>
      <c r="H190" t="str">
        <v>OK</v>
      </c>
      <c r="I190">
        <v>20.5</v>
      </c>
      <c r="J190">
        <v>64</v>
      </c>
      <c r="K190">
        <v>359</v>
      </c>
      <c r="L190" t="str">
        <v>OK</v>
      </c>
      <c r="M190">
        <v>1</v>
      </c>
      <c r="O190">
        <f t="shared" si="16"/>
        <v>17.234375</v>
      </c>
      <c r="P190">
        <f t="shared" si="17"/>
        <v>94.214583333333337</v>
      </c>
      <c r="Q190">
        <f t="shared" si="18"/>
        <v>52.225378787878782</v>
      </c>
      <c r="R190">
        <f t="shared" si="19"/>
        <v>1</v>
      </c>
      <c r="S190">
        <f t="shared" si="20"/>
        <v>94.214583333333337</v>
      </c>
      <c r="T190" t="str">
        <f t="shared" si="21"/>
        <v>OK</v>
      </c>
      <c r="U190" t="str">
        <f t="shared" si="22"/>
        <v>OK</v>
      </c>
      <c r="V190" t="str">
        <f t="shared" si="23"/>
        <v>OK</v>
      </c>
    </row>
    <row r="191" spans="1:22" x14ac:dyDescent="0.45">
      <c r="A191" t="str">
        <v>SO-50645</v>
      </c>
      <c r="B191" t="str">
        <v>PL-CEN</v>
      </c>
      <c r="C191" t="str">
        <v>CD-QRO</v>
      </c>
      <c r="D191" t="str">
        <v>BOT-1016</v>
      </c>
      <c r="E191">
        <v>1158</v>
      </c>
      <c r="F191" s="1">
        <v>46175</v>
      </c>
      <c r="G191" t="str">
        <v>In Transit</v>
      </c>
      <c r="H191" t="str">
        <v>OK</v>
      </c>
      <c r="I191">
        <v>5.53</v>
      </c>
      <c r="J191">
        <v>42</v>
      </c>
      <c r="K191">
        <v>114</v>
      </c>
      <c r="L191" t="str">
        <v>OK</v>
      </c>
      <c r="M191">
        <v>2</v>
      </c>
      <c r="O191">
        <f t="shared" si="16"/>
        <v>27.571428571428573</v>
      </c>
      <c r="P191">
        <f t="shared" si="17"/>
        <v>26.682250000000003</v>
      </c>
      <c r="Q191">
        <f t="shared" si="18"/>
        <v>83.549783549783555</v>
      </c>
      <c r="R191">
        <f t="shared" si="19"/>
        <v>1</v>
      </c>
      <c r="S191">
        <f t="shared" si="20"/>
        <v>83.549783549783555</v>
      </c>
      <c r="T191" t="str">
        <f t="shared" si="21"/>
        <v>OK</v>
      </c>
      <c r="U191" t="str">
        <f t="shared" si="22"/>
        <v>OK</v>
      </c>
      <c r="V191" t="str">
        <f t="shared" si="23"/>
        <v>OK</v>
      </c>
    </row>
    <row r="192" spans="1:22" x14ac:dyDescent="0.45">
      <c r="A192" t="str">
        <v>SO-50437</v>
      </c>
      <c r="B192" t="str">
        <v>PL-CEN</v>
      </c>
      <c r="C192" t="str">
        <v>CD-QRO</v>
      </c>
      <c r="D192" t="str">
        <v>LAC-1015</v>
      </c>
      <c r="E192">
        <v>1706</v>
      </c>
      <c r="F192" s="1">
        <v>46176</v>
      </c>
      <c r="G192" t="str">
        <v>In Transit</v>
      </c>
      <c r="H192" t="str">
        <v>OK</v>
      </c>
      <c r="I192">
        <v>11.26</v>
      </c>
      <c r="J192">
        <v>129</v>
      </c>
      <c r="K192">
        <v>24</v>
      </c>
      <c r="L192" t="str">
        <v>OK</v>
      </c>
      <c r="M192">
        <v>1</v>
      </c>
      <c r="O192">
        <f t="shared" si="16"/>
        <v>13.224806201550388</v>
      </c>
      <c r="P192">
        <f t="shared" si="17"/>
        <v>80.039833333333348</v>
      </c>
      <c r="Q192">
        <f t="shared" si="18"/>
        <v>40.075170307728449</v>
      </c>
      <c r="R192">
        <f t="shared" si="19"/>
        <v>1</v>
      </c>
      <c r="S192">
        <f t="shared" si="20"/>
        <v>80.039833333333348</v>
      </c>
      <c r="T192" t="str">
        <f t="shared" si="21"/>
        <v>OK</v>
      </c>
      <c r="U192" t="str">
        <f t="shared" si="22"/>
        <v>OK</v>
      </c>
      <c r="V192" t="str">
        <f t="shared" si="23"/>
        <v>OK</v>
      </c>
    </row>
    <row r="193" spans="1:22" x14ac:dyDescent="0.45">
      <c r="A193" t="str">
        <v>SO-50926</v>
      </c>
      <c r="B193" t="str">
        <v>PL-NTE</v>
      </c>
      <c r="C193" t="str">
        <v>CD-CHI</v>
      </c>
      <c r="D193" t="str">
        <v>BOT-1010</v>
      </c>
      <c r="E193">
        <v>602</v>
      </c>
      <c r="F193" s="1">
        <v>46174</v>
      </c>
      <c r="G193" t="str">
        <v>In Transit</v>
      </c>
      <c r="H193" t="str">
        <v>OK</v>
      </c>
      <c r="I193">
        <v>5.09</v>
      </c>
      <c r="J193">
        <v>40</v>
      </c>
      <c r="K193">
        <v>90</v>
      </c>
      <c r="L193" t="str">
        <v>OK</v>
      </c>
      <c r="M193">
        <v>3</v>
      </c>
      <c r="O193">
        <f t="shared" si="16"/>
        <v>15.05</v>
      </c>
      <c r="P193">
        <f t="shared" si="17"/>
        <v>12.767416666666668</v>
      </c>
      <c r="Q193">
        <f t="shared" si="18"/>
        <v>45.606060606060609</v>
      </c>
      <c r="R193">
        <f t="shared" si="19"/>
        <v>1</v>
      </c>
      <c r="S193">
        <f t="shared" si="20"/>
        <v>45.606060606060609</v>
      </c>
      <c r="T193" t="str">
        <f t="shared" si="21"/>
        <v>CARGA INEFICIENTE</v>
      </c>
      <c r="U193" t="str">
        <f t="shared" si="22"/>
        <v>OK</v>
      </c>
      <c r="V193" t="str">
        <f t="shared" si="23"/>
        <v>OK</v>
      </c>
    </row>
    <row r="194" spans="1:22" x14ac:dyDescent="0.45">
      <c r="A194" t="str">
        <v>SO-50430</v>
      </c>
      <c r="B194" t="str">
        <v>PL-NTE</v>
      </c>
      <c r="C194" t="str">
        <v>CD-MTY</v>
      </c>
      <c r="D194" t="str">
        <v>BEB-1006</v>
      </c>
      <c r="E194">
        <v>1147</v>
      </c>
      <c r="F194" s="1">
        <v>46176</v>
      </c>
      <c r="G194" t="str">
        <v>Delivered</v>
      </c>
      <c r="H194" t="str">
        <v>OK</v>
      </c>
      <c r="I194">
        <v>17.18</v>
      </c>
      <c r="J194">
        <v>81</v>
      </c>
      <c r="K194">
        <v>293</v>
      </c>
      <c r="L194" t="str">
        <v>OK</v>
      </c>
      <c r="M194">
        <v>1</v>
      </c>
      <c r="O194">
        <f t="shared" si="16"/>
        <v>14.160493827160494</v>
      </c>
      <c r="P194">
        <f t="shared" si="17"/>
        <v>82.106083333333331</v>
      </c>
      <c r="Q194">
        <f t="shared" si="18"/>
        <v>42.910587355031801</v>
      </c>
      <c r="R194">
        <f t="shared" si="19"/>
        <v>1</v>
      </c>
      <c r="S194">
        <f t="shared" si="20"/>
        <v>82.106083333333331</v>
      </c>
      <c r="T194" t="str">
        <f t="shared" si="21"/>
        <v>OK</v>
      </c>
      <c r="U194" t="str">
        <f t="shared" si="22"/>
        <v>OK</v>
      </c>
      <c r="V194" t="str">
        <f t="shared" si="23"/>
        <v>OK</v>
      </c>
    </row>
    <row r="195" spans="1:22" x14ac:dyDescent="0.45">
      <c r="A195" t="str">
        <v>SO-50339</v>
      </c>
      <c r="B195" t="str">
        <v>PL-CEN</v>
      </c>
      <c r="C195" t="str">
        <v>CD-VER</v>
      </c>
      <c r="D195" t="str">
        <v>PRO-1011</v>
      </c>
      <c r="E195">
        <v>2526</v>
      </c>
      <c r="F195" s="1">
        <v>46176</v>
      </c>
      <c r="G195" t="str">
        <v>In Transit</v>
      </c>
      <c r="H195" t="str">
        <v>OK</v>
      </c>
      <c r="I195">
        <v>4.3600000000000003</v>
      </c>
      <c r="J195">
        <v>88</v>
      </c>
      <c r="K195">
        <v>108</v>
      </c>
      <c r="L195" t="str">
        <v>OK</v>
      </c>
      <c r="M195">
        <v>1</v>
      </c>
      <c r="O195">
        <f t="shared" ref="O195:O258" si="24">IF(L195="HUERFANO","n/a",IF(ISNUMBER(J195),E195/J195,"n/a"))</f>
        <v>28.704545454545453</v>
      </c>
      <c r="P195">
        <f t="shared" ref="P195:P258" si="25">IF(L195="HUERFANO","n/a",IFERROR(E195*I195/24000*100,""))</f>
        <v>45.889000000000003</v>
      </c>
      <c r="Q195">
        <f t="shared" ref="Q195:Q258" si="26">IF(L195="HUERFANO","n/a",IFERROR(O195/33*100,""))</f>
        <v>86.983471074380162</v>
      </c>
      <c r="R195">
        <f t="shared" ref="R195:R258" si="27">IF(L195="HUERFANO","n/a",IFERROR(MAX(CEILING(P195/100,1),CEILING(Q195/100,1)),""))</f>
        <v>1</v>
      </c>
      <c r="S195">
        <f t="shared" ref="S195:S258" si="28">IF(L195="HUERFANO","n/a",IFERROR(MAX(P195,Q195)/(R195*100)*100,""))</f>
        <v>86.983471074380162</v>
      </c>
      <c r="T195" t="str">
        <f t="shared" ref="T195:T258" si="29">IF(L195="HUERFANO","n/a",IF(S195&lt;75,"CARGA INEFICIENTE","OK"))</f>
        <v>OK</v>
      </c>
      <c r="U195" t="str">
        <f t="shared" ref="U195:U258" si="30">IF(L195="HUERFANO","n/a",IF(AND(LEFT(D195,3)="LAC",(K195-M195)/K195*100&lt;70),"FEFO RIESGO","OK"))</f>
        <v>OK</v>
      </c>
      <c r="V195" t="str">
        <f t="shared" ref="V195:V258" si="31">IF(L195="HUERFANO","n/a",IF(AND(G195="In Transit",M195&gt;5),"FANTASMA","OK"))</f>
        <v>OK</v>
      </c>
    </row>
    <row r="196" spans="1:22" x14ac:dyDescent="0.45">
      <c r="A196" t="str">
        <v>SO-50273</v>
      </c>
      <c r="B196" t="str">
        <v>PL-CEN</v>
      </c>
      <c r="C196" t="str">
        <v>CD-CDMX</v>
      </c>
      <c r="D196" t="str">
        <v>BOT-1018</v>
      </c>
      <c r="E196">
        <v>2153</v>
      </c>
      <c r="F196" s="1">
        <v>46176</v>
      </c>
      <c r="G196" t="str">
        <v>In Transit</v>
      </c>
      <c r="H196" t="str">
        <v>OK</v>
      </c>
      <c r="I196">
        <v>6.23</v>
      </c>
      <c r="J196">
        <v>78</v>
      </c>
      <c r="K196">
        <v>99</v>
      </c>
      <c r="L196" t="str">
        <v>OK</v>
      </c>
      <c r="M196">
        <v>1</v>
      </c>
      <c r="O196">
        <f t="shared" si="24"/>
        <v>27.602564102564102</v>
      </c>
      <c r="P196">
        <f t="shared" si="25"/>
        <v>55.888291666666667</v>
      </c>
      <c r="Q196">
        <f t="shared" si="26"/>
        <v>83.644133644133646</v>
      </c>
      <c r="R196">
        <f t="shared" si="27"/>
        <v>1</v>
      </c>
      <c r="S196">
        <f t="shared" si="28"/>
        <v>83.644133644133646</v>
      </c>
      <c r="T196" t="str">
        <f t="shared" si="29"/>
        <v>OK</v>
      </c>
      <c r="U196" t="str">
        <f t="shared" si="30"/>
        <v>OK</v>
      </c>
      <c r="V196" t="str">
        <f t="shared" si="31"/>
        <v>OK</v>
      </c>
    </row>
    <row r="197" spans="1:22" x14ac:dyDescent="0.45">
      <c r="A197" t="str">
        <v>SO-50679</v>
      </c>
      <c r="B197" t="str">
        <v>PL-NTE</v>
      </c>
      <c r="C197" t="str">
        <v>CD-HER</v>
      </c>
      <c r="D197" t="str">
        <v>BEB-1016</v>
      </c>
      <c r="E197">
        <v>1339</v>
      </c>
      <c r="F197" s="1">
        <v>46176</v>
      </c>
      <c r="G197" t="str">
        <v>In Transit</v>
      </c>
      <c r="H197" t="str">
        <v>OK</v>
      </c>
      <c r="I197">
        <v>0</v>
      </c>
      <c r="J197">
        <v>98</v>
      </c>
      <c r="K197">
        <v>359</v>
      </c>
      <c r="L197" t="str">
        <v>OK</v>
      </c>
      <c r="M197">
        <v>1</v>
      </c>
      <c r="O197">
        <f t="shared" si="24"/>
        <v>13.663265306122449</v>
      </c>
      <c r="P197">
        <f t="shared" si="25"/>
        <v>0</v>
      </c>
      <c r="Q197">
        <f t="shared" si="26"/>
        <v>41.403834260977121</v>
      </c>
      <c r="R197">
        <f t="shared" si="27"/>
        <v>1</v>
      </c>
      <c r="S197">
        <f t="shared" si="28"/>
        <v>41.403834260977121</v>
      </c>
      <c r="T197" t="str">
        <f t="shared" si="29"/>
        <v>CARGA INEFICIENTE</v>
      </c>
      <c r="U197" t="str">
        <f t="shared" si="30"/>
        <v>OK</v>
      </c>
      <c r="V197" t="str">
        <f t="shared" si="31"/>
        <v>OK</v>
      </c>
    </row>
    <row r="198" spans="1:22" x14ac:dyDescent="0.45">
      <c r="A198" t="str">
        <v>SO-50401</v>
      </c>
      <c r="B198" t="str">
        <v>PL-NTE</v>
      </c>
      <c r="C198" t="str">
        <v>CD-SAL</v>
      </c>
      <c r="D198" t="str">
        <v>BOT-1015</v>
      </c>
      <c r="E198">
        <v>1653</v>
      </c>
      <c r="F198" s="1">
        <v>46175</v>
      </c>
      <c r="G198" t="str">
        <v>In Transit</v>
      </c>
      <c r="H198" t="str">
        <v>OK</v>
      </c>
      <c r="I198">
        <v>3.64</v>
      </c>
      <c r="J198">
        <v>62</v>
      </c>
      <c r="K198">
        <v>114</v>
      </c>
      <c r="L198" t="str">
        <v>OK</v>
      </c>
      <c r="M198">
        <v>2</v>
      </c>
      <c r="O198">
        <f t="shared" si="24"/>
        <v>26.661290322580644</v>
      </c>
      <c r="P198">
        <f t="shared" si="25"/>
        <v>25.070500000000003</v>
      </c>
      <c r="Q198">
        <f t="shared" si="26"/>
        <v>80.791788856304976</v>
      </c>
      <c r="R198">
        <f t="shared" si="27"/>
        <v>1</v>
      </c>
      <c r="S198">
        <f t="shared" si="28"/>
        <v>80.791788856304976</v>
      </c>
      <c r="T198" t="str">
        <f t="shared" si="29"/>
        <v>OK</v>
      </c>
      <c r="U198" t="str">
        <f t="shared" si="30"/>
        <v>OK</v>
      </c>
      <c r="V198" t="str">
        <f t="shared" si="31"/>
        <v>OK</v>
      </c>
    </row>
    <row r="199" spans="1:22" x14ac:dyDescent="0.45">
      <c r="A199" t="str">
        <v>SO-50315</v>
      </c>
      <c r="B199" t="str">
        <v>PL-CEN</v>
      </c>
      <c r="C199" t="str">
        <v>CD-CDMX</v>
      </c>
      <c r="D199" t="str">
        <v>BOT-1005</v>
      </c>
      <c r="E199">
        <v>777</v>
      </c>
      <c r="F199" s="1">
        <v>46176</v>
      </c>
      <c r="G199" t="str">
        <v>In Transit</v>
      </c>
      <c r="H199" t="str">
        <v>OK</v>
      </c>
      <c r="I199">
        <v>5.49</v>
      </c>
      <c r="J199">
        <v>62</v>
      </c>
      <c r="K199">
        <v>91</v>
      </c>
      <c r="L199" t="str">
        <v>OK</v>
      </c>
      <c r="M199">
        <v>1</v>
      </c>
      <c r="O199">
        <f t="shared" si="24"/>
        <v>12.53225806451613</v>
      </c>
      <c r="P199">
        <f t="shared" si="25"/>
        <v>17.773875000000004</v>
      </c>
      <c r="Q199">
        <f t="shared" si="26"/>
        <v>37.976539589442822</v>
      </c>
      <c r="R199">
        <f t="shared" si="27"/>
        <v>1</v>
      </c>
      <c r="S199">
        <f t="shared" si="28"/>
        <v>37.976539589442822</v>
      </c>
      <c r="T199" t="str">
        <f t="shared" si="29"/>
        <v>CARGA INEFICIENTE</v>
      </c>
      <c r="U199" t="str">
        <f t="shared" si="30"/>
        <v>OK</v>
      </c>
      <c r="V199" t="str">
        <f t="shared" si="31"/>
        <v>OK</v>
      </c>
    </row>
    <row r="200" spans="1:22" x14ac:dyDescent="0.45">
      <c r="A200" t="str">
        <v>SO-50602</v>
      </c>
      <c r="B200" t="str">
        <v>PL-SUR</v>
      </c>
      <c r="C200" t="str">
        <v>CD-MER</v>
      </c>
      <c r="D200" t="str">
        <v>ABA-1004</v>
      </c>
      <c r="E200">
        <v>1660</v>
      </c>
      <c r="F200" s="1">
        <v>46173</v>
      </c>
      <c r="G200" t="str">
        <v>In Transit</v>
      </c>
      <c r="H200" t="str">
        <v>OK</v>
      </c>
      <c r="I200">
        <v>12.85</v>
      </c>
      <c r="J200">
        <v>91</v>
      </c>
      <c r="K200">
        <v>297</v>
      </c>
      <c r="L200" t="str">
        <v>OK</v>
      </c>
      <c r="M200">
        <v>4</v>
      </c>
      <c r="O200">
        <f t="shared" si="24"/>
        <v>18.241758241758241</v>
      </c>
      <c r="P200">
        <f t="shared" si="25"/>
        <v>88.879166666666663</v>
      </c>
      <c r="Q200">
        <f t="shared" si="26"/>
        <v>55.27805527805527</v>
      </c>
      <c r="R200">
        <f t="shared" si="27"/>
        <v>1</v>
      </c>
      <c r="S200">
        <f t="shared" si="28"/>
        <v>88.879166666666663</v>
      </c>
      <c r="T200" t="str">
        <f t="shared" si="29"/>
        <v>OK</v>
      </c>
      <c r="U200" t="str">
        <f t="shared" si="30"/>
        <v>OK</v>
      </c>
      <c r="V200" t="str">
        <f t="shared" si="31"/>
        <v>OK</v>
      </c>
    </row>
    <row r="201" spans="1:22" x14ac:dyDescent="0.45">
      <c r="A201" t="str">
        <v>SO-50809</v>
      </c>
      <c r="B201" t="str">
        <v>PL-NTE</v>
      </c>
      <c r="C201" t="str">
        <v>CD-CHI</v>
      </c>
      <c r="D201" t="str">
        <v>PRO-1003</v>
      </c>
      <c r="E201">
        <v>1639</v>
      </c>
      <c r="F201" s="1">
        <v>46174</v>
      </c>
      <c r="G201" t="str">
        <v>In Transit</v>
      </c>
      <c r="H201" t="str">
        <v>OK</v>
      </c>
      <c r="I201">
        <v>13.9</v>
      </c>
      <c r="J201">
        <v>69</v>
      </c>
      <c r="K201">
        <v>106</v>
      </c>
      <c r="L201" t="str">
        <v>OK</v>
      </c>
      <c r="M201">
        <v>3</v>
      </c>
      <c r="O201">
        <f t="shared" si="24"/>
        <v>23.753623188405797</v>
      </c>
      <c r="P201">
        <f t="shared" si="25"/>
        <v>94.925416666666678</v>
      </c>
      <c r="Q201">
        <f t="shared" si="26"/>
        <v>71.980676328502412</v>
      </c>
      <c r="R201">
        <f t="shared" si="27"/>
        <v>1</v>
      </c>
      <c r="S201">
        <f t="shared" si="28"/>
        <v>94.925416666666678</v>
      </c>
      <c r="T201" t="str">
        <f t="shared" si="29"/>
        <v>OK</v>
      </c>
      <c r="U201" t="str">
        <f t="shared" si="30"/>
        <v>OK</v>
      </c>
      <c r="V201" t="str">
        <f t="shared" si="31"/>
        <v>OK</v>
      </c>
    </row>
    <row r="202" spans="1:22" x14ac:dyDescent="0.45">
      <c r="A202" t="str">
        <v>SO-50654</v>
      </c>
      <c r="B202" t="str">
        <v>PL-CEN</v>
      </c>
      <c r="C202" t="str">
        <v>CD-PUE</v>
      </c>
      <c r="D202" t="str">
        <v>BOT-1013</v>
      </c>
      <c r="E202">
        <v>1691</v>
      </c>
      <c r="F202" s="1">
        <v>46176</v>
      </c>
      <c r="G202" t="str">
        <v>In Transit</v>
      </c>
      <c r="H202" t="str">
        <v>OK</v>
      </c>
      <c r="I202">
        <v>4</v>
      </c>
      <c r="J202">
        <v>58</v>
      </c>
      <c r="K202">
        <v>112</v>
      </c>
      <c r="L202" t="str">
        <v>OK</v>
      </c>
      <c r="M202">
        <v>1</v>
      </c>
      <c r="O202">
        <f t="shared" si="24"/>
        <v>29.155172413793103</v>
      </c>
      <c r="P202">
        <f t="shared" si="25"/>
        <v>28.183333333333334</v>
      </c>
      <c r="Q202">
        <f t="shared" si="26"/>
        <v>88.349007314524556</v>
      </c>
      <c r="R202">
        <f t="shared" si="27"/>
        <v>1</v>
      </c>
      <c r="S202">
        <f t="shared" si="28"/>
        <v>88.349007314524556</v>
      </c>
      <c r="T202" t="str">
        <f t="shared" si="29"/>
        <v>OK</v>
      </c>
      <c r="U202" t="str">
        <f t="shared" si="30"/>
        <v>OK</v>
      </c>
      <c r="V202" t="str">
        <f t="shared" si="31"/>
        <v>OK</v>
      </c>
    </row>
    <row r="203" spans="1:22" x14ac:dyDescent="0.45">
      <c r="A203" t="str">
        <v>SO-50161</v>
      </c>
      <c r="B203" t="str">
        <v>PL-NTE</v>
      </c>
      <c r="C203" t="str">
        <v>CD-TIJ</v>
      </c>
      <c r="D203" t="str">
        <v>BEB-1020</v>
      </c>
      <c r="E203">
        <v>368</v>
      </c>
      <c r="F203" s="1">
        <v>46174</v>
      </c>
      <c r="G203" t="str">
        <v>In Transit</v>
      </c>
      <c r="H203" t="str">
        <v>OK</v>
      </c>
      <c r="I203">
        <v>16.66</v>
      </c>
      <c r="J203">
        <v>85</v>
      </c>
      <c r="K203">
        <v>333</v>
      </c>
      <c r="L203" t="str">
        <v>OK</v>
      </c>
      <c r="M203">
        <v>3</v>
      </c>
      <c r="O203">
        <f t="shared" si="24"/>
        <v>4.3294117647058821</v>
      </c>
      <c r="P203">
        <f t="shared" si="25"/>
        <v>25.545333333333335</v>
      </c>
      <c r="Q203">
        <f t="shared" si="26"/>
        <v>13.119429590017825</v>
      </c>
      <c r="R203">
        <f t="shared" si="27"/>
        <v>1</v>
      </c>
      <c r="S203">
        <f t="shared" si="28"/>
        <v>25.545333333333335</v>
      </c>
      <c r="T203" t="str">
        <f t="shared" si="29"/>
        <v>CARGA INEFICIENTE</v>
      </c>
      <c r="U203" t="str">
        <f t="shared" si="30"/>
        <v>OK</v>
      </c>
      <c r="V203" t="str">
        <f t="shared" si="31"/>
        <v>OK</v>
      </c>
    </row>
    <row r="204" spans="1:22" x14ac:dyDescent="0.45">
      <c r="A204" t="str">
        <v>SO-50614</v>
      </c>
      <c r="B204" t="str">
        <v>PL-SUR</v>
      </c>
      <c r="C204" t="str">
        <v>CD-GDL</v>
      </c>
      <c r="D204" t="str">
        <v>PRO-1006</v>
      </c>
      <c r="E204">
        <v>1916</v>
      </c>
      <c r="F204" s="1">
        <v>46176</v>
      </c>
      <c r="G204" t="str">
        <v>In Transit</v>
      </c>
      <c r="H204" t="str">
        <v>OK</v>
      </c>
      <c r="I204">
        <v>12.09</v>
      </c>
      <c r="J204">
        <v>80</v>
      </c>
      <c r="K204">
        <v>138</v>
      </c>
      <c r="L204" t="str">
        <v>OK</v>
      </c>
      <c r="M204">
        <v>1</v>
      </c>
      <c r="O204">
        <f t="shared" si="24"/>
        <v>23.95</v>
      </c>
      <c r="P204">
        <f t="shared" si="25"/>
        <v>96.518499999999989</v>
      </c>
      <c r="Q204">
        <f t="shared" si="26"/>
        <v>72.575757575757578</v>
      </c>
      <c r="R204">
        <f t="shared" si="27"/>
        <v>1</v>
      </c>
      <c r="S204">
        <f t="shared" si="28"/>
        <v>96.518499999999989</v>
      </c>
      <c r="T204" t="str">
        <f t="shared" si="29"/>
        <v>OK</v>
      </c>
      <c r="U204" t="str">
        <f t="shared" si="30"/>
        <v>OK</v>
      </c>
      <c r="V204" t="str">
        <f t="shared" si="31"/>
        <v>OK</v>
      </c>
    </row>
    <row r="205" spans="1:22" x14ac:dyDescent="0.45">
      <c r="A205" t="str">
        <v>SO-50892</v>
      </c>
      <c r="B205" t="str">
        <v>PL-CEN</v>
      </c>
      <c r="C205" t="str">
        <v>CD-TOL</v>
      </c>
      <c r="D205" t="str">
        <v>PRO-1001</v>
      </c>
      <c r="E205">
        <v>850</v>
      </c>
      <c r="F205" s="1">
        <v>46176</v>
      </c>
      <c r="G205" t="str">
        <v>In Transit</v>
      </c>
      <c r="H205" t="str">
        <v>OK</v>
      </c>
      <c r="I205">
        <v>9.57</v>
      </c>
      <c r="J205">
        <v>92</v>
      </c>
      <c r="K205">
        <v>122</v>
      </c>
      <c r="L205" t="str">
        <v>OK</v>
      </c>
      <c r="M205">
        <v>1</v>
      </c>
      <c r="O205">
        <f t="shared" si="24"/>
        <v>9.2391304347826093</v>
      </c>
      <c r="P205">
        <f t="shared" si="25"/>
        <v>33.893749999999997</v>
      </c>
      <c r="Q205">
        <f t="shared" si="26"/>
        <v>27.997364953886695</v>
      </c>
      <c r="R205">
        <f t="shared" si="27"/>
        <v>1</v>
      </c>
      <c r="S205">
        <f t="shared" si="28"/>
        <v>33.893749999999997</v>
      </c>
      <c r="T205" t="str">
        <f t="shared" si="29"/>
        <v>CARGA INEFICIENTE</v>
      </c>
      <c r="U205" t="str">
        <f t="shared" si="30"/>
        <v>OK</v>
      </c>
      <c r="V205" t="str">
        <f t="shared" si="31"/>
        <v>OK</v>
      </c>
    </row>
    <row r="206" spans="1:22" x14ac:dyDescent="0.45">
      <c r="A206" t="str">
        <v>SO-50321</v>
      </c>
      <c r="B206" t="str">
        <v>PL-NTE</v>
      </c>
      <c r="C206" t="str">
        <v>CD-TIJ</v>
      </c>
      <c r="D206" t="str">
        <v>BEB-1010</v>
      </c>
      <c r="E206">
        <v>852</v>
      </c>
      <c r="F206" s="1">
        <v>46172</v>
      </c>
      <c r="G206" t="str">
        <v>In Transit</v>
      </c>
      <c r="H206" t="str">
        <v>OK</v>
      </c>
      <c r="I206">
        <v>0</v>
      </c>
      <c r="J206">
        <v>71</v>
      </c>
      <c r="K206">
        <v>192</v>
      </c>
      <c r="L206" t="str">
        <v>OK</v>
      </c>
      <c r="M206">
        <v>5</v>
      </c>
      <c r="O206">
        <f t="shared" si="24"/>
        <v>12</v>
      </c>
      <c r="P206">
        <f t="shared" si="25"/>
        <v>0</v>
      </c>
      <c r="Q206">
        <f t="shared" si="26"/>
        <v>36.363636363636367</v>
      </c>
      <c r="R206">
        <f t="shared" si="27"/>
        <v>1</v>
      </c>
      <c r="S206">
        <f t="shared" si="28"/>
        <v>36.363636363636367</v>
      </c>
      <c r="T206" t="str">
        <f t="shared" si="29"/>
        <v>CARGA INEFICIENTE</v>
      </c>
      <c r="U206" t="str">
        <f t="shared" si="30"/>
        <v>OK</v>
      </c>
      <c r="V206" t="str">
        <f t="shared" si="31"/>
        <v>OK</v>
      </c>
    </row>
    <row r="207" spans="1:22" x14ac:dyDescent="0.45">
      <c r="A207" t="str">
        <v>SO-50037</v>
      </c>
      <c r="B207" t="str">
        <v>PL-NTE</v>
      </c>
      <c r="C207" t="str">
        <v>CD-MTY</v>
      </c>
      <c r="D207" t="str">
        <v>PRO-1002</v>
      </c>
      <c r="E207">
        <v>2372</v>
      </c>
      <c r="F207" s="1">
        <v>46176</v>
      </c>
      <c r="G207" t="str">
        <v>In Transit</v>
      </c>
      <c r="H207" t="str">
        <v>OK</v>
      </c>
      <c r="I207">
        <v>9.6999999999999993</v>
      </c>
      <c r="J207">
        <v>98</v>
      </c>
      <c r="K207">
        <v>115</v>
      </c>
      <c r="L207" t="str">
        <v>OK</v>
      </c>
      <c r="M207">
        <v>1</v>
      </c>
      <c r="O207">
        <f t="shared" si="24"/>
        <v>24.204081632653061</v>
      </c>
      <c r="P207">
        <f t="shared" si="25"/>
        <v>95.868333333333325</v>
      </c>
      <c r="Q207">
        <f t="shared" si="26"/>
        <v>73.345701917130484</v>
      </c>
      <c r="R207">
        <f t="shared" si="27"/>
        <v>1</v>
      </c>
      <c r="S207">
        <f t="shared" si="28"/>
        <v>95.868333333333325</v>
      </c>
      <c r="T207" t="str">
        <f t="shared" si="29"/>
        <v>OK</v>
      </c>
      <c r="U207" t="str">
        <f t="shared" si="30"/>
        <v>OK</v>
      </c>
      <c r="V207" t="str">
        <f t="shared" si="31"/>
        <v>OK</v>
      </c>
    </row>
    <row r="208" spans="1:22" x14ac:dyDescent="0.45">
      <c r="A208" t="str">
        <v>SO-50844</v>
      </c>
      <c r="B208" t="str">
        <v>PL-NTE</v>
      </c>
      <c r="C208" t="str">
        <v>CD-TIJ</v>
      </c>
      <c r="D208" t="str">
        <v>BEB-1003</v>
      </c>
      <c r="E208">
        <v>1107</v>
      </c>
      <c r="F208" s="1">
        <v>46176</v>
      </c>
      <c r="G208" t="str">
        <v>In Transit</v>
      </c>
      <c r="H208" t="str">
        <v>OK</v>
      </c>
      <c r="I208">
        <v>20.5</v>
      </c>
      <c r="J208">
        <v>64</v>
      </c>
      <c r="K208">
        <v>359</v>
      </c>
      <c r="L208" t="str">
        <v>OK</v>
      </c>
      <c r="M208">
        <v>1</v>
      </c>
      <c r="O208">
        <f t="shared" si="24"/>
        <v>17.296875</v>
      </c>
      <c r="P208">
        <f t="shared" si="25"/>
        <v>94.556249999999991</v>
      </c>
      <c r="Q208">
        <f t="shared" si="26"/>
        <v>52.414772727272727</v>
      </c>
      <c r="R208">
        <f t="shared" si="27"/>
        <v>1</v>
      </c>
      <c r="S208">
        <f t="shared" si="28"/>
        <v>94.556249999999991</v>
      </c>
      <c r="T208" t="str">
        <f t="shared" si="29"/>
        <v>OK</v>
      </c>
      <c r="U208" t="str">
        <f t="shared" si="30"/>
        <v>OK</v>
      </c>
      <c r="V208" t="str">
        <f t="shared" si="31"/>
        <v>OK</v>
      </c>
    </row>
    <row r="209" spans="1:22" x14ac:dyDescent="0.45">
      <c r="A209" t="str">
        <v>SO-50346</v>
      </c>
      <c r="B209" t="str">
        <v>PL-SUR</v>
      </c>
      <c r="C209" t="str">
        <v>CD-CAN</v>
      </c>
      <c r="D209" t="str">
        <v>LAC-1002</v>
      </c>
      <c r="E209">
        <v>2449</v>
      </c>
      <c r="F209" s="1">
        <v>46176</v>
      </c>
      <c r="G209" t="str">
        <v>In Transit</v>
      </c>
      <c r="H209" t="str">
        <v>OK</v>
      </c>
      <c r="I209">
        <v>7.71</v>
      </c>
      <c r="J209">
        <v>101</v>
      </c>
      <c r="K209">
        <v>23</v>
      </c>
      <c r="L209" t="str">
        <v>OK</v>
      </c>
      <c r="M209">
        <v>1</v>
      </c>
      <c r="O209">
        <f t="shared" si="24"/>
        <v>24.247524752475247</v>
      </c>
      <c r="P209">
        <f t="shared" si="25"/>
        <v>78.674125000000004</v>
      </c>
      <c r="Q209">
        <f t="shared" si="26"/>
        <v>73.477347734773474</v>
      </c>
      <c r="R209">
        <f t="shared" si="27"/>
        <v>1</v>
      </c>
      <c r="S209">
        <f t="shared" si="28"/>
        <v>78.674125000000004</v>
      </c>
      <c r="T209" t="str">
        <f t="shared" si="29"/>
        <v>OK</v>
      </c>
      <c r="U209" t="str">
        <f t="shared" si="30"/>
        <v>OK</v>
      </c>
      <c r="V209" t="str">
        <f t="shared" si="31"/>
        <v>OK</v>
      </c>
    </row>
    <row r="210" spans="1:22" x14ac:dyDescent="0.45">
      <c r="A210" t="str">
        <v>SO-51066</v>
      </c>
      <c r="B210" t="str">
        <v>PL-CEN</v>
      </c>
      <c r="C210" t="str">
        <v>CD-CDMX</v>
      </c>
      <c r="D210" t="str">
        <v>BOT-1008</v>
      </c>
      <c r="E210">
        <v>2068</v>
      </c>
      <c r="F210" s="1">
        <v>46175</v>
      </c>
      <c r="G210" t="str">
        <v>In Transit</v>
      </c>
      <c r="H210" t="str">
        <v>OK</v>
      </c>
      <c r="I210">
        <v>3.48</v>
      </c>
      <c r="J210">
        <v>66</v>
      </c>
      <c r="K210">
        <v>112</v>
      </c>
      <c r="L210" t="str">
        <v>OK</v>
      </c>
      <c r="M210">
        <v>2</v>
      </c>
      <c r="O210">
        <f t="shared" si="24"/>
        <v>31.333333333333332</v>
      </c>
      <c r="P210">
        <f t="shared" si="25"/>
        <v>29.986000000000001</v>
      </c>
      <c r="Q210">
        <f t="shared" si="26"/>
        <v>94.949494949494948</v>
      </c>
      <c r="R210">
        <f t="shared" si="27"/>
        <v>1</v>
      </c>
      <c r="S210">
        <f t="shared" si="28"/>
        <v>94.949494949494948</v>
      </c>
      <c r="T210" t="str">
        <f t="shared" si="29"/>
        <v>OK</v>
      </c>
      <c r="U210" t="str">
        <f t="shared" si="30"/>
        <v>OK</v>
      </c>
      <c r="V210" t="str">
        <f t="shared" si="31"/>
        <v>OK</v>
      </c>
    </row>
    <row r="211" spans="1:22" x14ac:dyDescent="0.45">
      <c r="A211" t="str">
        <v>SO-50604</v>
      </c>
      <c r="B211" t="str">
        <v>PL-SUR</v>
      </c>
      <c r="C211" t="str">
        <v>CD-GDL</v>
      </c>
      <c r="D211" t="str">
        <v>PRO-1007</v>
      </c>
      <c r="E211">
        <v>1576</v>
      </c>
      <c r="F211" s="1">
        <v>46176</v>
      </c>
      <c r="G211" t="str">
        <v>In Transit</v>
      </c>
      <c r="H211" t="str">
        <v>OK</v>
      </c>
      <c r="I211">
        <v>13.13</v>
      </c>
      <c r="J211">
        <v>82</v>
      </c>
      <c r="K211">
        <v>105</v>
      </c>
      <c r="L211" t="str">
        <v>OK</v>
      </c>
      <c r="M211">
        <v>1</v>
      </c>
      <c r="O211">
        <f t="shared" si="24"/>
        <v>19.219512195121951</v>
      </c>
      <c r="P211">
        <f t="shared" si="25"/>
        <v>86.220333333333329</v>
      </c>
      <c r="Q211">
        <f t="shared" si="26"/>
        <v>58.240946045824096</v>
      </c>
      <c r="R211">
        <f t="shared" si="27"/>
        <v>1</v>
      </c>
      <c r="S211">
        <f t="shared" si="28"/>
        <v>86.220333333333329</v>
      </c>
      <c r="T211" t="str">
        <f t="shared" si="29"/>
        <v>OK</v>
      </c>
      <c r="U211" t="str">
        <f t="shared" si="30"/>
        <v>OK</v>
      </c>
      <c r="V211" t="str">
        <f t="shared" si="31"/>
        <v>OK</v>
      </c>
    </row>
    <row r="212" spans="1:22" x14ac:dyDescent="0.45">
      <c r="A212" t="str">
        <v>SO-50041</v>
      </c>
      <c r="B212" t="str">
        <v>PL-CEN</v>
      </c>
      <c r="C212" t="str">
        <v>CD-CDMX</v>
      </c>
      <c r="D212" t="str">
        <v>BEB-1013</v>
      </c>
      <c r="E212">
        <v>1125</v>
      </c>
      <c r="F212" s="1">
        <v>46176</v>
      </c>
      <c r="G212" t="str">
        <v>In Transit</v>
      </c>
      <c r="H212" t="str">
        <v>OK</v>
      </c>
      <c r="I212">
        <v>17.28</v>
      </c>
      <c r="J212">
        <v>97</v>
      </c>
      <c r="K212">
        <v>271</v>
      </c>
      <c r="L212" t="str">
        <v>OK</v>
      </c>
      <c r="M212">
        <v>1</v>
      </c>
      <c r="O212">
        <f t="shared" si="24"/>
        <v>11.597938144329897</v>
      </c>
      <c r="P212">
        <f t="shared" si="25"/>
        <v>81</v>
      </c>
      <c r="Q212">
        <f t="shared" si="26"/>
        <v>35.145267104029983</v>
      </c>
      <c r="R212">
        <f t="shared" si="27"/>
        <v>1</v>
      </c>
      <c r="S212">
        <f t="shared" si="28"/>
        <v>81</v>
      </c>
      <c r="T212" t="str">
        <f t="shared" si="29"/>
        <v>OK</v>
      </c>
      <c r="U212" t="str">
        <f t="shared" si="30"/>
        <v>OK</v>
      </c>
      <c r="V212" t="str">
        <f t="shared" si="31"/>
        <v>OK</v>
      </c>
    </row>
    <row r="213" spans="1:22" x14ac:dyDescent="0.45">
      <c r="A213" t="str">
        <v>SO-50162</v>
      </c>
      <c r="B213" t="str">
        <v>PL-SUR</v>
      </c>
      <c r="C213" t="str">
        <v>CD-LEO</v>
      </c>
      <c r="D213" t="str">
        <v>PRO-1005</v>
      </c>
      <c r="E213">
        <v>1862</v>
      </c>
      <c r="F213" s="1">
        <v>46176</v>
      </c>
      <c r="G213" t="str">
        <v>In Transit</v>
      </c>
      <c r="H213" t="str">
        <v>OK</v>
      </c>
      <c r="I213">
        <v>11.02</v>
      </c>
      <c r="J213">
        <v>69</v>
      </c>
      <c r="K213">
        <v>86</v>
      </c>
      <c r="L213" t="str">
        <v>OK</v>
      </c>
      <c r="M213">
        <v>1</v>
      </c>
      <c r="O213">
        <f t="shared" si="24"/>
        <v>26.985507246376812</v>
      </c>
      <c r="P213">
        <f t="shared" si="25"/>
        <v>85.496833333333328</v>
      </c>
      <c r="Q213">
        <f t="shared" si="26"/>
        <v>81.774264382960041</v>
      </c>
      <c r="R213">
        <f t="shared" si="27"/>
        <v>1</v>
      </c>
      <c r="S213">
        <f t="shared" si="28"/>
        <v>85.496833333333328</v>
      </c>
      <c r="T213" t="str">
        <f t="shared" si="29"/>
        <v>OK</v>
      </c>
      <c r="U213" t="str">
        <f t="shared" si="30"/>
        <v>OK</v>
      </c>
      <c r="V213" t="str">
        <f t="shared" si="31"/>
        <v>OK</v>
      </c>
    </row>
    <row r="214" spans="1:22" x14ac:dyDescent="0.45">
      <c r="A214" t="str">
        <v>SO-50784</v>
      </c>
      <c r="B214" t="str">
        <v>PL-NTE</v>
      </c>
      <c r="C214" t="str">
        <v>CD-SAL</v>
      </c>
      <c r="D214" t="str">
        <v>BEB-1010</v>
      </c>
      <c r="E214">
        <v>781</v>
      </c>
      <c r="F214" s="1">
        <v>46176</v>
      </c>
      <c r="G214" t="str">
        <v>In Transit</v>
      </c>
      <c r="H214" t="str">
        <v>OK</v>
      </c>
      <c r="I214">
        <v>0</v>
      </c>
      <c r="J214">
        <v>71</v>
      </c>
      <c r="K214">
        <v>192</v>
      </c>
      <c r="L214" t="str">
        <v>OK</v>
      </c>
      <c r="M214">
        <v>1</v>
      </c>
      <c r="O214">
        <f t="shared" si="24"/>
        <v>11</v>
      </c>
      <c r="P214">
        <f t="shared" si="25"/>
        <v>0</v>
      </c>
      <c r="Q214">
        <f t="shared" si="26"/>
        <v>33.333333333333329</v>
      </c>
      <c r="R214">
        <f t="shared" si="27"/>
        <v>1</v>
      </c>
      <c r="S214">
        <f t="shared" si="28"/>
        <v>33.333333333333329</v>
      </c>
      <c r="T214" t="str">
        <f t="shared" si="29"/>
        <v>CARGA INEFICIENTE</v>
      </c>
      <c r="U214" t="str">
        <f t="shared" si="30"/>
        <v>OK</v>
      </c>
      <c r="V214" t="str">
        <f t="shared" si="31"/>
        <v>OK</v>
      </c>
    </row>
    <row r="215" spans="1:22" x14ac:dyDescent="0.45">
      <c r="A215" t="str">
        <v>SO-50507</v>
      </c>
      <c r="B215" t="str">
        <v>PL-NTE</v>
      </c>
      <c r="C215" t="str">
        <v>CD-CHI</v>
      </c>
      <c r="D215" t="str">
        <v>LAC-1014</v>
      </c>
      <c r="E215">
        <v>647</v>
      </c>
      <c r="F215" s="1">
        <v>46174</v>
      </c>
      <c r="G215" t="str">
        <v>In Transit</v>
      </c>
      <c r="H215" t="str">
        <v>OK</v>
      </c>
      <c r="I215">
        <v>8.0500000000000007</v>
      </c>
      <c r="J215">
        <v>147</v>
      </c>
      <c r="K215">
        <v>28</v>
      </c>
      <c r="L215" t="str">
        <v>OK</v>
      </c>
      <c r="M215">
        <v>3</v>
      </c>
      <c r="O215">
        <f t="shared" si="24"/>
        <v>4.4013605442176873</v>
      </c>
      <c r="P215">
        <f t="shared" si="25"/>
        <v>21.701458333333335</v>
      </c>
      <c r="Q215">
        <f t="shared" si="26"/>
        <v>13.337456194599051</v>
      </c>
      <c r="R215">
        <f t="shared" si="27"/>
        <v>1</v>
      </c>
      <c r="S215">
        <f t="shared" si="28"/>
        <v>21.701458333333335</v>
      </c>
      <c r="T215" t="str">
        <f t="shared" si="29"/>
        <v>CARGA INEFICIENTE</v>
      </c>
      <c r="U215" t="str">
        <f t="shared" si="30"/>
        <v>OK</v>
      </c>
      <c r="V215" t="str">
        <f t="shared" si="31"/>
        <v>OK</v>
      </c>
    </row>
    <row r="216" spans="1:22" x14ac:dyDescent="0.45">
      <c r="A216" t="str">
        <v>SO-50824</v>
      </c>
      <c r="B216" t="str">
        <v>PL-SUR</v>
      </c>
      <c r="C216" t="str">
        <v>CD-MER</v>
      </c>
      <c r="D216" t="str">
        <v>PRO-1008</v>
      </c>
      <c r="E216">
        <v>474</v>
      </c>
      <c r="F216" s="1">
        <v>46174</v>
      </c>
      <c r="G216" t="str">
        <v>In Transit</v>
      </c>
      <c r="H216" t="str">
        <v>OK</v>
      </c>
      <c r="I216">
        <v>11.98</v>
      </c>
      <c r="J216">
        <v>86</v>
      </c>
      <c r="K216">
        <v>123</v>
      </c>
      <c r="L216" t="str">
        <v>OK</v>
      </c>
      <c r="M216">
        <v>3</v>
      </c>
      <c r="O216">
        <f t="shared" si="24"/>
        <v>5.5116279069767442</v>
      </c>
      <c r="P216">
        <f t="shared" si="25"/>
        <v>23.660500000000003</v>
      </c>
      <c r="Q216">
        <f t="shared" si="26"/>
        <v>16.701902748414376</v>
      </c>
      <c r="R216">
        <f t="shared" si="27"/>
        <v>1</v>
      </c>
      <c r="S216">
        <f t="shared" si="28"/>
        <v>23.660500000000003</v>
      </c>
      <c r="T216" t="str">
        <f t="shared" si="29"/>
        <v>CARGA INEFICIENTE</v>
      </c>
      <c r="U216" t="str">
        <f t="shared" si="30"/>
        <v>OK</v>
      </c>
      <c r="V216" t="str">
        <f t="shared" si="31"/>
        <v>OK</v>
      </c>
    </row>
    <row r="217" spans="1:22" x14ac:dyDescent="0.45">
      <c r="A217" t="str">
        <v>SO-50294</v>
      </c>
      <c r="B217" t="str">
        <v>PL-SUR</v>
      </c>
      <c r="C217" t="str">
        <v>CD-MOR</v>
      </c>
      <c r="D217" t="str">
        <v>ABA-1005</v>
      </c>
      <c r="E217">
        <v>690</v>
      </c>
      <c r="F217" s="1">
        <v>46175</v>
      </c>
      <c r="G217" t="str">
        <v>In Transit</v>
      </c>
      <c r="H217" t="str">
        <v>OK</v>
      </c>
      <c r="I217">
        <v>13.31</v>
      </c>
      <c r="J217">
        <v>89</v>
      </c>
      <c r="K217">
        <v>313</v>
      </c>
      <c r="L217" t="str">
        <v>OK</v>
      </c>
      <c r="M217">
        <v>2</v>
      </c>
      <c r="O217">
        <f t="shared" si="24"/>
        <v>7.7528089887640448</v>
      </c>
      <c r="P217">
        <f t="shared" si="25"/>
        <v>38.266249999999999</v>
      </c>
      <c r="Q217">
        <f t="shared" si="26"/>
        <v>23.493360572012257</v>
      </c>
      <c r="R217">
        <f t="shared" si="27"/>
        <v>1</v>
      </c>
      <c r="S217">
        <f t="shared" si="28"/>
        <v>38.266249999999999</v>
      </c>
      <c r="T217" t="str">
        <f t="shared" si="29"/>
        <v>CARGA INEFICIENTE</v>
      </c>
      <c r="U217" t="str">
        <f t="shared" si="30"/>
        <v>OK</v>
      </c>
      <c r="V217" t="str">
        <f t="shared" si="31"/>
        <v>OK</v>
      </c>
    </row>
    <row r="218" spans="1:22" x14ac:dyDescent="0.45">
      <c r="A218" t="str">
        <v>SO-50985</v>
      </c>
      <c r="B218" t="str">
        <v>PL-SUR</v>
      </c>
      <c r="C218" t="str">
        <v>CD-MER</v>
      </c>
      <c r="D218" t="str">
        <v>BEB-1019</v>
      </c>
      <c r="E218">
        <v>636</v>
      </c>
      <c r="F218" s="1">
        <v>46175</v>
      </c>
      <c r="G218" t="str">
        <v>In Transit</v>
      </c>
      <c r="H218" t="str">
        <v>OK</v>
      </c>
      <c r="I218">
        <v>14.35</v>
      </c>
      <c r="J218">
        <v>70</v>
      </c>
      <c r="K218">
        <v>240</v>
      </c>
      <c r="L218" t="str">
        <v>OK</v>
      </c>
      <c r="M218">
        <v>2</v>
      </c>
      <c r="O218">
        <f t="shared" si="24"/>
        <v>9.0857142857142854</v>
      </c>
      <c r="P218">
        <f t="shared" si="25"/>
        <v>38.027500000000003</v>
      </c>
      <c r="Q218">
        <f t="shared" si="26"/>
        <v>27.532467532467532</v>
      </c>
      <c r="R218">
        <f t="shared" si="27"/>
        <v>1</v>
      </c>
      <c r="S218">
        <f t="shared" si="28"/>
        <v>38.027500000000003</v>
      </c>
      <c r="T218" t="str">
        <f t="shared" si="29"/>
        <v>CARGA INEFICIENTE</v>
      </c>
      <c r="U218" t="str">
        <f t="shared" si="30"/>
        <v>OK</v>
      </c>
      <c r="V218" t="str">
        <f t="shared" si="31"/>
        <v>OK</v>
      </c>
    </row>
    <row r="219" spans="1:22" x14ac:dyDescent="0.45">
      <c r="A219" t="str">
        <v>SO-50647</v>
      </c>
      <c r="B219" t="str">
        <v>PL-SUR</v>
      </c>
      <c r="C219" t="str">
        <v>CD-MER</v>
      </c>
      <c r="D219" t="str">
        <v>LAC-1015</v>
      </c>
      <c r="E219">
        <v>2046</v>
      </c>
      <c r="F219" s="1">
        <v>46175</v>
      </c>
      <c r="G219" t="str">
        <v>In Transit</v>
      </c>
      <c r="H219" t="str">
        <v>OK</v>
      </c>
      <c r="I219">
        <v>11.26</v>
      </c>
      <c r="J219">
        <v>129</v>
      </c>
      <c r="K219">
        <v>24</v>
      </c>
      <c r="L219" t="str">
        <v>OK</v>
      </c>
      <c r="M219">
        <v>2</v>
      </c>
      <c r="O219">
        <f t="shared" si="24"/>
        <v>15.86046511627907</v>
      </c>
      <c r="P219">
        <f t="shared" si="25"/>
        <v>95.991500000000002</v>
      </c>
      <c r="Q219">
        <f t="shared" si="26"/>
        <v>48.062015503875969</v>
      </c>
      <c r="R219">
        <f t="shared" si="27"/>
        <v>1</v>
      </c>
      <c r="S219">
        <f t="shared" si="28"/>
        <v>95.991500000000002</v>
      </c>
      <c r="T219" t="str">
        <f t="shared" si="29"/>
        <v>OK</v>
      </c>
      <c r="U219" t="str">
        <f t="shared" si="30"/>
        <v>OK</v>
      </c>
      <c r="V219" t="str">
        <f t="shared" si="31"/>
        <v>OK</v>
      </c>
    </row>
    <row r="220" spans="1:22" x14ac:dyDescent="0.45">
      <c r="A220" t="str">
        <v>SO-50861</v>
      </c>
      <c r="B220" t="str">
        <v>PL-CEN</v>
      </c>
      <c r="C220" t="str">
        <v>CD-VER</v>
      </c>
      <c r="D220" t="str">
        <v>ABA-1012</v>
      </c>
      <c r="E220">
        <v>1301</v>
      </c>
      <c r="F220" s="1">
        <v>46176</v>
      </c>
      <c r="G220" t="str">
        <v>In Transit</v>
      </c>
      <c r="H220" t="str">
        <v>OK</v>
      </c>
      <c r="I220">
        <v>15.14</v>
      </c>
      <c r="J220">
        <v>117</v>
      </c>
      <c r="K220">
        <v>484</v>
      </c>
      <c r="L220" t="str">
        <v>OK</v>
      </c>
      <c r="M220">
        <v>1</v>
      </c>
      <c r="O220">
        <f t="shared" si="24"/>
        <v>11.119658119658119</v>
      </c>
      <c r="P220">
        <f t="shared" si="25"/>
        <v>82.071416666666664</v>
      </c>
      <c r="Q220">
        <f t="shared" si="26"/>
        <v>33.695933695933697</v>
      </c>
      <c r="R220">
        <f t="shared" si="27"/>
        <v>1</v>
      </c>
      <c r="S220">
        <f t="shared" si="28"/>
        <v>82.071416666666664</v>
      </c>
      <c r="T220" t="str">
        <f t="shared" si="29"/>
        <v>OK</v>
      </c>
      <c r="U220" t="str">
        <f t="shared" si="30"/>
        <v>OK</v>
      </c>
      <c r="V220" t="str">
        <f t="shared" si="31"/>
        <v>OK</v>
      </c>
    </row>
    <row r="221" spans="1:22" x14ac:dyDescent="0.45">
      <c r="A221" t="str">
        <v>SO-50090</v>
      </c>
      <c r="B221" t="str">
        <v>PL-SUR</v>
      </c>
      <c r="C221" t="str">
        <v>CD-MOR</v>
      </c>
      <c r="D221" t="str">
        <v>BOT-1018</v>
      </c>
      <c r="E221">
        <v>2110</v>
      </c>
      <c r="F221" s="1">
        <v>46176</v>
      </c>
      <c r="G221" t="str">
        <v>In Transit</v>
      </c>
      <c r="H221" t="str">
        <v>OK</v>
      </c>
      <c r="I221">
        <v>6.23</v>
      </c>
      <c r="J221">
        <v>78</v>
      </c>
      <c r="K221">
        <v>99</v>
      </c>
      <c r="L221" t="str">
        <v>OK</v>
      </c>
      <c r="M221">
        <v>1</v>
      </c>
      <c r="O221">
        <f t="shared" si="24"/>
        <v>27.051282051282051</v>
      </c>
      <c r="P221">
        <f t="shared" si="25"/>
        <v>54.772083333333335</v>
      </c>
      <c r="Q221">
        <f t="shared" si="26"/>
        <v>81.973581973581972</v>
      </c>
      <c r="R221">
        <f t="shared" si="27"/>
        <v>1</v>
      </c>
      <c r="S221">
        <f t="shared" si="28"/>
        <v>81.973581973581972</v>
      </c>
      <c r="T221" t="str">
        <f t="shared" si="29"/>
        <v>OK</v>
      </c>
      <c r="U221" t="str">
        <f t="shared" si="30"/>
        <v>OK</v>
      </c>
      <c r="V221" t="str">
        <f t="shared" si="31"/>
        <v>OK</v>
      </c>
    </row>
    <row r="222" spans="1:22" x14ac:dyDescent="0.45">
      <c r="A222" t="str">
        <v>SO-50548</v>
      </c>
      <c r="B222" t="str">
        <v>PL-CEN</v>
      </c>
      <c r="C222" t="str">
        <v>CD-QRO</v>
      </c>
      <c r="D222" t="str">
        <v>BEB-1015</v>
      </c>
      <c r="E222">
        <v>1074</v>
      </c>
      <c r="F222" s="1">
        <v>46176</v>
      </c>
      <c r="G222" t="str">
        <v>Delivered</v>
      </c>
      <c r="H222" t="str">
        <v>OK</v>
      </c>
      <c r="I222">
        <v>19.95</v>
      </c>
      <c r="J222">
        <v>78</v>
      </c>
      <c r="K222">
        <v>276</v>
      </c>
      <c r="L222" t="str">
        <v>OK</v>
      </c>
      <c r="M222">
        <v>1</v>
      </c>
      <c r="O222">
        <f t="shared" si="24"/>
        <v>13.76923076923077</v>
      </c>
      <c r="P222">
        <f t="shared" si="25"/>
        <v>89.276250000000005</v>
      </c>
      <c r="Q222">
        <f t="shared" si="26"/>
        <v>41.724941724941729</v>
      </c>
      <c r="R222">
        <f t="shared" si="27"/>
        <v>1</v>
      </c>
      <c r="S222">
        <f t="shared" si="28"/>
        <v>89.276250000000005</v>
      </c>
      <c r="T222" t="str">
        <f t="shared" si="29"/>
        <v>OK</v>
      </c>
      <c r="U222" t="str">
        <f t="shared" si="30"/>
        <v>OK</v>
      </c>
      <c r="V222" t="str">
        <f t="shared" si="31"/>
        <v>OK</v>
      </c>
    </row>
    <row r="223" spans="1:22" x14ac:dyDescent="0.45">
      <c r="A223" t="str">
        <v>SO-50181</v>
      </c>
      <c r="B223" t="str">
        <v>PL-NTE</v>
      </c>
      <c r="C223" t="str">
        <v>CD-TIJ</v>
      </c>
      <c r="D223" t="str">
        <v>BEB-1004</v>
      </c>
      <c r="E223">
        <v>873</v>
      </c>
      <c r="F223" s="1">
        <v>46173</v>
      </c>
      <c r="G223" t="str">
        <v>In Transit</v>
      </c>
      <c r="H223" t="str">
        <v>OK</v>
      </c>
      <c r="I223">
        <v>21.99</v>
      </c>
      <c r="J223">
        <v>67</v>
      </c>
      <c r="K223">
        <v>213</v>
      </c>
      <c r="L223" t="str">
        <v>OK</v>
      </c>
      <c r="M223">
        <v>4</v>
      </c>
      <c r="O223">
        <f t="shared" si="24"/>
        <v>13.029850746268657</v>
      </c>
      <c r="P223">
        <f t="shared" si="25"/>
        <v>79.988624999999999</v>
      </c>
      <c r="Q223">
        <f t="shared" si="26"/>
        <v>39.484396200814118</v>
      </c>
      <c r="R223">
        <f t="shared" si="27"/>
        <v>1</v>
      </c>
      <c r="S223">
        <f t="shared" si="28"/>
        <v>79.988624999999999</v>
      </c>
      <c r="T223" t="str">
        <f t="shared" si="29"/>
        <v>OK</v>
      </c>
      <c r="U223" t="str">
        <f t="shared" si="30"/>
        <v>OK</v>
      </c>
      <c r="V223" t="str">
        <f t="shared" si="31"/>
        <v>OK</v>
      </c>
    </row>
    <row r="224" spans="1:22" x14ac:dyDescent="0.45">
      <c r="A224" t="str">
        <v>SO-50921</v>
      </c>
      <c r="B224" t="str">
        <v>PL-NTE</v>
      </c>
      <c r="C224" t="str">
        <v>CD-HER</v>
      </c>
      <c r="D224" t="str">
        <v>PRO-1015</v>
      </c>
      <c r="E224">
        <v>2975</v>
      </c>
      <c r="F224" s="1">
        <v>46175</v>
      </c>
      <c r="G224" t="str">
        <v>In Transit</v>
      </c>
      <c r="H224" t="str">
        <v>OK</v>
      </c>
      <c r="I224">
        <v>6.16</v>
      </c>
      <c r="J224">
        <v>104</v>
      </c>
      <c r="K224">
        <v>67</v>
      </c>
      <c r="L224" t="str">
        <v>OK</v>
      </c>
      <c r="M224">
        <v>2</v>
      </c>
      <c r="O224">
        <f t="shared" si="24"/>
        <v>28.60576923076923</v>
      </c>
      <c r="P224">
        <f t="shared" si="25"/>
        <v>76.358333333333334</v>
      </c>
      <c r="Q224">
        <f t="shared" si="26"/>
        <v>86.684149184149177</v>
      </c>
      <c r="R224">
        <f t="shared" si="27"/>
        <v>1</v>
      </c>
      <c r="S224">
        <f t="shared" si="28"/>
        <v>86.684149184149177</v>
      </c>
      <c r="T224" t="str">
        <f t="shared" si="29"/>
        <v>OK</v>
      </c>
      <c r="U224" t="str">
        <f t="shared" si="30"/>
        <v>OK</v>
      </c>
      <c r="V224" t="str">
        <f t="shared" si="31"/>
        <v>OK</v>
      </c>
    </row>
    <row r="225" spans="1:22" x14ac:dyDescent="0.45">
      <c r="A225" t="str">
        <v>SO-50243</v>
      </c>
      <c r="B225" t="str">
        <v>PL-SUR</v>
      </c>
      <c r="C225" t="str">
        <v>CD-CAN</v>
      </c>
      <c r="D225" t="str">
        <v>PRO-1012</v>
      </c>
      <c r="E225">
        <v>3142</v>
      </c>
      <c r="F225" s="1">
        <v>46175</v>
      </c>
      <c r="G225" t="str">
        <v>In Transit</v>
      </c>
      <c r="H225" t="str">
        <v>OK</v>
      </c>
      <c r="I225">
        <v>6.87</v>
      </c>
      <c r="J225">
        <v>101</v>
      </c>
      <c r="K225">
        <v>62</v>
      </c>
      <c r="L225" t="str">
        <v>OK</v>
      </c>
      <c r="M225">
        <v>2</v>
      </c>
      <c r="O225">
        <f t="shared" si="24"/>
        <v>31.10891089108911</v>
      </c>
      <c r="P225">
        <f t="shared" si="25"/>
        <v>89.939750000000004</v>
      </c>
      <c r="Q225">
        <f t="shared" si="26"/>
        <v>94.269426942694267</v>
      </c>
      <c r="R225">
        <f t="shared" si="27"/>
        <v>1</v>
      </c>
      <c r="S225">
        <f t="shared" si="28"/>
        <v>94.269426942694267</v>
      </c>
      <c r="T225" t="str">
        <f t="shared" si="29"/>
        <v>OK</v>
      </c>
      <c r="U225" t="str">
        <f t="shared" si="30"/>
        <v>OK</v>
      </c>
      <c r="V225" t="str">
        <f t="shared" si="31"/>
        <v>OK</v>
      </c>
    </row>
    <row r="226" spans="1:22" x14ac:dyDescent="0.45">
      <c r="A226" t="str">
        <v>SO-50286</v>
      </c>
      <c r="B226" t="str">
        <v>PL-CEN</v>
      </c>
      <c r="C226" t="str">
        <v>CD-VER</v>
      </c>
      <c r="D226" t="str">
        <v>PRO-1005</v>
      </c>
      <c r="E226">
        <v>2034</v>
      </c>
      <c r="F226" s="1">
        <v>46174</v>
      </c>
      <c r="G226" t="str">
        <v>In Transit</v>
      </c>
      <c r="H226" t="str">
        <v>OK</v>
      </c>
      <c r="I226">
        <v>11.02</v>
      </c>
      <c r="J226">
        <v>69</v>
      </c>
      <c r="K226">
        <v>86</v>
      </c>
      <c r="L226" t="str">
        <v>OK</v>
      </c>
      <c r="M226">
        <v>3</v>
      </c>
      <c r="O226">
        <f t="shared" si="24"/>
        <v>29.478260869565219</v>
      </c>
      <c r="P226">
        <f t="shared" si="25"/>
        <v>93.394500000000008</v>
      </c>
      <c r="Q226">
        <f t="shared" si="26"/>
        <v>89.328063241106719</v>
      </c>
      <c r="R226">
        <f t="shared" si="27"/>
        <v>1</v>
      </c>
      <c r="S226">
        <f t="shared" si="28"/>
        <v>93.394500000000008</v>
      </c>
      <c r="T226" t="str">
        <f t="shared" si="29"/>
        <v>OK</v>
      </c>
      <c r="U226" t="str">
        <f t="shared" si="30"/>
        <v>OK</v>
      </c>
      <c r="V226" t="str">
        <f t="shared" si="31"/>
        <v>OK</v>
      </c>
    </row>
    <row r="227" spans="1:22" x14ac:dyDescent="0.45">
      <c r="A227" t="str">
        <v>SO-50685</v>
      </c>
      <c r="B227" t="str">
        <v>PL-NTE</v>
      </c>
      <c r="C227" t="str">
        <v>CD-TIJ</v>
      </c>
      <c r="D227" t="str">
        <v>LAC-1015</v>
      </c>
      <c r="E227">
        <v>1738</v>
      </c>
      <c r="F227" s="1">
        <v>46174</v>
      </c>
      <c r="G227" t="str">
        <v>In Transit</v>
      </c>
      <c r="H227" t="str">
        <v>OK</v>
      </c>
      <c r="I227">
        <v>11.26</v>
      </c>
      <c r="J227">
        <v>129</v>
      </c>
      <c r="K227">
        <v>24</v>
      </c>
      <c r="L227" t="str">
        <v>OK</v>
      </c>
      <c r="M227">
        <v>3</v>
      </c>
      <c r="O227">
        <f t="shared" si="24"/>
        <v>13.472868217054264</v>
      </c>
      <c r="P227">
        <f t="shared" si="25"/>
        <v>81.541166666666669</v>
      </c>
      <c r="Q227">
        <f t="shared" si="26"/>
        <v>40.826873385012924</v>
      </c>
      <c r="R227">
        <f t="shared" si="27"/>
        <v>1</v>
      </c>
      <c r="S227">
        <f t="shared" si="28"/>
        <v>81.541166666666669</v>
      </c>
      <c r="T227" t="str">
        <f t="shared" si="29"/>
        <v>OK</v>
      </c>
      <c r="U227" t="str">
        <f t="shared" si="30"/>
        <v>OK</v>
      </c>
      <c r="V227" t="str">
        <f t="shared" si="31"/>
        <v>OK</v>
      </c>
    </row>
    <row r="228" spans="1:22" x14ac:dyDescent="0.45">
      <c r="A228" t="str">
        <v>SO-50598</v>
      </c>
      <c r="B228" t="str">
        <v>PL-SUR</v>
      </c>
      <c r="C228" t="str">
        <v>CD-MOR</v>
      </c>
      <c r="D228" t="str">
        <v>LAC-1004</v>
      </c>
      <c r="E228">
        <v>1644</v>
      </c>
      <c r="F228" s="1">
        <v>46176</v>
      </c>
      <c r="G228" t="str">
        <v>In Transit</v>
      </c>
      <c r="H228" t="str">
        <v>OK</v>
      </c>
      <c r="I228">
        <v>11.45</v>
      </c>
      <c r="J228">
        <v>93</v>
      </c>
      <c r="K228">
        <v>16</v>
      </c>
      <c r="L228" t="str">
        <v>OK</v>
      </c>
      <c r="M228">
        <v>1</v>
      </c>
      <c r="O228">
        <f t="shared" si="24"/>
        <v>17.677419354838708</v>
      </c>
      <c r="P228">
        <f t="shared" si="25"/>
        <v>78.43249999999999</v>
      </c>
      <c r="Q228">
        <f t="shared" si="26"/>
        <v>53.567937438905176</v>
      </c>
      <c r="R228">
        <f t="shared" si="27"/>
        <v>1</v>
      </c>
      <c r="S228">
        <f t="shared" si="28"/>
        <v>78.43249999999999</v>
      </c>
      <c r="T228" t="str">
        <f t="shared" si="29"/>
        <v>OK</v>
      </c>
      <c r="U228" t="str">
        <f t="shared" si="30"/>
        <v>OK</v>
      </c>
      <c r="V228" t="str">
        <f t="shared" si="31"/>
        <v>OK</v>
      </c>
    </row>
    <row r="229" spans="1:22" x14ac:dyDescent="0.45">
      <c r="A229" t="str">
        <v>SO-50459</v>
      </c>
      <c r="B229" t="str">
        <v>PL-SUR</v>
      </c>
      <c r="C229" t="str">
        <v>CD-MOR</v>
      </c>
      <c r="D229" t="str">
        <v>BEB-1012</v>
      </c>
      <c r="E229">
        <v>1380</v>
      </c>
      <c r="F229" s="1">
        <v>46176</v>
      </c>
      <c r="G229" t="str">
        <v>In Transit</v>
      </c>
      <c r="H229" t="str">
        <v>OK</v>
      </c>
      <c r="I229">
        <v>15.66</v>
      </c>
      <c r="J229">
        <v>72</v>
      </c>
      <c r="K229">
        <v>306</v>
      </c>
      <c r="L229" t="str">
        <v>OK</v>
      </c>
      <c r="M229">
        <v>1</v>
      </c>
      <c r="O229">
        <f t="shared" si="24"/>
        <v>19.166666666666668</v>
      </c>
      <c r="P229">
        <f t="shared" si="25"/>
        <v>90.045000000000002</v>
      </c>
      <c r="Q229">
        <f t="shared" si="26"/>
        <v>58.08080808080809</v>
      </c>
      <c r="R229">
        <f t="shared" si="27"/>
        <v>1</v>
      </c>
      <c r="S229">
        <f t="shared" si="28"/>
        <v>90.045000000000002</v>
      </c>
      <c r="T229" t="str">
        <f t="shared" si="29"/>
        <v>OK</v>
      </c>
      <c r="U229" t="str">
        <f t="shared" si="30"/>
        <v>OK</v>
      </c>
      <c r="V229" t="str">
        <f t="shared" si="31"/>
        <v>OK</v>
      </c>
    </row>
    <row r="230" spans="1:22" x14ac:dyDescent="0.45">
      <c r="A230" t="str">
        <v>SO-51050</v>
      </c>
      <c r="B230" t="str">
        <v>PL-CEN</v>
      </c>
      <c r="C230" t="str">
        <v>CD-PUE</v>
      </c>
      <c r="D230" t="str">
        <v>BEB-1000</v>
      </c>
      <c r="E230">
        <v>427</v>
      </c>
      <c r="F230" s="1">
        <v>46176</v>
      </c>
      <c r="G230" t="str">
        <v>In Transit</v>
      </c>
      <c r="H230" t="str">
        <v>OK</v>
      </c>
      <c r="I230">
        <v>16.489999999999998</v>
      </c>
      <c r="J230">
        <v>102</v>
      </c>
      <c r="K230">
        <v>315</v>
      </c>
      <c r="L230" t="str">
        <v>OK</v>
      </c>
      <c r="M230">
        <v>1</v>
      </c>
      <c r="O230">
        <f t="shared" si="24"/>
        <v>4.1862745098039218</v>
      </c>
      <c r="P230">
        <f t="shared" si="25"/>
        <v>29.338458333333335</v>
      </c>
      <c r="Q230">
        <f t="shared" si="26"/>
        <v>12.685680332739157</v>
      </c>
      <c r="R230">
        <f t="shared" si="27"/>
        <v>1</v>
      </c>
      <c r="S230">
        <f t="shared" si="28"/>
        <v>29.338458333333335</v>
      </c>
      <c r="T230" t="str">
        <f t="shared" si="29"/>
        <v>CARGA INEFICIENTE</v>
      </c>
      <c r="U230" t="str">
        <f t="shared" si="30"/>
        <v>OK</v>
      </c>
      <c r="V230" t="str">
        <f t="shared" si="31"/>
        <v>OK</v>
      </c>
    </row>
    <row r="231" spans="1:22" x14ac:dyDescent="0.45">
      <c r="A231" t="str">
        <v>SO-50364</v>
      </c>
      <c r="B231" t="str">
        <v>PL-NTE</v>
      </c>
      <c r="C231" t="str">
        <v>CD-SAL</v>
      </c>
      <c r="D231" t="str">
        <v>LAC-1009</v>
      </c>
      <c r="E231">
        <v>1092</v>
      </c>
      <c r="F231" s="1">
        <v>46176</v>
      </c>
      <c r="G231" t="str">
        <v>In Transit</v>
      </c>
      <c r="H231" t="str">
        <v>OK</v>
      </c>
      <c r="I231">
        <v>11.01</v>
      </c>
      <c r="J231">
        <v>98</v>
      </c>
      <c r="K231">
        <v>16</v>
      </c>
      <c r="L231" t="str">
        <v>OK</v>
      </c>
      <c r="M231">
        <v>1</v>
      </c>
      <c r="O231">
        <f t="shared" si="24"/>
        <v>11.142857142857142</v>
      </c>
      <c r="P231">
        <f t="shared" si="25"/>
        <v>50.095500000000001</v>
      </c>
      <c r="Q231">
        <f t="shared" si="26"/>
        <v>33.766233766233768</v>
      </c>
      <c r="R231">
        <f t="shared" si="27"/>
        <v>1</v>
      </c>
      <c r="S231">
        <f t="shared" si="28"/>
        <v>50.095500000000001</v>
      </c>
      <c r="T231" t="str">
        <f t="shared" si="29"/>
        <v>CARGA INEFICIENTE</v>
      </c>
      <c r="U231" t="str">
        <f t="shared" si="30"/>
        <v>OK</v>
      </c>
      <c r="V231" t="str">
        <f t="shared" si="31"/>
        <v>OK</v>
      </c>
    </row>
    <row r="232" spans="1:22" x14ac:dyDescent="0.45">
      <c r="A232" t="str">
        <v>SO-50050</v>
      </c>
      <c r="B232" t="str">
        <v>PL-SUR</v>
      </c>
      <c r="C232" t="str">
        <v>CD-GDL</v>
      </c>
      <c r="D232" t="str">
        <v>ABA-1005</v>
      </c>
      <c r="E232">
        <v>1736</v>
      </c>
      <c r="F232" s="1">
        <v>46176</v>
      </c>
      <c r="G232" t="str">
        <v>In Transit</v>
      </c>
      <c r="H232" t="str">
        <v>OK</v>
      </c>
      <c r="I232">
        <v>13.31</v>
      </c>
      <c r="J232">
        <v>89</v>
      </c>
      <c r="K232">
        <v>313</v>
      </c>
      <c r="L232" t="str">
        <v>OK</v>
      </c>
      <c r="M232">
        <v>1</v>
      </c>
      <c r="O232">
        <f t="shared" si="24"/>
        <v>19.50561797752809</v>
      </c>
      <c r="P232">
        <f t="shared" si="25"/>
        <v>96.275666666666666</v>
      </c>
      <c r="Q232">
        <f t="shared" si="26"/>
        <v>59.107933265236632</v>
      </c>
      <c r="R232">
        <f t="shared" si="27"/>
        <v>1</v>
      </c>
      <c r="S232">
        <f t="shared" si="28"/>
        <v>96.275666666666666</v>
      </c>
      <c r="T232" t="str">
        <f t="shared" si="29"/>
        <v>OK</v>
      </c>
      <c r="U232" t="str">
        <f t="shared" si="30"/>
        <v>OK</v>
      </c>
      <c r="V232" t="str">
        <f t="shared" si="31"/>
        <v>OK</v>
      </c>
    </row>
    <row r="233" spans="1:22" x14ac:dyDescent="0.45">
      <c r="A233" t="str">
        <v>SO-50226</v>
      </c>
      <c r="B233" t="str">
        <v>PL-CEN</v>
      </c>
      <c r="C233" t="str">
        <v>CD-CDMX</v>
      </c>
      <c r="D233" t="str">
        <v>BEB-1011</v>
      </c>
      <c r="E233">
        <v>886</v>
      </c>
      <c r="F233" s="1">
        <v>46176</v>
      </c>
      <c r="G233" t="str">
        <v>Delivered</v>
      </c>
      <c r="H233" t="str">
        <v>OK</v>
      </c>
      <c r="I233">
        <v>23.39</v>
      </c>
      <c r="J233">
        <v>79</v>
      </c>
      <c r="K233">
        <v>329</v>
      </c>
      <c r="L233" t="str">
        <v>OK</v>
      </c>
      <c r="M233">
        <v>1</v>
      </c>
      <c r="O233">
        <f t="shared" si="24"/>
        <v>11.215189873417721</v>
      </c>
      <c r="P233">
        <f t="shared" si="25"/>
        <v>86.348083333333335</v>
      </c>
      <c r="Q233">
        <f t="shared" si="26"/>
        <v>33.985423858841578</v>
      </c>
      <c r="R233">
        <f t="shared" si="27"/>
        <v>1</v>
      </c>
      <c r="S233">
        <f t="shared" si="28"/>
        <v>86.348083333333335</v>
      </c>
      <c r="T233" t="str">
        <f t="shared" si="29"/>
        <v>OK</v>
      </c>
      <c r="U233" t="str">
        <f t="shared" si="30"/>
        <v>OK</v>
      </c>
      <c r="V233" t="str">
        <f t="shared" si="31"/>
        <v>OK</v>
      </c>
    </row>
    <row r="234" spans="1:22" x14ac:dyDescent="0.45">
      <c r="A234" t="str">
        <v>SO-51101</v>
      </c>
      <c r="B234" t="str">
        <v>PL-SUR</v>
      </c>
      <c r="C234" t="str">
        <v>CD-LEO</v>
      </c>
      <c r="D234" t="str">
        <v>BOT-1012</v>
      </c>
      <c r="E234">
        <v>1752</v>
      </c>
      <c r="F234" s="1">
        <v>46170</v>
      </c>
      <c r="G234" t="str">
        <v>In Transit</v>
      </c>
      <c r="H234" t="str">
        <v>OK</v>
      </c>
      <c r="I234">
        <v>4.26</v>
      </c>
      <c r="J234">
        <v>68</v>
      </c>
      <c r="K234">
        <v>117</v>
      </c>
      <c r="L234" t="str">
        <v>OK</v>
      </c>
      <c r="M234">
        <v>7</v>
      </c>
      <c r="O234">
        <f t="shared" si="24"/>
        <v>25.764705882352942</v>
      </c>
      <c r="P234">
        <f t="shared" si="25"/>
        <v>31.097999999999999</v>
      </c>
      <c r="Q234">
        <f t="shared" si="26"/>
        <v>78.074866310160431</v>
      </c>
      <c r="R234">
        <f t="shared" si="27"/>
        <v>1</v>
      </c>
      <c r="S234">
        <f t="shared" si="28"/>
        <v>78.074866310160431</v>
      </c>
      <c r="T234" t="str">
        <f t="shared" si="29"/>
        <v>OK</v>
      </c>
      <c r="U234" t="str">
        <f t="shared" si="30"/>
        <v>OK</v>
      </c>
      <c r="V234" t="str">
        <f t="shared" si="31"/>
        <v>FANTASMA</v>
      </c>
    </row>
    <row r="235" spans="1:22" x14ac:dyDescent="0.45">
      <c r="A235" t="str">
        <v>SO-50311</v>
      </c>
      <c r="B235" t="str">
        <v>PL-CEN</v>
      </c>
      <c r="C235" t="str">
        <v>CD-PUE</v>
      </c>
      <c r="D235" t="str">
        <v>BEB-1017</v>
      </c>
      <c r="E235">
        <v>984</v>
      </c>
      <c r="F235" s="1">
        <v>46176</v>
      </c>
      <c r="G235" t="str">
        <v>In Transit</v>
      </c>
      <c r="H235" t="str">
        <v>OK</v>
      </c>
      <c r="I235">
        <v>21.3</v>
      </c>
      <c r="J235">
        <v>108</v>
      </c>
      <c r="K235">
        <v>345</v>
      </c>
      <c r="L235" t="str">
        <v>OK</v>
      </c>
      <c r="M235">
        <v>1</v>
      </c>
      <c r="O235">
        <f t="shared" si="24"/>
        <v>9.1111111111111107</v>
      </c>
      <c r="P235">
        <f t="shared" si="25"/>
        <v>87.330000000000013</v>
      </c>
      <c r="Q235">
        <f t="shared" si="26"/>
        <v>27.609427609427605</v>
      </c>
      <c r="R235">
        <f t="shared" si="27"/>
        <v>1</v>
      </c>
      <c r="S235">
        <f t="shared" si="28"/>
        <v>87.330000000000013</v>
      </c>
      <c r="T235" t="str">
        <f t="shared" si="29"/>
        <v>OK</v>
      </c>
      <c r="U235" t="str">
        <f t="shared" si="30"/>
        <v>OK</v>
      </c>
      <c r="V235" t="str">
        <f t="shared" si="31"/>
        <v>OK</v>
      </c>
    </row>
    <row r="236" spans="1:22" x14ac:dyDescent="0.45">
      <c r="A236" t="str">
        <v>SO-50249</v>
      </c>
      <c r="B236" t="str">
        <v>PL-CEN</v>
      </c>
      <c r="C236" t="str">
        <v>CD-TOL</v>
      </c>
      <c r="D236" t="str">
        <v>LAC-1013</v>
      </c>
      <c r="E236">
        <v>2323</v>
      </c>
      <c r="F236" s="1">
        <v>46176</v>
      </c>
      <c r="G236" t="str">
        <v>In Transit</v>
      </c>
      <c r="H236" t="str">
        <v>OK</v>
      </c>
      <c r="I236">
        <v>8.32</v>
      </c>
      <c r="J236">
        <v>98</v>
      </c>
      <c r="K236">
        <v>16</v>
      </c>
      <c r="L236" t="str">
        <v>OK</v>
      </c>
      <c r="M236">
        <v>1</v>
      </c>
      <c r="O236">
        <f t="shared" si="24"/>
        <v>23.704081632653061</v>
      </c>
      <c r="P236">
        <f t="shared" si="25"/>
        <v>80.530666666666676</v>
      </c>
      <c r="Q236">
        <f t="shared" si="26"/>
        <v>71.830550401978982</v>
      </c>
      <c r="R236">
        <f t="shared" si="27"/>
        <v>1</v>
      </c>
      <c r="S236">
        <f t="shared" si="28"/>
        <v>80.530666666666676</v>
      </c>
      <c r="T236" t="str">
        <f t="shared" si="29"/>
        <v>OK</v>
      </c>
      <c r="U236" t="str">
        <f t="shared" si="30"/>
        <v>OK</v>
      </c>
      <c r="V236" t="str">
        <f t="shared" si="31"/>
        <v>OK</v>
      </c>
    </row>
    <row r="237" spans="1:22" x14ac:dyDescent="0.45">
      <c r="A237" t="str">
        <v>SO-50750</v>
      </c>
      <c r="B237" t="str">
        <v>PL-CEN</v>
      </c>
      <c r="C237" t="str">
        <v>CD-TOL</v>
      </c>
      <c r="D237" t="str">
        <v>BOT-1004</v>
      </c>
      <c r="E237">
        <v>1875</v>
      </c>
      <c r="F237" s="1">
        <v>46175</v>
      </c>
      <c r="G237" t="str">
        <v>In Transit</v>
      </c>
      <c r="H237" t="str">
        <v>OK</v>
      </c>
      <c r="I237">
        <v>4.43</v>
      </c>
      <c r="J237">
        <v>63</v>
      </c>
      <c r="K237">
        <v>115</v>
      </c>
      <c r="L237" t="str">
        <v>OK</v>
      </c>
      <c r="M237">
        <v>2</v>
      </c>
      <c r="O237">
        <f t="shared" si="24"/>
        <v>29.761904761904763</v>
      </c>
      <c r="P237">
        <f t="shared" si="25"/>
        <v>34.609375</v>
      </c>
      <c r="Q237">
        <f t="shared" si="26"/>
        <v>90.187590187590189</v>
      </c>
      <c r="R237">
        <f t="shared" si="27"/>
        <v>1</v>
      </c>
      <c r="S237">
        <f t="shared" si="28"/>
        <v>90.187590187590189</v>
      </c>
      <c r="T237" t="str">
        <f t="shared" si="29"/>
        <v>OK</v>
      </c>
      <c r="U237" t="str">
        <f t="shared" si="30"/>
        <v>OK</v>
      </c>
      <c r="V237" t="str">
        <f t="shared" si="31"/>
        <v>OK</v>
      </c>
    </row>
    <row r="238" spans="1:22" x14ac:dyDescent="0.45">
      <c r="A238" t="str">
        <v>SO-50801</v>
      </c>
      <c r="B238" t="str">
        <v>PL-SUR</v>
      </c>
      <c r="C238" t="str">
        <v>CD-CAN</v>
      </c>
      <c r="D238" t="str">
        <v>BOT-1007</v>
      </c>
      <c r="E238">
        <v>2303</v>
      </c>
      <c r="F238" s="1">
        <v>46174</v>
      </c>
      <c r="G238" t="str">
        <v>In Transit</v>
      </c>
      <c r="H238" t="str">
        <v>OK</v>
      </c>
      <c r="I238">
        <v>0</v>
      </c>
      <c r="J238">
        <v>49</v>
      </c>
      <c r="K238">
        <v>104</v>
      </c>
      <c r="L238" t="str">
        <v>OK</v>
      </c>
      <c r="M238">
        <v>3</v>
      </c>
      <c r="O238">
        <f t="shared" si="24"/>
        <v>47</v>
      </c>
      <c r="P238">
        <f t="shared" si="25"/>
        <v>0</v>
      </c>
      <c r="Q238">
        <f t="shared" si="26"/>
        <v>142.42424242424244</v>
      </c>
      <c r="R238">
        <f t="shared" si="27"/>
        <v>2</v>
      </c>
      <c r="S238">
        <f t="shared" si="28"/>
        <v>71.212121212121218</v>
      </c>
      <c r="T238" t="str">
        <f t="shared" si="29"/>
        <v>CARGA INEFICIENTE</v>
      </c>
      <c r="U238" t="str">
        <f t="shared" si="30"/>
        <v>OK</v>
      </c>
      <c r="V238" t="str">
        <f t="shared" si="31"/>
        <v>OK</v>
      </c>
    </row>
    <row r="239" spans="1:22" x14ac:dyDescent="0.45">
      <c r="A239" t="str">
        <v>SO-50738</v>
      </c>
      <c r="B239" t="str">
        <v>PL-CEN</v>
      </c>
      <c r="C239" t="str">
        <v>CD-PUE</v>
      </c>
      <c r="D239" t="str">
        <v>BOT-1013</v>
      </c>
      <c r="E239">
        <v>1637</v>
      </c>
      <c r="F239" s="1">
        <v>46176</v>
      </c>
      <c r="G239" t="str">
        <v>In Transit</v>
      </c>
      <c r="H239" t="str">
        <v>OK</v>
      </c>
      <c r="I239">
        <v>4</v>
      </c>
      <c r="J239">
        <v>58</v>
      </c>
      <c r="K239">
        <v>112</v>
      </c>
      <c r="L239" t="str">
        <v>OK</v>
      </c>
      <c r="M239">
        <v>1</v>
      </c>
      <c r="O239">
        <f t="shared" si="24"/>
        <v>28.224137931034484</v>
      </c>
      <c r="P239">
        <f t="shared" si="25"/>
        <v>27.283333333333331</v>
      </c>
      <c r="Q239">
        <f t="shared" si="26"/>
        <v>85.5276907001045</v>
      </c>
      <c r="R239">
        <f t="shared" si="27"/>
        <v>1</v>
      </c>
      <c r="S239">
        <f t="shared" si="28"/>
        <v>85.5276907001045</v>
      </c>
      <c r="T239" t="str">
        <f t="shared" si="29"/>
        <v>OK</v>
      </c>
      <c r="U239" t="str">
        <f t="shared" si="30"/>
        <v>OK</v>
      </c>
      <c r="V239" t="str">
        <f t="shared" si="31"/>
        <v>OK</v>
      </c>
    </row>
    <row r="240" spans="1:22" x14ac:dyDescent="0.45">
      <c r="A240" t="str">
        <v>SO-50934</v>
      </c>
      <c r="B240" t="str">
        <v>PL-CEN</v>
      </c>
      <c r="C240" t="str">
        <v>CD-VER</v>
      </c>
      <c r="D240" t="str">
        <v>PRO-1013</v>
      </c>
      <c r="E240">
        <v>423</v>
      </c>
      <c r="F240" s="1">
        <v>46174</v>
      </c>
      <c r="G240" t="str">
        <v>In Transit</v>
      </c>
      <c r="H240" t="str">
        <v>OK</v>
      </c>
      <c r="I240">
        <v>4.37</v>
      </c>
      <c r="J240">
        <v>58</v>
      </c>
      <c r="K240">
        <v>92</v>
      </c>
      <c r="L240" t="str">
        <v>OK</v>
      </c>
      <c r="M240">
        <v>3</v>
      </c>
      <c r="O240">
        <f t="shared" si="24"/>
        <v>7.2931034482758621</v>
      </c>
      <c r="P240">
        <f t="shared" si="25"/>
        <v>7.7021249999999997</v>
      </c>
      <c r="Q240">
        <f t="shared" si="26"/>
        <v>22.100313479623821</v>
      </c>
      <c r="R240">
        <f t="shared" si="27"/>
        <v>1</v>
      </c>
      <c r="S240">
        <f t="shared" si="28"/>
        <v>22.100313479623821</v>
      </c>
      <c r="T240" t="str">
        <f t="shared" si="29"/>
        <v>CARGA INEFICIENTE</v>
      </c>
      <c r="U240" t="str">
        <f t="shared" si="30"/>
        <v>OK</v>
      </c>
      <c r="V240" t="str">
        <f t="shared" si="31"/>
        <v>OK</v>
      </c>
    </row>
    <row r="241" spans="1:22" x14ac:dyDescent="0.45">
      <c r="A241" t="str">
        <v>SO-50042</v>
      </c>
      <c r="B241" t="str">
        <v>PL-NTE</v>
      </c>
      <c r="C241" t="str">
        <v>CD-HER</v>
      </c>
      <c r="D241" t="str">
        <v>BOT-1002</v>
      </c>
      <c r="E241">
        <v>1307</v>
      </c>
      <c r="F241" s="1">
        <v>46175</v>
      </c>
      <c r="G241" t="str">
        <v>In Transit</v>
      </c>
      <c r="H241" t="str">
        <v>OK</v>
      </c>
      <c r="I241">
        <v>3.02</v>
      </c>
      <c r="J241">
        <v>84</v>
      </c>
      <c r="K241">
        <v>111</v>
      </c>
      <c r="L241" t="str">
        <v>OK</v>
      </c>
      <c r="M241">
        <v>2</v>
      </c>
      <c r="O241">
        <f t="shared" si="24"/>
        <v>15.55952380952381</v>
      </c>
      <c r="P241">
        <f t="shared" si="25"/>
        <v>16.446416666666668</v>
      </c>
      <c r="Q241">
        <f t="shared" si="26"/>
        <v>47.150072150072155</v>
      </c>
      <c r="R241">
        <f t="shared" si="27"/>
        <v>1</v>
      </c>
      <c r="S241">
        <f t="shared" si="28"/>
        <v>47.150072150072155</v>
      </c>
      <c r="T241" t="str">
        <f t="shared" si="29"/>
        <v>CARGA INEFICIENTE</v>
      </c>
      <c r="U241" t="str">
        <f t="shared" si="30"/>
        <v>OK</v>
      </c>
      <c r="V241" t="str">
        <f t="shared" si="31"/>
        <v>OK</v>
      </c>
    </row>
    <row r="242" spans="1:22" x14ac:dyDescent="0.45">
      <c r="A242" t="str">
        <v>SO-50328</v>
      </c>
      <c r="B242" t="str">
        <v>PL-SUR</v>
      </c>
      <c r="C242" t="str">
        <v>CD-LEO</v>
      </c>
      <c r="D242" t="str">
        <v>BEB-1003</v>
      </c>
      <c r="E242">
        <v>1067</v>
      </c>
      <c r="F242" s="1">
        <v>46175</v>
      </c>
      <c r="G242" t="str">
        <v>In Transit</v>
      </c>
      <c r="H242" t="str">
        <v>OK</v>
      </c>
      <c r="I242">
        <v>20.5</v>
      </c>
      <c r="J242">
        <v>64</v>
      </c>
      <c r="K242">
        <v>359</v>
      </c>
      <c r="L242" t="str">
        <v>OK</v>
      </c>
      <c r="M242">
        <v>2</v>
      </c>
      <c r="O242">
        <f t="shared" si="24"/>
        <v>16.671875</v>
      </c>
      <c r="P242">
        <f t="shared" si="25"/>
        <v>91.139583333333334</v>
      </c>
      <c r="Q242">
        <f t="shared" si="26"/>
        <v>50.520833333333336</v>
      </c>
      <c r="R242">
        <f t="shared" si="27"/>
        <v>1</v>
      </c>
      <c r="S242">
        <f t="shared" si="28"/>
        <v>91.139583333333334</v>
      </c>
      <c r="T242" t="str">
        <f t="shared" si="29"/>
        <v>OK</v>
      </c>
      <c r="U242" t="str">
        <f t="shared" si="30"/>
        <v>OK</v>
      </c>
      <c r="V242" t="str">
        <f t="shared" si="31"/>
        <v>OK</v>
      </c>
    </row>
    <row r="243" spans="1:22" x14ac:dyDescent="0.45">
      <c r="A243" t="str">
        <v>SO-51103</v>
      </c>
      <c r="B243" t="str">
        <v>PL-SUR</v>
      </c>
      <c r="C243" t="str">
        <v>CD-GDL</v>
      </c>
      <c r="D243" t="str">
        <v>BEB-1010</v>
      </c>
      <c r="E243">
        <v>188</v>
      </c>
      <c r="F243" s="1">
        <v>46168</v>
      </c>
      <c r="G243" t="str">
        <v>In Transit</v>
      </c>
      <c r="H243" t="str">
        <v>OK</v>
      </c>
      <c r="I243">
        <v>0</v>
      </c>
      <c r="J243">
        <v>71</v>
      </c>
      <c r="K243">
        <v>192</v>
      </c>
      <c r="L243" t="str">
        <v>OK</v>
      </c>
      <c r="M243">
        <v>9</v>
      </c>
      <c r="O243">
        <f t="shared" si="24"/>
        <v>2.647887323943662</v>
      </c>
      <c r="P243">
        <f t="shared" si="25"/>
        <v>0</v>
      </c>
      <c r="Q243">
        <f t="shared" si="26"/>
        <v>8.0239009816474614</v>
      </c>
      <c r="R243">
        <f t="shared" si="27"/>
        <v>1</v>
      </c>
      <c r="S243">
        <f t="shared" si="28"/>
        <v>8.0239009816474614</v>
      </c>
      <c r="T243" t="str">
        <f t="shared" si="29"/>
        <v>CARGA INEFICIENTE</v>
      </c>
      <c r="U243" t="str">
        <f t="shared" si="30"/>
        <v>OK</v>
      </c>
      <c r="V243" t="str">
        <f t="shared" si="31"/>
        <v>FANTASMA</v>
      </c>
    </row>
    <row r="244" spans="1:22" x14ac:dyDescent="0.45">
      <c r="A244" t="str">
        <v>SO-50560</v>
      </c>
      <c r="B244" t="str">
        <v>PL-SUR</v>
      </c>
      <c r="C244" t="str">
        <v>CD-MER</v>
      </c>
      <c r="D244" t="str">
        <v>BEB-1008</v>
      </c>
      <c r="E244">
        <v>634</v>
      </c>
      <c r="F244" s="1">
        <v>46176</v>
      </c>
      <c r="G244" t="str">
        <v>In Transit</v>
      </c>
      <c r="H244" t="str">
        <v>OK</v>
      </c>
      <c r="I244">
        <v>17.47</v>
      </c>
      <c r="J244">
        <v>65</v>
      </c>
      <c r="K244">
        <v>216</v>
      </c>
      <c r="L244" t="str">
        <v>OK</v>
      </c>
      <c r="M244">
        <v>1</v>
      </c>
      <c r="O244">
        <f t="shared" si="24"/>
        <v>9.7538461538461547</v>
      </c>
      <c r="P244">
        <f t="shared" si="25"/>
        <v>46.149916666666662</v>
      </c>
      <c r="Q244">
        <f t="shared" si="26"/>
        <v>29.557109557109563</v>
      </c>
      <c r="R244">
        <f t="shared" si="27"/>
        <v>1</v>
      </c>
      <c r="S244">
        <f t="shared" si="28"/>
        <v>46.149916666666662</v>
      </c>
      <c r="T244" t="str">
        <f t="shared" si="29"/>
        <v>CARGA INEFICIENTE</v>
      </c>
      <c r="U244" t="str">
        <f t="shared" si="30"/>
        <v>OK</v>
      </c>
      <c r="V244" t="str">
        <f t="shared" si="31"/>
        <v>OK</v>
      </c>
    </row>
    <row r="245" spans="1:22" x14ac:dyDescent="0.45">
      <c r="A245" t="str">
        <v>SO-50419</v>
      </c>
      <c r="B245" t="str">
        <v>PL-NTE</v>
      </c>
      <c r="C245" t="str">
        <v>CD-HER</v>
      </c>
      <c r="D245" t="str">
        <v>PRO-1010</v>
      </c>
      <c r="E245">
        <v>2592</v>
      </c>
      <c r="F245" s="1">
        <v>46174</v>
      </c>
      <c r="G245" t="str">
        <v>In Transit</v>
      </c>
      <c r="H245" t="str">
        <v>OK</v>
      </c>
      <c r="I245">
        <v>7.76</v>
      </c>
      <c r="J245">
        <v>86</v>
      </c>
      <c r="K245">
        <v>112</v>
      </c>
      <c r="L245" t="str">
        <v>OK</v>
      </c>
      <c r="M245">
        <v>3</v>
      </c>
      <c r="O245">
        <f t="shared" si="24"/>
        <v>30.13953488372093</v>
      </c>
      <c r="P245">
        <f t="shared" si="25"/>
        <v>83.807999999999993</v>
      </c>
      <c r="Q245">
        <f t="shared" si="26"/>
        <v>91.331923890063422</v>
      </c>
      <c r="R245">
        <f t="shared" si="27"/>
        <v>1</v>
      </c>
      <c r="S245">
        <f t="shared" si="28"/>
        <v>91.331923890063422</v>
      </c>
      <c r="T245" t="str">
        <f t="shared" si="29"/>
        <v>OK</v>
      </c>
      <c r="U245" t="str">
        <f t="shared" si="30"/>
        <v>OK</v>
      </c>
      <c r="V245" t="str">
        <f t="shared" si="31"/>
        <v>OK</v>
      </c>
    </row>
    <row r="246" spans="1:22" x14ac:dyDescent="0.45">
      <c r="A246" t="str">
        <v>SO-50027</v>
      </c>
      <c r="B246" t="str">
        <v>PL-NTE</v>
      </c>
      <c r="C246" t="str">
        <v>CD-CHI</v>
      </c>
      <c r="D246" t="str">
        <v>PRO-1008</v>
      </c>
      <c r="E246">
        <v>1113</v>
      </c>
      <c r="F246" s="1">
        <v>46176</v>
      </c>
      <c r="G246" t="str">
        <v>In Transit</v>
      </c>
      <c r="H246" t="str">
        <v>OK</v>
      </c>
      <c r="I246">
        <v>11.98</v>
      </c>
      <c r="J246">
        <v>86</v>
      </c>
      <c r="K246">
        <v>123</v>
      </c>
      <c r="L246" t="str">
        <v>OK</v>
      </c>
      <c r="M246">
        <v>1</v>
      </c>
      <c r="O246">
        <f t="shared" si="24"/>
        <v>12.94186046511628</v>
      </c>
      <c r="P246">
        <f t="shared" si="25"/>
        <v>55.557250000000003</v>
      </c>
      <c r="Q246">
        <f t="shared" si="26"/>
        <v>39.217758985200845</v>
      </c>
      <c r="R246">
        <f t="shared" si="27"/>
        <v>1</v>
      </c>
      <c r="S246">
        <f t="shared" si="28"/>
        <v>55.557250000000003</v>
      </c>
      <c r="T246" t="str">
        <f t="shared" si="29"/>
        <v>CARGA INEFICIENTE</v>
      </c>
      <c r="U246" t="str">
        <f t="shared" si="30"/>
        <v>OK</v>
      </c>
      <c r="V246" t="str">
        <f t="shared" si="31"/>
        <v>OK</v>
      </c>
    </row>
    <row r="247" spans="1:22" x14ac:dyDescent="0.45">
      <c r="A247" t="str">
        <v>SO-50332</v>
      </c>
      <c r="B247" t="str">
        <v>PL-NTE</v>
      </c>
      <c r="C247" t="str">
        <v>CD-HER</v>
      </c>
      <c r="D247" t="str">
        <v>BEB-1016</v>
      </c>
      <c r="E247">
        <v>651</v>
      </c>
      <c r="F247" s="1">
        <v>46176</v>
      </c>
      <c r="G247" t="str">
        <v>In Transit</v>
      </c>
      <c r="H247" t="str">
        <v>OK</v>
      </c>
      <c r="I247">
        <v>0</v>
      </c>
      <c r="J247">
        <v>98</v>
      </c>
      <c r="K247">
        <v>359</v>
      </c>
      <c r="L247" t="str">
        <v>OK</v>
      </c>
      <c r="M247">
        <v>1</v>
      </c>
      <c r="O247">
        <f t="shared" si="24"/>
        <v>6.6428571428571432</v>
      </c>
      <c r="P247">
        <f t="shared" si="25"/>
        <v>0</v>
      </c>
      <c r="Q247">
        <f t="shared" si="26"/>
        <v>20.129870129870131</v>
      </c>
      <c r="R247">
        <f t="shared" si="27"/>
        <v>1</v>
      </c>
      <c r="S247">
        <f t="shared" si="28"/>
        <v>20.129870129870131</v>
      </c>
      <c r="T247" t="str">
        <f t="shared" si="29"/>
        <v>CARGA INEFICIENTE</v>
      </c>
      <c r="U247" t="str">
        <f t="shared" si="30"/>
        <v>OK</v>
      </c>
      <c r="V247" t="str">
        <f t="shared" si="31"/>
        <v>OK</v>
      </c>
    </row>
    <row r="248" spans="1:22" x14ac:dyDescent="0.45">
      <c r="A248" t="str">
        <v>SO-50720</v>
      </c>
      <c r="B248" t="str">
        <v>PL-CEN</v>
      </c>
      <c r="C248" t="str">
        <v>CD-QRO</v>
      </c>
      <c r="D248" t="str">
        <v>LAC-1001</v>
      </c>
      <c r="E248">
        <v>2148</v>
      </c>
      <c r="F248" s="1">
        <v>46176</v>
      </c>
      <c r="G248" t="str">
        <v>In Transit</v>
      </c>
      <c r="H248" t="str">
        <v>OK</v>
      </c>
      <c r="I248">
        <v>7.51</v>
      </c>
      <c r="J248">
        <v>83</v>
      </c>
      <c r="K248">
        <v>18</v>
      </c>
      <c r="L248" t="str">
        <v>OK</v>
      </c>
      <c r="M248">
        <v>1</v>
      </c>
      <c r="O248">
        <f t="shared" si="24"/>
        <v>25.879518072289155</v>
      </c>
      <c r="P248">
        <f t="shared" si="25"/>
        <v>67.214500000000001</v>
      </c>
      <c r="Q248">
        <f t="shared" si="26"/>
        <v>78.42278203723987</v>
      </c>
      <c r="R248">
        <f t="shared" si="27"/>
        <v>1</v>
      </c>
      <c r="S248">
        <f t="shared" si="28"/>
        <v>78.42278203723987</v>
      </c>
      <c r="T248" t="str">
        <f t="shared" si="29"/>
        <v>OK</v>
      </c>
      <c r="U248" t="str">
        <f t="shared" si="30"/>
        <v>OK</v>
      </c>
      <c r="V248" t="str">
        <f t="shared" si="31"/>
        <v>OK</v>
      </c>
    </row>
    <row r="249" spans="1:22" x14ac:dyDescent="0.45">
      <c r="A249" t="str">
        <v>SO-50344</v>
      </c>
      <c r="B249" t="str">
        <v>PL-SUR</v>
      </c>
      <c r="C249" t="str">
        <v>CD-CAN</v>
      </c>
      <c r="D249" t="str">
        <v>BOT-1017</v>
      </c>
      <c r="E249">
        <v>1148</v>
      </c>
      <c r="F249" s="1">
        <v>46174</v>
      </c>
      <c r="G249" t="str">
        <v>In Transit</v>
      </c>
      <c r="H249" t="str">
        <v>OK</v>
      </c>
      <c r="I249">
        <v>3.75</v>
      </c>
      <c r="J249">
        <v>41</v>
      </c>
      <c r="K249">
        <v>106</v>
      </c>
      <c r="L249" t="str">
        <v>OK</v>
      </c>
      <c r="M249">
        <v>3</v>
      </c>
      <c r="O249">
        <f t="shared" si="24"/>
        <v>28</v>
      </c>
      <c r="P249">
        <f t="shared" si="25"/>
        <v>17.9375</v>
      </c>
      <c r="Q249">
        <f t="shared" si="26"/>
        <v>84.848484848484844</v>
      </c>
      <c r="R249">
        <f t="shared" si="27"/>
        <v>1</v>
      </c>
      <c r="S249">
        <f t="shared" si="28"/>
        <v>84.848484848484844</v>
      </c>
      <c r="T249" t="str">
        <f t="shared" si="29"/>
        <v>OK</v>
      </c>
      <c r="U249" t="str">
        <f t="shared" si="30"/>
        <v>OK</v>
      </c>
      <c r="V249" t="str">
        <f t="shared" si="31"/>
        <v>OK</v>
      </c>
    </row>
    <row r="250" spans="1:22" x14ac:dyDescent="0.45">
      <c r="A250" t="str">
        <v>SO-50559</v>
      </c>
      <c r="B250" t="str">
        <v>PL-SUR</v>
      </c>
      <c r="C250" t="str">
        <v>CD-CAN</v>
      </c>
      <c r="D250" t="str">
        <v>BEB-1017</v>
      </c>
      <c r="E250">
        <v>976</v>
      </c>
      <c r="F250" s="1">
        <v>46172</v>
      </c>
      <c r="G250" t="str">
        <v>In Transit</v>
      </c>
      <c r="H250" t="str">
        <v>OK</v>
      </c>
      <c r="I250">
        <v>21.3</v>
      </c>
      <c r="J250">
        <v>108</v>
      </c>
      <c r="K250">
        <v>345</v>
      </c>
      <c r="L250" t="str">
        <v>OK</v>
      </c>
      <c r="M250">
        <v>5</v>
      </c>
      <c r="O250">
        <f t="shared" si="24"/>
        <v>9.0370370370370363</v>
      </c>
      <c r="P250">
        <f t="shared" si="25"/>
        <v>86.61999999999999</v>
      </c>
      <c r="Q250">
        <f t="shared" si="26"/>
        <v>27.38496071829405</v>
      </c>
      <c r="R250">
        <f t="shared" si="27"/>
        <v>1</v>
      </c>
      <c r="S250">
        <f t="shared" si="28"/>
        <v>86.61999999999999</v>
      </c>
      <c r="T250" t="str">
        <f t="shared" si="29"/>
        <v>OK</v>
      </c>
      <c r="U250" t="str">
        <f t="shared" si="30"/>
        <v>OK</v>
      </c>
      <c r="V250" t="str">
        <f t="shared" si="31"/>
        <v>OK</v>
      </c>
    </row>
    <row r="251" spans="1:22" x14ac:dyDescent="0.45">
      <c r="A251" t="str">
        <v>SO-50078</v>
      </c>
      <c r="B251" t="str">
        <v>PL-NTE</v>
      </c>
      <c r="C251" t="str">
        <v>CD-SAL</v>
      </c>
      <c r="D251" t="str">
        <v>PRO-1002</v>
      </c>
      <c r="E251">
        <v>682</v>
      </c>
      <c r="F251" s="1">
        <v>46175</v>
      </c>
      <c r="G251" t="str">
        <v>In Transit</v>
      </c>
      <c r="H251" t="str">
        <v>OK</v>
      </c>
      <c r="I251">
        <v>9.6999999999999993</v>
      </c>
      <c r="J251">
        <v>98</v>
      </c>
      <c r="K251">
        <v>115</v>
      </c>
      <c r="L251" t="str">
        <v>OK</v>
      </c>
      <c r="M251">
        <v>2</v>
      </c>
      <c r="O251">
        <f t="shared" si="24"/>
        <v>6.9591836734693882</v>
      </c>
      <c r="P251">
        <f t="shared" si="25"/>
        <v>27.564166666666669</v>
      </c>
      <c r="Q251">
        <f t="shared" si="26"/>
        <v>21.088435374149661</v>
      </c>
      <c r="R251">
        <f t="shared" si="27"/>
        <v>1</v>
      </c>
      <c r="S251">
        <f t="shared" si="28"/>
        <v>27.564166666666669</v>
      </c>
      <c r="T251" t="str">
        <f t="shared" si="29"/>
        <v>CARGA INEFICIENTE</v>
      </c>
      <c r="U251" t="str">
        <f t="shared" si="30"/>
        <v>OK</v>
      </c>
      <c r="V251" t="str">
        <f t="shared" si="31"/>
        <v>OK</v>
      </c>
    </row>
    <row r="252" spans="1:22" x14ac:dyDescent="0.45">
      <c r="A252" t="str">
        <v>SO-50816</v>
      </c>
      <c r="B252" t="str">
        <v>PL-SUR</v>
      </c>
      <c r="C252" t="str">
        <v>CD-LEO</v>
      </c>
      <c r="D252" t="str">
        <v>BEB-1016</v>
      </c>
      <c r="E252">
        <v>1515</v>
      </c>
      <c r="F252" s="1">
        <v>46176</v>
      </c>
      <c r="G252" t="str">
        <v>In Transit</v>
      </c>
      <c r="H252" t="str">
        <v>OK</v>
      </c>
      <c r="I252">
        <v>0</v>
      </c>
      <c r="J252">
        <v>98</v>
      </c>
      <c r="K252">
        <v>359</v>
      </c>
      <c r="L252" t="str">
        <v>OK</v>
      </c>
      <c r="M252">
        <v>1</v>
      </c>
      <c r="O252">
        <f t="shared" si="24"/>
        <v>15.459183673469388</v>
      </c>
      <c r="P252">
        <f t="shared" si="25"/>
        <v>0</v>
      </c>
      <c r="Q252">
        <f t="shared" si="26"/>
        <v>46.846011131725419</v>
      </c>
      <c r="R252">
        <f t="shared" si="27"/>
        <v>1</v>
      </c>
      <c r="S252">
        <f t="shared" si="28"/>
        <v>46.846011131725419</v>
      </c>
      <c r="T252" t="str">
        <f t="shared" si="29"/>
        <v>CARGA INEFICIENTE</v>
      </c>
      <c r="U252" t="str">
        <f t="shared" si="30"/>
        <v>OK</v>
      </c>
      <c r="V252" t="str">
        <f t="shared" si="31"/>
        <v>OK</v>
      </c>
    </row>
    <row r="253" spans="1:22" x14ac:dyDescent="0.45">
      <c r="A253" t="str">
        <v>SO-51010</v>
      </c>
      <c r="B253" t="str">
        <v>PL-NTE</v>
      </c>
      <c r="C253" t="str">
        <v>CD-TIJ</v>
      </c>
      <c r="D253" t="str">
        <v>LAC-1002</v>
      </c>
      <c r="E253">
        <v>2920</v>
      </c>
      <c r="F253" s="1">
        <v>46162</v>
      </c>
      <c r="G253" t="str">
        <v>In Transit</v>
      </c>
      <c r="H253" t="str">
        <v>OK</v>
      </c>
      <c r="I253">
        <v>7.71</v>
      </c>
      <c r="J253">
        <v>101</v>
      </c>
      <c r="K253">
        <v>23</v>
      </c>
      <c r="L253" t="str">
        <v>OK</v>
      </c>
      <c r="M253">
        <v>15</v>
      </c>
      <c r="O253">
        <f t="shared" si="24"/>
        <v>28.910891089108912</v>
      </c>
      <c r="P253">
        <f t="shared" si="25"/>
        <v>93.805000000000007</v>
      </c>
      <c r="Q253">
        <f t="shared" si="26"/>
        <v>87.608760876087615</v>
      </c>
      <c r="R253">
        <f t="shared" si="27"/>
        <v>1</v>
      </c>
      <c r="S253">
        <f t="shared" si="28"/>
        <v>93.805000000000007</v>
      </c>
      <c r="T253" t="str">
        <f t="shared" si="29"/>
        <v>OK</v>
      </c>
      <c r="U253" t="str">
        <f t="shared" si="30"/>
        <v>FEFO RIESGO</v>
      </c>
      <c r="V253" t="str">
        <f t="shared" si="31"/>
        <v>FANTASMA</v>
      </c>
    </row>
    <row r="254" spans="1:22" x14ac:dyDescent="0.45">
      <c r="A254" t="str">
        <v>SO-50535</v>
      </c>
      <c r="B254" t="str">
        <v>PL-CEN</v>
      </c>
      <c r="C254" t="str">
        <v>CD-QRO</v>
      </c>
      <c r="D254" t="str">
        <v>PRO-1013</v>
      </c>
      <c r="E254">
        <v>1621</v>
      </c>
      <c r="F254" s="1">
        <v>46176</v>
      </c>
      <c r="G254" t="str">
        <v>In Transit</v>
      </c>
      <c r="H254" t="str">
        <v>OK</v>
      </c>
      <c r="I254">
        <v>4.37</v>
      </c>
      <c r="J254">
        <v>58</v>
      </c>
      <c r="K254">
        <v>92</v>
      </c>
      <c r="L254" t="str">
        <v>OK</v>
      </c>
      <c r="M254">
        <v>1</v>
      </c>
      <c r="O254">
        <f t="shared" si="24"/>
        <v>27.948275862068964</v>
      </c>
      <c r="P254">
        <f t="shared" si="25"/>
        <v>29.515708333333336</v>
      </c>
      <c r="Q254">
        <f t="shared" si="26"/>
        <v>84.691745036572613</v>
      </c>
      <c r="R254">
        <f t="shared" si="27"/>
        <v>1</v>
      </c>
      <c r="S254">
        <f t="shared" si="28"/>
        <v>84.691745036572613</v>
      </c>
      <c r="T254" t="str">
        <f t="shared" si="29"/>
        <v>OK</v>
      </c>
      <c r="U254" t="str">
        <f t="shared" si="30"/>
        <v>OK</v>
      </c>
      <c r="V254" t="str">
        <f t="shared" si="31"/>
        <v>OK</v>
      </c>
    </row>
    <row r="255" spans="1:22" x14ac:dyDescent="0.45">
      <c r="A255" t="str">
        <v>SO-50929</v>
      </c>
      <c r="B255" t="str">
        <v>PL-SUR</v>
      </c>
      <c r="C255" t="str">
        <v>CD-LEO</v>
      </c>
      <c r="D255" t="str">
        <v>PRO-1013</v>
      </c>
      <c r="E255">
        <v>1772</v>
      </c>
      <c r="F255" s="1">
        <v>46176</v>
      </c>
      <c r="G255" t="str">
        <v>Delivered</v>
      </c>
      <c r="H255" t="str">
        <v>OK</v>
      </c>
      <c r="I255">
        <v>4.37</v>
      </c>
      <c r="J255">
        <v>58</v>
      </c>
      <c r="K255">
        <v>92</v>
      </c>
      <c r="L255" t="str">
        <v>OK</v>
      </c>
      <c r="M255">
        <v>1</v>
      </c>
      <c r="O255">
        <f t="shared" si="24"/>
        <v>30.551724137931036</v>
      </c>
      <c r="P255">
        <f t="shared" si="25"/>
        <v>32.265166666666666</v>
      </c>
      <c r="Q255">
        <f t="shared" si="26"/>
        <v>92.580982236154654</v>
      </c>
      <c r="R255">
        <f t="shared" si="27"/>
        <v>1</v>
      </c>
      <c r="S255">
        <f t="shared" si="28"/>
        <v>92.580982236154654</v>
      </c>
      <c r="T255" t="str">
        <f t="shared" si="29"/>
        <v>OK</v>
      </c>
      <c r="U255" t="str">
        <f t="shared" si="30"/>
        <v>OK</v>
      </c>
      <c r="V255" t="str">
        <f t="shared" si="31"/>
        <v>OK</v>
      </c>
    </row>
    <row r="256" spans="1:22" x14ac:dyDescent="0.45">
      <c r="A256" t="str">
        <v>SO-51005</v>
      </c>
      <c r="B256" t="str">
        <v>PL-NTE</v>
      </c>
      <c r="C256" t="str">
        <v>CD-MTY</v>
      </c>
      <c r="D256" t="str">
        <v>LAC-1015</v>
      </c>
      <c r="E256">
        <v>644</v>
      </c>
      <c r="F256" s="1">
        <v>46158</v>
      </c>
      <c r="G256" t="str">
        <v>Delivered</v>
      </c>
      <c r="H256" t="str">
        <v>OK</v>
      </c>
      <c r="I256">
        <v>11.26</v>
      </c>
      <c r="J256">
        <v>129</v>
      </c>
      <c r="K256">
        <v>24</v>
      </c>
      <c r="L256" t="str">
        <v>OK</v>
      </c>
      <c r="M256">
        <v>19</v>
      </c>
      <c r="O256">
        <f t="shared" si="24"/>
        <v>4.9922480620155039</v>
      </c>
      <c r="P256">
        <f t="shared" si="25"/>
        <v>30.214333333333332</v>
      </c>
      <c r="Q256">
        <f t="shared" si="26"/>
        <v>15.128024430350012</v>
      </c>
      <c r="R256">
        <f t="shared" si="27"/>
        <v>1</v>
      </c>
      <c r="S256">
        <f t="shared" si="28"/>
        <v>30.214333333333332</v>
      </c>
      <c r="T256" t="str">
        <f t="shared" si="29"/>
        <v>CARGA INEFICIENTE</v>
      </c>
      <c r="U256" t="str">
        <f t="shared" si="30"/>
        <v>FEFO RIESGO</v>
      </c>
      <c r="V256" t="str">
        <f t="shared" si="31"/>
        <v>OK</v>
      </c>
    </row>
    <row r="257" spans="1:22" x14ac:dyDescent="0.45">
      <c r="A257" t="str">
        <v>SO-50523</v>
      </c>
      <c r="B257" t="str">
        <v>PL-CEN</v>
      </c>
      <c r="C257" t="str">
        <v>CD-QRO</v>
      </c>
      <c r="D257" t="str">
        <v>BEB-1011</v>
      </c>
      <c r="E257">
        <v>383</v>
      </c>
      <c r="F257" s="1">
        <v>46176</v>
      </c>
      <c r="G257" t="str">
        <v>In Transit</v>
      </c>
      <c r="H257" t="str">
        <v>OK</v>
      </c>
      <c r="I257">
        <v>23.39</v>
      </c>
      <c r="J257">
        <v>79</v>
      </c>
      <c r="K257">
        <v>329</v>
      </c>
      <c r="L257" t="str">
        <v>OK</v>
      </c>
      <c r="M257">
        <v>1</v>
      </c>
      <c r="O257">
        <f t="shared" si="24"/>
        <v>4.8481012658227849</v>
      </c>
      <c r="P257">
        <f t="shared" si="25"/>
        <v>37.326541666666671</v>
      </c>
      <c r="Q257">
        <f t="shared" si="26"/>
        <v>14.691215957038741</v>
      </c>
      <c r="R257">
        <f t="shared" si="27"/>
        <v>1</v>
      </c>
      <c r="S257">
        <f t="shared" si="28"/>
        <v>37.326541666666671</v>
      </c>
      <c r="T257" t="str">
        <f t="shared" si="29"/>
        <v>CARGA INEFICIENTE</v>
      </c>
      <c r="U257" t="str">
        <f t="shared" si="30"/>
        <v>OK</v>
      </c>
      <c r="V257" t="str">
        <f t="shared" si="31"/>
        <v>OK</v>
      </c>
    </row>
    <row r="258" spans="1:22" x14ac:dyDescent="0.45">
      <c r="A258" t="str">
        <v>SO-50116</v>
      </c>
      <c r="B258" t="str">
        <v>PL-SUR</v>
      </c>
      <c r="C258" t="str">
        <v>CD-MOR</v>
      </c>
      <c r="D258" t="str">
        <v>ABA-1006</v>
      </c>
      <c r="E258">
        <v>1569</v>
      </c>
      <c r="F258" s="1">
        <v>46175</v>
      </c>
      <c r="G258" t="str">
        <v>In Transit</v>
      </c>
      <c r="H258" t="str">
        <v>OK</v>
      </c>
      <c r="I258">
        <v>12.39</v>
      </c>
      <c r="J258">
        <v>134</v>
      </c>
      <c r="K258">
        <v>446</v>
      </c>
      <c r="L258" t="str">
        <v>OK</v>
      </c>
      <c r="M258">
        <v>2</v>
      </c>
      <c r="O258">
        <f t="shared" si="24"/>
        <v>11.708955223880597</v>
      </c>
      <c r="P258">
        <f t="shared" si="25"/>
        <v>80.999624999999995</v>
      </c>
      <c r="Q258">
        <f t="shared" si="26"/>
        <v>35.481682496607867</v>
      </c>
      <c r="R258">
        <f t="shared" si="27"/>
        <v>1</v>
      </c>
      <c r="S258">
        <f t="shared" si="28"/>
        <v>80.999624999999995</v>
      </c>
      <c r="T258" t="str">
        <f t="shared" si="29"/>
        <v>OK</v>
      </c>
      <c r="U258" t="str">
        <f t="shared" si="30"/>
        <v>OK</v>
      </c>
      <c r="V258" t="str">
        <f t="shared" si="31"/>
        <v>OK</v>
      </c>
    </row>
    <row r="259" spans="1:22" x14ac:dyDescent="0.45">
      <c r="A259" t="str">
        <v>SO-50305</v>
      </c>
      <c r="B259" t="str">
        <v>PL-SUR</v>
      </c>
      <c r="C259" t="str">
        <v>CD-CAN</v>
      </c>
      <c r="D259" t="str">
        <v>BEB-1016</v>
      </c>
      <c r="E259">
        <v>557</v>
      </c>
      <c r="F259" s="1">
        <v>46175</v>
      </c>
      <c r="G259" t="str">
        <v>In Transit</v>
      </c>
      <c r="H259" t="str">
        <v>OK</v>
      </c>
      <c r="I259">
        <v>0</v>
      </c>
      <c r="J259">
        <v>98</v>
      </c>
      <c r="K259">
        <v>359</v>
      </c>
      <c r="L259" t="str">
        <v>OK</v>
      </c>
      <c r="M259">
        <v>2</v>
      </c>
      <c r="O259">
        <f t="shared" ref="O259:O322" si="32">IF(L259="HUERFANO","n/a",IF(ISNUMBER(J259),E259/J259,"n/a"))</f>
        <v>5.6836734693877551</v>
      </c>
      <c r="P259">
        <f t="shared" ref="P259:P322" si="33">IF(L259="HUERFANO","n/a",IFERROR(E259*I259/24000*100,""))</f>
        <v>0</v>
      </c>
      <c r="Q259">
        <f t="shared" ref="Q259:Q322" si="34">IF(L259="HUERFANO","n/a",IFERROR(O259/33*100,""))</f>
        <v>17.223252937538653</v>
      </c>
      <c r="R259">
        <f t="shared" ref="R259:R322" si="35">IF(L259="HUERFANO","n/a",IFERROR(MAX(CEILING(P259/100,1),CEILING(Q259/100,1)),""))</f>
        <v>1</v>
      </c>
      <c r="S259">
        <f t="shared" ref="S259:S322" si="36">IF(L259="HUERFANO","n/a",IFERROR(MAX(P259,Q259)/(R259*100)*100,""))</f>
        <v>17.223252937538653</v>
      </c>
      <c r="T259" t="str">
        <f t="shared" ref="T259:T322" si="37">IF(L259="HUERFANO","n/a",IF(S259&lt;75,"CARGA INEFICIENTE","OK"))</f>
        <v>CARGA INEFICIENTE</v>
      </c>
      <c r="U259" t="str">
        <f t="shared" ref="U259:U322" si="38">IF(L259="HUERFANO","n/a",IF(AND(LEFT(D259,3)="LAC",(K259-M259)/K259*100&lt;70),"FEFO RIESGO","OK"))</f>
        <v>OK</v>
      </c>
      <c r="V259" t="str">
        <f t="shared" ref="V259:V322" si="39">IF(L259="HUERFANO","n/a",IF(AND(G259="In Transit",M259&gt;5),"FANTASMA","OK"))</f>
        <v>OK</v>
      </c>
    </row>
    <row r="260" spans="1:22" x14ac:dyDescent="0.45">
      <c r="A260" t="str">
        <v>SO-50521</v>
      </c>
      <c r="B260" t="str">
        <v>PL-CEN</v>
      </c>
      <c r="C260" t="str">
        <v>CD-PUE</v>
      </c>
      <c r="D260" t="str">
        <v>PRO-1013</v>
      </c>
      <c r="E260">
        <v>1788</v>
      </c>
      <c r="F260" s="1">
        <v>46176</v>
      </c>
      <c r="G260" t="str">
        <v>In Transit</v>
      </c>
      <c r="H260" t="str">
        <v>OK</v>
      </c>
      <c r="I260">
        <v>4.37</v>
      </c>
      <c r="J260">
        <v>58</v>
      </c>
      <c r="K260">
        <v>92</v>
      </c>
      <c r="L260" t="str">
        <v>OK</v>
      </c>
      <c r="M260">
        <v>1</v>
      </c>
      <c r="O260">
        <f t="shared" si="32"/>
        <v>30.827586206896552</v>
      </c>
      <c r="P260">
        <f t="shared" si="33"/>
        <v>32.5565</v>
      </c>
      <c r="Q260">
        <f t="shared" si="34"/>
        <v>93.416927899686513</v>
      </c>
      <c r="R260">
        <f t="shared" si="35"/>
        <v>1</v>
      </c>
      <c r="S260">
        <f t="shared" si="36"/>
        <v>93.416927899686513</v>
      </c>
      <c r="T260" t="str">
        <f t="shared" si="37"/>
        <v>OK</v>
      </c>
      <c r="U260" t="str">
        <f t="shared" si="38"/>
        <v>OK</v>
      </c>
      <c r="V260" t="str">
        <f t="shared" si="39"/>
        <v>OK</v>
      </c>
    </row>
    <row r="261" spans="1:22" x14ac:dyDescent="0.45">
      <c r="A261" t="str">
        <v>SO-50635</v>
      </c>
      <c r="B261" t="str">
        <v>PL-NTE</v>
      </c>
      <c r="C261" t="str">
        <v>CD-TIJ</v>
      </c>
      <c r="D261" t="str">
        <v>LAC-1012</v>
      </c>
      <c r="E261">
        <v>1997</v>
      </c>
      <c r="F261" s="1">
        <v>46174</v>
      </c>
      <c r="G261" t="str">
        <v>In Transit</v>
      </c>
      <c r="H261" t="str">
        <v>OK</v>
      </c>
      <c r="I261">
        <v>9.8699999999999992</v>
      </c>
      <c r="J261">
        <v>88</v>
      </c>
      <c r="K261">
        <v>25</v>
      </c>
      <c r="L261" t="str">
        <v>OK</v>
      </c>
      <c r="M261">
        <v>3</v>
      </c>
      <c r="O261">
        <f t="shared" si="32"/>
        <v>22.693181818181817</v>
      </c>
      <c r="P261">
        <f t="shared" si="33"/>
        <v>82.126625000000004</v>
      </c>
      <c r="Q261">
        <f t="shared" si="34"/>
        <v>68.767217630853992</v>
      </c>
      <c r="R261">
        <f t="shared" si="35"/>
        <v>1</v>
      </c>
      <c r="S261">
        <f t="shared" si="36"/>
        <v>82.126625000000004</v>
      </c>
      <c r="T261" t="str">
        <f t="shared" si="37"/>
        <v>OK</v>
      </c>
      <c r="U261" t="str">
        <f t="shared" si="38"/>
        <v>OK</v>
      </c>
      <c r="V261" t="str">
        <f t="shared" si="39"/>
        <v>OK</v>
      </c>
    </row>
    <row r="262" spans="1:22" x14ac:dyDescent="0.45">
      <c r="A262" t="str">
        <v>SO-51059</v>
      </c>
      <c r="B262" t="str">
        <v>PL-CEN</v>
      </c>
      <c r="C262" t="str">
        <v>CD-TOL</v>
      </c>
      <c r="D262" t="str">
        <v>BEB-1002</v>
      </c>
      <c r="E262">
        <v>82</v>
      </c>
      <c r="F262" s="1">
        <v>46174</v>
      </c>
      <c r="G262" t="str">
        <v>In Transit</v>
      </c>
      <c r="H262" t="str">
        <v>OK</v>
      </c>
      <c r="I262">
        <v>0</v>
      </c>
      <c r="J262">
        <v>69</v>
      </c>
      <c r="K262">
        <v>291</v>
      </c>
      <c r="L262" t="str">
        <v>OK</v>
      </c>
      <c r="M262">
        <v>3</v>
      </c>
      <c r="O262">
        <f t="shared" si="32"/>
        <v>1.1884057971014492</v>
      </c>
      <c r="P262">
        <f t="shared" si="33"/>
        <v>0</v>
      </c>
      <c r="Q262">
        <f t="shared" si="34"/>
        <v>3.6012296881862098</v>
      </c>
      <c r="R262">
        <f t="shared" si="35"/>
        <v>1</v>
      </c>
      <c r="S262">
        <f t="shared" si="36"/>
        <v>3.6012296881862098</v>
      </c>
      <c r="T262" t="str">
        <f t="shared" si="37"/>
        <v>CARGA INEFICIENTE</v>
      </c>
      <c r="U262" t="str">
        <f t="shared" si="38"/>
        <v>OK</v>
      </c>
      <c r="V262" t="str">
        <f t="shared" si="39"/>
        <v>OK</v>
      </c>
    </row>
    <row r="263" spans="1:22" x14ac:dyDescent="0.45">
      <c r="A263" t="str">
        <v>SO-50186</v>
      </c>
      <c r="B263" t="str">
        <v>PL-CEN</v>
      </c>
      <c r="C263" t="str">
        <v>CD-TOL</v>
      </c>
      <c r="D263" t="str">
        <v>BEB-1014</v>
      </c>
      <c r="E263">
        <v>-25</v>
      </c>
      <c r="F263" s="1">
        <v>46176</v>
      </c>
      <c r="G263" t="str">
        <v>In Transit</v>
      </c>
      <c r="H263" t="str">
        <v>INVALIDO</v>
      </c>
      <c r="I263">
        <v>12.41</v>
      </c>
      <c r="J263">
        <v>95</v>
      </c>
      <c r="K263">
        <v>227</v>
      </c>
      <c r="L263" t="str">
        <v>OK</v>
      </c>
      <c r="M263">
        <v>1</v>
      </c>
      <c r="O263">
        <f t="shared" si="32"/>
        <v>-0.26315789473684209</v>
      </c>
      <c r="P263">
        <f t="shared" si="33"/>
        <v>-1.2927083333333333</v>
      </c>
      <c r="Q263">
        <f t="shared" si="34"/>
        <v>-0.79744816586921841</v>
      </c>
      <c r="R263">
        <f t="shared" si="35"/>
        <v>0</v>
      </c>
      <c r="S263" t="str">
        <f t="shared" si="36"/>
        <v/>
      </c>
      <c r="T263" t="str">
        <f t="shared" si="37"/>
        <v>OK</v>
      </c>
      <c r="U263" t="str">
        <f t="shared" si="38"/>
        <v>OK</v>
      </c>
      <c r="V263" t="str">
        <f t="shared" si="39"/>
        <v>OK</v>
      </c>
    </row>
    <row r="264" spans="1:22" x14ac:dyDescent="0.45">
      <c r="A264" t="str">
        <v>SO-50442</v>
      </c>
      <c r="B264" t="str">
        <v>PL-CEN</v>
      </c>
      <c r="C264" t="str">
        <v>CD-PUE</v>
      </c>
      <c r="D264" t="str">
        <v>LAC-1016</v>
      </c>
      <c r="E264">
        <v>1165</v>
      </c>
      <c r="F264" s="1">
        <v>46176</v>
      </c>
      <c r="G264" t="str">
        <v>In Transit</v>
      </c>
      <c r="H264" t="str">
        <v>OK</v>
      </c>
      <c r="I264">
        <v>10.9</v>
      </c>
      <c r="J264">
        <v>131</v>
      </c>
      <c r="K264">
        <v>22</v>
      </c>
      <c r="L264" t="str">
        <v>OK</v>
      </c>
      <c r="M264">
        <v>1</v>
      </c>
      <c r="O264">
        <f t="shared" si="32"/>
        <v>8.8931297709923669</v>
      </c>
      <c r="P264">
        <f t="shared" si="33"/>
        <v>52.91041666666667</v>
      </c>
      <c r="Q264">
        <f t="shared" si="34"/>
        <v>26.948878093916264</v>
      </c>
      <c r="R264">
        <f t="shared" si="35"/>
        <v>1</v>
      </c>
      <c r="S264">
        <f t="shared" si="36"/>
        <v>52.91041666666667</v>
      </c>
      <c r="T264" t="str">
        <f t="shared" si="37"/>
        <v>CARGA INEFICIENTE</v>
      </c>
      <c r="U264" t="str">
        <f t="shared" si="38"/>
        <v>OK</v>
      </c>
      <c r="V264" t="str">
        <f t="shared" si="39"/>
        <v>OK</v>
      </c>
    </row>
    <row r="265" spans="1:22" x14ac:dyDescent="0.45">
      <c r="A265" t="str">
        <v>SO-50309</v>
      </c>
      <c r="B265" t="str">
        <v>PL-SUR</v>
      </c>
      <c r="C265" t="str">
        <v>CD-GDL</v>
      </c>
      <c r="D265" t="str">
        <v>BEB-1003</v>
      </c>
      <c r="E265">
        <v>925</v>
      </c>
      <c r="F265" s="1">
        <v>46176</v>
      </c>
      <c r="G265" t="str">
        <v>In Transit</v>
      </c>
      <c r="H265" t="str">
        <v>OK</v>
      </c>
      <c r="I265">
        <v>20.5</v>
      </c>
      <c r="J265">
        <v>64</v>
      </c>
      <c r="K265">
        <v>359</v>
      </c>
      <c r="L265" t="str">
        <v>OK</v>
      </c>
      <c r="M265">
        <v>1</v>
      </c>
      <c r="O265">
        <f t="shared" si="32"/>
        <v>14.453125</v>
      </c>
      <c r="P265">
        <f t="shared" si="33"/>
        <v>79.010416666666671</v>
      </c>
      <c r="Q265">
        <f t="shared" si="34"/>
        <v>43.797348484848484</v>
      </c>
      <c r="R265">
        <f t="shared" si="35"/>
        <v>1</v>
      </c>
      <c r="S265">
        <f t="shared" si="36"/>
        <v>79.010416666666671</v>
      </c>
      <c r="T265" t="str">
        <f t="shared" si="37"/>
        <v>OK</v>
      </c>
      <c r="U265" t="str">
        <f t="shared" si="38"/>
        <v>OK</v>
      </c>
      <c r="V265" t="str">
        <f t="shared" si="39"/>
        <v>OK</v>
      </c>
    </row>
    <row r="266" spans="1:22" x14ac:dyDescent="0.45">
      <c r="A266" t="str">
        <v>SO-50951</v>
      </c>
      <c r="B266" t="str">
        <v>PL-NTE</v>
      </c>
      <c r="C266" t="str">
        <v>CD-SAL</v>
      </c>
      <c r="D266" t="str">
        <v>ABA-1018</v>
      </c>
      <c r="E266">
        <v>1954</v>
      </c>
      <c r="F266" s="1">
        <v>46175</v>
      </c>
      <c r="G266" t="str">
        <v>In Transit</v>
      </c>
      <c r="H266" t="str">
        <v>OK</v>
      </c>
      <c r="I266">
        <v>11.43</v>
      </c>
      <c r="J266">
        <v>128</v>
      </c>
      <c r="K266">
        <v>530</v>
      </c>
      <c r="L266" t="str">
        <v>OK</v>
      </c>
      <c r="M266">
        <v>2</v>
      </c>
      <c r="O266">
        <f t="shared" si="32"/>
        <v>15.265625</v>
      </c>
      <c r="P266">
        <f t="shared" si="33"/>
        <v>93.059250000000006</v>
      </c>
      <c r="Q266">
        <f t="shared" si="34"/>
        <v>46.259469696969695</v>
      </c>
      <c r="R266">
        <f t="shared" si="35"/>
        <v>1</v>
      </c>
      <c r="S266">
        <f t="shared" si="36"/>
        <v>93.059250000000006</v>
      </c>
      <c r="T266" t="str">
        <f t="shared" si="37"/>
        <v>OK</v>
      </c>
      <c r="U266" t="str">
        <f t="shared" si="38"/>
        <v>OK</v>
      </c>
      <c r="V266" t="str">
        <f t="shared" si="39"/>
        <v>OK</v>
      </c>
    </row>
    <row r="267" spans="1:22" x14ac:dyDescent="0.45">
      <c r="A267" t="str">
        <v>SO-51036</v>
      </c>
      <c r="B267" t="str">
        <v>PL-CEN</v>
      </c>
      <c r="C267" t="str">
        <v>CD-TOL</v>
      </c>
      <c r="D267" t="str">
        <v>LAC-1016</v>
      </c>
      <c r="E267">
        <v>1936</v>
      </c>
      <c r="F267" s="1">
        <v>46161</v>
      </c>
      <c r="G267" t="str">
        <v>In Transit</v>
      </c>
      <c r="H267" t="str">
        <v>OK</v>
      </c>
      <c r="I267">
        <v>10.9</v>
      </c>
      <c r="J267">
        <v>131</v>
      </c>
      <c r="K267">
        <v>22</v>
      </c>
      <c r="L267" t="str">
        <v>OK</v>
      </c>
      <c r="M267">
        <v>16</v>
      </c>
      <c r="O267">
        <f t="shared" si="32"/>
        <v>14.778625954198473</v>
      </c>
      <c r="P267">
        <f t="shared" si="33"/>
        <v>87.926666666666677</v>
      </c>
      <c r="Q267">
        <f t="shared" si="34"/>
        <v>44.783715012722645</v>
      </c>
      <c r="R267">
        <f t="shared" si="35"/>
        <v>1</v>
      </c>
      <c r="S267">
        <f t="shared" si="36"/>
        <v>87.926666666666677</v>
      </c>
      <c r="T267" t="str">
        <f t="shared" si="37"/>
        <v>OK</v>
      </c>
      <c r="U267" t="str">
        <f t="shared" si="38"/>
        <v>FEFO RIESGO</v>
      </c>
      <c r="V267" t="str">
        <f t="shared" si="39"/>
        <v>FANTASMA</v>
      </c>
    </row>
    <row r="268" spans="1:22" x14ac:dyDescent="0.45">
      <c r="A268" t="str">
        <v>SO-51075</v>
      </c>
      <c r="B268" t="str">
        <v>PL-NTE</v>
      </c>
      <c r="C268" t="str">
        <v>CD-CHI</v>
      </c>
      <c r="D268" t="str">
        <v>PRO-1015</v>
      </c>
      <c r="E268">
        <v>3068</v>
      </c>
      <c r="F268" s="1">
        <v>46176</v>
      </c>
      <c r="G268" t="str">
        <v>In Transit</v>
      </c>
      <c r="H268" t="str">
        <v>OK</v>
      </c>
      <c r="I268">
        <v>6.16</v>
      </c>
      <c r="J268">
        <v>104</v>
      </c>
      <c r="K268">
        <v>67</v>
      </c>
      <c r="L268" t="str">
        <v>OK</v>
      </c>
      <c r="M268">
        <v>1</v>
      </c>
      <c r="O268">
        <f t="shared" si="32"/>
        <v>29.5</v>
      </c>
      <c r="P268">
        <f t="shared" si="33"/>
        <v>78.745333333333335</v>
      </c>
      <c r="Q268">
        <f t="shared" si="34"/>
        <v>89.393939393939391</v>
      </c>
      <c r="R268">
        <f t="shared" si="35"/>
        <v>1</v>
      </c>
      <c r="S268">
        <f t="shared" si="36"/>
        <v>89.393939393939391</v>
      </c>
      <c r="T268" t="str">
        <f t="shared" si="37"/>
        <v>OK</v>
      </c>
      <c r="U268" t="str">
        <f t="shared" si="38"/>
        <v>OK</v>
      </c>
      <c r="V268" t="str">
        <f t="shared" si="39"/>
        <v>OK</v>
      </c>
    </row>
    <row r="269" spans="1:22" x14ac:dyDescent="0.45">
      <c r="A269" t="str">
        <v>SO-50603</v>
      </c>
      <c r="B269" t="str">
        <v>PL-CEN</v>
      </c>
      <c r="C269" t="str">
        <v>CD-PUE</v>
      </c>
      <c r="D269" t="str">
        <v>BOT-1018</v>
      </c>
      <c r="E269">
        <v>2072</v>
      </c>
      <c r="F269" s="1">
        <v>46176</v>
      </c>
      <c r="G269" t="str">
        <v>In Transit</v>
      </c>
      <c r="H269" t="str">
        <v>OK</v>
      </c>
      <c r="I269">
        <v>6.23</v>
      </c>
      <c r="J269">
        <v>78</v>
      </c>
      <c r="K269">
        <v>99</v>
      </c>
      <c r="L269" t="str">
        <v>OK</v>
      </c>
      <c r="M269">
        <v>1</v>
      </c>
      <c r="O269">
        <f t="shared" si="32"/>
        <v>26.564102564102566</v>
      </c>
      <c r="P269">
        <f t="shared" si="33"/>
        <v>53.785666666666678</v>
      </c>
      <c r="Q269">
        <f t="shared" si="34"/>
        <v>80.497280497280499</v>
      </c>
      <c r="R269">
        <f t="shared" si="35"/>
        <v>1</v>
      </c>
      <c r="S269">
        <f t="shared" si="36"/>
        <v>80.497280497280499</v>
      </c>
      <c r="T269" t="str">
        <f t="shared" si="37"/>
        <v>OK</v>
      </c>
      <c r="U269" t="str">
        <f t="shared" si="38"/>
        <v>OK</v>
      </c>
      <c r="V269" t="str">
        <f t="shared" si="39"/>
        <v>OK</v>
      </c>
    </row>
    <row r="270" spans="1:22" x14ac:dyDescent="0.45">
      <c r="A270" t="str">
        <v>SO-50874</v>
      </c>
      <c r="B270" t="str">
        <v>PL-NTE</v>
      </c>
      <c r="C270" t="str">
        <v>CD-SAL</v>
      </c>
      <c r="D270" t="str">
        <v>BOT-1014</v>
      </c>
      <c r="E270">
        <v>1552</v>
      </c>
      <c r="F270" s="1">
        <v>46175</v>
      </c>
      <c r="G270" t="str">
        <v>In Transit</v>
      </c>
      <c r="H270" t="str">
        <v>OK</v>
      </c>
      <c r="I270">
        <v>3.92</v>
      </c>
      <c r="J270">
        <v>49</v>
      </c>
      <c r="K270">
        <v>98</v>
      </c>
      <c r="L270" t="str">
        <v>OK</v>
      </c>
      <c r="M270">
        <v>2</v>
      </c>
      <c r="O270">
        <f t="shared" si="32"/>
        <v>31.673469387755102</v>
      </c>
      <c r="P270">
        <f t="shared" si="33"/>
        <v>25.349333333333334</v>
      </c>
      <c r="Q270">
        <f t="shared" si="34"/>
        <v>95.980210265924555</v>
      </c>
      <c r="R270">
        <f t="shared" si="35"/>
        <v>1</v>
      </c>
      <c r="S270">
        <f t="shared" si="36"/>
        <v>95.980210265924555</v>
      </c>
      <c r="T270" t="str">
        <f t="shared" si="37"/>
        <v>OK</v>
      </c>
      <c r="U270" t="str">
        <f t="shared" si="38"/>
        <v>OK</v>
      </c>
      <c r="V270" t="str">
        <f t="shared" si="39"/>
        <v>OK</v>
      </c>
    </row>
    <row r="271" spans="1:22" x14ac:dyDescent="0.45">
      <c r="A271" t="str">
        <v>SO-50178</v>
      </c>
      <c r="B271" t="str">
        <v>PL-CEN</v>
      </c>
      <c r="C271" t="str">
        <v>CD-CDMX</v>
      </c>
      <c r="D271" t="str">
        <v>BEB-1003</v>
      </c>
      <c r="E271">
        <v>935</v>
      </c>
      <c r="F271" s="1">
        <v>46176</v>
      </c>
      <c r="G271" t="str">
        <v>In Transit</v>
      </c>
      <c r="H271" t="str">
        <v>OK</v>
      </c>
      <c r="I271">
        <v>20.5</v>
      </c>
      <c r="J271">
        <v>64</v>
      </c>
      <c r="K271">
        <v>359</v>
      </c>
      <c r="L271" t="str">
        <v>OK</v>
      </c>
      <c r="M271">
        <v>1</v>
      </c>
      <c r="O271">
        <f t="shared" si="32"/>
        <v>14.609375</v>
      </c>
      <c r="P271">
        <f t="shared" si="33"/>
        <v>79.864583333333343</v>
      </c>
      <c r="Q271">
        <f t="shared" si="34"/>
        <v>44.270833333333329</v>
      </c>
      <c r="R271">
        <f t="shared" si="35"/>
        <v>1</v>
      </c>
      <c r="S271">
        <f t="shared" si="36"/>
        <v>79.864583333333343</v>
      </c>
      <c r="T271" t="str">
        <f t="shared" si="37"/>
        <v>OK</v>
      </c>
      <c r="U271" t="str">
        <f t="shared" si="38"/>
        <v>OK</v>
      </c>
      <c r="V271" t="str">
        <f t="shared" si="39"/>
        <v>OK</v>
      </c>
    </row>
    <row r="272" spans="1:22" x14ac:dyDescent="0.45">
      <c r="A272" t="str">
        <v>SO-50389</v>
      </c>
      <c r="B272" t="str">
        <v>PL-SUR</v>
      </c>
      <c r="C272" t="str">
        <v>CD-CAN</v>
      </c>
      <c r="D272" t="str">
        <v>ABA-1012</v>
      </c>
      <c r="E272">
        <v>1481</v>
      </c>
      <c r="F272" s="1">
        <v>46174</v>
      </c>
      <c r="G272" t="str">
        <v>In Transit</v>
      </c>
      <c r="H272" t="str">
        <v>OK</v>
      </c>
      <c r="I272">
        <v>15.14</v>
      </c>
      <c r="J272">
        <v>117</v>
      </c>
      <c r="K272">
        <v>484</v>
      </c>
      <c r="L272" t="str">
        <v>OK</v>
      </c>
      <c r="M272">
        <v>3</v>
      </c>
      <c r="O272">
        <f t="shared" si="32"/>
        <v>12.658119658119658</v>
      </c>
      <c r="P272">
        <f t="shared" si="33"/>
        <v>93.426416666666668</v>
      </c>
      <c r="Q272">
        <f t="shared" si="34"/>
        <v>38.357938357938352</v>
      </c>
      <c r="R272">
        <f t="shared" si="35"/>
        <v>1</v>
      </c>
      <c r="S272">
        <f t="shared" si="36"/>
        <v>93.426416666666668</v>
      </c>
      <c r="T272" t="str">
        <f t="shared" si="37"/>
        <v>OK</v>
      </c>
      <c r="U272" t="str">
        <f t="shared" si="38"/>
        <v>OK</v>
      </c>
      <c r="V272" t="str">
        <f t="shared" si="39"/>
        <v>OK</v>
      </c>
    </row>
    <row r="273" spans="1:22" x14ac:dyDescent="0.45">
      <c r="A273" t="str">
        <v>SO-50568</v>
      </c>
      <c r="B273" t="str">
        <v>PL-CEN</v>
      </c>
      <c r="C273" t="str">
        <v>CD-QRO</v>
      </c>
      <c r="D273" t="str">
        <v>BEB-1019</v>
      </c>
      <c r="E273">
        <v>1390</v>
      </c>
      <c r="F273" s="1">
        <v>46175</v>
      </c>
      <c r="G273" t="str">
        <v>In Transit</v>
      </c>
      <c r="H273" t="str">
        <v>OK</v>
      </c>
      <c r="I273">
        <v>14.35</v>
      </c>
      <c r="J273">
        <v>70</v>
      </c>
      <c r="K273">
        <v>240</v>
      </c>
      <c r="L273" t="str">
        <v>OK</v>
      </c>
      <c r="M273">
        <v>2</v>
      </c>
      <c r="O273">
        <f t="shared" si="32"/>
        <v>19.857142857142858</v>
      </c>
      <c r="P273">
        <f t="shared" si="33"/>
        <v>83.110416666666666</v>
      </c>
      <c r="Q273">
        <f t="shared" si="34"/>
        <v>60.173160173160177</v>
      </c>
      <c r="R273">
        <f t="shared" si="35"/>
        <v>1</v>
      </c>
      <c r="S273">
        <f t="shared" si="36"/>
        <v>83.110416666666666</v>
      </c>
      <c r="T273" t="str">
        <f t="shared" si="37"/>
        <v>OK</v>
      </c>
      <c r="U273" t="str">
        <f t="shared" si="38"/>
        <v>OK</v>
      </c>
      <c r="V273" t="str">
        <f t="shared" si="39"/>
        <v>OK</v>
      </c>
    </row>
    <row r="274" spans="1:22" x14ac:dyDescent="0.45">
      <c r="A274" t="str">
        <v>SO-50895</v>
      </c>
      <c r="B274" t="str">
        <v>PL-SUR</v>
      </c>
      <c r="C274" t="str">
        <v>CD-MER</v>
      </c>
      <c r="D274" t="str">
        <v>PRO-1010</v>
      </c>
      <c r="E274">
        <v>2675</v>
      </c>
      <c r="F274" s="1">
        <v>46176</v>
      </c>
      <c r="G274" t="str">
        <v>In Transit</v>
      </c>
      <c r="H274" t="str">
        <v>OK</v>
      </c>
      <c r="I274">
        <v>7.76</v>
      </c>
      <c r="J274">
        <v>86</v>
      </c>
      <c r="K274">
        <v>112</v>
      </c>
      <c r="L274" t="str">
        <v>OK</v>
      </c>
      <c r="M274">
        <v>1</v>
      </c>
      <c r="O274">
        <f t="shared" si="32"/>
        <v>31.104651162790699</v>
      </c>
      <c r="P274">
        <f t="shared" si="33"/>
        <v>86.49166666666666</v>
      </c>
      <c r="Q274">
        <f t="shared" si="34"/>
        <v>94.256518675123317</v>
      </c>
      <c r="R274">
        <f t="shared" si="35"/>
        <v>1</v>
      </c>
      <c r="S274">
        <f t="shared" si="36"/>
        <v>94.256518675123317</v>
      </c>
      <c r="T274" t="str">
        <f t="shared" si="37"/>
        <v>OK</v>
      </c>
      <c r="U274" t="str">
        <f t="shared" si="38"/>
        <v>OK</v>
      </c>
      <c r="V274" t="str">
        <f t="shared" si="39"/>
        <v>OK</v>
      </c>
    </row>
    <row r="275" spans="1:22" x14ac:dyDescent="0.45">
      <c r="A275" t="str">
        <v>SO-50433</v>
      </c>
      <c r="B275" t="str">
        <v>PL-SUR</v>
      </c>
      <c r="C275" t="str">
        <v>CD-GDL</v>
      </c>
      <c r="D275" t="str">
        <v>PRO-1012</v>
      </c>
      <c r="E275">
        <v>2898</v>
      </c>
      <c r="F275" s="1">
        <v>46176</v>
      </c>
      <c r="G275" t="str">
        <v>In Transit</v>
      </c>
      <c r="H275" t="str">
        <v>OK</v>
      </c>
      <c r="I275">
        <v>6.87</v>
      </c>
      <c r="J275">
        <v>101</v>
      </c>
      <c r="K275">
        <v>62</v>
      </c>
      <c r="L275" t="str">
        <v>OK</v>
      </c>
      <c r="M275">
        <v>1</v>
      </c>
      <c r="O275">
        <f t="shared" si="32"/>
        <v>28.693069306930692</v>
      </c>
      <c r="P275">
        <f t="shared" si="33"/>
        <v>82.955250000000007</v>
      </c>
      <c r="Q275">
        <f t="shared" si="34"/>
        <v>86.948694869486943</v>
      </c>
      <c r="R275">
        <f t="shared" si="35"/>
        <v>1</v>
      </c>
      <c r="S275">
        <f t="shared" si="36"/>
        <v>86.948694869486943</v>
      </c>
      <c r="T275" t="str">
        <f t="shared" si="37"/>
        <v>OK</v>
      </c>
      <c r="U275" t="str">
        <f t="shared" si="38"/>
        <v>OK</v>
      </c>
      <c r="V275" t="str">
        <f t="shared" si="39"/>
        <v>OK</v>
      </c>
    </row>
    <row r="276" spans="1:22" x14ac:dyDescent="0.45">
      <c r="A276" t="str">
        <v>SO-50855</v>
      </c>
      <c r="B276" t="str">
        <v>PL-CEN</v>
      </c>
      <c r="C276" t="str">
        <v>CD-TOL</v>
      </c>
      <c r="D276" t="str">
        <v>BOT-1005</v>
      </c>
      <c r="E276">
        <v>1790</v>
      </c>
      <c r="F276" s="1">
        <v>46176</v>
      </c>
      <c r="G276" t="str">
        <v>In Transit</v>
      </c>
      <c r="H276" t="str">
        <v>OK</v>
      </c>
      <c r="I276">
        <v>5.49</v>
      </c>
      <c r="J276">
        <v>62</v>
      </c>
      <c r="K276">
        <v>91</v>
      </c>
      <c r="L276" t="str">
        <v>OK</v>
      </c>
      <c r="M276">
        <v>1</v>
      </c>
      <c r="O276">
        <f t="shared" si="32"/>
        <v>28.870967741935484</v>
      </c>
      <c r="P276">
        <f t="shared" si="33"/>
        <v>40.946249999999999</v>
      </c>
      <c r="Q276">
        <f t="shared" si="34"/>
        <v>87.48778103616813</v>
      </c>
      <c r="R276">
        <f t="shared" si="35"/>
        <v>1</v>
      </c>
      <c r="S276">
        <f t="shared" si="36"/>
        <v>87.48778103616813</v>
      </c>
      <c r="T276" t="str">
        <f t="shared" si="37"/>
        <v>OK</v>
      </c>
      <c r="U276" t="str">
        <f t="shared" si="38"/>
        <v>OK</v>
      </c>
      <c r="V276" t="str">
        <f t="shared" si="39"/>
        <v>OK</v>
      </c>
    </row>
    <row r="277" spans="1:22" x14ac:dyDescent="0.45">
      <c r="A277" t="str">
        <v>SO-50393</v>
      </c>
      <c r="B277" t="str">
        <v>PL-NTE</v>
      </c>
      <c r="C277" t="str">
        <v>CD-SAL</v>
      </c>
      <c r="D277" t="str">
        <v>BOT-1008</v>
      </c>
      <c r="E277">
        <v>2032</v>
      </c>
      <c r="F277" s="1">
        <v>46176</v>
      </c>
      <c r="G277" t="str">
        <v>In Transit</v>
      </c>
      <c r="H277" t="str">
        <v>OK</v>
      </c>
      <c r="I277">
        <v>3.48</v>
      </c>
      <c r="J277">
        <v>66</v>
      </c>
      <c r="K277">
        <v>112</v>
      </c>
      <c r="L277" t="str">
        <v>OK</v>
      </c>
      <c r="M277">
        <v>1</v>
      </c>
      <c r="O277">
        <f t="shared" si="32"/>
        <v>30.787878787878789</v>
      </c>
      <c r="P277">
        <f t="shared" si="33"/>
        <v>29.464000000000002</v>
      </c>
      <c r="Q277">
        <f t="shared" si="34"/>
        <v>93.296602387511484</v>
      </c>
      <c r="R277">
        <f t="shared" si="35"/>
        <v>1</v>
      </c>
      <c r="S277">
        <f t="shared" si="36"/>
        <v>93.296602387511484</v>
      </c>
      <c r="T277" t="str">
        <f t="shared" si="37"/>
        <v>OK</v>
      </c>
      <c r="U277" t="str">
        <f t="shared" si="38"/>
        <v>OK</v>
      </c>
      <c r="V277" t="str">
        <f t="shared" si="39"/>
        <v>OK</v>
      </c>
    </row>
    <row r="278" spans="1:22" x14ac:dyDescent="0.45">
      <c r="A278" t="str">
        <v>SO-50147</v>
      </c>
      <c r="B278" t="str">
        <v>PL-NTE</v>
      </c>
      <c r="C278" t="str">
        <v>CD-SAL</v>
      </c>
      <c r="D278" t="str">
        <v>BOT-1023</v>
      </c>
      <c r="E278">
        <v>1271</v>
      </c>
      <c r="F278" s="1">
        <v>46176</v>
      </c>
      <c r="G278" t="str">
        <v>In Transit</v>
      </c>
      <c r="H278" t="str">
        <v>OK</v>
      </c>
      <c r="I278">
        <v>4.29</v>
      </c>
      <c r="J278">
        <v>44</v>
      </c>
      <c r="K278">
        <v>111</v>
      </c>
      <c r="L278" t="str">
        <v>OK</v>
      </c>
      <c r="M278">
        <v>1</v>
      </c>
      <c r="O278">
        <f t="shared" si="32"/>
        <v>28.886363636363637</v>
      </c>
      <c r="P278">
        <f t="shared" si="33"/>
        <v>22.719125000000002</v>
      </c>
      <c r="Q278">
        <f t="shared" si="34"/>
        <v>87.534435261707983</v>
      </c>
      <c r="R278">
        <f t="shared" si="35"/>
        <v>1</v>
      </c>
      <c r="S278">
        <f t="shared" si="36"/>
        <v>87.534435261707983</v>
      </c>
      <c r="T278" t="str">
        <f t="shared" si="37"/>
        <v>OK</v>
      </c>
      <c r="U278" t="str">
        <f t="shared" si="38"/>
        <v>OK</v>
      </c>
      <c r="V278" t="str">
        <f t="shared" si="39"/>
        <v>OK</v>
      </c>
    </row>
    <row r="279" spans="1:22" x14ac:dyDescent="0.45">
      <c r="A279" t="str">
        <v>SO-50109</v>
      </c>
      <c r="B279" t="str">
        <v>PL-CEN</v>
      </c>
      <c r="C279" t="str">
        <v>CD-VER</v>
      </c>
      <c r="D279" t="str">
        <v>ABA-1019</v>
      </c>
      <c r="E279">
        <v>1531</v>
      </c>
      <c r="F279" s="1">
        <v>46175</v>
      </c>
      <c r="G279" t="str">
        <v>In Transit</v>
      </c>
      <c r="H279" t="str">
        <v>OK</v>
      </c>
      <c r="I279">
        <v>14.82</v>
      </c>
      <c r="J279">
        <v>132</v>
      </c>
      <c r="K279">
        <v>373</v>
      </c>
      <c r="L279" t="str">
        <v>OK</v>
      </c>
      <c r="M279">
        <v>2</v>
      </c>
      <c r="O279">
        <f t="shared" si="32"/>
        <v>11.598484848484848</v>
      </c>
      <c r="P279">
        <f t="shared" si="33"/>
        <v>94.53925000000001</v>
      </c>
      <c r="Q279">
        <f t="shared" si="34"/>
        <v>35.146923783287413</v>
      </c>
      <c r="R279">
        <f t="shared" si="35"/>
        <v>1</v>
      </c>
      <c r="S279">
        <f t="shared" si="36"/>
        <v>94.53925000000001</v>
      </c>
      <c r="T279" t="str">
        <f t="shared" si="37"/>
        <v>OK</v>
      </c>
      <c r="U279" t="str">
        <f t="shared" si="38"/>
        <v>OK</v>
      </c>
      <c r="V279" t="str">
        <f t="shared" si="39"/>
        <v>OK</v>
      </c>
    </row>
    <row r="280" spans="1:22" x14ac:dyDescent="0.45">
      <c r="A280" t="str">
        <v>SO-51052</v>
      </c>
      <c r="B280" t="str">
        <v>PL-NTE</v>
      </c>
      <c r="C280" t="str">
        <v>CD-HER</v>
      </c>
      <c r="D280" t="str">
        <v>ABA-1009</v>
      </c>
      <c r="E280">
        <v>1573</v>
      </c>
      <c r="F280" s="1">
        <v>46175</v>
      </c>
      <c r="G280" t="str">
        <v>In Transit</v>
      </c>
      <c r="H280" t="str">
        <v>OK</v>
      </c>
      <c r="I280">
        <v>14.79</v>
      </c>
      <c r="J280">
        <v>124</v>
      </c>
      <c r="K280">
        <v>423</v>
      </c>
      <c r="L280" t="str">
        <v>OK</v>
      </c>
      <c r="M280">
        <v>2</v>
      </c>
      <c r="O280">
        <f t="shared" si="32"/>
        <v>12.685483870967742</v>
      </c>
      <c r="P280">
        <f t="shared" si="33"/>
        <v>96.93612499999999</v>
      </c>
      <c r="Q280">
        <f t="shared" si="34"/>
        <v>38.44086021505376</v>
      </c>
      <c r="R280">
        <f t="shared" si="35"/>
        <v>1</v>
      </c>
      <c r="S280">
        <f t="shared" si="36"/>
        <v>96.93612499999999</v>
      </c>
      <c r="T280" t="str">
        <f t="shared" si="37"/>
        <v>OK</v>
      </c>
      <c r="U280" t="str">
        <f t="shared" si="38"/>
        <v>OK</v>
      </c>
      <c r="V280" t="str">
        <f t="shared" si="39"/>
        <v>OK</v>
      </c>
    </row>
    <row r="281" spans="1:22" x14ac:dyDescent="0.45">
      <c r="A281" t="str">
        <v>SO-50606</v>
      </c>
      <c r="B281" t="str">
        <v>PL-CEN</v>
      </c>
      <c r="C281" t="str">
        <v>CD-QRO</v>
      </c>
      <c r="D281" t="str">
        <v>ABA-1005</v>
      </c>
      <c r="E281">
        <v>1476</v>
      </c>
      <c r="F281" s="1">
        <v>46175</v>
      </c>
      <c r="G281" t="str">
        <v>In Transit</v>
      </c>
      <c r="H281" t="str">
        <v>OK</v>
      </c>
      <c r="I281">
        <v>13.31</v>
      </c>
      <c r="J281">
        <v>89</v>
      </c>
      <c r="K281">
        <v>313</v>
      </c>
      <c r="L281" t="str">
        <v>OK</v>
      </c>
      <c r="M281">
        <v>2</v>
      </c>
      <c r="O281">
        <f t="shared" si="32"/>
        <v>16.584269662921347</v>
      </c>
      <c r="P281">
        <f t="shared" si="33"/>
        <v>81.856500000000011</v>
      </c>
      <c r="Q281">
        <f t="shared" si="34"/>
        <v>50.255362614913167</v>
      </c>
      <c r="R281">
        <f t="shared" si="35"/>
        <v>1</v>
      </c>
      <c r="S281">
        <f t="shared" si="36"/>
        <v>81.856500000000011</v>
      </c>
      <c r="T281" t="str">
        <f t="shared" si="37"/>
        <v>OK</v>
      </c>
      <c r="U281" t="str">
        <f t="shared" si="38"/>
        <v>OK</v>
      </c>
      <c r="V281" t="str">
        <f t="shared" si="39"/>
        <v>OK</v>
      </c>
    </row>
    <row r="282" spans="1:22" x14ac:dyDescent="0.45">
      <c r="A282" t="str">
        <v>SO-50907</v>
      </c>
      <c r="B282" t="str">
        <v>PL-CEN</v>
      </c>
      <c r="C282" t="str">
        <v>CD-QRO</v>
      </c>
      <c r="D282" t="str">
        <v>PRO-1004</v>
      </c>
      <c r="E282">
        <v>596</v>
      </c>
      <c r="F282" s="1">
        <v>46175</v>
      </c>
      <c r="G282" t="str">
        <v>In Transit</v>
      </c>
      <c r="H282" t="str">
        <v>OK</v>
      </c>
      <c r="I282">
        <v>12.77</v>
      </c>
      <c r="J282">
        <v>96</v>
      </c>
      <c r="K282">
        <v>122</v>
      </c>
      <c r="L282" t="str">
        <v>OK</v>
      </c>
      <c r="M282">
        <v>2</v>
      </c>
      <c r="O282">
        <f t="shared" si="32"/>
        <v>6.208333333333333</v>
      </c>
      <c r="P282">
        <f t="shared" si="33"/>
        <v>31.712166666666668</v>
      </c>
      <c r="Q282">
        <f t="shared" si="34"/>
        <v>18.813131313131311</v>
      </c>
      <c r="R282">
        <f t="shared" si="35"/>
        <v>1</v>
      </c>
      <c r="S282">
        <f t="shared" si="36"/>
        <v>31.712166666666668</v>
      </c>
      <c r="T282" t="str">
        <f t="shared" si="37"/>
        <v>CARGA INEFICIENTE</v>
      </c>
      <c r="U282" t="str">
        <f t="shared" si="38"/>
        <v>OK</v>
      </c>
      <c r="V282" t="str">
        <f t="shared" si="39"/>
        <v>OK</v>
      </c>
    </row>
    <row r="283" spans="1:22" x14ac:dyDescent="0.45">
      <c r="A283" t="str">
        <v>SO-50270</v>
      </c>
      <c r="B283" t="str">
        <v>PL-CEN</v>
      </c>
      <c r="C283" t="str">
        <v>CD-QRO</v>
      </c>
      <c r="D283" t="str">
        <v>BEB-1009</v>
      </c>
      <c r="E283">
        <v>1222</v>
      </c>
      <c r="F283" s="1">
        <v>46175</v>
      </c>
      <c r="G283" t="str">
        <v>In Transit</v>
      </c>
      <c r="H283" t="str">
        <v>OK</v>
      </c>
      <c r="I283">
        <v>18.170000000000002</v>
      </c>
      <c r="J283">
        <v>61</v>
      </c>
      <c r="K283">
        <v>188</v>
      </c>
      <c r="L283" t="str">
        <v>OK</v>
      </c>
      <c r="M283">
        <v>2</v>
      </c>
      <c r="O283">
        <f t="shared" si="32"/>
        <v>20.032786885245901</v>
      </c>
      <c r="P283">
        <f t="shared" si="33"/>
        <v>92.515583333333339</v>
      </c>
      <c r="Q283">
        <f t="shared" si="34"/>
        <v>60.705414803775462</v>
      </c>
      <c r="R283">
        <f t="shared" si="35"/>
        <v>1</v>
      </c>
      <c r="S283">
        <f t="shared" si="36"/>
        <v>92.515583333333339</v>
      </c>
      <c r="T283" t="str">
        <f t="shared" si="37"/>
        <v>OK</v>
      </c>
      <c r="U283" t="str">
        <f t="shared" si="38"/>
        <v>OK</v>
      </c>
      <c r="V283" t="str">
        <f t="shared" si="39"/>
        <v>OK</v>
      </c>
    </row>
    <row r="284" spans="1:22" x14ac:dyDescent="0.45">
      <c r="A284" t="str">
        <v>SO-50599</v>
      </c>
      <c r="B284" t="str">
        <v>PL-SUR</v>
      </c>
      <c r="C284" t="str">
        <v>CD-GDL</v>
      </c>
      <c r="D284" t="str">
        <v>BEB-1010</v>
      </c>
      <c r="E284">
        <v>1554</v>
      </c>
      <c r="F284" s="1">
        <v>46176</v>
      </c>
      <c r="G284" t="str">
        <v>In Transit</v>
      </c>
      <c r="H284" t="str">
        <v>OK</v>
      </c>
      <c r="I284">
        <v>0</v>
      </c>
      <c r="J284">
        <v>71</v>
      </c>
      <c r="K284">
        <v>192</v>
      </c>
      <c r="L284" t="str">
        <v>OK</v>
      </c>
      <c r="M284">
        <v>1</v>
      </c>
      <c r="O284">
        <f t="shared" si="32"/>
        <v>21.887323943661972</v>
      </c>
      <c r="P284">
        <f t="shared" si="33"/>
        <v>0</v>
      </c>
      <c r="Q284">
        <f t="shared" si="34"/>
        <v>66.325224071702948</v>
      </c>
      <c r="R284">
        <f t="shared" si="35"/>
        <v>1</v>
      </c>
      <c r="S284">
        <f t="shared" si="36"/>
        <v>66.325224071702948</v>
      </c>
      <c r="T284" t="str">
        <f t="shared" si="37"/>
        <v>CARGA INEFICIENTE</v>
      </c>
      <c r="U284" t="str">
        <f t="shared" si="38"/>
        <v>OK</v>
      </c>
      <c r="V284" t="str">
        <f t="shared" si="39"/>
        <v>OK</v>
      </c>
    </row>
    <row r="285" spans="1:22" x14ac:dyDescent="0.45">
      <c r="A285" t="str">
        <v>SO-50774</v>
      </c>
      <c r="B285" t="str">
        <v>PL-NTE</v>
      </c>
      <c r="C285" t="str">
        <v>CD-HER</v>
      </c>
      <c r="D285" t="str">
        <v>ABA-1014</v>
      </c>
      <c r="E285">
        <v>2045</v>
      </c>
      <c r="F285" s="1">
        <v>46174</v>
      </c>
      <c r="G285" t="str">
        <v>In Transit</v>
      </c>
      <c r="H285" t="str">
        <v>OK</v>
      </c>
      <c r="I285">
        <v>9.56</v>
      </c>
      <c r="J285">
        <v>136</v>
      </c>
      <c r="K285">
        <v>345</v>
      </c>
      <c r="L285" t="str">
        <v>OK</v>
      </c>
      <c r="M285">
        <v>3</v>
      </c>
      <c r="O285">
        <f t="shared" si="32"/>
        <v>15.036764705882353</v>
      </c>
      <c r="P285">
        <f t="shared" si="33"/>
        <v>81.459166666666675</v>
      </c>
      <c r="Q285">
        <f t="shared" si="34"/>
        <v>45.565953654188952</v>
      </c>
      <c r="R285">
        <f t="shared" si="35"/>
        <v>1</v>
      </c>
      <c r="S285">
        <f t="shared" si="36"/>
        <v>81.459166666666675</v>
      </c>
      <c r="T285" t="str">
        <f t="shared" si="37"/>
        <v>OK</v>
      </c>
      <c r="U285" t="str">
        <f t="shared" si="38"/>
        <v>OK</v>
      </c>
      <c r="V285" t="str">
        <f t="shared" si="39"/>
        <v>OK</v>
      </c>
    </row>
    <row r="286" spans="1:22" x14ac:dyDescent="0.45">
      <c r="A286" t="str">
        <v>SO-50953</v>
      </c>
      <c r="B286" t="str">
        <v>PL-CEN</v>
      </c>
      <c r="C286" t="str">
        <v>CD-VER</v>
      </c>
      <c r="D286" t="str">
        <v>ABA-1012</v>
      </c>
      <c r="E286">
        <v>1344</v>
      </c>
      <c r="F286" s="1">
        <v>46174</v>
      </c>
      <c r="G286" t="str">
        <v>In Transit</v>
      </c>
      <c r="H286" t="str">
        <v>OK</v>
      </c>
      <c r="I286">
        <v>15.14</v>
      </c>
      <c r="J286">
        <v>117</v>
      </c>
      <c r="K286">
        <v>484</v>
      </c>
      <c r="L286" t="str">
        <v>OK</v>
      </c>
      <c r="M286">
        <v>3</v>
      </c>
      <c r="O286">
        <f t="shared" si="32"/>
        <v>11.487179487179487</v>
      </c>
      <c r="P286">
        <f t="shared" si="33"/>
        <v>84.784000000000006</v>
      </c>
      <c r="Q286">
        <f t="shared" si="34"/>
        <v>34.809634809634808</v>
      </c>
      <c r="R286">
        <f t="shared" si="35"/>
        <v>1</v>
      </c>
      <c r="S286">
        <f t="shared" si="36"/>
        <v>84.784000000000006</v>
      </c>
      <c r="T286" t="str">
        <f t="shared" si="37"/>
        <v>OK</v>
      </c>
      <c r="U286" t="str">
        <f t="shared" si="38"/>
        <v>OK</v>
      </c>
      <c r="V286" t="str">
        <f t="shared" si="39"/>
        <v>OK</v>
      </c>
    </row>
    <row r="287" spans="1:22" x14ac:dyDescent="0.45">
      <c r="A287" t="str">
        <v>SO-50716</v>
      </c>
      <c r="B287" t="str">
        <v>PL-CEN</v>
      </c>
      <c r="C287" t="str">
        <v>CD-QRO</v>
      </c>
      <c r="D287" t="str">
        <v>BEB-1014</v>
      </c>
      <c r="E287">
        <v>1607</v>
      </c>
      <c r="F287" s="1">
        <v>46176</v>
      </c>
      <c r="G287" t="str">
        <v>In Transit</v>
      </c>
      <c r="H287" t="str">
        <v>OK</v>
      </c>
      <c r="I287">
        <v>12.41</v>
      </c>
      <c r="J287">
        <v>95</v>
      </c>
      <c r="K287">
        <v>227</v>
      </c>
      <c r="L287" t="str">
        <v>OK</v>
      </c>
      <c r="M287">
        <v>1</v>
      </c>
      <c r="O287">
        <f t="shared" si="32"/>
        <v>16.91578947368421</v>
      </c>
      <c r="P287">
        <f t="shared" si="33"/>
        <v>83.095291666666654</v>
      </c>
      <c r="Q287">
        <f t="shared" si="34"/>
        <v>51.259968102073358</v>
      </c>
      <c r="R287">
        <f t="shared" si="35"/>
        <v>1</v>
      </c>
      <c r="S287">
        <f t="shared" si="36"/>
        <v>83.095291666666654</v>
      </c>
      <c r="T287" t="str">
        <f t="shared" si="37"/>
        <v>OK</v>
      </c>
      <c r="U287" t="str">
        <f t="shared" si="38"/>
        <v>OK</v>
      </c>
      <c r="V287" t="str">
        <f t="shared" si="39"/>
        <v>OK</v>
      </c>
    </row>
    <row r="288" spans="1:22" x14ac:dyDescent="0.45">
      <c r="A288" t="str">
        <v>SO-50032</v>
      </c>
      <c r="B288" t="str">
        <v>PL-NTE</v>
      </c>
      <c r="C288" t="str">
        <v>CD-HER</v>
      </c>
      <c r="D288" t="str">
        <v>BEB-1012</v>
      </c>
      <c r="E288">
        <v>1481</v>
      </c>
      <c r="F288" s="1">
        <v>46174</v>
      </c>
      <c r="G288" t="str">
        <v>In Transit</v>
      </c>
      <c r="H288" t="str">
        <v>OK</v>
      </c>
      <c r="I288">
        <v>15.66</v>
      </c>
      <c r="J288">
        <v>72</v>
      </c>
      <c r="K288">
        <v>306</v>
      </c>
      <c r="L288" t="str">
        <v>OK</v>
      </c>
      <c r="M288">
        <v>3</v>
      </c>
      <c r="O288">
        <f t="shared" si="32"/>
        <v>20.569444444444443</v>
      </c>
      <c r="P288">
        <f t="shared" si="33"/>
        <v>96.635249999999999</v>
      </c>
      <c r="Q288">
        <f t="shared" si="34"/>
        <v>62.331649831649827</v>
      </c>
      <c r="R288">
        <f t="shared" si="35"/>
        <v>1</v>
      </c>
      <c r="S288">
        <f t="shared" si="36"/>
        <v>96.635249999999999</v>
      </c>
      <c r="T288" t="str">
        <f t="shared" si="37"/>
        <v>OK</v>
      </c>
      <c r="U288" t="str">
        <f t="shared" si="38"/>
        <v>OK</v>
      </c>
      <c r="V288" t="str">
        <f t="shared" si="39"/>
        <v>OK</v>
      </c>
    </row>
    <row r="289" spans="1:22" x14ac:dyDescent="0.45">
      <c r="A289" t="str">
        <v>SO-50288</v>
      </c>
      <c r="B289" t="str">
        <v>PL-CEN</v>
      </c>
      <c r="C289" t="str">
        <v>CD-VER</v>
      </c>
      <c r="D289" t="str">
        <v>LAC-1002</v>
      </c>
      <c r="E289">
        <v>2698</v>
      </c>
      <c r="F289" s="1">
        <v>46174</v>
      </c>
      <c r="G289" t="str">
        <v>In Transit</v>
      </c>
      <c r="H289" t="str">
        <v>OK</v>
      </c>
      <c r="I289">
        <v>7.71</v>
      </c>
      <c r="J289">
        <v>101</v>
      </c>
      <c r="K289">
        <v>23</v>
      </c>
      <c r="L289" t="str">
        <v>OK</v>
      </c>
      <c r="M289">
        <v>3</v>
      </c>
      <c r="O289">
        <f t="shared" si="32"/>
        <v>26.712871287128714</v>
      </c>
      <c r="P289">
        <f t="shared" si="33"/>
        <v>86.673249999999996</v>
      </c>
      <c r="Q289">
        <f t="shared" si="34"/>
        <v>80.948094809480949</v>
      </c>
      <c r="R289">
        <f t="shared" si="35"/>
        <v>1</v>
      </c>
      <c r="S289">
        <f t="shared" si="36"/>
        <v>86.673249999999996</v>
      </c>
      <c r="T289" t="str">
        <f t="shared" si="37"/>
        <v>OK</v>
      </c>
      <c r="U289" t="str">
        <f t="shared" si="38"/>
        <v>OK</v>
      </c>
      <c r="V289" t="str">
        <f t="shared" si="39"/>
        <v>OK</v>
      </c>
    </row>
    <row r="290" spans="1:22" x14ac:dyDescent="0.45">
      <c r="A290" t="str">
        <v>SO-51023</v>
      </c>
      <c r="B290" t="str">
        <v>PL-CEN</v>
      </c>
      <c r="C290" t="str">
        <v>CD-CDMX</v>
      </c>
      <c r="D290" t="str">
        <v>LAC-1007</v>
      </c>
      <c r="E290">
        <v>1888</v>
      </c>
      <c r="F290" s="1">
        <v>46161</v>
      </c>
      <c r="G290" t="str">
        <v>In Transit</v>
      </c>
      <c r="H290" t="str">
        <v>OK</v>
      </c>
      <c r="I290">
        <v>10.37</v>
      </c>
      <c r="J290">
        <v>100</v>
      </c>
      <c r="K290">
        <v>24</v>
      </c>
      <c r="L290" t="str">
        <v>OK</v>
      </c>
      <c r="M290">
        <v>16</v>
      </c>
      <c r="O290">
        <f t="shared" si="32"/>
        <v>18.88</v>
      </c>
      <c r="P290">
        <f t="shared" si="33"/>
        <v>81.577333333333328</v>
      </c>
      <c r="Q290">
        <f t="shared" si="34"/>
        <v>57.212121212121211</v>
      </c>
      <c r="R290">
        <f t="shared" si="35"/>
        <v>1</v>
      </c>
      <c r="S290">
        <f t="shared" si="36"/>
        <v>81.577333333333328</v>
      </c>
      <c r="T290" t="str">
        <f t="shared" si="37"/>
        <v>OK</v>
      </c>
      <c r="U290" t="str">
        <f t="shared" si="38"/>
        <v>FEFO RIESGO</v>
      </c>
      <c r="V290" t="str">
        <f t="shared" si="39"/>
        <v>FANTASMA</v>
      </c>
    </row>
    <row r="291" spans="1:22" x14ac:dyDescent="0.45">
      <c r="A291" t="str">
        <v>SO-50763</v>
      </c>
      <c r="B291" t="str">
        <v>PL-CEN</v>
      </c>
      <c r="C291" t="str">
        <v>CD-VER</v>
      </c>
      <c r="D291" t="str">
        <v>BOT-1019</v>
      </c>
      <c r="E291">
        <v>2659</v>
      </c>
      <c r="F291" s="1">
        <v>46175</v>
      </c>
      <c r="G291" t="str">
        <v>In Transit</v>
      </c>
      <c r="H291" t="str">
        <v>OK</v>
      </c>
      <c r="I291">
        <v>3.44</v>
      </c>
      <c r="J291">
        <v>85</v>
      </c>
      <c r="K291">
        <v>102</v>
      </c>
      <c r="L291" t="str">
        <v>OK</v>
      </c>
      <c r="M291">
        <v>2</v>
      </c>
      <c r="O291">
        <f t="shared" si="32"/>
        <v>31.28235294117647</v>
      </c>
      <c r="P291">
        <f t="shared" si="33"/>
        <v>38.112333333333332</v>
      </c>
      <c r="Q291">
        <f t="shared" si="34"/>
        <v>94.795008912655959</v>
      </c>
      <c r="R291">
        <f t="shared" si="35"/>
        <v>1</v>
      </c>
      <c r="S291">
        <f t="shared" si="36"/>
        <v>94.795008912655959</v>
      </c>
      <c r="T291" t="str">
        <f t="shared" si="37"/>
        <v>OK</v>
      </c>
      <c r="U291" t="str">
        <f t="shared" si="38"/>
        <v>OK</v>
      </c>
      <c r="V291" t="str">
        <f t="shared" si="39"/>
        <v>OK</v>
      </c>
    </row>
    <row r="292" spans="1:22" x14ac:dyDescent="0.45">
      <c r="A292" t="str">
        <v>SO-50472</v>
      </c>
      <c r="B292" t="str">
        <v>PL-NTE</v>
      </c>
      <c r="C292" t="str">
        <v>CD-TIJ</v>
      </c>
      <c r="D292" t="str">
        <v>PRO-1005</v>
      </c>
      <c r="E292">
        <v>584</v>
      </c>
      <c r="F292" s="1">
        <v>46176</v>
      </c>
      <c r="G292" t="str">
        <v>In Transit</v>
      </c>
      <c r="H292" t="str">
        <v>OK</v>
      </c>
      <c r="I292">
        <v>11.02</v>
      </c>
      <c r="J292">
        <v>69</v>
      </c>
      <c r="K292">
        <v>86</v>
      </c>
      <c r="L292" t="str">
        <v>OK</v>
      </c>
      <c r="M292">
        <v>1</v>
      </c>
      <c r="O292">
        <f t="shared" si="32"/>
        <v>8.4637681159420293</v>
      </c>
      <c r="P292">
        <f t="shared" si="33"/>
        <v>26.815333333333331</v>
      </c>
      <c r="Q292">
        <f t="shared" si="34"/>
        <v>25.6477821695213</v>
      </c>
      <c r="R292">
        <f t="shared" si="35"/>
        <v>1</v>
      </c>
      <c r="S292">
        <f t="shared" si="36"/>
        <v>26.815333333333331</v>
      </c>
      <c r="T292" t="str">
        <f t="shared" si="37"/>
        <v>CARGA INEFICIENTE</v>
      </c>
      <c r="U292" t="str">
        <f t="shared" si="38"/>
        <v>OK</v>
      </c>
      <c r="V292" t="str">
        <f t="shared" si="39"/>
        <v>OK</v>
      </c>
    </row>
    <row r="293" spans="1:22" x14ac:dyDescent="0.45">
      <c r="A293" t="str">
        <v>SO-51028</v>
      </c>
      <c r="B293" t="str">
        <v>PL-NTE</v>
      </c>
      <c r="C293" t="str">
        <v>CD-CHI</v>
      </c>
      <c r="D293" t="str">
        <v>LAC-1001</v>
      </c>
      <c r="E293">
        <v>2438</v>
      </c>
      <c r="F293" s="1">
        <v>46163</v>
      </c>
      <c r="G293" t="str">
        <v>In Transit</v>
      </c>
      <c r="H293" t="str">
        <v>OK</v>
      </c>
      <c r="I293">
        <v>7.51</v>
      </c>
      <c r="J293">
        <v>83</v>
      </c>
      <c r="K293">
        <v>18</v>
      </c>
      <c r="L293" t="str">
        <v>OK</v>
      </c>
      <c r="M293">
        <v>14</v>
      </c>
      <c r="O293">
        <f t="shared" si="32"/>
        <v>29.373493975903614</v>
      </c>
      <c r="P293">
        <f t="shared" si="33"/>
        <v>76.289083333333338</v>
      </c>
      <c r="Q293">
        <f t="shared" si="34"/>
        <v>89.010587805768523</v>
      </c>
      <c r="R293">
        <f t="shared" si="35"/>
        <v>1</v>
      </c>
      <c r="S293">
        <f t="shared" si="36"/>
        <v>89.010587805768523</v>
      </c>
      <c r="T293" t="str">
        <f t="shared" si="37"/>
        <v>OK</v>
      </c>
      <c r="U293" t="str">
        <f t="shared" si="38"/>
        <v>FEFO RIESGO</v>
      </c>
      <c r="V293" t="str">
        <f t="shared" si="39"/>
        <v>FANTASMA</v>
      </c>
    </row>
    <row r="294" spans="1:22" x14ac:dyDescent="0.45">
      <c r="A294" t="str">
        <v>SO-50102</v>
      </c>
      <c r="B294" t="str">
        <v>PL-NTE</v>
      </c>
      <c r="C294" t="str">
        <v>CD-CHI</v>
      </c>
      <c r="D294" t="str">
        <v>BOT-1022</v>
      </c>
      <c r="E294">
        <v>1485</v>
      </c>
      <c r="F294" s="1">
        <v>46174</v>
      </c>
      <c r="G294" t="str">
        <v>In Transit</v>
      </c>
      <c r="H294" t="str">
        <v>OK</v>
      </c>
      <c r="I294">
        <v>3.48</v>
      </c>
      <c r="J294">
        <v>55</v>
      </c>
      <c r="K294">
        <v>118</v>
      </c>
      <c r="L294" t="str">
        <v>OK</v>
      </c>
      <c r="M294">
        <v>3</v>
      </c>
      <c r="O294">
        <f t="shared" si="32"/>
        <v>27</v>
      </c>
      <c r="P294">
        <f t="shared" si="33"/>
        <v>21.532500000000002</v>
      </c>
      <c r="Q294">
        <f t="shared" si="34"/>
        <v>81.818181818181827</v>
      </c>
      <c r="R294">
        <f t="shared" si="35"/>
        <v>1</v>
      </c>
      <c r="S294">
        <f t="shared" si="36"/>
        <v>81.818181818181827</v>
      </c>
      <c r="T294" t="str">
        <f t="shared" si="37"/>
        <v>OK</v>
      </c>
      <c r="U294" t="str">
        <f t="shared" si="38"/>
        <v>OK</v>
      </c>
      <c r="V294" t="str">
        <f t="shared" si="39"/>
        <v>OK</v>
      </c>
    </row>
    <row r="295" spans="1:22" x14ac:dyDescent="0.45">
      <c r="A295" t="str">
        <v>SO-50904</v>
      </c>
      <c r="B295" t="str">
        <v>PL-NTE</v>
      </c>
      <c r="C295" t="str">
        <v>CD-SAL</v>
      </c>
      <c r="D295" t="str">
        <v>LAC-1005</v>
      </c>
      <c r="E295">
        <v>2500</v>
      </c>
      <c r="F295" s="1">
        <v>46175</v>
      </c>
      <c r="G295" t="str">
        <v>In Transit</v>
      </c>
      <c r="H295" t="str">
        <v>OK</v>
      </c>
      <c r="I295">
        <v>8.94</v>
      </c>
      <c r="J295">
        <v>100</v>
      </c>
      <c r="K295">
        <v>17</v>
      </c>
      <c r="L295" t="str">
        <v>OK</v>
      </c>
      <c r="M295">
        <v>2</v>
      </c>
      <c r="O295">
        <f t="shared" si="32"/>
        <v>25</v>
      </c>
      <c r="P295">
        <f t="shared" si="33"/>
        <v>93.125</v>
      </c>
      <c r="Q295">
        <f t="shared" si="34"/>
        <v>75.757575757575751</v>
      </c>
      <c r="R295">
        <f t="shared" si="35"/>
        <v>1</v>
      </c>
      <c r="S295">
        <f t="shared" si="36"/>
        <v>93.125</v>
      </c>
      <c r="T295" t="str">
        <f t="shared" si="37"/>
        <v>OK</v>
      </c>
      <c r="U295" t="str">
        <f t="shared" si="38"/>
        <v>OK</v>
      </c>
      <c r="V295" t="str">
        <f t="shared" si="39"/>
        <v>OK</v>
      </c>
    </row>
    <row r="296" spans="1:22" x14ac:dyDescent="0.45">
      <c r="A296" t="str">
        <v>SO-50912</v>
      </c>
      <c r="B296" t="str">
        <v>PL-CEN</v>
      </c>
      <c r="C296" t="str">
        <v>CD-VER</v>
      </c>
      <c r="D296" t="str">
        <v>LAC-1005</v>
      </c>
      <c r="E296">
        <v>2296</v>
      </c>
      <c r="F296" s="1">
        <v>46174</v>
      </c>
      <c r="G296" t="str">
        <v>In Transit</v>
      </c>
      <c r="H296" t="str">
        <v>OK</v>
      </c>
      <c r="I296">
        <v>8.94</v>
      </c>
      <c r="J296">
        <v>100</v>
      </c>
      <c r="K296">
        <v>17</v>
      </c>
      <c r="L296" t="str">
        <v>OK</v>
      </c>
      <c r="M296">
        <v>3</v>
      </c>
      <c r="O296">
        <f t="shared" si="32"/>
        <v>22.96</v>
      </c>
      <c r="P296">
        <f t="shared" si="33"/>
        <v>85.525999999999996</v>
      </c>
      <c r="Q296">
        <f t="shared" si="34"/>
        <v>69.575757575757578</v>
      </c>
      <c r="R296">
        <f t="shared" si="35"/>
        <v>1</v>
      </c>
      <c r="S296">
        <f t="shared" si="36"/>
        <v>85.525999999999996</v>
      </c>
      <c r="T296" t="str">
        <f t="shared" si="37"/>
        <v>OK</v>
      </c>
      <c r="U296" t="str">
        <f t="shared" si="38"/>
        <v>OK</v>
      </c>
      <c r="V296" t="str">
        <f t="shared" si="39"/>
        <v>OK</v>
      </c>
    </row>
    <row r="297" spans="1:22" x14ac:dyDescent="0.45">
      <c r="A297" t="str">
        <v>SO-50410</v>
      </c>
      <c r="B297" t="str">
        <v>PL-CEN</v>
      </c>
      <c r="C297" t="str">
        <v>CD-CDMX</v>
      </c>
      <c r="D297" t="str">
        <v>PRO-1005</v>
      </c>
      <c r="E297">
        <v>1032</v>
      </c>
      <c r="F297" s="1">
        <v>46176</v>
      </c>
      <c r="G297" t="str">
        <v>In Transit</v>
      </c>
      <c r="H297" t="str">
        <v>OK</v>
      </c>
      <c r="I297">
        <v>11.02</v>
      </c>
      <c r="J297">
        <v>69</v>
      </c>
      <c r="K297">
        <v>86</v>
      </c>
      <c r="L297" t="str">
        <v>OK</v>
      </c>
      <c r="M297">
        <v>1</v>
      </c>
      <c r="O297">
        <f t="shared" si="32"/>
        <v>14.956521739130435</v>
      </c>
      <c r="P297">
        <f t="shared" si="33"/>
        <v>47.386000000000003</v>
      </c>
      <c r="Q297">
        <f t="shared" si="34"/>
        <v>45.322793148880109</v>
      </c>
      <c r="R297">
        <f t="shared" si="35"/>
        <v>1</v>
      </c>
      <c r="S297">
        <f t="shared" si="36"/>
        <v>47.386000000000003</v>
      </c>
      <c r="T297" t="str">
        <f t="shared" si="37"/>
        <v>CARGA INEFICIENTE</v>
      </c>
      <c r="U297" t="str">
        <f t="shared" si="38"/>
        <v>OK</v>
      </c>
      <c r="V297" t="str">
        <f t="shared" si="39"/>
        <v>OK</v>
      </c>
    </row>
    <row r="298" spans="1:22" x14ac:dyDescent="0.45">
      <c r="A298" t="str">
        <v>SO-50888</v>
      </c>
      <c r="B298" t="str">
        <v>PL-CEN</v>
      </c>
      <c r="C298" t="str">
        <v>CD-PUE</v>
      </c>
      <c r="D298" t="str">
        <v>BOT-1000</v>
      </c>
      <c r="E298">
        <v>1968</v>
      </c>
      <c r="F298" s="1">
        <v>46176</v>
      </c>
      <c r="G298" t="str">
        <v>In Transit</v>
      </c>
      <c r="H298" t="str">
        <v>OK</v>
      </c>
      <c r="I298">
        <v>3.56</v>
      </c>
      <c r="J298">
        <v>64</v>
      </c>
      <c r="K298">
        <v>92</v>
      </c>
      <c r="L298" t="str">
        <v>OK</v>
      </c>
      <c r="M298">
        <v>1</v>
      </c>
      <c r="O298">
        <f t="shared" si="32"/>
        <v>30.75</v>
      </c>
      <c r="P298">
        <f t="shared" si="33"/>
        <v>29.192</v>
      </c>
      <c r="Q298">
        <f t="shared" si="34"/>
        <v>93.181818181818173</v>
      </c>
      <c r="R298">
        <f t="shared" si="35"/>
        <v>1</v>
      </c>
      <c r="S298">
        <f t="shared" si="36"/>
        <v>93.181818181818173</v>
      </c>
      <c r="T298" t="str">
        <f t="shared" si="37"/>
        <v>OK</v>
      </c>
      <c r="U298" t="str">
        <f t="shared" si="38"/>
        <v>OK</v>
      </c>
      <c r="V298" t="str">
        <f t="shared" si="39"/>
        <v>OK</v>
      </c>
    </row>
    <row r="299" spans="1:22" x14ac:dyDescent="0.45">
      <c r="A299" t="str">
        <v>SO-50044</v>
      </c>
      <c r="B299" t="str">
        <v>PL-CEN</v>
      </c>
      <c r="C299" t="str">
        <v>CD-QRO</v>
      </c>
      <c r="D299" t="str">
        <v>BEB-1017</v>
      </c>
      <c r="E299">
        <v>441</v>
      </c>
      <c r="F299" s="1">
        <v>46175</v>
      </c>
      <c r="G299" t="str">
        <v>In Transit</v>
      </c>
      <c r="H299" t="str">
        <v>OK</v>
      </c>
      <c r="I299">
        <v>21.3</v>
      </c>
      <c r="J299">
        <v>108</v>
      </c>
      <c r="K299">
        <v>345</v>
      </c>
      <c r="L299" t="str">
        <v>OK</v>
      </c>
      <c r="M299">
        <v>2</v>
      </c>
      <c r="O299">
        <f t="shared" si="32"/>
        <v>4.083333333333333</v>
      </c>
      <c r="P299">
        <f t="shared" si="33"/>
        <v>39.138750000000009</v>
      </c>
      <c r="Q299">
        <f t="shared" si="34"/>
        <v>12.373737373737374</v>
      </c>
      <c r="R299">
        <f t="shared" si="35"/>
        <v>1</v>
      </c>
      <c r="S299">
        <f t="shared" si="36"/>
        <v>39.138750000000009</v>
      </c>
      <c r="T299" t="str">
        <f t="shared" si="37"/>
        <v>CARGA INEFICIENTE</v>
      </c>
      <c r="U299" t="str">
        <f t="shared" si="38"/>
        <v>OK</v>
      </c>
      <c r="V299" t="str">
        <f t="shared" si="39"/>
        <v>OK</v>
      </c>
    </row>
    <row r="300" spans="1:22" x14ac:dyDescent="0.45">
      <c r="A300" t="str">
        <v>SO-50852</v>
      </c>
      <c r="B300" t="str">
        <v>PL-NTE</v>
      </c>
      <c r="C300" t="str">
        <v>CD-CHI</v>
      </c>
      <c r="D300" t="str">
        <v>PRO-1010</v>
      </c>
      <c r="E300">
        <v>1158</v>
      </c>
      <c r="F300" s="1">
        <v>46174</v>
      </c>
      <c r="G300" t="str">
        <v>In Transit</v>
      </c>
      <c r="H300" t="str">
        <v>OK</v>
      </c>
      <c r="I300">
        <v>7.76</v>
      </c>
      <c r="J300">
        <v>86</v>
      </c>
      <c r="K300">
        <v>112</v>
      </c>
      <c r="L300" t="str">
        <v>OK</v>
      </c>
      <c r="M300">
        <v>3</v>
      </c>
      <c r="O300">
        <f t="shared" si="32"/>
        <v>13.465116279069768</v>
      </c>
      <c r="P300">
        <f t="shared" si="33"/>
        <v>37.442</v>
      </c>
      <c r="Q300">
        <f t="shared" si="34"/>
        <v>40.803382663847785</v>
      </c>
      <c r="R300">
        <f t="shared" si="35"/>
        <v>1</v>
      </c>
      <c r="S300">
        <f t="shared" si="36"/>
        <v>40.803382663847785</v>
      </c>
      <c r="T300" t="str">
        <f t="shared" si="37"/>
        <v>CARGA INEFICIENTE</v>
      </c>
      <c r="U300" t="str">
        <f t="shared" si="38"/>
        <v>OK</v>
      </c>
      <c r="V300" t="str">
        <f t="shared" si="39"/>
        <v>OK</v>
      </c>
    </row>
    <row r="301" spans="1:22" x14ac:dyDescent="0.45">
      <c r="A301" t="str">
        <v>SO-50627</v>
      </c>
      <c r="B301" t="str">
        <v>PL-NTE</v>
      </c>
      <c r="C301" t="str">
        <v>CD-CHI</v>
      </c>
      <c r="D301" t="str">
        <v>BOT-1000</v>
      </c>
      <c r="E301">
        <v>2044</v>
      </c>
      <c r="F301" s="1">
        <v>46174</v>
      </c>
      <c r="G301" t="str">
        <v>In Transit</v>
      </c>
      <c r="H301" t="str">
        <v>OK</v>
      </c>
      <c r="I301">
        <v>3.56</v>
      </c>
      <c r="J301">
        <v>64</v>
      </c>
      <c r="K301">
        <v>92</v>
      </c>
      <c r="L301" t="str">
        <v>OK</v>
      </c>
      <c r="M301">
        <v>3</v>
      </c>
      <c r="O301">
        <f t="shared" si="32"/>
        <v>31.9375</v>
      </c>
      <c r="P301">
        <f t="shared" si="33"/>
        <v>30.319333333333336</v>
      </c>
      <c r="Q301">
        <f t="shared" si="34"/>
        <v>96.780303030303031</v>
      </c>
      <c r="R301">
        <f t="shared" si="35"/>
        <v>1</v>
      </c>
      <c r="S301">
        <f t="shared" si="36"/>
        <v>96.780303030303031</v>
      </c>
      <c r="T301" t="str">
        <f t="shared" si="37"/>
        <v>OK</v>
      </c>
      <c r="U301" t="str">
        <f t="shared" si="38"/>
        <v>OK</v>
      </c>
      <c r="V301" t="str">
        <f t="shared" si="39"/>
        <v>OK</v>
      </c>
    </row>
    <row r="302" spans="1:22" x14ac:dyDescent="0.45">
      <c r="A302" t="str">
        <v>SO-50373</v>
      </c>
      <c r="B302" t="str">
        <v>PL-CEN</v>
      </c>
      <c r="C302" t="str">
        <v>CD-QRO</v>
      </c>
      <c r="D302" t="str">
        <v>LAC-1009</v>
      </c>
      <c r="E302">
        <v>554</v>
      </c>
      <c r="F302" s="1">
        <v>46176</v>
      </c>
      <c r="G302" t="str">
        <v>Delivered</v>
      </c>
      <c r="H302" t="str">
        <v>OK</v>
      </c>
      <c r="I302">
        <v>11.01</v>
      </c>
      <c r="J302">
        <v>98</v>
      </c>
      <c r="K302">
        <v>16</v>
      </c>
      <c r="L302" t="str">
        <v>OK</v>
      </c>
      <c r="M302">
        <v>1</v>
      </c>
      <c r="O302">
        <f t="shared" si="32"/>
        <v>5.6530612244897958</v>
      </c>
      <c r="P302">
        <f t="shared" si="33"/>
        <v>25.414750000000002</v>
      </c>
      <c r="Q302">
        <f t="shared" si="34"/>
        <v>17.130488559059987</v>
      </c>
      <c r="R302">
        <f t="shared" si="35"/>
        <v>1</v>
      </c>
      <c r="S302">
        <f t="shared" si="36"/>
        <v>25.414750000000002</v>
      </c>
      <c r="T302" t="str">
        <f t="shared" si="37"/>
        <v>CARGA INEFICIENTE</v>
      </c>
      <c r="U302" t="str">
        <f t="shared" si="38"/>
        <v>OK</v>
      </c>
      <c r="V302" t="str">
        <f t="shared" si="39"/>
        <v>OK</v>
      </c>
    </row>
    <row r="303" spans="1:22" x14ac:dyDescent="0.45">
      <c r="A303" t="str">
        <v>SO-50017</v>
      </c>
      <c r="B303" t="str">
        <v>PL-CEN</v>
      </c>
      <c r="C303" t="str">
        <v>CD-VER</v>
      </c>
      <c r="D303" t="str">
        <v>BOT-1006</v>
      </c>
      <c r="E303">
        <v>1152</v>
      </c>
      <c r="F303" s="1">
        <v>46176</v>
      </c>
      <c r="G303" t="str">
        <v>Delivered</v>
      </c>
      <c r="H303" t="str">
        <v>OK</v>
      </c>
      <c r="I303">
        <v>4.24</v>
      </c>
      <c r="J303">
        <v>41</v>
      </c>
      <c r="K303">
        <v>111</v>
      </c>
      <c r="L303" t="str">
        <v>OK</v>
      </c>
      <c r="M303">
        <v>1</v>
      </c>
      <c r="O303">
        <f t="shared" si="32"/>
        <v>28.097560975609756</v>
      </c>
      <c r="P303">
        <f t="shared" si="33"/>
        <v>20.352</v>
      </c>
      <c r="Q303">
        <f t="shared" si="34"/>
        <v>85.144124168514409</v>
      </c>
      <c r="R303">
        <f t="shared" si="35"/>
        <v>1</v>
      </c>
      <c r="S303">
        <f t="shared" si="36"/>
        <v>85.144124168514409</v>
      </c>
      <c r="T303" t="str">
        <f t="shared" si="37"/>
        <v>OK</v>
      </c>
      <c r="U303" t="str">
        <f t="shared" si="38"/>
        <v>OK</v>
      </c>
      <c r="V303" t="str">
        <f t="shared" si="39"/>
        <v>OK</v>
      </c>
    </row>
    <row r="304" spans="1:22" x14ac:dyDescent="0.45">
      <c r="A304" t="str">
        <v>SO-50715</v>
      </c>
      <c r="B304" t="str">
        <v>PL-NTE</v>
      </c>
      <c r="C304" t="str">
        <v>CD-MTY</v>
      </c>
      <c r="D304" t="str">
        <v>BOT-1016</v>
      </c>
      <c r="E304">
        <v>1280</v>
      </c>
      <c r="F304" s="1">
        <v>46176</v>
      </c>
      <c r="G304" t="str">
        <v>In Transit</v>
      </c>
      <c r="H304" t="str">
        <v>OK</v>
      </c>
      <c r="I304">
        <v>5.53</v>
      </c>
      <c r="J304">
        <v>42</v>
      </c>
      <c r="K304">
        <v>114</v>
      </c>
      <c r="L304" t="str">
        <v>OK</v>
      </c>
      <c r="M304">
        <v>1</v>
      </c>
      <c r="O304">
        <f t="shared" si="32"/>
        <v>30.476190476190474</v>
      </c>
      <c r="P304">
        <f t="shared" si="33"/>
        <v>29.493333333333339</v>
      </c>
      <c r="Q304">
        <f t="shared" si="34"/>
        <v>92.352092352092356</v>
      </c>
      <c r="R304">
        <f t="shared" si="35"/>
        <v>1</v>
      </c>
      <c r="S304">
        <f t="shared" si="36"/>
        <v>92.352092352092356</v>
      </c>
      <c r="T304" t="str">
        <f t="shared" si="37"/>
        <v>OK</v>
      </c>
      <c r="U304" t="str">
        <f t="shared" si="38"/>
        <v>OK</v>
      </c>
      <c r="V304" t="str">
        <f t="shared" si="39"/>
        <v>OK</v>
      </c>
    </row>
    <row r="305" spans="1:22" x14ac:dyDescent="0.45">
      <c r="A305" t="str">
        <v>SO-50670</v>
      </c>
      <c r="B305" t="str">
        <v>PL-SUR</v>
      </c>
      <c r="C305" t="str">
        <v>CD-CAN</v>
      </c>
      <c r="D305" t="str">
        <v>ABA-1016</v>
      </c>
      <c r="E305">
        <v>1382</v>
      </c>
      <c r="F305" s="1">
        <v>46174</v>
      </c>
      <c r="G305" t="str">
        <v>In Transit</v>
      </c>
      <c r="H305" t="str">
        <v>OK</v>
      </c>
      <c r="I305">
        <v>15.52</v>
      </c>
      <c r="J305">
        <v>121</v>
      </c>
      <c r="K305">
        <v>517</v>
      </c>
      <c r="L305" t="str">
        <v>OK</v>
      </c>
      <c r="M305">
        <v>3</v>
      </c>
      <c r="O305">
        <f t="shared" si="32"/>
        <v>11.421487603305785</v>
      </c>
      <c r="P305">
        <f t="shared" si="33"/>
        <v>89.36933333333333</v>
      </c>
      <c r="Q305">
        <f t="shared" si="34"/>
        <v>34.610568494866015</v>
      </c>
      <c r="R305">
        <f t="shared" si="35"/>
        <v>1</v>
      </c>
      <c r="S305">
        <f t="shared" si="36"/>
        <v>89.36933333333333</v>
      </c>
      <c r="T305" t="str">
        <f t="shared" si="37"/>
        <v>OK</v>
      </c>
      <c r="U305" t="str">
        <f t="shared" si="38"/>
        <v>OK</v>
      </c>
      <c r="V305" t="str">
        <f t="shared" si="39"/>
        <v>OK</v>
      </c>
    </row>
    <row r="306" spans="1:22" x14ac:dyDescent="0.45">
      <c r="A306" t="str">
        <v>SO-50578</v>
      </c>
      <c r="B306" t="str">
        <v>PL-NTE</v>
      </c>
      <c r="C306" t="str">
        <v>CD-HER</v>
      </c>
      <c r="D306" t="str">
        <v>PRO-1015</v>
      </c>
      <c r="E306">
        <v>2965</v>
      </c>
      <c r="F306" s="1">
        <v>46173</v>
      </c>
      <c r="G306" t="str">
        <v>Delivered</v>
      </c>
      <c r="H306" t="str">
        <v>OK</v>
      </c>
      <c r="I306">
        <v>6.16</v>
      </c>
      <c r="J306">
        <v>104</v>
      </c>
      <c r="K306">
        <v>67</v>
      </c>
      <c r="L306" t="str">
        <v>OK</v>
      </c>
      <c r="M306">
        <v>4</v>
      </c>
      <c r="O306">
        <f t="shared" si="32"/>
        <v>28.509615384615383</v>
      </c>
      <c r="P306">
        <f t="shared" si="33"/>
        <v>76.101666666666674</v>
      </c>
      <c r="Q306">
        <f t="shared" si="34"/>
        <v>86.392773892773889</v>
      </c>
      <c r="R306">
        <f t="shared" si="35"/>
        <v>1</v>
      </c>
      <c r="S306">
        <f t="shared" si="36"/>
        <v>86.392773892773889</v>
      </c>
      <c r="T306" t="str">
        <f t="shared" si="37"/>
        <v>OK</v>
      </c>
      <c r="U306" t="str">
        <f t="shared" si="38"/>
        <v>OK</v>
      </c>
      <c r="V306" t="str">
        <f t="shared" si="39"/>
        <v>OK</v>
      </c>
    </row>
    <row r="307" spans="1:22" x14ac:dyDescent="0.45">
      <c r="A307" t="str">
        <v>SO-50392</v>
      </c>
      <c r="B307" t="str">
        <v>PL-CEN</v>
      </c>
      <c r="C307" t="str">
        <v>CD-TOL</v>
      </c>
      <c r="D307" t="str">
        <v>BOT-1002</v>
      </c>
      <c r="E307">
        <v>1371</v>
      </c>
      <c r="F307" s="1">
        <v>46176</v>
      </c>
      <c r="G307" t="str">
        <v>In Transit</v>
      </c>
      <c r="H307" t="str">
        <v>OK</v>
      </c>
      <c r="I307">
        <v>3.02</v>
      </c>
      <c r="J307">
        <v>84</v>
      </c>
      <c r="K307">
        <v>111</v>
      </c>
      <c r="L307" t="str">
        <v>OK</v>
      </c>
      <c r="M307">
        <v>1</v>
      </c>
      <c r="O307">
        <f t="shared" si="32"/>
        <v>16.321428571428573</v>
      </c>
      <c r="P307">
        <f t="shared" si="33"/>
        <v>17.251749999999998</v>
      </c>
      <c r="Q307">
        <f t="shared" si="34"/>
        <v>49.458874458874462</v>
      </c>
      <c r="R307">
        <f t="shared" si="35"/>
        <v>1</v>
      </c>
      <c r="S307">
        <f t="shared" si="36"/>
        <v>49.458874458874462</v>
      </c>
      <c r="T307" t="str">
        <f t="shared" si="37"/>
        <v>CARGA INEFICIENTE</v>
      </c>
      <c r="U307" t="str">
        <f t="shared" si="38"/>
        <v>OK</v>
      </c>
      <c r="V307" t="str">
        <f t="shared" si="39"/>
        <v>OK</v>
      </c>
    </row>
    <row r="308" spans="1:22" x14ac:dyDescent="0.45">
      <c r="A308" t="str">
        <v>SO-50544</v>
      </c>
      <c r="B308" t="str">
        <v>PL-NTE</v>
      </c>
      <c r="C308" t="str">
        <v>CD-TIJ</v>
      </c>
      <c r="D308" t="str">
        <v>ABA-1006</v>
      </c>
      <c r="E308">
        <v>1613</v>
      </c>
      <c r="F308" s="1">
        <v>46173</v>
      </c>
      <c r="G308" t="str">
        <v>In Transit</v>
      </c>
      <c r="H308" t="str">
        <v>OK</v>
      </c>
      <c r="I308">
        <v>12.39</v>
      </c>
      <c r="J308">
        <v>134</v>
      </c>
      <c r="K308">
        <v>446</v>
      </c>
      <c r="L308" t="str">
        <v>OK</v>
      </c>
      <c r="M308">
        <v>4</v>
      </c>
      <c r="O308">
        <f t="shared" si="32"/>
        <v>12.037313432835822</v>
      </c>
      <c r="P308">
        <f t="shared" si="33"/>
        <v>83.271124999999998</v>
      </c>
      <c r="Q308">
        <f t="shared" si="34"/>
        <v>36.476707372229761</v>
      </c>
      <c r="R308">
        <f t="shared" si="35"/>
        <v>1</v>
      </c>
      <c r="S308">
        <f t="shared" si="36"/>
        <v>83.271124999999998</v>
      </c>
      <c r="T308" t="str">
        <f t="shared" si="37"/>
        <v>OK</v>
      </c>
      <c r="U308" t="str">
        <f t="shared" si="38"/>
        <v>OK</v>
      </c>
      <c r="V308" t="str">
        <f t="shared" si="39"/>
        <v>OK</v>
      </c>
    </row>
    <row r="309" spans="1:22" x14ac:dyDescent="0.45">
      <c r="A309" t="str">
        <v>SO-50505</v>
      </c>
      <c r="B309" t="str">
        <v>PL-CEN</v>
      </c>
      <c r="C309" t="str">
        <v>CD-VER</v>
      </c>
      <c r="D309" t="str">
        <v>BEB-1005</v>
      </c>
      <c r="E309">
        <v>1470</v>
      </c>
      <c r="F309" s="1">
        <v>46175</v>
      </c>
      <c r="G309" t="str">
        <v>In Transit</v>
      </c>
      <c r="H309" t="str">
        <v>OK</v>
      </c>
      <c r="I309">
        <v>14.2</v>
      </c>
      <c r="J309">
        <v>95</v>
      </c>
      <c r="K309">
        <v>277</v>
      </c>
      <c r="L309" t="str">
        <v>OK</v>
      </c>
      <c r="M309">
        <v>2</v>
      </c>
      <c r="O309">
        <f t="shared" si="32"/>
        <v>15.473684210526315</v>
      </c>
      <c r="P309">
        <f t="shared" si="33"/>
        <v>86.975000000000009</v>
      </c>
      <c r="Q309">
        <f t="shared" si="34"/>
        <v>46.889952153110045</v>
      </c>
      <c r="R309">
        <f t="shared" si="35"/>
        <v>1</v>
      </c>
      <c r="S309">
        <f t="shared" si="36"/>
        <v>86.975000000000009</v>
      </c>
      <c r="T309" t="str">
        <f t="shared" si="37"/>
        <v>OK</v>
      </c>
      <c r="U309" t="str">
        <f t="shared" si="38"/>
        <v>OK</v>
      </c>
      <c r="V309" t="str">
        <f t="shared" si="39"/>
        <v>OK</v>
      </c>
    </row>
    <row r="310" spans="1:22" x14ac:dyDescent="0.45">
      <c r="A310" t="str">
        <v>SO-51104</v>
      </c>
      <c r="B310" t="str">
        <v>PL-SUR</v>
      </c>
      <c r="C310" t="str">
        <v>CD-GDL</v>
      </c>
      <c r="D310" t="str">
        <v>ABA-1013</v>
      </c>
      <c r="E310">
        <v>635</v>
      </c>
      <c r="F310" s="1">
        <v>46168</v>
      </c>
      <c r="G310" t="str">
        <v>In Transit</v>
      </c>
      <c r="H310" t="str">
        <v>OK</v>
      </c>
      <c r="I310">
        <v>12.02</v>
      </c>
      <c r="J310">
        <v>75</v>
      </c>
      <c r="K310">
        <v>402</v>
      </c>
      <c r="L310" t="str">
        <v>OK</v>
      </c>
      <c r="M310">
        <v>9</v>
      </c>
      <c r="O310">
        <f t="shared" si="32"/>
        <v>8.4666666666666668</v>
      </c>
      <c r="P310">
        <f t="shared" si="33"/>
        <v>31.802916666666665</v>
      </c>
      <c r="Q310">
        <f t="shared" si="34"/>
        <v>25.656565656565654</v>
      </c>
      <c r="R310">
        <f t="shared" si="35"/>
        <v>1</v>
      </c>
      <c r="S310">
        <f t="shared" si="36"/>
        <v>31.802916666666665</v>
      </c>
      <c r="T310" t="str">
        <f t="shared" si="37"/>
        <v>CARGA INEFICIENTE</v>
      </c>
      <c r="U310" t="str">
        <f t="shared" si="38"/>
        <v>OK</v>
      </c>
      <c r="V310" t="str">
        <f t="shared" si="39"/>
        <v>FANTASMA</v>
      </c>
    </row>
    <row r="311" spans="1:22" x14ac:dyDescent="0.45">
      <c r="A311" t="str">
        <v>SO-50399</v>
      </c>
      <c r="B311" t="str">
        <v>PL-CEN</v>
      </c>
      <c r="C311" t="str">
        <v>CD-QRO</v>
      </c>
      <c r="D311" t="str">
        <v>LAC-1011</v>
      </c>
      <c r="E311">
        <v>1155</v>
      </c>
      <c r="F311" s="1">
        <v>46175</v>
      </c>
      <c r="G311" t="str">
        <v>In Transit</v>
      </c>
      <c r="H311" t="str">
        <v>OK</v>
      </c>
      <c r="I311">
        <v>6.1</v>
      </c>
      <c r="J311">
        <v>137</v>
      </c>
      <c r="K311">
        <v>17</v>
      </c>
      <c r="L311" t="str">
        <v>OK</v>
      </c>
      <c r="M311">
        <v>2</v>
      </c>
      <c r="O311">
        <f t="shared" si="32"/>
        <v>8.4306569343065689</v>
      </c>
      <c r="P311">
        <f t="shared" si="33"/>
        <v>29.356249999999999</v>
      </c>
      <c r="Q311">
        <f t="shared" si="34"/>
        <v>25.54744525547445</v>
      </c>
      <c r="R311">
        <f t="shared" si="35"/>
        <v>1</v>
      </c>
      <c r="S311">
        <f t="shared" si="36"/>
        <v>29.356249999999999</v>
      </c>
      <c r="T311" t="str">
        <f t="shared" si="37"/>
        <v>CARGA INEFICIENTE</v>
      </c>
      <c r="U311" t="str">
        <f t="shared" si="38"/>
        <v>OK</v>
      </c>
      <c r="V311" t="str">
        <f t="shared" si="39"/>
        <v>OK</v>
      </c>
    </row>
    <row r="312" spans="1:22" x14ac:dyDescent="0.45">
      <c r="A312" t="str">
        <v>SO-51014</v>
      </c>
      <c r="B312" t="str">
        <v>PL-NTE</v>
      </c>
      <c r="C312" t="str">
        <v>CD-CHI</v>
      </c>
      <c r="D312" t="str">
        <v>LAC-1013</v>
      </c>
      <c r="E312">
        <v>1575</v>
      </c>
      <c r="F312" s="1">
        <v>46167</v>
      </c>
      <c r="G312" t="str">
        <v>In Transit</v>
      </c>
      <c r="H312" t="str">
        <v>OK</v>
      </c>
      <c r="I312">
        <v>8.32</v>
      </c>
      <c r="J312">
        <v>98</v>
      </c>
      <c r="K312">
        <v>16</v>
      </c>
      <c r="L312" t="str">
        <v>OK</v>
      </c>
      <c r="M312">
        <v>10</v>
      </c>
      <c r="O312">
        <f t="shared" si="32"/>
        <v>16.071428571428573</v>
      </c>
      <c r="P312">
        <f t="shared" si="33"/>
        <v>54.6</v>
      </c>
      <c r="Q312">
        <f t="shared" si="34"/>
        <v>48.701298701298704</v>
      </c>
      <c r="R312">
        <f t="shared" si="35"/>
        <v>1</v>
      </c>
      <c r="S312">
        <f t="shared" si="36"/>
        <v>54.6</v>
      </c>
      <c r="T312" t="str">
        <f t="shared" si="37"/>
        <v>CARGA INEFICIENTE</v>
      </c>
      <c r="U312" t="str">
        <f t="shared" si="38"/>
        <v>FEFO RIESGO</v>
      </c>
      <c r="V312" t="str">
        <f t="shared" si="39"/>
        <v>FANTASMA</v>
      </c>
    </row>
    <row r="313" spans="1:22" x14ac:dyDescent="0.45">
      <c r="A313" t="str">
        <v>SO-50034</v>
      </c>
      <c r="B313" t="str">
        <v>PL-CEN</v>
      </c>
      <c r="C313" t="str">
        <v>CD-PUE</v>
      </c>
      <c r="D313" t="str">
        <v>BOT-1023</v>
      </c>
      <c r="E313">
        <v>1255</v>
      </c>
      <c r="F313" s="1">
        <v>46176</v>
      </c>
      <c r="G313" t="str">
        <v>In Transit</v>
      </c>
      <c r="H313" t="str">
        <v>OK</v>
      </c>
      <c r="I313">
        <v>4.29</v>
      </c>
      <c r="J313">
        <v>44</v>
      </c>
      <c r="K313">
        <v>111</v>
      </c>
      <c r="L313" t="str">
        <v>OK</v>
      </c>
      <c r="M313">
        <v>1</v>
      </c>
      <c r="O313">
        <f t="shared" si="32"/>
        <v>28.522727272727273</v>
      </c>
      <c r="P313">
        <f t="shared" si="33"/>
        <v>22.433124999999997</v>
      </c>
      <c r="Q313">
        <f t="shared" si="34"/>
        <v>86.432506887052341</v>
      </c>
      <c r="R313">
        <f t="shared" si="35"/>
        <v>1</v>
      </c>
      <c r="S313">
        <f t="shared" si="36"/>
        <v>86.432506887052341</v>
      </c>
      <c r="T313" t="str">
        <f t="shared" si="37"/>
        <v>OK</v>
      </c>
      <c r="U313" t="str">
        <f t="shared" si="38"/>
        <v>OK</v>
      </c>
      <c r="V313" t="str">
        <f t="shared" si="39"/>
        <v>OK</v>
      </c>
    </row>
    <row r="314" spans="1:22" x14ac:dyDescent="0.45">
      <c r="A314" t="str">
        <v>SO-50829</v>
      </c>
      <c r="B314" t="str">
        <v>PL-NTE</v>
      </c>
      <c r="C314" t="str">
        <v>CD-HER</v>
      </c>
      <c r="D314" t="str">
        <v>BEB-1019</v>
      </c>
      <c r="E314">
        <v>610</v>
      </c>
      <c r="F314" s="1">
        <v>46175</v>
      </c>
      <c r="G314" t="str">
        <v>In Transit</v>
      </c>
      <c r="H314" t="str">
        <v>OK</v>
      </c>
      <c r="I314">
        <v>14.35</v>
      </c>
      <c r="J314">
        <v>70</v>
      </c>
      <c r="K314">
        <v>240</v>
      </c>
      <c r="L314" t="str">
        <v>OK</v>
      </c>
      <c r="M314">
        <v>2</v>
      </c>
      <c r="O314">
        <f t="shared" si="32"/>
        <v>8.7142857142857135</v>
      </c>
      <c r="P314">
        <f t="shared" si="33"/>
        <v>36.472916666666663</v>
      </c>
      <c r="Q314">
        <f t="shared" si="34"/>
        <v>26.406926406926406</v>
      </c>
      <c r="R314">
        <f t="shared" si="35"/>
        <v>1</v>
      </c>
      <c r="S314">
        <f t="shared" si="36"/>
        <v>36.472916666666663</v>
      </c>
      <c r="T314" t="str">
        <f t="shared" si="37"/>
        <v>CARGA INEFICIENTE</v>
      </c>
      <c r="U314" t="str">
        <f t="shared" si="38"/>
        <v>OK</v>
      </c>
      <c r="V314" t="str">
        <f t="shared" si="39"/>
        <v>OK</v>
      </c>
    </row>
    <row r="315" spans="1:22" x14ac:dyDescent="0.45">
      <c r="A315" t="str">
        <v>SO-51073</v>
      </c>
      <c r="B315" t="str">
        <v>PL-CEN</v>
      </c>
      <c r="C315" t="str">
        <v>CD-TOL</v>
      </c>
      <c r="D315" t="str">
        <v>BOT-1021</v>
      </c>
      <c r="E315">
        <v>1435</v>
      </c>
      <c r="F315" s="1">
        <v>46174</v>
      </c>
      <c r="G315" t="str">
        <v>In Transit</v>
      </c>
      <c r="H315" t="str">
        <v>OK</v>
      </c>
      <c r="I315">
        <v>5.04</v>
      </c>
      <c r="J315">
        <v>47</v>
      </c>
      <c r="K315">
        <v>96</v>
      </c>
      <c r="L315" t="str">
        <v>OK</v>
      </c>
      <c r="M315">
        <v>3</v>
      </c>
      <c r="O315">
        <f t="shared" si="32"/>
        <v>30.531914893617021</v>
      </c>
      <c r="P315">
        <f t="shared" si="33"/>
        <v>30.135000000000002</v>
      </c>
      <c r="Q315">
        <f t="shared" si="34"/>
        <v>92.520954223081887</v>
      </c>
      <c r="R315">
        <f t="shared" si="35"/>
        <v>1</v>
      </c>
      <c r="S315">
        <f t="shared" si="36"/>
        <v>92.520954223081887</v>
      </c>
      <c r="T315" t="str">
        <f t="shared" si="37"/>
        <v>OK</v>
      </c>
      <c r="U315" t="str">
        <f t="shared" si="38"/>
        <v>OK</v>
      </c>
      <c r="V315" t="str">
        <f t="shared" si="39"/>
        <v>OK</v>
      </c>
    </row>
    <row r="316" spans="1:22" x14ac:dyDescent="0.45">
      <c r="A316" t="str">
        <v>SO-50352</v>
      </c>
      <c r="B316" t="str">
        <v>PL-SUR</v>
      </c>
      <c r="C316" t="str">
        <v>CD-MOR</v>
      </c>
      <c r="D316" t="str">
        <v>PRO-1014</v>
      </c>
      <c r="E316">
        <v>1613</v>
      </c>
      <c r="F316" s="1">
        <v>46176</v>
      </c>
      <c r="G316" t="str">
        <v>In Transit</v>
      </c>
      <c r="H316" t="str">
        <v>OK</v>
      </c>
      <c r="I316">
        <v>5.27</v>
      </c>
      <c r="J316">
        <v>60</v>
      </c>
      <c r="K316">
        <v>129</v>
      </c>
      <c r="L316" t="str">
        <v>OK</v>
      </c>
      <c r="M316">
        <v>1</v>
      </c>
      <c r="O316">
        <f t="shared" si="32"/>
        <v>26.883333333333333</v>
      </c>
      <c r="P316">
        <f t="shared" si="33"/>
        <v>35.418791666666664</v>
      </c>
      <c r="Q316">
        <f t="shared" si="34"/>
        <v>81.464646464646464</v>
      </c>
      <c r="R316">
        <f t="shared" si="35"/>
        <v>1</v>
      </c>
      <c r="S316">
        <f t="shared" si="36"/>
        <v>81.464646464646464</v>
      </c>
      <c r="T316" t="str">
        <f t="shared" si="37"/>
        <v>OK</v>
      </c>
      <c r="U316" t="str">
        <f t="shared" si="38"/>
        <v>OK</v>
      </c>
      <c r="V316" t="str">
        <f t="shared" si="39"/>
        <v>OK</v>
      </c>
    </row>
    <row r="317" spans="1:22" x14ac:dyDescent="0.45">
      <c r="A317" t="str">
        <v>SO-50076</v>
      </c>
      <c r="B317" t="str">
        <v>PL-SUR</v>
      </c>
      <c r="C317" t="str">
        <v>CD-MER</v>
      </c>
      <c r="D317" t="str">
        <v>BOT-1001</v>
      </c>
      <c r="E317">
        <v>1914</v>
      </c>
      <c r="F317" s="1">
        <v>46176</v>
      </c>
      <c r="G317" t="str">
        <v>In Transit</v>
      </c>
      <c r="H317" t="str">
        <v>OK</v>
      </c>
      <c r="I317">
        <v>6.95</v>
      </c>
      <c r="J317">
        <v>66</v>
      </c>
      <c r="K317">
        <v>95</v>
      </c>
      <c r="L317" t="str">
        <v>OK</v>
      </c>
      <c r="M317">
        <v>1</v>
      </c>
      <c r="O317">
        <f t="shared" si="32"/>
        <v>29</v>
      </c>
      <c r="P317">
        <f t="shared" si="33"/>
        <v>55.426249999999996</v>
      </c>
      <c r="Q317">
        <f t="shared" si="34"/>
        <v>87.878787878787875</v>
      </c>
      <c r="R317">
        <f t="shared" si="35"/>
        <v>1</v>
      </c>
      <c r="S317">
        <f t="shared" si="36"/>
        <v>87.878787878787875</v>
      </c>
      <c r="T317" t="str">
        <f t="shared" si="37"/>
        <v>OK</v>
      </c>
      <c r="U317" t="str">
        <f t="shared" si="38"/>
        <v>OK</v>
      </c>
      <c r="V317" t="str">
        <f t="shared" si="39"/>
        <v>OK</v>
      </c>
    </row>
    <row r="318" spans="1:22" x14ac:dyDescent="0.45">
      <c r="A318" t="str">
        <v>SO-50746</v>
      </c>
      <c r="B318" t="str">
        <v>PL-NTE</v>
      </c>
      <c r="C318" t="str">
        <v>CD-HER</v>
      </c>
      <c r="D318" t="str">
        <v>BEB-1016</v>
      </c>
      <c r="E318">
        <v>955</v>
      </c>
      <c r="F318" s="1">
        <v>46176</v>
      </c>
      <c r="G318" t="str">
        <v>Delivered</v>
      </c>
      <c r="H318" t="str">
        <v>OK</v>
      </c>
      <c r="I318">
        <v>0</v>
      </c>
      <c r="J318">
        <v>98</v>
      </c>
      <c r="K318">
        <v>359</v>
      </c>
      <c r="L318" t="str">
        <v>OK</v>
      </c>
      <c r="M318">
        <v>1</v>
      </c>
      <c r="O318">
        <f t="shared" si="32"/>
        <v>9.7448979591836729</v>
      </c>
      <c r="P318">
        <f t="shared" si="33"/>
        <v>0</v>
      </c>
      <c r="Q318">
        <f t="shared" si="34"/>
        <v>29.529993815708099</v>
      </c>
      <c r="R318">
        <f t="shared" si="35"/>
        <v>1</v>
      </c>
      <c r="S318">
        <f t="shared" si="36"/>
        <v>29.529993815708099</v>
      </c>
      <c r="T318" t="str">
        <f t="shared" si="37"/>
        <v>CARGA INEFICIENTE</v>
      </c>
      <c r="U318" t="str">
        <f t="shared" si="38"/>
        <v>OK</v>
      </c>
      <c r="V318" t="str">
        <f t="shared" si="39"/>
        <v>OK</v>
      </c>
    </row>
    <row r="319" spans="1:22" x14ac:dyDescent="0.45">
      <c r="A319" t="str">
        <v>SO-51105</v>
      </c>
      <c r="B319" t="str">
        <v>PL-CEN</v>
      </c>
      <c r="C319" t="str">
        <v>CD-CDMX</v>
      </c>
      <c r="D319" t="str">
        <v>ABA-1005</v>
      </c>
      <c r="E319">
        <v>1685</v>
      </c>
      <c r="F319" s="1">
        <v>46170</v>
      </c>
      <c r="G319" t="str">
        <v>In Transit</v>
      </c>
      <c r="H319" t="str">
        <v>OK</v>
      </c>
      <c r="I319">
        <v>13.31</v>
      </c>
      <c r="J319">
        <v>89</v>
      </c>
      <c r="K319">
        <v>313</v>
      </c>
      <c r="L319" t="str">
        <v>OK</v>
      </c>
      <c r="M319">
        <v>7</v>
      </c>
      <c r="O319">
        <f t="shared" si="32"/>
        <v>18.932584269662922</v>
      </c>
      <c r="P319">
        <f t="shared" si="33"/>
        <v>93.447291666666672</v>
      </c>
      <c r="Q319">
        <f t="shared" si="34"/>
        <v>57.371467483827033</v>
      </c>
      <c r="R319">
        <f t="shared" si="35"/>
        <v>1</v>
      </c>
      <c r="S319">
        <f t="shared" si="36"/>
        <v>93.447291666666672</v>
      </c>
      <c r="T319" t="str">
        <f t="shared" si="37"/>
        <v>OK</v>
      </c>
      <c r="U319" t="str">
        <f t="shared" si="38"/>
        <v>OK</v>
      </c>
      <c r="V319" t="str">
        <f t="shared" si="39"/>
        <v>FANTASMA</v>
      </c>
    </row>
    <row r="320" spans="1:22" x14ac:dyDescent="0.45">
      <c r="A320" t="str">
        <v>SO-51054</v>
      </c>
      <c r="B320" t="str">
        <v>PL-SUR</v>
      </c>
      <c r="C320" t="str">
        <v>CD-GDL</v>
      </c>
      <c r="D320" t="str">
        <v>PRO-1001</v>
      </c>
      <c r="E320">
        <v>1963</v>
      </c>
      <c r="F320" s="1">
        <v>46175</v>
      </c>
      <c r="G320" t="str">
        <v>Delivered</v>
      </c>
      <c r="H320" t="str">
        <v>OK</v>
      </c>
      <c r="I320">
        <v>9.57</v>
      </c>
      <c r="J320">
        <v>92</v>
      </c>
      <c r="K320">
        <v>122</v>
      </c>
      <c r="L320" t="str">
        <v>OK</v>
      </c>
      <c r="M320">
        <v>2</v>
      </c>
      <c r="O320">
        <f t="shared" si="32"/>
        <v>21.336956521739129</v>
      </c>
      <c r="P320">
        <f t="shared" si="33"/>
        <v>78.274625</v>
      </c>
      <c r="Q320">
        <f t="shared" si="34"/>
        <v>64.657444005270094</v>
      </c>
      <c r="R320">
        <f t="shared" si="35"/>
        <v>1</v>
      </c>
      <c r="S320">
        <f t="shared" si="36"/>
        <v>78.274625</v>
      </c>
      <c r="T320" t="str">
        <f t="shared" si="37"/>
        <v>OK</v>
      </c>
      <c r="U320" t="str">
        <f t="shared" si="38"/>
        <v>OK</v>
      </c>
      <c r="V320" t="str">
        <f t="shared" si="39"/>
        <v>OK</v>
      </c>
    </row>
    <row r="321" spans="1:22" x14ac:dyDescent="0.45">
      <c r="A321" t="str">
        <v>SO-50639</v>
      </c>
      <c r="B321" t="str">
        <v>PL-SUR</v>
      </c>
      <c r="C321" t="str">
        <v>CD-GDL</v>
      </c>
      <c r="D321" t="str">
        <v>ABA-1005</v>
      </c>
      <c r="E321">
        <v>661</v>
      </c>
      <c r="F321" s="1">
        <v>46176</v>
      </c>
      <c r="G321" t="str">
        <v>In Transit</v>
      </c>
      <c r="H321" t="str">
        <v>OK</v>
      </c>
      <c r="I321">
        <v>13.31</v>
      </c>
      <c r="J321">
        <v>89</v>
      </c>
      <c r="K321">
        <v>313</v>
      </c>
      <c r="L321" t="str">
        <v>OK</v>
      </c>
      <c r="M321">
        <v>1</v>
      </c>
      <c r="O321">
        <f t="shared" si="32"/>
        <v>7.4269662921348312</v>
      </c>
      <c r="P321">
        <f t="shared" si="33"/>
        <v>36.657958333333333</v>
      </c>
      <c r="Q321">
        <f t="shared" si="34"/>
        <v>22.505958461014643</v>
      </c>
      <c r="R321">
        <f t="shared" si="35"/>
        <v>1</v>
      </c>
      <c r="S321">
        <f t="shared" si="36"/>
        <v>36.657958333333333</v>
      </c>
      <c r="T321" t="str">
        <f t="shared" si="37"/>
        <v>CARGA INEFICIENTE</v>
      </c>
      <c r="U321" t="str">
        <f t="shared" si="38"/>
        <v>OK</v>
      </c>
      <c r="V321" t="str">
        <f t="shared" si="39"/>
        <v>OK</v>
      </c>
    </row>
    <row r="322" spans="1:22" x14ac:dyDescent="0.45">
      <c r="A322" t="str">
        <v>SO-50857</v>
      </c>
      <c r="B322" t="str">
        <v>PL-CEN</v>
      </c>
      <c r="C322" t="str">
        <v>CD-QRO</v>
      </c>
      <c r="D322" t="str">
        <v>BOT-1021</v>
      </c>
      <c r="E322">
        <v>664</v>
      </c>
      <c r="F322" s="1">
        <v>46176</v>
      </c>
      <c r="G322" t="str">
        <v>In Transit</v>
      </c>
      <c r="H322" t="str">
        <v>OK</v>
      </c>
      <c r="I322">
        <v>5.04</v>
      </c>
      <c r="J322">
        <v>47</v>
      </c>
      <c r="K322">
        <v>96</v>
      </c>
      <c r="L322" t="str">
        <v>OK</v>
      </c>
      <c r="M322">
        <v>1</v>
      </c>
      <c r="O322">
        <f t="shared" si="32"/>
        <v>14.127659574468085</v>
      </c>
      <c r="P322">
        <f t="shared" si="33"/>
        <v>13.944000000000001</v>
      </c>
      <c r="Q322">
        <f t="shared" si="34"/>
        <v>42.81108961960026</v>
      </c>
      <c r="R322">
        <f t="shared" si="35"/>
        <v>1</v>
      </c>
      <c r="S322">
        <f t="shared" si="36"/>
        <v>42.81108961960026</v>
      </c>
      <c r="T322" t="str">
        <f t="shared" si="37"/>
        <v>CARGA INEFICIENTE</v>
      </c>
      <c r="U322" t="str">
        <f t="shared" si="38"/>
        <v>OK</v>
      </c>
      <c r="V322" t="str">
        <f t="shared" si="39"/>
        <v>OK</v>
      </c>
    </row>
    <row r="323" spans="1:22" x14ac:dyDescent="0.45">
      <c r="A323" t="str">
        <v>SO-50900</v>
      </c>
      <c r="B323" t="str">
        <v>PL-CEN</v>
      </c>
      <c r="C323" t="str">
        <v>CD-VER</v>
      </c>
      <c r="D323" t="str">
        <v>LAC-1008</v>
      </c>
      <c r="E323">
        <v>1408</v>
      </c>
      <c r="F323" s="1">
        <v>46175</v>
      </c>
      <c r="G323" t="str">
        <v>In Transit</v>
      </c>
      <c r="H323" t="str">
        <v>OK</v>
      </c>
      <c r="I323">
        <v>9.8000000000000007</v>
      </c>
      <c r="J323">
        <v>83</v>
      </c>
      <c r="K323">
        <v>15</v>
      </c>
      <c r="L323" t="str">
        <v>OK</v>
      </c>
      <c r="M323">
        <v>2</v>
      </c>
      <c r="O323">
        <f t="shared" ref="O323:O386" si="40">IF(L323="HUERFANO","n/a",IF(ISNUMBER(J323),E323/J323,"n/a"))</f>
        <v>16.963855421686748</v>
      </c>
      <c r="P323">
        <f t="shared" ref="P323:P386" si="41">IF(L323="HUERFANO","n/a",IFERROR(E323*I323/24000*100,""))</f>
        <v>57.493333333333339</v>
      </c>
      <c r="Q323">
        <f t="shared" ref="Q323:Q386" si="42">IF(L323="HUERFANO","n/a",IFERROR(O323/33*100,""))</f>
        <v>51.405622489959846</v>
      </c>
      <c r="R323">
        <f t="shared" ref="R323:R386" si="43">IF(L323="HUERFANO","n/a",IFERROR(MAX(CEILING(P323/100,1),CEILING(Q323/100,1)),""))</f>
        <v>1</v>
      </c>
      <c r="S323">
        <f t="shared" ref="S323:S386" si="44">IF(L323="HUERFANO","n/a",IFERROR(MAX(P323,Q323)/(R323*100)*100,""))</f>
        <v>57.493333333333339</v>
      </c>
      <c r="T323" t="str">
        <f t="shared" ref="T323:T386" si="45">IF(L323="HUERFANO","n/a",IF(S323&lt;75,"CARGA INEFICIENTE","OK"))</f>
        <v>CARGA INEFICIENTE</v>
      </c>
      <c r="U323" t="str">
        <f t="shared" ref="U323:U386" si="46">IF(L323="HUERFANO","n/a",IF(AND(LEFT(D323,3)="LAC",(K323-M323)/K323*100&lt;70),"FEFO RIESGO","OK"))</f>
        <v>OK</v>
      </c>
      <c r="V323" t="str">
        <f t="shared" ref="V323:V386" si="47">IF(L323="HUERFANO","n/a",IF(AND(G323="In Transit",M323&gt;5),"FANTASMA","OK"))</f>
        <v>OK</v>
      </c>
    </row>
    <row r="324" spans="1:22" x14ac:dyDescent="0.45">
      <c r="A324" t="str">
        <v>SO-50947</v>
      </c>
      <c r="B324" t="str">
        <v>PL-NTE</v>
      </c>
      <c r="C324" t="str">
        <v>CD-SAL</v>
      </c>
      <c r="D324" t="str">
        <v>BOT-1017</v>
      </c>
      <c r="E324">
        <v>1127</v>
      </c>
      <c r="F324" s="1">
        <v>46175</v>
      </c>
      <c r="G324" t="str">
        <v>In Transit</v>
      </c>
      <c r="H324" t="str">
        <v>OK</v>
      </c>
      <c r="I324">
        <v>3.75</v>
      </c>
      <c r="J324">
        <v>41</v>
      </c>
      <c r="K324">
        <v>106</v>
      </c>
      <c r="L324" t="str">
        <v>OK</v>
      </c>
      <c r="M324">
        <v>2</v>
      </c>
      <c r="O324">
        <f t="shared" si="40"/>
        <v>27.487804878048781</v>
      </c>
      <c r="P324">
        <f t="shared" si="41"/>
        <v>17.609375</v>
      </c>
      <c r="Q324">
        <f t="shared" si="42"/>
        <v>83.296378418329638</v>
      </c>
      <c r="R324">
        <f t="shared" si="43"/>
        <v>1</v>
      </c>
      <c r="S324">
        <f t="shared" si="44"/>
        <v>83.296378418329638</v>
      </c>
      <c r="T324" t="str">
        <f t="shared" si="45"/>
        <v>OK</v>
      </c>
      <c r="U324" t="str">
        <f t="shared" si="46"/>
        <v>OK</v>
      </c>
      <c r="V324" t="str">
        <f t="shared" si="47"/>
        <v>OK</v>
      </c>
    </row>
    <row r="325" spans="1:22" x14ac:dyDescent="0.45">
      <c r="A325" t="str">
        <v>SO-50174</v>
      </c>
      <c r="B325" t="str">
        <v>PL-SUR</v>
      </c>
      <c r="C325" t="str">
        <v>CD-LEO</v>
      </c>
      <c r="D325" t="str">
        <v>BOT-1013</v>
      </c>
      <c r="E325">
        <v>1840</v>
      </c>
      <c r="F325" s="1">
        <v>46175</v>
      </c>
      <c r="G325" t="str">
        <v>In Transit</v>
      </c>
      <c r="H325" t="str">
        <v>OK</v>
      </c>
      <c r="I325">
        <v>4</v>
      </c>
      <c r="J325">
        <v>58</v>
      </c>
      <c r="K325">
        <v>112</v>
      </c>
      <c r="L325" t="str">
        <v>OK</v>
      </c>
      <c r="M325">
        <v>2</v>
      </c>
      <c r="O325">
        <f t="shared" si="40"/>
        <v>31.724137931034484</v>
      </c>
      <c r="P325">
        <f t="shared" si="41"/>
        <v>30.666666666666664</v>
      </c>
      <c r="Q325">
        <f t="shared" si="42"/>
        <v>96.133751306165109</v>
      </c>
      <c r="R325">
        <f t="shared" si="43"/>
        <v>1</v>
      </c>
      <c r="S325">
        <f t="shared" si="44"/>
        <v>96.133751306165109</v>
      </c>
      <c r="T325" t="str">
        <f t="shared" si="45"/>
        <v>OK</v>
      </c>
      <c r="U325" t="str">
        <f t="shared" si="46"/>
        <v>OK</v>
      </c>
      <c r="V325" t="str">
        <f t="shared" si="47"/>
        <v>OK</v>
      </c>
    </row>
    <row r="326" spans="1:22" x14ac:dyDescent="0.45">
      <c r="A326" t="str">
        <v>SO-50424</v>
      </c>
      <c r="B326" t="str">
        <v>PL-NTE</v>
      </c>
      <c r="C326" t="str">
        <v>CD-SAL</v>
      </c>
      <c r="D326" t="str">
        <v>BOT-1002</v>
      </c>
      <c r="E326">
        <v>2649</v>
      </c>
      <c r="F326" s="1">
        <v>46175</v>
      </c>
      <c r="G326" t="str">
        <v>In Transit</v>
      </c>
      <c r="H326" t="str">
        <v>OK</v>
      </c>
      <c r="I326">
        <v>3.02</v>
      </c>
      <c r="J326">
        <v>84</v>
      </c>
      <c r="K326">
        <v>111</v>
      </c>
      <c r="L326" t="str">
        <v>OK</v>
      </c>
      <c r="M326">
        <v>2</v>
      </c>
      <c r="O326">
        <f t="shared" si="40"/>
        <v>31.535714285714285</v>
      </c>
      <c r="P326">
        <f t="shared" si="41"/>
        <v>33.333250000000007</v>
      </c>
      <c r="Q326">
        <f t="shared" si="42"/>
        <v>95.562770562770567</v>
      </c>
      <c r="R326">
        <f t="shared" si="43"/>
        <v>1</v>
      </c>
      <c r="S326">
        <f t="shared" si="44"/>
        <v>95.562770562770567</v>
      </c>
      <c r="T326" t="str">
        <f t="shared" si="45"/>
        <v>OK</v>
      </c>
      <c r="U326" t="str">
        <f t="shared" si="46"/>
        <v>OK</v>
      </c>
      <c r="V326" t="str">
        <f t="shared" si="47"/>
        <v>OK</v>
      </c>
    </row>
    <row r="327" spans="1:22" x14ac:dyDescent="0.45">
      <c r="A327" t="str">
        <v>SO-50268</v>
      </c>
      <c r="B327" t="str">
        <v>PL-CEN</v>
      </c>
      <c r="C327" t="str">
        <v>CD-QRO</v>
      </c>
      <c r="D327" t="str">
        <v>ABA-1016</v>
      </c>
      <c r="E327">
        <v>799</v>
      </c>
      <c r="F327" s="1">
        <v>46176</v>
      </c>
      <c r="G327" t="str">
        <v>In Transit</v>
      </c>
      <c r="H327" t="str">
        <v>OK</v>
      </c>
      <c r="I327">
        <v>15.52</v>
      </c>
      <c r="J327">
        <v>121</v>
      </c>
      <c r="K327">
        <v>517</v>
      </c>
      <c r="L327" t="str">
        <v>OK</v>
      </c>
      <c r="M327">
        <v>1</v>
      </c>
      <c r="O327">
        <f t="shared" si="40"/>
        <v>6.6033057851239674</v>
      </c>
      <c r="P327">
        <f t="shared" si="41"/>
        <v>51.66866666666666</v>
      </c>
      <c r="Q327">
        <f t="shared" si="42"/>
        <v>20.010017530678688</v>
      </c>
      <c r="R327">
        <f t="shared" si="43"/>
        <v>1</v>
      </c>
      <c r="S327">
        <f t="shared" si="44"/>
        <v>51.66866666666666</v>
      </c>
      <c r="T327" t="str">
        <f t="shared" si="45"/>
        <v>CARGA INEFICIENTE</v>
      </c>
      <c r="U327" t="str">
        <f t="shared" si="46"/>
        <v>OK</v>
      </c>
      <c r="V327" t="str">
        <f t="shared" si="47"/>
        <v>OK</v>
      </c>
    </row>
    <row r="328" spans="1:22" x14ac:dyDescent="0.45">
      <c r="A328" t="str">
        <v>SO-50616</v>
      </c>
      <c r="B328" t="str">
        <v>PL-CEN</v>
      </c>
      <c r="C328" t="str">
        <v>CD-QRO</v>
      </c>
      <c r="D328" t="str">
        <v>BEB-1021</v>
      </c>
      <c r="E328">
        <v>849</v>
      </c>
      <c r="F328" s="1">
        <v>46176</v>
      </c>
      <c r="G328" t="str">
        <v>In Transit</v>
      </c>
      <c r="H328" t="str">
        <v>OK</v>
      </c>
      <c r="I328">
        <v>16.28</v>
      </c>
      <c r="J328">
        <v>90</v>
      </c>
      <c r="K328">
        <v>280</v>
      </c>
      <c r="L328" t="str">
        <v>OK</v>
      </c>
      <c r="M328">
        <v>1</v>
      </c>
      <c r="O328">
        <f t="shared" si="40"/>
        <v>9.4333333333333336</v>
      </c>
      <c r="P328">
        <f t="shared" si="41"/>
        <v>57.590499999999999</v>
      </c>
      <c r="Q328">
        <f t="shared" si="42"/>
        <v>28.585858585858588</v>
      </c>
      <c r="R328">
        <f t="shared" si="43"/>
        <v>1</v>
      </c>
      <c r="S328">
        <f t="shared" si="44"/>
        <v>57.590499999999999</v>
      </c>
      <c r="T328" t="str">
        <f t="shared" si="45"/>
        <v>CARGA INEFICIENTE</v>
      </c>
      <c r="U328" t="str">
        <f t="shared" si="46"/>
        <v>OK</v>
      </c>
      <c r="V328" t="str">
        <f t="shared" si="47"/>
        <v>OK</v>
      </c>
    </row>
    <row r="329" spans="1:22" x14ac:dyDescent="0.45">
      <c r="A329" t="str">
        <v>SO-50717</v>
      </c>
      <c r="B329" t="str">
        <v>PL-NTE</v>
      </c>
      <c r="C329" t="str">
        <v>CD-SAL</v>
      </c>
      <c r="D329" t="str">
        <v>BOT-1008</v>
      </c>
      <c r="E329">
        <v>2038</v>
      </c>
      <c r="F329" s="1">
        <v>46176</v>
      </c>
      <c r="G329" t="str">
        <v>In Transit</v>
      </c>
      <c r="H329" t="str">
        <v>OK</v>
      </c>
      <c r="I329">
        <v>3.48</v>
      </c>
      <c r="J329">
        <v>66</v>
      </c>
      <c r="K329">
        <v>112</v>
      </c>
      <c r="L329" t="str">
        <v>OK</v>
      </c>
      <c r="M329">
        <v>1</v>
      </c>
      <c r="O329">
        <f t="shared" si="40"/>
        <v>30.878787878787879</v>
      </c>
      <c r="P329">
        <f t="shared" si="41"/>
        <v>29.550999999999998</v>
      </c>
      <c r="Q329">
        <f t="shared" si="42"/>
        <v>93.572084481175395</v>
      </c>
      <c r="R329">
        <f t="shared" si="43"/>
        <v>1</v>
      </c>
      <c r="S329">
        <f t="shared" si="44"/>
        <v>93.572084481175395</v>
      </c>
      <c r="T329" t="str">
        <f t="shared" si="45"/>
        <v>OK</v>
      </c>
      <c r="U329" t="str">
        <f t="shared" si="46"/>
        <v>OK</v>
      </c>
      <c r="V329" t="str">
        <f t="shared" si="47"/>
        <v>OK</v>
      </c>
    </row>
    <row r="330" spans="1:22" x14ac:dyDescent="0.45">
      <c r="A330" t="str">
        <v>SO-50306</v>
      </c>
      <c r="B330" t="str">
        <v>PL-CEN</v>
      </c>
      <c r="C330" t="str">
        <v>CD-VER</v>
      </c>
      <c r="D330" t="str">
        <v>ABA-1004</v>
      </c>
      <c r="E330">
        <v>725</v>
      </c>
      <c r="F330" s="1">
        <v>46176</v>
      </c>
      <c r="G330" t="str">
        <v>In Transit</v>
      </c>
      <c r="H330" t="str">
        <v>OK</v>
      </c>
      <c r="I330">
        <v>12.85</v>
      </c>
      <c r="J330">
        <v>91</v>
      </c>
      <c r="K330">
        <v>297</v>
      </c>
      <c r="L330" t="str">
        <v>OK</v>
      </c>
      <c r="M330">
        <v>1</v>
      </c>
      <c r="O330">
        <f t="shared" si="40"/>
        <v>7.9670329670329672</v>
      </c>
      <c r="P330">
        <f t="shared" si="41"/>
        <v>38.817708333333336</v>
      </c>
      <c r="Q330">
        <f t="shared" si="42"/>
        <v>24.142524142524145</v>
      </c>
      <c r="R330">
        <f t="shared" si="43"/>
        <v>1</v>
      </c>
      <c r="S330">
        <f t="shared" si="44"/>
        <v>38.817708333333336</v>
      </c>
      <c r="T330" t="str">
        <f t="shared" si="45"/>
        <v>CARGA INEFICIENTE</v>
      </c>
      <c r="U330" t="str">
        <f t="shared" si="46"/>
        <v>OK</v>
      </c>
      <c r="V330" t="str">
        <f t="shared" si="47"/>
        <v>OK</v>
      </c>
    </row>
    <row r="331" spans="1:22" x14ac:dyDescent="0.45">
      <c r="A331" t="str">
        <v>SO-50752</v>
      </c>
      <c r="B331" t="str">
        <v>PL-SUR</v>
      </c>
      <c r="C331" t="str">
        <v>CD-MER</v>
      </c>
      <c r="D331" t="str">
        <v>BOT-1007</v>
      </c>
      <c r="E331">
        <v>2076</v>
      </c>
      <c r="F331" s="1">
        <v>46174</v>
      </c>
      <c r="G331" t="str">
        <v>In Transit</v>
      </c>
      <c r="H331" t="str">
        <v>OK</v>
      </c>
      <c r="I331">
        <v>0</v>
      </c>
      <c r="J331">
        <v>49</v>
      </c>
      <c r="K331">
        <v>104</v>
      </c>
      <c r="L331" t="str">
        <v>OK</v>
      </c>
      <c r="M331">
        <v>3</v>
      </c>
      <c r="O331">
        <f t="shared" si="40"/>
        <v>42.367346938775512</v>
      </c>
      <c r="P331">
        <f t="shared" si="41"/>
        <v>0</v>
      </c>
      <c r="Q331">
        <f t="shared" si="42"/>
        <v>128.38589981447123</v>
      </c>
      <c r="R331">
        <f t="shared" si="43"/>
        <v>2</v>
      </c>
      <c r="S331">
        <f t="shared" si="44"/>
        <v>64.192949907235615</v>
      </c>
      <c r="T331" t="str">
        <f t="shared" si="45"/>
        <v>CARGA INEFICIENTE</v>
      </c>
      <c r="U331" t="str">
        <f t="shared" si="46"/>
        <v>OK</v>
      </c>
      <c r="V331" t="str">
        <f t="shared" si="47"/>
        <v>OK</v>
      </c>
    </row>
    <row r="332" spans="1:22" x14ac:dyDescent="0.45">
      <c r="A332" t="str">
        <v>SO-50927</v>
      </c>
      <c r="B332" t="str">
        <v>PL-NTE</v>
      </c>
      <c r="C332" t="str">
        <v>CD-HER</v>
      </c>
      <c r="D332" t="str">
        <v>BOT-1000</v>
      </c>
      <c r="E332">
        <v>1914</v>
      </c>
      <c r="F332" s="1">
        <v>46173</v>
      </c>
      <c r="G332" t="str">
        <v>In Transit</v>
      </c>
      <c r="H332" t="str">
        <v>OK</v>
      </c>
      <c r="I332">
        <v>3.56</v>
      </c>
      <c r="J332">
        <v>64</v>
      </c>
      <c r="K332">
        <v>92</v>
      </c>
      <c r="L332" t="str">
        <v>OK</v>
      </c>
      <c r="M332">
        <v>4</v>
      </c>
      <c r="O332">
        <f t="shared" si="40"/>
        <v>29.90625</v>
      </c>
      <c r="P332">
        <f t="shared" si="41"/>
        <v>28.390999999999998</v>
      </c>
      <c r="Q332">
        <f t="shared" si="42"/>
        <v>90.625</v>
      </c>
      <c r="R332">
        <f t="shared" si="43"/>
        <v>1</v>
      </c>
      <c r="S332">
        <f t="shared" si="44"/>
        <v>90.625</v>
      </c>
      <c r="T332" t="str">
        <f t="shared" si="45"/>
        <v>OK</v>
      </c>
      <c r="U332" t="str">
        <f t="shared" si="46"/>
        <v>OK</v>
      </c>
      <c r="V332" t="str">
        <f t="shared" si="47"/>
        <v>OK</v>
      </c>
    </row>
    <row r="333" spans="1:22" x14ac:dyDescent="0.45">
      <c r="A333" t="str">
        <v>SO-50256</v>
      </c>
      <c r="B333" t="str">
        <v>PL-CEN</v>
      </c>
      <c r="C333" t="str">
        <v>CD-CDMX</v>
      </c>
      <c r="D333" t="str">
        <v>PRO-1012</v>
      </c>
      <c r="E333">
        <v>2795</v>
      </c>
      <c r="F333" s="1">
        <v>46176</v>
      </c>
      <c r="G333" t="str">
        <v>In Transit</v>
      </c>
      <c r="H333" t="str">
        <v>OK</v>
      </c>
      <c r="I333">
        <v>6.87</v>
      </c>
      <c r="J333">
        <v>101</v>
      </c>
      <c r="K333">
        <v>62</v>
      </c>
      <c r="L333" t="str">
        <v>OK</v>
      </c>
      <c r="M333">
        <v>1</v>
      </c>
      <c r="O333">
        <f t="shared" si="40"/>
        <v>27.673267326732674</v>
      </c>
      <c r="P333">
        <f t="shared" si="41"/>
        <v>80.006875000000008</v>
      </c>
      <c r="Q333">
        <f t="shared" si="42"/>
        <v>83.858385838583857</v>
      </c>
      <c r="R333">
        <f t="shared" si="43"/>
        <v>1</v>
      </c>
      <c r="S333">
        <f t="shared" si="44"/>
        <v>83.858385838583857</v>
      </c>
      <c r="T333" t="str">
        <f t="shared" si="45"/>
        <v>OK</v>
      </c>
      <c r="U333" t="str">
        <f t="shared" si="46"/>
        <v>OK</v>
      </c>
      <c r="V333" t="str">
        <f t="shared" si="47"/>
        <v>OK</v>
      </c>
    </row>
    <row r="334" spans="1:22" x14ac:dyDescent="0.45">
      <c r="A334" t="str">
        <v>SO-50023</v>
      </c>
      <c r="B334" t="str">
        <v>PL-NTE</v>
      </c>
      <c r="C334" t="str">
        <v>CD-SAL</v>
      </c>
      <c r="D334" t="str">
        <v>ABA-1001</v>
      </c>
      <c r="E334">
        <v>1304</v>
      </c>
      <c r="F334" s="1">
        <v>46175</v>
      </c>
      <c r="G334" t="str">
        <v>In Transit</v>
      </c>
      <c r="H334" t="str">
        <v>OK</v>
      </c>
      <c r="I334">
        <v>0</v>
      </c>
      <c r="J334">
        <v>100</v>
      </c>
      <c r="K334">
        <v>512</v>
      </c>
      <c r="L334" t="str">
        <v>OK</v>
      </c>
      <c r="M334">
        <v>2</v>
      </c>
      <c r="O334">
        <f t="shared" si="40"/>
        <v>13.04</v>
      </c>
      <c r="P334">
        <f t="shared" si="41"/>
        <v>0</v>
      </c>
      <c r="Q334">
        <f t="shared" si="42"/>
        <v>39.515151515151516</v>
      </c>
      <c r="R334">
        <f t="shared" si="43"/>
        <v>1</v>
      </c>
      <c r="S334">
        <f t="shared" si="44"/>
        <v>39.515151515151516</v>
      </c>
      <c r="T334" t="str">
        <f t="shared" si="45"/>
        <v>CARGA INEFICIENTE</v>
      </c>
      <c r="U334" t="str">
        <f t="shared" si="46"/>
        <v>OK</v>
      </c>
      <c r="V334" t="str">
        <f t="shared" si="47"/>
        <v>OK</v>
      </c>
    </row>
    <row r="335" spans="1:22" x14ac:dyDescent="0.45">
      <c r="A335" t="str">
        <v>SO-50726</v>
      </c>
      <c r="B335" t="str">
        <v>PL-SUR</v>
      </c>
      <c r="C335" t="str">
        <v>CD-GDL</v>
      </c>
      <c r="D335" t="str">
        <v>BEB-1012</v>
      </c>
      <c r="E335">
        <v>1429</v>
      </c>
      <c r="F335" s="1">
        <v>46176</v>
      </c>
      <c r="G335" t="str">
        <v>In Transit</v>
      </c>
      <c r="H335" t="str">
        <v>OK</v>
      </c>
      <c r="I335">
        <v>15.66</v>
      </c>
      <c r="J335">
        <v>72</v>
      </c>
      <c r="K335">
        <v>306</v>
      </c>
      <c r="L335" t="str">
        <v>OK</v>
      </c>
      <c r="M335">
        <v>1</v>
      </c>
      <c r="O335">
        <f t="shared" si="40"/>
        <v>19.847222222222221</v>
      </c>
      <c r="P335">
        <f t="shared" si="41"/>
        <v>93.242249999999999</v>
      </c>
      <c r="Q335">
        <f t="shared" si="42"/>
        <v>60.14309764309764</v>
      </c>
      <c r="R335">
        <f t="shared" si="43"/>
        <v>1</v>
      </c>
      <c r="S335">
        <f t="shared" si="44"/>
        <v>93.242249999999999</v>
      </c>
      <c r="T335" t="str">
        <f t="shared" si="45"/>
        <v>OK</v>
      </c>
      <c r="U335" t="str">
        <f t="shared" si="46"/>
        <v>OK</v>
      </c>
      <c r="V335" t="str">
        <f t="shared" si="47"/>
        <v>OK</v>
      </c>
    </row>
    <row r="336" spans="1:22" x14ac:dyDescent="0.45">
      <c r="A336" t="str">
        <v>SO-50008</v>
      </c>
      <c r="B336" t="str">
        <v>PL-SUR</v>
      </c>
      <c r="C336" t="str">
        <v>CD-MOR</v>
      </c>
      <c r="D336" t="str">
        <v>BOT-1017</v>
      </c>
      <c r="E336">
        <v>1138</v>
      </c>
      <c r="F336" s="1">
        <v>46175</v>
      </c>
      <c r="G336" t="str">
        <v>In Transit</v>
      </c>
      <c r="H336" t="str">
        <v>OK</v>
      </c>
      <c r="I336">
        <v>3.75</v>
      </c>
      <c r="J336">
        <v>41</v>
      </c>
      <c r="K336">
        <v>106</v>
      </c>
      <c r="L336" t="str">
        <v>OK</v>
      </c>
      <c r="M336">
        <v>2</v>
      </c>
      <c r="O336">
        <f t="shared" si="40"/>
        <v>27.756097560975611</v>
      </c>
      <c r="P336">
        <f t="shared" si="41"/>
        <v>17.78125</v>
      </c>
      <c r="Q336">
        <f t="shared" si="42"/>
        <v>84.109386548410953</v>
      </c>
      <c r="R336">
        <f t="shared" si="43"/>
        <v>1</v>
      </c>
      <c r="S336">
        <f t="shared" si="44"/>
        <v>84.109386548410953</v>
      </c>
      <c r="T336" t="str">
        <f t="shared" si="45"/>
        <v>OK</v>
      </c>
      <c r="U336" t="str">
        <f t="shared" si="46"/>
        <v>OK</v>
      </c>
      <c r="V336" t="str">
        <f t="shared" si="47"/>
        <v>OK</v>
      </c>
    </row>
    <row r="337" spans="1:22" x14ac:dyDescent="0.45">
      <c r="A337" t="str">
        <v>SO-50817</v>
      </c>
      <c r="B337" t="str">
        <v>PL-CEN</v>
      </c>
      <c r="C337" t="str">
        <v>CD-TOL</v>
      </c>
      <c r="D337" t="str">
        <v>XXX-8945</v>
      </c>
      <c r="E337">
        <v>906</v>
      </c>
      <c r="F337" s="1">
        <v>46175</v>
      </c>
      <c r="G337" t="str">
        <v>In Transit</v>
      </c>
      <c r="H337" t="str">
        <v>OK</v>
      </c>
      <c r="I337">
        <v>0</v>
      </c>
      <c r="J337">
        <v>0</v>
      </c>
      <c r="K337">
        <v>0</v>
      </c>
      <c r="L337" t="str">
        <v>HUERFANO</v>
      </c>
      <c r="M337">
        <v>2</v>
      </c>
      <c r="O337" t="str">
        <f t="shared" si="40"/>
        <v>n/a</v>
      </c>
      <c r="P337" t="str">
        <f t="shared" si="41"/>
        <v>n/a</v>
      </c>
      <c r="Q337" t="str">
        <f t="shared" si="42"/>
        <v>n/a</v>
      </c>
      <c r="R337" t="str">
        <f t="shared" si="43"/>
        <v>n/a</v>
      </c>
      <c r="S337" t="str">
        <f t="shared" si="44"/>
        <v>n/a</v>
      </c>
      <c r="T337" t="str">
        <f t="shared" si="45"/>
        <v>n/a</v>
      </c>
      <c r="U337" t="str">
        <f t="shared" si="46"/>
        <v>n/a</v>
      </c>
      <c r="V337" t="str">
        <f t="shared" si="47"/>
        <v>n/a</v>
      </c>
    </row>
    <row r="338" spans="1:22" x14ac:dyDescent="0.45">
      <c r="A338" t="str">
        <v>SO-50395</v>
      </c>
      <c r="B338" t="str">
        <v>PL-CEN</v>
      </c>
      <c r="C338" t="str">
        <v>CD-QRO</v>
      </c>
      <c r="D338" t="str">
        <v>ABA-1007</v>
      </c>
      <c r="E338">
        <v>2220</v>
      </c>
      <c r="F338" s="1">
        <v>46175</v>
      </c>
      <c r="G338" t="str">
        <v>In Transit</v>
      </c>
      <c r="H338" t="str">
        <v>OK</v>
      </c>
      <c r="I338">
        <v>9.7899999999999991</v>
      </c>
      <c r="J338">
        <v>123</v>
      </c>
      <c r="K338">
        <v>334</v>
      </c>
      <c r="L338" t="str">
        <v>OK</v>
      </c>
      <c r="M338">
        <v>2</v>
      </c>
      <c r="O338">
        <f t="shared" si="40"/>
        <v>18.048780487804876</v>
      </c>
      <c r="P338">
        <f t="shared" si="41"/>
        <v>90.557500000000005</v>
      </c>
      <c r="Q338">
        <f t="shared" si="42"/>
        <v>54.693274205469322</v>
      </c>
      <c r="R338">
        <f t="shared" si="43"/>
        <v>1</v>
      </c>
      <c r="S338">
        <f t="shared" si="44"/>
        <v>90.557500000000005</v>
      </c>
      <c r="T338" t="str">
        <f t="shared" si="45"/>
        <v>OK</v>
      </c>
      <c r="U338" t="str">
        <f t="shared" si="46"/>
        <v>OK</v>
      </c>
      <c r="V338" t="str">
        <f t="shared" si="47"/>
        <v>OK</v>
      </c>
    </row>
    <row r="339" spans="1:22" x14ac:dyDescent="0.45">
      <c r="A339" t="str">
        <v>SO-50710</v>
      </c>
      <c r="B339" t="str">
        <v>PL-SUR</v>
      </c>
      <c r="C339" t="str">
        <v>CD-MER</v>
      </c>
      <c r="D339" t="str">
        <v>LAC-1013</v>
      </c>
      <c r="E339">
        <v>1131</v>
      </c>
      <c r="F339" s="1">
        <v>46174</v>
      </c>
      <c r="G339" t="str">
        <v>In Transit</v>
      </c>
      <c r="H339" t="str">
        <v>OK</v>
      </c>
      <c r="I339">
        <v>8.32</v>
      </c>
      <c r="J339">
        <v>98</v>
      </c>
      <c r="K339">
        <v>16</v>
      </c>
      <c r="L339" t="str">
        <v>OK</v>
      </c>
      <c r="M339">
        <v>3</v>
      </c>
      <c r="O339">
        <f t="shared" si="40"/>
        <v>11.540816326530612</v>
      </c>
      <c r="P339">
        <f t="shared" si="41"/>
        <v>39.207999999999998</v>
      </c>
      <c r="Q339">
        <f t="shared" si="42"/>
        <v>34.972170686456401</v>
      </c>
      <c r="R339">
        <f t="shared" si="43"/>
        <v>1</v>
      </c>
      <c r="S339">
        <f t="shared" si="44"/>
        <v>39.207999999999998</v>
      </c>
      <c r="T339" t="str">
        <f t="shared" si="45"/>
        <v>CARGA INEFICIENTE</v>
      </c>
      <c r="U339" t="str">
        <f t="shared" si="46"/>
        <v>OK</v>
      </c>
      <c r="V339" t="str">
        <f t="shared" si="47"/>
        <v>OK</v>
      </c>
    </row>
    <row r="340" spans="1:22" x14ac:dyDescent="0.45">
      <c r="A340" t="str">
        <v>SO-50363</v>
      </c>
      <c r="B340" t="str">
        <v>PL-SUR</v>
      </c>
      <c r="C340" t="str">
        <v>CD-MER</v>
      </c>
      <c r="D340" t="str">
        <v>LAC-1016</v>
      </c>
      <c r="E340">
        <v>812</v>
      </c>
      <c r="F340" s="1">
        <v>46176</v>
      </c>
      <c r="G340" t="str">
        <v>In Transit</v>
      </c>
      <c r="H340" t="str">
        <v>OK</v>
      </c>
      <c r="I340">
        <v>10.9</v>
      </c>
      <c r="J340">
        <v>131</v>
      </c>
      <c r="K340">
        <v>22</v>
      </c>
      <c r="L340" t="str">
        <v>OK</v>
      </c>
      <c r="M340">
        <v>1</v>
      </c>
      <c r="O340">
        <f t="shared" si="40"/>
        <v>6.1984732824427482</v>
      </c>
      <c r="P340">
        <f t="shared" si="41"/>
        <v>36.878333333333337</v>
      </c>
      <c r="Q340">
        <f t="shared" si="42"/>
        <v>18.783252371038632</v>
      </c>
      <c r="R340">
        <f t="shared" si="43"/>
        <v>1</v>
      </c>
      <c r="S340">
        <f t="shared" si="44"/>
        <v>36.878333333333337</v>
      </c>
      <c r="T340" t="str">
        <f t="shared" si="45"/>
        <v>CARGA INEFICIENTE</v>
      </c>
      <c r="U340" t="str">
        <f t="shared" si="46"/>
        <v>OK</v>
      </c>
      <c r="V340" t="str">
        <f t="shared" si="47"/>
        <v>OK</v>
      </c>
    </row>
    <row r="341" spans="1:22" x14ac:dyDescent="0.45">
      <c r="A341" t="str">
        <v>SO-50969</v>
      </c>
      <c r="B341" t="str">
        <v>PL-CEN</v>
      </c>
      <c r="C341" t="str">
        <v>CD-QRO</v>
      </c>
      <c r="D341" t="str">
        <v>LAC-1010</v>
      </c>
      <c r="E341">
        <v>3234</v>
      </c>
      <c r="F341" s="1">
        <v>46176</v>
      </c>
      <c r="G341" t="str">
        <v>Delivered</v>
      </c>
      <c r="H341" t="str">
        <v>OK</v>
      </c>
      <c r="I341">
        <v>6.24</v>
      </c>
      <c r="J341">
        <v>146</v>
      </c>
      <c r="K341">
        <v>24</v>
      </c>
      <c r="L341" t="str">
        <v>OK</v>
      </c>
      <c r="M341">
        <v>1</v>
      </c>
      <c r="O341">
        <f t="shared" si="40"/>
        <v>22.150684931506849</v>
      </c>
      <c r="P341">
        <f t="shared" si="41"/>
        <v>84.084000000000003</v>
      </c>
      <c r="Q341">
        <f t="shared" si="42"/>
        <v>67.123287671232873</v>
      </c>
      <c r="R341">
        <f t="shared" si="43"/>
        <v>1</v>
      </c>
      <c r="S341">
        <f t="shared" si="44"/>
        <v>84.084000000000003</v>
      </c>
      <c r="T341" t="str">
        <f t="shared" si="45"/>
        <v>OK</v>
      </c>
      <c r="U341" t="str">
        <f t="shared" si="46"/>
        <v>OK</v>
      </c>
      <c r="V341" t="str">
        <f t="shared" si="47"/>
        <v>OK</v>
      </c>
    </row>
    <row r="342" spans="1:22" x14ac:dyDescent="0.45">
      <c r="A342" t="str">
        <v>SO-51092</v>
      </c>
      <c r="B342" t="str">
        <v>PL-CEN</v>
      </c>
      <c r="C342" t="str">
        <v>CD-TOL</v>
      </c>
      <c r="D342" t="str">
        <v>PRO-1015</v>
      </c>
      <c r="E342">
        <v>3257</v>
      </c>
      <c r="F342" s="1">
        <v>46168</v>
      </c>
      <c r="G342" t="str">
        <v>In Transit</v>
      </c>
      <c r="H342" t="str">
        <v>OK</v>
      </c>
      <c r="I342">
        <v>6.16</v>
      </c>
      <c r="J342">
        <v>104</v>
      </c>
      <c r="K342">
        <v>67</v>
      </c>
      <c r="L342" t="str">
        <v>OK</v>
      </c>
      <c r="M342">
        <v>9</v>
      </c>
      <c r="O342">
        <f t="shared" si="40"/>
        <v>31.317307692307693</v>
      </c>
      <c r="P342">
        <f t="shared" si="41"/>
        <v>83.596333333333334</v>
      </c>
      <c r="Q342">
        <f t="shared" si="42"/>
        <v>94.900932400932405</v>
      </c>
      <c r="R342">
        <f t="shared" si="43"/>
        <v>1</v>
      </c>
      <c r="S342">
        <f t="shared" si="44"/>
        <v>94.900932400932405</v>
      </c>
      <c r="T342" t="str">
        <f t="shared" si="45"/>
        <v>OK</v>
      </c>
      <c r="U342" t="str">
        <f t="shared" si="46"/>
        <v>OK</v>
      </c>
      <c r="V342" t="str">
        <f t="shared" si="47"/>
        <v>FANTASMA</v>
      </c>
    </row>
    <row r="343" spans="1:22" x14ac:dyDescent="0.45">
      <c r="A343" t="str">
        <v>SO-50867</v>
      </c>
      <c r="B343" t="str">
        <v>PL-CEN</v>
      </c>
      <c r="C343" t="str">
        <v>CD-QRO</v>
      </c>
      <c r="D343" t="str">
        <v>PRO-1000</v>
      </c>
      <c r="E343">
        <v>1594</v>
      </c>
      <c r="F343" s="1">
        <v>46176</v>
      </c>
      <c r="G343" t="str">
        <v>In Transit</v>
      </c>
      <c r="H343" t="str">
        <v>OK</v>
      </c>
      <c r="I343">
        <v>12.51</v>
      </c>
      <c r="J343">
        <v>73</v>
      </c>
      <c r="K343">
        <v>75</v>
      </c>
      <c r="L343" t="str">
        <v>OK</v>
      </c>
      <c r="M343">
        <v>1</v>
      </c>
      <c r="O343">
        <f t="shared" si="40"/>
        <v>21.835616438356166</v>
      </c>
      <c r="P343">
        <f t="shared" si="41"/>
        <v>83.087249999999983</v>
      </c>
      <c r="Q343">
        <f t="shared" si="42"/>
        <v>66.168534661685356</v>
      </c>
      <c r="R343">
        <f t="shared" si="43"/>
        <v>1</v>
      </c>
      <c r="S343">
        <f t="shared" si="44"/>
        <v>83.087249999999983</v>
      </c>
      <c r="T343" t="str">
        <f t="shared" si="45"/>
        <v>OK</v>
      </c>
      <c r="U343" t="str">
        <f t="shared" si="46"/>
        <v>OK</v>
      </c>
      <c r="V343" t="str">
        <f t="shared" si="47"/>
        <v>OK</v>
      </c>
    </row>
    <row r="344" spans="1:22" x14ac:dyDescent="0.45">
      <c r="A344" t="str">
        <v>SO-50207</v>
      </c>
      <c r="B344" t="str">
        <v>PL-SUR</v>
      </c>
      <c r="C344" t="str">
        <v>CD-GDL</v>
      </c>
      <c r="D344" t="str">
        <v>LAC-1002</v>
      </c>
      <c r="E344">
        <v>2667</v>
      </c>
      <c r="F344" s="1">
        <v>46176</v>
      </c>
      <c r="G344" t="str">
        <v>In Transit</v>
      </c>
      <c r="H344" t="str">
        <v>OK</v>
      </c>
      <c r="I344">
        <v>7.71</v>
      </c>
      <c r="J344">
        <v>101</v>
      </c>
      <c r="K344">
        <v>23</v>
      </c>
      <c r="L344" t="str">
        <v>OK</v>
      </c>
      <c r="M344">
        <v>1</v>
      </c>
      <c r="O344">
        <f t="shared" si="40"/>
        <v>26.405940594059405</v>
      </c>
      <c r="P344">
        <f t="shared" si="41"/>
        <v>85.677374999999998</v>
      </c>
      <c r="Q344">
        <f t="shared" si="42"/>
        <v>80.018001800180016</v>
      </c>
      <c r="R344">
        <f t="shared" si="43"/>
        <v>1</v>
      </c>
      <c r="S344">
        <f t="shared" si="44"/>
        <v>85.677374999999998</v>
      </c>
      <c r="T344" t="str">
        <f t="shared" si="45"/>
        <v>OK</v>
      </c>
      <c r="U344" t="str">
        <f t="shared" si="46"/>
        <v>OK</v>
      </c>
      <c r="V344" t="str">
        <f t="shared" si="47"/>
        <v>OK</v>
      </c>
    </row>
    <row r="345" spans="1:22" x14ac:dyDescent="0.45">
      <c r="A345" t="str">
        <v>SO-50255</v>
      </c>
      <c r="B345" t="str">
        <v>PL-CEN</v>
      </c>
      <c r="C345" t="str">
        <v>CD-TOL</v>
      </c>
      <c r="D345" t="str">
        <v>ABA-1012</v>
      </c>
      <c r="E345">
        <v>1446</v>
      </c>
      <c r="F345" s="1">
        <v>46175</v>
      </c>
      <c r="G345" t="str">
        <v>In Transit</v>
      </c>
      <c r="H345" t="str">
        <v>OK</v>
      </c>
      <c r="I345">
        <v>15.14</v>
      </c>
      <c r="J345">
        <v>117</v>
      </c>
      <c r="K345">
        <v>484</v>
      </c>
      <c r="L345" t="str">
        <v>OK</v>
      </c>
      <c r="M345">
        <v>2</v>
      </c>
      <c r="O345">
        <f t="shared" si="40"/>
        <v>12.358974358974359</v>
      </c>
      <c r="P345">
        <f t="shared" si="41"/>
        <v>91.21850000000002</v>
      </c>
      <c r="Q345">
        <f t="shared" si="42"/>
        <v>37.45143745143745</v>
      </c>
      <c r="R345">
        <f t="shared" si="43"/>
        <v>1</v>
      </c>
      <c r="S345">
        <f t="shared" si="44"/>
        <v>91.21850000000002</v>
      </c>
      <c r="T345" t="str">
        <f t="shared" si="45"/>
        <v>OK</v>
      </c>
      <c r="U345" t="str">
        <f t="shared" si="46"/>
        <v>OK</v>
      </c>
      <c r="V345" t="str">
        <f t="shared" si="47"/>
        <v>OK</v>
      </c>
    </row>
    <row r="346" spans="1:22" x14ac:dyDescent="0.45">
      <c r="A346" t="str">
        <v>SO-50210</v>
      </c>
      <c r="B346" t="str">
        <v>PL-CEN</v>
      </c>
      <c r="C346" t="str">
        <v>CD-VER</v>
      </c>
      <c r="D346" t="str">
        <v>ABA-1008</v>
      </c>
      <c r="E346">
        <v>1004</v>
      </c>
      <c r="F346" s="1">
        <v>46174</v>
      </c>
      <c r="G346" t="str">
        <v>In Transit</v>
      </c>
      <c r="H346" t="str">
        <v>OK</v>
      </c>
      <c r="I346">
        <v>10.6</v>
      </c>
      <c r="J346">
        <v>96</v>
      </c>
      <c r="K346">
        <v>445</v>
      </c>
      <c r="L346" t="str">
        <v>OK</v>
      </c>
      <c r="M346">
        <v>3</v>
      </c>
      <c r="O346">
        <f t="shared" si="40"/>
        <v>10.458333333333334</v>
      </c>
      <c r="P346">
        <f t="shared" si="41"/>
        <v>44.343333333333327</v>
      </c>
      <c r="Q346">
        <f t="shared" si="42"/>
        <v>31.691919191919194</v>
      </c>
      <c r="R346">
        <f t="shared" si="43"/>
        <v>1</v>
      </c>
      <c r="S346">
        <f t="shared" si="44"/>
        <v>44.343333333333327</v>
      </c>
      <c r="T346" t="str">
        <f t="shared" si="45"/>
        <v>CARGA INEFICIENTE</v>
      </c>
      <c r="U346" t="str">
        <f t="shared" si="46"/>
        <v>OK</v>
      </c>
      <c r="V346" t="str">
        <f t="shared" si="47"/>
        <v>OK</v>
      </c>
    </row>
    <row r="347" spans="1:22" x14ac:dyDescent="0.45">
      <c r="A347" t="str">
        <v>SO-51043</v>
      </c>
      <c r="B347" t="str">
        <v>PL-CEN</v>
      </c>
      <c r="C347" t="str">
        <v>CD-QRO</v>
      </c>
      <c r="D347" t="str">
        <v>BEB-1008</v>
      </c>
      <c r="E347">
        <v>1181</v>
      </c>
      <c r="F347" s="1">
        <v>46175</v>
      </c>
      <c r="G347" t="str">
        <v>In Transit</v>
      </c>
      <c r="H347" t="str">
        <v>OK</v>
      </c>
      <c r="I347">
        <v>17.47</v>
      </c>
      <c r="J347">
        <v>65</v>
      </c>
      <c r="K347">
        <v>216</v>
      </c>
      <c r="L347" t="str">
        <v>OK</v>
      </c>
      <c r="M347">
        <v>2</v>
      </c>
      <c r="O347">
        <f t="shared" si="40"/>
        <v>18.169230769230769</v>
      </c>
      <c r="P347">
        <f t="shared" si="41"/>
        <v>85.966958333333338</v>
      </c>
      <c r="Q347">
        <f t="shared" si="42"/>
        <v>55.058275058275051</v>
      </c>
      <c r="R347">
        <f t="shared" si="43"/>
        <v>1</v>
      </c>
      <c r="S347">
        <f t="shared" si="44"/>
        <v>85.966958333333338</v>
      </c>
      <c r="T347" t="str">
        <f t="shared" si="45"/>
        <v>OK</v>
      </c>
      <c r="U347" t="str">
        <f t="shared" si="46"/>
        <v>OK</v>
      </c>
      <c r="V347" t="str">
        <f t="shared" si="47"/>
        <v>OK</v>
      </c>
    </row>
    <row r="348" spans="1:22" x14ac:dyDescent="0.45">
      <c r="A348" t="str">
        <v>SO-50664</v>
      </c>
      <c r="B348" t="str">
        <v>PL-NTE</v>
      </c>
      <c r="C348" t="str">
        <v>CD-HER</v>
      </c>
      <c r="D348" t="str">
        <v>ABA-1015</v>
      </c>
      <c r="E348">
        <v>2198</v>
      </c>
      <c r="F348" s="1">
        <v>46175</v>
      </c>
      <c r="G348" t="str">
        <v>In Transit</v>
      </c>
      <c r="H348" t="str">
        <v>OK</v>
      </c>
      <c r="I348">
        <v>8.19</v>
      </c>
      <c r="J348">
        <v>82</v>
      </c>
      <c r="K348">
        <v>317</v>
      </c>
      <c r="L348" t="str">
        <v>OK</v>
      </c>
      <c r="M348">
        <v>2</v>
      </c>
      <c r="O348">
        <f t="shared" si="40"/>
        <v>26.804878048780488</v>
      </c>
      <c r="P348">
        <f t="shared" si="41"/>
        <v>75.006749999999997</v>
      </c>
      <c r="Q348">
        <f t="shared" si="42"/>
        <v>81.226903178122683</v>
      </c>
      <c r="R348">
        <f t="shared" si="43"/>
        <v>1</v>
      </c>
      <c r="S348">
        <f t="shared" si="44"/>
        <v>81.226903178122683</v>
      </c>
      <c r="T348" t="str">
        <f t="shared" si="45"/>
        <v>OK</v>
      </c>
      <c r="U348" t="str">
        <f t="shared" si="46"/>
        <v>OK</v>
      </c>
      <c r="V348" t="str">
        <f t="shared" si="47"/>
        <v>OK</v>
      </c>
    </row>
    <row r="349" spans="1:22" x14ac:dyDescent="0.45">
      <c r="A349" t="str">
        <v>SO-50612</v>
      </c>
      <c r="B349" t="str">
        <v>PL-NTE</v>
      </c>
      <c r="C349" t="str">
        <v>CD-SAL</v>
      </c>
      <c r="D349" t="str">
        <v>LAC-1009</v>
      </c>
      <c r="E349">
        <v>2071</v>
      </c>
      <c r="F349" s="1">
        <v>46175</v>
      </c>
      <c r="G349" t="str">
        <v>In Transit</v>
      </c>
      <c r="H349" t="str">
        <v>OK</v>
      </c>
      <c r="I349">
        <v>11.01</v>
      </c>
      <c r="J349">
        <v>98</v>
      </c>
      <c r="K349">
        <v>16</v>
      </c>
      <c r="L349" t="str">
        <v>OK</v>
      </c>
      <c r="M349">
        <v>2</v>
      </c>
      <c r="O349">
        <f t="shared" si="40"/>
        <v>21.132653061224488</v>
      </c>
      <c r="P349">
        <f t="shared" si="41"/>
        <v>95.007124999999988</v>
      </c>
      <c r="Q349">
        <f t="shared" si="42"/>
        <v>64.038342609771178</v>
      </c>
      <c r="R349">
        <f t="shared" si="43"/>
        <v>1</v>
      </c>
      <c r="S349">
        <f t="shared" si="44"/>
        <v>95.007124999999988</v>
      </c>
      <c r="T349" t="str">
        <f t="shared" si="45"/>
        <v>OK</v>
      </c>
      <c r="U349" t="str">
        <f t="shared" si="46"/>
        <v>OK</v>
      </c>
      <c r="V349" t="str">
        <f t="shared" si="47"/>
        <v>OK</v>
      </c>
    </row>
    <row r="350" spans="1:22" x14ac:dyDescent="0.45">
      <c r="A350" t="str">
        <v>SO-50980</v>
      </c>
      <c r="B350" t="str">
        <v>PL-NTE</v>
      </c>
      <c r="C350" t="str">
        <v>CD-SAL</v>
      </c>
      <c r="D350" t="str">
        <v>ABA-1007</v>
      </c>
      <c r="E350">
        <v>1268</v>
      </c>
      <c r="F350" s="1">
        <v>46176</v>
      </c>
      <c r="G350" t="str">
        <v>Delivered</v>
      </c>
      <c r="H350" t="str">
        <v>OK</v>
      </c>
      <c r="I350">
        <v>9.7899999999999991</v>
      </c>
      <c r="J350">
        <v>123</v>
      </c>
      <c r="K350">
        <v>334</v>
      </c>
      <c r="L350" t="str">
        <v>OK</v>
      </c>
      <c r="M350">
        <v>1</v>
      </c>
      <c r="O350">
        <f t="shared" si="40"/>
        <v>10.308943089430894</v>
      </c>
      <c r="P350">
        <f t="shared" si="41"/>
        <v>51.723833333333339</v>
      </c>
      <c r="Q350">
        <f t="shared" si="42"/>
        <v>31.23922148312392</v>
      </c>
      <c r="R350">
        <f t="shared" si="43"/>
        <v>1</v>
      </c>
      <c r="S350">
        <f t="shared" si="44"/>
        <v>51.723833333333339</v>
      </c>
      <c r="T350" t="str">
        <f t="shared" si="45"/>
        <v>CARGA INEFICIENTE</v>
      </c>
      <c r="U350" t="str">
        <f t="shared" si="46"/>
        <v>OK</v>
      </c>
      <c r="V350" t="str">
        <f t="shared" si="47"/>
        <v>OK</v>
      </c>
    </row>
    <row r="351" spans="1:22" x14ac:dyDescent="0.45">
      <c r="A351" t="str">
        <v>SO-50272</v>
      </c>
      <c r="B351" t="str">
        <v>PL-NTE</v>
      </c>
      <c r="C351" t="str">
        <v>CD-HER</v>
      </c>
      <c r="D351" t="str">
        <v>BOT-1012</v>
      </c>
      <c r="E351">
        <v>545</v>
      </c>
      <c r="F351" s="1">
        <v>46173</v>
      </c>
      <c r="G351" t="str">
        <v>Delivered</v>
      </c>
      <c r="H351" t="str">
        <v>OK</v>
      </c>
      <c r="I351">
        <v>4.26</v>
      </c>
      <c r="J351">
        <v>68</v>
      </c>
      <c r="K351">
        <v>117</v>
      </c>
      <c r="L351" t="str">
        <v>OK</v>
      </c>
      <c r="M351">
        <v>4</v>
      </c>
      <c r="O351">
        <f t="shared" si="40"/>
        <v>8.014705882352942</v>
      </c>
      <c r="P351">
        <f t="shared" si="41"/>
        <v>9.6737499999999983</v>
      </c>
      <c r="Q351">
        <f t="shared" si="42"/>
        <v>24.286987522281642</v>
      </c>
      <c r="R351">
        <f t="shared" si="43"/>
        <v>1</v>
      </c>
      <c r="S351">
        <f t="shared" si="44"/>
        <v>24.286987522281642</v>
      </c>
      <c r="T351" t="str">
        <f t="shared" si="45"/>
        <v>CARGA INEFICIENTE</v>
      </c>
      <c r="U351" t="str">
        <f t="shared" si="46"/>
        <v>OK</v>
      </c>
      <c r="V351" t="str">
        <f t="shared" si="47"/>
        <v>OK</v>
      </c>
    </row>
    <row r="352" spans="1:22" x14ac:dyDescent="0.45">
      <c r="A352" t="str">
        <v>SO-50175</v>
      </c>
      <c r="B352" t="str">
        <v>PL-CEN</v>
      </c>
      <c r="C352" t="str">
        <v>CD-CDMX</v>
      </c>
      <c r="D352" t="str">
        <v>ABA-1018</v>
      </c>
      <c r="E352">
        <v>1655</v>
      </c>
      <c r="F352" s="1">
        <v>46176</v>
      </c>
      <c r="G352" t="str">
        <v>In Transit</v>
      </c>
      <c r="H352" t="str">
        <v>OK</v>
      </c>
      <c r="I352">
        <v>11.43</v>
      </c>
      <c r="J352">
        <v>128</v>
      </c>
      <c r="K352">
        <v>530</v>
      </c>
      <c r="L352" t="str">
        <v>OK</v>
      </c>
      <c r="M352">
        <v>1</v>
      </c>
      <c r="O352">
        <f t="shared" si="40"/>
        <v>12.9296875</v>
      </c>
      <c r="P352">
        <f t="shared" si="41"/>
        <v>78.819374999999994</v>
      </c>
      <c r="Q352">
        <f t="shared" si="42"/>
        <v>39.180871212121211</v>
      </c>
      <c r="R352">
        <f t="shared" si="43"/>
        <v>1</v>
      </c>
      <c r="S352">
        <f t="shared" si="44"/>
        <v>78.819374999999994</v>
      </c>
      <c r="T352" t="str">
        <f t="shared" si="45"/>
        <v>OK</v>
      </c>
      <c r="U352" t="str">
        <f t="shared" si="46"/>
        <v>OK</v>
      </c>
      <c r="V352" t="str">
        <f t="shared" si="47"/>
        <v>OK</v>
      </c>
    </row>
    <row r="353" spans="1:22" x14ac:dyDescent="0.45">
      <c r="A353" t="str">
        <v>SO-50167</v>
      </c>
      <c r="B353" t="str">
        <v>PL-SUR</v>
      </c>
      <c r="C353" t="str">
        <v>CD-MER</v>
      </c>
      <c r="D353" t="str">
        <v>LAC-1012</v>
      </c>
      <c r="E353">
        <v>2192</v>
      </c>
      <c r="F353" s="1">
        <v>46174</v>
      </c>
      <c r="G353" t="str">
        <v>In Transit</v>
      </c>
      <c r="H353" t="str">
        <v>OK</v>
      </c>
      <c r="I353">
        <v>9.8699999999999992</v>
      </c>
      <c r="J353">
        <v>88</v>
      </c>
      <c r="K353">
        <v>25</v>
      </c>
      <c r="L353" t="str">
        <v>OK</v>
      </c>
      <c r="M353">
        <v>3</v>
      </c>
      <c r="O353">
        <f t="shared" si="40"/>
        <v>24.90909090909091</v>
      </c>
      <c r="P353">
        <f t="shared" si="41"/>
        <v>90.145999999999987</v>
      </c>
      <c r="Q353">
        <f t="shared" si="42"/>
        <v>75.482093663911854</v>
      </c>
      <c r="R353">
        <f t="shared" si="43"/>
        <v>1</v>
      </c>
      <c r="S353">
        <f t="shared" si="44"/>
        <v>90.145999999999987</v>
      </c>
      <c r="T353" t="str">
        <f t="shared" si="45"/>
        <v>OK</v>
      </c>
      <c r="U353" t="str">
        <f t="shared" si="46"/>
        <v>OK</v>
      </c>
      <c r="V353" t="str">
        <f t="shared" si="47"/>
        <v>OK</v>
      </c>
    </row>
    <row r="354" spans="1:22" x14ac:dyDescent="0.45">
      <c r="A354" t="str">
        <v>SO-50901</v>
      </c>
      <c r="B354" t="str">
        <v>PL-CEN</v>
      </c>
      <c r="C354" t="str">
        <v>CD-VER</v>
      </c>
      <c r="D354" t="str">
        <v>LAC-1005</v>
      </c>
      <c r="E354">
        <v>2382</v>
      </c>
      <c r="F354" s="1">
        <v>46174</v>
      </c>
      <c r="G354" t="str">
        <v>In Transit</v>
      </c>
      <c r="H354" t="str">
        <v>OK</v>
      </c>
      <c r="I354">
        <v>8.94</v>
      </c>
      <c r="J354">
        <v>100</v>
      </c>
      <c r="K354">
        <v>17</v>
      </c>
      <c r="L354" t="str">
        <v>OK</v>
      </c>
      <c r="M354">
        <v>3</v>
      </c>
      <c r="O354">
        <f t="shared" si="40"/>
        <v>23.82</v>
      </c>
      <c r="P354">
        <f t="shared" si="41"/>
        <v>88.729500000000002</v>
      </c>
      <c r="Q354">
        <f t="shared" si="42"/>
        <v>72.181818181818187</v>
      </c>
      <c r="R354">
        <f t="shared" si="43"/>
        <v>1</v>
      </c>
      <c r="S354">
        <f t="shared" si="44"/>
        <v>88.729500000000002</v>
      </c>
      <c r="T354" t="str">
        <f t="shared" si="45"/>
        <v>OK</v>
      </c>
      <c r="U354" t="str">
        <f t="shared" si="46"/>
        <v>OK</v>
      </c>
      <c r="V354" t="str">
        <f t="shared" si="47"/>
        <v>OK</v>
      </c>
    </row>
    <row r="355" spans="1:22" x14ac:dyDescent="0.45">
      <c r="A355" t="str">
        <v>SO-50840</v>
      </c>
      <c r="B355" t="str">
        <v>PL-SUR</v>
      </c>
      <c r="C355" t="str">
        <v>CD-GDL</v>
      </c>
      <c r="D355" t="str">
        <v>ABA-1007</v>
      </c>
      <c r="E355">
        <v>771</v>
      </c>
      <c r="F355" s="1">
        <v>46176</v>
      </c>
      <c r="G355" t="str">
        <v>In Transit</v>
      </c>
      <c r="H355" t="str">
        <v>OK</v>
      </c>
      <c r="I355">
        <v>9.7899999999999991</v>
      </c>
      <c r="J355">
        <v>123</v>
      </c>
      <c r="K355">
        <v>334</v>
      </c>
      <c r="L355" t="str">
        <v>OK</v>
      </c>
      <c r="M355">
        <v>1</v>
      </c>
      <c r="O355">
        <f t="shared" si="40"/>
        <v>6.2682926829268295</v>
      </c>
      <c r="P355">
        <f t="shared" si="41"/>
        <v>31.450374999999998</v>
      </c>
      <c r="Q355">
        <f t="shared" si="42"/>
        <v>18.99482631189948</v>
      </c>
      <c r="R355">
        <f t="shared" si="43"/>
        <v>1</v>
      </c>
      <c r="S355">
        <f t="shared" si="44"/>
        <v>31.450374999999998</v>
      </c>
      <c r="T355" t="str">
        <f t="shared" si="45"/>
        <v>CARGA INEFICIENTE</v>
      </c>
      <c r="U355" t="str">
        <f t="shared" si="46"/>
        <v>OK</v>
      </c>
      <c r="V355" t="str">
        <f t="shared" si="47"/>
        <v>OK</v>
      </c>
    </row>
    <row r="356" spans="1:22" x14ac:dyDescent="0.45">
      <c r="A356" t="str">
        <v>SO-50487</v>
      </c>
      <c r="B356" t="str">
        <v>PL-SUR</v>
      </c>
      <c r="C356" t="str">
        <v>CD-MER</v>
      </c>
      <c r="D356" t="str">
        <v>ABA-1008</v>
      </c>
      <c r="E356">
        <v>2119</v>
      </c>
      <c r="F356" s="1">
        <v>46174</v>
      </c>
      <c r="G356" t="str">
        <v>In Transit</v>
      </c>
      <c r="H356" t="str">
        <v>OK</v>
      </c>
      <c r="I356">
        <v>10.6</v>
      </c>
      <c r="J356">
        <v>96</v>
      </c>
      <c r="K356">
        <v>445</v>
      </c>
      <c r="L356" t="str">
        <v>OK</v>
      </c>
      <c r="M356">
        <v>3</v>
      </c>
      <c r="O356">
        <f t="shared" si="40"/>
        <v>22.072916666666668</v>
      </c>
      <c r="P356">
        <f t="shared" si="41"/>
        <v>93.589166666666657</v>
      </c>
      <c r="Q356">
        <f t="shared" si="42"/>
        <v>66.88762626262627</v>
      </c>
      <c r="R356">
        <f t="shared" si="43"/>
        <v>1</v>
      </c>
      <c r="S356">
        <f t="shared" si="44"/>
        <v>93.589166666666657</v>
      </c>
      <c r="T356" t="str">
        <f t="shared" si="45"/>
        <v>OK</v>
      </c>
      <c r="U356" t="str">
        <f t="shared" si="46"/>
        <v>OK</v>
      </c>
      <c r="V356" t="str">
        <f t="shared" si="47"/>
        <v>OK</v>
      </c>
    </row>
    <row r="357" spans="1:22" x14ac:dyDescent="0.45">
      <c r="A357" t="str">
        <v>SO-50081</v>
      </c>
      <c r="B357" t="str">
        <v>PL-SUR</v>
      </c>
      <c r="C357" t="str">
        <v>CD-CAN</v>
      </c>
      <c r="D357" t="str">
        <v>XXX-8318</v>
      </c>
      <c r="E357">
        <v>1319</v>
      </c>
      <c r="F357" s="1">
        <v>46176</v>
      </c>
      <c r="G357" t="str">
        <v>In Transit</v>
      </c>
      <c r="H357" t="str">
        <v>OK</v>
      </c>
      <c r="I357">
        <v>0</v>
      </c>
      <c r="J357">
        <v>0</v>
      </c>
      <c r="K357">
        <v>0</v>
      </c>
      <c r="L357" t="str">
        <v>HUERFANO</v>
      </c>
      <c r="M357">
        <v>1</v>
      </c>
      <c r="O357" t="str">
        <f t="shared" si="40"/>
        <v>n/a</v>
      </c>
      <c r="P357" t="str">
        <f t="shared" si="41"/>
        <v>n/a</v>
      </c>
      <c r="Q357" t="str">
        <f t="shared" si="42"/>
        <v>n/a</v>
      </c>
      <c r="R357" t="str">
        <f t="shared" si="43"/>
        <v>n/a</v>
      </c>
      <c r="S357" t="str">
        <f t="shared" si="44"/>
        <v>n/a</v>
      </c>
      <c r="T357" t="str">
        <f t="shared" si="45"/>
        <v>n/a</v>
      </c>
      <c r="U357" t="str">
        <f t="shared" si="46"/>
        <v>n/a</v>
      </c>
      <c r="V357" t="str">
        <f t="shared" si="47"/>
        <v>n/a</v>
      </c>
    </row>
    <row r="358" spans="1:22" x14ac:dyDescent="0.45">
      <c r="A358" t="str">
        <v>SO-50543</v>
      </c>
      <c r="B358" t="str">
        <v>PL-SUR</v>
      </c>
      <c r="C358" t="str">
        <v>CD-MOR</v>
      </c>
      <c r="D358" t="str">
        <v>BEB-1020</v>
      </c>
      <c r="E358">
        <v>1377</v>
      </c>
      <c r="F358" s="1">
        <v>46175</v>
      </c>
      <c r="G358" t="str">
        <v>In Transit</v>
      </c>
      <c r="H358" t="str">
        <v>OK</v>
      </c>
      <c r="I358">
        <v>16.66</v>
      </c>
      <c r="J358">
        <v>85</v>
      </c>
      <c r="K358">
        <v>333</v>
      </c>
      <c r="L358" t="str">
        <v>OK</v>
      </c>
      <c r="M358">
        <v>2</v>
      </c>
      <c r="O358">
        <f t="shared" si="40"/>
        <v>16.2</v>
      </c>
      <c r="P358">
        <f t="shared" si="41"/>
        <v>95.586749999999995</v>
      </c>
      <c r="Q358">
        <f t="shared" si="42"/>
        <v>49.090909090909093</v>
      </c>
      <c r="R358">
        <f t="shared" si="43"/>
        <v>1</v>
      </c>
      <c r="S358">
        <f t="shared" si="44"/>
        <v>95.586749999999995</v>
      </c>
      <c r="T358" t="str">
        <f t="shared" si="45"/>
        <v>OK</v>
      </c>
      <c r="U358" t="str">
        <f t="shared" si="46"/>
        <v>OK</v>
      </c>
      <c r="V358" t="str">
        <f t="shared" si="47"/>
        <v>OK</v>
      </c>
    </row>
    <row r="359" spans="1:22" x14ac:dyDescent="0.45">
      <c r="A359" t="str">
        <v>SO-51077</v>
      </c>
      <c r="B359" t="str">
        <v>PL-SUR</v>
      </c>
      <c r="C359" t="str">
        <v>CD-MOR</v>
      </c>
      <c r="D359" t="str">
        <v>LAC-1015</v>
      </c>
      <c r="E359">
        <v>1676</v>
      </c>
      <c r="F359" s="1">
        <v>46176</v>
      </c>
      <c r="G359" t="str">
        <v>In Transit</v>
      </c>
      <c r="H359" t="str">
        <v>OK</v>
      </c>
      <c r="I359">
        <v>11.26</v>
      </c>
      <c r="J359">
        <v>129</v>
      </c>
      <c r="K359">
        <v>24</v>
      </c>
      <c r="L359" t="str">
        <v>OK</v>
      </c>
      <c r="M359">
        <v>1</v>
      </c>
      <c r="O359">
        <f t="shared" si="40"/>
        <v>12.992248062015504</v>
      </c>
      <c r="P359">
        <f t="shared" si="41"/>
        <v>78.632333333333321</v>
      </c>
      <c r="Q359">
        <f t="shared" si="42"/>
        <v>39.370448672774252</v>
      </c>
      <c r="R359">
        <f t="shared" si="43"/>
        <v>1</v>
      </c>
      <c r="S359">
        <f t="shared" si="44"/>
        <v>78.632333333333321</v>
      </c>
      <c r="T359" t="str">
        <f t="shared" si="45"/>
        <v>OK</v>
      </c>
      <c r="U359" t="str">
        <f t="shared" si="46"/>
        <v>OK</v>
      </c>
      <c r="V359" t="str">
        <f t="shared" si="47"/>
        <v>OK</v>
      </c>
    </row>
    <row r="360" spans="1:22" x14ac:dyDescent="0.45">
      <c r="A360" t="str">
        <v>SO-50264</v>
      </c>
      <c r="B360" t="str">
        <v>PL-SUR</v>
      </c>
      <c r="C360" t="str">
        <v>CD-LEO</v>
      </c>
      <c r="D360" t="str">
        <v>BOT-1009</v>
      </c>
      <c r="E360">
        <v>1994</v>
      </c>
      <c r="F360" s="1">
        <v>46176</v>
      </c>
      <c r="G360" t="str">
        <v>In Transit</v>
      </c>
      <c r="H360" t="str">
        <v>OK</v>
      </c>
      <c r="I360">
        <v>5.25</v>
      </c>
      <c r="J360">
        <v>76</v>
      </c>
      <c r="K360">
        <v>104</v>
      </c>
      <c r="L360" t="str">
        <v>OK</v>
      </c>
      <c r="M360">
        <v>1</v>
      </c>
      <c r="O360">
        <f t="shared" si="40"/>
        <v>26.236842105263158</v>
      </c>
      <c r="P360">
        <f t="shared" si="41"/>
        <v>43.618749999999999</v>
      </c>
      <c r="Q360">
        <f t="shared" si="42"/>
        <v>79.505582137161085</v>
      </c>
      <c r="R360">
        <f t="shared" si="43"/>
        <v>1</v>
      </c>
      <c r="S360">
        <f t="shared" si="44"/>
        <v>79.505582137161085</v>
      </c>
      <c r="T360" t="str">
        <f t="shared" si="45"/>
        <v>OK</v>
      </c>
      <c r="U360" t="str">
        <f t="shared" si="46"/>
        <v>OK</v>
      </c>
      <c r="V360" t="str">
        <f t="shared" si="47"/>
        <v>OK</v>
      </c>
    </row>
    <row r="361" spans="1:22" x14ac:dyDescent="0.45">
      <c r="A361" t="str">
        <v>SO-50836</v>
      </c>
      <c r="B361" t="str">
        <v>PL-SUR</v>
      </c>
      <c r="C361" t="str">
        <v>CD-LEO</v>
      </c>
      <c r="D361" t="str">
        <v>LAC-1008</v>
      </c>
      <c r="E361">
        <v>544</v>
      </c>
      <c r="F361" s="1">
        <v>46175</v>
      </c>
      <c r="G361" t="str">
        <v>In Transit</v>
      </c>
      <c r="H361" t="str">
        <v>OK</v>
      </c>
      <c r="I361">
        <v>9.8000000000000007</v>
      </c>
      <c r="J361">
        <v>83</v>
      </c>
      <c r="K361">
        <v>15</v>
      </c>
      <c r="L361" t="str">
        <v>OK</v>
      </c>
      <c r="M361">
        <v>2</v>
      </c>
      <c r="O361">
        <f t="shared" si="40"/>
        <v>6.5542168674698793</v>
      </c>
      <c r="P361">
        <f t="shared" si="41"/>
        <v>22.213333333333338</v>
      </c>
      <c r="Q361">
        <f t="shared" si="42"/>
        <v>19.86126323475721</v>
      </c>
      <c r="R361">
        <f t="shared" si="43"/>
        <v>1</v>
      </c>
      <c r="S361">
        <f t="shared" si="44"/>
        <v>22.213333333333338</v>
      </c>
      <c r="T361" t="str">
        <f t="shared" si="45"/>
        <v>CARGA INEFICIENTE</v>
      </c>
      <c r="U361" t="str">
        <f t="shared" si="46"/>
        <v>OK</v>
      </c>
      <c r="V361" t="str">
        <f t="shared" si="47"/>
        <v>OK</v>
      </c>
    </row>
    <row r="362" spans="1:22" x14ac:dyDescent="0.45">
      <c r="A362" t="str">
        <v>SO-50526</v>
      </c>
      <c r="B362" t="str">
        <v>PL-SUR</v>
      </c>
      <c r="C362" t="str">
        <v>CD-LEO</v>
      </c>
      <c r="D362" t="str">
        <v>LAC-1005</v>
      </c>
      <c r="E362">
        <v>2407</v>
      </c>
      <c r="F362" s="1">
        <v>46175</v>
      </c>
      <c r="G362" t="str">
        <v>In Transit</v>
      </c>
      <c r="H362" t="str">
        <v>OK</v>
      </c>
      <c r="I362">
        <v>8.94</v>
      </c>
      <c r="J362">
        <v>100</v>
      </c>
      <c r="K362">
        <v>17</v>
      </c>
      <c r="L362" t="str">
        <v>OK</v>
      </c>
      <c r="M362">
        <v>2</v>
      </c>
      <c r="O362">
        <f t="shared" si="40"/>
        <v>24.07</v>
      </c>
      <c r="P362">
        <f t="shared" si="41"/>
        <v>89.660749999999993</v>
      </c>
      <c r="Q362">
        <f t="shared" si="42"/>
        <v>72.939393939393938</v>
      </c>
      <c r="R362">
        <f t="shared" si="43"/>
        <v>1</v>
      </c>
      <c r="S362">
        <f t="shared" si="44"/>
        <v>89.660749999999993</v>
      </c>
      <c r="T362" t="str">
        <f t="shared" si="45"/>
        <v>OK</v>
      </c>
      <c r="U362" t="str">
        <f t="shared" si="46"/>
        <v>OK</v>
      </c>
      <c r="V362" t="str">
        <f t="shared" si="47"/>
        <v>OK</v>
      </c>
    </row>
    <row r="363" spans="1:22" x14ac:dyDescent="0.45">
      <c r="A363" t="str">
        <v>SO-50923</v>
      </c>
      <c r="B363" t="str">
        <v>PL-SUR</v>
      </c>
      <c r="C363" t="str">
        <v>CD-MOR</v>
      </c>
      <c r="D363" t="str">
        <v>ABA-1018</v>
      </c>
      <c r="E363">
        <v>1771</v>
      </c>
      <c r="F363" s="1">
        <v>46176</v>
      </c>
      <c r="G363" t="str">
        <v>In Transit</v>
      </c>
      <c r="H363" t="str">
        <v>OK</v>
      </c>
      <c r="I363">
        <v>11.43</v>
      </c>
      <c r="J363">
        <v>128</v>
      </c>
      <c r="K363">
        <v>530</v>
      </c>
      <c r="L363" t="str">
        <v>OK</v>
      </c>
      <c r="M363">
        <v>1</v>
      </c>
      <c r="O363">
        <f t="shared" si="40"/>
        <v>13.8359375</v>
      </c>
      <c r="P363">
        <f t="shared" si="41"/>
        <v>84.343874999999997</v>
      </c>
      <c r="Q363">
        <f t="shared" si="42"/>
        <v>41.927083333333329</v>
      </c>
      <c r="R363">
        <f t="shared" si="43"/>
        <v>1</v>
      </c>
      <c r="S363">
        <f t="shared" si="44"/>
        <v>84.343874999999997</v>
      </c>
      <c r="T363" t="str">
        <f t="shared" si="45"/>
        <v>OK</v>
      </c>
      <c r="U363" t="str">
        <f t="shared" si="46"/>
        <v>OK</v>
      </c>
      <c r="V363" t="str">
        <f t="shared" si="47"/>
        <v>OK</v>
      </c>
    </row>
    <row r="364" spans="1:22" x14ac:dyDescent="0.45">
      <c r="A364" t="str">
        <v>SO-50289</v>
      </c>
      <c r="B364" t="str">
        <v>PL-CEN</v>
      </c>
      <c r="C364" t="str">
        <v>CD-QRO</v>
      </c>
      <c r="D364" t="str">
        <v>BEB-1000</v>
      </c>
      <c r="E364">
        <v>538</v>
      </c>
      <c r="F364" s="1">
        <v>46175</v>
      </c>
      <c r="G364" t="str">
        <v>In Transit</v>
      </c>
      <c r="H364" t="str">
        <v>OK</v>
      </c>
      <c r="I364">
        <v>16.489999999999998</v>
      </c>
      <c r="J364">
        <v>102</v>
      </c>
      <c r="K364">
        <v>315</v>
      </c>
      <c r="L364" t="str">
        <v>OK</v>
      </c>
      <c r="M364">
        <v>2</v>
      </c>
      <c r="O364">
        <f t="shared" si="40"/>
        <v>5.2745098039215685</v>
      </c>
      <c r="P364">
        <f t="shared" si="41"/>
        <v>36.965083333333332</v>
      </c>
      <c r="Q364">
        <f t="shared" si="42"/>
        <v>15.983363042186571</v>
      </c>
      <c r="R364">
        <f t="shared" si="43"/>
        <v>1</v>
      </c>
      <c r="S364">
        <f t="shared" si="44"/>
        <v>36.965083333333332</v>
      </c>
      <c r="T364" t="str">
        <f t="shared" si="45"/>
        <v>CARGA INEFICIENTE</v>
      </c>
      <c r="U364" t="str">
        <f t="shared" si="46"/>
        <v>OK</v>
      </c>
      <c r="V364" t="str">
        <f t="shared" si="47"/>
        <v>OK</v>
      </c>
    </row>
    <row r="365" spans="1:22" x14ac:dyDescent="0.45">
      <c r="A365" t="str">
        <v>SO-50380</v>
      </c>
      <c r="B365" t="str">
        <v>PL-CEN</v>
      </c>
      <c r="C365" t="str">
        <v>CD-QRO</v>
      </c>
      <c r="D365" t="str">
        <v>ABA-1008</v>
      </c>
      <c r="E365">
        <v>708</v>
      </c>
      <c r="F365" s="1">
        <v>46176</v>
      </c>
      <c r="G365" t="str">
        <v>In Transit</v>
      </c>
      <c r="H365" t="str">
        <v>OK</v>
      </c>
      <c r="I365">
        <v>10.6</v>
      </c>
      <c r="J365">
        <v>96</v>
      </c>
      <c r="K365">
        <v>445</v>
      </c>
      <c r="L365" t="str">
        <v>OK</v>
      </c>
      <c r="M365">
        <v>1</v>
      </c>
      <c r="O365">
        <f t="shared" si="40"/>
        <v>7.375</v>
      </c>
      <c r="P365">
        <f t="shared" si="41"/>
        <v>31.270000000000003</v>
      </c>
      <c r="Q365">
        <f t="shared" si="42"/>
        <v>22.348484848484848</v>
      </c>
      <c r="R365">
        <f t="shared" si="43"/>
        <v>1</v>
      </c>
      <c r="S365">
        <f t="shared" si="44"/>
        <v>31.270000000000003</v>
      </c>
      <c r="T365" t="str">
        <f t="shared" si="45"/>
        <v>CARGA INEFICIENTE</v>
      </c>
      <c r="U365" t="str">
        <f t="shared" si="46"/>
        <v>OK</v>
      </c>
      <c r="V365" t="str">
        <f t="shared" si="47"/>
        <v>OK</v>
      </c>
    </row>
    <row r="366" spans="1:22" x14ac:dyDescent="0.45">
      <c r="A366" t="str">
        <v>SO-50702</v>
      </c>
      <c r="B366" t="str">
        <v>PL-SUR</v>
      </c>
      <c r="C366" t="str">
        <v>CD-MER</v>
      </c>
      <c r="D366" t="str">
        <v>ABA-1017</v>
      </c>
      <c r="E366">
        <v>1736</v>
      </c>
      <c r="F366" s="1">
        <v>46175</v>
      </c>
      <c r="G366" t="str">
        <v>In Transit</v>
      </c>
      <c r="H366" t="str">
        <v>OK</v>
      </c>
      <c r="I366">
        <v>10.96</v>
      </c>
      <c r="J366">
        <v>128</v>
      </c>
      <c r="K366">
        <v>520</v>
      </c>
      <c r="L366" t="str">
        <v>OK</v>
      </c>
      <c r="M366">
        <v>2</v>
      </c>
      <c r="O366">
        <f t="shared" si="40"/>
        <v>13.5625</v>
      </c>
      <c r="P366">
        <f t="shared" si="41"/>
        <v>79.277333333333345</v>
      </c>
      <c r="Q366">
        <f t="shared" si="42"/>
        <v>41.098484848484851</v>
      </c>
      <c r="R366">
        <f t="shared" si="43"/>
        <v>1</v>
      </c>
      <c r="S366">
        <f t="shared" si="44"/>
        <v>79.277333333333345</v>
      </c>
      <c r="T366" t="str">
        <f t="shared" si="45"/>
        <v>OK</v>
      </c>
      <c r="U366" t="str">
        <f t="shared" si="46"/>
        <v>OK</v>
      </c>
      <c r="V366" t="str">
        <f t="shared" si="47"/>
        <v>OK</v>
      </c>
    </row>
    <row r="367" spans="1:22" x14ac:dyDescent="0.45">
      <c r="A367" t="str">
        <v>SO-50408</v>
      </c>
      <c r="B367" t="str">
        <v>PL-CEN</v>
      </c>
      <c r="C367" t="str">
        <v>CD-PUE</v>
      </c>
      <c r="D367" t="str">
        <v>PRO-1011</v>
      </c>
      <c r="E367">
        <v>722</v>
      </c>
      <c r="F367" s="1">
        <v>46176</v>
      </c>
      <c r="G367" t="str">
        <v>In Transit</v>
      </c>
      <c r="H367" t="str">
        <v>OK</v>
      </c>
      <c r="I367">
        <v>4.3600000000000003</v>
      </c>
      <c r="J367">
        <v>88</v>
      </c>
      <c r="K367">
        <v>108</v>
      </c>
      <c r="L367" t="str">
        <v>OK</v>
      </c>
      <c r="M367">
        <v>1</v>
      </c>
      <c r="O367">
        <f t="shared" si="40"/>
        <v>8.204545454545455</v>
      </c>
      <c r="P367">
        <f t="shared" si="41"/>
        <v>13.116333333333333</v>
      </c>
      <c r="Q367">
        <f t="shared" si="42"/>
        <v>24.862258953168045</v>
      </c>
      <c r="R367">
        <f t="shared" si="43"/>
        <v>1</v>
      </c>
      <c r="S367">
        <f t="shared" si="44"/>
        <v>24.862258953168045</v>
      </c>
      <c r="T367" t="str">
        <f t="shared" si="45"/>
        <v>CARGA INEFICIENTE</v>
      </c>
      <c r="U367" t="str">
        <f t="shared" si="46"/>
        <v>OK</v>
      </c>
      <c r="V367" t="str">
        <f t="shared" si="47"/>
        <v>OK</v>
      </c>
    </row>
    <row r="368" spans="1:22" x14ac:dyDescent="0.45">
      <c r="A368" t="str">
        <v>SO-50015</v>
      </c>
      <c r="B368" t="str">
        <v>PL-NTE</v>
      </c>
      <c r="C368" t="str">
        <v>CD-MTY</v>
      </c>
      <c r="D368" t="str">
        <v>ABA-1011</v>
      </c>
      <c r="E368">
        <v>1953</v>
      </c>
      <c r="F368" s="1">
        <v>46176</v>
      </c>
      <c r="G368" t="str">
        <v>In Transit</v>
      </c>
      <c r="H368" t="str">
        <v>OK</v>
      </c>
      <c r="I368">
        <v>9.9499999999999993</v>
      </c>
      <c r="J368">
        <v>106</v>
      </c>
      <c r="K368">
        <v>376</v>
      </c>
      <c r="L368" t="str">
        <v>OK</v>
      </c>
      <c r="M368">
        <v>1</v>
      </c>
      <c r="O368">
        <f t="shared" si="40"/>
        <v>18.424528301886792</v>
      </c>
      <c r="P368">
        <f t="shared" si="41"/>
        <v>80.968124999999986</v>
      </c>
      <c r="Q368">
        <f t="shared" si="42"/>
        <v>55.831903945111492</v>
      </c>
      <c r="R368">
        <f t="shared" si="43"/>
        <v>1</v>
      </c>
      <c r="S368">
        <f t="shared" si="44"/>
        <v>80.968124999999986</v>
      </c>
      <c r="T368" t="str">
        <f t="shared" si="45"/>
        <v>OK</v>
      </c>
      <c r="U368" t="str">
        <f t="shared" si="46"/>
        <v>OK</v>
      </c>
      <c r="V368" t="str">
        <f t="shared" si="47"/>
        <v>OK</v>
      </c>
    </row>
    <row r="369" spans="1:22" x14ac:dyDescent="0.45">
      <c r="A369" t="str">
        <v>SO-50310</v>
      </c>
      <c r="B369" t="str">
        <v>PL-NTE</v>
      </c>
      <c r="C369" t="str">
        <v>CD-SAL</v>
      </c>
      <c r="D369" t="str">
        <v>ABA-1018</v>
      </c>
      <c r="E369">
        <v>1912</v>
      </c>
      <c r="F369" s="1">
        <v>46176</v>
      </c>
      <c r="G369" t="str">
        <v>In Transit</v>
      </c>
      <c r="H369" t="str">
        <v>OK</v>
      </c>
      <c r="I369">
        <v>11.43</v>
      </c>
      <c r="J369">
        <v>128</v>
      </c>
      <c r="K369">
        <v>530</v>
      </c>
      <c r="L369" t="str">
        <v>OK</v>
      </c>
      <c r="M369">
        <v>1</v>
      </c>
      <c r="O369">
        <f t="shared" si="40"/>
        <v>14.9375</v>
      </c>
      <c r="P369">
        <f t="shared" si="41"/>
        <v>91.058999999999997</v>
      </c>
      <c r="Q369">
        <f t="shared" si="42"/>
        <v>45.265151515151516</v>
      </c>
      <c r="R369">
        <f t="shared" si="43"/>
        <v>1</v>
      </c>
      <c r="S369">
        <f t="shared" si="44"/>
        <v>91.058999999999997</v>
      </c>
      <c r="T369" t="str">
        <f t="shared" si="45"/>
        <v>OK</v>
      </c>
      <c r="U369" t="str">
        <f t="shared" si="46"/>
        <v>OK</v>
      </c>
      <c r="V369" t="str">
        <f t="shared" si="47"/>
        <v>OK</v>
      </c>
    </row>
    <row r="370" spans="1:22" x14ac:dyDescent="0.45">
      <c r="A370" t="str">
        <v>SO-50337</v>
      </c>
      <c r="B370" t="str">
        <v>PL-SUR</v>
      </c>
      <c r="C370" t="str">
        <v>CD-LEO</v>
      </c>
      <c r="D370" t="str">
        <v>LAC-1001</v>
      </c>
      <c r="E370">
        <v>2459</v>
      </c>
      <c r="F370" s="1">
        <v>46175</v>
      </c>
      <c r="G370" t="str">
        <v>In Transit</v>
      </c>
      <c r="H370" t="str">
        <v>OK</v>
      </c>
      <c r="I370">
        <v>7.51</v>
      </c>
      <c r="J370">
        <v>83</v>
      </c>
      <c r="K370">
        <v>18</v>
      </c>
      <c r="L370" t="str">
        <v>OK</v>
      </c>
      <c r="M370">
        <v>2</v>
      </c>
      <c r="O370">
        <f t="shared" si="40"/>
        <v>29.626506024096386</v>
      </c>
      <c r="P370">
        <f t="shared" si="41"/>
        <v>76.946208333333331</v>
      </c>
      <c r="Q370">
        <f t="shared" si="42"/>
        <v>89.777290982110259</v>
      </c>
      <c r="R370">
        <f t="shared" si="43"/>
        <v>1</v>
      </c>
      <c r="S370">
        <f t="shared" si="44"/>
        <v>89.777290982110259</v>
      </c>
      <c r="T370" t="str">
        <f t="shared" si="45"/>
        <v>OK</v>
      </c>
      <c r="U370" t="str">
        <f t="shared" si="46"/>
        <v>OK</v>
      </c>
      <c r="V370" t="str">
        <f t="shared" si="47"/>
        <v>OK</v>
      </c>
    </row>
    <row r="371" spans="1:22" x14ac:dyDescent="0.45">
      <c r="A371" t="str">
        <v>SO-50982</v>
      </c>
      <c r="B371" t="str">
        <v>PL-NTE</v>
      </c>
      <c r="C371" t="str">
        <v>CD-TIJ</v>
      </c>
      <c r="D371" t="str">
        <v>BOT-1010</v>
      </c>
      <c r="E371">
        <v>1216</v>
      </c>
      <c r="F371" s="1">
        <v>46175</v>
      </c>
      <c r="G371" t="str">
        <v>In Transit</v>
      </c>
      <c r="H371" t="str">
        <v>OK</v>
      </c>
      <c r="I371">
        <v>5.09</v>
      </c>
      <c r="J371">
        <v>40</v>
      </c>
      <c r="K371">
        <v>90</v>
      </c>
      <c r="L371" t="str">
        <v>OK</v>
      </c>
      <c r="M371">
        <v>2</v>
      </c>
      <c r="O371">
        <f t="shared" si="40"/>
        <v>30.4</v>
      </c>
      <c r="P371">
        <f t="shared" si="41"/>
        <v>25.789333333333332</v>
      </c>
      <c r="Q371">
        <f t="shared" si="42"/>
        <v>92.12121212121211</v>
      </c>
      <c r="R371">
        <f t="shared" si="43"/>
        <v>1</v>
      </c>
      <c r="S371">
        <f t="shared" si="44"/>
        <v>92.12121212121211</v>
      </c>
      <c r="T371" t="str">
        <f t="shared" si="45"/>
        <v>OK</v>
      </c>
      <c r="U371" t="str">
        <f t="shared" si="46"/>
        <v>OK</v>
      </c>
      <c r="V371" t="str">
        <f t="shared" si="47"/>
        <v>OK</v>
      </c>
    </row>
    <row r="372" spans="1:22" x14ac:dyDescent="0.45">
      <c r="A372" t="str">
        <v>SO-50768</v>
      </c>
      <c r="B372" t="str">
        <v>PL-NTE</v>
      </c>
      <c r="C372" t="str">
        <v>CD-SAL</v>
      </c>
      <c r="D372" t="str">
        <v>PRO-1011</v>
      </c>
      <c r="E372">
        <v>2362</v>
      </c>
      <c r="F372" s="1">
        <v>46175</v>
      </c>
      <c r="G372" t="str">
        <v>In Transit</v>
      </c>
      <c r="H372" t="str">
        <v>OK</v>
      </c>
      <c r="I372">
        <v>4.3600000000000003</v>
      </c>
      <c r="J372">
        <v>88</v>
      </c>
      <c r="K372">
        <v>108</v>
      </c>
      <c r="L372" t="str">
        <v>OK</v>
      </c>
      <c r="M372">
        <v>2</v>
      </c>
      <c r="O372">
        <f t="shared" si="40"/>
        <v>26.84090909090909</v>
      </c>
      <c r="P372">
        <f t="shared" si="41"/>
        <v>42.909666666666674</v>
      </c>
      <c r="Q372">
        <f t="shared" si="42"/>
        <v>81.336088154269973</v>
      </c>
      <c r="R372">
        <f t="shared" si="43"/>
        <v>1</v>
      </c>
      <c r="S372">
        <f t="shared" si="44"/>
        <v>81.336088154269973</v>
      </c>
      <c r="T372" t="str">
        <f t="shared" si="45"/>
        <v>OK</v>
      </c>
      <c r="U372" t="str">
        <f t="shared" si="46"/>
        <v>OK</v>
      </c>
      <c r="V372" t="str">
        <f t="shared" si="47"/>
        <v>OK</v>
      </c>
    </row>
    <row r="373" spans="1:22" x14ac:dyDescent="0.45">
      <c r="A373" t="str">
        <v>SO-50970</v>
      </c>
      <c r="B373" t="str">
        <v>PL-CEN</v>
      </c>
      <c r="C373" t="str">
        <v>CD-TOL</v>
      </c>
      <c r="D373" t="str">
        <v>ABA-1002</v>
      </c>
      <c r="E373">
        <v>1539</v>
      </c>
      <c r="F373" s="1">
        <v>46175</v>
      </c>
      <c r="G373" t="str">
        <v>In Transit</v>
      </c>
      <c r="H373" t="str">
        <v>OK</v>
      </c>
      <c r="I373">
        <v>15.1</v>
      </c>
      <c r="J373">
        <v>74</v>
      </c>
      <c r="K373">
        <v>443</v>
      </c>
      <c r="L373" t="str">
        <v>OK</v>
      </c>
      <c r="M373">
        <v>2</v>
      </c>
      <c r="O373">
        <f t="shared" si="40"/>
        <v>20.797297297297298</v>
      </c>
      <c r="P373">
        <f t="shared" si="41"/>
        <v>96.828749999999985</v>
      </c>
      <c r="Q373">
        <f t="shared" si="42"/>
        <v>63.022113022113025</v>
      </c>
      <c r="R373">
        <f t="shared" si="43"/>
        <v>1</v>
      </c>
      <c r="S373">
        <f t="shared" si="44"/>
        <v>96.828749999999985</v>
      </c>
      <c r="T373" t="str">
        <f t="shared" si="45"/>
        <v>OK</v>
      </c>
      <c r="U373" t="str">
        <f t="shared" si="46"/>
        <v>OK</v>
      </c>
      <c r="V373" t="str">
        <f t="shared" si="47"/>
        <v>OK</v>
      </c>
    </row>
    <row r="374" spans="1:22" x14ac:dyDescent="0.45">
      <c r="A374" t="str">
        <v>SO-50983</v>
      </c>
      <c r="B374" t="str">
        <v>PL-SUR</v>
      </c>
      <c r="C374" t="str">
        <v>CD-MOR</v>
      </c>
      <c r="D374" t="str">
        <v>PRO-1000</v>
      </c>
      <c r="E374">
        <v>1743</v>
      </c>
      <c r="F374" s="1">
        <v>46176</v>
      </c>
      <c r="G374" t="str">
        <v>In Transit</v>
      </c>
      <c r="H374" t="str">
        <v>OK</v>
      </c>
      <c r="I374">
        <v>12.51</v>
      </c>
      <c r="J374">
        <v>73</v>
      </c>
      <c r="K374">
        <v>75</v>
      </c>
      <c r="L374" t="str">
        <v>OK</v>
      </c>
      <c r="M374">
        <v>1</v>
      </c>
      <c r="O374">
        <f t="shared" si="40"/>
        <v>23.876712328767123</v>
      </c>
      <c r="P374">
        <f t="shared" si="41"/>
        <v>90.853875000000002</v>
      </c>
      <c r="Q374">
        <f t="shared" si="42"/>
        <v>72.353673723536744</v>
      </c>
      <c r="R374">
        <f t="shared" si="43"/>
        <v>1</v>
      </c>
      <c r="S374">
        <f t="shared" si="44"/>
        <v>90.853875000000002</v>
      </c>
      <c r="T374" t="str">
        <f t="shared" si="45"/>
        <v>OK</v>
      </c>
      <c r="U374" t="str">
        <f t="shared" si="46"/>
        <v>OK</v>
      </c>
      <c r="V374" t="str">
        <f t="shared" si="47"/>
        <v>OK</v>
      </c>
    </row>
    <row r="375" spans="1:22" x14ac:dyDescent="0.45">
      <c r="A375" t="str">
        <v>SO-50711</v>
      </c>
      <c r="B375" t="str">
        <v>PL-SUR</v>
      </c>
      <c r="C375" t="str">
        <v>CD-CAN</v>
      </c>
      <c r="D375" t="str">
        <v>PRO-1005</v>
      </c>
      <c r="E375">
        <v>1978</v>
      </c>
      <c r="F375" s="1">
        <v>46176</v>
      </c>
      <c r="G375" t="str">
        <v>In Transit</v>
      </c>
      <c r="H375" t="str">
        <v>OK</v>
      </c>
      <c r="I375">
        <v>11.02</v>
      </c>
      <c r="J375">
        <v>69</v>
      </c>
      <c r="K375">
        <v>86</v>
      </c>
      <c r="L375" t="str">
        <v>OK</v>
      </c>
      <c r="M375">
        <v>1</v>
      </c>
      <c r="O375">
        <f t="shared" si="40"/>
        <v>28.666666666666668</v>
      </c>
      <c r="P375">
        <f t="shared" si="41"/>
        <v>90.823166666666651</v>
      </c>
      <c r="Q375">
        <f t="shared" si="42"/>
        <v>86.868686868686879</v>
      </c>
      <c r="R375">
        <f t="shared" si="43"/>
        <v>1</v>
      </c>
      <c r="S375">
        <f t="shared" si="44"/>
        <v>90.823166666666651</v>
      </c>
      <c r="T375" t="str">
        <f t="shared" si="45"/>
        <v>OK</v>
      </c>
      <c r="U375" t="str">
        <f t="shared" si="46"/>
        <v>OK</v>
      </c>
      <c r="V375" t="str">
        <f t="shared" si="47"/>
        <v>OK</v>
      </c>
    </row>
    <row r="376" spans="1:22" x14ac:dyDescent="0.45">
      <c r="A376" t="str">
        <v>SO-50511</v>
      </c>
      <c r="B376" t="str">
        <v>PL-CEN</v>
      </c>
      <c r="C376" t="str">
        <v>CD-PUE</v>
      </c>
      <c r="D376" t="str">
        <v>ABA-1017</v>
      </c>
      <c r="E376">
        <v>1774</v>
      </c>
      <c r="F376" s="1">
        <v>46176</v>
      </c>
      <c r="G376" t="str">
        <v>Delivered</v>
      </c>
      <c r="H376" t="str">
        <v>OK</v>
      </c>
      <c r="I376">
        <v>10.96</v>
      </c>
      <c r="J376">
        <v>128</v>
      </c>
      <c r="K376">
        <v>520</v>
      </c>
      <c r="L376" t="str">
        <v>OK</v>
      </c>
      <c r="M376">
        <v>1</v>
      </c>
      <c r="O376">
        <f t="shared" si="40"/>
        <v>13.859375</v>
      </c>
      <c r="P376">
        <f t="shared" si="41"/>
        <v>81.012666666666661</v>
      </c>
      <c r="Q376">
        <f t="shared" si="42"/>
        <v>41.998106060606062</v>
      </c>
      <c r="R376">
        <f t="shared" si="43"/>
        <v>1</v>
      </c>
      <c r="S376">
        <f t="shared" si="44"/>
        <v>81.012666666666661</v>
      </c>
      <c r="T376" t="str">
        <f t="shared" si="45"/>
        <v>OK</v>
      </c>
      <c r="U376" t="str">
        <f t="shared" si="46"/>
        <v>OK</v>
      </c>
      <c r="V376" t="str">
        <f t="shared" si="47"/>
        <v>OK</v>
      </c>
    </row>
    <row r="377" spans="1:22" x14ac:dyDescent="0.45">
      <c r="A377" t="str">
        <v>SO-50528</v>
      </c>
      <c r="B377" t="str">
        <v>PL-SUR</v>
      </c>
      <c r="C377" t="str">
        <v>CD-MER</v>
      </c>
      <c r="D377" t="str">
        <v>BEB-1000</v>
      </c>
      <c r="E377">
        <v>520</v>
      </c>
      <c r="F377" s="1">
        <v>46175</v>
      </c>
      <c r="G377" t="str">
        <v>In Transit</v>
      </c>
      <c r="H377" t="str">
        <v>OK</v>
      </c>
      <c r="I377">
        <v>16.489999999999998</v>
      </c>
      <c r="J377">
        <v>102</v>
      </c>
      <c r="K377">
        <v>315</v>
      </c>
      <c r="L377" t="str">
        <v>OK</v>
      </c>
      <c r="M377">
        <v>2</v>
      </c>
      <c r="O377">
        <f t="shared" si="40"/>
        <v>5.0980392156862742</v>
      </c>
      <c r="P377">
        <f t="shared" si="41"/>
        <v>35.728333333333332</v>
      </c>
      <c r="Q377">
        <f t="shared" si="42"/>
        <v>15.448603683897799</v>
      </c>
      <c r="R377">
        <f t="shared" si="43"/>
        <v>1</v>
      </c>
      <c r="S377">
        <f t="shared" si="44"/>
        <v>35.728333333333332</v>
      </c>
      <c r="T377" t="str">
        <f t="shared" si="45"/>
        <v>CARGA INEFICIENTE</v>
      </c>
      <c r="U377" t="str">
        <f t="shared" si="46"/>
        <v>OK</v>
      </c>
      <c r="V377" t="str">
        <f t="shared" si="47"/>
        <v>OK</v>
      </c>
    </row>
    <row r="378" spans="1:22" x14ac:dyDescent="0.45">
      <c r="A378" t="str">
        <v>SO-50387</v>
      </c>
      <c r="B378" t="str">
        <v>PL-SUR</v>
      </c>
      <c r="C378" t="str">
        <v>CD-LEO</v>
      </c>
      <c r="D378" t="str">
        <v>BOT-1011</v>
      </c>
      <c r="E378">
        <v>2639</v>
      </c>
      <c r="F378" s="1">
        <v>46175</v>
      </c>
      <c r="G378" t="str">
        <v>In Transit</v>
      </c>
      <c r="H378" t="str">
        <v>OK</v>
      </c>
      <c r="I378">
        <v>3.43</v>
      </c>
      <c r="J378">
        <v>88</v>
      </c>
      <c r="K378">
        <v>109</v>
      </c>
      <c r="L378" t="str">
        <v>OK</v>
      </c>
      <c r="M378">
        <v>2</v>
      </c>
      <c r="O378">
        <f t="shared" si="40"/>
        <v>29.988636363636363</v>
      </c>
      <c r="P378">
        <f t="shared" si="41"/>
        <v>37.715708333333339</v>
      </c>
      <c r="Q378">
        <f t="shared" si="42"/>
        <v>90.874655647382923</v>
      </c>
      <c r="R378">
        <f t="shared" si="43"/>
        <v>1</v>
      </c>
      <c r="S378">
        <f t="shared" si="44"/>
        <v>90.874655647382923</v>
      </c>
      <c r="T378" t="str">
        <f t="shared" si="45"/>
        <v>OK</v>
      </c>
      <c r="U378" t="str">
        <f t="shared" si="46"/>
        <v>OK</v>
      </c>
      <c r="V378" t="str">
        <f t="shared" si="47"/>
        <v>OK</v>
      </c>
    </row>
    <row r="379" spans="1:22" x14ac:dyDescent="0.45">
      <c r="A379" t="str">
        <v>SO-50762</v>
      </c>
      <c r="B379" t="str">
        <v>PL-CEN</v>
      </c>
      <c r="C379" t="str">
        <v>CD-CDMX</v>
      </c>
      <c r="D379" t="str">
        <v>BOT-1008</v>
      </c>
      <c r="E379">
        <v>1165</v>
      </c>
      <c r="F379" s="1">
        <v>46176</v>
      </c>
      <c r="G379" t="str">
        <v>In Transit</v>
      </c>
      <c r="H379" t="str">
        <v>OK</v>
      </c>
      <c r="I379">
        <v>3.48</v>
      </c>
      <c r="J379">
        <v>66</v>
      </c>
      <c r="K379">
        <v>112</v>
      </c>
      <c r="L379" t="str">
        <v>OK</v>
      </c>
      <c r="M379">
        <v>1</v>
      </c>
      <c r="O379">
        <f t="shared" si="40"/>
        <v>17.651515151515152</v>
      </c>
      <c r="P379">
        <f t="shared" si="41"/>
        <v>16.892499999999998</v>
      </c>
      <c r="Q379">
        <f t="shared" si="42"/>
        <v>53.489439853076213</v>
      </c>
      <c r="R379">
        <f t="shared" si="43"/>
        <v>1</v>
      </c>
      <c r="S379">
        <f t="shared" si="44"/>
        <v>53.489439853076213</v>
      </c>
      <c r="T379" t="str">
        <f t="shared" si="45"/>
        <v>CARGA INEFICIENTE</v>
      </c>
      <c r="U379" t="str">
        <f t="shared" si="46"/>
        <v>OK</v>
      </c>
      <c r="V379" t="str">
        <f t="shared" si="47"/>
        <v>OK</v>
      </c>
    </row>
    <row r="380" spans="1:22" x14ac:dyDescent="0.45">
      <c r="A380" t="str">
        <v>SO-51051</v>
      </c>
      <c r="B380" t="str">
        <v>PL-CEN</v>
      </c>
      <c r="C380" t="str">
        <v>CD-VER</v>
      </c>
      <c r="D380" t="str">
        <v>BOT-1023</v>
      </c>
      <c r="E380">
        <v>1147</v>
      </c>
      <c r="F380" s="1">
        <v>46175</v>
      </c>
      <c r="G380" t="str">
        <v>In Transit</v>
      </c>
      <c r="H380" t="str">
        <v>OK</v>
      </c>
      <c r="I380">
        <v>4.29</v>
      </c>
      <c r="J380">
        <v>44</v>
      </c>
      <c r="K380">
        <v>111</v>
      </c>
      <c r="L380" t="str">
        <v>OK</v>
      </c>
      <c r="M380">
        <v>2</v>
      </c>
      <c r="O380">
        <f t="shared" si="40"/>
        <v>26.068181818181817</v>
      </c>
      <c r="P380">
        <f t="shared" si="41"/>
        <v>20.502624999999998</v>
      </c>
      <c r="Q380">
        <f t="shared" si="42"/>
        <v>78.994490358126711</v>
      </c>
      <c r="R380">
        <f t="shared" si="43"/>
        <v>1</v>
      </c>
      <c r="S380">
        <f t="shared" si="44"/>
        <v>78.994490358126711</v>
      </c>
      <c r="T380" t="str">
        <f t="shared" si="45"/>
        <v>OK</v>
      </c>
      <c r="U380" t="str">
        <f t="shared" si="46"/>
        <v>OK</v>
      </c>
      <c r="V380" t="str">
        <f t="shared" si="47"/>
        <v>OK</v>
      </c>
    </row>
    <row r="381" spans="1:22" x14ac:dyDescent="0.45">
      <c r="A381" t="str">
        <v>SO-51100</v>
      </c>
      <c r="B381" t="str">
        <v>PL-SUR</v>
      </c>
      <c r="C381" t="str">
        <v>CD-MOR</v>
      </c>
      <c r="D381" t="str">
        <v>LAC-1001</v>
      </c>
      <c r="E381">
        <v>2459</v>
      </c>
      <c r="F381" s="1">
        <v>46170</v>
      </c>
      <c r="G381" t="str">
        <v>In Transit</v>
      </c>
      <c r="H381" t="str">
        <v>OK</v>
      </c>
      <c r="I381">
        <v>7.51</v>
      </c>
      <c r="J381">
        <v>83</v>
      </c>
      <c r="K381">
        <v>18</v>
      </c>
      <c r="L381" t="str">
        <v>OK</v>
      </c>
      <c r="M381">
        <v>7</v>
      </c>
      <c r="O381">
        <f t="shared" si="40"/>
        <v>29.626506024096386</v>
      </c>
      <c r="P381">
        <f t="shared" si="41"/>
        <v>76.946208333333331</v>
      </c>
      <c r="Q381">
        <f t="shared" si="42"/>
        <v>89.777290982110259</v>
      </c>
      <c r="R381">
        <f t="shared" si="43"/>
        <v>1</v>
      </c>
      <c r="S381">
        <f t="shared" si="44"/>
        <v>89.777290982110259</v>
      </c>
      <c r="T381" t="str">
        <f t="shared" si="45"/>
        <v>OK</v>
      </c>
      <c r="U381" t="str">
        <f t="shared" si="46"/>
        <v>FEFO RIESGO</v>
      </c>
      <c r="V381" t="str">
        <f t="shared" si="47"/>
        <v>FANTASMA</v>
      </c>
    </row>
    <row r="382" spans="1:22" x14ac:dyDescent="0.45">
      <c r="A382" t="str">
        <v>SO-50707</v>
      </c>
      <c r="B382" t="str">
        <v>PL-CEN</v>
      </c>
      <c r="C382" t="str">
        <v>CD-CDMX</v>
      </c>
      <c r="D382" t="str">
        <v>ABA-1014</v>
      </c>
      <c r="E382">
        <v>705</v>
      </c>
      <c r="F382" s="1">
        <v>46176</v>
      </c>
      <c r="G382" t="str">
        <v>In Transit</v>
      </c>
      <c r="H382" t="str">
        <v>OK</v>
      </c>
      <c r="I382">
        <v>9.56</v>
      </c>
      <c r="J382">
        <v>136</v>
      </c>
      <c r="K382">
        <v>345</v>
      </c>
      <c r="L382" t="str">
        <v>OK</v>
      </c>
      <c r="M382">
        <v>1</v>
      </c>
      <c r="O382">
        <f t="shared" si="40"/>
        <v>5.1838235294117645</v>
      </c>
      <c r="P382">
        <f t="shared" si="41"/>
        <v>28.0825</v>
      </c>
      <c r="Q382">
        <f t="shared" si="42"/>
        <v>15.708556149732619</v>
      </c>
      <c r="R382">
        <f t="shared" si="43"/>
        <v>1</v>
      </c>
      <c r="S382">
        <f t="shared" si="44"/>
        <v>28.0825</v>
      </c>
      <c r="T382" t="str">
        <f t="shared" si="45"/>
        <v>CARGA INEFICIENTE</v>
      </c>
      <c r="U382" t="str">
        <f t="shared" si="46"/>
        <v>OK</v>
      </c>
      <c r="V382" t="str">
        <f t="shared" si="47"/>
        <v>OK</v>
      </c>
    </row>
    <row r="383" spans="1:22" x14ac:dyDescent="0.45">
      <c r="A383" t="str">
        <v>SO-50182</v>
      </c>
      <c r="B383" t="str">
        <v>PL-NTE</v>
      </c>
      <c r="C383" t="str">
        <v>CD-SAL</v>
      </c>
      <c r="D383" t="str">
        <v>ABA-1012</v>
      </c>
      <c r="E383">
        <v>1429</v>
      </c>
      <c r="F383" s="1">
        <v>46175</v>
      </c>
      <c r="G383" t="str">
        <v>Delivered</v>
      </c>
      <c r="H383" t="str">
        <v>OK</v>
      </c>
      <c r="I383">
        <v>15.14</v>
      </c>
      <c r="J383">
        <v>117</v>
      </c>
      <c r="K383">
        <v>484</v>
      </c>
      <c r="L383" t="str">
        <v>OK</v>
      </c>
      <c r="M383">
        <v>2</v>
      </c>
      <c r="O383">
        <f t="shared" si="40"/>
        <v>12.213675213675213</v>
      </c>
      <c r="P383">
        <f t="shared" si="41"/>
        <v>90.146083333333337</v>
      </c>
      <c r="Q383">
        <f t="shared" si="42"/>
        <v>37.011137011137009</v>
      </c>
      <c r="R383">
        <f t="shared" si="43"/>
        <v>1</v>
      </c>
      <c r="S383">
        <f t="shared" si="44"/>
        <v>90.146083333333337</v>
      </c>
      <c r="T383" t="str">
        <f t="shared" si="45"/>
        <v>OK</v>
      </c>
      <c r="U383" t="str">
        <f t="shared" si="46"/>
        <v>OK</v>
      </c>
      <c r="V383" t="str">
        <f t="shared" si="47"/>
        <v>OK</v>
      </c>
    </row>
    <row r="384" spans="1:22" x14ac:dyDescent="0.45">
      <c r="A384" t="str">
        <v>SO-50735</v>
      </c>
      <c r="B384" t="str">
        <v>PL-CEN</v>
      </c>
      <c r="C384" t="str">
        <v>CD-CDMX</v>
      </c>
      <c r="D384" t="str">
        <v>ABA-1005</v>
      </c>
      <c r="E384">
        <v>1422</v>
      </c>
      <c r="F384" s="1">
        <v>46176</v>
      </c>
      <c r="G384" t="str">
        <v>In Transit</v>
      </c>
      <c r="H384" t="str">
        <v>OK</v>
      </c>
      <c r="I384">
        <v>13.31</v>
      </c>
      <c r="J384">
        <v>89</v>
      </c>
      <c r="K384">
        <v>313</v>
      </c>
      <c r="L384" t="str">
        <v>OK</v>
      </c>
      <c r="M384">
        <v>1</v>
      </c>
      <c r="O384">
        <f t="shared" si="40"/>
        <v>15.97752808988764</v>
      </c>
      <c r="P384">
        <f t="shared" si="41"/>
        <v>78.861750000000001</v>
      </c>
      <c r="Q384">
        <f t="shared" si="42"/>
        <v>48.416751787538303</v>
      </c>
      <c r="R384">
        <f t="shared" si="43"/>
        <v>1</v>
      </c>
      <c r="S384">
        <f t="shared" si="44"/>
        <v>78.861750000000001</v>
      </c>
      <c r="T384" t="str">
        <f t="shared" si="45"/>
        <v>OK</v>
      </c>
      <c r="U384" t="str">
        <f t="shared" si="46"/>
        <v>OK</v>
      </c>
      <c r="V384" t="str">
        <f t="shared" si="47"/>
        <v>OK</v>
      </c>
    </row>
    <row r="385" spans="1:22" x14ac:dyDescent="0.45">
      <c r="A385" t="str">
        <v>SO-50297</v>
      </c>
      <c r="B385" t="str">
        <v>PL-CEN</v>
      </c>
      <c r="C385" t="str">
        <v>CD-QRO</v>
      </c>
      <c r="D385" t="str">
        <v>BOT-1006</v>
      </c>
      <c r="E385">
        <v>332</v>
      </c>
      <c r="F385" s="1">
        <v>46176</v>
      </c>
      <c r="G385" t="str">
        <v>In Transit</v>
      </c>
      <c r="H385" t="str">
        <v>OK</v>
      </c>
      <c r="I385">
        <v>4.24</v>
      </c>
      <c r="J385">
        <v>41</v>
      </c>
      <c r="K385">
        <v>111</v>
      </c>
      <c r="L385" t="str">
        <v>OK</v>
      </c>
      <c r="M385">
        <v>1</v>
      </c>
      <c r="O385">
        <f t="shared" si="40"/>
        <v>8.0975609756097562</v>
      </c>
      <c r="P385">
        <f t="shared" si="41"/>
        <v>5.865333333333334</v>
      </c>
      <c r="Q385">
        <f t="shared" si="42"/>
        <v>24.538063562453807</v>
      </c>
      <c r="R385">
        <f t="shared" si="43"/>
        <v>1</v>
      </c>
      <c r="S385">
        <f t="shared" si="44"/>
        <v>24.538063562453807</v>
      </c>
      <c r="T385" t="str">
        <f t="shared" si="45"/>
        <v>CARGA INEFICIENTE</v>
      </c>
      <c r="U385" t="str">
        <f t="shared" si="46"/>
        <v>OK</v>
      </c>
      <c r="V385" t="str">
        <f t="shared" si="47"/>
        <v>OK</v>
      </c>
    </row>
    <row r="386" spans="1:22" x14ac:dyDescent="0.45">
      <c r="A386" t="str">
        <v>SO-51097</v>
      </c>
      <c r="B386" t="str">
        <v>PL-SUR</v>
      </c>
      <c r="C386" t="str">
        <v>CD-MOR</v>
      </c>
      <c r="D386" t="str">
        <v>LAC-1003</v>
      </c>
      <c r="E386">
        <v>1451</v>
      </c>
      <c r="F386" s="1">
        <v>46169</v>
      </c>
      <c r="G386" t="str">
        <v>In Transit</v>
      </c>
      <c r="H386" t="str">
        <v>OK</v>
      </c>
      <c r="I386">
        <v>9.02</v>
      </c>
      <c r="J386">
        <v>114</v>
      </c>
      <c r="K386">
        <v>18</v>
      </c>
      <c r="L386" t="str">
        <v>OK</v>
      </c>
      <c r="M386">
        <v>8</v>
      </c>
      <c r="O386">
        <f t="shared" si="40"/>
        <v>12.728070175438596</v>
      </c>
      <c r="P386">
        <f t="shared" si="41"/>
        <v>54.533416666666653</v>
      </c>
      <c r="Q386">
        <f t="shared" si="42"/>
        <v>38.569909622541196</v>
      </c>
      <c r="R386">
        <f t="shared" si="43"/>
        <v>1</v>
      </c>
      <c r="S386">
        <f t="shared" si="44"/>
        <v>54.533416666666653</v>
      </c>
      <c r="T386" t="str">
        <f t="shared" si="45"/>
        <v>CARGA INEFICIENTE</v>
      </c>
      <c r="U386" t="str">
        <f t="shared" si="46"/>
        <v>FEFO RIESGO</v>
      </c>
      <c r="V386" t="str">
        <f t="shared" si="47"/>
        <v>FANTASMA</v>
      </c>
    </row>
    <row r="387" spans="1:22" x14ac:dyDescent="0.45">
      <c r="A387" t="str">
        <v>SO-50444</v>
      </c>
      <c r="B387" t="str">
        <v>PL-SUR</v>
      </c>
      <c r="C387" t="str">
        <v>CD-GDL</v>
      </c>
      <c r="D387" t="str">
        <v>PRO-1003</v>
      </c>
      <c r="E387">
        <v>1524</v>
      </c>
      <c r="F387" s="1">
        <v>46176</v>
      </c>
      <c r="G387" t="str">
        <v>Delivered</v>
      </c>
      <c r="H387" t="str">
        <v>OK</v>
      </c>
      <c r="I387">
        <v>13.9</v>
      </c>
      <c r="J387">
        <v>69</v>
      </c>
      <c r="K387">
        <v>106</v>
      </c>
      <c r="L387" t="str">
        <v>OK</v>
      </c>
      <c r="M387">
        <v>1</v>
      </c>
      <c r="O387">
        <f t="shared" ref="O387:O450" si="48">IF(L387="HUERFANO","n/a",IF(ISNUMBER(J387),E387/J387,"n/a"))</f>
        <v>22.086956521739129</v>
      </c>
      <c r="P387">
        <f t="shared" ref="P387:P450" si="49">IF(L387="HUERFANO","n/a",IFERROR(E387*I387/24000*100,""))</f>
        <v>88.265000000000001</v>
      </c>
      <c r="Q387">
        <f t="shared" ref="Q387:Q450" si="50">IF(L387="HUERFANO","n/a",IFERROR(O387/33*100,""))</f>
        <v>66.93017127799736</v>
      </c>
      <c r="R387">
        <f t="shared" ref="R387:R450" si="51">IF(L387="HUERFANO","n/a",IFERROR(MAX(CEILING(P387/100,1),CEILING(Q387/100,1)),""))</f>
        <v>1</v>
      </c>
      <c r="S387">
        <f t="shared" ref="S387:S450" si="52">IF(L387="HUERFANO","n/a",IFERROR(MAX(P387,Q387)/(R387*100)*100,""))</f>
        <v>88.265000000000001</v>
      </c>
      <c r="T387" t="str">
        <f t="shared" ref="T387:T450" si="53">IF(L387="HUERFANO","n/a",IF(S387&lt;75,"CARGA INEFICIENTE","OK"))</f>
        <v>OK</v>
      </c>
      <c r="U387" t="str">
        <f t="shared" ref="U387:U450" si="54">IF(L387="HUERFANO","n/a",IF(AND(LEFT(D387,3)="LAC",(K387-M387)/K387*100&lt;70),"FEFO RIESGO","OK"))</f>
        <v>OK</v>
      </c>
      <c r="V387" t="str">
        <f t="shared" ref="V387:V450" si="55">IF(L387="HUERFANO","n/a",IF(AND(G387="In Transit",M387&gt;5),"FANTASMA","OK"))</f>
        <v>OK</v>
      </c>
    </row>
    <row r="388" spans="1:22" x14ac:dyDescent="0.45">
      <c r="A388" t="str">
        <v>SO-51082</v>
      </c>
      <c r="B388" t="str">
        <v>PL-NTE</v>
      </c>
      <c r="C388" t="str">
        <v>CD-MTY</v>
      </c>
      <c r="D388" t="str">
        <v>BOT-1015</v>
      </c>
      <c r="E388">
        <v>1746</v>
      </c>
      <c r="F388" s="1">
        <v>46175</v>
      </c>
      <c r="G388" t="str">
        <v>Delivered</v>
      </c>
      <c r="H388" t="str">
        <v>OK</v>
      </c>
      <c r="I388">
        <v>3.64</v>
      </c>
      <c r="J388">
        <v>62</v>
      </c>
      <c r="K388">
        <v>114</v>
      </c>
      <c r="L388" t="str">
        <v>OK</v>
      </c>
      <c r="M388">
        <v>2</v>
      </c>
      <c r="O388">
        <f t="shared" si="48"/>
        <v>28.161290322580644</v>
      </c>
      <c r="P388">
        <f t="shared" si="49"/>
        <v>26.481000000000005</v>
      </c>
      <c r="Q388">
        <f t="shared" si="50"/>
        <v>85.337243401759537</v>
      </c>
      <c r="R388">
        <f t="shared" si="51"/>
        <v>1</v>
      </c>
      <c r="S388">
        <f t="shared" si="52"/>
        <v>85.337243401759537</v>
      </c>
      <c r="T388" t="str">
        <f t="shared" si="53"/>
        <v>OK</v>
      </c>
      <c r="U388" t="str">
        <f t="shared" si="54"/>
        <v>OK</v>
      </c>
      <c r="V388" t="str">
        <f t="shared" si="55"/>
        <v>OK</v>
      </c>
    </row>
    <row r="389" spans="1:22" x14ac:dyDescent="0.45">
      <c r="A389" t="str">
        <v>SO-50622</v>
      </c>
      <c r="B389" t="str">
        <v>PL-CEN</v>
      </c>
      <c r="C389" t="str">
        <v>CD-CDMX</v>
      </c>
      <c r="D389" t="str">
        <v>LAC-1009</v>
      </c>
      <c r="E389">
        <v>1009</v>
      </c>
      <c r="F389" s="1">
        <v>46176</v>
      </c>
      <c r="G389" t="str">
        <v>Delivered</v>
      </c>
      <c r="H389" t="str">
        <v>OK</v>
      </c>
      <c r="I389">
        <v>11.01</v>
      </c>
      <c r="J389">
        <v>98</v>
      </c>
      <c r="K389">
        <v>16</v>
      </c>
      <c r="L389" t="str">
        <v>OK</v>
      </c>
      <c r="M389">
        <v>1</v>
      </c>
      <c r="O389">
        <f t="shared" si="48"/>
        <v>10.295918367346939</v>
      </c>
      <c r="P389">
        <f t="shared" si="49"/>
        <v>46.287875</v>
      </c>
      <c r="Q389">
        <f t="shared" si="50"/>
        <v>31.199752628324056</v>
      </c>
      <c r="R389">
        <f t="shared" si="51"/>
        <v>1</v>
      </c>
      <c r="S389">
        <f t="shared" si="52"/>
        <v>46.287875</v>
      </c>
      <c r="T389" t="str">
        <f t="shared" si="53"/>
        <v>CARGA INEFICIENTE</v>
      </c>
      <c r="U389" t="str">
        <f t="shared" si="54"/>
        <v>OK</v>
      </c>
      <c r="V389" t="str">
        <f t="shared" si="55"/>
        <v>OK</v>
      </c>
    </row>
    <row r="390" spans="1:22" x14ac:dyDescent="0.45">
      <c r="A390" t="str">
        <v>SO-50805</v>
      </c>
      <c r="B390" t="str">
        <v>PL-SUR</v>
      </c>
      <c r="C390" t="str">
        <v>CD-MOR</v>
      </c>
      <c r="D390" t="str">
        <v>BEB-1012</v>
      </c>
      <c r="E390">
        <v>1299</v>
      </c>
      <c r="F390" s="1">
        <v>46175</v>
      </c>
      <c r="G390" t="str">
        <v>In Transit</v>
      </c>
      <c r="H390" t="str">
        <v>OK</v>
      </c>
      <c r="I390">
        <v>15.66</v>
      </c>
      <c r="J390">
        <v>72</v>
      </c>
      <c r="K390">
        <v>306</v>
      </c>
      <c r="L390" t="str">
        <v>OK</v>
      </c>
      <c r="M390">
        <v>2</v>
      </c>
      <c r="O390">
        <f t="shared" si="48"/>
        <v>18.041666666666668</v>
      </c>
      <c r="P390">
        <f t="shared" si="49"/>
        <v>84.759749999999997</v>
      </c>
      <c r="Q390">
        <f t="shared" si="50"/>
        <v>54.671717171717169</v>
      </c>
      <c r="R390">
        <f t="shared" si="51"/>
        <v>1</v>
      </c>
      <c r="S390">
        <f t="shared" si="52"/>
        <v>84.759749999999997</v>
      </c>
      <c r="T390" t="str">
        <f t="shared" si="53"/>
        <v>OK</v>
      </c>
      <c r="U390" t="str">
        <f t="shared" si="54"/>
        <v>OK</v>
      </c>
      <c r="V390" t="str">
        <f t="shared" si="55"/>
        <v>OK</v>
      </c>
    </row>
    <row r="391" spans="1:22" x14ac:dyDescent="0.45">
      <c r="A391" t="str">
        <v>SO-51099</v>
      </c>
      <c r="B391" t="str">
        <v>PL-SUR</v>
      </c>
      <c r="C391" t="str">
        <v>CD-MOR</v>
      </c>
      <c r="D391" t="str">
        <v>PRO-1004</v>
      </c>
      <c r="E391">
        <v>1079</v>
      </c>
      <c r="F391" s="1">
        <v>46168</v>
      </c>
      <c r="G391" t="str">
        <v>Delivered</v>
      </c>
      <c r="H391" t="str">
        <v>OK</v>
      </c>
      <c r="I391">
        <v>12.77</v>
      </c>
      <c r="J391">
        <v>96</v>
      </c>
      <c r="K391">
        <v>122</v>
      </c>
      <c r="L391" t="str">
        <v>OK</v>
      </c>
      <c r="M391">
        <v>9</v>
      </c>
      <c r="O391">
        <f t="shared" si="48"/>
        <v>11.239583333333334</v>
      </c>
      <c r="P391">
        <f t="shared" si="49"/>
        <v>57.411791666666666</v>
      </c>
      <c r="Q391">
        <f t="shared" si="50"/>
        <v>34.05934343434344</v>
      </c>
      <c r="R391">
        <f t="shared" si="51"/>
        <v>1</v>
      </c>
      <c r="S391">
        <f t="shared" si="52"/>
        <v>57.411791666666666</v>
      </c>
      <c r="T391" t="str">
        <f t="shared" si="53"/>
        <v>CARGA INEFICIENTE</v>
      </c>
      <c r="U391" t="str">
        <f t="shared" si="54"/>
        <v>OK</v>
      </c>
      <c r="V391" t="str">
        <f t="shared" si="55"/>
        <v>OK</v>
      </c>
    </row>
    <row r="392" spans="1:22" x14ac:dyDescent="0.45">
      <c r="A392" t="str">
        <v>SO-50547</v>
      </c>
      <c r="B392" t="str">
        <v>PL-NTE</v>
      </c>
      <c r="C392" t="str">
        <v>CD-HER</v>
      </c>
      <c r="D392" t="str">
        <v>BEB-1014</v>
      </c>
      <c r="E392">
        <v>1102</v>
      </c>
      <c r="F392" s="1">
        <v>46176</v>
      </c>
      <c r="G392" t="str">
        <v>In Transit</v>
      </c>
      <c r="H392" t="str">
        <v>OK</v>
      </c>
      <c r="I392">
        <v>12.41</v>
      </c>
      <c r="J392">
        <v>95</v>
      </c>
      <c r="K392">
        <v>227</v>
      </c>
      <c r="L392" t="str">
        <v>OK</v>
      </c>
      <c r="M392">
        <v>1</v>
      </c>
      <c r="O392">
        <f t="shared" si="48"/>
        <v>11.6</v>
      </c>
      <c r="P392">
        <f t="shared" si="49"/>
        <v>56.982583333333338</v>
      </c>
      <c r="Q392">
        <f t="shared" si="50"/>
        <v>35.151515151515149</v>
      </c>
      <c r="R392">
        <f t="shared" si="51"/>
        <v>1</v>
      </c>
      <c r="S392">
        <f t="shared" si="52"/>
        <v>56.982583333333338</v>
      </c>
      <c r="T392" t="str">
        <f t="shared" si="53"/>
        <v>CARGA INEFICIENTE</v>
      </c>
      <c r="U392" t="str">
        <f t="shared" si="54"/>
        <v>OK</v>
      </c>
      <c r="V392" t="str">
        <f t="shared" si="55"/>
        <v>OK</v>
      </c>
    </row>
    <row r="393" spans="1:22" x14ac:dyDescent="0.45">
      <c r="A393" t="str">
        <v>SO-50561</v>
      </c>
      <c r="B393" t="str">
        <v>PL-NTE</v>
      </c>
      <c r="C393" t="str">
        <v>CD-TIJ</v>
      </c>
      <c r="D393" t="str">
        <v>PRO-1014</v>
      </c>
      <c r="E393">
        <v>1858</v>
      </c>
      <c r="F393" s="1">
        <v>46175</v>
      </c>
      <c r="G393" t="str">
        <v>In Transit</v>
      </c>
      <c r="H393" t="str">
        <v>OK</v>
      </c>
      <c r="I393">
        <v>5.27</v>
      </c>
      <c r="J393">
        <v>60</v>
      </c>
      <c r="K393">
        <v>129</v>
      </c>
      <c r="L393" t="str">
        <v>OK</v>
      </c>
      <c r="M393">
        <v>2</v>
      </c>
      <c r="O393">
        <f t="shared" si="48"/>
        <v>30.966666666666665</v>
      </c>
      <c r="P393">
        <f t="shared" si="49"/>
        <v>40.798583333333333</v>
      </c>
      <c r="Q393">
        <f t="shared" si="50"/>
        <v>93.838383838383834</v>
      </c>
      <c r="R393">
        <f t="shared" si="51"/>
        <v>1</v>
      </c>
      <c r="S393">
        <f t="shared" si="52"/>
        <v>93.838383838383834</v>
      </c>
      <c r="T393" t="str">
        <f t="shared" si="53"/>
        <v>OK</v>
      </c>
      <c r="U393" t="str">
        <f t="shared" si="54"/>
        <v>OK</v>
      </c>
      <c r="V393" t="str">
        <f t="shared" si="55"/>
        <v>OK</v>
      </c>
    </row>
    <row r="394" spans="1:22" x14ac:dyDescent="0.45">
      <c r="A394" t="str">
        <v>SO-50236</v>
      </c>
      <c r="B394" t="str">
        <v>PL-CEN</v>
      </c>
      <c r="C394" t="str">
        <v>CD-PUE</v>
      </c>
      <c r="D394" t="str">
        <v>ABA-1016</v>
      </c>
      <c r="E394">
        <v>1474</v>
      </c>
      <c r="F394" s="1">
        <v>46176</v>
      </c>
      <c r="G394" t="str">
        <v>Delivered</v>
      </c>
      <c r="H394" t="str">
        <v>OK</v>
      </c>
      <c r="I394">
        <v>15.52</v>
      </c>
      <c r="J394">
        <v>121</v>
      </c>
      <c r="K394">
        <v>517</v>
      </c>
      <c r="L394" t="str">
        <v>OK</v>
      </c>
      <c r="M394">
        <v>1</v>
      </c>
      <c r="O394">
        <f t="shared" si="48"/>
        <v>12.181818181818182</v>
      </c>
      <c r="P394">
        <f t="shared" si="49"/>
        <v>95.318666666666658</v>
      </c>
      <c r="Q394">
        <f t="shared" si="50"/>
        <v>36.914600550964188</v>
      </c>
      <c r="R394">
        <f t="shared" si="51"/>
        <v>1</v>
      </c>
      <c r="S394">
        <f t="shared" si="52"/>
        <v>95.318666666666658</v>
      </c>
      <c r="T394" t="str">
        <f t="shared" si="53"/>
        <v>OK</v>
      </c>
      <c r="U394" t="str">
        <f t="shared" si="54"/>
        <v>OK</v>
      </c>
      <c r="V394" t="str">
        <f t="shared" si="55"/>
        <v>OK</v>
      </c>
    </row>
    <row r="395" spans="1:22" x14ac:dyDescent="0.45">
      <c r="A395" t="str">
        <v>SO-50579</v>
      </c>
      <c r="B395" t="str">
        <v>PL-CEN</v>
      </c>
      <c r="C395" t="str">
        <v>CD-PUE</v>
      </c>
      <c r="D395" t="str">
        <v>BEB-1005</v>
      </c>
      <c r="E395">
        <v>901</v>
      </c>
      <c r="F395" s="1">
        <v>46176</v>
      </c>
      <c r="G395" t="str">
        <v>In Transit</v>
      </c>
      <c r="H395" t="str">
        <v>OK</v>
      </c>
      <c r="I395">
        <v>14.2</v>
      </c>
      <c r="J395">
        <v>95</v>
      </c>
      <c r="K395">
        <v>277</v>
      </c>
      <c r="L395" t="str">
        <v>OK</v>
      </c>
      <c r="M395">
        <v>1</v>
      </c>
      <c r="O395">
        <f t="shared" si="48"/>
        <v>9.4842105263157901</v>
      </c>
      <c r="P395">
        <f t="shared" si="49"/>
        <v>53.309166666666663</v>
      </c>
      <c r="Q395">
        <f t="shared" si="50"/>
        <v>28.740031897926638</v>
      </c>
      <c r="R395">
        <f t="shared" si="51"/>
        <v>1</v>
      </c>
      <c r="S395">
        <f t="shared" si="52"/>
        <v>53.309166666666663</v>
      </c>
      <c r="T395" t="str">
        <f t="shared" si="53"/>
        <v>CARGA INEFICIENTE</v>
      </c>
      <c r="U395" t="str">
        <f t="shared" si="54"/>
        <v>OK</v>
      </c>
      <c r="V395" t="str">
        <f t="shared" si="55"/>
        <v>OK</v>
      </c>
    </row>
    <row r="396" spans="1:22" x14ac:dyDescent="0.45">
      <c r="A396" t="str">
        <v>SO-50529</v>
      </c>
      <c r="B396" t="str">
        <v>PL-SUR</v>
      </c>
      <c r="C396" t="str">
        <v>CD-GDL</v>
      </c>
      <c r="D396" t="str">
        <v>ABA-1005</v>
      </c>
      <c r="E396">
        <v>777</v>
      </c>
      <c r="F396" s="1">
        <v>46176</v>
      </c>
      <c r="G396" t="str">
        <v>In Transit</v>
      </c>
      <c r="H396" t="str">
        <v>OK</v>
      </c>
      <c r="I396">
        <v>13.31</v>
      </c>
      <c r="J396">
        <v>89</v>
      </c>
      <c r="K396">
        <v>313</v>
      </c>
      <c r="L396" t="str">
        <v>OK</v>
      </c>
      <c r="M396">
        <v>1</v>
      </c>
      <c r="O396">
        <f t="shared" si="48"/>
        <v>8.7303370786516847</v>
      </c>
      <c r="P396">
        <f t="shared" si="49"/>
        <v>43.091125000000005</v>
      </c>
      <c r="Q396">
        <f t="shared" si="50"/>
        <v>26.455566905005107</v>
      </c>
      <c r="R396">
        <f t="shared" si="51"/>
        <v>1</v>
      </c>
      <c r="S396">
        <f t="shared" si="52"/>
        <v>43.091125000000005</v>
      </c>
      <c r="T396" t="str">
        <f t="shared" si="53"/>
        <v>CARGA INEFICIENTE</v>
      </c>
      <c r="U396" t="str">
        <f t="shared" si="54"/>
        <v>OK</v>
      </c>
      <c r="V396" t="str">
        <f t="shared" si="55"/>
        <v>OK</v>
      </c>
    </row>
    <row r="397" spans="1:22" x14ac:dyDescent="0.45">
      <c r="A397" t="str">
        <v>SO-51081</v>
      </c>
      <c r="B397" t="str">
        <v>PL-SUR</v>
      </c>
      <c r="C397" t="str">
        <v>CD-LEO</v>
      </c>
      <c r="D397" t="str">
        <v>LAC-1012</v>
      </c>
      <c r="E397">
        <v>1931</v>
      </c>
      <c r="F397" s="1">
        <v>46175</v>
      </c>
      <c r="G397" t="str">
        <v>In Transit</v>
      </c>
      <c r="H397" t="str">
        <v>OK</v>
      </c>
      <c r="I397">
        <v>9.8699999999999992</v>
      </c>
      <c r="J397">
        <v>88</v>
      </c>
      <c r="K397">
        <v>25</v>
      </c>
      <c r="L397" t="str">
        <v>OK</v>
      </c>
      <c r="M397">
        <v>2</v>
      </c>
      <c r="O397">
        <f t="shared" si="48"/>
        <v>21.943181818181817</v>
      </c>
      <c r="P397">
        <f t="shared" si="49"/>
        <v>79.412374999999997</v>
      </c>
      <c r="Q397">
        <f t="shared" si="50"/>
        <v>66.494490358126711</v>
      </c>
      <c r="R397">
        <f t="shared" si="51"/>
        <v>1</v>
      </c>
      <c r="S397">
        <f t="shared" si="52"/>
        <v>79.412374999999997</v>
      </c>
      <c r="T397" t="str">
        <f t="shared" si="53"/>
        <v>OK</v>
      </c>
      <c r="U397" t="str">
        <f t="shared" si="54"/>
        <v>OK</v>
      </c>
      <c r="V397" t="str">
        <f t="shared" si="55"/>
        <v>OK</v>
      </c>
    </row>
    <row r="398" spans="1:22" x14ac:dyDescent="0.45">
      <c r="A398" t="str">
        <v>SO-50877</v>
      </c>
      <c r="B398" t="str">
        <v>PL-CEN</v>
      </c>
      <c r="C398" t="str">
        <v>CD-TOL</v>
      </c>
      <c r="D398" t="str">
        <v>PRO-1001</v>
      </c>
      <c r="E398">
        <v>2339</v>
      </c>
      <c r="F398" s="1">
        <v>46175</v>
      </c>
      <c r="G398" t="str">
        <v>Delivered</v>
      </c>
      <c r="H398" t="str">
        <v>OK</v>
      </c>
      <c r="I398">
        <v>9.57</v>
      </c>
      <c r="J398">
        <v>92</v>
      </c>
      <c r="K398">
        <v>122</v>
      </c>
      <c r="L398" t="str">
        <v>OK</v>
      </c>
      <c r="M398">
        <v>2</v>
      </c>
      <c r="O398">
        <f t="shared" si="48"/>
        <v>25.423913043478262</v>
      </c>
      <c r="P398">
        <f t="shared" si="49"/>
        <v>93.267624999999995</v>
      </c>
      <c r="Q398">
        <f t="shared" si="50"/>
        <v>77.042160737812921</v>
      </c>
      <c r="R398">
        <f t="shared" si="51"/>
        <v>1</v>
      </c>
      <c r="S398">
        <f t="shared" si="52"/>
        <v>93.267624999999995</v>
      </c>
      <c r="T398" t="str">
        <f t="shared" si="53"/>
        <v>OK</v>
      </c>
      <c r="U398" t="str">
        <f t="shared" si="54"/>
        <v>OK</v>
      </c>
      <c r="V398" t="str">
        <f t="shared" si="55"/>
        <v>OK</v>
      </c>
    </row>
    <row r="399" spans="1:22" x14ac:dyDescent="0.45">
      <c r="A399" t="str">
        <v>SO-50062</v>
      </c>
      <c r="B399" t="str">
        <v>PL-SUR</v>
      </c>
      <c r="C399" t="str">
        <v>CD-MOR</v>
      </c>
      <c r="D399" t="str">
        <v>PRO-1009</v>
      </c>
      <c r="E399">
        <v>1691</v>
      </c>
      <c r="F399" s="1">
        <v>46175</v>
      </c>
      <c r="G399" t="str">
        <v>In Transit</v>
      </c>
      <c r="H399" t="str">
        <v>OK</v>
      </c>
      <c r="I399">
        <v>11.96</v>
      </c>
      <c r="J399">
        <v>101</v>
      </c>
      <c r="K399">
        <v>90</v>
      </c>
      <c r="L399" t="str">
        <v>OK</v>
      </c>
      <c r="M399">
        <v>2</v>
      </c>
      <c r="O399">
        <f t="shared" si="48"/>
        <v>16.742574257425744</v>
      </c>
      <c r="P399">
        <f t="shared" si="49"/>
        <v>84.268166666666673</v>
      </c>
      <c r="Q399">
        <f t="shared" si="50"/>
        <v>50.735073507350734</v>
      </c>
      <c r="R399">
        <f t="shared" si="51"/>
        <v>1</v>
      </c>
      <c r="S399">
        <f t="shared" si="52"/>
        <v>84.268166666666673</v>
      </c>
      <c r="T399" t="str">
        <f t="shared" si="53"/>
        <v>OK</v>
      </c>
      <c r="U399" t="str">
        <f t="shared" si="54"/>
        <v>OK</v>
      </c>
      <c r="V399" t="str">
        <f t="shared" si="55"/>
        <v>OK</v>
      </c>
    </row>
    <row r="400" spans="1:22" x14ac:dyDescent="0.45">
      <c r="A400" t="str">
        <v>SO-50216</v>
      </c>
      <c r="B400" t="str">
        <v>PL-CEN</v>
      </c>
      <c r="C400" t="str">
        <v>CD-VER</v>
      </c>
      <c r="D400" t="str">
        <v>ABA-1019</v>
      </c>
      <c r="E400">
        <v>1401</v>
      </c>
      <c r="F400" s="1">
        <v>46174</v>
      </c>
      <c r="G400" t="str">
        <v>In Transit</v>
      </c>
      <c r="H400" t="str">
        <v>OK</v>
      </c>
      <c r="I400">
        <v>14.82</v>
      </c>
      <c r="J400">
        <v>132</v>
      </c>
      <c r="K400">
        <v>373</v>
      </c>
      <c r="L400" t="str">
        <v>OK</v>
      </c>
      <c r="M400">
        <v>3</v>
      </c>
      <c r="O400">
        <f t="shared" si="48"/>
        <v>10.613636363636363</v>
      </c>
      <c r="P400">
        <f t="shared" si="49"/>
        <v>86.511749999999992</v>
      </c>
      <c r="Q400">
        <f t="shared" si="50"/>
        <v>32.162534435261705</v>
      </c>
      <c r="R400">
        <f t="shared" si="51"/>
        <v>1</v>
      </c>
      <c r="S400">
        <f t="shared" si="52"/>
        <v>86.511749999999992</v>
      </c>
      <c r="T400" t="str">
        <f t="shared" si="53"/>
        <v>OK</v>
      </c>
      <c r="U400" t="str">
        <f t="shared" si="54"/>
        <v>OK</v>
      </c>
      <c r="V400" t="str">
        <f t="shared" si="55"/>
        <v>OK</v>
      </c>
    </row>
    <row r="401" spans="1:22" x14ac:dyDescent="0.45">
      <c r="A401" t="str">
        <v>SO-50554</v>
      </c>
      <c r="B401" t="str">
        <v>PL-CEN</v>
      </c>
      <c r="C401" t="str">
        <v>CD-QRO</v>
      </c>
      <c r="D401" t="str">
        <v>BOT-1009</v>
      </c>
      <c r="E401">
        <v>2037</v>
      </c>
      <c r="F401" s="1">
        <v>46175</v>
      </c>
      <c r="G401" t="str">
        <v>In Transit</v>
      </c>
      <c r="H401" t="str">
        <v>OK</v>
      </c>
      <c r="I401">
        <v>5.25</v>
      </c>
      <c r="J401">
        <v>76</v>
      </c>
      <c r="K401">
        <v>104</v>
      </c>
      <c r="L401" t="str">
        <v>OK</v>
      </c>
      <c r="M401">
        <v>2</v>
      </c>
      <c r="O401">
        <f t="shared" si="48"/>
        <v>26.80263157894737</v>
      </c>
      <c r="P401">
        <f t="shared" si="49"/>
        <v>44.559375000000003</v>
      </c>
      <c r="Q401">
        <f t="shared" si="50"/>
        <v>81.220095693779911</v>
      </c>
      <c r="R401">
        <f t="shared" si="51"/>
        <v>1</v>
      </c>
      <c r="S401">
        <f t="shared" si="52"/>
        <v>81.220095693779911</v>
      </c>
      <c r="T401" t="str">
        <f t="shared" si="53"/>
        <v>OK</v>
      </c>
      <c r="U401" t="str">
        <f t="shared" si="54"/>
        <v>OK</v>
      </c>
      <c r="V401" t="str">
        <f t="shared" si="55"/>
        <v>OK</v>
      </c>
    </row>
    <row r="402" spans="1:22" x14ac:dyDescent="0.45">
      <c r="A402" t="str">
        <v>SO-50440</v>
      </c>
      <c r="B402" t="str">
        <v>PL-NTE</v>
      </c>
      <c r="C402" t="str">
        <v>CD-TIJ</v>
      </c>
      <c r="D402" t="str">
        <v>LAC-1015</v>
      </c>
      <c r="E402">
        <v>1884</v>
      </c>
      <c r="F402" s="1">
        <v>46174</v>
      </c>
      <c r="G402" t="str">
        <v>In Transit</v>
      </c>
      <c r="H402" t="str">
        <v>OK</v>
      </c>
      <c r="I402">
        <v>11.26</v>
      </c>
      <c r="J402">
        <v>129</v>
      </c>
      <c r="K402">
        <v>24</v>
      </c>
      <c r="L402" t="str">
        <v>OK</v>
      </c>
      <c r="M402">
        <v>3</v>
      </c>
      <c r="O402">
        <f t="shared" si="48"/>
        <v>14.604651162790697</v>
      </c>
      <c r="P402">
        <f t="shared" si="49"/>
        <v>88.390999999999991</v>
      </c>
      <c r="Q402">
        <f t="shared" si="50"/>
        <v>44.256518675123324</v>
      </c>
      <c r="R402">
        <f t="shared" si="51"/>
        <v>1</v>
      </c>
      <c r="S402">
        <f t="shared" si="52"/>
        <v>88.390999999999991</v>
      </c>
      <c r="T402" t="str">
        <f t="shared" si="53"/>
        <v>OK</v>
      </c>
      <c r="U402" t="str">
        <f t="shared" si="54"/>
        <v>OK</v>
      </c>
      <c r="V402" t="str">
        <f t="shared" si="55"/>
        <v>OK</v>
      </c>
    </row>
    <row r="403" spans="1:22" x14ac:dyDescent="0.45">
      <c r="A403" t="str">
        <v>SO-50155</v>
      </c>
      <c r="B403" t="str">
        <v>PL-NTE</v>
      </c>
      <c r="C403" t="str">
        <v>CD-MTY</v>
      </c>
      <c r="D403" t="str">
        <v>XXX-8702</v>
      </c>
      <c r="E403">
        <v>3193</v>
      </c>
      <c r="F403" s="1">
        <v>46176</v>
      </c>
      <c r="G403" t="str">
        <v>In Transit</v>
      </c>
      <c r="H403" t="str">
        <v>OK</v>
      </c>
      <c r="I403">
        <v>0</v>
      </c>
      <c r="J403">
        <v>0</v>
      </c>
      <c r="K403">
        <v>0</v>
      </c>
      <c r="L403" t="str">
        <v>HUERFANO</v>
      </c>
      <c r="M403">
        <v>1</v>
      </c>
      <c r="O403" t="str">
        <f t="shared" si="48"/>
        <v>n/a</v>
      </c>
      <c r="P403" t="str">
        <f t="shared" si="49"/>
        <v>n/a</v>
      </c>
      <c r="Q403" t="str">
        <f t="shared" si="50"/>
        <v>n/a</v>
      </c>
      <c r="R403" t="str">
        <f t="shared" si="51"/>
        <v>n/a</v>
      </c>
      <c r="S403" t="str">
        <f t="shared" si="52"/>
        <v>n/a</v>
      </c>
      <c r="T403" t="str">
        <f t="shared" si="53"/>
        <v>n/a</v>
      </c>
      <c r="U403" t="str">
        <f t="shared" si="54"/>
        <v>n/a</v>
      </c>
      <c r="V403" t="str">
        <f t="shared" si="55"/>
        <v>n/a</v>
      </c>
    </row>
    <row r="404" spans="1:22" x14ac:dyDescent="0.45">
      <c r="A404" t="str">
        <v>SO-50553</v>
      </c>
      <c r="B404" t="str">
        <v>PL-CEN</v>
      </c>
      <c r="C404" t="str">
        <v>CD-PUE</v>
      </c>
      <c r="D404" t="str">
        <v>LAC-1015</v>
      </c>
      <c r="E404">
        <v>2029</v>
      </c>
      <c r="F404" s="1">
        <v>46176</v>
      </c>
      <c r="G404" t="str">
        <v>In Transit</v>
      </c>
      <c r="H404" t="str">
        <v>OK</v>
      </c>
      <c r="I404">
        <v>11.26</v>
      </c>
      <c r="J404">
        <v>129</v>
      </c>
      <c r="K404">
        <v>24</v>
      </c>
      <c r="L404" t="str">
        <v>OK</v>
      </c>
      <c r="M404">
        <v>1</v>
      </c>
      <c r="O404">
        <f t="shared" si="48"/>
        <v>15.728682170542635</v>
      </c>
      <c r="P404">
        <f t="shared" si="49"/>
        <v>95.193916666666667</v>
      </c>
      <c r="Q404">
        <f t="shared" si="50"/>
        <v>47.662673244068593</v>
      </c>
      <c r="R404">
        <f t="shared" si="51"/>
        <v>1</v>
      </c>
      <c r="S404">
        <f t="shared" si="52"/>
        <v>95.193916666666667</v>
      </c>
      <c r="T404" t="str">
        <f t="shared" si="53"/>
        <v>OK</v>
      </c>
      <c r="U404" t="str">
        <f t="shared" si="54"/>
        <v>OK</v>
      </c>
      <c r="V404" t="str">
        <f t="shared" si="55"/>
        <v>OK</v>
      </c>
    </row>
    <row r="405" spans="1:22" x14ac:dyDescent="0.45">
      <c r="A405" t="str">
        <v>SO-50356</v>
      </c>
      <c r="B405" t="str">
        <v>PL-SUR</v>
      </c>
      <c r="C405" t="str">
        <v>CD-LEO</v>
      </c>
      <c r="D405" t="str">
        <v>BEB-1005</v>
      </c>
      <c r="E405">
        <v>536</v>
      </c>
      <c r="F405" s="1">
        <v>46175</v>
      </c>
      <c r="G405" t="str">
        <v>In Transit</v>
      </c>
      <c r="H405" t="str">
        <v>OK</v>
      </c>
      <c r="I405">
        <v>14.2</v>
      </c>
      <c r="J405">
        <v>95</v>
      </c>
      <c r="K405">
        <v>277</v>
      </c>
      <c r="L405" t="str">
        <v>OK</v>
      </c>
      <c r="M405">
        <v>2</v>
      </c>
      <c r="O405">
        <f t="shared" si="48"/>
        <v>5.6421052631578945</v>
      </c>
      <c r="P405">
        <f t="shared" si="49"/>
        <v>31.713333333333331</v>
      </c>
      <c r="Q405">
        <f t="shared" si="50"/>
        <v>17.097288676236044</v>
      </c>
      <c r="R405">
        <f t="shared" si="51"/>
        <v>1</v>
      </c>
      <c r="S405">
        <f t="shared" si="52"/>
        <v>31.713333333333331</v>
      </c>
      <c r="T405" t="str">
        <f t="shared" si="53"/>
        <v>CARGA INEFICIENTE</v>
      </c>
      <c r="U405" t="str">
        <f t="shared" si="54"/>
        <v>OK</v>
      </c>
      <c r="V405" t="str">
        <f t="shared" si="55"/>
        <v>OK</v>
      </c>
    </row>
    <row r="406" spans="1:22" x14ac:dyDescent="0.45">
      <c r="A406" t="str">
        <v>SO-50333</v>
      </c>
      <c r="B406" t="str">
        <v>PL-CEN</v>
      </c>
      <c r="C406" t="str">
        <v>CD-QRO</v>
      </c>
      <c r="D406" t="str">
        <v>PRO-1001</v>
      </c>
      <c r="E406">
        <v>1026</v>
      </c>
      <c r="F406" s="1">
        <v>46176</v>
      </c>
      <c r="G406" t="str">
        <v>In Transit</v>
      </c>
      <c r="H406" t="str">
        <v>OK</v>
      </c>
      <c r="I406">
        <v>9.57</v>
      </c>
      <c r="J406">
        <v>92</v>
      </c>
      <c r="K406">
        <v>122</v>
      </c>
      <c r="L406" t="str">
        <v>OK</v>
      </c>
      <c r="M406">
        <v>1</v>
      </c>
      <c r="O406">
        <f t="shared" si="48"/>
        <v>11.152173913043478</v>
      </c>
      <c r="P406">
        <f t="shared" si="49"/>
        <v>40.911749999999998</v>
      </c>
      <c r="Q406">
        <f t="shared" si="50"/>
        <v>33.794466403162055</v>
      </c>
      <c r="R406">
        <f t="shared" si="51"/>
        <v>1</v>
      </c>
      <c r="S406">
        <f t="shared" si="52"/>
        <v>40.911749999999998</v>
      </c>
      <c r="T406" t="str">
        <f t="shared" si="53"/>
        <v>CARGA INEFICIENTE</v>
      </c>
      <c r="U406" t="str">
        <f t="shared" si="54"/>
        <v>OK</v>
      </c>
      <c r="V406" t="str">
        <f t="shared" si="55"/>
        <v>OK</v>
      </c>
    </row>
    <row r="407" spans="1:22" x14ac:dyDescent="0.45">
      <c r="A407" t="str">
        <v>SO-50035</v>
      </c>
      <c r="B407" t="str">
        <v>PL-CEN</v>
      </c>
      <c r="C407" t="str">
        <v>CD-PUE</v>
      </c>
      <c r="D407" t="str">
        <v>LAC-1006</v>
      </c>
      <c r="E407">
        <v>1912</v>
      </c>
      <c r="F407" s="1">
        <v>46176</v>
      </c>
      <c r="G407" t="str">
        <v>In Transit</v>
      </c>
      <c r="H407" t="str">
        <v>OK</v>
      </c>
      <c r="I407">
        <v>10.029999999999999</v>
      </c>
      <c r="J407">
        <v>126</v>
      </c>
      <c r="K407">
        <v>17</v>
      </c>
      <c r="L407" t="str">
        <v>OK</v>
      </c>
      <c r="M407">
        <v>1</v>
      </c>
      <c r="O407">
        <f t="shared" si="48"/>
        <v>15.174603174603174</v>
      </c>
      <c r="P407">
        <f t="shared" si="49"/>
        <v>79.905666666666662</v>
      </c>
      <c r="Q407">
        <f t="shared" si="50"/>
        <v>45.983645983645985</v>
      </c>
      <c r="R407">
        <f t="shared" si="51"/>
        <v>1</v>
      </c>
      <c r="S407">
        <f t="shared" si="52"/>
        <v>79.905666666666662</v>
      </c>
      <c r="T407" t="str">
        <f t="shared" si="53"/>
        <v>OK</v>
      </c>
      <c r="U407" t="str">
        <f t="shared" si="54"/>
        <v>OK</v>
      </c>
      <c r="V407" t="str">
        <f t="shared" si="55"/>
        <v>OK</v>
      </c>
    </row>
    <row r="408" spans="1:22" x14ac:dyDescent="0.45">
      <c r="A408" t="str">
        <v>SO-50274</v>
      </c>
      <c r="B408" t="str">
        <v>PL-SUR</v>
      </c>
      <c r="C408" t="str">
        <v>CD-CAN</v>
      </c>
      <c r="D408" t="str">
        <v>ABA-1005</v>
      </c>
      <c r="E408">
        <v>1731</v>
      </c>
      <c r="F408" s="1">
        <v>46173</v>
      </c>
      <c r="G408" t="str">
        <v>Delivered</v>
      </c>
      <c r="H408" t="str">
        <v>OK</v>
      </c>
      <c r="I408">
        <v>13.31</v>
      </c>
      <c r="J408">
        <v>89</v>
      </c>
      <c r="K408">
        <v>313</v>
      </c>
      <c r="L408" t="str">
        <v>OK</v>
      </c>
      <c r="M408">
        <v>4</v>
      </c>
      <c r="O408">
        <f t="shared" si="48"/>
        <v>19.44943820224719</v>
      </c>
      <c r="P408">
        <f t="shared" si="49"/>
        <v>95.998374999999996</v>
      </c>
      <c r="Q408">
        <f t="shared" si="50"/>
        <v>58.937691521961177</v>
      </c>
      <c r="R408">
        <f t="shared" si="51"/>
        <v>1</v>
      </c>
      <c r="S408">
        <f t="shared" si="52"/>
        <v>95.998374999999996</v>
      </c>
      <c r="T408" t="str">
        <f t="shared" si="53"/>
        <v>OK</v>
      </c>
      <c r="U408" t="str">
        <f t="shared" si="54"/>
        <v>OK</v>
      </c>
      <c r="V408" t="str">
        <f t="shared" si="55"/>
        <v>OK</v>
      </c>
    </row>
    <row r="409" spans="1:22" x14ac:dyDescent="0.45">
      <c r="A409" t="str">
        <v>SO-50164</v>
      </c>
      <c r="B409" t="str">
        <v>PL-SUR</v>
      </c>
      <c r="C409" t="str">
        <v>CD-MER</v>
      </c>
      <c r="D409" t="str">
        <v>BEB-1004</v>
      </c>
      <c r="E409">
        <v>399</v>
      </c>
      <c r="F409" s="1">
        <v>46176</v>
      </c>
      <c r="G409" t="str">
        <v>In Transit</v>
      </c>
      <c r="H409" t="str">
        <v>OK</v>
      </c>
      <c r="I409">
        <v>21.99</v>
      </c>
      <c r="J409">
        <v>67</v>
      </c>
      <c r="K409">
        <v>213</v>
      </c>
      <c r="L409" t="str">
        <v>OK</v>
      </c>
      <c r="M409">
        <v>1</v>
      </c>
      <c r="O409">
        <f t="shared" si="48"/>
        <v>5.955223880597015</v>
      </c>
      <c r="P409">
        <f t="shared" si="49"/>
        <v>36.558374999999998</v>
      </c>
      <c r="Q409">
        <f t="shared" si="50"/>
        <v>18.046132971506108</v>
      </c>
      <c r="R409">
        <f t="shared" si="51"/>
        <v>1</v>
      </c>
      <c r="S409">
        <f t="shared" si="52"/>
        <v>36.558374999999998</v>
      </c>
      <c r="T409" t="str">
        <f t="shared" si="53"/>
        <v>CARGA INEFICIENTE</v>
      </c>
      <c r="U409" t="str">
        <f t="shared" si="54"/>
        <v>OK</v>
      </c>
      <c r="V409" t="str">
        <f t="shared" si="55"/>
        <v>OK</v>
      </c>
    </row>
    <row r="410" spans="1:22" x14ac:dyDescent="0.45">
      <c r="A410" t="str">
        <v>SO-50195</v>
      </c>
      <c r="B410" t="str">
        <v>PL-CEN</v>
      </c>
      <c r="C410" t="str">
        <v>CD-CDMX</v>
      </c>
      <c r="D410" t="str">
        <v>LAC-1009</v>
      </c>
      <c r="E410">
        <v>2097</v>
      </c>
      <c r="F410" s="1">
        <v>46176</v>
      </c>
      <c r="G410" t="str">
        <v>In Transit</v>
      </c>
      <c r="H410" t="str">
        <v>OK</v>
      </c>
      <c r="I410">
        <v>11.01</v>
      </c>
      <c r="J410">
        <v>98</v>
      </c>
      <c r="K410">
        <v>16</v>
      </c>
      <c r="L410" t="str">
        <v>OK</v>
      </c>
      <c r="M410">
        <v>1</v>
      </c>
      <c r="O410">
        <f t="shared" si="48"/>
        <v>21.397959183673468</v>
      </c>
      <c r="P410">
        <f t="shared" si="49"/>
        <v>96.199875000000006</v>
      </c>
      <c r="Q410">
        <f t="shared" si="50"/>
        <v>64.842300556586267</v>
      </c>
      <c r="R410">
        <f t="shared" si="51"/>
        <v>1</v>
      </c>
      <c r="S410">
        <f t="shared" si="52"/>
        <v>96.199875000000006</v>
      </c>
      <c r="T410" t="str">
        <f t="shared" si="53"/>
        <v>OK</v>
      </c>
      <c r="U410" t="str">
        <f t="shared" si="54"/>
        <v>OK</v>
      </c>
      <c r="V410" t="str">
        <f t="shared" si="55"/>
        <v>OK</v>
      </c>
    </row>
    <row r="411" spans="1:22" x14ac:dyDescent="0.45">
      <c r="A411" t="str">
        <v>SO-50937</v>
      </c>
      <c r="B411" t="str">
        <v>PL-SUR</v>
      </c>
      <c r="C411" t="str">
        <v>CD-GDL</v>
      </c>
      <c r="D411" t="str">
        <v>ABA-1017</v>
      </c>
      <c r="E411">
        <v>2102</v>
      </c>
      <c r="F411" s="1">
        <v>46176</v>
      </c>
      <c r="G411" t="str">
        <v>In Transit</v>
      </c>
      <c r="H411" t="str">
        <v>OK</v>
      </c>
      <c r="I411">
        <v>10.96</v>
      </c>
      <c r="J411">
        <v>128</v>
      </c>
      <c r="K411">
        <v>520</v>
      </c>
      <c r="L411" t="str">
        <v>OK</v>
      </c>
      <c r="M411">
        <v>1</v>
      </c>
      <c r="O411">
        <f t="shared" si="48"/>
        <v>16.421875</v>
      </c>
      <c r="P411">
        <f t="shared" si="49"/>
        <v>95.991333333333344</v>
      </c>
      <c r="Q411">
        <f t="shared" si="50"/>
        <v>49.763257575757578</v>
      </c>
      <c r="R411">
        <f t="shared" si="51"/>
        <v>1</v>
      </c>
      <c r="S411">
        <f t="shared" si="52"/>
        <v>95.991333333333344</v>
      </c>
      <c r="T411" t="str">
        <f t="shared" si="53"/>
        <v>OK</v>
      </c>
      <c r="U411" t="str">
        <f t="shared" si="54"/>
        <v>OK</v>
      </c>
      <c r="V411" t="str">
        <f t="shared" si="55"/>
        <v>OK</v>
      </c>
    </row>
    <row r="412" spans="1:22" x14ac:dyDescent="0.45">
      <c r="A412" t="str">
        <v>SO-50880</v>
      </c>
      <c r="B412" t="str">
        <v>PL-CEN</v>
      </c>
      <c r="C412" t="str">
        <v>CD-VER</v>
      </c>
      <c r="D412" t="str">
        <v>BEB-1007</v>
      </c>
      <c r="E412">
        <v>1567</v>
      </c>
      <c r="F412" s="1">
        <v>46175</v>
      </c>
      <c r="G412" t="str">
        <v>In Transit</v>
      </c>
      <c r="H412" t="str">
        <v>OK</v>
      </c>
      <c r="I412">
        <v>13.67</v>
      </c>
      <c r="J412">
        <v>78</v>
      </c>
      <c r="K412">
        <v>247</v>
      </c>
      <c r="L412" t="str">
        <v>OK</v>
      </c>
      <c r="M412">
        <v>2</v>
      </c>
      <c r="O412">
        <f t="shared" si="48"/>
        <v>20.089743589743591</v>
      </c>
      <c r="P412">
        <f t="shared" si="49"/>
        <v>89.253708333333321</v>
      </c>
      <c r="Q412">
        <f t="shared" si="50"/>
        <v>60.878010878010883</v>
      </c>
      <c r="R412">
        <f t="shared" si="51"/>
        <v>1</v>
      </c>
      <c r="S412">
        <f t="shared" si="52"/>
        <v>89.253708333333321</v>
      </c>
      <c r="T412" t="str">
        <f t="shared" si="53"/>
        <v>OK</v>
      </c>
      <c r="U412" t="str">
        <f t="shared" si="54"/>
        <v>OK</v>
      </c>
      <c r="V412" t="str">
        <f t="shared" si="55"/>
        <v>OK</v>
      </c>
    </row>
    <row r="413" spans="1:22" x14ac:dyDescent="0.45">
      <c r="A413" t="str">
        <v>SO-50896</v>
      </c>
      <c r="B413" t="str">
        <v>PL-NTE</v>
      </c>
      <c r="C413" t="str">
        <v>CD-MTY</v>
      </c>
      <c r="D413" t="str">
        <v>LAC-1009</v>
      </c>
      <c r="E413">
        <v>1701</v>
      </c>
      <c r="F413" s="1">
        <v>46176</v>
      </c>
      <c r="G413" t="str">
        <v>In Transit</v>
      </c>
      <c r="H413" t="str">
        <v>OK</v>
      </c>
      <c r="I413">
        <v>11.01</v>
      </c>
      <c r="J413">
        <v>98</v>
      </c>
      <c r="K413">
        <v>16</v>
      </c>
      <c r="L413" t="str">
        <v>OK</v>
      </c>
      <c r="M413">
        <v>1</v>
      </c>
      <c r="O413">
        <f t="shared" si="48"/>
        <v>17.357142857142858</v>
      </c>
      <c r="P413">
        <f t="shared" si="49"/>
        <v>78.033374999999992</v>
      </c>
      <c r="Q413">
        <f t="shared" si="50"/>
        <v>52.597402597402599</v>
      </c>
      <c r="R413">
        <f t="shared" si="51"/>
        <v>1</v>
      </c>
      <c r="S413">
        <f t="shared" si="52"/>
        <v>78.033374999999992</v>
      </c>
      <c r="T413" t="str">
        <f t="shared" si="53"/>
        <v>OK</v>
      </c>
      <c r="U413" t="str">
        <f t="shared" si="54"/>
        <v>OK</v>
      </c>
      <c r="V413" t="str">
        <f t="shared" si="55"/>
        <v>OK</v>
      </c>
    </row>
    <row r="414" spans="1:22" x14ac:dyDescent="0.45">
      <c r="A414" t="str">
        <v>SO-50945</v>
      </c>
      <c r="B414" t="str">
        <v>PL-CEN</v>
      </c>
      <c r="C414" t="str">
        <v>CD-VER</v>
      </c>
      <c r="D414" t="str">
        <v>BEB-1007</v>
      </c>
      <c r="E414">
        <v>1685</v>
      </c>
      <c r="F414" s="1">
        <v>46174</v>
      </c>
      <c r="G414" t="str">
        <v>In Transit</v>
      </c>
      <c r="H414" t="str">
        <v>OK</v>
      </c>
      <c r="I414">
        <v>13.67</v>
      </c>
      <c r="J414">
        <v>78</v>
      </c>
      <c r="K414">
        <v>247</v>
      </c>
      <c r="L414" t="str">
        <v>OK</v>
      </c>
      <c r="M414">
        <v>3</v>
      </c>
      <c r="O414">
        <f t="shared" si="48"/>
        <v>21.602564102564102</v>
      </c>
      <c r="P414">
        <f t="shared" si="49"/>
        <v>95.974791666666675</v>
      </c>
      <c r="Q414">
        <f t="shared" si="50"/>
        <v>65.462315462315459</v>
      </c>
      <c r="R414">
        <f t="shared" si="51"/>
        <v>1</v>
      </c>
      <c r="S414">
        <f t="shared" si="52"/>
        <v>95.974791666666675</v>
      </c>
      <c r="T414" t="str">
        <f t="shared" si="53"/>
        <v>OK</v>
      </c>
      <c r="U414" t="str">
        <f t="shared" si="54"/>
        <v>OK</v>
      </c>
      <c r="V414" t="str">
        <f t="shared" si="55"/>
        <v>OK</v>
      </c>
    </row>
    <row r="415" spans="1:22" x14ac:dyDescent="0.45">
      <c r="A415" t="str">
        <v>SO-50158</v>
      </c>
      <c r="B415" t="str">
        <v>PL-SUR</v>
      </c>
      <c r="C415" t="str">
        <v>CD-LEO</v>
      </c>
      <c r="D415" t="str">
        <v>PRO-1001</v>
      </c>
      <c r="E415">
        <v>2057</v>
      </c>
      <c r="F415" s="1">
        <v>46175</v>
      </c>
      <c r="G415" t="str">
        <v>In Transit</v>
      </c>
      <c r="H415" t="str">
        <v>OK</v>
      </c>
      <c r="I415">
        <v>9.57</v>
      </c>
      <c r="J415">
        <v>92</v>
      </c>
      <c r="K415">
        <v>122</v>
      </c>
      <c r="L415" t="str">
        <v>OK</v>
      </c>
      <c r="M415">
        <v>2</v>
      </c>
      <c r="O415">
        <f t="shared" si="48"/>
        <v>22.358695652173914</v>
      </c>
      <c r="P415">
        <f t="shared" si="49"/>
        <v>82.022874999999999</v>
      </c>
      <c r="Q415">
        <f t="shared" si="50"/>
        <v>67.753623188405797</v>
      </c>
      <c r="R415">
        <f t="shared" si="51"/>
        <v>1</v>
      </c>
      <c r="S415">
        <f t="shared" si="52"/>
        <v>82.022874999999999</v>
      </c>
      <c r="T415" t="str">
        <f t="shared" si="53"/>
        <v>OK</v>
      </c>
      <c r="U415" t="str">
        <f t="shared" si="54"/>
        <v>OK</v>
      </c>
      <c r="V415" t="str">
        <f t="shared" si="55"/>
        <v>OK</v>
      </c>
    </row>
    <row r="416" spans="1:22" x14ac:dyDescent="0.45">
      <c r="A416" t="str">
        <v>SO-51013</v>
      </c>
      <c r="B416" t="str">
        <v>PL-SUR</v>
      </c>
      <c r="C416" t="str">
        <v>CD-CAN</v>
      </c>
      <c r="D416" t="str">
        <v>LAC-1016</v>
      </c>
      <c r="E416">
        <v>2083</v>
      </c>
      <c r="F416" s="1">
        <v>46159</v>
      </c>
      <c r="G416" t="str">
        <v>In Transit</v>
      </c>
      <c r="H416" t="str">
        <v>OK</v>
      </c>
      <c r="I416">
        <v>10.9</v>
      </c>
      <c r="J416">
        <v>131</v>
      </c>
      <c r="K416">
        <v>22</v>
      </c>
      <c r="L416" t="str">
        <v>OK</v>
      </c>
      <c r="M416">
        <v>18</v>
      </c>
      <c r="O416">
        <f t="shared" si="48"/>
        <v>15.900763358778626</v>
      </c>
      <c r="P416">
        <f t="shared" si="49"/>
        <v>94.602916666666673</v>
      </c>
      <c r="Q416">
        <f t="shared" si="50"/>
        <v>48.184131390238264</v>
      </c>
      <c r="R416">
        <f t="shared" si="51"/>
        <v>1</v>
      </c>
      <c r="S416">
        <f t="shared" si="52"/>
        <v>94.602916666666673</v>
      </c>
      <c r="T416" t="str">
        <f t="shared" si="53"/>
        <v>OK</v>
      </c>
      <c r="U416" t="str">
        <f t="shared" si="54"/>
        <v>FEFO RIESGO</v>
      </c>
      <c r="V416" t="str">
        <f t="shared" si="55"/>
        <v>FANTASMA</v>
      </c>
    </row>
    <row r="417" spans="1:22" x14ac:dyDescent="0.45">
      <c r="A417" t="str">
        <v>SO-50822</v>
      </c>
      <c r="B417" t="str">
        <v>PL-SUR</v>
      </c>
      <c r="C417" t="str">
        <v>CD-MER</v>
      </c>
      <c r="D417" t="str">
        <v>PRO-1001</v>
      </c>
      <c r="E417">
        <v>752</v>
      </c>
      <c r="F417" s="1">
        <v>46175</v>
      </c>
      <c r="G417" t="str">
        <v>In Transit</v>
      </c>
      <c r="H417" t="str">
        <v>OK</v>
      </c>
      <c r="I417">
        <v>9.57</v>
      </c>
      <c r="J417">
        <v>92</v>
      </c>
      <c r="K417">
        <v>122</v>
      </c>
      <c r="L417" t="str">
        <v>OK</v>
      </c>
      <c r="M417">
        <v>2</v>
      </c>
      <c r="O417">
        <f t="shared" si="48"/>
        <v>8.1739130434782616</v>
      </c>
      <c r="P417">
        <f t="shared" si="49"/>
        <v>29.986000000000001</v>
      </c>
      <c r="Q417">
        <f t="shared" si="50"/>
        <v>24.76943346508564</v>
      </c>
      <c r="R417">
        <f t="shared" si="51"/>
        <v>1</v>
      </c>
      <c r="S417">
        <f t="shared" si="52"/>
        <v>29.986000000000001</v>
      </c>
      <c r="T417" t="str">
        <f t="shared" si="53"/>
        <v>CARGA INEFICIENTE</v>
      </c>
      <c r="U417" t="str">
        <f t="shared" si="54"/>
        <v>OK</v>
      </c>
      <c r="V417" t="str">
        <f t="shared" si="55"/>
        <v>OK</v>
      </c>
    </row>
    <row r="418" spans="1:22" x14ac:dyDescent="0.45">
      <c r="A418" t="str">
        <v>SO-50781</v>
      </c>
      <c r="B418" t="str">
        <v>PL-CEN</v>
      </c>
      <c r="C418" t="str">
        <v>CD-PUE</v>
      </c>
      <c r="D418" t="str">
        <v>PRO-1003</v>
      </c>
      <c r="E418">
        <v>882</v>
      </c>
      <c r="F418" s="1">
        <v>46176</v>
      </c>
      <c r="G418" t="str">
        <v>In Transit</v>
      </c>
      <c r="H418" t="str">
        <v>OK</v>
      </c>
      <c r="I418">
        <v>13.9</v>
      </c>
      <c r="J418">
        <v>69</v>
      </c>
      <c r="K418">
        <v>106</v>
      </c>
      <c r="L418" t="str">
        <v>OK</v>
      </c>
      <c r="M418">
        <v>1</v>
      </c>
      <c r="O418">
        <f t="shared" si="48"/>
        <v>12.782608695652174</v>
      </c>
      <c r="P418">
        <f t="shared" si="49"/>
        <v>51.08250000000001</v>
      </c>
      <c r="Q418">
        <f t="shared" si="50"/>
        <v>38.735177865612648</v>
      </c>
      <c r="R418">
        <f t="shared" si="51"/>
        <v>1</v>
      </c>
      <c r="S418">
        <f t="shared" si="52"/>
        <v>51.08250000000001</v>
      </c>
      <c r="T418" t="str">
        <f t="shared" si="53"/>
        <v>CARGA INEFICIENTE</v>
      </c>
      <c r="U418" t="str">
        <f t="shared" si="54"/>
        <v>OK</v>
      </c>
      <c r="V418" t="str">
        <f t="shared" si="55"/>
        <v>OK</v>
      </c>
    </row>
    <row r="419" spans="1:22" x14ac:dyDescent="0.45">
      <c r="A419" t="str">
        <v>SO-50931</v>
      </c>
      <c r="B419" t="str">
        <v>PL-NTE</v>
      </c>
      <c r="C419" t="str">
        <v>CD-CHI</v>
      </c>
      <c r="D419" t="str">
        <v>PRO-1014</v>
      </c>
      <c r="E419">
        <v>1828</v>
      </c>
      <c r="F419" s="1">
        <v>46174</v>
      </c>
      <c r="G419" t="str">
        <v>In Transit</v>
      </c>
      <c r="H419" t="str">
        <v>OK</v>
      </c>
      <c r="I419">
        <v>5.27</v>
      </c>
      <c r="J419">
        <v>60</v>
      </c>
      <c r="K419">
        <v>129</v>
      </c>
      <c r="L419" t="str">
        <v>OK</v>
      </c>
      <c r="M419">
        <v>3</v>
      </c>
      <c r="O419">
        <f t="shared" si="48"/>
        <v>30.466666666666665</v>
      </c>
      <c r="P419">
        <f t="shared" si="49"/>
        <v>40.139833333333328</v>
      </c>
      <c r="Q419">
        <f t="shared" si="50"/>
        <v>92.323232323232318</v>
      </c>
      <c r="R419">
        <f t="shared" si="51"/>
        <v>1</v>
      </c>
      <c r="S419">
        <f t="shared" si="52"/>
        <v>92.323232323232318</v>
      </c>
      <c r="T419" t="str">
        <f t="shared" si="53"/>
        <v>OK</v>
      </c>
      <c r="U419" t="str">
        <f t="shared" si="54"/>
        <v>OK</v>
      </c>
      <c r="V419" t="str">
        <f t="shared" si="55"/>
        <v>OK</v>
      </c>
    </row>
    <row r="420" spans="1:22" x14ac:dyDescent="0.45">
      <c r="A420" t="str">
        <v>SO-50509</v>
      </c>
      <c r="B420" t="str">
        <v>PL-CEN</v>
      </c>
      <c r="C420" t="str">
        <v>CD-QRO</v>
      </c>
      <c r="D420" t="str">
        <v>BOT-1013</v>
      </c>
      <c r="E420">
        <v>1567</v>
      </c>
      <c r="F420" s="1">
        <v>46175</v>
      </c>
      <c r="G420" t="str">
        <v>In Transit</v>
      </c>
      <c r="H420" t="str">
        <v>OK</v>
      </c>
      <c r="I420">
        <v>4</v>
      </c>
      <c r="J420">
        <v>58</v>
      </c>
      <c r="K420">
        <v>112</v>
      </c>
      <c r="L420" t="str">
        <v>OK</v>
      </c>
      <c r="M420">
        <v>2</v>
      </c>
      <c r="O420">
        <f t="shared" si="48"/>
        <v>27.017241379310345</v>
      </c>
      <c r="P420">
        <f t="shared" si="49"/>
        <v>26.116666666666667</v>
      </c>
      <c r="Q420">
        <f t="shared" si="50"/>
        <v>81.870428422152557</v>
      </c>
      <c r="R420">
        <f t="shared" si="51"/>
        <v>1</v>
      </c>
      <c r="S420">
        <f t="shared" si="52"/>
        <v>81.870428422152557</v>
      </c>
      <c r="T420" t="str">
        <f t="shared" si="53"/>
        <v>OK</v>
      </c>
      <c r="U420" t="str">
        <f t="shared" si="54"/>
        <v>OK</v>
      </c>
      <c r="V420" t="str">
        <f t="shared" si="55"/>
        <v>OK</v>
      </c>
    </row>
    <row r="421" spans="1:22" x14ac:dyDescent="0.45">
      <c r="A421" t="str">
        <v>SO-50465</v>
      </c>
      <c r="B421" t="str">
        <v>PL-CEN</v>
      </c>
      <c r="C421" t="str">
        <v>CD-TOL</v>
      </c>
      <c r="D421" t="str">
        <v>BEB-1009</v>
      </c>
      <c r="E421">
        <v>1262</v>
      </c>
      <c r="F421" s="1">
        <v>46175</v>
      </c>
      <c r="G421" t="str">
        <v>In Transit</v>
      </c>
      <c r="H421" t="str">
        <v>OK</v>
      </c>
      <c r="I421">
        <v>18.170000000000002</v>
      </c>
      <c r="J421">
        <v>61</v>
      </c>
      <c r="K421">
        <v>188</v>
      </c>
      <c r="L421" t="str">
        <v>OK</v>
      </c>
      <c r="M421">
        <v>2</v>
      </c>
      <c r="O421">
        <f t="shared" si="48"/>
        <v>20.688524590163933</v>
      </c>
      <c r="P421">
        <f t="shared" si="49"/>
        <v>95.543916666666675</v>
      </c>
      <c r="Q421">
        <f t="shared" si="50"/>
        <v>62.692498758072524</v>
      </c>
      <c r="R421">
        <f t="shared" si="51"/>
        <v>1</v>
      </c>
      <c r="S421">
        <f t="shared" si="52"/>
        <v>95.543916666666675</v>
      </c>
      <c r="T421" t="str">
        <f t="shared" si="53"/>
        <v>OK</v>
      </c>
      <c r="U421" t="str">
        <f t="shared" si="54"/>
        <v>OK</v>
      </c>
      <c r="V421" t="str">
        <f t="shared" si="55"/>
        <v>OK</v>
      </c>
    </row>
    <row r="422" spans="1:22" x14ac:dyDescent="0.45">
      <c r="A422" t="str">
        <v>SO-50849</v>
      </c>
      <c r="B422" t="str">
        <v>PL-NTE</v>
      </c>
      <c r="C422" t="str">
        <v>CD-CHI</v>
      </c>
      <c r="D422" t="str">
        <v>BEB-1018</v>
      </c>
      <c r="E422">
        <v>1135</v>
      </c>
      <c r="F422" s="1">
        <v>46174</v>
      </c>
      <c r="G422" t="str">
        <v>In Transit</v>
      </c>
      <c r="H422" t="str">
        <v>OK</v>
      </c>
      <c r="I422">
        <v>19.170000000000002</v>
      </c>
      <c r="J422">
        <v>119</v>
      </c>
      <c r="K422">
        <v>196</v>
      </c>
      <c r="L422" t="str">
        <v>OK</v>
      </c>
      <c r="M422">
        <v>3</v>
      </c>
      <c r="O422">
        <f t="shared" si="48"/>
        <v>9.53781512605042</v>
      </c>
      <c r="P422">
        <f t="shared" si="49"/>
        <v>90.658124999999998</v>
      </c>
      <c r="Q422">
        <f t="shared" si="50"/>
        <v>28.902470078940667</v>
      </c>
      <c r="R422">
        <f t="shared" si="51"/>
        <v>1</v>
      </c>
      <c r="S422">
        <f t="shared" si="52"/>
        <v>90.658124999999998</v>
      </c>
      <c r="T422" t="str">
        <f t="shared" si="53"/>
        <v>OK</v>
      </c>
      <c r="U422" t="str">
        <f t="shared" si="54"/>
        <v>OK</v>
      </c>
      <c r="V422" t="str">
        <f t="shared" si="55"/>
        <v>OK</v>
      </c>
    </row>
    <row r="423" spans="1:22" x14ac:dyDescent="0.45">
      <c r="A423" t="str">
        <v>SO-50893</v>
      </c>
      <c r="B423" t="str">
        <v>PL-SUR</v>
      </c>
      <c r="C423" t="str">
        <v>CD-LEO</v>
      </c>
      <c r="D423" t="str">
        <v>BOT-1023</v>
      </c>
      <c r="E423">
        <v>709</v>
      </c>
      <c r="F423" s="1">
        <v>46175</v>
      </c>
      <c r="G423" t="str">
        <v>Delivered</v>
      </c>
      <c r="H423" t="str">
        <v>OK</v>
      </c>
      <c r="I423">
        <v>4.29</v>
      </c>
      <c r="J423">
        <v>44</v>
      </c>
      <c r="K423">
        <v>111</v>
      </c>
      <c r="L423" t="str">
        <v>OK</v>
      </c>
      <c r="M423">
        <v>2</v>
      </c>
      <c r="O423">
        <f t="shared" si="48"/>
        <v>16.113636363636363</v>
      </c>
      <c r="P423">
        <f t="shared" si="49"/>
        <v>12.673375</v>
      </c>
      <c r="Q423">
        <f t="shared" si="50"/>
        <v>48.829201101928369</v>
      </c>
      <c r="R423">
        <f t="shared" si="51"/>
        <v>1</v>
      </c>
      <c r="S423">
        <f t="shared" si="52"/>
        <v>48.829201101928369</v>
      </c>
      <c r="T423" t="str">
        <f t="shared" si="53"/>
        <v>CARGA INEFICIENTE</v>
      </c>
      <c r="U423" t="str">
        <f t="shared" si="54"/>
        <v>OK</v>
      </c>
      <c r="V423" t="str">
        <f t="shared" si="55"/>
        <v>OK</v>
      </c>
    </row>
    <row r="424" spans="1:22" x14ac:dyDescent="0.45">
      <c r="A424" t="str">
        <v>SO-50061</v>
      </c>
      <c r="B424" t="str">
        <v>PL-NTE</v>
      </c>
      <c r="C424" t="str">
        <v>CD-TIJ</v>
      </c>
      <c r="D424" t="str">
        <v>LAC-1008</v>
      </c>
      <c r="E424">
        <v>2325</v>
      </c>
      <c r="F424" s="1">
        <v>46176</v>
      </c>
      <c r="G424" t="str">
        <v>In Transit</v>
      </c>
      <c r="H424" t="str">
        <v>OK</v>
      </c>
      <c r="I424">
        <v>9.8000000000000007</v>
      </c>
      <c r="J424">
        <v>83</v>
      </c>
      <c r="K424">
        <v>15</v>
      </c>
      <c r="L424" t="str">
        <v>OK</v>
      </c>
      <c r="M424">
        <v>1</v>
      </c>
      <c r="O424">
        <f t="shared" si="48"/>
        <v>28.012048192771083</v>
      </c>
      <c r="P424">
        <f t="shared" si="49"/>
        <v>94.9375</v>
      </c>
      <c r="Q424">
        <f t="shared" si="50"/>
        <v>84.884994523548741</v>
      </c>
      <c r="R424">
        <f t="shared" si="51"/>
        <v>1</v>
      </c>
      <c r="S424">
        <f t="shared" si="52"/>
        <v>94.9375</v>
      </c>
      <c r="T424" t="str">
        <f t="shared" si="53"/>
        <v>OK</v>
      </c>
      <c r="U424" t="str">
        <f t="shared" si="54"/>
        <v>OK</v>
      </c>
      <c r="V424" t="str">
        <f t="shared" si="55"/>
        <v>OK</v>
      </c>
    </row>
    <row r="425" spans="1:22" x14ac:dyDescent="0.45">
      <c r="A425" t="str">
        <v>SO-50298</v>
      </c>
      <c r="B425" t="str">
        <v>PL-NTE</v>
      </c>
      <c r="C425" t="str">
        <v>CD-TIJ</v>
      </c>
      <c r="D425" t="str">
        <v>LAC-1009</v>
      </c>
      <c r="E425">
        <v>623</v>
      </c>
      <c r="F425" s="1">
        <v>46176</v>
      </c>
      <c r="G425" t="str">
        <v>In Transit</v>
      </c>
      <c r="H425" t="str">
        <v>OK</v>
      </c>
      <c r="I425">
        <v>11.01</v>
      </c>
      <c r="J425">
        <v>98</v>
      </c>
      <c r="K425">
        <v>16</v>
      </c>
      <c r="L425" t="str">
        <v>OK</v>
      </c>
      <c r="M425">
        <v>1</v>
      </c>
      <c r="O425">
        <f t="shared" si="48"/>
        <v>6.3571428571428568</v>
      </c>
      <c r="P425">
        <f t="shared" si="49"/>
        <v>28.580125000000002</v>
      </c>
      <c r="Q425">
        <f t="shared" si="50"/>
        <v>19.264069264069263</v>
      </c>
      <c r="R425">
        <f t="shared" si="51"/>
        <v>1</v>
      </c>
      <c r="S425">
        <f t="shared" si="52"/>
        <v>28.580125000000002</v>
      </c>
      <c r="T425" t="str">
        <f t="shared" si="53"/>
        <v>CARGA INEFICIENTE</v>
      </c>
      <c r="U425" t="str">
        <f t="shared" si="54"/>
        <v>OK</v>
      </c>
      <c r="V425" t="str">
        <f t="shared" si="55"/>
        <v>OK</v>
      </c>
    </row>
    <row r="426" spans="1:22" x14ac:dyDescent="0.45">
      <c r="A426" t="str">
        <v>SO-50421</v>
      </c>
      <c r="B426" t="str">
        <v>PL-SUR</v>
      </c>
      <c r="C426" t="str">
        <v>CD-MOR</v>
      </c>
      <c r="D426" t="str">
        <v>ABA-1011</v>
      </c>
      <c r="E426">
        <v>2088</v>
      </c>
      <c r="F426" s="1">
        <v>46176</v>
      </c>
      <c r="G426" t="str">
        <v>Delivered</v>
      </c>
      <c r="H426" t="str">
        <v>OK</v>
      </c>
      <c r="I426">
        <v>9.9499999999999993</v>
      </c>
      <c r="J426">
        <v>106</v>
      </c>
      <c r="K426">
        <v>376</v>
      </c>
      <c r="L426" t="str">
        <v>OK</v>
      </c>
      <c r="M426">
        <v>1</v>
      </c>
      <c r="O426">
        <f t="shared" si="48"/>
        <v>19.69811320754717</v>
      </c>
      <c r="P426">
        <f t="shared" si="49"/>
        <v>86.564999999999998</v>
      </c>
      <c r="Q426">
        <f t="shared" si="50"/>
        <v>59.691252144082327</v>
      </c>
      <c r="R426">
        <f t="shared" si="51"/>
        <v>1</v>
      </c>
      <c r="S426">
        <f t="shared" si="52"/>
        <v>86.564999999999998</v>
      </c>
      <c r="T426" t="str">
        <f t="shared" si="53"/>
        <v>OK</v>
      </c>
      <c r="U426" t="str">
        <f t="shared" si="54"/>
        <v>OK</v>
      </c>
      <c r="V426" t="str">
        <f t="shared" si="55"/>
        <v>OK</v>
      </c>
    </row>
    <row r="427" spans="1:22" x14ac:dyDescent="0.45">
      <c r="A427" t="str">
        <v>SO-50889</v>
      </c>
      <c r="B427" t="str">
        <v>PL-NTE</v>
      </c>
      <c r="C427" t="str">
        <v>CD-CHI</v>
      </c>
      <c r="D427" t="str">
        <v>LAC-1002</v>
      </c>
      <c r="E427">
        <v>2902</v>
      </c>
      <c r="F427" s="1">
        <v>46175</v>
      </c>
      <c r="G427" t="str">
        <v>In Transit</v>
      </c>
      <c r="H427" t="str">
        <v>OK</v>
      </c>
      <c r="I427">
        <v>7.71</v>
      </c>
      <c r="J427">
        <v>101</v>
      </c>
      <c r="K427">
        <v>23</v>
      </c>
      <c r="L427" t="str">
        <v>OK</v>
      </c>
      <c r="M427">
        <v>2</v>
      </c>
      <c r="O427">
        <f t="shared" si="48"/>
        <v>28.732673267326732</v>
      </c>
      <c r="P427">
        <f t="shared" si="49"/>
        <v>93.226749999999996</v>
      </c>
      <c r="Q427">
        <f t="shared" si="50"/>
        <v>87.068706870687066</v>
      </c>
      <c r="R427">
        <f t="shared" si="51"/>
        <v>1</v>
      </c>
      <c r="S427">
        <f t="shared" si="52"/>
        <v>93.226749999999996</v>
      </c>
      <c r="T427" t="str">
        <f t="shared" si="53"/>
        <v>OK</v>
      </c>
      <c r="U427" t="str">
        <f t="shared" si="54"/>
        <v>OK</v>
      </c>
      <c r="V427" t="str">
        <f t="shared" si="55"/>
        <v>OK</v>
      </c>
    </row>
    <row r="428" spans="1:22" x14ac:dyDescent="0.45">
      <c r="A428" t="str">
        <v>SO-50825</v>
      </c>
      <c r="B428" t="str">
        <v>PL-NTE</v>
      </c>
      <c r="C428" t="str">
        <v>CD-MTY</v>
      </c>
      <c r="D428" t="str">
        <v>BOT-1014</v>
      </c>
      <c r="E428">
        <v>1454</v>
      </c>
      <c r="F428" s="1">
        <v>46176</v>
      </c>
      <c r="G428" t="str">
        <v>In Transit</v>
      </c>
      <c r="H428" t="str">
        <v>OK</v>
      </c>
      <c r="I428">
        <v>3.92</v>
      </c>
      <c r="J428">
        <v>49</v>
      </c>
      <c r="K428">
        <v>98</v>
      </c>
      <c r="L428" t="str">
        <v>OK</v>
      </c>
      <c r="M428">
        <v>1</v>
      </c>
      <c r="O428">
        <f t="shared" si="48"/>
        <v>29.673469387755102</v>
      </c>
      <c r="P428">
        <f t="shared" si="49"/>
        <v>23.748666666666669</v>
      </c>
      <c r="Q428">
        <f t="shared" si="50"/>
        <v>89.919604205318493</v>
      </c>
      <c r="R428">
        <f t="shared" si="51"/>
        <v>1</v>
      </c>
      <c r="S428">
        <f t="shared" si="52"/>
        <v>89.919604205318493</v>
      </c>
      <c r="T428" t="str">
        <f t="shared" si="53"/>
        <v>OK</v>
      </c>
      <c r="U428" t="str">
        <f t="shared" si="54"/>
        <v>OK</v>
      </c>
      <c r="V428" t="str">
        <f t="shared" si="55"/>
        <v>OK</v>
      </c>
    </row>
    <row r="429" spans="1:22" x14ac:dyDescent="0.45">
      <c r="A429" t="str">
        <v>SO-50881</v>
      </c>
      <c r="B429" t="str">
        <v>PL-NTE</v>
      </c>
      <c r="C429" t="str">
        <v>CD-MTY</v>
      </c>
      <c r="D429" t="str">
        <v>BOT-1004</v>
      </c>
      <c r="E429">
        <v>1189</v>
      </c>
      <c r="F429" s="1">
        <v>46176</v>
      </c>
      <c r="G429" t="str">
        <v>In Transit</v>
      </c>
      <c r="H429" t="str">
        <v>OK</v>
      </c>
      <c r="I429">
        <v>4.43</v>
      </c>
      <c r="J429">
        <v>63</v>
      </c>
      <c r="K429">
        <v>115</v>
      </c>
      <c r="L429" t="str">
        <v>OK</v>
      </c>
      <c r="M429">
        <v>1</v>
      </c>
      <c r="O429">
        <f t="shared" si="48"/>
        <v>18.873015873015873</v>
      </c>
      <c r="P429">
        <f t="shared" si="49"/>
        <v>21.946958333333331</v>
      </c>
      <c r="Q429">
        <f t="shared" si="50"/>
        <v>57.190957190957192</v>
      </c>
      <c r="R429">
        <f t="shared" si="51"/>
        <v>1</v>
      </c>
      <c r="S429">
        <f t="shared" si="52"/>
        <v>57.190957190957192</v>
      </c>
      <c r="T429" t="str">
        <f t="shared" si="53"/>
        <v>CARGA INEFICIENTE</v>
      </c>
      <c r="U429" t="str">
        <f t="shared" si="54"/>
        <v>OK</v>
      </c>
      <c r="V429" t="str">
        <f t="shared" si="55"/>
        <v>OK</v>
      </c>
    </row>
    <row r="430" spans="1:22" x14ac:dyDescent="0.45">
      <c r="A430" t="str">
        <v>SO-51046</v>
      </c>
      <c r="B430" t="str">
        <v>PL-NTE</v>
      </c>
      <c r="C430" t="str">
        <v>CD-MTY</v>
      </c>
      <c r="D430" t="str">
        <v>ABA-1016</v>
      </c>
      <c r="E430">
        <v>1337</v>
      </c>
      <c r="F430" s="1">
        <v>46176</v>
      </c>
      <c r="G430" t="str">
        <v>In Transit</v>
      </c>
      <c r="H430" t="str">
        <v>OK</v>
      </c>
      <c r="I430">
        <v>15.52</v>
      </c>
      <c r="J430">
        <v>121</v>
      </c>
      <c r="K430">
        <v>517</v>
      </c>
      <c r="L430" t="str">
        <v>OK</v>
      </c>
      <c r="M430">
        <v>1</v>
      </c>
      <c r="O430">
        <f t="shared" si="48"/>
        <v>11.049586776859504</v>
      </c>
      <c r="P430">
        <f t="shared" si="49"/>
        <v>86.459333333333319</v>
      </c>
      <c r="Q430">
        <f t="shared" si="50"/>
        <v>33.483596293513649</v>
      </c>
      <c r="R430">
        <f t="shared" si="51"/>
        <v>1</v>
      </c>
      <c r="S430">
        <f t="shared" si="52"/>
        <v>86.459333333333319</v>
      </c>
      <c r="T430" t="str">
        <f t="shared" si="53"/>
        <v>OK</v>
      </c>
      <c r="U430" t="str">
        <f t="shared" si="54"/>
        <v>OK</v>
      </c>
      <c r="V430" t="str">
        <f t="shared" si="55"/>
        <v>OK</v>
      </c>
    </row>
    <row r="431" spans="1:22" x14ac:dyDescent="0.45">
      <c r="A431" t="str">
        <v>SO-50739</v>
      </c>
      <c r="B431" t="str">
        <v>PL-NTE</v>
      </c>
      <c r="C431" t="str">
        <v>CD-HER</v>
      </c>
      <c r="D431" t="str">
        <v>BEB-1015</v>
      </c>
      <c r="E431">
        <v>964</v>
      </c>
      <c r="F431" s="1">
        <v>46175</v>
      </c>
      <c r="G431" t="str">
        <v>In Transit</v>
      </c>
      <c r="H431" t="str">
        <v>OK</v>
      </c>
      <c r="I431">
        <v>19.95</v>
      </c>
      <c r="J431">
        <v>78</v>
      </c>
      <c r="K431">
        <v>276</v>
      </c>
      <c r="L431" t="str">
        <v>OK</v>
      </c>
      <c r="M431">
        <v>2</v>
      </c>
      <c r="O431">
        <f t="shared" si="48"/>
        <v>12.358974358974359</v>
      </c>
      <c r="P431">
        <f t="shared" si="49"/>
        <v>80.132499999999993</v>
      </c>
      <c r="Q431">
        <f t="shared" si="50"/>
        <v>37.45143745143745</v>
      </c>
      <c r="R431">
        <f t="shared" si="51"/>
        <v>1</v>
      </c>
      <c r="S431">
        <f t="shared" si="52"/>
        <v>80.132499999999993</v>
      </c>
      <c r="T431" t="str">
        <f t="shared" si="53"/>
        <v>OK</v>
      </c>
      <c r="U431" t="str">
        <f t="shared" si="54"/>
        <v>OK</v>
      </c>
      <c r="V431" t="str">
        <f t="shared" si="55"/>
        <v>OK</v>
      </c>
    </row>
    <row r="432" spans="1:22" x14ac:dyDescent="0.45">
      <c r="A432" t="str">
        <v>SO-50022</v>
      </c>
      <c r="B432" t="str">
        <v>PL-SUR</v>
      </c>
      <c r="C432" t="str">
        <v>CD-MER</v>
      </c>
      <c r="D432" t="str">
        <v>BOT-1020</v>
      </c>
      <c r="E432">
        <v>604</v>
      </c>
      <c r="F432" s="1">
        <v>46173</v>
      </c>
      <c r="G432" t="str">
        <v>In Transit</v>
      </c>
      <c r="H432" t="str">
        <v>OK</v>
      </c>
      <c r="I432">
        <v>6.27</v>
      </c>
      <c r="J432">
        <v>67</v>
      </c>
      <c r="K432">
        <v>90</v>
      </c>
      <c r="L432" t="str">
        <v>OK</v>
      </c>
      <c r="M432">
        <v>4</v>
      </c>
      <c r="O432">
        <f t="shared" si="48"/>
        <v>9.0149253731343286</v>
      </c>
      <c r="P432">
        <f t="shared" si="49"/>
        <v>15.779499999999999</v>
      </c>
      <c r="Q432">
        <f t="shared" si="50"/>
        <v>27.317955676164633</v>
      </c>
      <c r="R432">
        <f t="shared" si="51"/>
        <v>1</v>
      </c>
      <c r="S432">
        <f t="shared" si="52"/>
        <v>27.317955676164633</v>
      </c>
      <c r="T432" t="str">
        <f t="shared" si="53"/>
        <v>CARGA INEFICIENTE</v>
      </c>
      <c r="U432" t="str">
        <f t="shared" si="54"/>
        <v>OK</v>
      </c>
      <c r="V432" t="str">
        <f t="shared" si="55"/>
        <v>OK</v>
      </c>
    </row>
    <row r="433" spans="1:22" x14ac:dyDescent="0.45">
      <c r="A433" t="str">
        <v>SO-50819</v>
      </c>
      <c r="B433" t="str">
        <v>PL-CEN</v>
      </c>
      <c r="C433" t="str">
        <v>CD-TOL</v>
      </c>
      <c r="D433" t="str">
        <v>BOT-1020</v>
      </c>
      <c r="E433">
        <v>1794</v>
      </c>
      <c r="F433" s="1">
        <v>46176</v>
      </c>
      <c r="G433" t="str">
        <v>In Transit</v>
      </c>
      <c r="H433" t="str">
        <v>OK</v>
      </c>
      <c r="I433">
        <v>6.27</v>
      </c>
      <c r="J433">
        <v>67</v>
      </c>
      <c r="K433">
        <v>90</v>
      </c>
      <c r="L433" t="str">
        <v>OK</v>
      </c>
      <c r="M433">
        <v>1</v>
      </c>
      <c r="O433">
        <f t="shared" si="48"/>
        <v>26.776119402985074</v>
      </c>
      <c r="P433">
        <f t="shared" si="49"/>
        <v>46.868249999999996</v>
      </c>
      <c r="Q433">
        <f t="shared" si="50"/>
        <v>81.139755766621434</v>
      </c>
      <c r="R433">
        <f t="shared" si="51"/>
        <v>1</v>
      </c>
      <c r="S433">
        <f t="shared" si="52"/>
        <v>81.139755766621434</v>
      </c>
      <c r="T433" t="str">
        <f t="shared" si="53"/>
        <v>OK</v>
      </c>
      <c r="U433" t="str">
        <f t="shared" si="54"/>
        <v>OK</v>
      </c>
      <c r="V433" t="str">
        <f t="shared" si="55"/>
        <v>OK</v>
      </c>
    </row>
    <row r="434" spans="1:22" x14ac:dyDescent="0.45">
      <c r="A434" t="str">
        <v>SO-50556</v>
      </c>
      <c r="B434" t="str">
        <v>PL-NTE</v>
      </c>
      <c r="C434" t="str">
        <v>CD-CHI</v>
      </c>
      <c r="D434" t="str">
        <v>LAC-1003</v>
      </c>
      <c r="E434">
        <v>755</v>
      </c>
      <c r="F434" s="1">
        <v>46174</v>
      </c>
      <c r="G434" t="str">
        <v>In Transit</v>
      </c>
      <c r="H434" t="str">
        <v>OK</v>
      </c>
      <c r="I434">
        <v>9.02</v>
      </c>
      <c r="J434">
        <v>114</v>
      </c>
      <c r="K434">
        <v>18</v>
      </c>
      <c r="L434" t="str">
        <v>OK</v>
      </c>
      <c r="M434">
        <v>3</v>
      </c>
      <c r="O434">
        <f t="shared" si="48"/>
        <v>6.6228070175438596</v>
      </c>
      <c r="P434">
        <f t="shared" si="49"/>
        <v>28.375416666666663</v>
      </c>
      <c r="Q434">
        <f t="shared" si="50"/>
        <v>20.069112174375331</v>
      </c>
      <c r="R434">
        <f t="shared" si="51"/>
        <v>1</v>
      </c>
      <c r="S434">
        <f t="shared" si="52"/>
        <v>28.375416666666663</v>
      </c>
      <c r="T434" t="str">
        <f t="shared" si="53"/>
        <v>CARGA INEFICIENTE</v>
      </c>
      <c r="U434" t="str">
        <f t="shared" si="54"/>
        <v>OK</v>
      </c>
      <c r="V434" t="str">
        <f t="shared" si="55"/>
        <v>OK</v>
      </c>
    </row>
    <row r="435" spans="1:22" x14ac:dyDescent="0.45">
      <c r="A435" t="str">
        <v>SO-50370</v>
      </c>
      <c r="B435" t="str">
        <v>PL-SUR</v>
      </c>
      <c r="C435" t="str">
        <v>CD-GDL</v>
      </c>
      <c r="D435" t="str">
        <v>BOT-1012</v>
      </c>
      <c r="E435">
        <v>847</v>
      </c>
      <c r="F435" s="1">
        <v>46176</v>
      </c>
      <c r="G435" t="str">
        <v>In Transit</v>
      </c>
      <c r="H435" t="str">
        <v>OK</v>
      </c>
      <c r="I435">
        <v>4.26</v>
      </c>
      <c r="J435">
        <v>68</v>
      </c>
      <c r="K435">
        <v>117</v>
      </c>
      <c r="L435" t="str">
        <v>OK</v>
      </c>
      <c r="M435">
        <v>1</v>
      </c>
      <c r="O435">
        <f t="shared" si="48"/>
        <v>12.455882352941176</v>
      </c>
      <c r="P435">
        <f t="shared" si="49"/>
        <v>15.034249999999998</v>
      </c>
      <c r="Q435">
        <f t="shared" si="50"/>
        <v>37.745098039215684</v>
      </c>
      <c r="R435">
        <f t="shared" si="51"/>
        <v>1</v>
      </c>
      <c r="S435">
        <f t="shared" si="52"/>
        <v>37.745098039215684</v>
      </c>
      <c r="T435" t="str">
        <f t="shared" si="53"/>
        <v>CARGA INEFICIENTE</v>
      </c>
      <c r="U435" t="str">
        <f t="shared" si="54"/>
        <v>OK</v>
      </c>
      <c r="V435" t="str">
        <f t="shared" si="55"/>
        <v>OK</v>
      </c>
    </row>
    <row r="436" spans="1:22" x14ac:dyDescent="0.45">
      <c r="A436" t="str">
        <v>SO-50358</v>
      </c>
      <c r="B436" t="str">
        <v>PL-CEN</v>
      </c>
      <c r="C436" t="str">
        <v>CD-PUE</v>
      </c>
      <c r="D436" t="str">
        <v>PRO-1000</v>
      </c>
      <c r="E436">
        <v>659</v>
      </c>
      <c r="F436" s="1">
        <v>46176</v>
      </c>
      <c r="G436" t="str">
        <v>In Transit</v>
      </c>
      <c r="H436" t="str">
        <v>OK</v>
      </c>
      <c r="I436">
        <v>12.51</v>
      </c>
      <c r="J436">
        <v>73</v>
      </c>
      <c r="K436">
        <v>75</v>
      </c>
      <c r="L436" t="str">
        <v>OK</v>
      </c>
      <c r="M436">
        <v>1</v>
      </c>
      <c r="O436">
        <f t="shared" si="48"/>
        <v>9.0273972602739718</v>
      </c>
      <c r="P436">
        <f t="shared" si="49"/>
        <v>34.350375</v>
      </c>
      <c r="Q436">
        <f t="shared" si="50"/>
        <v>27.355749273557489</v>
      </c>
      <c r="R436">
        <f t="shared" si="51"/>
        <v>1</v>
      </c>
      <c r="S436">
        <f t="shared" si="52"/>
        <v>34.350375</v>
      </c>
      <c r="T436" t="str">
        <f t="shared" si="53"/>
        <v>CARGA INEFICIENTE</v>
      </c>
      <c r="U436" t="str">
        <f t="shared" si="54"/>
        <v>OK</v>
      </c>
      <c r="V436" t="str">
        <f t="shared" si="55"/>
        <v>OK</v>
      </c>
    </row>
    <row r="437" spans="1:22" x14ac:dyDescent="0.45">
      <c r="A437" t="str">
        <v>SO-50285</v>
      </c>
      <c r="B437" t="str">
        <v>PL-CEN</v>
      </c>
      <c r="C437" t="str">
        <v>CD-PUE</v>
      </c>
      <c r="D437" t="str">
        <v>PRO-1014</v>
      </c>
      <c r="E437">
        <v>794</v>
      </c>
      <c r="F437" s="1">
        <v>46176</v>
      </c>
      <c r="G437" t="str">
        <v>In Transit</v>
      </c>
      <c r="H437" t="str">
        <v>OK</v>
      </c>
      <c r="I437">
        <v>5.27</v>
      </c>
      <c r="J437">
        <v>60</v>
      </c>
      <c r="K437">
        <v>129</v>
      </c>
      <c r="L437" t="str">
        <v>OK</v>
      </c>
      <c r="M437">
        <v>1</v>
      </c>
      <c r="O437">
        <f t="shared" si="48"/>
        <v>13.233333333333333</v>
      </c>
      <c r="P437">
        <f t="shared" si="49"/>
        <v>17.434916666666666</v>
      </c>
      <c r="Q437">
        <f t="shared" si="50"/>
        <v>40.101010101010097</v>
      </c>
      <c r="R437">
        <f t="shared" si="51"/>
        <v>1</v>
      </c>
      <c r="S437">
        <f t="shared" si="52"/>
        <v>40.101010101010097</v>
      </c>
      <c r="T437" t="str">
        <f t="shared" si="53"/>
        <v>CARGA INEFICIENTE</v>
      </c>
      <c r="U437" t="str">
        <f t="shared" si="54"/>
        <v>OK</v>
      </c>
      <c r="V437" t="str">
        <f t="shared" si="55"/>
        <v>OK</v>
      </c>
    </row>
    <row r="438" spans="1:22" x14ac:dyDescent="0.45">
      <c r="A438" t="str">
        <v>SO-50277</v>
      </c>
      <c r="B438" t="str">
        <v>PL-CEN</v>
      </c>
      <c r="C438" t="str">
        <v>CD-PUE</v>
      </c>
      <c r="D438" t="str">
        <v>PRO-1004</v>
      </c>
      <c r="E438">
        <v>1614</v>
      </c>
      <c r="F438" s="1">
        <v>46176</v>
      </c>
      <c r="G438" t="str">
        <v>In Transit</v>
      </c>
      <c r="H438" t="str">
        <v>OK</v>
      </c>
      <c r="I438">
        <v>12.77</v>
      </c>
      <c r="J438">
        <v>96</v>
      </c>
      <c r="K438">
        <v>122</v>
      </c>
      <c r="L438" t="str">
        <v>OK</v>
      </c>
      <c r="M438">
        <v>1</v>
      </c>
      <c r="O438">
        <f t="shared" si="48"/>
        <v>16.8125</v>
      </c>
      <c r="P438">
        <f t="shared" si="49"/>
        <v>85.878249999999994</v>
      </c>
      <c r="Q438">
        <f t="shared" si="50"/>
        <v>50.946969696969703</v>
      </c>
      <c r="R438">
        <f t="shared" si="51"/>
        <v>1</v>
      </c>
      <c r="S438">
        <f t="shared" si="52"/>
        <v>85.878249999999994</v>
      </c>
      <c r="T438" t="str">
        <f t="shared" si="53"/>
        <v>OK</v>
      </c>
      <c r="U438" t="str">
        <f t="shared" si="54"/>
        <v>OK</v>
      </c>
      <c r="V438" t="str">
        <f t="shared" si="55"/>
        <v>OK</v>
      </c>
    </row>
    <row r="439" spans="1:22" x14ac:dyDescent="0.45">
      <c r="A439" t="str">
        <v>SO-50948</v>
      </c>
      <c r="B439" t="str">
        <v>PL-CEN</v>
      </c>
      <c r="C439" t="str">
        <v>CD-QRO</v>
      </c>
      <c r="D439" t="str">
        <v>LAC-1011</v>
      </c>
      <c r="E439">
        <v>3571</v>
      </c>
      <c r="F439" s="1">
        <v>46176</v>
      </c>
      <c r="G439" t="str">
        <v>In Transit</v>
      </c>
      <c r="H439" t="str">
        <v>OK</v>
      </c>
      <c r="I439">
        <v>6.1</v>
      </c>
      <c r="J439">
        <v>137</v>
      </c>
      <c r="K439">
        <v>17</v>
      </c>
      <c r="L439" t="str">
        <v>OK</v>
      </c>
      <c r="M439">
        <v>1</v>
      </c>
      <c r="O439">
        <f t="shared" si="48"/>
        <v>26.065693430656935</v>
      </c>
      <c r="P439">
        <f t="shared" si="49"/>
        <v>90.762916666666655</v>
      </c>
      <c r="Q439">
        <f t="shared" si="50"/>
        <v>78.986949789869499</v>
      </c>
      <c r="R439">
        <f t="shared" si="51"/>
        <v>1</v>
      </c>
      <c r="S439">
        <f t="shared" si="52"/>
        <v>90.762916666666655</v>
      </c>
      <c r="T439" t="str">
        <f t="shared" si="53"/>
        <v>OK</v>
      </c>
      <c r="U439" t="str">
        <f t="shared" si="54"/>
        <v>OK</v>
      </c>
      <c r="V439" t="str">
        <f t="shared" si="55"/>
        <v>OK</v>
      </c>
    </row>
    <row r="440" spans="1:22" x14ac:dyDescent="0.45">
      <c r="A440" t="str">
        <v>SO-50145</v>
      </c>
      <c r="B440" t="str">
        <v>PL-NTE</v>
      </c>
      <c r="C440" t="str">
        <v>CD-HER</v>
      </c>
      <c r="D440" t="str">
        <v>PRO-1003</v>
      </c>
      <c r="E440">
        <v>1397</v>
      </c>
      <c r="F440" s="1">
        <v>46173</v>
      </c>
      <c r="G440" t="str">
        <v>In Transit</v>
      </c>
      <c r="H440" t="str">
        <v>OK</v>
      </c>
      <c r="I440">
        <v>13.9</v>
      </c>
      <c r="J440">
        <v>69</v>
      </c>
      <c r="K440">
        <v>106</v>
      </c>
      <c r="L440" t="str">
        <v>OK</v>
      </c>
      <c r="M440">
        <v>4</v>
      </c>
      <c r="O440">
        <f t="shared" si="48"/>
        <v>20.246376811594203</v>
      </c>
      <c r="P440">
        <f t="shared" si="49"/>
        <v>80.90958333333333</v>
      </c>
      <c r="Q440">
        <f t="shared" si="50"/>
        <v>61.352657004830924</v>
      </c>
      <c r="R440">
        <f t="shared" si="51"/>
        <v>1</v>
      </c>
      <c r="S440">
        <f t="shared" si="52"/>
        <v>80.90958333333333</v>
      </c>
      <c r="T440" t="str">
        <f t="shared" si="53"/>
        <v>OK</v>
      </c>
      <c r="U440" t="str">
        <f t="shared" si="54"/>
        <v>OK</v>
      </c>
      <c r="V440" t="str">
        <f t="shared" si="55"/>
        <v>OK</v>
      </c>
    </row>
    <row r="441" spans="1:22" x14ac:dyDescent="0.45">
      <c r="A441" t="str">
        <v>SO-50831</v>
      </c>
      <c r="B441" t="str">
        <v>PL-NTE</v>
      </c>
      <c r="C441" t="str">
        <v>CD-HER</v>
      </c>
      <c r="D441" t="str">
        <v>BEB-1013</v>
      </c>
      <c r="E441">
        <v>394</v>
      </c>
      <c r="F441" s="1">
        <v>46176</v>
      </c>
      <c r="G441" t="str">
        <v>In Transit</v>
      </c>
      <c r="H441" t="str">
        <v>OK</v>
      </c>
      <c r="I441">
        <v>17.28</v>
      </c>
      <c r="J441">
        <v>97</v>
      </c>
      <c r="K441">
        <v>271</v>
      </c>
      <c r="L441" t="str">
        <v>OK</v>
      </c>
      <c r="M441">
        <v>1</v>
      </c>
      <c r="O441">
        <f t="shared" si="48"/>
        <v>4.0618556701030926</v>
      </c>
      <c r="P441">
        <f t="shared" si="49"/>
        <v>28.368000000000006</v>
      </c>
      <c r="Q441">
        <f t="shared" si="50"/>
        <v>12.308653545766948</v>
      </c>
      <c r="R441">
        <f t="shared" si="51"/>
        <v>1</v>
      </c>
      <c r="S441">
        <f t="shared" si="52"/>
        <v>28.368000000000006</v>
      </c>
      <c r="T441" t="str">
        <f t="shared" si="53"/>
        <v>CARGA INEFICIENTE</v>
      </c>
      <c r="U441" t="str">
        <f t="shared" si="54"/>
        <v>OK</v>
      </c>
      <c r="V441" t="str">
        <f t="shared" si="55"/>
        <v>OK</v>
      </c>
    </row>
    <row r="442" spans="1:22" x14ac:dyDescent="0.45">
      <c r="A442" t="str">
        <v>SO-50266</v>
      </c>
      <c r="B442" t="str">
        <v>PL-NTE</v>
      </c>
      <c r="C442" t="str">
        <v>CD-TIJ</v>
      </c>
      <c r="D442" t="str">
        <v>PRO-1014</v>
      </c>
      <c r="E442">
        <v>461</v>
      </c>
      <c r="F442" s="1">
        <v>46175</v>
      </c>
      <c r="G442" t="str">
        <v>In Transit</v>
      </c>
      <c r="H442" t="str">
        <v>OK</v>
      </c>
      <c r="I442">
        <v>5.27</v>
      </c>
      <c r="J442">
        <v>60</v>
      </c>
      <c r="K442">
        <v>129</v>
      </c>
      <c r="L442" t="str">
        <v>OK</v>
      </c>
      <c r="M442">
        <v>2</v>
      </c>
      <c r="O442">
        <f t="shared" si="48"/>
        <v>7.6833333333333336</v>
      </c>
      <c r="P442">
        <f t="shared" si="49"/>
        <v>10.122791666666666</v>
      </c>
      <c r="Q442">
        <f t="shared" si="50"/>
        <v>23.282828282828284</v>
      </c>
      <c r="R442">
        <f t="shared" si="51"/>
        <v>1</v>
      </c>
      <c r="S442">
        <f t="shared" si="52"/>
        <v>23.282828282828284</v>
      </c>
      <c r="T442" t="str">
        <f t="shared" si="53"/>
        <v>CARGA INEFICIENTE</v>
      </c>
      <c r="U442" t="str">
        <f t="shared" si="54"/>
        <v>OK</v>
      </c>
      <c r="V442" t="str">
        <f t="shared" si="55"/>
        <v>OK</v>
      </c>
    </row>
    <row r="443" spans="1:22" x14ac:dyDescent="0.45">
      <c r="A443" t="str">
        <v>SO-50140</v>
      </c>
      <c r="B443" t="str">
        <v>PL-NTE</v>
      </c>
      <c r="C443" t="str">
        <v>CD-CHI</v>
      </c>
      <c r="D443" t="str">
        <v>LAC-1009</v>
      </c>
      <c r="E443">
        <v>1743</v>
      </c>
      <c r="F443" s="1">
        <v>46174</v>
      </c>
      <c r="G443" t="str">
        <v>Delivered</v>
      </c>
      <c r="H443" t="str">
        <v>OK</v>
      </c>
      <c r="I443">
        <v>11.01</v>
      </c>
      <c r="J443">
        <v>98</v>
      </c>
      <c r="K443">
        <v>16</v>
      </c>
      <c r="L443" t="str">
        <v>OK</v>
      </c>
      <c r="M443">
        <v>3</v>
      </c>
      <c r="O443">
        <f t="shared" si="48"/>
        <v>17.785714285714285</v>
      </c>
      <c r="P443">
        <f t="shared" si="49"/>
        <v>79.960125000000005</v>
      </c>
      <c r="Q443">
        <f t="shared" si="50"/>
        <v>53.896103896103895</v>
      </c>
      <c r="R443">
        <f t="shared" si="51"/>
        <v>1</v>
      </c>
      <c r="S443">
        <f t="shared" si="52"/>
        <v>79.960125000000005</v>
      </c>
      <c r="T443" t="str">
        <f t="shared" si="53"/>
        <v>OK</v>
      </c>
      <c r="U443" t="str">
        <f t="shared" si="54"/>
        <v>OK</v>
      </c>
      <c r="V443" t="str">
        <f t="shared" si="55"/>
        <v>OK</v>
      </c>
    </row>
    <row r="444" spans="1:22" x14ac:dyDescent="0.45">
      <c r="A444" t="str">
        <v>SO-50074</v>
      </c>
      <c r="B444" t="str">
        <v>PL-NTE</v>
      </c>
      <c r="C444" t="str">
        <v>CD-CHI</v>
      </c>
      <c r="D444" t="str">
        <v>BEB-1007</v>
      </c>
      <c r="E444">
        <v>1480</v>
      </c>
      <c r="F444" s="1">
        <v>46174</v>
      </c>
      <c r="G444" t="str">
        <v>In Transit</v>
      </c>
      <c r="H444" t="str">
        <v>OK</v>
      </c>
      <c r="I444">
        <v>13.67</v>
      </c>
      <c r="J444">
        <v>78</v>
      </c>
      <c r="K444">
        <v>247</v>
      </c>
      <c r="L444" t="str">
        <v>OK</v>
      </c>
      <c r="M444">
        <v>3</v>
      </c>
      <c r="O444">
        <f t="shared" si="48"/>
        <v>18.974358974358974</v>
      </c>
      <c r="P444">
        <f t="shared" si="49"/>
        <v>84.298333333333332</v>
      </c>
      <c r="Q444">
        <f t="shared" si="50"/>
        <v>57.498057498057499</v>
      </c>
      <c r="R444">
        <f t="shared" si="51"/>
        <v>1</v>
      </c>
      <c r="S444">
        <f t="shared" si="52"/>
        <v>84.298333333333332</v>
      </c>
      <c r="T444" t="str">
        <f t="shared" si="53"/>
        <v>OK</v>
      </c>
      <c r="U444" t="str">
        <f t="shared" si="54"/>
        <v>OK</v>
      </c>
      <c r="V444" t="str">
        <f t="shared" si="55"/>
        <v>OK</v>
      </c>
    </row>
    <row r="445" spans="1:22" x14ac:dyDescent="0.45">
      <c r="A445" t="str">
        <v>SO-50955</v>
      </c>
      <c r="B445" t="str">
        <v>PL-CEN</v>
      </c>
      <c r="C445" t="str">
        <v>CD-QRO</v>
      </c>
      <c r="D445" t="str">
        <v>ABA-1010</v>
      </c>
      <c r="E445">
        <v>2141</v>
      </c>
      <c r="F445" s="1">
        <v>46175</v>
      </c>
      <c r="G445" t="str">
        <v>In Transit</v>
      </c>
      <c r="H445" t="str">
        <v>OK</v>
      </c>
      <c r="I445">
        <v>8.75</v>
      </c>
      <c r="J445">
        <v>123</v>
      </c>
      <c r="K445">
        <v>341</v>
      </c>
      <c r="L445" t="str">
        <v>OK</v>
      </c>
      <c r="M445">
        <v>2</v>
      </c>
      <c r="O445">
        <f t="shared" si="48"/>
        <v>17.40650406504065</v>
      </c>
      <c r="P445">
        <f t="shared" si="49"/>
        <v>78.057291666666657</v>
      </c>
      <c r="Q445">
        <f t="shared" si="50"/>
        <v>52.746982015274703</v>
      </c>
      <c r="R445">
        <f t="shared" si="51"/>
        <v>1</v>
      </c>
      <c r="S445">
        <f t="shared" si="52"/>
        <v>78.057291666666657</v>
      </c>
      <c r="T445" t="str">
        <f t="shared" si="53"/>
        <v>OK</v>
      </c>
      <c r="U445" t="str">
        <f t="shared" si="54"/>
        <v>OK</v>
      </c>
      <c r="V445" t="str">
        <f t="shared" si="55"/>
        <v>OK</v>
      </c>
    </row>
    <row r="446" spans="1:22" x14ac:dyDescent="0.45">
      <c r="A446" t="str">
        <v>SO-50103</v>
      </c>
      <c r="B446" t="str">
        <v>PL-SUR</v>
      </c>
      <c r="C446" t="str">
        <v>CD-CAN</v>
      </c>
      <c r="D446" t="str">
        <v>BEB-1008</v>
      </c>
      <c r="E446">
        <v>1270</v>
      </c>
      <c r="F446" s="1">
        <v>46175</v>
      </c>
      <c r="G446" t="str">
        <v>In Transit</v>
      </c>
      <c r="H446" t="str">
        <v>OK</v>
      </c>
      <c r="I446">
        <v>17.47</v>
      </c>
      <c r="J446">
        <v>65</v>
      </c>
      <c r="K446">
        <v>216</v>
      </c>
      <c r="L446" t="str">
        <v>OK</v>
      </c>
      <c r="M446">
        <v>2</v>
      </c>
      <c r="O446">
        <f t="shared" si="48"/>
        <v>19.53846153846154</v>
      </c>
      <c r="P446">
        <f t="shared" si="49"/>
        <v>92.445416666666659</v>
      </c>
      <c r="Q446">
        <f t="shared" si="50"/>
        <v>59.207459207459209</v>
      </c>
      <c r="R446">
        <f t="shared" si="51"/>
        <v>1</v>
      </c>
      <c r="S446">
        <f t="shared" si="52"/>
        <v>92.445416666666659</v>
      </c>
      <c r="T446" t="str">
        <f t="shared" si="53"/>
        <v>OK</v>
      </c>
      <c r="U446" t="str">
        <f t="shared" si="54"/>
        <v>OK</v>
      </c>
      <c r="V446" t="str">
        <f t="shared" si="55"/>
        <v>OK</v>
      </c>
    </row>
    <row r="447" spans="1:22" x14ac:dyDescent="0.45">
      <c r="A447" t="str">
        <v>SO-50361</v>
      </c>
      <c r="B447" t="str">
        <v>PL-CEN</v>
      </c>
      <c r="C447" t="str">
        <v>CD-CDMX</v>
      </c>
      <c r="D447" t="str">
        <v>BEB-1001</v>
      </c>
      <c r="E447">
        <v>645</v>
      </c>
      <c r="F447" s="1">
        <v>46176</v>
      </c>
      <c r="G447" t="str">
        <v>In Transit</v>
      </c>
      <c r="H447" t="str">
        <v>OK</v>
      </c>
      <c r="I447">
        <v>19.18</v>
      </c>
      <c r="J447">
        <v>95</v>
      </c>
      <c r="K447">
        <v>208</v>
      </c>
      <c r="L447" t="str">
        <v>OK</v>
      </c>
      <c r="M447">
        <v>1</v>
      </c>
      <c r="O447">
        <f t="shared" si="48"/>
        <v>6.7894736842105265</v>
      </c>
      <c r="P447">
        <f t="shared" si="49"/>
        <v>51.546250000000008</v>
      </c>
      <c r="Q447">
        <f t="shared" si="50"/>
        <v>20.574162679425839</v>
      </c>
      <c r="R447">
        <f t="shared" si="51"/>
        <v>1</v>
      </c>
      <c r="S447">
        <f t="shared" si="52"/>
        <v>51.546250000000008</v>
      </c>
      <c r="T447" t="str">
        <f t="shared" si="53"/>
        <v>CARGA INEFICIENTE</v>
      </c>
      <c r="U447" t="str">
        <f t="shared" si="54"/>
        <v>OK</v>
      </c>
      <c r="V447" t="str">
        <f t="shared" si="55"/>
        <v>OK</v>
      </c>
    </row>
    <row r="448" spans="1:22" x14ac:dyDescent="0.45">
      <c r="A448" t="str">
        <v>SO-50379</v>
      </c>
      <c r="B448" t="str">
        <v>PL-NTE</v>
      </c>
      <c r="C448" t="str">
        <v>CD-HER</v>
      </c>
      <c r="D448" t="str">
        <v>XXX-8720</v>
      </c>
      <c r="E448">
        <v>300</v>
      </c>
      <c r="F448" s="1">
        <v>46175</v>
      </c>
      <c r="G448" t="str">
        <v>Delivered</v>
      </c>
      <c r="H448" t="str">
        <v>OK</v>
      </c>
      <c r="I448">
        <v>0</v>
      </c>
      <c r="J448">
        <v>0</v>
      </c>
      <c r="K448">
        <v>0</v>
      </c>
      <c r="L448" t="str">
        <v>HUERFANO</v>
      </c>
      <c r="M448">
        <v>2</v>
      </c>
      <c r="O448" t="str">
        <f t="shared" si="48"/>
        <v>n/a</v>
      </c>
      <c r="P448" t="str">
        <f t="shared" si="49"/>
        <v>n/a</v>
      </c>
      <c r="Q448" t="str">
        <f t="shared" si="50"/>
        <v>n/a</v>
      </c>
      <c r="R448" t="str">
        <f t="shared" si="51"/>
        <v>n/a</v>
      </c>
      <c r="S448" t="str">
        <f t="shared" si="52"/>
        <v>n/a</v>
      </c>
      <c r="T448" t="str">
        <f t="shared" si="53"/>
        <v>n/a</v>
      </c>
      <c r="U448" t="str">
        <f t="shared" si="54"/>
        <v>n/a</v>
      </c>
      <c r="V448" t="str">
        <f t="shared" si="55"/>
        <v>n/a</v>
      </c>
    </row>
    <row r="449" spans="1:22" x14ac:dyDescent="0.45">
      <c r="A449" t="str">
        <v>SO-50950</v>
      </c>
      <c r="B449" t="str">
        <v>PL-CEN</v>
      </c>
      <c r="C449" t="str">
        <v>CD-CDMX</v>
      </c>
      <c r="D449" t="str">
        <v>BOT-1014</v>
      </c>
      <c r="E449">
        <v>1492</v>
      </c>
      <c r="F449" s="1">
        <v>46176</v>
      </c>
      <c r="G449" t="str">
        <v>In Transit</v>
      </c>
      <c r="H449" t="str">
        <v>OK</v>
      </c>
      <c r="I449">
        <v>3.92</v>
      </c>
      <c r="J449">
        <v>49</v>
      </c>
      <c r="K449">
        <v>98</v>
      </c>
      <c r="L449" t="str">
        <v>OK</v>
      </c>
      <c r="M449">
        <v>1</v>
      </c>
      <c r="O449">
        <f t="shared" si="48"/>
        <v>30.448979591836736</v>
      </c>
      <c r="P449">
        <f t="shared" si="49"/>
        <v>24.369333333333334</v>
      </c>
      <c r="Q449">
        <f t="shared" si="50"/>
        <v>92.269635126777985</v>
      </c>
      <c r="R449">
        <f t="shared" si="51"/>
        <v>1</v>
      </c>
      <c r="S449">
        <f t="shared" si="52"/>
        <v>92.269635126777985</v>
      </c>
      <c r="T449" t="str">
        <f t="shared" si="53"/>
        <v>OK</v>
      </c>
      <c r="U449" t="str">
        <f t="shared" si="54"/>
        <v>OK</v>
      </c>
      <c r="V449" t="str">
        <f t="shared" si="55"/>
        <v>OK</v>
      </c>
    </row>
    <row r="450" spans="1:22" x14ac:dyDescent="0.45">
      <c r="A450" t="str">
        <v>SO-50418</v>
      </c>
      <c r="B450" t="str">
        <v>PL-NTE</v>
      </c>
      <c r="C450" t="str">
        <v>CD-CHI</v>
      </c>
      <c r="D450" t="str">
        <v>BOT-1002</v>
      </c>
      <c r="E450">
        <v>2328</v>
      </c>
      <c r="F450" s="1">
        <v>46176</v>
      </c>
      <c r="G450" t="str">
        <v>In Transit</v>
      </c>
      <c r="H450" t="str">
        <v>OK</v>
      </c>
      <c r="I450">
        <v>3.02</v>
      </c>
      <c r="J450">
        <v>84</v>
      </c>
      <c r="K450">
        <v>111</v>
      </c>
      <c r="L450" t="str">
        <v>OK</v>
      </c>
      <c r="M450">
        <v>1</v>
      </c>
      <c r="O450">
        <f t="shared" si="48"/>
        <v>27.714285714285715</v>
      </c>
      <c r="P450">
        <f t="shared" si="49"/>
        <v>29.294000000000004</v>
      </c>
      <c r="Q450">
        <f t="shared" si="50"/>
        <v>83.98268398268398</v>
      </c>
      <c r="R450">
        <f t="shared" si="51"/>
        <v>1</v>
      </c>
      <c r="S450">
        <f t="shared" si="52"/>
        <v>83.98268398268398</v>
      </c>
      <c r="T450" t="str">
        <f t="shared" si="53"/>
        <v>OK</v>
      </c>
      <c r="U450" t="str">
        <f t="shared" si="54"/>
        <v>OK</v>
      </c>
      <c r="V450" t="str">
        <f t="shared" si="55"/>
        <v>OK</v>
      </c>
    </row>
    <row r="451" spans="1:22" x14ac:dyDescent="0.45">
      <c r="A451" t="str">
        <v>SO-50121</v>
      </c>
      <c r="B451" t="str">
        <v>PL-SUR</v>
      </c>
      <c r="C451" t="str">
        <v>CD-GDL</v>
      </c>
      <c r="D451" t="str">
        <v>ABA-1017</v>
      </c>
      <c r="E451">
        <v>785</v>
      </c>
      <c r="F451" s="1">
        <v>46176</v>
      </c>
      <c r="G451" t="str">
        <v>Delivered</v>
      </c>
      <c r="H451" t="str">
        <v>OK</v>
      </c>
      <c r="I451">
        <v>10.96</v>
      </c>
      <c r="J451">
        <v>128</v>
      </c>
      <c r="K451">
        <v>520</v>
      </c>
      <c r="L451" t="str">
        <v>OK</v>
      </c>
      <c r="M451">
        <v>1</v>
      </c>
      <c r="O451">
        <f t="shared" ref="O451:O514" si="56">IF(L451="HUERFANO","n/a",IF(ISNUMBER(J451),E451/J451,"n/a"))</f>
        <v>6.1328125</v>
      </c>
      <c r="P451">
        <f t="shared" ref="P451:P514" si="57">IF(L451="HUERFANO","n/a",IFERROR(E451*I451/24000*100,""))</f>
        <v>35.848333333333336</v>
      </c>
      <c r="Q451">
        <f t="shared" ref="Q451:Q514" si="58">IF(L451="HUERFANO","n/a",IFERROR(O451/33*100,""))</f>
        <v>18.584280303030305</v>
      </c>
      <c r="R451">
        <f t="shared" ref="R451:R514" si="59">IF(L451="HUERFANO","n/a",IFERROR(MAX(CEILING(P451/100,1),CEILING(Q451/100,1)),""))</f>
        <v>1</v>
      </c>
      <c r="S451">
        <f t="shared" ref="S451:S514" si="60">IF(L451="HUERFANO","n/a",IFERROR(MAX(P451,Q451)/(R451*100)*100,""))</f>
        <v>35.848333333333336</v>
      </c>
      <c r="T451" t="str">
        <f t="shared" ref="T451:T514" si="61">IF(L451="HUERFANO","n/a",IF(S451&lt;75,"CARGA INEFICIENTE","OK"))</f>
        <v>CARGA INEFICIENTE</v>
      </c>
      <c r="U451" t="str">
        <f t="shared" ref="U451:U514" si="62">IF(L451="HUERFANO","n/a",IF(AND(LEFT(D451,3)="LAC",(K451-M451)/K451*100&lt;70),"FEFO RIESGO","OK"))</f>
        <v>OK</v>
      </c>
      <c r="V451" t="str">
        <f t="shared" ref="V451:V514" si="63">IF(L451="HUERFANO","n/a",IF(AND(G451="In Transit",M451&gt;5),"FANTASMA","OK"))</f>
        <v>OK</v>
      </c>
    </row>
    <row r="452" spans="1:22" x14ac:dyDescent="0.45">
      <c r="A452" t="str">
        <v>SO-50659</v>
      </c>
      <c r="B452" t="str">
        <v>PL-SUR</v>
      </c>
      <c r="C452" t="str">
        <v>CD-MOR</v>
      </c>
      <c r="D452" t="str">
        <v>LAC-1017</v>
      </c>
      <c r="E452">
        <v>3097</v>
      </c>
      <c r="F452" s="1">
        <v>46175</v>
      </c>
      <c r="G452" t="str">
        <v>In Transit</v>
      </c>
      <c r="H452" t="str">
        <v>OK</v>
      </c>
      <c r="I452">
        <v>7.45</v>
      </c>
      <c r="J452">
        <v>147</v>
      </c>
      <c r="K452">
        <v>28</v>
      </c>
      <c r="L452" t="str">
        <v>OK</v>
      </c>
      <c r="M452">
        <v>2</v>
      </c>
      <c r="O452">
        <f t="shared" si="56"/>
        <v>21.068027210884352</v>
      </c>
      <c r="P452">
        <f t="shared" si="57"/>
        <v>96.136041666666671</v>
      </c>
      <c r="Q452">
        <f t="shared" si="58"/>
        <v>63.842506699649547</v>
      </c>
      <c r="R452">
        <f t="shared" si="59"/>
        <v>1</v>
      </c>
      <c r="S452">
        <f t="shared" si="60"/>
        <v>96.136041666666671</v>
      </c>
      <c r="T452" t="str">
        <f t="shared" si="61"/>
        <v>OK</v>
      </c>
      <c r="U452" t="str">
        <f t="shared" si="62"/>
        <v>OK</v>
      </c>
      <c r="V452" t="str">
        <f t="shared" si="63"/>
        <v>OK</v>
      </c>
    </row>
    <row r="453" spans="1:22" x14ac:dyDescent="0.45">
      <c r="A453" t="str">
        <v>SO-50390</v>
      </c>
      <c r="B453" t="str">
        <v>PL-SUR</v>
      </c>
      <c r="C453" t="str">
        <v>CD-MOR</v>
      </c>
      <c r="D453" t="str">
        <v>BOT-1013</v>
      </c>
      <c r="E453">
        <v>1771</v>
      </c>
      <c r="F453" s="1">
        <v>46176</v>
      </c>
      <c r="G453" t="str">
        <v>In Transit</v>
      </c>
      <c r="H453" t="str">
        <v>OK</v>
      </c>
      <c r="I453">
        <v>4</v>
      </c>
      <c r="J453">
        <v>58</v>
      </c>
      <c r="K453">
        <v>112</v>
      </c>
      <c r="L453" t="str">
        <v>OK</v>
      </c>
      <c r="M453">
        <v>1</v>
      </c>
      <c r="O453">
        <f t="shared" si="56"/>
        <v>30.53448275862069</v>
      </c>
      <c r="P453">
        <f t="shared" si="57"/>
        <v>29.516666666666669</v>
      </c>
      <c r="Q453">
        <f t="shared" si="58"/>
        <v>92.52873563218391</v>
      </c>
      <c r="R453">
        <f t="shared" si="59"/>
        <v>1</v>
      </c>
      <c r="S453">
        <f t="shared" si="60"/>
        <v>92.52873563218391</v>
      </c>
      <c r="T453" t="str">
        <f t="shared" si="61"/>
        <v>OK</v>
      </c>
      <c r="U453" t="str">
        <f t="shared" si="62"/>
        <v>OK</v>
      </c>
      <c r="V453" t="str">
        <f t="shared" si="63"/>
        <v>OK</v>
      </c>
    </row>
    <row r="454" spans="1:22" x14ac:dyDescent="0.45">
      <c r="A454" t="str">
        <v>SO-50771</v>
      </c>
      <c r="B454" t="str">
        <v>PL-CEN</v>
      </c>
      <c r="C454" t="str">
        <v>CD-CDMX</v>
      </c>
      <c r="D454" t="str">
        <v>ABA-1001</v>
      </c>
      <c r="E454">
        <v>664</v>
      </c>
      <c r="F454" s="1">
        <v>46176</v>
      </c>
      <c r="G454" t="str">
        <v>In Transit</v>
      </c>
      <c r="H454" t="str">
        <v>OK</v>
      </c>
      <c r="I454">
        <v>0</v>
      </c>
      <c r="J454">
        <v>100</v>
      </c>
      <c r="K454">
        <v>512</v>
      </c>
      <c r="L454" t="str">
        <v>OK</v>
      </c>
      <c r="M454">
        <v>1</v>
      </c>
      <c r="O454">
        <f t="shared" si="56"/>
        <v>6.64</v>
      </c>
      <c r="P454">
        <f t="shared" si="57"/>
        <v>0</v>
      </c>
      <c r="Q454">
        <f t="shared" si="58"/>
        <v>20.121212121212121</v>
      </c>
      <c r="R454">
        <f t="shared" si="59"/>
        <v>1</v>
      </c>
      <c r="S454">
        <f t="shared" si="60"/>
        <v>20.121212121212121</v>
      </c>
      <c r="T454" t="str">
        <f t="shared" si="61"/>
        <v>CARGA INEFICIENTE</v>
      </c>
      <c r="U454" t="str">
        <f t="shared" si="62"/>
        <v>OK</v>
      </c>
      <c r="V454" t="str">
        <f t="shared" si="63"/>
        <v>OK</v>
      </c>
    </row>
    <row r="455" spans="1:22" x14ac:dyDescent="0.45">
      <c r="A455" t="str">
        <v>SO-50351</v>
      </c>
      <c r="B455" t="str">
        <v>PL-NTE</v>
      </c>
      <c r="C455" t="str">
        <v>CD-HER</v>
      </c>
      <c r="D455" t="str">
        <v>BEB-1013</v>
      </c>
      <c r="E455">
        <v>1309</v>
      </c>
      <c r="F455" s="1">
        <v>46174</v>
      </c>
      <c r="G455" t="str">
        <v>In Transit</v>
      </c>
      <c r="H455" t="str">
        <v>OK</v>
      </c>
      <c r="I455">
        <v>17.28</v>
      </c>
      <c r="J455">
        <v>97</v>
      </c>
      <c r="K455">
        <v>271</v>
      </c>
      <c r="L455" t="str">
        <v>OK</v>
      </c>
      <c r="M455">
        <v>3</v>
      </c>
      <c r="O455">
        <f t="shared" si="56"/>
        <v>13.494845360824742</v>
      </c>
      <c r="P455">
        <f t="shared" si="57"/>
        <v>94.248000000000005</v>
      </c>
      <c r="Q455">
        <f t="shared" si="58"/>
        <v>40.893470790378004</v>
      </c>
      <c r="R455">
        <f t="shared" si="59"/>
        <v>1</v>
      </c>
      <c r="S455">
        <f t="shared" si="60"/>
        <v>94.248000000000005</v>
      </c>
      <c r="T455" t="str">
        <f t="shared" si="61"/>
        <v>OK</v>
      </c>
      <c r="U455" t="str">
        <f t="shared" si="62"/>
        <v>OK</v>
      </c>
      <c r="V455" t="str">
        <f t="shared" si="63"/>
        <v>OK</v>
      </c>
    </row>
    <row r="456" spans="1:22" x14ac:dyDescent="0.45">
      <c r="A456" t="str">
        <v>SO-50576</v>
      </c>
      <c r="B456" t="str">
        <v>PL-SUR</v>
      </c>
      <c r="C456" t="str">
        <v>CD-MOR</v>
      </c>
      <c r="D456" t="str">
        <v>BOT-1008</v>
      </c>
      <c r="E456">
        <v>2089</v>
      </c>
      <c r="F456" s="1">
        <v>46175</v>
      </c>
      <c r="G456" t="str">
        <v>In Transit</v>
      </c>
      <c r="H456" t="str">
        <v>OK</v>
      </c>
      <c r="I456">
        <v>3.48</v>
      </c>
      <c r="J456">
        <v>66</v>
      </c>
      <c r="K456">
        <v>112</v>
      </c>
      <c r="L456" t="str">
        <v>OK</v>
      </c>
      <c r="M456">
        <v>2</v>
      </c>
      <c r="O456">
        <f t="shared" si="56"/>
        <v>31.651515151515152</v>
      </c>
      <c r="P456">
        <f t="shared" si="57"/>
        <v>30.290500000000005</v>
      </c>
      <c r="Q456">
        <f t="shared" si="58"/>
        <v>95.913682277318642</v>
      </c>
      <c r="R456">
        <f t="shared" si="59"/>
        <v>1</v>
      </c>
      <c r="S456">
        <f t="shared" si="60"/>
        <v>95.913682277318642</v>
      </c>
      <c r="T456" t="str">
        <f t="shared" si="61"/>
        <v>OK</v>
      </c>
      <c r="U456" t="str">
        <f t="shared" si="62"/>
        <v>OK</v>
      </c>
      <c r="V456" t="str">
        <f t="shared" si="63"/>
        <v>OK</v>
      </c>
    </row>
    <row r="457" spans="1:22" x14ac:dyDescent="0.45">
      <c r="A457" t="str">
        <v>SO-50036</v>
      </c>
      <c r="B457" t="str">
        <v>PL-CEN</v>
      </c>
      <c r="C457" t="str">
        <v>CD-QRO</v>
      </c>
      <c r="D457" t="str">
        <v>PRO-1009</v>
      </c>
      <c r="E457">
        <v>1886</v>
      </c>
      <c r="F457" s="1">
        <v>46176</v>
      </c>
      <c r="G457" t="str">
        <v>In Transit</v>
      </c>
      <c r="H457" t="str">
        <v>OK</v>
      </c>
      <c r="I457">
        <v>11.96</v>
      </c>
      <c r="J457">
        <v>101</v>
      </c>
      <c r="K457">
        <v>90</v>
      </c>
      <c r="L457" t="str">
        <v>OK</v>
      </c>
      <c r="M457">
        <v>1</v>
      </c>
      <c r="O457">
        <f t="shared" si="56"/>
        <v>18.673267326732674</v>
      </c>
      <c r="P457">
        <f t="shared" si="57"/>
        <v>93.985666666666674</v>
      </c>
      <c r="Q457">
        <f t="shared" si="58"/>
        <v>56.58565856585659</v>
      </c>
      <c r="R457">
        <f t="shared" si="59"/>
        <v>1</v>
      </c>
      <c r="S457">
        <f t="shared" si="60"/>
        <v>93.985666666666674</v>
      </c>
      <c r="T457" t="str">
        <f t="shared" si="61"/>
        <v>OK</v>
      </c>
      <c r="U457" t="str">
        <f t="shared" si="62"/>
        <v>OK</v>
      </c>
      <c r="V457" t="str">
        <f t="shared" si="63"/>
        <v>OK</v>
      </c>
    </row>
    <row r="458" spans="1:22" x14ac:dyDescent="0.45">
      <c r="A458" t="str">
        <v>SO-50209</v>
      </c>
      <c r="B458" t="str">
        <v>PL-SUR</v>
      </c>
      <c r="C458" t="str">
        <v>CD-CAN</v>
      </c>
      <c r="D458" t="str">
        <v>BOT-1000</v>
      </c>
      <c r="E458">
        <v>2004</v>
      </c>
      <c r="F458" s="1">
        <v>46175</v>
      </c>
      <c r="G458" t="str">
        <v>In Transit</v>
      </c>
      <c r="H458" t="str">
        <v>OK</v>
      </c>
      <c r="I458">
        <v>3.56</v>
      </c>
      <c r="J458">
        <v>64</v>
      </c>
      <c r="K458">
        <v>92</v>
      </c>
      <c r="L458" t="str">
        <v>OK</v>
      </c>
      <c r="M458">
        <v>2</v>
      </c>
      <c r="O458">
        <f t="shared" si="56"/>
        <v>31.3125</v>
      </c>
      <c r="P458">
        <f t="shared" si="57"/>
        <v>29.725999999999996</v>
      </c>
      <c r="Q458">
        <f t="shared" si="58"/>
        <v>94.88636363636364</v>
      </c>
      <c r="R458">
        <f t="shared" si="59"/>
        <v>1</v>
      </c>
      <c r="S458">
        <f t="shared" si="60"/>
        <v>94.88636363636364</v>
      </c>
      <c r="T458" t="str">
        <f t="shared" si="61"/>
        <v>OK</v>
      </c>
      <c r="U458" t="str">
        <f t="shared" si="62"/>
        <v>OK</v>
      </c>
      <c r="V458" t="str">
        <f t="shared" si="63"/>
        <v>OK</v>
      </c>
    </row>
    <row r="459" spans="1:22" x14ac:dyDescent="0.45">
      <c r="A459" t="str">
        <v>SO-51045</v>
      </c>
      <c r="B459" t="str">
        <v>PL-CEN</v>
      </c>
      <c r="C459" t="str">
        <v>CD-VER</v>
      </c>
      <c r="D459" t="str">
        <v>ABA-1004</v>
      </c>
      <c r="E459">
        <v>1786</v>
      </c>
      <c r="F459" s="1">
        <v>46175</v>
      </c>
      <c r="G459" t="str">
        <v>In Transit</v>
      </c>
      <c r="H459" t="str">
        <v>OK</v>
      </c>
      <c r="I459">
        <v>12.85</v>
      </c>
      <c r="J459">
        <v>91</v>
      </c>
      <c r="K459">
        <v>297</v>
      </c>
      <c r="L459" t="str">
        <v>OK</v>
      </c>
      <c r="M459">
        <v>2</v>
      </c>
      <c r="O459">
        <f t="shared" si="56"/>
        <v>19.626373626373628</v>
      </c>
      <c r="P459">
        <f t="shared" si="57"/>
        <v>95.625416666666666</v>
      </c>
      <c r="Q459">
        <f t="shared" si="58"/>
        <v>59.473859473859477</v>
      </c>
      <c r="R459">
        <f t="shared" si="59"/>
        <v>1</v>
      </c>
      <c r="S459">
        <f t="shared" si="60"/>
        <v>95.625416666666666</v>
      </c>
      <c r="T459" t="str">
        <f t="shared" si="61"/>
        <v>OK</v>
      </c>
      <c r="U459" t="str">
        <f t="shared" si="62"/>
        <v>OK</v>
      </c>
      <c r="V459" t="str">
        <f t="shared" si="63"/>
        <v>OK</v>
      </c>
    </row>
    <row r="460" spans="1:22" x14ac:dyDescent="0.45">
      <c r="A460" t="str">
        <v>SO-50089</v>
      </c>
      <c r="B460" t="str">
        <v>PL-NTE</v>
      </c>
      <c r="C460" t="str">
        <v>CD-HER</v>
      </c>
      <c r="D460" t="str">
        <v>PRO-1001</v>
      </c>
      <c r="E460">
        <v>2394</v>
      </c>
      <c r="F460" s="1">
        <v>46174</v>
      </c>
      <c r="G460" t="str">
        <v>In Transit</v>
      </c>
      <c r="H460" t="str">
        <v>OK</v>
      </c>
      <c r="I460">
        <v>9.57</v>
      </c>
      <c r="J460">
        <v>92</v>
      </c>
      <c r="K460">
        <v>122</v>
      </c>
      <c r="L460" t="str">
        <v>OK</v>
      </c>
      <c r="M460">
        <v>3</v>
      </c>
      <c r="O460">
        <f t="shared" si="56"/>
        <v>26.021739130434781</v>
      </c>
      <c r="P460">
        <f t="shared" si="57"/>
        <v>95.460750000000004</v>
      </c>
      <c r="Q460">
        <f t="shared" si="58"/>
        <v>78.853754940711468</v>
      </c>
      <c r="R460">
        <f t="shared" si="59"/>
        <v>1</v>
      </c>
      <c r="S460">
        <f t="shared" si="60"/>
        <v>95.460750000000004</v>
      </c>
      <c r="T460" t="str">
        <f t="shared" si="61"/>
        <v>OK</v>
      </c>
      <c r="U460" t="str">
        <f t="shared" si="62"/>
        <v>OK</v>
      </c>
      <c r="V460" t="str">
        <f t="shared" si="63"/>
        <v>OK</v>
      </c>
    </row>
    <row r="461" spans="1:22" x14ac:dyDescent="0.45">
      <c r="A461" t="str">
        <v>SO-50066</v>
      </c>
      <c r="B461" t="str">
        <v>PL-NTE</v>
      </c>
      <c r="C461" t="str">
        <v>CD-HER</v>
      </c>
      <c r="D461" t="str">
        <v>BOT-1015</v>
      </c>
      <c r="E461">
        <v>1737</v>
      </c>
      <c r="F461" s="1">
        <v>46175</v>
      </c>
      <c r="G461" t="str">
        <v>In Transit</v>
      </c>
      <c r="H461" t="str">
        <v>OK</v>
      </c>
      <c r="I461">
        <v>3.64</v>
      </c>
      <c r="J461">
        <v>62</v>
      </c>
      <c r="K461">
        <v>114</v>
      </c>
      <c r="L461" t="str">
        <v>OK</v>
      </c>
      <c r="M461">
        <v>2</v>
      </c>
      <c r="O461">
        <f t="shared" si="56"/>
        <v>28.016129032258064</v>
      </c>
      <c r="P461">
        <f t="shared" si="57"/>
        <v>26.3445</v>
      </c>
      <c r="Q461">
        <f t="shared" si="58"/>
        <v>84.897360703812325</v>
      </c>
      <c r="R461">
        <f t="shared" si="59"/>
        <v>1</v>
      </c>
      <c r="S461">
        <f t="shared" si="60"/>
        <v>84.897360703812325</v>
      </c>
      <c r="T461" t="str">
        <f t="shared" si="61"/>
        <v>OK</v>
      </c>
      <c r="U461" t="str">
        <f t="shared" si="62"/>
        <v>OK</v>
      </c>
      <c r="V461" t="str">
        <f t="shared" si="63"/>
        <v>OK</v>
      </c>
    </row>
    <row r="462" spans="1:22" x14ac:dyDescent="0.45">
      <c r="A462" t="str">
        <v>SO-50173</v>
      </c>
      <c r="B462" t="str">
        <v>PL-NTE</v>
      </c>
      <c r="C462" t="str">
        <v>CD-TIJ</v>
      </c>
      <c r="D462" t="str">
        <v>BEB-1008</v>
      </c>
      <c r="E462">
        <v>421</v>
      </c>
      <c r="F462" s="1">
        <v>46176</v>
      </c>
      <c r="G462" t="str">
        <v>In Transit</v>
      </c>
      <c r="H462" t="str">
        <v>OK</v>
      </c>
      <c r="I462">
        <v>17.47</v>
      </c>
      <c r="J462">
        <v>65</v>
      </c>
      <c r="K462">
        <v>216</v>
      </c>
      <c r="L462" t="str">
        <v>OK</v>
      </c>
      <c r="M462">
        <v>1</v>
      </c>
      <c r="O462">
        <f t="shared" si="56"/>
        <v>6.476923076923077</v>
      </c>
      <c r="P462">
        <f t="shared" si="57"/>
        <v>30.645291666666669</v>
      </c>
      <c r="Q462">
        <f t="shared" si="58"/>
        <v>19.627039627039629</v>
      </c>
      <c r="R462">
        <f t="shared" si="59"/>
        <v>1</v>
      </c>
      <c r="S462">
        <f t="shared" si="60"/>
        <v>30.645291666666669</v>
      </c>
      <c r="T462" t="str">
        <f t="shared" si="61"/>
        <v>CARGA INEFICIENTE</v>
      </c>
      <c r="U462" t="str">
        <f t="shared" si="62"/>
        <v>OK</v>
      </c>
      <c r="V462" t="str">
        <f t="shared" si="63"/>
        <v>OK</v>
      </c>
    </row>
    <row r="463" spans="1:22" x14ac:dyDescent="0.45">
      <c r="A463" t="str">
        <v>SO-50615</v>
      </c>
      <c r="B463" t="str">
        <v>PL-SUR</v>
      </c>
      <c r="C463" t="str">
        <v>CD-MER</v>
      </c>
      <c r="D463" t="str">
        <v>BEB-1012</v>
      </c>
      <c r="E463">
        <v>1317</v>
      </c>
      <c r="F463" s="1">
        <v>46175</v>
      </c>
      <c r="G463" t="str">
        <v>Delivered</v>
      </c>
      <c r="H463" t="str">
        <v>OK</v>
      </c>
      <c r="I463">
        <v>15.66</v>
      </c>
      <c r="J463">
        <v>72</v>
      </c>
      <c r="K463">
        <v>306</v>
      </c>
      <c r="L463" t="str">
        <v>OK</v>
      </c>
      <c r="M463">
        <v>2</v>
      </c>
      <c r="O463">
        <f t="shared" si="56"/>
        <v>18.291666666666668</v>
      </c>
      <c r="P463">
        <f t="shared" si="57"/>
        <v>85.934250000000006</v>
      </c>
      <c r="Q463">
        <f t="shared" si="58"/>
        <v>55.429292929292927</v>
      </c>
      <c r="R463">
        <f t="shared" si="59"/>
        <v>1</v>
      </c>
      <c r="S463">
        <f t="shared" si="60"/>
        <v>85.934250000000006</v>
      </c>
      <c r="T463" t="str">
        <f t="shared" si="61"/>
        <v>OK</v>
      </c>
      <c r="U463" t="str">
        <f t="shared" si="62"/>
        <v>OK</v>
      </c>
      <c r="V463" t="str">
        <f t="shared" si="63"/>
        <v>OK</v>
      </c>
    </row>
    <row r="464" spans="1:22" x14ac:dyDescent="0.45">
      <c r="A464" t="str">
        <v>SO-50040</v>
      </c>
      <c r="B464" t="str">
        <v>PL-CEN</v>
      </c>
      <c r="C464" t="str">
        <v>CD-PUE</v>
      </c>
      <c r="D464" t="str">
        <v>PRO-1009</v>
      </c>
      <c r="E464">
        <v>1580</v>
      </c>
      <c r="F464" s="1">
        <v>46176</v>
      </c>
      <c r="G464" t="str">
        <v>In Transit</v>
      </c>
      <c r="H464" t="str">
        <v>OK</v>
      </c>
      <c r="I464">
        <v>11.96</v>
      </c>
      <c r="J464">
        <v>101</v>
      </c>
      <c r="K464">
        <v>90</v>
      </c>
      <c r="L464" t="str">
        <v>OK</v>
      </c>
      <c r="M464">
        <v>1</v>
      </c>
      <c r="O464">
        <f t="shared" si="56"/>
        <v>15.643564356435643</v>
      </c>
      <c r="P464">
        <f t="shared" si="57"/>
        <v>78.736666666666679</v>
      </c>
      <c r="Q464">
        <f t="shared" si="58"/>
        <v>47.404740474047401</v>
      </c>
      <c r="R464">
        <f t="shared" si="59"/>
        <v>1</v>
      </c>
      <c r="S464">
        <f t="shared" si="60"/>
        <v>78.736666666666679</v>
      </c>
      <c r="T464" t="str">
        <f t="shared" si="61"/>
        <v>OK</v>
      </c>
      <c r="U464" t="str">
        <f t="shared" si="62"/>
        <v>OK</v>
      </c>
      <c r="V464" t="str">
        <f t="shared" si="63"/>
        <v>OK</v>
      </c>
    </row>
    <row r="465" spans="1:22" x14ac:dyDescent="0.45">
      <c r="A465" t="str">
        <v>SO-50941</v>
      </c>
      <c r="B465" t="str">
        <v>PL-CEN</v>
      </c>
      <c r="C465" t="str">
        <v>CD-QRO</v>
      </c>
      <c r="D465" t="str">
        <v>BEB-1008</v>
      </c>
      <c r="E465">
        <v>1170</v>
      </c>
      <c r="F465" s="1">
        <v>46175</v>
      </c>
      <c r="G465" t="str">
        <v>In Transit</v>
      </c>
      <c r="H465" t="str">
        <v>OK</v>
      </c>
      <c r="I465">
        <v>17.47</v>
      </c>
      <c r="J465">
        <v>65</v>
      </c>
      <c r="K465">
        <v>216</v>
      </c>
      <c r="L465" t="str">
        <v>OK</v>
      </c>
      <c r="M465">
        <v>2</v>
      </c>
      <c r="O465">
        <f t="shared" si="56"/>
        <v>18</v>
      </c>
      <c r="P465">
        <f t="shared" si="57"/>
        <v>85.166249999999991</v>
      </c>
      <c r="Q465">
        <f t="shared" si="58"/>
        <v>54.54545454545454</v>
      </c>
      <c r="R465">
        <f t="shared" si="59"/>
        <v>1</v>
      </c>
      <c r="S465">
        <f t="shared" si="60"/>
        <v>85.166249999999991</v>
      </c>
      <c r="T465" t="str">
        <f t="shared" si="61"/>
        <v>OK</v>
      </c>
      <c r="U465" t="str">
        <f t="shared" si="62"/>
        <v>OK</v>
      </c>
      <c r="V465" t="str">
        <f t="shared" si="63"/>
        <v>OK</v>
      </c>
    </row>
    <row r="466" spans="1:22" x14ac:dyDescent="0.45">
      <c r="A466" t="str">
        <v>SO-50810</v>
      </c>
      <c r="B466" t="str">
        <v>PL-SUR</v>
      </c>
      <c r="C466" t="str">
        <v>CD-CAN</v>
      </c>
      <c r="D466" t="str">
        <v>LAC-1014</v>
      </c>
      <c r="E466">
        <v>986</v>
      </c>
      <c r="F466" s="1">
        <v>46176</v>
      </c>
      <c r="G466" t="str">
        <v>In Transit</v>
      </c>
      <c r="H466" t="str">
        <v>OK</v>
      </c>
      <c r="I466">
        <v>8.0500000000000007</v>
      </c>
      <c r="J466">
        <v>147</v>
      </c>
      <c r="K466">
        <v>28</v>
      </c>
      <c r="L466" t="str">
        <v>OK</v>
      </c>
      <c r="M466">
        <v>1</v>
      </c>
      <c r="O466">
        <f t="shared" si="56"/>
        <v>6.7074829931972788</v>
      </c>
      <c r="P466">
        <f t="shared" si="57"/>
        <v>33.072083333333339</v>
      </c>
      <c r="Q466">
        <f t="shared" si="58"/>
        <v>20.325706039991754</v>
      </c>
      <c r="R466">
        <f t="shared" si="59"/>
        <v>1</v>
      </c>
      <c r="S466">
        <f t="shared" si="60"/>
        <v>33.072083333333339</v>
      </c>
      <c r="T466" t="str">
        <f t="shared" si="61"/>
        <v>CARGA INEFICIENTE</v>
      </c>
      <c r="U466" t="str">
        <f t="shared" si="62"/>
        <v>OK</v>
      </c>
      <c r="V466" t="str">
        <f t="shared" si="63"/>
        <v>OK</v>
      </c>
    </row>
    <row r="467" spans="1:22" x14ac:dyDescent="0.45">
      <c r="A467" t="str">
        <v>SO-50320</v>
      </c>
      <c r="B467" t="str">
        <v>PL-SUR</v>
      </c>
      <c r="C467" t="str">
        <v>CD-MER</v>
      </c>
      <c r="D467" t="str">
        <v>LAC-1007</v>
      </c>
      <c r="E467">
        <v>1857</v>
      </c>
      <c r="F467" s="1">
        <v>46174</v>
      </c>
      <c r="G467" t="str">
        <v>In Transit</v>
      </c>
      <c r="H467" t="str">
        <v>OK</v>
      </c>
      <c r="I467">
        <v>10.37</v>
      </c>
      <c r="J467">
        <v>100</v>
      </c>
      <c r="K467">
        <v>24</v>
      </c>
      <c r="L467" t="str">
        <v>OK</v>
      </c>
      <c r="M467">
        <v>3</v>
      </c>
      <c r="O467">
        <f t="shared" si="56"/>
        <v>18.57</v>
      </c>
      <c r="P467">
        <f t="shared" si="57"/>
        <v>80.237875000000003</v>
      </c>
      <c r="Q467">
        <f t="shared" si="58"/>
        <v>56.272727272727273</v>
      </c>
      <c r="R467">
        <f t="shared" si="59"/>
        <v>1</v>
      </c>
      <c r="S467">
        <f t="shared" si="60"/>
        <v>80.237875000000003</v>
      </c>
      <c r="T467" t="str">
        <f t="shared" si="61"/>
        <v>OK</v>
      </c>
      <c r="U467" t="str">
        <f t="shared" si="62"/>
        <v>OK</v>
      </c>
      <c r="V467" t="str">
        <f t="shared" si="63"/>
        <v>OK</v>
      </c>
    </row>
    <row r="468" spans="1:22" x14ac:dyDescent="0.45">
      <c r="A468" t="str">
        <v>SO-50903</v>
      </c>
      <c r="B468" t="str">
        <v>PL-CEN</v>
      </c>
      <c r="C468" t="str">
        <v>CD-PUE</v>
      </c>
      <c r="D468" t="str">
        <v>BOT-1015</v>
      </c>
      <c r="E468">
        <v>1978</v>
      </c>
      <c r="F468" s="1">
        <v>46176</v>
      </c>
      <c r="G468" t="str">
        <v>In Transit</v>
      </c>
      <c r="H468" t="str">
        <v>OK</v>
      </c>
      <c r="I468">
        <v>3.64</v>
      </c>
      <c r="J468">
        <v>62</v>
      </c>
      <c r="K468">
        <v>114</v>
      </c>
      <c r="L468" t="str">
        <v>OK</v>
      </c>
      <c r="M468">
        <v>1</v>
      </c>
      <c r="O468">
        <f t="shared" si="56"/>
        <v>31.903225806451612</v>
      </c>
      <c r="P468">
        <f t="shared" si="57"/>
        <v>29.99966666666667</v>
      </c>
      <c r="Q468">
        <f t="shared" si="58"/>
        <v>96.67644183773217</v>
      </c>
      <c r="R468">
        <f t="shared" si="59"/>
        <v>1</v>
      </c>
      <c r="S468">
        <f t="shared" si="60"/>
        <v>96.67644183773217</v>
      </c>
      <c r="T468" t="str">
        <f t="shared" si="61"/>
        <v>OK</v>
      </c>
      <c r="U468" t="str">
        <f t="shared" si="62"/>
        <v>OK</v>
      </c>
      <c r="V468" t="str">
        <f t="shared" si="63"/>
        <v>OK</v>
      </c>
    </row>
    <row r="469" spans="1:22" x14ac:dyDescent="0.45">
      <c r="A469" t="str">
        <v>SO-50038</v>
      </c>
      <c r="B469" t="str">
        <v>PL-SUR</v>
      </c>
      <c r="C469" t="str">
        <v>CD-GDL</v>
      </c>
      <c r="D469" t="str">
        <v>ABA-1018</v>
      </c>
      <c r="E469">
        <v>869</v>
      </c>
      <c r="F469" s="1">
        <v>46176</v>
      </c>
      <c r="G469" t="str">
        <v>In Transit</v>
      </c>
      <c r="H469" t="str">
        <v>OK</v>
      </c>
      <c r="I469">
        <v>11.43</v>
      </c>
      <c r="J469">
        <v>128</v>
      </c>
      <c r="K469">
        <v>530</v>
      </c>
      <c r="L469" t="str">
        <v>OK</v>
      </c>
      <c r="M469">
        <v>1</v>
      </c>
      <c r="O469">
        <f t="shared" si="56"/>
        <v>6.7890625</v>
      </c>
      <c r="P469">
        <f t="shared" si="57"/>
        <v>41.386125</v>
      </c>
      <c r="Q469">
        <f t="shared" si="58"/>
        <v>20.572916666666664</v>
      </c>
      <c r="R469">
        <f t="shared" si="59"/>
        <v>1</v>
      </c>
      <c r="S469">
        <f t="shared" si="60"/>
        <v>41.386125</v>
      </c>
      <c r="T469" t="str">
        <f t="shared" si="61"/>
        <v>CARGA INEFICIENTE</v>
      </c>
      <c r="U469" t="str">
        <f t="shared" si="62"/>
        <v>OK</v>
      </c>
      <c r="V469" t="str">
        <f t="shared" si="63"/>
        <v>OK</v>
      </c>
    </row>
    <row r="470" spans="1:22" x14ac:dyDescent="0.45">
      <c r="A470" t="str">
        <v>SO-50372</v>
      </c>
      <c r="B470" t="str">
        <v>PL-SUR</v>
      </c>
      <c r="C470" t="str">
        <v>CD-LEO</v>
      </c>
      <c r="D470" t="str">
        <v>LAC-1015</v>
      </c>
      <c r="E470">
        <v>1914</v>
      </c>
      <c r="F470" s="1">
        <v>46176</v>
      </c>
      <c r="G470" t="str">
        <v>In Transit</v>
      </c>
      <c r="H470" t="str">
        <v>OK</v>
      </c>
      <c r="I470">
        <v>11.26</v>
      </c>
      <c r="J470">
        <v>129</v>
      </c>
      <c r="K470">
        <v>24</v>
      </c>
      <c r="L470" t="str">
        <v>OK</v>
      </c>
      <c r="M470">
        <v>1</v>
      </c>
      <c r="O470">
        <f t="shared" si="56"/>
        <v>14.837209302325581</v>
      </c>
      <c r="P470">
        <f t="shared" si="57"/>
        <v>89.79849999999999</v>
      </c>
      <c r="Q470">
        <f t="shared" si="58"/>
        <v>44.961240310077514</v>
      </c>
      <c r="R470">
        <f t="shared" si="59"/>
        <v>1</v>
      </c>
      <c r="S470">
        <f t="shared" si="60"/>
        <v>89.79849999999999</v>
      </c>
      <c r="T470" t="str">
        <f t="shared" si="61"/>
        <v>OK</v>
      </c>
      <c r="U470" t="str">
        <f t="shared" si="62"/>
        <v>OK</v>
      </c>
      <c r="V470" t="str">
        <f t="shared" si="63"/>
        <v>OK</v>
      </c>
    </row>
    <row r="471" spans="1:22" x14ac:dyDescent="0.45">
      <c r="A471" t="str">
        <v>SO-50879</v>
      </c>
      <c r="B471" t="str">
        <v>PL-NTE</v>
      </c>
      <c r="C471" t="str">
        <v>CD-HER</v>
      </c>
      <c r="D471" t="str">
        <v>LAC-1004</v>
      </c>
      <c r="E471">
        <v>466</v>
      </c>
      <c r="F471" s="1">
        <v>46176</v>
      </c>
      <c r="G471" t="str">
        <v>In Transit</v>
      </c>
      <c r="H471" t="str">
        <v>OK</v>
      </c>
      <c r="I471">
        <v>11.45</v>
      </c>
      <c r="J471">
        <v>93</v>
      </c>
      <c r="K471">
        <v>16</v>
      </c>
      <c r="L471" t="str">
        <v>OK</v>
      </c>
      <c r="M471">
        <v>1</v>
      </c>
      <c r="O471">
        <f t="shared" si="56"/>
        <v>5.010752688172043</v>
      </c>
      <c r="P471">
        <f t="shared" si="57"/>
        <v>22.232083333333332</v>
      </c>
      <c r="Q471">
        <f t="shared" si="58"/>
        <v>15.184099055066797</v>
      </c>
      <c r="R471">
        <f t="shared" si="59"/>
        <v>1</v>
      </c>
      <c r="S471">
        <f t="shared" si="60"/>
        <v>22.232083333333332</v>
      </c>
      <c r="T471" t="str">
        <f t="shared" si="61"/>
        <v>CARGA INEFICIENTE</v>
      </c>
      <c r="U471" t="str">
        <f t="shared" si="62"/>
        <v>OK</v>
      </c>
      <c r="V471" t="str">
        <f t="shared" si="63"/>
        <v>OK</v>
      </c>
    </row>
    <row r="472" spans="1:22" x14ac:dyDescent="0.45">
      <c r="A472" t="str">
        <v>SO-50354</v>
      </c>
      <c r="B472" t="str">
        <v>PL-CEN</v>
      </c>
      <c r="C472" t="str">
        <v>CD-VER</v>
      </c>
      <c r="D472" t="str">
        <v>BEB-1015</v>
      </c>
      <c r="E472">
        <v>661</v>
      </c>
      <c r="F472" s="1">
        <v>46175</v>
      </c>
      <c r="G472" t="str">
        <v>In Transit</v>
      </c>
      <c r="H472" t="str">
        <v>OK</v>
      </c>
      <c r="I472">
        <v>19.95</v>
      </c>
      <c r="J472">
        <v>78</v>
      </c>
      <c r="K472">
        <v>276</v>
      </c>
      <c r="L472" t="str">
        <v>OK</v>
      </c>
      <c r="M472">
        <v>2</v>
      </c>
      <c r="O472">
        <f t="shared" si="56"/>
        <v>8.4743589743589745</v>
      </c>
      <c r="P472">
        <f t="shared" si="57"/>
        <v>54.945625</v>
      </c>
      <c r="Q472">
        <f t="shared" si="58"/>
        <v>25.679875679875678</v>
      </c>
      <c r="R472">
        <f t="shared" si="59"/>
        <v>1</v>
      </c>
      <c r="S472">
        <f t="shared" si="60"/>
        <v>54.945625</v>
      </c>
      <c r="T472" t="str">
        <f t="shared" si="61"/>
        <v>CARGA INEFICIENTE</v>
      </c>
      <c r="U472" t="str">
        <f t="shared" si="62"/>
        <v>OK</v>
      </c>
      <c r="V472" t="str">
        <f t="shared" si="63"/>
        <v>OK</v>
      </c>
    </row>
    <row r="473" spans="1:22" x14ac:dyDescent="0.45">
      <c r="A473" t="str">
        <v>SO-51090</v>
      </c>
      <c r="B473" t="str">
        <v>PL-NTE</v>
      </c>
      <c r="C473" t="str">
        <v>CD-MTY</v>
      </c>
      <c r="D473" t="str">
        <v>PRO-1012</v>
      </c>
      <c r="E473">
        <v>2813</v>
      </c>
      <c r="F473" s="1">
        <v>46174</v>
      </c>
      <c r="G473" t="str">
        <v>In Transit</v>
      </c>
      <c r="H473" t="str">
        <v>OK</v>
      </c>
      <c r="I473">
        <v>6.87</v>
      </c>
      <c r="J473">
        <v>101</v>
      </c>
      <c r="K473">
        <v>62</v>
      </c>
      <c r="L473" t="str">
        <v>OK</v>
      </c>
      <c r="M473">
        <v>3</v>
      </c>
      <c r="O473">
        <f t="shared" si="56"/>
        <v>27.85148514851485</v>
      </c>
      <c r="P473">
        <f t="shared" si="57"/>
        <v>80.522125000000003</v>
      </c>
      <c r="Q473">
        <f t="shared" si="58"/>
        <v>84.398439843984391</v>
      </c>
      <c r="R473">
        <f t="shared" si="59"/>
        <v>1</v>
      </c>
      <c r="S473">
        <f t="shared" si="60"/>
        <v>84.398439843984391</v>
      </c>
      <c r="T473" t="str">
        <f t="shared" si="61"/>
        <v>OK</v>
      </c>
      <c r="U473" t="str">
        <f t="shared" si="62"/>
        <v>OK</v>
      </c>
      <c r="V473" t="str">
        <f t="shared" si="63"/>
        <v>OK</v>
      </c>
    </row>
    <row r="474" spans="1:22" x14ac:dyDescent="0.45">
      <c r="A474" t="str">
        <v>SO-50179</v>
      </c>
      <c r="B474" t="str">
        <v>PL-NTE</v>
      </c>
      <c r="C474" t="str">
        <v>CD-SAL</v>
      </c>
      <c r="D474" t="str">
        <v>BOT-1011</v>
      </c>
      <c r="E474">
        <v>2543</v>
      </c>
      <c r="F474" s="1">
        <v>46176</v>
      </c>
      <c r="G474" t="str">
        <v>In Transit</v>
      </c>
      <c r="H474" t="str">
        <v>OK</v>
      </c>
      <c r="I474">
        <v>3.43</v>
      </c>
      <c r="J474">
        <v>88</v>
      </c>
      <c r="K474">
        <v>109</v>
      </c>
      <c r="L474" t="str">
        <v>OK</v>
      </c>
      <c r="M474">
        <v>1</v>
      </c>
      <c r="O474">
        <f t="shared" si="56"/>
        <v>28.897727272727273</v>
      </c>
      <c r="P474">
        <f t="shared" si="57"/>
        <v>36.343708333333332</v>
      </c>
      <c r="Q474">
        <f t="shared" si="58"/>
        <v>87.568870523415981</v>
      </c>
      <c r="R474">
        <f t="shared" si="59"/>
        <v>1</v>
      </c>
      <c r="S474">
        <f t="shared" si="60"/>
        <v>87.568870523415981</v>
      </c>
      <c r="T474" t="str">
        <f t="shared" si="61"/>
        <v>OK</v>
      </c>
      <c r="U474" t="str">
        <f t="shared" si="62"/>
        <v>OK</v>
      </c>
      <c r="V474" t="str">
        <f t="shared" si="63"/>
        <v>OK</v>
      </c>
    </row>
    <row r="475" spans="1:22" x14ac:dyDescent="0.45">
      <c r="A475" t="str">
        <v>SO-50842</v>
      </c>
      <c r="B475" t="str">
        <v>PL-SUR</v>
      </c>
      <c r="C475" t="str">
        <v>CD-CAN</v>
      </c>
      <c r="D475" t="str">
        <v>PRO-1000</v>
      </c>
      <c r="E475">
        <v>1541</v>
      </c>
      <c r="F475" s="1">
        <v>46176</v>
      </c>
      <c r="G475" t="str">
        <v>In Transit</v>
      </c>
      <c r="H475" t="str">
        <v>OK</v>
      </c>
      <c r="I475">
        <v>12.51</v>
      </c>
      <c r="J475">
        <v>73</v>
      </c>
      <c r="K475">
        <v>75</v>
      </c>
      <c r="L475" t="str">
        <v>OK</v>
      </c>
      <c r="M475">
        <v>1</v>
      </c>
      <c r="O475">
        <f t="shared" si="56"/>
        <v>21.109589041095891</v>
      </c>
      <c r="P475">
        <f t="shared" si="57"/>
        <v>80.324624999999997</v>
      </c>
      <c r="Q475">
        <f t="shared" si="58"/>
        <v>63.968451639684517</v>
      </c>
      <c r="R475">
        <f t="shared" si="59"/>
        <v>1</v>
      </c>
      <c r="S475">
        <f t="shared" si="60"/>
        <v>80.324624999999997</v>
      </c>
      <c r="T475" t="str">
        <f t="shared" si="61"/>
        <v>OK</v>
      </c>
      <c r="U475" t="str">
        <f t="shared" si="62"/>
        <v>OK</v>
      </c>
      <c r="V475" t="str">
        <f t="shared" si="63"/>
        <v>OK</v>
      </c>
    </row>
    <row r="476" spans="1:22" x14ac:dyDescent="0.45">
      <c r="A476" t="str">
        <v>SO-50520</v>
      </c>
      <c r="B476" t="str">
        <v>PL-NTE</v>
      </c>
      <c r="C476" t="str">
        <v>CD-TIJ</v>
      </c>
      <c r="D476" t="str">
        <v>PRO-1000</v>
      </c>
      <c r="E476">
        <v>1066</v>
      </c>
      <c r="F476" s="1">
        <v>46173</v>
      </c>
      <c r="G476" t="str">
        <v>In Transit</v>
      </c>
      <c r="H476" t="str">
        <v>OK</v>
      </c>
      <c r="I476">
        <v>12.51</v>
      </c>
      <c r="J476">
        <v>73</v>
      </c>
      <c r="K476">
        <v>75</v>
      </c>
      <c r="L476" t="str">
        <v>OK</v>
      </c>
      <c r="M476">
        <v>4</v>
      </c>
      <c r="O476">
        <f t="shared" si="56"/>
        <v>14.602739726027398</v>
      </c>
      <c r="P476">
        <f t="shared" si="57"/>
        <v>55.565249999999999</v>
      </c>
      <c r="Q476">
        <f t="shared" si="58"/>
        <v>44.250726442507265</v>
      </c>
      <c r="R476">
        <f t="shared" si="59"/>
        <v>1</v>
      </c>
      <c r="S476">
        <f t="shared" si="60"/>
        <v>55.565249999999999</v>
      </c>
      <c r="T476" t="str">
        <f t="shared" si="61"/>
        <v>CARGA INEFICIENTE</v>
      </c>
      <c r="U476" t="str">
        <f t="shared" si="62"/>
        <v>OK</v>
      </c>
      <c r="V476" t="str">
        <f t="shared" si="63"/>
        <v>OK</v>
      </c>
    </row>
    <row r="477" spans="1:22" x14ac:dyDescent="0.45">
      <c r="A477" t="str">
        <v>SO-50488</v>
      </c>
      <c r="B477" t="str">
        <v>PL-SUR</v>
      </c>
      <c r="C477" t="str">
        <v>CD-CAN</v>
      </c>
      <c r="D477" t="str">
        <v>BOT-1014</v>
      </c>
      <c r="E477">
        <v>1350</v>
      </c>
      <c r="F477" s="1">
        <v>46172</v>
      </c>
      <c r="G477" t="str">
        <v>In Transit</v>
      </c>
      <c r="H477" t="str">
        <v>OK</v>
      </c>
      <c r="I477">
        <v>3.92</v>
      </c>
      <c r="J477">
        <v>49</v>
      </c>
      <c r="K477">
        <v>98</v>
      </c>
      <c r="L477" t="str">
        <v>OK</v>
      </c>
      <c r="M477">
        <v>5</v>
      </c>
      <c r="O477">
        <f t="shared" si="56"/>
        <v>27.551020408163264</v>
      </c>
      <c r="P477">
        <f t="shared" si="57"/>
        <v>22.05</v>
      </c>
      <c r="Q477">
        <f t="shared" si="58"/>
        <v>83.48794063079778</v>
      </c>
      <c r="R477">
        <f t="shared" si="59"/>
        <v>1</v>
      </c>
      <c r="S477">
        <f t="shared" si="60"/>
        <v>83.48794063079778</v>
      </c>
      <c r="T477" t="str">
        <f t="shared" si="61"/>
        <v>OK</v>
      </c>
      <c r="U477" t="str">
        <f t="shared" si="62"/>
        <v>OK</v>
      </c>
      <c r="V477" t="str">
        <f t="shared" si="63"/>
        <v>OK</v>
      </c>
    </row>
    <row r="478" spans="1:22" x14ac:dyDescent="0.45">
      <c r="A478" t="str">
        <v>SO-50329</v>
      </c>
      <c r="B478" t="str">
        <v>PL-NTE</v>
      </c>
      <c r="C478" t="str">
        <v>CD-HER</v>
      </c>
      <c r="D478" t="str">
        <v>BOT-1003</v>
      </c>
      <c r="E478">
        <v>1534</v>
      </c>
      <c r="F478" s="1">
        <v>46176</v>
      </c>
      <c r="G478" t="str">
        <v>In Transit</v>
      </c>
      <c r="H478" t="str">
        <v>OK</v>
      </c>
      <c r="I478">
        <v>5.92</v>
      </c>
      <c r="J478">
        <v>57</v>
      </c>
      <c r="K478">
        <v>92</v>
      </c>
      <c r="L478" t="str">
        <v>OK</v>
      </c>
      <c r="M478">
        <v>1</v>
      </c>
      <c r="O478">
        <f t="shared" si="56"/>
        <v>26.912280701754387</v>
      </c>
      <c r="P478">
        <f t="shared" si="57"/>
        <v>37.838666666666668</v>
      </c>
      <c r="Q478">
        <f t="shared" si="58"/>
        <v>81.552365762892094</v>
      </c>
      <c r="R478">
        <f t="shared" si="59"/>
        <v>1</v>
      </c>
      <c r="S478">
        <f t="shared" si="60"/>
        <v>81.552365762892094</v>
      </c>
      <c r="T478" t="str">
        <f t="shared" si="61"/>
        <v>OK</v>
      </c>
      <c r="U478" t="str">
        <f t="shared" si="62"/>
        <v>OK</v>
      </c>
      <c r="V478" t="str">
        <f t="shared" si="63"/>
        <v>OK</v>
      </c>
    </row>
    <row r="479" spans="1:22" x14ac:dyDescent="0.45">
      <c r="A479" t="str">
        <v>SO-50466</v>
      </c>
      <c r="B479" t="str">
        <v>PL-NTE</v>
      </c>
      <c r="C479" t="str">
        <v>CD-CHI</v>
      </c>
      <c r="D479" t="str">
        <v>BEB-1000</v>
      </c>
      <c r="E479">
        <v>436</v>
      </c>
      <c r="F479" s="1">
        <v>46174</v>
      </c>
      <c r="G479" t="str">
        <v>In Transit</v>
      </c>
      <c r="H479" t="str">
        <v>OK</v>
      </c>
      <c r="I479">
        <v>16.489999999999998</v>
      </c>
      <c r="J479">
        <v>102</v>
      </c>
      <c r="K479">
        <v>315</v>
      </c>
      <c r="L479" t="str">
        <v>OK</v>
      </c>
      <c r="M479">
        <v>3</v>
      </c>
      <c r="O479">
        <f t="shared" si="56"/>
        <v>4.2745098039215685</v>
      </c>
      <c r="P479">
        <f t="shared" si="57"/>
        <v>29.956833333333332</v>
      </c>
      <c r="Q479">
        <f t="shared" si="58"/>
        <v>12.95306001188354</v>
      </c>
      <c r="R479">
        <f t="shared" si="59"/>
        <v>1</v>
      </c>
      <c r="S479">
        <f t="shared" si="60"/>
        <v>29.956833333333332</v>
      </c>
      <c r="T479" t="str">
        <f t="shared" si="61"/>
        <v>CARGA INEFICIENTE</v>
      </c>
      <c r="U479" t="str">
        <f t="shared" si="62"/>
        <v>OK</v>
      </c>
      <c r="V479" t="str">
        <f t="shared" si="63"/>
        <v>OK</v>
      </c>
    </row>
    <row r="480" spans="1:22" x14ac:dyDescent="0.45">
      <c r="A480" t="str">
        <v>SO-50489</v>
      </c>
      <c r="B480" t="str">
        <v>PL-CEN</v>
      </c>
      <c r="C480" t="str">
        <v>CD-QRO</v>
      </c>
      <c r="D480" t="str">
        <v>BEB-1015</v>
      </c>
      <c r="E480">
        <v>1086</v>
      </c>
      <c r="F480" s="1">
        <v>46176</v>
      </c>
      <c r="G480" t="str">
        <v>In Transit</v>
      </c>
      <c r="H480" t="str">
        <v>OK</v>
      </c>
      <c r="I480">
        <v>19.95</v>
      </c>
      <c r="J480">
        <v>78</v>
      </c>
      <c r="K480">
        <v>276</v>
      </c>
      <c r="L480" t="str">
        <v>OK</v>
      </c>
      <c r="M480">
        <v>1</v>
      </c>
      <c r="O480">
        <f t="shared" si="56"/>
        <v>13.923076923076923</v>
      </c>
      <c r="P480">
        <f t="shared" si="57"/>
        <v>90.273750000000007</v>
      </c>
      <c r="Q480">
        <f t="shared" si="58"/>
        <v>42.191142191142191</v>
      </c>
      <c r="R480">
        <f t="shared" si="59"/>
        <v>1</v>
      </c>
      <c r="S480">
        <f t="shared" si="60"/>
        <v>90.273750000000007</v>
      </c>
      <c r="T480" t="str">
        <f t="shared" si="61"/>
        <v>OK</v>
      </c>
      <c r="U480" t="str">
        <f t="shared" si="62"/>
        <v>OK</v>
      </c>
      <c r="V480" t="str">
        <f t="shared" si="63"/>
        <v>OK</v>
      </c>
    </row>
    <row r="481" spans="1:22" x14ac:dyDescent="0.45">
      <c r="A481" t="str">
        <v>SO-50031</v>
      </c>
      <c r="B481" t="str">
        <v>PL-SUR</v>
      </c>
      <c r="C481" t="str">
        <v>CD-LEO</v>
      </c>
      <c r="D481" t="str">
        <v>LAC-1006</v>
      </c>
      <c r="E481">
        <v>910</v>
      </c>
      <c r="F481" s="1">
        <v>46176</v>
      </c>
      <c r="G481" t="str">
        <v>In Transit</v>
      </c>
      <c r="H481" t="str">
        <v>OK</v>
      </c>
      <c r="I481">
        <v>10.029999999999999</v>
      </c>
      <c r="J481">
        <v>126</v>
      </c>
      <c r="K481">
        <v>17</v>
      </c>
      <c r="L481" t="str">
        <v>OK</v>
      </c>
      <c r="M481">
        <v>1</v>
      </c>
      <c r="O481">
        <f t="shared" si="56"/>
        <v>7.2222222222222223</v>
      </c>
      <c r="P481">
        <f t="shared" si="57"/>
        <v>38.03041666666666</v>
      </c>
      <c r="Q481">
        <f t="shared" si="58"/>
        <v>21.885521885521886</v>
      </c>
      <c r="R481">
        <f t="shared" si="59"/>
        <v>1</v>
      </c>
      <c r="S481">
        <f t="shared" si="60"/>
        <v>38.03041666666666</v>
      </c>
      <c r="T481" t="str">
        <f t="shared" si="61"/>
        <v>CARGA INEFICIENTE</v>
      </c>
      <c r="U481" t="str">
        <f t="shared" si="62"/>
        <v>OK</v>
      </c>
      <c r="V481" t="str">
        <f t="shared" si="63"/>
        <v>OK</v>
      </c>
    </row>
    <row r="482" spans="1:22" x14ac:dyDescent="0.45">
      <c r="A482" t="str">
        <v>SO-50151</v>
      </c>
      <c r="B482" t="str">
        <v>PL-NTE</v>
      </c>
      <c r="C482" t="str">
        <v>CD-CHI</v>
      </c>
      <c r="D482" t="str">
        <v>BOT-1008</v>
      </c>
      <c r="E482">
        <v>1868</v>
      </c>
      <c r="F482" s="1">
        <v>46174</v>
      </c>
      <c r="G482" t="str">
        <v>In Transit</v>
      </c>
      <c r="H482" t="str">
        <v>OK</v>
      </c>
      <c r="I482">
        <v>3.48</v>
      </c>
      <c r="J482">
        <v>66</v>
      </c>
      <c r="K482">
        <v>112</v>
      </c>
      <c r="L482" t="str">
        <v>OK</v>
      </c>
      <c r="M482">
        <v>3</v>
      </c>
      <c r="O482">
        <f t="shared" si="56"/>
        <v>28.303030303030305</v>
      </c>
      <c r="P482">
        <f t="shared" si="57"/>
        <v>27.085999999999999</v>
      </c>
      <c r="Q482">
        <f t="shared" si="58"/>
        <v>85.766758494031222</v>
      </c>
      <c r="R482">
        <f t="shared" si="59"/>
        <v>1</v>
      </c>
      <c r="S482">
        <f t="shared" si="60"/>
        <v>85.766758494031222</v>
      </c>
      <c r="T482" t="str">
        <f t="shared" si="61"/>
        <v>OK</v>
      </c>
      <c r="U482" t="str">
        <f t="shared" si="62"/>
        <v>OK</v>
      </c>
      <c r="V482" t="str">
        <f t="shared" si="63"/>
        <v>OK</v>
      </c>
    </row>
    <row r="483" spans="1:22" x14ac:dyDescent="0.45">
      <c r="A483" t="str">
        <v>SO-51055</v>
      </c>
      <c r="B483" t="str">
        <v>PL-NTE</v>
      </c>
      <c r="C483" t="str">
        <v>CD-SAL</v>
      </c>
      <c r="D483" t="str">
        <v>ABA-1003</v>
      </c>
      <c r="E483">
        <v>863</v>
      </c>
      <c r="F483" s="1">
        <v>46175</v>
      </c>
      <c r="G483" t="str">
        <v>In Transit</v>
      </c>
      <c r="H483" t="str">
        <v>OK</v>
      </c>
      <c r="I483">
        <v>8.67</v>
      </c>
      <c r="J483">
        <v>124</v>
      </c>
      <c r="K483">
        <v>512</v>
      </c>
      <c r="L483" t="str">
        <v>OK</v>
      </c>
      <c r="M483">
        <v>2</v>
      </c>
      <c r="O483">
        <f t="shared" si="56"/>
        <v>6.959677419354839</v>
      </c>
      <c r="P483">
        <f t="shared" si="57"/>
        <v>31.175875000000001</v>
      </c>
      <c r="Q483">
        <f t="shared" si="58"/>
        <v>21.089931573802541</v>
      </c>
      <c r="R483">
        <f t="shared" si="59"/>
        <v>1</v>
      </c>
      <c r="S483">
        <f t="shared" si="60"/>
        <v>31.175875000000001</v>
      </c>
      <c r="T483" t="str">
        <f t="shared" si="61"/>
        <v>CARGA INEFICIENTE</v>
      </c>
      <c r="U483" t="str">
        <f t="shared" si="62"/>
        <v>OK</v>
      </c>
      <c r="V483" t="str">
        <f t="shared" si="63"/>
        <v>OK</v>
      </c>
    </row>
    <row r="484" spans="1:22" x14ac:dyDescent="0.45">
      <c r="A484" t="str">
        <v>SO-50841</v>
      </c>
      <c r="B484" t="str">
        <v>PL-NTE</v>
      </c>
      <c r="C484" t="str">
        <v>CD-MTY</v>
      </c>
      <c r="D484" t="str">
        <v>ABA-1013</v>
      </c>
      <c r="E484">
        <v>1661</v>
      </c>
      <c r="F484" s="1">
        <v>46176</v>
      </c>
      <c r="G484" t="str">
        <v>In Transit</v>
      </c>
      <c r="H484" t="str">
        <v>OK</v>
      </c>
      <c r="I484">
        <v>12.02</v>
      </c>
      <c r="J484">
        <v>75</v>
      </c>
      <c r="K484">
        <v>402</v>
      </c>
      <c r="L484" t="str">
        <v>OK</v>
      </c>
      <c r="M484">
        <v>1</v>
      </c>
      <c r="O484">
        <f t="shared" si="56"/>
        <v>22.146666666666668</v>
      </c>
      <c r="P484">
        <f t="shared" si="57"/>
        <v>83.188416666666654</v>
      </c>
      <c r="Q484">
        <f t="shared" si="58"/>
        <v>67.111111111111114</v>
      </c>
      <c r="R484">
        <f t="shared" si="59"/>
        <v>1</v>
      </c>
      <c r="S484">
        <f t="shared" si="60"/>
        <v>83.188416666666654</v>
      </c>
      <c r="T484" t="str">
        <f t="shared" si="61"/>
        <v>OK</v>
      </c>
      <c r="U484" t="str">
        <f t="shared" si="62"/>
        <v>OK</v>
      </c>
      <c r="V484" t="str">
        <f t="shared" si="63"/>
        <v>OK</v>
      </c>
    </row>
    <row r="485" spans="1:22" x14ac:dyDescent="0.45">
      <c r="A485" t="str">
        <v>SO-50455</v>
      </c>
      <c r="B485" t="str">
        <v>PL-NTE</v>
      </c>
      <c r="C485" t="str">
        <v>CD-TIJ</v>
      </c>
      <c r="D485" t="str">
        <v>ABA-1011</v>
      </c>
      <c r="E485">
        <v>2035</v>
      </c>
      <c r="F485" s="1">
        <v>46174</v>
      </c>
      <c r="G485" t="str">
        <v>In Transit</v>
      </c>
      <c r="H485" t="str">
        <v>OK</v>
      </c>
      <c r="I485">
        <v>9.9499999999999993</v>
      </c>
      <c r="J485">
        <v>106</v>
      </c>
      <c r="K485">
        <v>376</v>
      </c>
      <c r="L485" t="str">
        <v>OK</v>
      </c>
      <c r="M485">
        <v>3</v>
      </c>
      <c r="O485">
        <f t="shared" si="56"/>
        <v>19.19811320754717</v>
      </c>
      <c r="P485">
        <f t="shared" si="57"/>
        <v>84.36770833333334</v>
      </c>
      <c r="Q485">
        <f t="shared" si="58"/>
        <v>58.176100628930818</v>
      </c>
      <c r="R485">
        <f t="shared" si="59"/>
        <v>1</v>
      </c>
      <c r="S485">
        <f t="shared" si="60"/>
        <v>84.36770833333334</v>
      </c>
      <c r="T485" t="str">
        <f t="shared" si="61"/>
        <v>OK</v>
      </c>
      <c r="U485" t="str">
        <f t="shared" si="62"/>
        <v>OK</v>
      </c>
      <c r="V485" t="str">
        <f t="shared" si="63"/>
        <v>OK</v>
      </c>
    </row>
    <row r="486" spans="1:22" x14ac:dyDescent="0.45">
      <c r="A486" t="str">
        <v>SO-50435</v>
      </c>
      <c r="B486" t="str">
        <v>PL-SUR</v>
      </c>
      <c r="C486" t="str">
        <v>CD-MER</v>
      </c>
      <c r="D486" t="str">
        <v>BEB-1001</v>
      </c>
      <c r="E486">
        <v>1173</v>
      </c>
      <c r="F486" s="1">
        <v>46174</v>
      </c>
      <c r="G486" t="str">
        <v>In Transit</v>
      </c>
      <c r="H486" t="str">
        <v>OK</v>
      </c>
      <c r="I486">
        <v>19.18</v>
      </c>
      <c r="J486">
        <v>95</v>
      </c>
      <c r="K486">
        <v>208</v>
      </c>
      <c r="L486" t="str">
        <v>OK</v>
      </c>
      <c r="M486">
        <v>3</v>
      </c>
      <c r="O486">
        <f t="shared" si="56"/>
        <v>12.347368421052632</v>
      </c>
      <c r="P486">
        <f t="shared" si="57"/>
        <v>93.742249999999999</v>
      </c>
      <c r="Q486">
        <f t="shared" si="58"/>
        <v>37.416267942583737</v>
      </c>
      <c r="R486">
        <f t="shared" si="59"/>
        <v>1</v>
      </c>
      <c r="S486">
        <f t="shared" si="60"/>
        <v>93.742249999999999</v>
      </c>
      <c r="T486" t="str">
        <f t="shared" si="61"/>
        <v>OK</v>
      </c>
      <c r="U486" t="str">
        <f t="shared" si="62"/>
        <v>OK</v>
      </c>
      <c r="V486" t="str">
        <f t="shared" si="63"/>
        <v>OK</v>
      </c>
    </row>
    <row r="487" spans="1:22" x14ac:dyDescent="0.45">
      <c r="A487" t="str">
        <v>SO-50515</v>
      </c>
      <c r="B487" t="str">
        <v>PL-CEN</v>
      </c>
      <c r="C487" t="str">
        <v>CD-CDMX</v>
      </c>
      <c r="D487" t="str">
        <v>BOT-1019</v>
      </c>
      <c r="E487">
        <v>754</v>
      </c>
      <c r="F487" s="1">
        <v>46176</v>
      </c>
      <c r="G487" t="str">
        <v>In Transit</v>
      </c>
      <c r="H487" t="str">
        <v>OK</v>
      </c>
      <c r="I487">
        <v>3.44</v>
      </c>
      <c r="J487">
        <v>85</v>
      </c>
      <c r="K487">
        <v>102</v>
      </c>
      <c r="L487" t="str">
        <v>OK</v>
      </c>
      <c r="M487">
        <v>1</v>
      </c>
      <c r="O487">
        <f t="shared" si="56"/>
        <v>8.8705882352941181</v>
      </c>
      <c r="P487">
        <f t="shared" si="57"/>
        <v>10.807333333333332</v>
      </c>
      <c r="Q487">
        <f t="shared" si="58"/>
        <v>26.880570409982173</v>
      </c>
      <c r="R487">
        <f t="shared" si="59"/>
        <v>1</v>
      </c>
      <c r="S487">
        <f t="shared" si="60"/>
        <v>26.880570409982173</v>
      </c>
      <c r="T487" t="str">
        <f t="shared" si="61"/>
        <v>CARGA INEFICIENTE</v>
      </c>
      <c r="U487" t="str">
        <f t="shared" si="62"/>
        <v>OK</v>
      </c>
      <c r="V487" t="str">
        <f t="shared" si="63"/>
        <v>OK</v>
      </c>
    </row>
    <row r="488" spans="1:22" x14ac:dyDescent="0.45">
      <c r="A488" t="str">
        <v>SO-50909</v>
      </c>
      <c r="B488" t="str">
        <v>PL-NTE</v>
      </c>
      <c r="C488" t="str">
        <v>CD-SAL</v>
      </c>
      <c r="D488" t="str">
        <v>LAC-1009</v>
      </c>
      <c r="E488">
        <v>1842</v>
      </c>
      <c r="F488" s="1">
        <v>46175</v>
      </c>
      <c r="G488" t="str">
        <v>In Transit</v>
      </c>
      <c r="H488" t="str">
        <v>OK</v>
      </c>
      <c r="I488">
        <v>11.01</v>
      </c>
      <c r="J488">
        <v>98</v>
      </c>
      <c r="K488">
        <v>16</v>
      </c>
      <c r="L488" t="str">
        <v>OK</v>
      </c>
      <c r="M488">
        <v>2</v>
      </c>
      <c r="O488">
        <f t="shared" si="56"/>
        <v>18.795918367346939</v>
      </c>
      <c r="P488">
        <f t="shared" si="57"/>
        <v>84.501750000000001</v>
      </c>
      <c r="Q488">
        <f t="shared" si="58"/>
        <v>56.957328385899821</v>
      </c>
      <c r="R488">
        <f t="shared" si="59"/>
        <v>1</v>
      </c>
      <c r="S488">
        <f t="shared" si="60"/>
        <v>84.501750000000001</v>
      </c>
      <c r="T488" t="str">
        <f t="shared" si="61"/>
        <v>OK</v>
      </c>
      <c r="U488" t="str">
        <f t="shared" si="62"/>
        <v>OK</v>
      </c>
      <c r="V488" t="str">
        <f t="shared" si="63"/>
        <v>OK</v>
      </c>
    </row>
    <row r="489" spans="1:22" x14ac:dyDescent="0.45">
      <c r="A489" t="str">
        <v>SO-50930</v>
      </c>
      <c r="B489" t="str">
        <v>PL-SUR</v>
      </c>
      <c r="C489" t="str">
        <v>CD-GDL</v>
      </c>
      <c r="D489" t="str">
        <v>BEB-1009</v>
      </c>
      <c r="E489">
        <v>1214</v>
      </c>
      <c r="F489" s="1">
        <v>46176</v>
      </c>
      <c r="G489" t="str">
        <v>In Transit</v>
      </c>
      <c r="H489" t="str">
        <v>OK</v>
      </c>
      <c r="I489">
        <v>18.170000000000002</v>
      </c>
      <c r="J489">
        <v>61</v>
      </c>
      <c r="K489">
        <v>188</v>
      </c>
      <c r="L489" t="str">
        <v>OK</v>
      </c>
      <c r="M489">
        <v>1</v>
      </c>
      <c r="O489">
        <f t="shared" si="56"/>
        <v>19.901639344262296</v>
      </c>
      <c r="P489">
        <f t="shared" si="57"/>
        <v>91.909916666666675</v>
      </c>
      <c r="Q489">
        <f t="shared" si="58"/>
        <v>60.307998012916052</v>
      </c>
      <c r="R489">
        <f t="shared" si="59"/>
        <v>1</v>
      </c>
      <c r="S489">
        <f t="shared" si="60"/>
        <v>91.909916666666675</v>
      </c>
      <c r="T489" t="str">
        <f t="shared" si="61"/>
        <v>OK</v>
      </c>
      <c r="U489" t="str">
        <f t="shared" si="62"/>
        <v>OK</v>
      </c>
      <c r="V489" t="str">
        <f t="shared" si="63"/>
        <v>OK</v>
      </c>
    </row>
    <row r="490" spans="1:22" x14ac:dyDescent="0.45">
      <c r="A490" t="str">
        <v>SO-50555</v>
      </c>
      <c r="B490" t="str">
        <v>PL-CEN</v>
      </c>
      <c r="C490" t="str">
        <v>CD-QRO</v>
      </c>
      <c r="D490" t="str">
        <v>ABA-1006</v>
      </c>
      <c r="E490">
        <v>554</v>
      </c>
      <c r="F490" s="1">
        <v>46176</v>
      </c>
      <c r="G490" t="str">
        <v>In Transit</v>
      </c>
      <c r="H490" t="str">
        <v>OK</v>
      </c>
      <c r="I490">
        <v>12.39</v>
      </c>
      <c r="J490">
        <v>134</v>
      </c>
      <c r="K490">
        <v>446</v>
      </c>
      <c r="L490" t="str">
        <v>OK</v>
      </c>
      <c r="M490">
        <v>1</v>
      </c>
      <c r="O490">
        <f t="shared" si="56"/>
        <v>4.1343283582089549</v>
      </c>
      <c r="P490">
        <f t="shared" si="57"/>
        <v>28.600249999999999</v>
      </c>
      <c r="Q490">
        <f t="shared" si="58"/>
        <v>12.528267752148349</v>
      </c>
      <c r="R490">
        <f t="shared" si="59"/>
        <v>1</v>
      </c>
      <c r="S490">
        <f t="shared" si="60"/>
        <v>28.600249999999999</v>
      </c>
      <c r="T490" t="str">
        <f t="shared" si="61"/>
        <v>CARGA INEFICIENTE</v>
      </c>
      <c r="U490" t="str">
        <f t="shared" si="62"/>
        <v>OK</v>
      </c>
      <c r="V490" t="str">
        <f t="shared" si="63"/>
        <v>OK</v>
      </c>
    </row>
    <row r="491" spans="1:22" x14ac:dyDescent="0.45">
      <c r="A491" t="str">
        <v>SO-50686</v>
      </c>
      <c r="B491" t="str">
        <v>PL-SUR</v>
      </c>
      <c r="C491" t="str">
        <v>CD-LEO</v>
      </c>
      <c r="D491" t="str">
        <v>BOT-1015</v>
      </c>
      <c r="E491">
        <v>1979</v>
      </c>
      <c r="F491" s="1">
        <v>46176</v>
      </c>
      <c r="G491" t="str">
        <v>In Transit</v>
      </c>
      <c r="H491" t="str">
        <v>OK</v>
      </c>
      <c r="I491">
        <v>3.64</v>
      </c>
      <c r="J491">
        <v>62</v>
      </c>
      <c r="K491">
        <v>114</v>
      </c>
      <c r="L491" t="str">
        <v>OK</v>
      </c>
      <c r="M491">
        <v>1</v>
      </c>
      <c r="O491">
        <f t="shared" si="56"/>
        <v>31.919354838709676</v>
      </c>
      <c r="P491">
        <f t="shared" si="57"/>
        <v>30.014833333333335</v>
      </c>
      <c r="Q491">
        <f t="shared" si="58"/>
        <v>96.725317693059623</v>
      </c>
      <c r="R491">
        <f t="shared" si="59"/>
        <v>1</v>
      </c>
      <c r="S491">
        <f t="shared" si="60"/>
        <v>96.725317693059623</v>
      </c>
      <c r="T491" t="str">
        <f t="shared" si="61"/>
        <v>OK</v>
      </c>
      <c r="U491" t="str">
        <f t="shared" si="62"/>
        <v>OK</v>
      </c>
      <c r="V491" t="str">
        <f t="shared" si="63"/>
        <v>OK</v>
      </c>
    </row>
    <row r="492" spans="1:22" x14ac:dyDescent="0.45">
      <c r="A492" t="str">
        <v>SO-50194</v>
      </c>
      <c r="B492" t="str">
        <v>PL-SUR</v>
      </c>
      <c r="C492" t="str">
        <v>CD-GDL</v>
      </c>
      <c r="D492" t="str">
        <v>BOT-1003</v>
      </c>
      <c r="E492">
        <v>1739</v>
      </c>
      <c r="F492" s="1">
        <v>46176</v>
      </c>
      <c r="G492" t="str">
        <v>In Transit</v>
      </c>
      <c r="H492" t="str">
        <v>OK</v>
      </c>
      <c r="I492">
        <v>5.92</v>
      </c>
      <c r="J492">
        <v>57</v>
      </c>
      <c r="K492">
        <v>92</v>
      </c>
      <c r="L492" t="str">
        <v>OK</v>
      </c>
      <c r="M492">
        <v>1</v>
      </c>
      <c r="O492">
        <f t="shared" si="56"/>
        <v>30.508771929824562</v>
      </c>
      <c r="P492">
        <f t="shared" si="57"/>
        <v>42.895333333333326</v>
      </c>
      <c r="Q492">
        <f t="shared" si="58"/>
        <v>92.450824029771397</v>
      </c>
      <c r="R492">
        <f t="shared" si="59"/>
        <v>1</v>
      </c>
      <c r="S492">
        <f t="shared" si="60"/>
        <v>92.450824029771397</v>
      </c>
      <c r="T492" t="str">
        <f t="shared" si="61"/>
        <v>OK</v>
      </c>
      <c r="U492" t="str">
        <f t="shared" si="62"/>
        <v>OK</v>
      </c>
      <c r="V492" t="str">
        <f t="shared" si="63"/>
        <v>OK</v>
      </c>
    </row>
    <row r="493" spans="1:22" x14ac:dyDescent="0.45">
      <c r="A493" t="str">
        <v>SO-50782</v>
      </c>
      <c r="B493" t="str">
        <v>PL-NTE</v>
      </c>
      <c r="C493" t="str">
        <v>CD-SAL</v>
      </c>
      <c r="D493" t="str">
        <v>LAC-1016</v>
      </c>
      <c r="E493">
        <v>1976</v>
      </c>
      <c r="F493" s="1">
        <v>46175</v>
      </c>
      <c r="G493" t="str">
        <v>In Transit</v>
      </c>
      <c r="H493" t="str">
        <v>OK</v>
      </c>
      <c r="I493">
        <v>10.9</v>
      </c>
      <c r="J493">
        <v>131</v>
      </c>
      <c r="K493">
        <v>22</v>
      </c>
      <c r="L493" t="str">
        <v>OK</v>
      </c>
      <c r="M493">
        <v>2</v>
      </c>
      <c r="O493">
        <f t="shared" si="56"/>
        <v>15.083969465648854</v>
      </c>
      <c r="P493">
        <f t="shared" si="57"/>
        <v>89.743333333333339</v>
      </c>
      <c r="Q493">
        <f t="shared" si="58"/>
        <v>45.70899838075411</v>
      </c>
      <c r="R493">
        <f t="shared" si="59"/>
        <v>1</v>
      </c>
      <c r="S493">
        <f t="shared" si="60"/>
        <v>89.743333333333339</v>
      </c>
      <c r="T493" t="str">
        <f t="shared" si="61"/>
        <v>OK</v>
      </c>
      <c r="U493" t="str">
        <f t="shared" si="62"/>
        <v>OK</v>
      </c>
      <c r="V493" t="str">
        <f t="shared" si="63"/>
        <v>OK</v>
      </c>
    </row>
    <row r="494" spans="1:22" x14ac:dyDescent="0.45">
      <c r="A494" t="str">
        <v>SO-50911</v>
      </c>
      <c r="B494" t="str">
        <v>PL-NTE</v>
      </c>
      <c r="C494" t="str">
        <v>CD-HER</v>
      </c>
      <c r="D494" t="str">
        <v>LAC-1009</v>
      </c>
      <c r="E494">
        <v>1901</v>
      </c>
      <c r="F494" s="1">
        <v>46173</v>
      </c>
      <c r="G494" t="str">
        <v>In Transit</v>
      </c>
      <c r="H494" t="str">
        <v>OK</v>
      </c>
      <c r="I494">
        <v>11.01</v>
      </c>
      <c r="J494">
        <v>98</v>
      </c>
      <c r="K494">
        <v>16</v>
      </c>
      <c r="L494" t="str">
        <v>OK</v>
      </c>
      <c r="M494">
        <v>4</v>
      </c>
      <c r="O494">
        <f t="shared" si="56"/>
        <v>19.397959183673468</v>
      </c>
      <c r="P494">
        <f t="shared" si="57"/>
        <v>87.20837499999999</v>
      </c>
      <c r="Q494">
        <f t="shared" si="58"/>
        <v>58.781694495980204</v>
      </c>
      <c r="R494">
        <f t="shared" si="59"/>
        <v>1</v>
      </c>
      <c r="S494">
        <f t="shared" si="60"/>
        <v>87.20837499999999</v>
      </c>
      <c r="T494" t="str">
        <f t="shared" si="61"/>
        <v>OK</v>
      </c>
      <c r="U494" t="str">
        <f t="shared" si="62"/>
        <v>OK</v>
      </c>
      <c r="V494" t="str">
        <f t="shared" si="63"/>
        <v>OK</v>
      </c>
    </row>
    <row r="495" spans="1:22" x14ac:dyDescent="0.45">
      <c r="A495" t="str">
        <v>SO-50301</v>
      </c>
      <c r="B495" t="str">
        <v>PL-SUR</v>
      </c>
      <c r="C495" t="str">
        <v>CD-GDL</v>
      </c>
      <c r="D495" t="str">
        <v>PRO-1002</v>
      </c>
      <c r="E495">
        <v>2333</v>
      </c>
      <c r="F495" s="1">
        <v>46176</v>
      </c>
      <c r="G495" t="str">
        <v>In Transit</v>
      </c>
      <c r="H495" t="str">
        <v>OK</v>
      </c>
      <c r="I495">
        <v>9.6999999999999993</v>
      </c>
      <c r="J495">
        <v>98</v>
      </c>
      <c r="K495">
        <v>115</v>
      </c>
      <c r="L495" t="str">
        <v>OK</v>
      </c>
      <c r="M495">
        <v>1</v>
      </c>
      <c r="O495">
        <f t="shared" si="56"/>
        <v>23.806122448979593</v>
      </c>
      <c r="P495">
        <f t="shared" si="57"/>
        <v>94.292083333333338</v>
      </c>
      <c r="Q495">
        <f t="shared" si="58"/>
        <v>72.139764996907857</v>
      </c>
      <c r="R495">
        <f t="shared" si="59"/>
        <v>1</v>
      </c>
      <c r="S495">
        <f t="shared" si="60"/>
        <v>94.292083333333338</v>
      </c>
      <c r="T495" t="str">
        <f t="shared" si="61"/>
        <v>OK</v>
      </c>
      <c r="U495" t="str">
        <f t="shared" si="62"/>
        <v>OK</v>
      </c>
      <c r="V495" t="str">
        <f t="shared" si="63"/>
        <v>OK</v>
      </c>
    </row>
    <row r="496" spans="1:22" x14ac:dyDescent="0.45">
      <c r="A496" t="str">
        <v>SO-50741</v>
      </c>
      <c r="B496" t="str">
        <v>PL-NTE</v>
      </c>
      <c r="C496" t="str">
        <v>CD-SAL</v>
      </c>
      <c r="D496" t="str">
        <v>PRO-1000</v>
      </c>
      <c r="E496">
        <v>1765</v>
      </c>
      <c r="F496" s="1">
        <v>46176</v>
      </c>
      <c r="G496" t="str">
        <v>In Transit</v>
      </c>
      <c r="H496" t="str">
        <v>OK</v>
      </c>
      <c r="I496">
        <v>12.51</v>
      </c>
      <c r="J496">
        <v>73</v>
      </c>
      <c r="K496">
        <v>75</v>
      </c>
      <c r="L496" t="str">
        <v>OK</v>
      </c>
      <c r="M496">
        <v>1</v>
      </c>
      <c r="O496">
        <f t="shared" si="56"/>
        <v>24.17808219178082</v>
      </c>
      <c r="P496">
        <f t="shared" si="57"/>
        <v>92.000624999999985</v>
      </c>
      <c r="Q496">
        <f t="shared" si="58"/>
        <v>73.266915732669162</v>
      </c>
      <c r="R496">
        <f t="shared" si="59"/>
        <v>1</v>
      </c>
      <c r="S496">
        <f t="shared" si="60"/>
        <v>92.000624999999985</v>
      </c>
      <c r="T496" t="str">
        <f t="shared" si="61"/>
        <v>OK</v>
      </c>
      <c r="U496" t="str">
        <f t="shared" si="62"/>
        <v>OK</v>
      </c>
      <c r="V496" t="str">
        <f t="shared" si="63"/>
        <v>OK</v>
      </c>
    </row>
    <row r="497" spans="1:22" x14ac:dyDescent="0.45">
      <c r="A497" t="str">
        <v>SO-51038</v>
      </c>
      <c r="B497" t="str">
        <v>PL-SUR</v>
      </c>
      <c r="C497" t="str">
        <v>CD-LEO</v>
      </c>
      <c r="D497" t="str">
        <v>LAC-1009</v>
      </c>
      <c r="E497">
        <v>1951</v>
      </c>
      <c r="F497" s="1">
        <v>46165</v>
      </c>
      <c r="G497" t="str">
        <v>In Transit</v>
      </c>
      <c r="H497" t="str">
        <v>OK</v>
      </c>
      <c r="I497">
        <v>11.01</v>
      </c>
      <c r="J497">
        <v>98</v>
      </c>
      <c r="K497">
        <v>16</v>
      </c>
      <c r="L497" t="str">
        <v>OK</v>
      </c>
      <c r="M497">
        <v>12</v>
      </c>
      <c r="O497">
        <f t="shared" si="56"/>
        <v>19.908163265306122</v>
      </c>
      <c r="P497">
        <f t="shared" si="57"/>
        <v>89.502124999999992</v>
      </c>
      <c r="Q497">
        <f t="shared" si="58"/>
        <v>60.327767470624615</v>
      </c>
      <c r="R497">
        <f t="shared" si="59"/>
        <v>1</v>
      </c>
      <c r="S497">
        <f t="shared" si="60"/>
        <v>89.502124999999992</v>
      </c>
      <c r="T497" t="str">
        <f t="shared" si="61"/>
        <v>OK</v>
      </c>
      <c r="U497" t="str">
        <f t="shared" si="62"/>
        <v>FEFO RIESGO</v>
      </c>
      <c r="V497" t="str">
        <f t="shared" si="63"/>
        <v>FANTASMA</v>
      </c>
    </row>
    <row r="498" spans="1:22" x14ac:dyDescent="0.45">
      <c r="A498" t="str">
        <v>SO-50993</v>
      </c>
      <c r="B498" t="str">
        <v>PL-NTE</v>
      </c>
      <c r="C498" t="str">
        <v>CD-SAL</v>
      </c>
      <c r="D498" t="str">
        <v>BOT-1017</v>
      </c>
      <c r="E498">
        <v>396</v>
      </c>
      <c r="F498" s="1">
        <v>46176</v>
      </c>
      <c r="G498" t="str">
        <v>Delivered</v>
      </c>
      <c r="H498" t="str">
        <v>OK</v>
      </c>
      <c r="I498">
        <v>3.75</v>
      </c>
      <c r="J498">
        <v>41</v>
      </c>
      <c r="K498">
        <v>106</v>
      </c>
      <c r="L498" t="str">
        <v>OK</v>
      </c>
      <c r="M498">
        <v>1</v>
      </c>
      <c r="O498">
        <f t="shared" si="56"/>
        <v>9.6585365853658534</v>
      </c>
      <c r="P498">
        <f t="shared" si="57"/>
        <v>6.1875</v>
      </c>
      <c r="Q498">
        <f t="shared" si="58"/>
        <v>29.268292682926827</v>
      </c>
      <c r="R498">
        <f t="shared" si="59"/>
        <v>1</v>
      </c>
      <c r="S498">
        <f t="shared" si="60"/>
        <v>29.268292682926827</v>
      </c>
      <c r="T498" t="str">
        <f t="shared" si="61"/>
        <v>CARGA INEFICIENTE</v>
      </c>
      <c r="U498" t="str">
        <f t="shared" si="62"/>
        <v>OK</v>
      </c>
      <c r="V498" t="str">
        <f t="shared" si="63"/>
        <v>OK</v>
      </c>
    </row>
    <row r="499" spans="1:22" x14ac:dyDescent="0.45">
      <c r="A499" t="str">
        <v>SO-50204</v>
      </c>
      <c r="B499" t="str">
        <v>PL-SUR</v>
      </c>
      <c r="C499" t="str">
        <v>CD-MOR</v>
      </c>
      <c r="D499" t="str">
        <v>BOT-1015</v>
      </c>
      <c r="E499">
        <v>1975</v>
      </c>
      <c r="F499" s="1">
        <v>46176</v>
      </c>
      <c r="G499" t="str">
        <v>Delivered</v>
      </c>
      <c r="H499" t="str">
        <v>OK</v>
      </c>
      <c r="I499">
        <v>3.64</v>
      </c>
      <c r="J499">
        <v>62</v>
      </c>
      <c r="K499">
        <v>114</v>
      </c>
      <c r="L499" t="str">
        <v>OK</v>
      </c>
      <c r="M499">
        <v>1</v>
      </c>
      <c r="O499">
        <f t="shared" si="56"/>
        <v>31.85483870967742</v>
      </c>
      <c r="P499">
        <f t="shared" si="57"/>
        <v>29.954166666666666</v>
      </c>
      <c r="Q499">
        <f t="shared" si="58"/>
        <v>96.529814271749757</v>
      </c>
      <c r="R499">
        <f t="shared" si="59"/>
        <v>1</v>
      </c>
      <c r="S499">
        <f t="shared" si="60"/>
        <v>96.529814271749757</v>
      </c>
      <c r="T499" t="str">
        <f t="shared" si="61"/>
        <v>OK</v>
      </c>
      <c r="U499" t="str">
        <f t="shared" si="62"/>
        <v>OK</v>
      </c>
      <c r="V499" t="str">
        <f t="shared" si="63"/>
        <v>OK</v>
      </c>
    </row>
    <row r="500" spans="1:22" x14ac:dyDescent="0.45">
      <c r="A500" t="str">
        <v>SO-50219</v>
      </c>
      <c r="B500" t="str">
        <v>PL-SUR</v>
      </c>
      <c r="C500" t="str">
        <v>CD-GDL</v>
      </c>
      <c r="D500" t="str">
        <v>BOT-1005</v>
      </c>
      <c r="E500">
        <v>1132</v>
      </c>
      <c r="F500" s="1">
        <v>46176</v>
      </c>
      <c r="G500" t="str">
        <v>In Transit</v>
      </c>
      <c r="H500" t="str">
        <v>OK</v>
      </c>
      <c r="I500">
        <v>5.49</v>
      </c>
      <c r="J500">
        <v>62</v>
      </c>
      <c r="K500">
        <v>91</v>
      </c>
      <c r="L500" t="str">
        <v>OK</v>
      </c>
      <c r="M500">
        <v>1</v>
      </c>
      <c r="O500">
        <f t="shared" si="56"/>
        <v>18.258064516129032</v>
      </c>
      <c r="P500">
        <f t="shared" si="57"/>
        <v>25.894500000000004</v>
      </c>
      <c r="Q500">
        <f t="shared" si="58"/>
        <v>55.327468230694031</v>
      </c>
      <c r="R500">
        <f t="shared" si="59"/>
        <v>1</v>
      </c>
      <c r="S500">
        <f t="shared" si="60"/>
        <v>55.327468230694031</v>
      </c>
      <c r="T500" t="str">
        <f t="shared" si="61"/>
        <v>CARGA INEFICIENTE</v>
      </c>
      <c r="U500" t="str">
        <f t="shared" si="62"/>
        <v>OK</v>
      </c>
      <c r="V500" t="str">
        <f t="shared" si="63"/>
        <v>OK</v>
      </c>
    </row>
    <row r="501" spans="1:22" x14ac:dyDescent="0.45">
      <c r="A501" t="str">
        <v>SO-50508</v>
      </c>
      <c r="B501" t="str">
        <v>PL-CEN</v>
      </c>
      <c r="C501" t="str">
        <v>CD-TOL</v>
      </c>
      <c r="D501" t="str">
        <v>ABA-1019</v>
      </c>
      <c r="E501">
        <v>1378</v>
      </c>
      <c r="F501" s="1">
        <v>46175</v>
      </c>
      <c r="G501" t="str">
        <v>In Transit</v>
      </c>
      <c r="H501" t="str">
        <v>OK</v>
      </c>
      <c r="I501">
        <v>14.82</v>
      </c>
      <c r="J501">
        <v>132</v>
      </c>
      <c r="K501">
        <v>373</v>
      </c>
      <c r="L501" t="str">
        <v>OK</v>
      </c>
      <c r="M501">
        <v>2</v>
      </c>
      <c r="O501">
        <f t="shared" si="56"/>
        <v>10.439393939393939</v>
      </c>
      <c r="P501">
        <f t="shared" si="57"/>
        <v>85.091499999999996</v>
      </c>
      <c r="Q501">
        <f t="shared" si="58"/>
        <v>31.634527089072545</v>
      </c>
      <c r="R501">
        <f t="shared" si="59"/>
        <v>1</v>
      </c>
      <c r="S501">
        <f t="shared" si="60"/>
        <v>85.091499999999996</v>
      </c>
      <c r="T501" t="str">
        <f t="shared" si="61"/>
        <v>OK</v>
      </c>
      <c r="U501" t="str">
        <f t="shared" si="62"/>
        <v>OK</v>
      </c>
      <c r="V501" t="str">
        <f t="shared" si="63"/>
        <v>OK</v>
      </c>
    </row>
    <row r="502" spans="1:22" x14ac:dyDescent="0.45">
      <c r="A502" t="str">
        <v>SO-51039</v>
      </c>
      <c r="B502" t="str">
        <v>PL-NTE</v>
      </c>
      <c r="C502" t="str">
        <v>CD-HER</v>
      </c>
      <c r="D502" t="str">
        <v>LAC-1009</v>
      </c>
      <c r="E502">
        <v>2058</v>
      </c>
      <c r="F502" s="1">
        <v>46166</v>
      </c>
      <c r="G502" t="str">
        <v>In Transit</v>
      </c>
      <c r="H502" t="str">
        <v>OK</v>
      </c>
      <c r="I502">
        <v>11.01</v>
      </c>
      <c r="J502">
        <v>98</v>
      </c>
      <c r="K502">
        <v>16</v>
      </c>
      <c r="L502" t="str">
        <v>OK</v>
      </c>
      <c r="M502">
        <v>11</v>
      </c>
      <c r="O502">
        <f t="shared" si="56"/>
        <v>21</v>
      </c>
      <c r="P502">
        <f t="shared" si="57"/>
        <v>94.410749999999993</v>
      </c>
      <c r="Q502">
        <f t="shared" si="58"/>
        <v>63.636363636363633</v>
      </c>
      <c r="R502">
        <f t="shared" si="59"/>
        <v>1</v>
      </c>
      <c r="S502">
        <f t="shared" si="60"/>
        <v>94.410749999999993</v>
      </c>
      <c r="T502" t="str">
        <f t="shared" si="61"/>
        <v>OK</v>
      </c>
      <c r="U502" t="str">
        <f t="shared" si="62"/>
        <v>FEFO RIESGO</v>
      </c>
      <c r="V502" t="str">
        <f t="shared" si="63"/>
        <v>FANTASMA</v>
      </c>
    </row>
    <row r="503" spans="1:22" x14ac:dyDescent="0.45">
      <c r="A503" t="str">
        <v>SO-50353</v>
      </c>
      <c r="B503" t="str">
        <v>PL-NTE</v>
      </c>
      <c r="C503" t="str">
        <v>CD-TIJ</v>
      </c>
      <c r="D503" t="str">
        <v>PRO-1003</v>
      </c>
      <c r="E503">
        <v>1652</v>
      </c>
      <c r="F503" s="1">
        <v>46175</v>
      </c>
      <c r="G503" t="str">
        <v>In Transit</v>
      </c>
      <c r="H503" t="str">
        <v>OK</v>
      </c>
      <c r="I503">
        <v>13.9</v>
      </c>
      <c r="J503">
        <v>69</v>
      </c>
      <c r="K503">
        <v>106</v>
      </c>
      <c r="L503" t="str">
        <v>OK</v>
      </c>
      <c r="M503">
        <v>2</v>
      </c>
      <c r="O503">
        <f t="shared" si="56"/>
        <v>23.942028985507246</v>
      </c>
      <c r="P503">
        <f t="shared" si="57"/>
        <v>95.678333333333327</v>
      </c>
      <c r="Q503">
        <f t="shared" si="58"/>
        <v>72.551602986385603</v>
      </c>
      <c r="R503">
        <f t="shared" si="59"/>
        <v>1</v>
      </c>
      <c r="S503">
        <f t="shared" si="60"/>
        <v>95.678333333333327</v>
      </c>
      <c r="T503" t="str">
        <f t="shared" si="61"/>
        <v>OK</v>
      </c>
      <c r="U503" t="str">
        <f t="shared" si="62"/>
        <v>OK</v>
      </c>
      <c r="V503" t="str">
        <f t="shared" si="63"/>
        <v>OK</v>
      </c>
    </row>
    <row r="504" spans="1:22" x14ac:dyDescent="0.45">
      <c r="A504" t="str">
        <v>SO-50787</v>
      </c>
      <c r="B504" t="str">
        <v>PL-NTE</v>
      </c>
      <c r="C504" t="str">
        <v>CD-CHI</v>
      </c>
      <c r="D504" t="str">
        <v>BOT-1013</v>
      </c>
      <c r="E504">
        <v>1109</v>
      </c>
      <c r="F504" s="1">
        <v>46175</v>
      </c>
      <c r="G504" t="str">
        <v>In Transit</v>
      </c>
      <c r="H504" t="str">
        <v>OK</v>
      </c>
      <c r="I504">
        <v>4</v>
      </c>
      <c r="J504">
        <v>58</v>
      </c>
      <c r="K504">
        <v>112</v>
      </c>
      <c r="L504" t="str">
        <v>OK</v>
      </c>
      <c r="M504">
        <v>2</v>
      </c>
      <c r="O504">
        <f t="shared" si="56"/>
        <v>19.120689655172413</v>
      </c>
      <c r="P504">
        <f t="shared" si="57"/>
        <v>18.483333333333331</v>
      </c>
      <c r="Q504">
        <f t="shared" si="58"/>
        <v>57.941483803552764</v>
      </c>
      <c r="R504">
        <f t="shared" si="59"/>
        <v>1</v>
      </c>
      <c r="S504">
        <f t="shared" si="60"/>
        <v>57.941483803552764</v>
      </c>
      <c r="T504" t="str">
        <f t="shared" si="61"/>
        <v>CARGA INEFICIENTE</v>
      </c>
      <c r="U504" t="str">
        <f t="shared" si="62"/>
        <v>OK</v>
      </c>
      <c r="V504" t="str">
        <f t="shared" si="63"/>
        <v>OK</v>
      </c>
    </row>
    <row r="505" spans="1:22" x14ac:dyDescent="0.45">
      <c r="A505" t="str">
        <v>SO-50198</v>
      </c>
      <c r="B505" t="str">
        <v>PL-CEN</v>
      </c>
      <c r="C505" t="str">
        <v>CD-VER</v>
      </c>
      <c r="D505" t="str">
        <v>BOT-1018</v>
      </c>
      <c r="E505">
        <v>1196</v>
      </c>
      <c r="F505" s="1">
        <v>46176</v>
      </c>
      <c r="G505" t="str">
        <v>In Transit</v>
      </c>
      <c r="H505" t="str">
        <v>OK</v>
      </c>
      <c r="I505">
        <v>6.23</v>
      </c>
      <c r="J505">
        <v>78</v>
      </c>
      <c r="K505">
        <v>99</v>
      </c>
      <c r="L505" t="str">
        <v>OK</v>
      </c>
      <c r="M505">
        <v>1</v>
      </c>
      <c r="O505">
        <f t="shared" si="56"/>
        <v>15.333333333333334</v>
      </c>
      <c r="P505">
        <f t="shared" si="57"/>
        <v>31.046166666666668</v>
      </c>
      <c r="Q505">
        <f t="shared" si="58"/>
        <v>46.464646464646464</v>
      </c>
      <c r="R505">
        <f t="shared" si="59"/>
        <v>1</v>
      </c>
      <c r="S505">
        <f t="shared" si="60"/>
        <v>46.464646464646464</v>
      </c>
      <c r="T505" t="str">
        <f t="shared" si="61"/>
        <v>CARGA INEFICIENTE</v>
      </c>
      <c r="U505" t="str">
        <f t="shared" si="62"/>
        <v>OK</v>
      </c>
      <c r="V505" t="str">
        <f t="shared" si="63"/>
        <v>OK</v>
      </c>
    </row>
    <row r="506" spans="1:22" x14ac:dyDescent="0.45">
      <c r="A506" t="str">
        <v>SO-50200</v>
      </c>
      <c r="B506" t="str">
        <v>PL-SUR</v>
      </c>
      <c r="C506" t="str">
        <v>CD-MOR</v>
      </c>
      <c r="D506" t="str">
        <v>BOT-1016</v>
      </c>
      <c r="E506">
        <v>1300</v>
      </c>
      <c r="F506" s="1">
        <v>46175</v>
      </c>
      <c r="G506" t="str">
        <v>In Transit</v>
      </c>
      <c r="H506" t="str">
        <v>OK</v>
      </c>
      <c r="I506">
        <v>5.53</v>
      </c>
      <c r="J506">
        <v>42</v>
      </c>
      <c r="K506">
        <v>114</v>
      </c>
      <c r="L506" t="str">
        <v>OK</v>
      </c>
      <c r="M506">
        <v>2</v>
      </c>
      <c r="O506">
        <f t="shared" si="56"/>
        <v>30.952380952380953</v>
      </c>
      <c r="P506">
        <f t="shared" si="57"/>
        <v>29.954166666666666</v>
      </c>
      <c r="Q506">
        <f t="shared" si="58"/>
        <v>93.795093795093791</v>
      </c>
      <c r="R506">
        <f t="shared" si="59"/>
        <v>1</v>
      </c>
      <c r="S506">
        <f t="shared" si="60"/>
        <v>93.795093795093791</v>
      </c>
      <c r="T506" t="str">
        <f t="shared" si="61"/>
        <v>OK</v>
      </c>
      <c r="U506" t="str">
        <f t="shared" si="62"/>
        <v>OK</v>
      </c>
      <c r="V506" t="str">
        <f t="shared" si="63"/>
        <v>OK</v>
      </c>
    </row>
    <row r="507" spans="1:22" x14ac:dyDescent="0.45">
      <c r="A507" t="str">
        <v>SO-50729</v>
      </c>
      <c r="B507" t="str">
        <v>PL-NTE</v>
      </c>
      <c r="C507" t="str">
        <v>CD-TIJ</v>
      </c>
      <c r="D507" t="str">
        <v>BEB-1004</v>
      </c>
      <c r="E507">
        <v>957</v>
      </c>
      <c r="F507" s="1">
        <v>46174</v>
      </c>
      <c r="G507" t="str">
        <v>In Transit</v>
      </c>
      <c r="H507" t="str">
        <v>OK</v>
      </c>
      <c r="I507">
        <v>21.99</v>
      </c>
      <c r="J507">
        <v>67</v>
      </c>
      <c r="K507">
        <v>213</v>
      </c>
      <c r="L507" t="str">
        <v>OK</v>
      </c>
      <c r="M507">
        <v>3</v>
      </c>
      <c r="O507">
        <f t="shared" si="56"/>
        <v>14.283582089552239</v>
      </c>
      <c r="P507">
        <f t="shared" si="57"/>
        <v>87.685124999999999</v>
      </c>
      <c r="Q507">
        <f t="shared" si="58"/>
        <v>43.283582089552233</v>
      </c>
      <c r="R507">
        <f t="shared" si="59"/>
        <v>1</v>
      </c>
      <c r="S507">
        <f t="shared" si="60"/>
        <v>87.685124999999999</v>
      </c>
      <c r="T507" t="str">
        <f t="shared" si="61"/>
        <v>OK</v>
      </c>
      <c r="U507" t="str">
        <f t="shared" si="62"/>
        <v>OK</v>
      </c>
      <c r="V507" t="str">
        <f t="shared" si="63"/>
        <v>OK</v>
      </c>
    </row>
    <row r="508" spans="1:22" x14ac:dyDescent="0.45">
      <c r="A508" t="str">
        <v>SO-50538</v>
      </c>
      <c r="B508" t="str">
        <v>PL-NTE</v>
      </c>
      <c r="C508" t="str">
        <v>CD-CHI</v>
      </c>
      <c r="D508" t="str">
        <v>BOT-1014</v>
      </c>
      <c r="E508">
        <v>1297</v>
      </c>
      <c r="F508" s="1">
        <v>46176</v>
      </c>
      <c r="G508" t="str">
        <v>Delivered</v>
      </c>
      <c r="H508" t="str">
        <v>OK</v>
      </c>
      <c r="I508">
        <v>3.92</v>
      </c>
      <c r="J508">
        <v>49</v>
      </c>
      <c r="K508">
        <v>98</v>
      </c>
      <c r="L508" t="str">
        <v>OK</v>
      </c>
      <c r="M508">
        <v>1</v>
      </c>
      <c r="O508">
        <f t="shared" si="56"/>
        <v>26.469387755102041</v>
      </c>
      <c r="P508">
        <f t="shared" si="57"/>
        <v>21.184333333333331</v>
      </c>
      <c r="Q508">
        <f t="shared" si="58"/>
        <v>80.210265924551635</v>
      </c>
      <c r="R508">
        <f t="shared" si="59"/>
        <v>1</v>
      </c>
      <c r="S508">
        <f t="shared" si="60"/>
        <v>80.210265924551635</v>
      </c>
      <c r="T508" t="str">
        <f t="shared" si="61"/>
        <v>OK</v>
      </c>
      <c r="U508" t="str">
        <f t="shared" si="62"/>
        <v>OK</v>
      </c>
      <c r="V508" t="str">
        <f t="shared" si="63"/>
        <v>OK</v>
      </c>
    </row>
    <row r="509" spans="1:22" x14ac:dyDescent="0.45">
      <c r="A509" t="str">
        <v>SO-50812</v>
      </c>
      <c r="B509" t="str">
        <v>PL-SUR</v>
      </c>
      <c r="C509" t="str">
        <v>CD-MER</v>
      </c>
      <c r="D509" t="str">
        <v>BEB-1010</v>
      </c>
      <c r="E509">
        <v>2551</v>
      </c>
      <c r="F509" s="1">
        <v>46175</v>
      </c>
      <c r="G509" t="str">
        <v>In Transit</v>
      </c>
      <c r="H509" t="str">
        <v>OK</v>
      </c>
      <c r="I509">
        <v>0</v>
      </c>
      <c r="J509">
        <v>71</v>
      </c>
      <c r="K509">
        <v>192</v>
      </c>
      <c r="L509" t="str">
        <v>OK</v>
      </c>
      <c r="M509">
        <v>2</v>
      </c>
      <c r="O509">
        <f t="shared" si="56"/>
        <v>35.929577464788736</v>
      </c>
      <c r="P509">
        <f t="shared" si="57"/>
        <v>0</v>
      </c>
      <c r="Q509">
        <f t="shared" si="58"/>
        <v>108.87750746905678</v>
      </c>
      <c r="R509">
        <f t="shared" si="59"/>
        <v>2</v>
      </c>
      <c r="S509">
        <f t="shared" si="60"/>
        <v>54.43875373452839</v>
      </c>
      <c r="T509" t="str">
        <f t="shared" si="61"/>
        <v>CARGA INEFICIENTE</v>
      </c>
      <c r="U509" t="str">
        <f t="shared" si="62"/>
        <v>OK</v>
      </c>
      <c r="V509" t="str">
        <f t="shared" si="63"/>
        <v>OK</v>
      </c>
    </row>
    <row r="510" spans="1:22" x14ac:dyDescent="0.45">
      <c r="A510" t="str">
        <v>SO-50924</v>
      </c>
      <c r="B510" t="str">
        <v>PL-SUR</v>
      </c>
      <c r="C510" t="str">
        <v>CD-MER</v>
      </c>
      <c r="D510" t="str">
        <v>BEB-1018</v>
      </c>
      <c r="E510">
        <v>1009</v>
      </c>
      <c r="F510" s="1">
        <v>46174</v>
      </c>
      <c r="G510" t="str">
        <v>In Transit</v>
      </c>
      <c r="H510" t="str">
        <v>OK</v>
      </c>
      <c r="I510">
        <v>19.170000000000002</v>
      </c>
      <c r="J510">
        <v>119</v>
      </c>
      <c r="K510">
        <v>196</v>
      </c>
      <c r="L510" t="str">
        <v>OK</v>
      </c>
      <c r="M510">
        <v>3</v>
      </c>
      <c r="O510">
        <f t="shared" si="56"/>
        <v>8.4789915966386555</v>
      </c>
      <c r="P510">
        <f t="shared" si="57"/>
        <v>80.593875000000011</v>
      </c>
      <c r="Q510">
        <f t="shared" si="58"/>
        <v>25.693913929208044</v>
      </c>
      <c r="R510">
        <f t="shared" si="59"/>
        <v>1</v>
      </c>
      <c r="S510">
        <f t="shared" si="60"/>
        <v>80.593875000000011</v>
      </c>
      <c r="T510" t="str">
        <f t="shared" si="61"/>
        <v>OK</v>
      </c>
      <c r="U510" t="str">
        <f t="shared" si="62"/>
        <v>OK</v>
      </c>
      <c r="V510" t="str">
        <f t="shared" si="63"/>
        <v>OK</v>
      </c>
    </row>
    <row r="511" spans="1:22" x14ac:dyDescent="0.45">
      <c r="A511" t="str">
        <v>SO-50319</v>
      </c>
      <c r="B511" t="str">
        <v>PL-NTE</v>
      </c>
      <c r="C511" t="str">
        <v>CD-TIJ</v>
      </c>
      <c r="D511" t="str">
        <v>XXX-8314</v>
      </c>
      <c r="E511">
        <v>1959</v>
      </c>
      <c r="F511" s="1">
        <v>46172</v>
      </c>
      <c r="G511" t="str">
        <v>In Transit</v>
      </c>
      <c r="H511" t="str">
        <v>OK</v>
      </c>
      <c r="I511">
        <v>0</v>
      </c>
      <c r="J511">
        <v>0</v>
      </c>
      <c r="K511">
        <v>0</v>
      </c>
      <c r="L511" t="str">
        <v>HUERFANO</v>
      </c>
      <c r="M511">
        <v>5</v>
      </c>
      <c r="O511" t="str">
        <f t="shared" si="56"/>
        <v>n/a</v>
      </c>
      <c r="P511" t="str">
        <f t="shared" si="57"/>
        <v>n/a</v>
      </c>
      <c r="Q511" t="str">
        <f t="shared" si="58"/>
        <v>n/a</v>
      </c>
      <c r="R511" t="str">
        <f t="shared" si="59"/>
        <v>n/a</v>
      </c>
      <c r="S511" t="str">
        <f t="shared" si="60"/>
        <v>n/a</v>
      </c>
      <c r="T511" t="str">
        <f t="shared" si="61"/>
        <v>n/a</v>
      </c>
      <c r="U511" t="str">
        <f t="shared" si="62"/>
        <v>n/a</v>
      </c>
      <c r="V511" t="str">
        <f t="shared" si="63"/>
        <v>n/a</v>
      </c>
    </row>
    <row r="512" spans="1:22" x14ac:dyDescent="0.45">
      <c r="A512" t="str">
        <v>SO-50976</v>
      </c>
      <c r="B512" t="str">
        <v>PL-SUR</v>
      </c>
      <c r="C512" t="str">
        <v>CD-GDL</v>
      </c>
      <c r="D512" t="str">
        <v>ABA-1012</v>
      </c>
      <c r="E512">
        <v>592</v>
      </c>
      <c r="F512" s="1">
        <v>46176</v>
      </c>
      <c r="G512" t="str">
        <v>In Transit</v>
      </c>
      <c r="H512" t="str">
        <v>OK</v>
      </c>
      <c r="I512">
        <v>15.14</v>
      </c>
      <c r="J512">
        <v>117</v>
      </c>
      <c r="K512">
        <v>484</v>
      </c>
      <c r="L512" t="str">
        <v>OK</v>
      </c>
      <c r="M512">
        <v>1</v>
      </c>
      <c r="O512">
        <f t="shared" si="56"/>
        <v>5.0598290598290596</v>
      </c>
      <c r="P512">
        <f t="shared" si="57"/>
        <v>37.345333333333336</v>
      </c>
      <c r="Q512">
        <f t="shared" si="58"/>
        <v>15.332815332815333</v>
      </c>
      <c r="R512">
        <f t="shared" si="59"/>
        <v>1</v>
      </c>
      <c r="S512">
        <f t="shared" si="60"/>
        <v>37.345333333333336</v>
      </c>
      <c r="T512" t="str">
        <f t="shared" si="61"/>
        <v>CARGA INEFICIENTE</v>
      </c>
      <c r="U512" t="str">
        <f t="shared" si="62"/>
        <v>OK</v>
      </c>
      <c r="V512" t="str">
        <f t="shared" si="63"/>
        <v>OK</v>
      </c>
    </row>
    <row r="513" spans="1:22" x14ac:dyDescent="0.45">
      <c r="A513" t="str">
        <v>SO-50504</v>
      </c>
      <c r="B513" t="str">
        <v>PL-SUR</v>
      </c>
      <c r="C513" t="str">
        <v>CD-MER</v>
      </c>
      <c r="D513" t="str">
        <v>BOT-1012</v>
      </c>
      <c r="E513">
        <v>1989</v>
      </c>
      <c r="F513" s="1">
        <v>46175</v>
      </c>
      <c r="G513" t="str">
        <v>In Transit</v>
      </c>
      <c r="H513" t="str">
        <v>OK</v>
      </c>
      <c r="I513">
        <v>4.26</v>
      </c>
      <c r="J513">
        <v>68</v>
      </c>
      <c r="K513">
        <v>117</v>
      </c>
      <c r="L513" t="str">
        <v>OK</v>
      </c>
      <c r="M513">
        <v>2</v>
      </c>
      <c r="O513">
        <f t="shared" si="56"/>
        <v>29.25</v>
      </c>
      <c r="P513">
        <f t="shared" si="57"/>
        <v>35.304749999999999</v>
      </c>
      <c r="Q513">
        <f t="shared" si="58"/>
        <v>88.63636363636364</v>
      </c>
      <c r="R513">
        <f t="shared" si="59"/>
        <v>1</v>
      </c>
      <c r="S513">
        <f t="shared" si="60"/>
        <v>88.63636363636364</v>
      </c>
      <c r="T513" t="str">
        <f t="shared" si="61"/>
        <v>OK</v>
      </c>
      <c r="U513" t="str">
        <f t="shared" si="62"/>
        <v>OK</v>
      </c>
      <c r="V513" t="str">
        <f t="shared" si="63"/>
        <v>OK</v>
      </c>
    </row>
    <row r="514" spans="1:22" x14ac:dyDescent="0.45">
      <c r="A514" t="str">
        <v>SO-50997</v>
      </c>
      <c r="B514" t="str">
        <v>PL-SUR</v>
      </c>
      <c r="C514" t="str">
        <v>CD-GDL</v>
      </c>
      <c r="D514" t="str">
        <v>PRO-1005</v>
      </c>
      <c r="E514">
        <v>1297</v>
      </c>
      <c r="F514" s="1">
        <v>46176</v>
      </c>
      <c r="G514" t="str">
        <v>In Transit</v>
      </c>
      <c r="H514" t="str">
        <v>OK</v>
      </c>
      <c r="I514">
        <v>11.02</v>
      </c>
      <c r="J514">
        <v>69</v>
      </c>
      <c r="K514">
        <v>86</v>
      </c>
      <c r="L514" t="str">
        <v>OK</v>
      </c>
      <c r="M514">
        <v>1</v>
      </c>
      <c r="O514">
        <f t="shared" si="56"/>
        <v>18.797101449275363</v>
      </c>
      <c r="P514">
        <f t="shared" si="57"/>
        <v>59.553916666666659</v>
      </c>
      <c r="Q514">
        <f t="shared" si="58"/>
        <v>56.960913482652622</v>
      </c>
      <c r="R514">
        <f t="shared" si="59"/>
        <v>1</v>
      </c>
      <c r="S514">
        <f t="shared" si="60"/>
        <v>59.553916666666659</v>
      </c>
      <c r="T514" t="str">
        <f t="shared" si="61"/>
        <v>CARGA INEFICIENTE</v>
      </c>
      <c r="U514" t="str">
        <f t="shared" si="62"/>
        <v>OK</v>
      </c>
      <c r="V514" t="str">
        <f t="shared" si="63"/>
        <v>OK</v>
      </c>
    </row>
    <row r="515" spans="1:22" x14ac:dyDescent="0.45">
      <c r="A515" t="str">
        <v>SO-50683</v>
      </c>
      <c r="B515" t="str">
        <v>PL-SUR</v>
      </c>
      <c r="C515" t="str">
        <v>CD-CAN</v>
      </c>
      <c r="D515" t="str">
        <v>BOT-1012</v>
      </c>
      <c r="E515">
        <v>1917</v>
      </c>
      <c r="F515" s="1">
        <v>46172</v>
      </c>
      <c r="G515" t="str">
        <v>In Transit</v>
      </c>
      <c r="H515" t="str">
        <v>OK</v>
      </c>
      <c r="I515">
        <v>4.26</v>
      </c>
      <c r="J515">
        <v>68</v>
      </c>
      <c r="K515">
        <v>117</v>
      </c>
      <c r="L515" t="str">
        <v>OK</v>
      </c>
      <c r="M515">
        <v>5</v>
      </c>
      <c r="O515">
        <f t="shared" ref="O515:O578" si="64">IF(L515="HUERFANO","n/a",IF(ISNUMBER(J515),E515/J515,"n/a"))</f>
        <v>28.191176470588236</v>
      </c>
      <c r="P515">
        <f t="shared" ref="P515:P578" si="65">IF(L515="HUERFANO","n/a",IFERROR(E515*I515/24000*100,""))</f>
        <v>34.026749999999993</v>
      </c>
      <c r="Q515">
        <f t="shared" ref="Q515:Q578" si="66">IF(L515="HUERFANO","n/a",IFERROR(O515/33*100,""))</f>
        <v>85.427807486631011</v>
      </c>
      <c r="R515">
        <f t="shared" ref="R515:R578" si="67">IF(L515="HUERFANO","n/a",IFERROR(MAX(CEILING(P515/100,1),CEILING(Q515/100,1)),""))</f>
        <v>1</v>
      </c>
      <c r="S515">
        <f t="shared" ref="S515:S578" si="68">IF(L515="HUERFANO","n/a",IFERROR(MAX(P515,Q515)/(R515*100)*100,""))</f>
        <v>85.427807486631011</v>
      </c>
      <c r="T515" t="str">
        <f t="shared" ref="T515:T578" si="69">IF(L515="HUERFANO","n/a",IF(S515&lt;75,"CARGA INEFICIENTE","OK"))</f>
        <v>OK</v>
      </c>
      <c r="U515" t="str">
        <f t="shared" ref="U515:U578" si="70">IF(L515="HUERFANO","n/a",IF(AND(LEFT(D515,3)="LAC",(K515-M515)/K515*100&lt;70),"FEFO RIESGO","OK"))</f>
        <v>OK</v>
      </c>
      <c r="V515" t="str">
        <f t="shared" ref="V515:V578" si="71">IF(L515="HUERFANO","n/a",IF(AND(G515="In Transit",M515&gt;5),"FANTASMA","OK"))</f>
        <v>OK</v>
      </c>
    </row>
    <row r="516" spans="1:22" x14ac:dyDescent="0.45">
      <c r="A516" t="str">
        <v>SO-50336</v>
      </c>
      <c r="B516" t="str">
        <v>PL-SUR</v>
      </c>
      <c r="C516" t="str">
        <v>CD-MOR</v>
      </c>
      <c r="D516" t="str">
        <v>BOT-1010</v>
      </c>
      <c r="E516">
        <v>1151</v>
      </c>
      <c r="F516" s="1">
        <v>46176</v>
      </c>
      <c r="G516" t="str">
        <v>In Transit</v>
      </c>
      <c r="H516" t="str">
        <v>OK</v>
      </c>
      <c r="I516">
        <v>5.09</v>
      </c>
      <c r="J516">
        <v>40</v>
      </c>
      <c r="K516">
        <v>90</v>
      </c>
      <c r="L516" t="str">
        <v>OK</v>
      </c>
      <c r="M516">
        <v>1</v>
      </c>
      <c r="O516">
        <f t="shared" si="64"/>
        <v>28.774999999999999</v>
      </c>
      <c r="P516">
        <f t="shared" si="65"/>
        <v>24.410791666666668</v>
      </c>
      <c r="Q516">
        <f t="shared" si="66"/>
        <v>87.196969696969688</v>
      </c>
      <c r="R516">
        <f t="shared" si="67"/>
        <v>1</v>
      </c>
      <c r="S516">
        <f t="shared" si="68"/>
        <v>87.196969696969688</v>
      </c>
      <c r="T516" t="str">
        <f t="shared" si="69"/>
        <v>OK</v>
      </c>
      <c r="U516" t="str">
        <f t="shared" si="70"/>
        <v>OK</v>
      </c>
      <c r="V516" t="str">
        <f t="shared" si="71"/>
        <v>OK</v>
      </c>
    </row>
    <row r="517" spans="1:22" x14ac:dyDescent="0.45">
      <c r="A517" t="str">
        <v>SO-50742</v>
      </c>
      <c r="B517" t="str">
        <v>PL-NTE</v>
      </c>
      <c r="C517" t="str">
        <v>CD-HER</v>
      </c>
      <c r="D517" t="str">
        <v>ABA-1018</v>
      </c>
      <c r="E517">
        <v>1769</v>
      </c>
      <c r="F517" s="1">
        <v>46173</v>
      </c>
      <c r="G517" t="str">
        <v>In Transit</v>
      </c>
      <c r="H517" t="str">
        <v>OK</v>
      </c>
      <c r="I517">
        <v>11.43</v>
      </c>
      <c r="J517">
        <v>128</v>
      </c>
      <c r="K517">
        <v>530</v>
      </c>
      <c r="L517" t="str">
        <v>OK</v>
      </c>
      <c r="M517">
        <v>4</v>
      </c>
      <c r="O517">
        <f t="shared" si="64"/>
        <v>13.8203125</v>
      </c>
      <c r="P517">
        <f t="shared" si="65"/>
        <v>84.24862499999999</v>
      </c>
      <c r="Q517">
        <f t="shared" si="66"/>
        <v>41.879734848484851</v>
      </c>
      <c r="R517">
        <f t="shared" si="67"/>
        <v>1</v>
      </c>
      <c r="S517">
        <f t="shared" si="68"/>
        <v>84.24862499999999</v>
      </c>
      <c r="T517" t="str">
        <f t="shared" si="69"/>
        <v>OK</v>
      </c>
      <c r="U517" t="str">
        <f t="shared" si="70"/>
        <v>OK</v>
      </c>
      <c r="V517" t="str">
        <f t="shared" si="71"/>
        <v>OK</v>
      </c>
    </row>
    <row r="518" spans="1:22" x14ac:dyDescent="0.45">
      <c r="A518" t="str">
        <v>SO-50690</v>
      </c>
      <c r="B518" t="str">
        <v>PL-NTE</v>
      </c>
      <c r="C518" t="str">
        <v>CD-CHI</v>
      </c>
      <c r="D518" t="str">
        <v>PRO-1012</v>
      </c>
      <c r="E518">
        <v>2962</v>
      </c>
      <c r="F518" s="1">
        <v>46175</v>
      </c>
      <c r="G518" t="str">
        <v>In Transit</v>
      </c>
      <c r="H518" t="str">
        <v>OK</v>
      </c>
      <c r="I518">
        <v>6.87</v>
      </c>
      <c r="J518">
        <v>101</v>
      </c>
      <c r="K518">
        <v>62</v>
      </c>
      <c r="L518" t="str">
        <v>OK</v>
      </c>
      <c r="M518">
        <v>2</v>
      </c>
      <c r="O518">
        <f t="shared" si="64"/>
        <v>29.326732673267326</v>
      </c>
      <c r="P518">
        <f t="shared" si="65"/>
        <v>84.787249999999986</v>
      </c>
      <c r="Q518">
        <f t="shared" si="66"/>
        <v>88.868886888688863</v>
      </c>
      <c r="R518">
        <f t="shared" si="67"/>
        <v>1</v>
      </c>
      <c r="S518">
        <f t="shared" si="68"/>
        <v>88.868886888688863</v>
      </c>
      <c r="T518" t="str">
        <f t="shared" si="69"/>
        <v>OK</v>
      </c>
      <c r="U518" t="str">
        <f t="shared" si="70"/>
        <v>OK</v>
      </c>
      <c r="V518" t="str">
        <f t="shared" si="71"/>
        <v>OK</v>
      </c>
    </row>
    <row r="519" spans="1:22" x14ac:dyDescent="0.45">
      <c r="A519" t="str">
        <v>SO-50640</v>
      </c>
      <c r="B519" t="str">
        <v>PL-NTE</v>
      </c>
      <c r="C519" t="str">
        <v>CD-CHI</v>
      </c>
      <c r="D519" t="str">
        <v>BEB-1009</v>
      </c>
      <c r="E519">
        <v>329</v>
      </c>
      <c r="F519" s="1">
        <v>46175</v>
      </c>
      <c r="G519" t="str">
        <v>In Transit</v>
      </c>
      <c r="H519" t="str">
        <v>OK</v>
      </c>
      <c r="I519">
        <v>18.170000000000002</v>
      </c>
      <c r="J519">
        <v>61</v>
      </c>
      <c r="K519">
        <v>188</v>
      </c>
      <c r="L519" t="str">
        <v>OK</v>
      </c>
      <c r="M519">
        <v>2</v>
      </c>
      <c r="O519">
        <f t="shared" si="64"/>
        <v>5.3934426229508201</v>
      </c>
      <c r="P519">
        <f t="shared" si="65"/>
        <v>24.908041666666666</v>
      </c>
      <c r="Q519">
        <f t="shared" si="66"/>
        <v>16.343765524093396</v>
      </c>
      <c r="R519">
        <f t="shared" si="67"/>
        <v>1</v>
      </c>
      <c r="S519">
        <f t="shared" si="68"/>
        <v>24.908041666666666</v>
      </c>
      <c r="T519" t="str">
        <f t="shared" si="69"/>
        <v>CARGA INEFICIENTE</v>
      </c>
      <c r="U519" t="str">
        <f t="shared" si="70"/>
        <v>OK</v>
      </c>
      <c r="V519" t="str">
        <f t="shared" si="71"/>
        <v>OK</v>
      </c>
    </row>
    <row r="520" spans="1:22" x14ac:dyDescent="0.45">
      <c r="A520" t="str">
        <v>SO-50914</v>
      </c>
      <c r="B520" t="str">
        <v>PL-CEN</v>
      </c>
      <c r="C520" t="str">
        <v>CD-PUE</v>
      </c>
      <c r="D520" t="str">
        <v>BOT-1017</v>
      </c>
      <c r="E520">
        <v>556</v>
      </c>
      <c r="F520" s="1">
        <v>46176</v>
      </c>
      <c r="G520" t="str">
        <v>Delivered</v>
      </c>
      <c r="H520" t="str">
        <v>OK</v>
      </c>
      <c r="I520">
        <v>3.75</v>
      </c>
      <c r="J520">
        <v>41</v>
      </c>
      <c r="K520">
        <v>106</v>
      </c>
      <c r="L520" t="str">
        <v>OK</v>
      </c>
      <c r="M520">
        <v>1</v>
      </c>
      <c r="O520">
        <f t="shared" si="64"/>
        <v>13.560975609756097</v>
      </c>
      <c r="P520">
        <f t="shared" si="65"/>
        <v>8.6875</v>
      </c>
      <c r="Q520">
        <f t="shared" si="66"/>
        <v>41.093865484109386</v>
      </c>
      <c r="R520">
        <f t="shared" si="67"/>
        <v>1</v>
      </c>
      <c r="S520">
        <f t="shared" si="68"/>
        <v>41.093865484109386</v>
      </c>
      <c r="T520" t="str">
        <f t="shared" si="69"/>
        <v>CARGA INEFICIENTE</v>
      </c>
      <c r="U520" t="str">
        <f t="shared" si="70"/>
        <v>OK</v>
      </c>
      <c r="V520" t="str">
        <f t="shared" si="71"/>
        <v>OK</v>
      </c>
    </row>
    <row r="521" spans="1:22" x14ac:dyDescent="0.45">
      <c r="A521" t="str">
        <v>SO-50212</v>
      </c>
      <c r="B521" t="str">
        <v>PL-CEN</v>
      </c>
      <c r="C521" t="str">
        <v>CD-TOL</v>
      </c>
      <c r="D521" t="str">
        <v>BEB-1000</v>
      </c>
      <c r="E521">
        <v>1227</v>
      </c>
      <c r="F521" s="1">
        <v>46175</v>
      </c>
      <c r="G521" t="str">
        <v>In Transit</v>
      </c>
      <c r="H521" t="str">
        <v>OK</v>
      </c>
      <c r="I521">
        <v>16.489999999999998</v>
      </c>
      <c r="J521">
        <v>102</v>
      </c>
      <c r="K521">
        <v>315</v>
      </c>
      <c r="L521" t="str">
        <v>OK</v>
      </c>
      <c r="M521">
        <v>2</v>
      </c>
      <c r="O521">
        <f t="shared" si="64"/>
        <v>12.029411764705882</v>
      </c>
      <c r="P521">
        <f t="shared" si="65"/>
        <v>84.305125000000004</v>
      </c>
      <c r="Q521">
        <f t="shared" si="66"/>
        <v>36.452762923351159</v>
      </c>
      <c r="R521">
        <f t="shared" si="67"/>
        <v>1</v>
      </c>
      <c r="S521">
        <f t="shared" si="68"/>
        <v>84.305125000000004</v>
      </c>
      <c r="T521" t="str">
        <f t="shared" si="69"/>
        <v>OK</v>
      </c>
      <c r="U521" t="str">
        <f t="shared" si="70"/>
        <v>OK</v>
      </c>
      <c r="V521" t="str">
        <f t="shared" si="71"/>
        <v>OK</v>
      </c>
    </row>
    <row r="522" spans="1:22" x14ac:dyDescent="0.45">
      <c r="A522" t="str">
        <v>SO-51087</v>
      </c>
      <c r="B522" t="str">
        <v>PL-CEN</v>
      </c>
      <c r="C522" t="str">
        <v>CD-TOL</v>
      </c>
      <c r="D522" t="str">
        <v>LAC-1004</v>
      </c>
      <c r="E522">
        <v>510</v>
      </c>
      <c r="F522" s="1">
        <v>46175</v>
      </c>
      <c r="G522" t="str">
        <v>In Transit</v>
      </c>
      <c r="H522" t="str">
        <v>OK</v>
      </c>
      <c r="I522">
        <v>11.45</v>
      </c>
      <c r="J522">
        <v>93</v>
      </c>
      <c r="K522">
        <v>16</v>
      </c>
      <c r="L522" t="str">
        <v>OK</v>
      </c>
      <c r="M522">
        <v>2</v>
      </c>
      <c r="O522">
        <f t="shared" si="64"/>
        <v>5.4838709677419351</v>
      </c>
      <c r="P522">
        <f t="shared" si="65"/>
        <v>24.331249999999997</v>
      </c>
      <c r="Q522">
        <f t="shared" si="66"/>
        <v>16.617790811339198</v>
      </c>
      <c r="R522">
        <f t="shared" si="67"/>
        <v>1</v>
      </c>
      <c r="S522">
        <f t="shared" si="68"/>
        <v>24.331249999999997</v>
      </c>
      <c r="T522" t="str">
        <f t="shared" si="69"/>
        <v>CARGA INEFICIENTE</v>
      </c>
      <c r="U522" t="str">
        <f t="shared" si="70"/>
        <v>OK</v>
      </c>
      <c r="V522" t="str">
        <f t="shared" si="71"/>
        <v>OK</v>
      </c>
    </row>
    <row r="523" spans="1:22" x14ac:dyDescent="0.45">
      <c r="A523" t="str">
        <v>SO-50189</v>
      </c>
      <c r="B523" t="str">
        <v>PL-NTE</v>
      </c>
      <c r="C523" t="str">
        <v>CD-MTY</v>
      </c>
      <c r="D523" t="str">
        <v>PRO-1006</v>
      </c>
      <c r="E523">
        <v>1750</v>
      </c>
      <c r="F523" s="1">
        <v>46176</v>
      </c>
      <c r="G523" t="str">
        <v>Delivered</v>
      </c>
      <c r="H523" t="str">
        <v>OK</v>
      </c>
      <c r="I523">
        <v>12.09</v>
      </c>
      <c r="J523">
        <v>80</v>
      </c>
      <c r="K523">
        <v>138</v>
      </c>
      <c r="L523" t="str">
        <v>OK</v>
      </c>
      <c r="M523">
        <v>1</v>
      </c>
      <c r="O523">
        <f t="shared" si="64"/>
        <v>21.875</v>
      </c>
      <c r="P523">
        <f t="shared" si="65"/>
        <v>88.15625</v>
      </c>
      <c r="Q523">
        <f t="shared" si="66"/>
        <v>66.287878787878782</v>
      </c>
      <c r="R523">
        <f t="shared" si="67"/>
        <v>1</v>
      </c>
      <c r="S523">
        <f t="shared" si="68"/>
        <v>88.15625</v>
      </c>
      <c r="T523" t="str">
        <f t="shared" si="69"/>
        <v>OK</v>
      </c>
      <c r="U523" t="str">
        <f t="shared" si="70"/>
        <v>OK</v>
      </c>
      <c r="V523" t="str">
        <f t="shared" si="71"/>
        <v>OK</v>
      </c>
    </row>
    <row r="524" spans="1:22" x14ac:dyDescent="0.45">
      <c r="A524" t="str">
        <v>SO-51001</v>
      </c>
      <c r="B524" t="str">
        <v>PL-CEN</v>
      </c>
      <c r="C524" t="str">
        <v>CD-TOL</v>
      </c>
      <c r="D524" t="str">
        <v>LAC-1013</v>
      </c>
      <c r="E524">
        <v>811</v>
      </c>
      <c r="F524" s="1">
        <v>46167</v>
      </c>
      <c r="G524" t="str">
        <v>In Transit</v>
      </c>
      <c r="H524" t="str">
        <v>OK</v>
      </c>
      <c r="I524">
        <v>8.32</v>
      </c>
      <c r="J524">
        <v>98</v>
      </c>
      <c r="K524">
        <v>16</v>
      </c>
      <c r="L524" t="str">
        <v>OK</v>
      </c>
      <c r="M524">
        <v>10</v>
      </c>
      <c r="O524">
        <f t="shared" si="64"/>
        <v>8.2755102040816322</v>
      </c>
      <c r="P524">
        <f t="shared" si="65"/>
        <v>28.114666666666672</v>
      </c>
      <c r="Q524">
        <f t="shared" si="66"/>
        <v>25.077303648732219</v>
      </c>
      <c r="R524">
        <f t="shared" si="67"/>
        <v>1</v>
      </c>
      <c r="S524">
        <f t="shared" si="68"/>
        <v>28.114666666666672</v>
      </c>
      <c r="T524" t="str">
        <f t="shared" si="69"/>
        <v>CARGA INEFICIENTE</v>
      </c>
      <c r="U524" t="str">
        <f t="shared" si="70"/>
        <v>FEFO RIESGO</v>
      </c>
      <c r="V524" t="str">
        <f t="shared" si="71"/>
        <v>FANTASMA</v>
      </c>
    </row>
    <row r="525" spans="1:22" x14ac:dyDescent="0.45">
      <c r="A525" t="str">
        <v>SO-50780</v>
      </c>
      <c r="B525" t="str">
        <v>PL-CEN</v>
      </c>
      <c r="C525" t="str">
        <v>CD-QRO</v>
      </c>
      <c r="D525" t="str">
        <v>LAC-1005</v>
      </c>
      <c r="E525">
        <v>2545</v>
      </c>
      <c r="F525" s="1">
        <v>46176</v>
      </c>
      <c r="G525" t="str">
        <v>In Transit</v>
      </c>
      <c r="H525" t="str">
        <v>OK</v>
      </c>
      <c r="I525">
        <v>8.94</v>
      </c>
      <c r="J525">
        <v>100</v>
      </c>
      <c r="K525">
        <v>17</v>
      </c>
      <c r="L525" t="str">
        <v>OK</v>
      </c>
      <c r="M525">
        <v>1</v>
      </c>
      <c r="O525">
        <f t="shared" si="64"/>
        <v>25.45</v>
      </c>
      <c r="P525">
        <f t="shared" si="65"/>
        <v>94.801249999999996</v>
      </c>
      <c r="Q525">
        <f t="shared" si="66"/>
        <v>77.121212121212125</v>
      </c>
      <c r="R525">
        <f t="shared" si="67"/>
        <v>1</v>
      </c>
      <c r="S525">
        <f t="shared" si="68"/>
        <v>94.801249999999996</v>
      </c>
      <c r="T525" t="str">
        <f t="shared" si="69"/>
        <v>OK</v>
      </c>
      <c r="U525" t="str">
        <f t="shared" si="70"/>
        <v>OK</v>
      </c>
      <c r="V525" t="str">
        <f t="shared" si="71"/>
        <v>OK</v>
      </c>
    </row>
    <row r="526" spans="1:22" x14ac:dyDescent="0.45">
      <c r="A526" t="str">
        <v>SO-51060</v>
      </c>
      <c r="B526" t="str">
        <v>PL-CEN</v>
      </c>
      <c r="C526" t="str">
        <v>CD-PUE</v>
      </c>
      <c r="D526" t="str">
        <v>LAC-1014</v>
      </c>
      <c r="E526">
        <v>2557</v>
      </c>
      <c r="F526" s="1">
        <v>46175</v>
      </c>
      <c r="G526" t="str">
        <v>In Transit</v>
      </c>
      <c r="H526" t="str">
        <v>OK</v>
      </c>
      <c r="I526">
        <v>8.0500000000000007</v>
      </c>
      <c r="J526">
        <v>147</v>
      </c>
      <c r="K526">
        <v>28</v>
      </c>
      <c r="L526" t="str">
        <v>OK</v>
      </c>
      <c r="M526">
        <v>2</v>
      </c>
      <c r="O526">
        <f t="shared" si="64"/>
        <v>17.394557823129251</v>
      </c>
      <c r="P526">
        <f t="shared" si="65"/>
        <v>85.766041666666666</v>
      </c>
      <c r="Q526">
        <f t="shared" si="66"/>
        <v>52.710781282209851</v>
      </c>
      <c r="R526">
        <f t="shared" si="67"/>
        <v>1</v>
      </c>
      <c r="S526">
        <f t="shared" si="68"/>
        <v>85.766041666666666</v>
      </c>
      <c r="T526" t="str">
        <f t="shared" si="69"/>
        <v>OK</v>
      </c>
      <c r="U526" t="str">
        <f t="shared" si="70"/>
        <v>OK</v>
      </c>
      <c r="V526" t="str">
        <f t="shared" si="71"/>
        <v>OK</v>
      </c>
    </row>
    <row r="527" spans="1:22" x14ac:dyDescent="0.45">
      <c r="A527" t="str">
        <v>SO-50701</v>
      </c>
      <c r="B527" t="str">
        <v>PL-CEN</v>
      </c>
      <c r="C527" t="str">
        <v>CD-VER</v>
      </c>
      <c r="D527" t="str">
        <v>LAC-1002</v>
      </c>
      <c r="E527">
        <v>2561</v>
      </c>
      <c r="F527" s="1">
        <v>46176</v>
      </c>
      <c r="G527" t="str">
        <v>In Transit</v>
      </c>
      <c r="H527" t="str">
        <v>OK</v>
      </c>
      <c r="I527">
        <v>7.71</v>
      </c>
      <c r="J527">
        <v>101</v>
      </c>
      <c r="K527">
        <v>23</v>
      </c>
      <c r="L527" t="str">
        <v>OK</v>
      </c>
      <c r="M527">
        <v>1</v>
      </c>
      <c r="O527">
        <f t="shared" si="64"/>
        <v>25.356435643564357</v>
      </c>
      <c r="P527">
        <f t="shared" si="65"/>
        <v>82.272125000000003</v>
      </c>
      <c r="Q527">
        <f t="shared" si="66"/>
        <v>76.837683768376834</v>
      </c>
      <c r="R527">
        <f t="shared" si="67"/>
        <v>1</v>
      </c>
      <c r="S527">
        <f t="shared" si="68"/>
        <v>82.272125000000003</v>
      </c>
      <c r="T527" t="str">
        <f t="shared" si="69"/>
        <v>OK</v>
      </c>
      <c r="U527" t="str">
        <f t="shared" si="70"/>
        <v>OK</v>
      </c>
      <c r="V527" t="str">
        <f t="shared" si="71"/>
        <v>OK</v>
      </c>
    </row>
    <row r="528" spans="1:22" x14ac:dyDescent="0.45">
      <c r="A528" t="str">
        <v>SO-50600</v>
      </c>
      <c r="B528" t="str">
        <v>PL-SUR</v>
      </c>
      <c r="C528" t="str">
        <v>CD-MER</v>
      </c>
      <c r="D528" t="str">
        <v>BOT-1020</v>
      </c>
      <c r="E528">
        <v>2010</v>
      </c>
      <c r="F528" s="1">
        <v>46176</v>
      </c>
      <c r="G528" t="str">
        <v>In Transit</v>
      </c>
      <c r="H528" t="str">
        <v>OK</v>
      </c>
      <c r="I528">
        <v>6.27</v>
      </c>
      <c r="J528">
        <v>67</v>
      </c>
      <c r="K528">
        <v>90</v>
      </c>
      <c r="L528" t="str">
        <v>OK</v>
      </c>
      <c r="M528">
        <v>1</v>
      </c>
      <c r="O528">
        <f t="shared" si="64"/>
        <v>30</v>
      </c>
      <c r="P528">
        <f t="shared" si="65"/>
        <v>52.511249999999997</v>
      </c>
      <c r="Q528">
        <f t="shared" si="66"/>
        <v>90.909090909090907</v>
      </c>
      <c r="R528">
        <f t="shared" si="67"/>
        <v>1</v>
      </c>
      <c r="S528">
        <f t="shared" si="68"/>
        <v>90.909090909090907</v>
      </c>
      <c r="T528" t="str">
        <f t="shared" si="69"/>
        <v>OK</v>
      </c>
      <c r="U528" t="str">
        <f t="shared" si="70"/>
        <v>OK</v>
      </c>
      <c r="V528" t="str">
        <f t="shared" si="71"/>
        <v>OK</v>
      </c>
    </row>
    <row r="529" spans="1:22" x14ac:dyDescent="0.45">
      <c r="A529" t="str">
        <v>SO-50229</v>
      </c>
      <c r="B529" t="str">
        <v>PL-NTE</v>
      </c>
      <c r="C529" t="str">
        <v>CD-TIJ</v>
      </c>
      <c r="D529" t="str">
        <v>BOT-1006</v>
      </c>
      <c r="E529">
        <v>1104</v>
      </c>
      <c r="F529" s="1">
        <v>46175</v>
      </c>
      <c r="G529" t="str">
        <v>In Transit</v>
      </c>
      <c r="H529" t="str">
        <v>OK</v>
      </c>
      <c r="I529">
        <v>4.24</v>
      </c>
      <c r="J529">
        <v>41</v>
      </c>
      <c r="K529">
        <v>111</v>
      </c>
      <c r="L529" t="str">
        <v>OK</v>
      </c>
      <c r="M529">
        <v>2</v>
      </c>
      <c r="O529">
        <f t="shared" si="64"/>
        <v>26.926829268292682</v>
      </c>
      <c r="P529">
        <f t="shared" si="65"/>
        <v>19.503999999999998</v>
      </c>
      <c r="Q529">
        <f t="shared" si="66"/>
        <v>81.596452328159643</v>
      </c>
      <c r="R529">
        <f t="shared" si="67"/>
        <v>1</v>
      </c>
      <c r="S529">
        <f t="shared" si="68"/>
        <v>81.596452328159643</v>
      </c>
      <c r="T529" t="str">
        <f t="shared" si="69"/>
        <v>OK</v>
      </c>
      <c r="U529" t="str">
        <f t="shared" si="70"/>
        <v>OK</v>
      </c>
      <c r="V529" t="str">
        <f t="shared" si="71"/>
        <v>OK</v>
      </c>
    </row>
    <row r="530" spans="1:22" x14ac:dyDescent="0.45">
      <c r="A530" t="str">
        <v>SO-50284</v>
      </c>
      <c r="B530" t="str">
        <v>PL-SUR</v>
      </c>
      <c r="C530" t="str">
        <v>CD-MER</v>
      </c>
      <c r="D530" t="str">
        <v>LAC-1007</v>
      </c>
      <c r="E530">
        <v>1981</v>
      </c>
      <c r="F530" s="1">
        <v>46175</v>
      </c>
      <c r="G530" t="str">
        <v>In Transit</v>
      </c>
      <c r="H530" t="str">
        <v>OK</v>
      </c>
      <c r="I530">
        <v>10.37</v>
      </c>
      <c r="J530">
        <v>100</v>
      </c>
      <c r="K530">
        <v>24</v>
      </c>
      <c r="L530" t="str">
        <v>OK</v>
      </c>
      <c r="M530">
        <v>2</v>
      </c>
      <c r="O530">
        <f t="shared" si="64"/>
        <v>19.809999999999999</v>
      </c>
      <c r="P530">
        <f t="shared" si="65"/>
        <v>85.59570833333332</v>
      </c>
      <c r="Q530">
        <f t="shared" si="66"/>
        <v>60.030303030303024</v>
      </c>
      <c r="R530">
        <f t="shared" si="67"/>
        <v>1</v>
      </c>
      <c r="S530">
        <f t="shared" si="68"/>
        <v>85.59570833333332</v>
      </c>
      <c r="T530" t="str">
        <f t="shared" si="69"/>
        <v>OK</v>
      </c>
      <c r="U530" t="str">
        <f t="shared" si="70"/>
        <v>OK</v>
      </c>
      <c r="V530" t="str">
        <f t="shared" si="71"/>
        <v>OK</v>
      </c>
    </row>
    <row r="531" spans="1:22" x14ac:dyDescent="0.45">
      <c r="A531" t="str">
        <v>SO-50187</v>
      </c>
      <c r="B531" t="str">
        <v>PL-CEN</v>
      </c>
      <c r="C531" t="str">
        <v>CD-PUE</v>
      </c>
      <c r="D531" t="str">
        <v>ABA-1009</v>
      </c>
      <c r="E531">
        <v>1573</v>
      </c>
      <c r="F531" s="1">
        <v>46176</v>
      </c>
      <c r="G531" t="str">
        <v>In Transit</v>
      </c>
      <c r="H531" t="str">
        <v>OK</v>
      </c>
      <c r="I531">
        <v>14.79</v>
      </c>
      <c r="J531">
        <v>124</v>
      </c>
      <c r="K531">
        <v>423</v>
      </c>
      <c r="L531" t="str">
        <v>OK</v>
      </c>
      <c r="M531">
        <v>1</v>
      </c>
      <c r="O531">
        <f t="shared" si="64"/>
        <v>12.685483870967742</v>
      </c>
      <c r="P531">
        <f t="shared" si="65"/>
        <v>96.93612499999999</v>
      </c>
      <c r="Q531">
        <f t="shared" si="66"/>
        <v>38.44086021505376</v>
      </c>
      <c r="R531">
        <f t="shared" si="67"/>
        <v>1</v>
      </c>
      <c r="S531">
        <f t="shared" si="68"/>
        <v>96.93612499999999</v>
      </c>
      <c r="T531" t="str">
        <f t="shared" si="69"/>
        <v>OK</v>
      </c>
      <c r="U531" t="str">
        <f t="shared" si="70"/>
        <v>OK</v>
      </c>
      <c r="V531" t="str">
        <f t="shared" si="71"/>
        <v>OK</v>
      </c>
    </row>
    <row r="532" spans="1:22" x14ac:dyDescent="0.45">
      <c r="A532" t="str">
        <v>SO-50999</v>
      </c>
      <c r="B532" t="str">
        <v>PL-SUR</v>
      </c>
      <c r="C532" t="str">
        <v>CD-GDL</v>
      </c>
      <c r="D532" t="str">
        <v>ABA-1003</v>
      </c>
      <c r="E532">
        <v>1415</v>
      </c>
      <c r="F532" s="1">
        <v>46176</v>
      </c>
      <c r="G532" t="str">
        <v>In Transit</v>
      </c>
      <c r="H532" t="str">
        <v>OK</v>
      </c>
      <c r="I532">
        <v>8.67</v>
      </c>
      <c r="J532">
        <v>124</v>
      </c>
      <c r="K532">
        <v>512</v>
      </c>
      <c r="L532" t="str">
        <v>OK</v>
      </c>
      <c r="M532">
        <v>1</v>
      </c>
      <c r="O532">
        <f t="shared" si="64"/>
        <v>11.411290322580646</v>
      </c>
      <c r="P532">
        <f t="shared" si="65"/>
        <v>51.116874999999993</v>
      </c>
      <c r="Q532">
        <f t="shared" si="66"/>
        <v>34.579667644183779</v>
      </c>
      <c r="R532">
        <f t="shared" si="67"/>
        <v>1</v>
      </c>
      <c r="S532">
        <f t="shared" si="68"/>
        <v>51.116874999999993</v>
      </c>
      <c r="T532" t="str">
        <f t="shared" si="69"/>
        <v>CARGA INEFICIENTE</v>
      </c>
      <c r="U532" t="str">
        <f t="shared" si="70"/>
        <v>OK</v>
      </c>
      <c r="V532" t="str">
        <f t="shared" si="71"/>
        <v>OK</v>
      </c>
    </row>
    <row r="533" spans="1:22" x14ac:dyDescent="0.45">
      <c r="A533" t="str">
        <v>SO-50112</v>
      </c>
      <c r="B533" t="str">
        <v>PL-NTE</v>
      </c>
      <c r="C533" t="str">
        <v>CD-TIJ</v>
      </c>
      <c r="D533" t="str">
        <v>PRO-1000</v>
      </c>
      <c r="E533">
        <v>687</v>
      </c>
      <c r="F533" s="1">
        <v>46175</v>
      </c>
      <c r="G533" t="str">
        <v>In Transit</v>
      </c>
      <c r="H533" t="str">
        <v>OK</v>
      </c>
      <c r="I533">
        <v>12.51</v>
      </c>
      <c r="J533">
        <v>73</v>
      </c>
      <c r="K533">
        <v>75</v>
      </c>
      <c r="L533" t="str">
        <v>OK</v>
      </c>
      <c r="M533">
        <v>2</v>
      </c>
      <c r="O533">
        <f t="shared" si="64"/>
        <v>9.4109589041095898</v>
      </c>
      <c r="P533">
        <f t="shared" si="65"/>
        <v>35.809874999999998</v>
      </c>
      <c r="Q533">
        <f t="shared" si="66"/>
        <v>28.518057285180575</v>
      </c>
      <c r="R533">
        <f t="shared" si="67"/>
        <v>1</v>
      </c>
      <c r="S533">
        <f t="shared" si="68"/>
        <v>35.809874999999998</v>
      </c>
      <c r="T533" t="str">
        <f t="shared" si="69"/>
        <v>CARGA INEFICIENTE</v>
      </c>
      <c r="U533" t="str">
        <f t="shared" si="70"/>
        <v>OK</v>
      </c>
      <c r="V533" t="str">
        <f t="shared" si="71"/>
        <v>OK</v>
      </c>
    </row>
    <row r="534" spans="1:22" x14ac:dyDescent="0.45">
      <c r="A534" t="str">
        <v>SO-50438</v>
      </c>
      <c r="B534" t="str">
        <v>PL-CEN</v>
      </c>
      <c r="C534" t="str">
        <v>CD-QRO</v>
      </c>
      <c r="D534" t="str">
        <v>BOT-1021</v>
      </c>
      <c r="E534">
        <v>1457</v>
      </c>
      <c r="F534" s="1">
        <v>46176</v>
      </c>
      <c r="G534" t="str">
        <v>In Transit</v>
      </c>
      <c r="H534" t="str">
        <v>OK</v>
      </c>
      <c r="I534">
        <v>5.04</v>
      </c>
      <c r="J534">
        <v>47</v>
      </c>
      <c r="K534">
        <v>96</v>
      </c>
      <c r="L534" t="str">
        <v>OK</v>
      </c>
      <c r="M534">
        <v>1</v>
      </c>
      <c r="O534">
        <f t="shared" si="64"/>
        <v>31</v>
      </c>
      <c r="P534">
        <f t="shared" si="65"/>
        <v>30.596999999999998</v>
      </c>
      <c r="Q534">
        <f t="shared" si="66"/>
        <v>93.939393939393938</v>
      </c>
      <c r="R534">
        <f t="shared" si="67"/>
        <v>1</v>
      </c>
      <c r="S534">
        <f t="shared" si="68"/>
        <v>93.939393939393938</v>
      </c>
      <c r="T534" t="str">
        <f t="shared" si="69"/>
        <v>OK</v>
      </c>
      <c r="U534" t="str">
        <f t="shared" si="70"/>
        <v>OK</v>
      </c>
      <c r="V534" t="str">
        <f t="shared" si="71"/>
        <v>OK</v>
      </c>
    </row>
    <row r="535" spans="1:22" x14ac:dyDescent="0.45">
      <c r="A535" t="str">
        <v>SO-50400</v>
      </c>
      <c r="B535" t="str">
        <v>PL-SUR</v>
      </c>
      <c r="C535" t="str">
        <v>CD-LEO</v>
      </c>
      <c r="D535" t="str">
        <v>BEB-1002</v>
      </c>
      <c r="E535">
        <v>1257</v>
      </c>
      <c r="F535" s="1">
        <v>46176</v>
      </c>
      <c r="G535" t="str">
        <v>In Transit</v>
      </c>
      <c r="H535" t="str">
        <v>OK</v>
      </c>
      <c r="I535">
        <v>0</v>
      </c>
      <c r="J535">
        <v>69</v>
      </c>
      <c r="K535">
        <v>291</v>
      </c>
      <c r="L535" t="str">
        <v>OK</v>
      </c>
      <c r="M535">
        <v>1</v>
      </c>
      <c r="O535">
        <f t="shared" si="64"/>
        <v>18.217391304347824</v>
      </c>
      <c r="P535">
        <f t="shared" si="65"/>
        <v>0</v>
      </c>
      <c r="Q535">
        <f t="shared" si="66"/>
        <v>55.204216073781289</v>
      </c>
      <c r="R535">
        <f t="shared" si="67"/>
        <v>1</v>
      </c>
      <c r="S535">
        <f t="shared" si="68"/>
        <v>55.204216073781289</v>
      </c>
      <c r="T535" t="str">
        <f t="shared" si="69"/>
        <v>CARGA INEFICIENTE</v>
      </c>
      <c r="U535" t="str">
        <f t="shared" si="70"/>
        <v>OK</v>
      </c>
      <c r="V535" t="str">
        <f t="shared" si="71"/>
        <v>OK</v>
      </c>
    </row>
    <row r="536" spans="1:22" x14ac:dyDescent="0.45">
      <c r="A536" t="str">
        <v>SO-50141</v>
      </c>
      <c r="B536" t="str">
        <v>PL-NTE</v>
      </c>
      <c r="C536" t="str">
        <v>CD-CHI</v>
      </c>
      <c r="D536" t="str">
        <v>BEB-1005</v>
      </c>
      <c r="E536">
        <v>935</v>
      </c>
      <c r="F536" s="1">
        <v>46175</v>
      </c>
      <c r="G536" t="str">
        <v>In Transit</v>
      </c>
      <c r="H536" t="str">
        <v>OK</v>
      </c>
      <c r="I536">
        <v>14.2</v>
      </c>
      <c r="J536">
        <v>95</v>
      </c>
      <c r="K536">
        <v>277</v>
      </c>
      <c r="L536" t="str">
        <v>OK</v>
      </c>
      <c r="M536">
        <v>2</v>
      </c>
      <c r="O536">
        <f t="shared" si="64"/>
        <v>9.8421052631578956</v>
      </c>
      <c r="P536">
        <f t="shared" si="65"/>
        <v>55.320833333333333</v>
      </c>
      <c r="Q536">
        <f t="shared" si="66"/>
        <v>29.824561403508774</v>
      </c>
      <c r="R536">
        <f t="shared" si="67"/>
        <v>1</v>
      </c>
      <c r="S536">
        <f t="shared" si="68"/>
        <v>55.320833333333333</v>
      </c>
      <c r="T536" t="str">
        <f t="shared" si="69"/>
        <v>CARGA INEFICIENTE</v>
      </c>
      <c r="U536" t="str">
        <f t="shared" si="70"/>
        <v>OK</v>
      </c>
      <c r="V536" t="str">
        <f t="shared" si="71"/>
        <v>OK</v>
      </c>
    </row>
    <row r="537" spans="1:22" x14ac:dyDescent="0.45">
      <c r="A537" t="str">
        <v>SO-51093</v>
      </c>
      <c r="B537" t="str">
        <v>PL-NTE</v>
      </c>
      <c r="C537" t="str">
        <v>CD-MTY</v>
      </c>
      <c r="D537" t="str">
        <v>ABA-1019</v>
      </c>
      <c r="E537">
        <v>797</v>
      </c>
      <c r="F537" s="1">
        <v>46170</v>
      </c>
      <c r="G537" t="str">
        <v>In Transit</v>
      </c>
      <c r="H537" t="str">
        <v>OK</v>
      </c>
      <c r="I537">
        <v>14.82</v>
      </c>
      <c r="J537">
        <v>132</v>
      </c>
      <c r="K537">
        <v>373</v>
      </c>
      <c r="L537" t="str">
        <v>OK</v>
      </c>
      <c r="M537">
        <v>7</v>
      </c>
      <c r="O537">
        <f t="shared" si="64"/>
        <v>6.0378787878787881</v>
      </c>
      <c r="P537">
        <f t="shared" si="65"/>
        <v>49.214750000000002</v>
      </c>
      <c r="Q537">
        <f t="shared" si="66"/>
        <v>18.296602387511481</v>
      </c>
      <c r="R537">
        <f t="shared" si="67"/>
        <v>1</v>
      </c>
      <c r="S537">
        <f t="shared" si="68"/>
        <v>49.214750000000002</v>
      </c>
      <c r="T537" t="str">
        <f t="shared" si="69"/>
        <v>CARGA INEFICIENTE</v>
      </c>
      <c r="U537" t="str">
        <f t="shared" si="70"/>
        <v>OK</v>
      </c>
      <c r="V537" t="str">
        <f t="shared" si="71"/>
        <v>FANTASMA</v>
      </c>
    </row>
    <row r="538" spans="1:22" x14ac:dyDescent="0.45">
      <c r="A538" t="str">
        <v>SO-50048</v>
      </c>
      <c r="B538" t="str">
        <v>PL-CEN</v>
      </c>
      <c r="C538" t="str">
        <v>CD-QRO</v>
      </c>
      <c r="D538" t="str">
        <v>ABA-1006</v>
      </c>
      <c r="E538">
        <v>1003</v>
      </c>
      <c r="F538" s="1">
        <v>46176</v>
      </c>
      <c r="G538" t="str">
        <v>In Transit</v>
      </c>
      <c r="H538" t="str">
        <v>OK</v>
      </c>
      <c r="I538">
        <v>12.39</v>
      </c>
      <c r="J538">
        <v>134</v>
      </c>
      <c r="K538">
        <v>446</v>
      </c>
      <c r="L538" t="str">
        <v>OK</v>
      </c>
      <c r="M538">
        <v>1</v>
      </c>
      <c r="O538">
        <f t="shared" si="64"/>
        <v>7.4850746268656714</v>
      </c>
      <c r="P538">
        <f t="shared" si="65"/>
        <v>51.779874999999997</v>
      </c>
      <c r="Q538">
        <f t="shared" si="66"/>
        <v>22.682044323835367</v>
      </c>
      <c r="R538">
        <f t="shared" si="67"/>
        <v>1</v>
      </c>
      <c r="S538">
        <f t="shared" si="68"/>
        <v>51.779874999999997</v>
      </c>
      <c r="T538" t="str">
        <f t="shared" si="69"/>
        <v>CARGA INEFICIENTE</v>
      </c>
      <c r="U538" t="str">
        <f t="shared" si="70"/>
        <v>OK</v>
      </c>
      <c r="V538" t="str">
        <f t="shared" si="71"/>
        <v>OK</v>
      </c>
    </row>
    <row r="539" spans="1:22" x14ac:dyDescent="0.45">
      <c r="A539" t="str">
        <v>SO-50427</v>
      </c>
      <c r="B539" t="str">
        <v>PL-NTE</v>
      </c>
      <c r="C539" t="str">
        <v>CD-TIJ</v>
      </c>
      <c r="D539" t="str">
        <v>BEB-1001</v>
      </c>
      <c r="E539">
        <v>1096</v>
      </c>
      <c r="F539" s="1">
        <v>46175</v>
      </c>
      <c r="G539" t="str">
        <v>In Transit</v>
      </c>
      <c r="H539" t="str">
        <v>OK</v>
      </c>
      <c r="I539">
        <v>19.18</v>
      </c>
      <c r="J539">
        <v>95</v>
      </c>
      <c r="K539">
        <v>208</v>
      </c>
      <c r="L539" t="str">
        <v>OK</v>
      </c>
      <c r="M539">
        <v>2</v>
      </c>
      <c r="O539">
        <f t="shared" si="64"/>
        <v>11.536842105263158</v>
      </c>
      <c r="P539">
        <f t="shared" si="65"/>
        <v>87.588666666666654</v>
      </c>
      <c r="Q539">
        <f t="shared" si="66"/>
        <v>34.960127591706538</v>
      </c>
      <c r="R539">
        <f t="shared" si="67"/>
        <v>1</v>
      </c>
      <c r="S539">
        <f t="shared" si="68"/>
        <v>87.588666666666654</v>
      </c>
      <c r="T539" t="str">
        <f t="shared" si="69"/>
        <v>OK</v>
      </c>
      <c r="U539" t="str">
        <f t="shared" si="70"/>
        <v>OK</v>
      </c>
      <c r="V539" t="str">
        <f t="shared" si="71"/>
        <v>OK</v>
      </c>
    </row>
    <row r="540" spans="1:22" x14ac:dyDescent="0.45">
      <c r="A540" t="str">
        <v>SO-51094</v>
      </c>
      <c r="B540" t="str">
        <v>PL-CEN</v>
      </c>
      <c r="C540" t="str">
        <v>CD-TOL</v>
      </c>
      <c r="D540" t="str">
        <v>BOT-1012</v>
      </c>
      <c r="E540">
        <v>1928</v>
      </c>
      <c r="F540" s="1">
        <v>46169</v>
      </c>
      <c r="G540" t="str">
        <v>In Transit</v>
      </c>
      <c r="H540" t="str">
        <v>OK</v>
      </c>
      <c r="I540">
        <v>4.26</v>
      </c>
      <c r="J540">
        <v>68</v>
      </c>
      <c r="K540">
        <v>117</v>
      </c>
      <c r="L540" t="str">
        <v>OK</v>
      </c>
      <c r="M540">
        <v>8</v>
      </c>
      <c r="O540">
        <f t="shared" si="64"/>
        <v>28.352941176470587</v>
      </c>
      <c r="P540">
        <f t="shared" si="65"/>
        <v>34.221999999999994</v>
      </c>
      <c r="Q540">
        <f t="shared" si="66"/>
        <v>85.918003565062378</v>
      </c>
      <c r="R540">
        <f t="shared" si="67"/>
        <v>1</v>
      </c>
      <c r="S540">
        <f t="shared" si="68"/>
        <v>85.918003565062378</v>
      </c>
      <c r="T540" t="str">
        <f t="shared" si="69"/>
        <v>OK</v>
      </c>
      <c r="U540" t="str">
        <f t="shared" si="70"/>
        <v>OK</v>
      </c>
      <c r="V540" t="str">
        <f t="shared" si="71"/>
        <v>FANTASMA</v>
      </c>
    </row>
    <row r="541" spans="1:22" x14ac:dyDescent="0.45">
      <c r="A541" t="str">
        <v>SO-50563</v>
      </c>
      <c r="B541" t="str">
        <v>PL-CEN</v>
      </c>
      <c r="C541" t="str">
        <v>CD-CDMX</v>
      </c>
      <c r="D541" t="str">
        <v>ABA-1000</v>
      </c>
      <c r="E541">
        <v>1296</v>
      </c>
      <c r="F541" s="1">
        <v>46176</v>
      </c>
      <c r="G541" t="str">
        <v>Delivered</v>
      </c>
      <c r="H541" t="str">
        <v>OK</v>
      </c>
      <c r="I541">
        <v>15.2</v>
      </c>
      <c r="J541">
        <v>135</v>
      </c>
      <c r="K541">
        <v>361</v>
      </c>
      <c r="L541" t="str">
        <v>OK</v>
      </c>
      <c r="M541">
        <v>1</v>
      </c>
      <c r="O541">
        <f t="shared" si="64"/>
        <v>9.6</v>
      </c>
      <c r="P541">
        <f t="shared" si="65"/>
        <v>82.080000000000013</v>
      </c>
      <c r="Q541">
        <f t="shared" si="66"/>
        <v>29.09090909090909</v>
      </c>
      <c r="R541">
        <f t="shared" si="67"/>
        <v>1</v>
      </c>
      <c r="S541">
        <f t="shared" si="68"/>
        <v>82.080000000000013</v>
      </c>
      <c r="T541" t="str">
        <f t="shared" si="69"/>
        <v>OK</v>
      </c>
      <c r="U541" t="str">
        <f t="shared" si="70"/>
        <v>OK</v>
      </c>
      <c r="V541" t="str">
        <f t="shared" si="71"/>
        <v>OK</v>
      </c>
    </row>
    <row r="542" spans="1:22" x14ac:dyDescent="0.45">
      <c r="A542" t="str">
        <v>SO-50450</v>
      </c>
      <c r="B542" t="str">
        <v>PL-CEN</v>
      </c>
      <c r="C542" t="str">
        <v>CD-PUE</v>
      </c>
      <c r="D542" t="str">
        <v>ABA-1013</v>
      </c>
      <c r="E542">
        <v>1683</v>
      </c>
      <c r="F542" s="1">
        <v>46176</v>
      </c>
      <c r="G542" t="str">
        <v>In Transit</v>
      </c>
      <c r="H542" t="str">
        <v>OK</v>
      </c>
      <c r="I542">
        <v>12.02</v>
      </c>
      <c r="J542">
        <v>75</v>
      </c>
      <c r="K542">
        <v>402</v>
      </c>
      <c r="L542" t="str">
        <v>OK</v>
      </c>
      <c r="M542">
        <v>1</v>
      </c>
      <c r="O542">
        <f t="shared" si="64"/>
        <v>22.44</v>
      </c>
      <c r="P542">
        <f t="shared" si="65"/>
        <v>84.29025</v>
      </c>
      <c r="Q542">
        <f t="shared" si="66"/>
        <v>68</v>
      </c>
      <c r="R542">
        <f t="shared" si="67"/>
        <v>1</v>
      </c>
      <c r="S542">
        <f t="shared" si="68"/>
        <v>84.29025</v>
      </c>
      <c r="T542" t="str">
        <f t="shared" si="69"/>
        <v>OK</v>
      </c>
      <c r="U542" t="str">
        <f t="shared" si="70"/>
        <v>OK</v>
      </c>
      <c r="V542" t="str">
        <f t="shared" si="71"/>
        <v>OK</v>
      </c>
    </row>
    <row r="543" spans="1:22" x14ac:dyDescent="0.45">
      <c r="A543" t="str">
        <v>SO-50420</v>
      </c>
      <c r="B543" t="str">
        <v>PL-CEN</v>
      </c>
      <c r="C543" t="str">
        <v>CD-QRO</v>
      </c>
      <c r="D543" t="str">
        <v>BOT-1013</v>
      </c>
      <c r="E543">
        <v>1623</v>
      </c>
      <c r="F543" s="1">
        <v>46175</v>
      </c>
      <c r="G543" t="str">
        <v>In Transit</v>
      </c>
      <c r="H543" t="str">
        <v>OK</v>
      </c>
      <c r="I543">
        <v>4</v>
      </c>
      <c r="J543">
        <v>58</v>
      </c>
      <c r="K543">
        <v>112</v>
      </c>
      <c r="L543" t="str">
        <v>OK</v>
      </c>
      <c r="M543">
        <v>2</v>
      </c>
      <c r="O543">
        <f t="shared" si="64"/>
        <v>27.982758620689655</v>
      </c>
      <c r="P543">
        <f t="shared" si="65"/>
        <v>27.05</v>
      </c>
      <c r="Q543">
        <f t="shared" si="66"/>
        <v>84.796238244514115</v>
      </c>
      <c r="R543">
        <f t="shared" si="67"/>
        <v>1</v>
      </c>
      <c r="S543">
        <f t="shared" si="68"/>
        <v>84.796238244514115</v>
      </c>
      <c r="T543" t="str">
        <f t="shared" si="69"/>
        <v>OK</v>
      </c>
      <c r="U543" t="str">
        <f t="shared" si="70"/>
        <v>OK</v>
      </c>
      <c r="V543" t="str">
        <f t="shared" si="71"/>
        <v>OK</v>
      </c>
    </row>
    <row r="544" spans="1:22" x14ac:dyDescent="0.45">
      <c r="A544" t="str">
        <v>SO-50069</v>
      </c>
      <c r="B544" t="str">
        <v>PL-CEN</v>
      </c>
      <c r="C544" t="str">
        <v>CD-TOL</v>
      </c>
      <c r="D544" t="str">
        <v>BEB-1007</v>
      </c>
      <c r="E544">
        <v>1524</v>
      </c>
      <c r="F544" s="1">
        <v>46176</v>
      </c>
      <c r="G544" t="str">
        <v>In Transit</v>
      </c>
      <c r="H544" t="str">
        <v>OK</v>
      </c>
      <c r="I544">
        <v>13.67</v>
      </c>
      <c r="J544">
        <v>78</v>
      </c>
      <c r="K544">
        <v>247</v>
      </c>
      <c r="L544" t="str">
        <v>OK</v>
      </c>
      <c r="M544">
        <v>1</v>
      </c>
      <c r="O544">
        <f t="shared" si="64"/>
        <v>19.53846153846154</v>
      </c>
      <c r="P544">
        <f t="shared" si="65"/>
        <v>86.80449999999999</v>
      </c>
      <c r="Q544">
        <f t="shared" si="66"/>
        <v>59.207459207459209</v>
      </c>
      <c r="R544">
        <f t="shared" si="67"/>
        <v>1</v>
      </c>
      <c r="S544">
        <f t="shared" si="68"/>
        <v>86.80449999999999</v>
      </c>
      <c r="T544" t="str">
        <f t="shared" si="69"/>
        <v>OK</v>
      </c>
      <c r="U544" t="str">
        <f t="shared" si="70"/>
        <v>OK</v>
      </c>
      <c r="V544" t="str">
        <f t="shared" si="71"/>
        <v>OK</v>
      </c>
    </row>
    <row r="545" spans="1:22" x14ac:dyDescent="0.45">
      <c r="A545" t="str">
        <v>SO-50653</v>
      </c>
      <c r="B545" t="str">
        <v>PL-SUR</v>
      </c>
      <c r="C545" t="str">
        <v>CD-MER</v>
      </c>
      <c r="D545" t="str">
        <v>PRO-1000</v>
      </c>
      <c r="E545">
        <v>1778</v>
      </c>
      <c r="F545" s="1">
        <v>46174</v>
      </c>
      <c r="G545" t="str">
        <v>In Transit</v>
      </c>
      <c r="H545" t="str">
        <v>OK</v>
      </c>
      <c r="I545">
        <v>12.51</v>
      </c>
      <c r="J545">
        <v>73</v>
      </c>
      <c r="K545">
        <v>75</v>
      </c>
      <c r="L545" t="str">
        <v>OK</v>
      </c>
      <c r="M545">
        <v>3</v>
      </c>
      <c r="O545">
        <f t="shared" si="64"/>
        <v>24.356164383561644</v>
      </c>
      <c r="P545">
        <f t="shared" si="65"/>
        <v>92.678249999999991</v>
      </c>
      <c r="Q545">
        <f t="shared" si="66"/>
        <v>73.80655873806559</v>
      </c>
      <c r="R545">
        <f t="shared" si="67"/>
        <v>1</v>
      </c>
      <c r="S545">
        <f t="shared" si="68"/>
        <v>92.678249999999991</v>
      </c>
      <c r="T545" t="str">
        <f t="shared" si="69"/>
        <v>OK</v>
      </c>
      <c r="U545" t="str">
        <f t="shared" si="70"/>
        <v>OK</v>
      </c>
      <c r="V545" t="str">
        <f t="shared" si="71"/>
        <v>OK</v>
      </c>
    </row>
    <row r="546" spans="1:22" x14ac:dyDescent="0.45">
      <c r="A546" t="str">
        <v>SO-50942</v>
      </c>
      <c r="B546" t="str">
        <v>PL-CEN</v>
      </c>
      <c r="C546" t="str">
        <v>CD-QRO</v>
      </c>
      <c r="D546" t="str">
        <v>LAC-1010</v>
      </c>
      <c r="E546">
        <v>3427</v>
      </c>
      <c r="F546" s="1">
        <v>46175</v>
      </c>
      <c r="G546" t="str">
        <v>In Transit</v>
      </c>
      <c r="H546" t="str">
        <v>OK</v>
      </c>
      <c r="I546">
        <v>6.24</v>
      </c>
      <c r="J546">
        <v>146</v>
      </c>
      <c r="K546">
        <v>24</v>
      </c>
      <c r="L546" t="str">
        <v>OK</v>
      </c>
      <c r="M546">
        <v>2</v>
      </c>
      <c r="O546">
        <f t="shared" si="64"/>
        <v>23.472602739726028</v>
      </c>
      <c r="P546">
        <f t="shared" si="65"/>
        <v>89.102000000000004</v>
      </c>
      <c r="Q546">
        <f t="shared" si="66"/>
        <v>71.129099211290992</v>
      </c>
      <c r="R546">
        <f t="shared" si="67"/>
        <v>1</v>
      </c>
      <c r="S546">
        <f t="shared" si="68"/>
        <v>89.102000000000004</v>
      </c>
      <c r="T546" t="str">
        <f t="shared" si="69"/>
        <v>OK</v>
      </c>
      <c r="U546" t="str">
        <f t="shared" si="70"/>
        <v>OK</v>
      </c>
      <c r="V546" t="str">
        <f t="shared" si="71"/>
        <v>OK</v>
      </c>
    </row>
    <row r="547" spans="1:22" x14ac:dyDescent="0.45">
      <c r="A547" t="str">
        <v>SO-50246</v>
      </c>
      <c r="B547" t="str">
        <v>PL-SUR</v>
      </c>
      <c r="C547" t="str">
        <v>CD-LEO</v>
      </c>
      <c r="D547" t="str">
        <v>LAC-1008</v>
      </c>
      <c r="E547">
        <v>1919</v>
      </c>
      <c r="F547" s="1">
        <v>46175</v>
      </c>
      <c r="G547" t="str">
        <v>In Transit</v>
      </c>
      <c r="H547" t="str">
        <v>OK</v>
      </c>
      <c r="I547">
        <v>9.8000000000000007</v>
      </c>
      <c r="J547">
        <v>83</v>
      </c>
      <c r="K547">
        <v>15</v>
      </c>
      <c r="L547" t="str">
        <v>OK</v>
      </c>
      <c r="M547">
        <v>2</v>
      </c>
      <c r="O547">
        <f t="shared" si="64"/>
        <v>23.120481927710845</v>
      </c>
      <c r="P547">
        <f t="shared" si="65"/>
        <v>78.359166666666667</v>
      </c>
      <c r="Q547">
        <f t="shared" si="66"/>
        <v>70.062066447608615</v>
      </c>
      <c r="R547">
        <f t="shared" si="67"/>
        <v>1</v>
      </c>
      <c r="S547">
        <f t="shared" si="68"/>
        <v>78.359166666666667</v>
      </c>
      <c r="T547" t="str">
        <f t="shared" si="69"/>
        <v>OK</v>
      </c>
      <c r="U547" t="str">
        <f t="shared" si="70"/>
        <v>OK</v>
      </c>
      <c r="V547" t="str">
        <f t="shared" si="71"/>
        <v>OK</v>
      </c>
    </row>
    <row r="548" spans="1:22" x14ac:dyDescent="0.45">
      <c r="A548" t="str">
        <v>SO-50003</v>
      </c>
      <c r="B548" t="str">
        <v>PL-CEN</v>
      </c>
      <c r="C548" t="str">
        <v>CD-TOL</v>
      </c>
      <c r="D548" t="str">
        <v>ABA-1013</v>
      </c>
      <c r="E548">
        <v>1603</v>
      </c>
      <c r="F548" s="1">
        <v>46176</v>
      </c>
      <c r="G548" t="str">
        <v>In Transit</v>
      </c>
      <c r="H548" t="str">
        <v>OK</v>
      </c>
      <c r="I548">
        <v>12.02</v>
      </c>
      <c r="J548">
        <v>75</v>
      </c>
      <c r="K548">
        <v>402</v>
      </c>
      <c r="L548" t="str">
        <v>OK</v>
      </c>
      <c r="M548">
        <v>1</v>
      </c>
      <c r="O548">
        <f t="shared" si="64"/>
        <v>21.373333333333335</v>
      </c>
      <c r="P548">
        <f t="shared" si="65"/>
        <v>80.283583333333326</v>
      </c>
      <c r="Q548">
        <f t="shared" si="66"/>
        <v>64.767676767676775</v>
      </c>
      <c r="R548">
        <f t="shared" si="67"/>
        <v>1</v>
      </c>
      <c r="S548">
        <f t="shared" si="68"/>
        <v>80.283583333333326</v>
      </c>
      <c r="T548" t="str">
        <f t="shared" si="69"/>
        <v>OK</v>
      </c>
      <c r="U548" t="str">
        <f t="shared" si="70"/>
        <v>OK</v>
      </c>
      <c r="V548" t="str">
        <f t="shared" si="71"/>
        <v>OK</v>
      </c>
    </row>
    <row r="549" spans="1:22" x14ac:dyDescent="0.45">
      <c r="A549" t="str">
        <v>SO-50695</v>
      </c>
      <c r="B549" t="str">
        <v>PL-SUR</v>
      </c>
      <c r="C549" t="str">
        <v>CD-LEO</v>
      </c>
      <c r="D549" t="str">
        <v>LAC-1004</v>
      </c>
      <c r="E549">
        <v>1975</v>
      </c>
      <c r="F549" s="1">
        <v>46176</v>
      </c>
      <c r="G549" t="str">
        <v>In Transit</v>
      </c>
      <c r="H549" t="str">
        <v>OK</v>
      </c>
      <c r="I549">
        <v>11.45</v>
      </c>
      <c r="J549">
        <v>93</v>
      </c>
      <c r="K549">
        <v>16</v>
      </c>
      <c r="L549" t="str">
        <v>OK</v>
      </c>
      <c r="M549">
        <v>1</v>
      </c>
      <c r="O549">
        <f t="shared" si="64"/>
        <v>21.236559139784948</v>
      </c>
      <c r="P549">
        <f t="shared" si="65"/>
        <v>94.223958333333329</v>
      </c>
      <c r="Q549">
        <f t="shared" si="66"/>
        <v>64.353209514499838</v>
      </c>
      <c r="R549">
        <f t="shared" si="67"/>
        <v>1</v>
      </c>
      <c r="S549">
        <f t="shared" si="68"/>
        <v>94.223958333333329</v>
      </c>
      <c r="T549" t="str">
        <f t="shared" si="69"/>
        <v>OK</v>
      </c>
      <c r="U549" t="str">
        <f t="shared" si="70"/>
        <v>OK</v>
      </c>
      <c r="V549" t="str">
        <f t="shared" si="71"/>
        <v>OK</v>
      </c>
    </row>
    <row r="550" spans="1:22" x14ac:dyDescent="0.45">
      <c r="A550" t="str">
        <v>SO-50922</v>
      </c>
      <c r="B550" t="str">
        <v>PL-CEN</v>
      </c>
      <c r="C550" t="str">
        <v>CD-CDMX</v>
      </c>
      <c r="D550" t="str">
        <v>BOT-1022</v>
      </c>
      <c r="E550">
        <v>685</v>
      </c>
      <c r="F550" s="1">
        <v>46176</v>
      </c>
      <c r="G550" t="str">
        <v>In Transit</v>
      </c>
      <c r="H550" t="str">
        <v>OK</v>
      </c>
      <c r="I550">
        <v>3.48</v>
      </c>
      <c r="J550">
        <v>55</v>
      </c>
      <c r="K550">
        <v>118</v>
      </c>
      <c r="L550" t="str">
        <v>OK</v>
      </c>
      <c r="M550">
        <v>1</v>
      </c>
      <c r="O550">
        <f t="shared" si="64"/>
        <v>12.454545454545455</v>
      </c>
      <c r="P550">
        <f t="shared" si="65"/>
        <v>9.932500000000001</v>
      </c>
      <c r="Q550">
        <f t="shared" si="66"/>
        <v>37.741046831955927</v>
      </c>
      <c r="R550">
        <f t="shared" si="67"/>
        <v>1</v>
      </c>
      <c r="S550">
        <f t="shared" si="68"/>
        <v>37.741046831955927</v>
      </c>
      <c r="T550" t="str">
        <f t="shared" si="69"/>
        <v>CARGA INEFICIENTE</v>
      </c>
      <c r="U550" t="str">
        <f t="shared" si="70"/>
        <v>OK</v>
      </c>
      <c r="V550" t="str">
        <f t="shared" si="71"/>
        <v>OK</v>
      </c>
    </row>
    <row r="551" spans="1:22" x14ac:dyDescent="0.45">
      <c r="A551" t="str">
        <v>SO-50687</v>
      </c>
      <c r="B551" t="str">
        <v>PL-SUR</v>
      </c>
      <c r="C551" t="str">
        <v>CD-MOR</v>
      </c>
      <c r="D551" t="str">
        <v>BOT-1021</v>
      </c>
      <c r="E551">
        <v>753</v>
      </c>
      <c r="F551" s="1">
        <v>46175</v>
      </c>
      <c r="G551" t="str">
        <v>In Transit</v>
      </c>
      <c r="H551" t="str">
        <v>OK</v>
      </c>
      <c r="I551">
        <v>5.04</v>
      </c>
      <c r="J551">
        <v>47</v>
      </c>
      <c r="K551">
        <v>96</v>
      </c>
      <c r="L551" t="str">
        <v>OK</v>
      </c>
      <c r="M551">
        <v>2</v>
      </c>
      <c r="O551">
        <f t="shared" si="64"/>
        <v>16.021276595744681</v>
      </c>
      <c r="P551">
        <f t="shared" si="65"/>
        <v>15.812999999999999</v>
      </c>
      <c r="Q551">
        <f t="shared" si="66"/>
        <v>48.549323017408128</v>
      </c>
      <c r="R551">
        <f t="shared" si="67"/>
        <v>1</v>
      </c>
      <c r="S551">
        <f t="shared" si="68"/>
        <v>48.549323017408128</v>
      </c>
      <c r="T551" t="str">
        <f t="shared" si="69"/>
        <v>CARGA INEFICIENTE</v>
      </c>
      <c r="U551" t="str">
        <f t="shared" si="70"/>
        <v>OK</v>
      </c>
      <c r="V551" t="str">
        <f t="shared" si="71"/>
        <v>OK</v>
      </c>
    </row>
    <row r="552" spans="1:22" x14ac:dyDescent="0.45">
      <c r="A552" t="str">
        <v>SO-50973</v>
      </c>
      <c r="B552" t="str">
        <v>PL-SUR</v>
      </c>
      <c r="C552" t="str">
        <v>CD-CAN</v>
      </c>
      <c r="D552" t="str">
        <v>BOT-1014</v>
      </c>
      <c r="E552">
        <v>1447</v>
      </c>
      <c r="F552" s="1">
        <v>46173</v>
      </c>
      <c r="G552" t="str">
        <v>In Transit</v>
      </c>
      <c r="H552" t="str">
        <v>OK</v>
      </c>
      <c r="I552">
        <v>3.92</v>
      </c>
      <c r="J552">
        <v>49</v>
      </c>
      <c r="K552">
        <v>98</v>
      </c>
      <c r="L552" t="str">
        <v>OK</v>
      </c>
      <c r="M552">
        <v>4</v>
      </c>
      <c r="O552">
        <f t="shared" si="64"/>
        <v>29.530612244897959</v>
      </c>
      <c r="P552">
        <f t="shared" si="65"/>
        <v>23.634333333333331</v>
      </c>
      <c r="Q552">
        <f t="shared" si="66"/>
        <v>89.486703772418068</v>
      </c>
      <c r="R552">
        <f t="shared" si="67"/>
        <v>1</v>
      </c>
      <c r="S552">
        <f t="shared" si="68"/>
        <v>89.486703772418068</v>
      </c>
      <c r="T552" t="str">
        <f t="shared" si="69"/>
        <v>OK</v>
      </c>
      <c r="U552" t="str">
        <f t="shared" si="70"/>
        <v>OK</v>
      </c>
      <c r="V552" t="str">
        <f t="shared" si="71"/>
        <v>OK</v>
      </c>
    </row>
    <row r="553" spans="1:22" x14ac:dyDescent="0.45">
      <c r="A553" t="str">
        <v>SO-50885</v>
      </c>
      <c r="B553" t="str">
        <v>PL-NTE</v>
      </c>
      <c r="C553" t="str">
        <v>CD-TIJ</v>
      </c>
      <c r="D553" t="str">
        <v>BOT-1019</v>
      </c>
      <c r="E553">
        <v>2198</v>
      </c>
      <c r="F553" s="1">
        <v>46176</v>
      </c>
      <c r="G553" t="str">
        <v>In Transit</v>
      </c>
      <c r="H553" t="str">
        <v>OK</v>
      </c>
      <c r="I553">
        <v>3.44</v>
      </c>
      <c r="J553">
        <v>85</v>
      </c>
      <c r="K553">
        <v>102</v>
      </c>
      <c r="L553" t="str">
        <v>OK</v>
      </c>
      <c r="M553">
        <v>1</v>
      </c>
      <c r="O553">
        <f t="shared" si="64"/>
        <v>25.858823529411765</v>
      </c>
      <c r="P553">
        <f t="shared" si="65"/>
        <v>31.504666666666665</v>
      </c>
      <c r="Q553">
        <f t="shared" si="66"/>
        <v>78.360071301247771</v>
      </c>
      <c r="R553">
        <f t="shared" si="67"/>
        <v>1</v>
      </c>
      <c r="S553">
        <f t="shared" si="68"/>
        <v>78.360071301247771</v>
      </c>
      <c r="T553" t="str">
        <f t="shared" si="69"/>
        <v>OK</v>
      </c>
      <c r="U553" t="str">
        <f t="shared" si="70"/>
        <v>OK</v>
      </c>
      <c r="V553" t="str">
        <f t="shared" si="71"/>
        <v>OK</v>
      </c>
    </row>
    <row r="554" spans="1:22" x14ac:dyDescent="0.45">
      <c r="A554" t="str">
        <v>SO-51002</v>
      </c>
      <c r="B554" t="str">
        <v>PL-NTE</v>
      </c>
      <c r="C554" t="str">
        <v>CD-CHI</v>
      </c>
      <c r="D554" t="str">
        <v>LAC-1006</v>
      </c>
      <c r="E554">
        <v>1403</v>
      </c>
      <c r="F554" s="1">
        <v>46163</v>
      </c>
      <c r="G554" t="str">
        <v>Delivered</v>
      </c>
      <c r="H554" t="str">
        <v>OK</v>
      </c>
      <c r="I554">
        <v>10.029999999999999</v>
      </c>
      <c r="J554">
        <v>126</v>
      </c>
      <c r="K554">
        <v>17</v>
      </c>
      <c r="L554" t="str">
        <v>OK</v>
      </c>
      <c r="M554">
        <v>14</v>
      </c>
      <c r="O554">
        <f t="shared" si="64"/>
        <v>11.134920634920634</v>
      </c>
      <c r="P554">
        <f t="shared" si="65"/>
        <v>58.633708333333324</v>
      </c>
      <c r="Q554">
        <f t="shared" si="66"/>
        <v>33.742183742183741</v>
      </c>
      <c r="R554">
        <f t="shared" si="67"/>
        <v>1</v>
      </c>
      <c r="S554">
        <f t="shared" si="68"/>
        <v>58.633708333333324</v>
      </c>
      <c r="T554" t="str">
        <f t="shared" si="69"/>
        <v>CARGA INEFICIENTE</v>
      </c>
      <c r="U554" t="str">
        <f t="shared" si="70"/>
        <v>FEFO RIESGO</v>
      </c>
      <c r="V554" t="str">
        <f t="shared" si="71"/>
        <v>OK</v>
      </c>
    </row>
    <row r="555" spans="1:22" x14ac:dyDescent="0.45">
      <c r="A555" t="str">
        <v>SO-50669</v>
      </c>
      <c r="B555" t="str">
        <v>PL-SUR</v>
      </c>
      <c r="C555" t="str">
        <v>CD-GDL</v>
      </c>
      <c r="D555" t="str">
        <v>BEB-1012</v>
      </c>
      <c r="E555">
        <v>1364</v>
      </c>
      <c r="F555" s="1">
        <v>46176</v>
      </c>
      <c r="G555" t="str">
        <v>Delivered</v>
      </c>
      <c r="H555" t="str">
        <v>OK</v>
      </c>
      <c r="I555">
        <v>15.66</v>
      </c>
      <c r="J555">
        <v>72</v>
      </c>
      <c r="K555">
        <v>306</v>
      </c>
      <c r="L555" t="str">
        <v>OK</v>
      </c>
      <c r="M555">
        <v>1</v>
      </c>
      <c r="O555">
        <f t="shared" si="64"/>
        <v>18.944444444444443</v>
      </c>
      <c r="P555">
        <f t="shared" si="65"/>
        <v>89.001000000000005</v>
      </c>
      <c r="Q555">
        <f t="shared" si="66"/>
        <v>57.407407407407405</v>
      </c>
      <c r="R555">
        <f t="shared" si="67"/>
        <v>1</v>
      </c>
      <c r="S555">
        <f t="shared" si="68"/>
        <v>89.001000000000005</v>
      </c>
      <c r="T555" t="str">
        <f t="shared" si="69"/>
        <v>OK</v>
      </c>
      <c r="U555" t="str">
        <f t="shared" si="70"/>
        <v>OK</v>
      </c>
      <c r="V555" t="str">
        <f t="shared" si="71"/>
        <v>OK</v>
      </c>
    </row>
    <row r="556" spans="1:22" x14ac:dyDescent="0.45">
      <c r="A556" t="str">
        <v>SO-50898</v>
      </c>
      <c r="B556" t="str">
        <v>PL-SUR</v>
      </c>
      <c r="C556" t="str">
        <v>CD-CAN</v>
      </c>
      <c r="D556" t="str">
        <v>BEB-1009</v>
      </c>
      <c r="E556">
        <v>316</v>
      </c>
      <c r="F556" s="1">
        <v>46172</v>
      </c>
      <c r="G556" t="str">
        <v>In Transit</v>
      </c>
      <c r="H556" t="str">
        <v>OK</v>
      </c>
      <c r="I556">
        <v>18.170000000000002</v>
      </c>
      <c r="J556">
        <v>61</v>
      </c>
      <c r="K556">
        <v>188</v>
      </c>
      <c r="L556" t="str">
        <v>OK</v>
      </c>
      <c r="M556">
        <v>5</v>
      </c>
      <c r="O556">
        <f t="shared" si="64"/>
        <v>5.1803278688524594</v>
      </c>
      <c r="P556">
        <f t="shared" si="65"/>
        <v>23.923833333333334</v>
      </c>
      <c r="Q556">
        <f t="shared" si="66"/>
        <v>15.697963238946846</v>
      </c>
      <c r="R556">
        <f t="shared" si="67"/>
        <v>1</v>
      </c>
      <c r="S556">
        <f t="shared" si="68"/>
        <v>23.923833333333334</v>
      </c>
      <c r="T556" t="str">
        <f t="shared" si="69"/>
        <v>CARGA INEFICIENTE</v>
      </c>
      <c r="U556" t="str">
        <f t="shared" si="70"/>
        <v>OK</v>
      </c>
      <c r="V556" t="str">
        <f t="shared" si="71"/>
        <v>OK</v>
      </c>
    </row>
    <row r="557" spans="1:22" x14ac:dyDescent="0.45">
      <c r="A557" t="str">
        <v>SO-50545</v>
      </c>
      <c r="B557" t="str">
        <v>PL-NTE</v>
      </c>
      <c r="C557" t="str">
        <v>CD-MTY</v>
      </c>
      <c r="D557" t="str">
        <v>ABA-1006</v>
      </c>
      <c r="E557">
        <v>1003</v>
      </c>
      <c r="F557" s="1">
        <v>46176</v>
      </c>
      <c r="G557" t="str">
        <v>In Transit</v>
      </c>
      <c r="H557" t="str">
        <v>OK</v>
      </c>
      <c r="I557">
        <v>12.39</v>
      </c>
      <c r="J557">
        <v>134</v>
      </c>
      <c r="K557">
        <v>446</v>
      </c>
      <c r="L557" t="str">
        <v>OK</v>
      </c>
      <c r="M557">
        <v>1</v>
      </c>
      <c r="O557">
        <f t="shared" si="64"/>
        <v>7.4850746268656714</v>
      </c>
      <c r="P557">
        <f t="shared" si="65"/>
        <v>51.779874999999997</v>
      </c>
      <c r="Q557">
        <f t="shared" si="66"/>
        <v>22.682044323835367</v>
      </c>
      <c r="R557">
        <f t="shared" si="67"/>
        <v>1</v>
      </c>
      <c r="S557">
        <f t="shared" si="68"/>
        <v>51.779874999999997</v>
      </c>
      <c r="T557" t="str">
        <f t="shared" si="69"/>
        <v>CARGA INEFICIENTE</v>
      </c>
      <c r="U557" t="str">
        <f t="shared" si="70"/>
        <v>OK</v>
      </c>
      <c r="V557" t="str">
        <f t="shared" si="71"/>
        <v>OK</v>
      </c>
    </row>
    <row r="558" spans="1:22" x14ac:dyDescent="0.45">
      <c r="A558" t="str">
        <v>SO-50013</v>
      </c>
      <c r="B558" t="str">
        <v>PL-NTE</v>
      </c>
      <c r="C558" t="str">
        <v>CD-HER</v>
      </c>
      <c r="D558" t="str">
        <v>BOT-1006</v>
      </c>
      <c r="E558">
        <v>1200</v>
      </c>
      <c r="F558" s="1">
        <v>46173</v>
      </c>
      <c r="G558" t="str">
        <v>In Transit</v>
      </c>
      <c r="H558" t="str">
        <v>OK</v>
      </c>
      <c r="I558">
        <v>4.24</v>
      </c>
      <c r="J558">
        <v>41</v>
      </c>
      <c r="K558">
        <v>111</v>
      </c>
      <c r="L558" t="str">
        <v>OK</v>
      </c>
      <c r="M558">
        <v>4</v>
      </c>
      <c r="O558">
        <f t="shared" si="64"/>
        <v>29.26829268292683</v>
      </c>
      <c r="P558">
        <f t="shared" si="65"/>
        <v>21.2</v>
      </c>
      <c r="Q558">
        <f t="shared" si="66"/>
        <v>88.69179600886919</v>
      </c>
      <c r="R558">
        <f t="shared" si="67"/>
        <v>1</v>
      </c>
      <c r="S558">
        <f t="shared" si="68"/>
        <v>88.69179600886919</v>
      </c>
      <c r="T558" t="str">
        <f t="shared" si="69"/>
        <v>OK</v>
      </c>
      <c r="U558" t="str">
        <f t="shared" si="70"/>
        <v>OK</v>
      </c>
      <c r="V558" t="str">
        <f t="shared" si="71"/>
        <v>OK</v>
      </c>
    </row>
    <row r="559" spans="1:22" x14ac:dyDescent="0.45">
      <c r="A559" t="str">
        <v>SO-50345</v>
      </c>
      <c r="B559" t="str">
        <v>PL-CEN</v>
      </c>
      <c r="C559" t="str">
        <v>CD-VER</v>
      </c>
      <c r="D559" t="str">
        <v>PRO-1002</v>
      </c>
      <c r="E559">
        <v>1432</v>
      </c>
      <c r="F559" s="1">
        <v>46174</v>
      </c>
      <c r="G559" t="str">
        <v>In Transit</v>
      </c>
      <c r="H559" t="str">
        <v>OK</v>
      </c>
      <c r="I559">
        <v>9.6999999999999993</v>
      </c>
      <c r="J559">
        <v>98</v>
      </c>
      <c r="K559">
        <v>115</v>
      </c>
      <c r="L559" t="str">
        <v>OK</v>
      </c>
      <c r="M559">
        <v>3</v>
      </c>
      <c r="O559">
        <f t="shared" si="64"/>
        <v>14.612244897959183</v>
      </c>
      <c r="P559">
        <f t="shared" si="65"/>
        <v>57.876666666666665</v>
      </c>
      <c r="Q559">
        <f t="shared" si="66"/>
        <v>44.279529993815707</v>
      </c>
      <c r="R559">
        <f t="shared" si="67"/>
        <v>1</v>
      </c>
      <c r="S559">
        <f t="shared" si="68"/>
        <v>57.876666666666665</v>
      </c>
      <c r="T559" t="str">
        <f t="shared" si="69"/>
        <v>CARGA INEFICIENTE</v>
      </c>
      <c r="U559" t="str">
        <f t="shared" si="70"/>
        <v>OK</v>
      </c>
      <c r="V559" t="str">
        <f t="shared" si="71"/>
        <v>OK</v>
      </c>
    </row>
    <row r="560" spans="1:22" x14ac:dyDescent="0.45">
      <c r="A560" t="str">
        <v>SO-50245</v>
      </c>
      <c r="B560" t="str">
        <v>PL-SUR</v>
      </c>
      <c r="C560" t="str">
        <v>CD-CAN</v>
      </c>
      <c r="D560" t="str">
        <v>BEB-1013</v>
      </c>
      <c r="E560">
        <v>1123</v>
      </c>
      <c r="F560" s="1">
        <v>46176</v>
      </c>
      <c r="G560" t="str">
        <v>In Transit</v>
      </c>
      <c r="H560" t="str">
        <v>OK</v>
      </c>
      <c r="I560">
        <v>17.28</v>
      </c>
      <c r="J560">
        <v>97</v>
      </c>
      <c r="K560">
        <v>271</v>
      </c>
      <c r="L560" t="str">
        <v>OK</v>
      </c>
      <c r="M560">
        <v>1</v>
      </c>
      <c r="O560">
        <f t="shared" si="64"/>
        <v>11.577319587628866</v>
      </c>
      <c r="P560">
        <f t="shared" si="65"/>
        <v>80.856000000000009</v>
      </c>
      <c r="Q560">
        <f t="shared" si="66"/>
        <v>35.082786629178379</v>
      </c>
      <c r="R560">
        <f t="shared" si="67"/>
        <v>1</v>
      </c>
      <c r="S560">
        <f t="shared" si="68"/>
        <v>80.856000000000009</v>
      </c>
      <c r="T560" t="str">
        <f t="shared" si="69"/>
        <v>OK</v>
      </c>
      <c r="U560" t="str">
        <f t="shared" si="70"/>
        <v>OK</v>
      </c>
      <c r="V560" t="str">
        <f t="shared" si="71"/>
        <v>OK</v>
      </c>
    </row>
    <row r="561" spans="1:22" x14ac:dyDescent="0.45">
      <c r="A561" t="str">
        <v>SO-50721</v>
      </c>
      <c r="B561" t="str">
        <v>PL-SUR</v>
      </c>
      <c r="C561" t="str">
        <v>CD-GDL</v>
      </c>
      <c r="D561" t="str">
        <v>PRO-1011</v>
      </c>
      <c r="E561">
        <v>1294</v>
      </c>
      <c r="F561" s="1">
        <v>46176</v>
      </c>
      <c r="G561" t="str">
        <v>In Transit</v>
      </c>
      <c r="H561" t="str">
        <v>OK</v>
      </c>
      <c r="I561">
        <v>4.3600000000000003</v>
      </c>
      <c r="J561">
        <v>88</v>
      </c>
      <c r="K561">
        <v>108</v>
      </c>
      <c r="L561" t="str">
        <v>OK</v>
      </c>
      <c r="M561">
        <v>1</v>
      </c>
      <c r="O561">
        <f t="shared" si="64"/>
        <v>14.704545454545455</v>
      </c>
      <c r="P561">
        <f t="shared" si="65"/>
        <v>23.507666666666669</v>
      </c>
      <c r="Q561">
        <f t="shared" si="66"/>
        <v>44.559228650137747</v>
      </c>
      <c r="R561">
        <f t="shared" si="67"/>
        <v>1</v>
      </c>
      <c r="S561">
        <f t="shared" si="68"/>
        <v>44.559228650137747</v>
      </c>
      <c r="T561" t="str">
        <f t="shared" si="69"/>
        <v>CARGA INEFICIENTE</v>
      </c>
      <c r="U561" t="str">
        <f t="shared" si="70"/>
        <v>OK</v>
      </c>
      <c r="V561" t="str">
        <f t="shared" si="71"/>
        <v>OK</v>
      </c>
    </row>
    <row r="562" spans="1:22" x14ac:dyDescent="0.45">
      <c r="A562" t="str">
        <v>SO-50371</v>
      </c>
      <c r="B562" t="str">
        <v>PL-CEN</v>
      </c>
      <c r="C562" t="str">
        <v>CD-VER</v>
      </c>
      <c r="D562" t="str">
        <v>ABA-1004</v>
      </c>
      <c r="E562">
        <v>1595</v>
      </c>
      <c r="F562" s="1">
        <v>46176</v>
      </c>
      <c r="G562" t="str">
        <v>In Transit</v>
      </c>
      <c r="H562" t="str">
        <v>OK</v>
      </c>
      <c r="I562">
        <v>12.85</v>
      </c>
      <c r="J562">
        <v>91</v>
      </c>
      <c r="K562">
        <v>297</v>
      </c>
      <c r="L562" t="str">
        <v>OK</v>
      </c>
      <c r="M562">
        <v>1</v>
      </c>
      <c r="O562">
        <f t="shared" si="64"/>
        <v>17.527472527472529</v>
      </c>
      <c r="P562">
        <f t="shared" si="65"/>
        <v>85.398958333333326</v>
      </c>
      <c r="Q562">
        <f t="shared" si="66"/>
        <v>53.113553113553117</v>
      </c>
      <c r="R562">
        <f t="shared" si="67"/>
        <v>1</v>
      </c>
      <c r="S562">
        <f t="shared" si="68"/>
        <v>85.398958333333326</v>
      </c>
      <c r="T562" t="str">
        <f t="shared" si="69"/>
        <v>OK</v>
      </c>
      <c r="U562" t="str">
        <f t="shared" si="70"/>
        <v>OK</v>
      </c>
      <c r="V562" t="str">
        <f t="shared" si="71"/>
        <v>OK</v>
      </c>
    </row>
    <row r="563" spans="1:22" x14ac:dyDescent="0.45">
      <c r="A563" t="str">
        <v>SO-50807</v>
      </c>
      <c r="B563" t="str">
        <v>PL-CEN</v>
      </c>
      <c r="C563" t="str">
        <v>CD-CDMX</v>
      </c>
      <c r="D563" t="str">
        <v>PRO-1001</v>
      </c>
      <c r="E563">
        <v>2394</v>
      </c>
      <c r="F563" s="1">
        <v>46176</v>
      </c>
      <c r="G563" t="str">
        <v>In Transit</v>
      </c>
      <c r="H563" t="str">
        <v>OK</v>
      </c>
      <c r="I563">
        <v>9.57</v>
      </c>
      <c r="J563">
        <v>92</v>
      </c>
      <c r="K563">
        <v>122</v>
      </c>
      <c r="L563" t="str">
        <v>OK</v>
      </c>
      <c r="M563">
        <v>1</v>
      </c>
      <c r="O563">
        <f t="shared" si="64"/>
        <v>26.021739130434781</v>
      </c>
      <c r="P563">
        <f t="shared" si="65"/>
        <v>95.460750000000004</v>
      </c>
      <c r="Q563">
        <f t="shared" si="66"/>
        <v>78.853754940711468</v>
      </c>
      <c r="R563">
        <f t="shared" si="67"/>
        <v>1</v>
      </c>
      <c r="S563">
        <f t="shared" si="68"/>
        <v>95.460750000000004</v>
      </c>
      <c r="T563" t="str">
        <f t="shared" si="69"/>
        <v>OK</v>
      </c>
      <c r="U563" t="str">
        <f t="shared" si="70"/>
        <v>OK</v>
      </c>
      <c r="V563" t="str">
        <f t="shared" si="71"/>
        <v>OK</v>
      </c>
    </row>
    <row r="564" spans="1:22" x14ac:dyDescent="0.45">
      <c r="A564" t="str">
        <v>SO-50481</v>
      </c>
      <c r="B564" t="str">
        <v>PL-SUR</v>
      </c>
      <c r="C564" t="str">
        <v>CD-GDL</v>
      </c>
      <c r="D564" t="str">
        <v>BEB-1019</v>
      </c>
      <c r="E564">
        <v>1318</v>
      </c>
      <c r="F564" s="1">
        <v>46176</v>
      </c>
      <c r="G564" t="str">
        <v>In Transit</v>
      </c>
      <c r="H564" t="str">
        <v>OK</v>
      </c>
      <c r="I564">
        <v>14.35</v>
      </c>
      <c r="J564">
        <v>70</v>
      </c>
      <c r="K564">
        <v>240</v>
      </c>
      <c r="L564" t="str">
        <v>OK</v>
      </c>
      <c r="M564">
        <v>1</v>
      </c>
      <c r="O564">
        <f t="shared" si="64"/>
        <v>18.828571428571429</v>
      </c>
      <c r="P564">
        <f t="shared" si="65"/>
        <v>78.805416666666659</v>
      </c>
      <c r="Q564">
        <f t="shared" si="66"/>
        <v>57.056277056277061</v>
      </c>
      <c r="R564">
        <f t="shared" si="67"/>
        <v>1</v>
      </c>
      <c r="S564">
        <f t="shared" si="68"/>
        <v>78.805416666666659</v>
      </c>
      <c r="T564" t="str">
        <f t="shared" si="69"/>
        <v>OK</v>
      </c>
      <c r="U564" t="str">
        <f t="shared" si="70"/>
        <v>OK</v>
      </c>
      <c r="V564" t="str">
        <f t="shared" si="71"/>
        <v>OK</v>
      </c>
    </row>
    <row r="565" spans="1:22" x14ac:dyDescent="0.45">
      <c r="A565" t="str">
        <v>SO-50501</v>
      </c>
      <c r="B565" t="str">
        <v>PL-SUR</v>
      </c>
      <c r="C565" t="str">
        <v>CD-MER</v>
      </c>
      <c r="D565" t="str">
        <v>ABA-1009</v>
      </c>
      <c r="E565">
        <v>1447</v>
      </c>
      <c r="F565" s="1">
        <v>46173</v>
      </c>
      <c r="G565" t="str">
        <v>In Transit</v>
      </c>
      <c r="H565" t="str">
        <v>OK</v>
      </c>
      <c r="I565">
        <v>14.79</v>
      </c>
      <c r="J565">
        <v>124</v>
      </c>
      <c r="K565">
        <v>423</v>
      </c>
      <c r="L565" t="str">
        <v>OK</v>
      </c>
      <c r="M565">
        <v>4</v>
      </c>
      <c r="O565">
        <f t="shared" si="64"/>
        <v>11.669354838709678</v>
      </c>
      <c r="P565">
        <f t="shared" si="65"/>
        <v>89.171374999999983</v>
      </c>
      <c r="Q565">
        <f t="shared" si="66"/>
        <v>35.36168132942327</v>
      </c>
      <c r="R565">
        <f t="shared" si="67"/>
        <v>1</v>
      </c>
      <c r="S565">
        <f t="shared" si="68"/>
        <v>89.171374999999983</v>
      </c>
      <c r="T565" t="str">
        <f t="shared" si="69"/>
        <v>OK</v>
      </c>
      <c r="U565" t="str">
        <f t="shared" si="70"/>
        <v>OK</v>
      </c>
      <c r="V565" t="str">
        <f t="shared" si="71"/>
        <v>OK</v>
      </c>
    </row>
    <row r="566" spans="1:22" x14ac:dyDescent="0.45">
      <c r="A566" t="str">
        <v>SO-50650</v>
      </c>
      <c r="B566" t="str">
        <v>PL-CEN</v>
      </c>
      <c r="C566" t="str">
        <v>CD-CDMX</v>
      </c>
      <c r="D566" t="str">
        <v>ABA-1009</v>
      </c>
      <c r="E566">
        <v>1501</v>
      </c>
      <c r="F566" s="1">
        <v>46176</v>
      </c>
      <c r="G566" t="str">
        <v>Delivered</v>
      </c>
      <c r="H566" t="str">
        <v>OK</v>
      </c>
      <c r="I566">
        <v>14.79</v>
      </c>
      <c r="J566">
        <v>124</v>
      </c>
      <c r="K566">
        <v>423</v>
      </c>
      <c r="L566" t="str">
        <v>OK</v>
      </c>
      <c r="M566">
        <v>1</v>
      </c>
      <c r="O566">
        <f t="shared" si="64"/>
        <v>12.10483870967742</v>
      </c>
      <c r="P566">
        <f t="shared" si="65"/>
        <v>92.499124999999992</v>
      </c>
      <c r="Q566">
        <f t="shared" si="66"/>
        <v>36.681329423264906</v>
      </c>
      <c r="R566">
        <f t="shared" si="67"/>
        <v>1</v>
      </c>
      <c r="S566">
        <f t="shared" si="68"/>
        <v>92.499124999999992</v>
      </c>
      <c r="T566" t="str">
        <f t="shared" si="69"/>
        <v>OK</v>
      </c>
      <c r="U566" t="str">
        <f t="shared" si="70"/>
        <v>OK</v>
      </c>
      <c r="V566" t="str">
        <f t="shared" si="71"/>
        <v>OK</v>
      </c>
    </row>
    <row r="567" spans="1:22" x14ac:dyDescent="0.45">
      <c r="A567" t="str">
        <v>SO-51076</v>
      </c>
      <c r="B567" t="str">
        <v>PL-SUR</v>
      </c>
      <c r="C567" t="str">
        <v>CD-GDL</v>
      </c>
      <c r="D567" t="str">
        <v>LAC-1013</v>
      </c>
      <c r="E567">
        <v>582</v>
      </c>
      <c r="F567" s="1">
        <v>46175</v>
      </c>
      <c r="G567" t="str">
        <v>In Transit</v>
      </c>
      <c r="H567" t="str">
        <v>OK</v>
      </c>
      <c r="I567">
        <v>8.32</v>
      </c>
      <c r="J567">
        <v>98</v>
      </c>
      <c r="K567">
        <v>16</v>
      </c>
      <c r="L567" t="str">
        <v>OK</v>
      </c>
      <c r="M567">
        <v>2</v>
      </c>
      <c r="O567">
        <f t="shared" si="64"/>
        <v>5.9387755102040813</v>
      </c>
      <c r="P567">
        <f t="shared" si="65"/>
        <v>20.175999999999998</v>
      </c>
      <c r="Q567">
        <f t="shared" si="66"/>
        <v>17.996289424860855</v>
      </c>
      <c r="R567">
        <f t="shared" si="67"/>
        <v>1</v>
      </c>
      <c r="S567">
        <f t="shared" si="68"/>
        <v>20.175999999999998</v>
      </c>
      <c r="T567" t="str">
        <f t="shared" si="69"/>
        <v>CARGA INEFICIENTE</v>
      </c>
      <c r="U567" t="str">
        <f t="shared" si="70"/>
        <v>OK</v>
      </c>
      <c r="V567" t="str">
        <f t="shared" si="71"/>
        <v>OK</v>
      </c>
    </row>
    <row r="568" spans="1:22" x14ac:dyDescent="0.45">
      <c r="A568" t="str">
        <v>SO-51037</v>
      </c>
      <c r="B568" t="str">
        <v>PL-CEN</v>
      </c>
      <c r="C568" t="str">
        <v>CD-PUE</v>
      </c>
      <c r="D568" t="str">
        <v>LAC-1003</v>
      </c>
      <c r="E568">
        <v>2230</v>
      </c>
      <c r="F568" s="1">
        <v>46163</v>
      </c>
      <c r="G568" t="str">
        <v>In Transit</v>
      </c>
      <c r="H568" t="str">
        <v>OK</v>
      </c>
      <c r="I568">
        <v>9.02</v>
      </c>
      <c r="J568">
        <v>114</v>
      </c>
      <c r="K568">
        <v>18</v>
      </c>
      <c r="L568" t="str">
        <v>OK</v>
      </c>
      <c r="M568">
        <v>14</v>
      </c>
      <c r="O568">
        <f t="shared" si="64"/>
        <v>19.561403508771932</v>
      </c>
      <c r="P568">
        <f t="shared" si="65"/>
        <v>83.810833333333321</v>
      </c>
      <c r="Q568">
        <f t="shared" si="66"/>
        <v>59.276980329611916</v>
      </c>
      <c r="R568">
        <f t="shared" si="67"/>
        <v>1</v>
      </c>
      <c r="S568">
        <f t="shared" si="68"/>
        <v>83.810833333333321</v>
      </c>
      <c r="T568" t="str">
        <f t="shared" si="69"/>
        <v>OK</v>
      </c>
      <c r="U568" t="str">
        <f t="shared" si="70"/>
        <v>FEFO RIESGO</v>
      </c>
      <c r="V568" t="str">
        <f t="shared" si="71"/>
        <v>FANTASMA</v>
      </c>
    </row>
    <row r="569" spans="1:22" x14ac:dyDescent="0.45">
      <c r="A569" t="str">
        <v>SO-50552</v>
      </c>
      <c r="B569" t="str">
        <v>PL-SUR</v>
      </c>
      <c r="C569" t="str">
        <v>CD-MOR</v>
      </c>
      <c r="D569" t="str">
        <v>BOT-1012</v>
      </c>
      <c r="E569">
        <v>2115</v>
      </c>
      <c r="F569" s="1">
        <v>46176</v>
      </c>
      <c r="G569" t="str">
        <v>In Transit</v>
      </c>
      <c r="H569" t="str">
        <v>OK</v>
      </c>
      <c r="I569">
        <v>4.26</v>
      </c>
      <c r="J569">
        <v>68</v>
      </c>
      <c r="K569">
        <v>117</v>
      </c>
      <c r="L569" t="str">
        <v>OK</v>
      </c>
      <c r="M569">
        <v>1</v>
      </c>
      <c r="O569">
        <f t="shared" si="64"/>
        <v>31.102941176470587</v>
      </c>
      <c r="P569">
        <f t="shared" si="65"/>
        <v>37.541249999999998</v>
      </c>
      <c r="Q569">
        <f t="shared" si="66"/>
        <v>94.251336898395721</v>
      </c>
      <c r="R569">
        <f t="shared" si="67"/>
        <v>1</v>
      </c>
      <c r="S569">
        <f t="shared" si="68"/>
        <v>94.251336898395721</v>
      </c>
      <c r="T569" t="str">
        <f t="shared" si="69"/>
        <v>OK</v>
      </c>
      <c r="U569" t="str">
        <f t="shared" si="70"/>
        <v>OK</v>
      </c>
      <c r="V569" t="str">
        <f t="shared" si="71"/>
        <v>OK</v>
      </c>
    </row>
    <row r="570" spans="1:22" x14ac:dyDescent="0.45">
      <c r="A570" t="str">
        <v>SO-50234</v>
      </c>
      <c r="B570" t="str">
        <v>PL-SUR</v>
      </c>
      <c r="C570" t="str">
        <v>CD-MER</v>
      </c>
      <c r="D570" t="str">
        <v>PRO-1014</v>
      </c>
      <c r="E570">
        <v>1701</v>
      </c>
      <c r="F570" s="1">
        <v>46176</v>
      </c>
      <c r="G570" t="str">
        <v>In Transit</v>
      </c>
      <c r="H570" t="str">
        <v>OK</v>
      </c>
      <c r="I570">
        <v>5.27</v>
      </c>
      <c r="J570">
        <v>60</v>
      </c>
      <c r="K570">
        <v>129</v>
      </c>
      <c r="L570" t="str">
        <v>OK</v>
      </c>
      <c r="M570">
        <v>1</v>
      </c>
      <c r="O570">
        <f t="shared" si="64"/>
        <v>28.35</v>
      </c>
      <c r="P570">
        <f t="shared" si="65"/>
        <v>37.351124999999996</v>
      </c>
      <c r="Q570">
        <f t="shared" si="66"/>
        <v>85.909090909090907</v>
      </c>
      <c r="R570">
        <f t="shared" si="67"/>
        <v>1</v>
      </c>
      <c r="S570">
        <f t="shared" si="68"/>
        <v>85.909090909090907</v>
      </c>
      <c r="T570" t="str">
        <f t="shared" si="69"/>
        <v>OK</v>
      </c>
      <c r="U570" t="str">
        <f t="shared" si="70"/>
        <v>OK</v>
      </c>
      <c r="V570" t="str">
        <f t="shared" si="71"/>
        <v>OK</v>
      </c>
    </row>
    <row r="571" spans="1:22" x14ac:dyDescent="0.45">
      <c r="A571" t="str">
        <v>SO-50646</v>
      </c>
      <c r="B571" t="str">
        <v>PL-NTE</v>
      </c>
      <c r="C571" t="str">
        <v>CD-HER</v>
      </c>
      <c r="D571" t="str">
        <v>LAC-1003</v>
      </c>
      <c r="E571">
        <v>624</v>
      </c>
      <c r="F571" s="1">
        <v>46176</v>
      </c>
      <c r="G571" t="str">
        <v>In Transit</v>
      </c>
      <c r="H571" t="str">
        <v>OK</v>
      </c>
      <c r="I571">
        <v>9.02</v>
      </c>
      <c r="J571">
        <v>114</v>
      </c>
      <c r="K571">
        <v>18</v>
      </c>
      <c r="L571" t="str">
        <v>OK</v>
      </c>
      <c r="M571">
        <v>1</v>
      </c>
      <c r="O571">
        <f t="shared" si="64"/>
        <v>5.4736842105263159</v>
      </c>
      <c r="P571">
        <f t="shared" si="65"/>
        <v>23.451999999999998</v>
      </c>
      <c r="Q571">
        <f t="shared" si="66"/>
        <v>16.586921850079744</v>
      </c>
      <c r="R571">
        <f t="shared" si="67"/>
        <v>1</v>
      </c>
      <c r="S571">
        <f t="shared" si="68"/>
        <v>23.451999999999998</v>
      </c>
      <c r="T571" t="str">
        <f t="shared" si="69"/>
        <v>CARGA INEFICIENTE</v>
      </c>
      <c r="U571" t="str">
        <f t="shared" si="70"/>
        <v>OK</v>
      </c>
      <c r="V571" t="str">
        <f t="shared" si="71"/>
        <v>OK</v>
      </c>
    </row>
    <row r="572" spans="1:22" x14ac:dyDescent="0.45">
      <c r="A572" t="str">
        <v>SO-50530</v>
      </c>
      <c r="B572" t="str">
        <v>PL-CEN</v>
      </c>
      <c r="C572" t="str">
        <v>CD-QRO</v>
      </c>
      <c r="D572" t="str">
        <v>LAC-1006</v>
      </c>
      <c r="E572">
        <v>1983</v>
      </c>
      <c r="F572" s="1">
        <v>46175</v>
      </c>
      <c r="G572" t="str">
        <v>In Transit</v>
      </c>
      <c r="H572" t="str">
        <v>OK</v>
      </c>
      <c r="I572">
        <v>10.029999999999999</v>
      </c>
      <c r="J572">
        <v>126</v>
      </c>
      <c r="K572">
        <v>17</v>
      </c>
      <c r="L572" t="str">
        <v>OK</v>
      </c>
      <c r="M572">
        <v>2</v>
      </c>
      <c r="O572">
        <f t="shared" si="64"/>
        <v>15.738095238095237</v>
      </c>
      <c r="P572">
        <f t="shared" si="65"/>
        <v>82.872874999999993</v>
      </c>
      <c r="Q572">
        <f t="shared" si="66"/>
        <v>47.691197691197686</v>
      </c>
      <c r="R572">
        <f t="shared" si="67"/>
        <v>1</v>
      </c>
      <c r="S572">
        <f t="shared" si="68"/>
        <v>82.872874999999993</v>
      </c>
      <c r="T572" t="str">
        <f t="shared" si="69"/>
        <v>OK</v>
      </c>
      <c r="U572" t="str">
        <f t="shared" si="70"/>
        <v>OK</v>
      </c>
      <c r="V572" t="str">
        <f t="shared" si="71"/>
        <v>OK</v>
      </c>
    </row>
    <row r="573" spans="1:22" x14ac:dyDescent="0.45">
      <c r="A573" t="str">
        <v>SO-50355</v>
      </c>
      <c r="B573" t="str">
        <v>PL-SUR</v>
      </c>
      <c r="C573" t="str">
        <v>CD-LEO</v>
      </c>
      <c r="D573" t="str">
        <v>ABA-1008</v>
      </c>
      <c r="E573">
        <v>1911</v>
      </c>
      <c r="F573" s="1">
        <v>46175</v>
      </c>
      <c r="G573" t="str">
        <v>In Transit</v>
      </c>
      <c r="H573" t="str">
        <v>OK</v>
      </c>
      <c r="I573">
        <v>10.6</v>
      </c>
      <c r="J573">
        <v>96</v>
      </c>
      <c r="K573">
        <v>445</v>
      </c>
      <c r="L573" t="str">
        <v>OK</v>
      </c>
      <c r="M573">
        <v>2</v>
      </c>
      <c r="O573">
        <f t="shared" si="64"/>
        <v>19.90625</v>
      </c>
      <c r="P573">
        <f t="shared" si="65"/>
        <v>84.402499999999989</v>
      </c>
      <c r="Q573">
        <f t="shared" si="66"/>
        <v>60.321969696969703</v>
      </c>
      <c r="R573">
        <f t="shared" si="67"/>
        <v>1</v>
      </c>
      <c r="S573">
        <f t="shared" si="68"/>
        <v>84.402499999999989</v>
      </c>
      <c r="T573" t="str">
        <f t="shared" si="69"/>
        <v>OK</v>
      </c>
      <c r="U573" t="str">
        <f t="shared" si="70"/>
        <v>OK</v>
      </c>
      <c r="V573" t="str">
        <f t="shared" si="71"/>
        <v>OK</v>
      </c>
    </row>
    <row r="574" spans="1:22" x14ac:dyDescent="0.45">
      <c r="A574" t="str">
        <v>SO-50138</v>
      </c>
      <c r="B574" t="str">
        <v>PL-SUR</v>
      </c>
      <c r="C574" t="str">
        <v>CD-MER</v>
      </c>
      <c r="D574" t="str">
        <v>LAC-1001</v>
      </c>
      <c r="E574">
        <v>1006</v>
      </c>
      <c r="F574" s="1">
        <v>46175</v>
      </c>
      <c r="G574" t="str">
        <v>In Transit</v>
      </c>
      <c r="H574" t="str">
        <v>OK</v>
      </c>
      <c r="I574">
        <v>7.51</v>
      </c>
      <c r="J574">
        <v>83</v>
      </c>
      <c r="K574">
        <v>18</v>
      </c>
      <c r="L574" t="str">
        <v>OK</v>
      </c>
      <c r="M574">
        <v>2</v>
      </c>
      <c r="O574">
        <f t="shared" si="64"/>
        <v>12.120481927710843</v>
      </c>
      <c r="P574">
        <f t="shared" si="65"/>
        <v>31.479416666666665</v>
      </c>
      <c r="Q574">
        <f t="shared" si="66"/>
        <v>36.728733114275279</v>
      </c>
      <c r="R574">
        <f t="shared" si="67"/>
        <v>1</v>
      </c>
      <c r="S574">
        <f t="shared" si="68"/>
        <v>36.728733114275279</v>
      </c>
      <c r="T574" t="str">
        <f t="shared" si="69"/>
        <v>CARGA INEFICIENTE</v>
      </c>
      <c r="U574" t="str">
        <f t="shared" si="70"/>
        <v>OK</v>
      </c>
      <c r="V574" t="str">
        <f t="shared" si="71"/>
        <v>OK</v>
      </c>
    </row>
    <row r="575" spans="1:22" x14ac:dyDescent="0.45">
      <c r="A575" t="str">
        <v>SO-50713</v>
      </c>
      <c r="B575" t="str">
        <v>PL-CEN</v>
      </c>
      <c r="C575" t="str">
        <v>CD-PUE</v>
      </c>
      <c r="D575" t="str">
        <v>BEB-1014</v>
      </c>
      <c r="E575">
        <v>1097</v>
      </c>
      <c r="F575" s="1">
        <v>46176</v>
      </c>
      <c r="G575" t="str">
        <v>In Transit</v>
      </c>
      <c r="H575" t="str">
        <v>OK</v>
      </c>
      <c r="I575">
        <v>12.41</v>
      </c>
      <c r="J575">
        <v>95</v>
      </c>
      <c r="K575">
        <v>227</v>
      </c>
      <c r="L575" t="str">
        <v>OK</v>
      </c>
      <c r="M575">
        <v>1</v>
      </c>
      <c r="O575">
        <f t="shared" si="64"/>
        <v>11.547368421052632</v>
      </c>
      <c r="P575">
        <f t="shared" si="65"/>
        <v>56.724041666666672</v>
      </c>
      <c r="Q575">
        <f t="shared" si="66"/>
        <v>34.992025518341308</v>
      </c>
      <c r="R575">
        <f t="shared" si="67"/>
        <v>1</v>
      </c>
      <c r="S575">
        <f t="shared" si="68"/>
        <v>56.724041666666672</v>
      </c>
      <c r="T575" t="str">
        <f t="shared" si="69"/>
        <v>CARGA INEFICIENTE</v>
      </c>
      <c r="U575" t="str">
        <f t="shared" si="70"/>
        <v>OK</v>
      </c>
      <c r="V575" t="str">
        <f t="shared" si="71"/>
        <v>OK</v>
      </c>
    </row>
    <row r="576" spans="1:22" x14ac:dyDescent="0.45">
      <c r="A576" t="str">
        <v>SO-50775</v>
      </c>
      <c r="B576" t="str">
        <v>PL-NTE</v>
      </c>
      <c r="C576" t="str">
        <v>CD-MTY</v>
      </c>
      <c r="D576" t="str">
        <v>PRO-1009</v>
      </c>
      <c r="E576">
        <v>831</v>
      </c>
      <c r="F576" s="1">
        <v>46176</v>
      </c>
      <c r="G576" t="str">
        <v>In Transit</v>
      </c>
      <c r="H576" t="str">
        <v>OK</v>
      </c>
      <c r="I576">
        <v>11.96</v>
      </c>
      <c r="J576">
        <v>101</v>
      </c>
      <c r="K576">
        <v>90</v>
      </c>
      <c r="L576" t="str">
        <v>OK</v>
      </c>
      <c r="M576">
        <v>1</v>
      </c>
      <c r="O576">
        <f t="shared" si="64"/>
        <v>8.227722772277227</v>
      </c>
      <c r="P576">
        <f t="shared" si="65"/>
        <v>41.411500000000004</v>
      </c>
      <c r="Q576">
        <f t="shared" si="66"/>
        <v>24.932493249324931</v>
      </c>
      <c r="R576">
        <f t="shared" si="67"/>
        <v>1</v>
      </c>
      <c r="S576">
        <f t="shared" si="68"/>
        <v>41.411500000000004</v>
      </c>
      <c r="T576" t="str">
        <f t="shared" si="69"/>
        <v>CARGA INEFICIENTE</v>
      </c>
      <c r="U576" t="str">
        <f t="shared" si="70"/>
        <v>OK</v>
      </c>
      <c r="V576" t="str">
        <f t="shared" si="71"/>
        <v>OK</v>
      </c>
    </row>
    <row r="577" spans="1:22" x14ac:dyDescent="0.45">
      <c r="A577" t="str">
        <v>SO-50025</v>
      </c>
      <c r="B577" t="str">
        <v>PL-SUR</v>
      </c>
      <c r="C577" t="str">
        <v>CD-GDL</v>
      </c>
      <c r="D577" t="str">
        <v>LAC-1016</v>
      </c>
      <c r="E577">
        <v>1981</v>
      </c>
      <c r="F577" s="1">
        <v>46176</v>
      </c>
      <c r="G577" t="str">
        <v>In Transit</v>
      </c>
      <c r="H577" t="str">
        <v>OK</v>
      </c>
      <c r="I577">
        <v>10.9</v>
      </c>
      <c r="J577">
        <v>131</v>
      </c>
      <c r="K577">
        <v>22</v>
      </c>
      <c r="L577" t="str">
        <v>OK</v>
      </c>
      <c r="M577">
        <v>1</v>
      </c>
      <c r="O577">
        <f t="shared" si="64"/>
        <v>15.122137404580153</v>
      </c>
      <c r="P577">
        <f t="shared" si="65"/>
        <v>89.970416666666679</v>
      </c>
      <c r="Q577">
        <f t="shared" si="66"/>
        <v>45.824658801758041</v>
      </c>
      <c r="R577">
        <f t="shared" si="67"/>
        <v>1</v>
      </c>
      <c r="S577">
        <f t="shared" si="68"/>
        <v>89.970416666666679</v>
      </c>
      <c r="T577" t="str">
        <f t="shared" si="69"/>
        <v>OK</v>
      </c>
      <c r="U577" t="str">
        <f t="shared" si="70"/>
        <v>OK</v>
      </c>
      <c r="V577" t="str">
        <f t="shared" si="71"/>
        <v>OK</v>
      </c>
    </row>
    <row r="578" spans="1:22" x14ac:dyDescent="0.45">
      <c r="A578" t="str">
        <v>SO-50516</v>
      </c>
      <c r="B578" t="str">
        <v>PL-SUR</v>
      </c>
      <c r="C578" t="str">
        <v>CD-GDL</v>
      </c>
      <c r="D578" t="str">
        <v>BEB-1013</v>
      </c>
      <c r="E578">
        <v>1173</v>
      </c>
      <c r="F578" s="1">
        <v>46176</v>
      </c>
      <c r="G578" t="str">
        <v>In Transit</v>
      </c>
      <c r="H578" t="str">
        <v>OK</v>
      </c>
      <c r="I578">
        <v>17.28</v>
      </c>
      <c r="J578">
        <v>97</v>
      </c>
      <c r="K578">
        <v>271</v>
      </c>
      <c r="L578" t="str">
        <v>OK</v>
      </c>
      <c r="M578">
        <v>1</v>
      </c>
      <c r="O578">
        <f t="shared" si="64"/>
        <v>12.092783505154639</v>
      </c>
      <c r="P578">
        <f t="shared" si="65"/>
        <v>84.456000000000003</v>
      </c>
      <c r="Q578">
        <f t="shared" si="66"/>
        <v>36.644798500468603</v>
      </c>
      <c r="R578">
        <f t="shared" si="67"/>
        <v>1</v>
      </c>
      <c r="S578">
        <f t="shared" si="68"/>
        <v>84.456000000000003</v>
      </c>
      <c r="T578" t="str">
        <f t="shared" si="69"/>
        <v>OK</v>
      </c>
      <c r="U578" t="str">
        <f t="shared" si="70"/>
        <v>OK</v>
      </c>
      <c r="V578" t="str">
        <f t="shared" si="71"/>
        <v>OK</v>
      </c>
    </row>
    <row r="579" spans="1:22" x14ac:dyDescent="0.45">
      <c r="A579" t="str">
        <v>SO-50753</v>
      </c>
      <c r="B579" t="str">
        <v>PL-CEN</v>
      </c>
      <c r="C579" t="str">
        <v>CD-CDMX</v>
      </c>
      <c r="D579" t="str">
        <v>PRO-1015</v>
      </c>
      <c r="E579">
        <v>3298</v>
      </c>
      <c r="F579" s="1">
        <v>46176</v>
      </c>
      <c r="G579" t="str">
        <v>In Transit</v>
      </c>
      <c r="H579" t="str">
        <v>OK</v>
      </c>
      <c r="I579">
        <v>6.16</v>
      </c>
      <c r="J579">
        <v>104</v>
      </c>
      <c r="K579">
        <v>67</v>
      </c>
      <c r="L579" t="str">
        <v>OK</v>
      </c>
      <c r="M579">
        <v>1</v>
      </c>
      <c r="O579">
        <f t="shared" ref="O579:O642" si="72">IF(L579="HUERFANO","n/a",IF(ISNUMBER(J579),E579/J579,"n/a"))</f>
        <v>31.71153846153846</v>
      </c>
      <c r="P579">
        <f t="shared" ref="P579:P642" si="73">IF(L579="HUERFANO","n/a",IFERROR(E579*I579/24000*100,""))</f>
        <v>84.648666666666671</v>
      </c>
      <c r="Q579">
        <f t="shared" ref="Q579:Q642" si="74">IF(L579="HUERFANO","n/a",IFERROR(O579/33*100,""))</f>
        <v>96.095571095571088</v>
      </c>
      <c r="R579">
        <f t="shared" ref="R579:R642" si="75">IF(L579="HUERFANO","n/a",IFERROR(MAX(CEILING(P579/100,1),CEILING(Q579/100,1)),""))</f>
        <v>1</v>
      </c>
      <c r="S579">
        <f t="shared" ref="S579:S642" si="76">IF(L579="HUERFANO","n/a",IFERROR(MAX(P579,Q579)/(R579*100)*100,""))</f>
        <v>96.095571095571088</v>
      </c>
      <c r="T579" t="str">
        <f t="shared" ref="T579:T642" si="77">IF(L579="HUERFANO","n/a",IF(S579&lt;75,"CARGA INEFICIENTE","OK"))</f>
        <v>OK</v>
      </c>
      <c r="U579" t="str">
        <f t="shared" ref="U579:U642" si="78">IF(L579="HUERFANO","n/a",IF(AND(LEFT(D579,3)="LAC",(K579-M579)/K579*100&lt;70),"FEFO RIESGO","OK"))</f>
        <v>OK</v>
      </c>
      <c r="V579" t="str">
        <f t="shared" ref="V579:V642" si="79">IF(L579="HUERFANO","n/a",IF(AND(G579="In Transit",M579&gt;5),"FANTASMA","OK"))</f>
        <v>OK</v>
      </c>
    </row>
    <row r="580" spans="1:22" x14ac:dyDescent="0.45">
      <c r="A580" t="str">
        <v>SO-50925</v>
      </c>
      <c r="B580" t="str">
        <v>PL-NTE</v>
      </c>
      <c r="C580" t="str">
        <v>CD-HER</v>
      </c>
      <c r="D580" t="str">
        <v>BEB-1013</v>
      </c>
      <c r="E580">
        <v>1186</v>
      </c>
      <c r="F580" s="1">
        <v>46174</v>
      </c>
      <c r="G580" t="str">
        <v>In Transit</v>
      </c>
      <c r="H580" t="str">
        <v>OK</v>
      </c>
      <c r="I580">
        <v>17.28</v>
      </c>
      <c r="J580">
        <v>97</v>
      </c>
      <c r="K580">
        <v>271</v>
      </c>
      <c r="L580" t="str">
        <v>OK</v>
      </c>
      <c r="M580">
        <v>3</v>
      </c>
      <c r="O580">
        <f t="shared" si="72"/>
        <v>12.226804123711339</v>
      </c>
      <c r="P580">
        <f t="shared" si="73"/>
        <v>85.39200000000001</v>
      </c>
      <c r="Q580">
        <f t="shared" si="74"/>
        <v>37.050921587004062</v>
      </c>
      <c r="R580">
        <f t="shared" si="75"/>
        <v>1</v>
      </c>
      <c r="S580">
        <f t="shared" si="76"/>
        <v>85.39200000000001</v>
      </c>
      <c r="T580" t="str">
        <f t="shared" si="77"/>
        <v>OK</v>
      </c>
      <c r="U580" t="str">
        <f t="shared" si="78"/>
        <v>OK</v>
      </c>
      <c r="V580" t="str">
        <f t="shared" si="79"/>
        <v>OK</v>
      </c>
    </row>
    <row r="581" spans="1:22" x14ac:dyDescent="0.45">
      <c r="A581" t="str">
        <v>SO-50096</v>
      </c>
      <c r="B581" t="str">
        <v>PL-SUR</v>
      </c>
      <c r="C581" t="str">
        <v>CD-CAN</v>
      </c>
      <c r="D581" t="str">
        <v>BEB-1009</v>
      </c>
      <c r="E581">
        <v>1163</v>
      </c>
      <c r="F581" s="1">
        <v>46176</v>
      </c>
      <c r="G581" t="str">
        <v>In Transit</v>
      </c>
      <c r="H581" t="str">
        <v>OK</v>
      </c>
      <c r="I581">
        <v>18.170000000000002</v>
      </c>
      <c r="J581">
        <v>61</v>
      </c>
      <c r="K581">
        <v>188</v>
      </c>
      <c r="L581" t="str">
        <v>OK</v>
      </c>
      <c r="M581">
        <v>1</v>
      </c>
      <c r="O581">
        <f t="shared" si="72"/>
        <v>19.065573770491802</v>
      </c>
      <c r="P581">
        <f t="shared" si="73"/>
        <v>88.048791666666688</v>
      </c>
      <c r="Q581">
        <f t="shared" si="74"/>
        <v>57.774465971187283</v>
      </c>
      <c r="R581">
        <f t="shared" si="75"/>
        <v>1</v>
      </c>
      <c r="S581">
        <f t="shared" si="76"/>
        <v>88.048791666666688</v>
      </c>
      <c r="T581" t="str">
        <f t="shared" si="77"/>
        <v>OK</v>
      </c>
      <c r="U581" t="str">
        <f t="shared" si="78"/>
        <v>OK</v>
      </c>
      <c r="V581" t="str">
        <f t="shared" si="79"/>
        <v>OK</v>
      </c>
    </row>
    <row r="582" spans="1:22" x14ac:dyDescent="0.45">
      <c r="A582" t="str">
        <v>SO-50802</v>
      </c>
      <c r="B582" t="str">
        <v>PL-CEN</v>
      </c>
      <c r="C582" t="str">
        <v>CD-PUE</v>
      </c>
      <c r="D582" t="str">
        <v>BOT-1021</v>
      </c>
      <c r="E582">
        <v>1462</v>
      </c>
      <c r="F582" s="1">
        <v>46176</v>
      </c>
      <c r="G582" t="str">
        <v>In Transit</v>
      </c>
      <c r="H582" t="str">
        <v>OK</v>
      </c>
      <c r="I582">
        <v>5.04</v>
      </c>
      <c r="J582">
        <v>47</v>
      </c>
      <c r="K582">
        <v>96</v>
      </c>
      <c r="L582" t="str">
        <v>OK</v>
      </c>
      <c r="M582">
        <v>1</v>
      </c>
      <c r="O582">
        <f t="shared" si="72"/>
        <v>31.106382978723403</v>
      </c>
      <c r="P582">
        <f t="shared" si="73"/>
        <v>30.702000000000002</v>
      </c>
      <c r="Q582">
        <f t="shared" si="74"/>
        <v>94.261766602192125</v>
      </c>
      <c r="R582">
        <f t="shared" si="75"/>
        <v>1</v>
      </c>
      <c r="S582">
        <f t="shared" si="76"/>
        <v>94.261766602192125</v>
      </c>
      <c r="T582" t="str">
        <f t="shared" si="77"/>
        <v>OK</v>
      </c>
      <c r="U582" t="str">
        <f t="shared" si="78"/>
        <v>OK</v>
      </c>
      <c r="V582" t="str">
        <f t="shared" si="79"/>
        <v>OK</v>
      </c>
    </row>
    <row r="583" spans="1:22" x14ac:dyDescent="0.45">
      <c r="A583" t="str">
        <v>SO-51084</v>
      </c>
      <c r="B583" t="str">
        <v>PL-SUR</v>
      </c>
      <c r="C583" t="str">
        <v>CD-LEO</v>
      </c>
      <c r="D583" t="str">
        <v>BOT-1003</v>
      </c>
      <c r="E583">
        <v>1815</v>
      </c>
      <c r="F583" s="1">
        <v>46175</v>
      </c>
      <c r="G583" t="str">
        <v>In Transit</v>
      </c>
      <c r="H583" t="str">
        <v>OK</v>
      </c>
      <c r="I583">
        <v>5.92</v>
      </c>
      <c r="J583">
        <v>57</v>
      </c>
      <c r="K583">
        <v>92</v>
      </c>
      <c r="L583" t="str">
        <v>OK</v>
      </c>
      <c r="M583">
        <v>2</v>
      </c>
      <c r="O583">
        <f t="shared" si="72"/>
        <v>31.842105263157894</v>
      </c>
      <c r="P583">
        <f t="shared" si="73"/>
        <v>44.769999999999996</v>
      </c>
      <c r="Q583">
        <f t="shared" si="74"/>
        <v>96.491228070175438</v>
      </c>
      <c r="R583">
        <f t="shared" si="75"/>
        <v>1</v>
      </c>
      <c r="S583">
        <f t="shared" si="76"/>
        <v>96.491228070175438</v>
      </c>
      <c r="T583" t="str">
        <f t="shared" si="77"/>
        <v>OK</v>
      </c>
      <c r="U583" t="str">
        <f t="shared" si="78"/>
        <v>OK</v>
      </c>
      <c r="V583" t="str">
        <f t="shared" si="79"/>
        <v>OK</v>
      </c>
    </row>
    <row r="584" spans="1:22" x14ac:dyDescent="0.45">
      <c r="A584" t="str">
        <v>SO-50411</v>
      </c>
      <c r="B584" t="str">
        <v>PL-CEN</v>
      </c>
      <c r="C584" t="str">
        <v>CD-QRO</v>
      </c>
      <c r="D584" t="str">
        <v>BOT-1012</v>
      </c>
      <c r="E584">
        <v>2009</v>
      </c>
      <c r="F584" s="1">
        <v>46175</v>
      </c>
      <c r="G584" t="str">
        <v>In Transit</v>
      </c>
      <c r="H584" t="str">
        <v>OK</v>
      </c>
      <c r="I584">
        <v>4.26</v>
      </c>
      <c r="J584">
        <v>68</v>
      </c>
      <c r="K584">
        <v>117</v>
      </c>
      <c r="L584" t="str">
        <v>OK</v>
      </c>
      <c r="M584">
        <v>2</v>
      </c>
      <c r="O584">
        <f t="shared" si="72"/>
        <v>29.544117647058822</v>
      </c>
      <c r="P584">
        <f t="shared" si="73"/>
        <v>35.659750000000003</v>
      </c>
      <c r="Q584">
        <f t="shared" si="74"/>
        <v>89.52762923351159</v>
      </c>
      <c r="R584">
        <f t="shared" si="75"/>
        <v>1</v>
      </c>
      <c r="S584">
        <f t="shared" si="76"/>
        <v>89.52762923351159</v>
      </c>
      <c r="T584" t="str">
        <f t="shared" si="77"/>
        <v>OK</v>
      </c>
      <c r="U584" t="str">
        <f t="shared" si="78"/>
        <v>OK</v>
      </c>
      <c r="V584" t="str">
        <f t="shared" si="79"/>
        <v>OK</v>
      </c>
    </row>
    <row r="585" spans="1:22" x14ac:dyDescent="0.45">
      <c r="A585" t="str">
        <v>SO-50340</v>
      </c>
      <c r="B585" t="str">
        <v>PL-SUR</v>
      </c>
      <c r="C585" t="str">
        <v>CD-MOR</v>
      </c>
      <c r="D585" t="str">
        <v>BEB-1014</v>
      </c>
      <c r="E585">
        <v>1620</v>
      </c>
      <c r="F585" s="1">
        <v>46175</v>
      </c>
      <c r="G585" t="str">
        <v>In Transit</v>
      </c>
      <c r="H585" t="str">
        <v>OK</v>
      </c>
      <c r="I585">
        <v>12.41</v>
      </c>
      <c r="J585">
        <v>95</v>
      </c>
      <c r="K585">
        <v>227</v>
      </c>
      <c r="L585" t="str">
        <v>OK</v>
      </c>
      <c r="M585">
        <v>2</v>
      </c>
      <c r="O585">
        <f t="shared" si="72"/>
        <v>17.05263157894737</v>
      </c>
      <c r="P585">
        <f t="shared" si="73"/>
        <v>83.767500000000013</v>
      </c>
      <c r="Q585">
        <f t="shared" si="74"/>
        <v>51.674641148325364</v>
      </c>
      <c r="R585">
        <f t="shared" si="75"/>
        <v>1</v>
      </c>
      <c r="S585">
        <f t="shared" si="76"/>
        <v>83.767500000000013</v>
      </c>
      <c r="T585" t="str">
        <f t="shared" si="77"/>
        <v>OK</v>
      </c>
      <c r="U585" t="str">
        <f t="shared" si="78"/>
        <v>OK</v>
      </c>
      <c r="V585" t="str">
        <f t="shared" si="79"/>
        <v>OK</v>
      </c>
    </row>
    <row r="586" spans="1:22" x14ac:dyDescent="0.45">
      <c r="A586" t="str">
        <v>SO-50441</v>
      </c>
      <c r="B586" t="str">
        <v>PL-NTE</v>
      </c>
      <c r="C586" t="str">
        <v>CD-SAL</v>
      </c>
      <c r="D586" t="str">
        <v>BEB-1008</v>
      </c>
      <c r="E586">
        <v>1331</v>
      </c>
      <c r="F586" s="1">
        <v>46175</v>
      </c>
      <c r="G586" t="str">
        <v>In Transit</v>
      </c>
      <c r="H586" t="str">
        <v>OK</v>
      </c>
      <c r="I586">
        <v>17.47</v>
      </c>
      <c r="J586">
        <v>65</v>
      </c>
      <c r="K586">
        <v>216</v>
      </c>
      <c r="L586" t="str">
        <v>OK</v>
      </c>
      <c r="M586">
        <v>2</v>
      </c>
      <c r="O586">
        <f t="shared" si="72"/>
        <v>20.476923076923075</v>
      </c>
      <c r="P586">
        <f t="shared" si="73"/>
        <v>96.885708333333326</v>
      </c>
      <c r="Q586">
        <f t="shared" si="74"/>
        <v>62.051282051282044</v>
      </c>
      <c r="R586">
        <f t="shared" si="75"/>
        <v>1</v>
      </c>
      <c r="S586">
        <f t="shared" si="76"/>
        <v>96.885708333333326</v>
      </c>
      <c r="T586" t="str">
        <f t="shared" si="77"/>
        <v>OK</v>
      </c>
      <c r="U586" t="str">
        <f t="shared" si="78"/>
        <v>OK</v>
      </c>
      <c r="V586" t="str">
        <f t="shared" si="79"/>
        <v>OK</v>
      </c>
    </row>
    <row r="587" spans="1:22" x14ac:dyDescent="0.45">
      <c r="A587" t="str">
        <v>SO-50756</v>
      </c>
      <c r="B587" t="str">
        <v>PL-SUR</v>
      </c>
      <c r="C587" t="str">
        <v>CD-MER</v>
      </c>
      <c r="D587" t="str">
        <v>BEB-1018</v>
      </c>
      <c r="E587">
        <v>1200</v>
      </c>
      <c r="F587" s="1">
        <v>46176</v>
      </c>
      <c r="G587" t="str">
        <v>In Transit</v>
      </c>
      <c r="H587" t="str">
        <v>OK</v>
      </c>
      <c r="I587">
        <v>19.170000000000002</v>
      </c>
      <c r="J587">
        <v>119</v>
      </c>
      <c r="K587">
        <v>196</v>
      </c>
      <c r="L587" t="str">
        <v>OK</v>
      </c>
      <c r="M587">
        <v>1</v>
      </c>
      <c r="O587">
        <f t="shared" si="72"/>
        <v>10.084033613445378</v>
      </c>
      <c r="P587">
        <f t="shared" si="73"/>
        <v>95.850000000000009</v>
      </c>
      <c r="Q587">
        <f t="shared" si="74"/>
        <v>30.557677616501145</v>
      </c>
      <c r="R587">
        <f t="shared" si="75"/>
        <v>1</v>
      </c>
      <c r="S587">
        <f t="shared" si="76"/>
        <v>95.850000000000009</v>
      </c>
      <c r="T587" t="str">
        <f t="shared" si="77"/>
        <v>OK</v>
      </c>
      <c r="U587" t="str">
        <f t="shared" si="78"/>
        <v>OK</v>
      </c>
      <c r="V587" t="str">
        <f t="shared" si="79"/>
        <v>OK</v>
      </c>
    </row>
    <row r="588" spans="1:22" x14ac:dyDescent="0.45">
      <c r="A588" t="str">
        <v>SO-50494</v>
      </c>
      <c r="B588" t="str">
        <v>PL-CEN</v>
      </c>
      <c r="C588" t="str">
        <v>CD-QRO</v>
      </c>
      <c r="D588" t="str">
        <v>LAC-1010</v>
      </c>
      <c r="E588">
        <v>3286</v>
      </c>
      <c r="F588" s="1">
        <v>46175</v>
      </c>
      <c r="G588" t="str">
        <v>In Transit</v>
      </c>
      <c r="H588" t="str">
        <v>OK</v>
      </c>
      <c r="I588">
        <v>6.24</v>
      </c>
      <c r="J588">
        <v>146</v>
      </c>
      <c r="K588">
        <v>24</v>
      </c>
      <c r="L588" t="str">
        <v>OK</v>
      </c>
      <c r="M588">
        <v>2</v>
      </c>
      <c r="O588">
        <f t="shared" si="72"/>
        <v>22.506849315068493</v>
      </c>
      <c r="P588">
        <f t="shared" si="73"/>
        <v>85.436000000000007</v>
      </c>
      <c r="Q588">
        <f t="shared" si="74"/>
        <v>68.202573682025729</v>
      </c>
      <c r="R588">
        <f t="shared" si="75"/>
        <v>1</v>
      </c>
      <c r="S588">
        <f t="shared" si="76"/>
        <v>85.436000000000007</v>
      </c>
      <c r="T588" t="str">
        <f t="shared" si="77"/>
        <v>OK</v>
      </c>
      <c r="U588" t="str">
        <f t="shared" si="78"/>
        <v>OK</v>
      </c>
      <c r="V588" t="str">
        <f t="shared" si="79"/>
        <v>OK</v>
      </c>
    </row>
    <row r="589" spans="1:22" x14ac:dyDescent="0.45">
      <c r="A589" t="str">
        <v>SO-50077</v>
      </c>
      <c r="B589" t="str">
        <v>PL-NTE</v>
      </c>
      <c r="C589" t="str">
        <v>CD-SAL</v>
      </c>
      <c r="D589" t="str">
        <v>ABA-1012</v>
      </c>
      <c r="E589">
        <v>1263</v>
      </c>
      <c r="F589" s="1">
        <v>46176</v>
      </c>
      <c r="G589" t="str">
        <v>Delivered</v>
      </c>
      <c r="H589" t="str">
        <v>OK</v>
      </c>
      <c r="I589">
        <v>15.14</v>
      </c>
      <c r="J589">
        <v>117</v>
      </c>
      <c r="K589">
        <v>484</v>
      </c>
      <c r="L589" t="str">
        <v>OK</v>
      </c>
      <c r="M589">
        <v>1</v>
      </c>
      <c r="O589">
        <f t="shared" si="72"/>
        <v>10.794871794871796</v>
      </c>
      <c r="P589">
        <f t="shared" si="73"/>
        <v>79.674250000000001</v>
      </c>
      <c r="Q589">
        <f t="shared" si="74"/>
        <v>32.711732711732715</v>
      </c>
      <c r="R589">
        <f t="shared" si="75"/>
        <v>1</v>
      </c>
      <c r="S589">
        <f t="shared" si="76"/>
        <v>79.674250000000001</v>
      </c>
      <c r="T589" t="str">
        <f t="shared" si="77"/>
        <v>OK</v>
      </c>
      <c r="U589" t="str">
        <f t="shared" si="78"/>
        <v>OK</v>
      </c>
      <c r="V589" t="str">
        <f t="shared" si="79"/>
        <v>OK</v>
      </c>
    </row>
    <row r="590" spans="1:22" x14ac:dyDescent="0.45">
      <c r="A590" t="str">
        <v>SO-50386</v>
      </c>
      <c r="B590" t="str">
        <v>PL-NTE</v>
      </c>
      <c r="C590" t="str">
        <v>CD-HER</v>
      </c>
      <c r="D590" t="str">
        <v>BOT-1023</v>
      </c>
      <c r="E590">
        <v>367</v>
      </c>
      <c r="F590" s="1">
        <v>46174</v>
      </c>
      <c r="G590" t="str">
        <v>In Transit</v>
      </c>
      <c r="H590" t="str">
        <v>OK</v>
      </c>
      <c r="I590">
        <v>4.29</v>
      </c>
      <c r="J590">
        <v>44</v>
      </c>
      <c r="K590">
        <v>111</v>
      </c>
      <c r="L590" t="str">
        <v>OK</v>
      </c>
      <c r="M590">
        <v>3</v>
      </c>
      <c r="O590">
        <f t="shared" si="72"/>
        <v>8.3409090909090917</v>
      </c>
      <c r="P590">
        <f t="shared" si="73"/>
        <v>6.5601250000000002</v>
      </c>
      <c r="Q590">
        <f t="shared" si="74"/>
        <v>25.275482093663914</v>
      </c>
      <c r="R590">
        <f t="shared" si="75"/>
        <v>1</v>
      </c>
      <c r="S590">
        <f t="shared" si="76"/>
        <v>25.275482093663914</v>
      </c>
      <c r="T590" t="str">
        <f t="shared" si="77"/>
        <v>CARGA INEFICIENTE</v>
      </c>
      <c r="U590" t="str">
        <f t="shared" si="78"/>
        <v>OK</v>
      </c>
      <c r="V590" t="str">
        <f t="shared" si="79"/>
        <v>OK</v>
      </c>
    </row>
    <row r="591" spans="1:22" x14ac:dyDescent="0.45">
      <c r="A591" t="str">
        <v>SO-50592</v>
      </c>
      <c r="B591" t="str">
        <v>PL-NTE</v>
      </c>
      <c r="C591" t="str">
        <v>CD-MTY</v>
      </c>
      <c r="D591" t="str">
        <v>PRO-1008</v>
      </c>
      <c r="E591">
        <v>1703</v>
      </c>
      <c r="F591" s="1">
        <v>46176</v>
      </c>
      <c r="G591" t="str">
        <v>In Transit</v>
      </c>
      <c r="H591" t="str">
        <v>OK</v>
      </c>
      <c r="I591">
        <v>11.98</v>
      </c>
      <c r="J591">
        <v>86</v>
      </c>
      <c r="K591">
        <v>123</v>
      </c>
      <c r="L591" t="str">
        <v>OK</v>
      </c>
      <c r="M591">
        <v>1</v>
      </c>
      <c r="O591">
        <f t="shared" si="72"/>
        <v>19.802325581395348</v>
      </c>
      <c r="P591">
        <f t="shared" si="73"/>
        <v>85.008083333333346</v>
      </c>
      <c r="Q591">
        <f t="shared" si="74"/>
        <v>60.007047216349541</v>
      </c>
      <c r="R591">
        <f t="shared" si="75"/>
        <v>1</v>
      </c>
      <c r="S591">
        <f t="shared" si="76"/>
        <v>85.008083333333346</v>
      </c>
      <c r="T591" t="str">
        <f t="shared" si="77"/>
        <v>OK</v>
      </c>
      <c r="U591" t="str">
        <f t="shared" si="78"/>
        <v>OK</v>
      </c>
      <c r="V591" t="str">
        <f t="shared" si="79"/>
        <v>OK</v>
      </c>
    </row>
    <row r="592" spans="1:22" x14ac:dyDescent="0.45">
      <c r="A592" t="str">
        <v>SO-51053</v>
      </c>
      <c r="B592" t="str">
        <v>PL-CEN</v>
      </c>
      <c r="C592" t="str">
        <v>CD-PUE</v>
      </c>
      <c r="D592" t="str">
        <v>BOT-1001</v>
      </c>
      <c r="E592">
        <v>1783</v>
      </c>
      <c r="F592" s="1">
        <v>46174</v>
      </c>
      <c r="G592" t="str">
        <v>In Transit</v>
      </c>
      <c r="H592" t="str">
        <v>OK</v>
      </c>
      <c r="I592">
        <v>6.95</v>
      </c>
      <c r="J592">
        <v>66</v>
      </c>
      <c r="K592">
        <v>95</v>
      </c>
      <c r="L592" t="str">
        <v>OK</v>
      </c>
      <c r="M592">
        <v>3</v>
      </c>
      <c r="O592">
        <f t="shared" si="72"/>
        <v>27.015151515151516</v>
      </c>
      <c r="P592">
        <f t="shared" si="73"/>
        <v>51.632708333333333</v>
      </c>
      <c r="Q592">
        <f t="shared" si="74"/>
        <v>81.864095500459129</v>
      </c>
      <c r="R592">
        <f t="shared" si="75"/>
        <v>1</v>
      </c>
      <c r="S592">
        <f t="shared" si="76"/>
        <v>81.864095500459129</v>
      </c>
      <c r="T592" t="str">
        <f t="shared" si="77"/>
        <v>OK</v>
      </c>
      <c r="U592" t="str">
        <f t="shared" si="78"/>
        <v>OK</v>
      </c>
      <c r="V592" t="str">
        <f t="shared" si="79"/>
        <v>OK</v>
      </c>
    </row>
    <row r="593" spans="1:22" x14ac:dyDescent="0.45">
      <c r="A593" t="str">
        <v>SO-50005</v>
      </c>
      <c r="B593" t="str">
        <v>PL-SUR</v>
      </c>
      <c r="C593" t="str">
        <v>CD-CAN</v>
      </c>
      <c r="D593" t="str">
        <v>ABA-1005</v>
      </c>
      <c r="E593">
        <v>1552</v>
      </c>
      <c r="F593" s="1">
        <v>46174</v>
      </c>
      <c r="G593" t="str">
        <v>In Transit</v>
      </c>
      <c r="H593" t="str">
        <v>OK</v>
      </c>
      <c r="I593">
        <v>13.31</v>
      </c>
      <c r="J593">
        <v>89</v>
      </c>
      <c r="K593">
        <v>313</v>
      </c>
      <c r="L593" t="str">
        <v>OK</v>
      </c>
      <c r="M593">
        <v>3</v>
      </c>
      <c r="O593">
        <f t="shared" si="72"/>
        <v>17.438202247191011</v>
      </c>
      <c r="P593">
        <f t="shared" si="73"/>
        <v>86.071333333333328</v>
      </c>
      <c r="Q593">
        <f t="shared" si="74"/>
        <v>52.843037112700031</v>
      </c>
      <c r="R593">
        <f t="shared" si="75"/>
        <v>1</v>
      </c>
      <c r="S593">
        <f t="shared" si="76"/>
        <v>86.071333333333328</v>
      </c>
      <c r="T593" t="str">
        <f t="shared" si="77"/>
        <v>OK</v>
      </c>
      <c r="U593" t="str">
        <f t="shared" si="78"/>
        <v>OK</v>
      </c>
      <c r="V593" t="str">
        <f t="shared" si="79"/>
        <v>OK</v>
      </c>
    </row>
    <row r="594" spans="1:22" x14ac:dyDescent="0.45">
      <c r="A594" t="str">
        <v>SO-50878</v>
      </c>
      <c r="B594" t="str">
        <v>PL-NTE</v>
      </c>
      <c r="C594" t="str">
        <v>CD-TIJ</v>
      </c>
      <c r="D594" t="str">
        <v>BEB-1005</v>
      </c>
      <c r="E594">
        <v>1514</v>
      </c>
      <c r="F594" s="1">
        <v>46176</v>
      </c>
      <c r="G594" t="str">
        <v>In Transit</v>
      </c>
      <c r="H594" t="str">
        <v>OK</v>
      </c>
      <c r="I594">
        <v>14.2</v>
      </c>
      <c r="J594">
        <v>95</v>
      </c>
      <c r="K594">
        <v>277</v>
      </c>
      <c r="L594" t="str">
        <v>OK</v>
      </c>
      <c r="M594">
        <v>1</v>
      </c>
      <c r="O594">
        <f t="shared" si="72"/>
        <v>15.936842105263159</v>
      </c>
      <c r="P594">
        <f t="shared" si="73"/>
        <v>89.578333333333333</v>
      </c>
      <c r="Q594">
        <f t="shared" si="74"/>
        <v>48.293460925039881</v>
      </c>
      <c r="R594">
        <f t="shared" si="75"/>
        <v>1</v>
      </c>
      <c r="S594">
        <f t="shared" si="76"/>
        <v>89.578333333333333</v>
      </c>
      <c r="T594" t="str">
        <f t="shared" si="77"/>
        <v>OK</v>
      </c>
      <c r="U594" t="str">
        <f t="shared" si="78"/>
        <v>OK</v>
      </c>
      <c r="V594" t="str">
        <f t="shared" si="79"/>
        <v>OK</v>
      </c>
    </row>
    <row r="595" spans="1:22" x14ac:dyDescent="0.45">
      <c r="A595" t="str">
        <v>SO-50093</v>
      </c>
      <c r="B595" t="str">
        <v>PL-SUR</v>
      </c>
      <c r="C595" t="str">
        <v>CD-GDL</v>
      </c>
      <c r="D595" t="str">
        <v>ABA-1018</v>
      </c>
      <c r="E595">
        <v>1914</v>
      </c>
      <c r="F595" s="1">
        <v>46176</v>
      </c>
      <c r="G595" t="str">
        <v>In Transit</v>
      </c>
      <c r="H595" t="str">
        <v>OK</v>
      </c>
      <c r="I595">
        <v>11.43</v>
      </c>
      <c r="J595">
        <v>128</v>
      </c>
      <c r="K595">
        <v>530</v>
      </c>
      <c r="L595" t="str">
        <v>OK</v>
      </c>
      <c r="M595">
        <v>1</v>
      </c>
      <c r="O595">
        <f t="shared" si="72"/>
        <v>14.953125</v>
      </c>
      <c r="P595">
        <f t="shared" si="73"/>
        <v>91.154250000000005</v>
      </c>
      <c r="Q595">
        <f t="shared" si="74"/>
        <v>45.3125</v>
      </c>
      <c r="R595">
        <f t="shared" si="75"/>
        <v>1</v>
      </c>
      <c r="S595">
        <f t="shared" si="76"/>
        <v>91.154250000000005</v>
      </c>
      <c r="T595" t="str">
        <f t="shared" si="77"/>
        <v>OK</v>
      </c>
      <c r="U595" t="str">
        <f t="shared" si="78"/>
        <v>OK</v>
      </c>
      <c r="V595" t="str">
        <f t="shared" si="79"/>
        <v>OK</v>
      </c>
    </row>
    <row r="596" spans="1:22" x14ac:dyDescent="0.45">
      <c r="A596" t="str">
        <v>SO-50843</v>
      </c>
      <c r="B596" t="str">
        <v>PL-SUR</v>
      </c>
      <c r="C596" t="str">
        <v>CD-MER</v>
      </c>
      <c r="D596" t="str">
        <v>PRO-1004</v>
      </c>
      <c r="E596">
        <v>1552</v>
      </c>
      <c r="F596" s="1">
        <v>46173</v>
      </c>
      <c r="G596" t="str">
        <v>In Transit</v>
      </c>
      <c r="H596" t="str">
        <v>OK</v>
      </c>
      <c r="I596">
        <v>12.77</v>
      </c>
      <c r="J596">
        <v>96</v>
      </c>
      <c r="K596">
        <v>122</v>
      </c>
      <c r="L596" t="str">
        <v>OK</v>
      </c>
      <c r="M596">
        <v>4</v>
      </c>
      <c r="O596">
        <f t="shared" si="72"/>
        <v>16.166666666666668</v>
      </c>
      <c r="P596">
        <f t="shared" si="73"/>
        <v>82.579333333333338</v>
      </c>
      <c r="Q596">
        <f t="shared" si="74"/>
        <v>48.989898989898997</v>
      </c>
      <c r="R596">
        <f t="shared" si="75"/>
        <v>1</v>
      </c>
      <c r="S596">
        <f t="shared" si="76"/>
        <v>82.579333333333338</v>
      </c>
      <c r="T596" t="str">
        <f t="shared" si="77"/>
        <v>OK</v>
      </c>
      <c r="U596" t="str">
        <f t="shared" si="78"/>
        <v>OK</v>
      </c>
      <c r="V596" t="str">
        <f t="shared" si="79"/>
        <v>OK</v>
      </c>
    </row>
    <row r="597" spans="1:22" x14ac:dyDescent="0.45">
      <c r="A597" t="str">
        <v>SO-50691</v>
      </c>
      <c r="B597" t="str">
        <v>PL-NTE</v>
      </c>
      <c r="C597" t="str">
        <v>CD-HER</v>
      </c>
      <c r="D597" t="str">
        <v>PRO-1002</v>
      </c>
      <c r="E597">
        <v>2117</v>
      </c>
      <c r="F597" s="1">
        <v>46176</v>
      </c>
      <c r="G597" t="str">
        <v>In Transit</v>
      </c>
      <c r="H597" t="str">
        <v>OK</v>
      </c>
      <c r="I597">
        <v>9.6999999999999993</v>
      </c>
      <c r="J597">
        <v>98</v>
      </c>
      <c r="K597">
        <v>115</v>
      </c>
      <c r="L597" t="str">
        <v>OK</v>
      </c>
      <c r="M597">
        <v>1</v>
      </c>
      <c r="O597">
        <f t="shared" si="72"/>
        <v>21.602040816326532</v>
      </c>
      <c r="P597">
        <f t="shared" si="73"/>
        <v>85.562083333333334</v>
      </c>
      <c r="Q597">
        <f t="shared" si="74"/>
        <v>65.460729746444031</v>
      </c>
      <c r="R597">
        <f t="shared" si="75"/>
        <v>1</v>
      </c>
      <c r="S597">
        <f t="shared" si="76"/>
        <v>85.562083333333334</v>
      </c>
      <c r="T597" t="str">
        <f t="shared" si="77"/>
        <v>OK</v>
      </c>
      <c r="U597" t="str">
        <f t="shared" si="78"/>
        <v>OK</v>
      </c>
      <c r="V597" t="str">
        <f t="shared" si="79"/>
        <v>OK</v>
      </c>
    </row>
    <row r="598" spans="1:22" x14ac:dyDescent="0.45">
      <c r="A598" t="str">
        <v>SO-50906</v>
      </c>
      <c r="B598" t="str">
        <v>PL-NTE</v>
      </c>
      <c r="C598" t="str">
        <v>CD-CHI</v>
      </c>
      <c r="D598" t="str">
        <v>ABA-1015</v>
      </c>
      <c r="E598">
        <v>2182</v>
      </c>
      <c r="F598" s="1">
        <v>46175</v>
      </c>
      <c r="G598" t="str">
        <v>Delivered</v>
      </c>
      <c r="H598" t="str">
        <v>OK</v>
      </c>
      <c r="I598">
        <v>8.19</v>
      </c>
      <c r="J598">
        <v>82</v>
      </c>
      <c r="K598">
        <v>317</v>
      </c>
      <c r="L598" t="str">
        <v>OK</v>
      </c>
      <c r="M598">
        <v>2</v>
      </c>
      <c r="O598">
        <f t="shared" si="72"/>
        <v>26.609756097560975</v>
      </c>
      <c r="P598">
        <f t="shared" si="73"/>
        <v>74.46074999999999</v>
      </c>
      <c r="Q598">
        <f t="shared" si="74"/>
        <v>80.635624538063567</v>
      </c>
      <c r="R598">
        <f t="shared" si="75"/>
        <v>1</v>
      </c>
      <c r="S598">
        <f t="shared" si="76"/>
        <v>80.635624538063567</v>
      </c>
      <c r="T598" t="str">
        <f t="shared" si="77"/>
        <v>OK</v>
      </c>
      <c r="U598" t="str">
        <f t="shared" si="78"/>
        <v>OK</v>
      </c>
      <c r="V598" t="str">
        <f t="shared" si="79"/>
        <v>OK</v>
      </c>
    </row>
    <row r="599" spans="1:22" x14ac:dyDescent="0.45">
      <c r="A599" t="str">
        <v>SO-51074</v>
      </c>
      <c r="B599" t="str">
        <v>PL-SUR</v>
      </c>
      <c r="C599" t="str">
        <v>CD-MER</v>
      </c>
      <c r="D599" t="str">
        <v>ABA-1018</v>
      </c>
      <c r="E599">
        <v>1786</v>
      </c>
      <c r="F599" s="1">
        <v>46174</v>
      </c>
      <c r="G599" t="str">
        <v>In Transit</v>
      </c>
      <c r="H599" t="str">
        <v>OK</v>
      </c>
      <c r="I599">
        <v>11.43</v>
      </c>
      <c r="J599">
        <v>128</v>
      </c>
      <c r="K599">
        <v>530</v>
      </c>
      <c r="L599" t="str">
        <v>OK</v>
      </c>
      <c r="M599">
        <v>3</v>
      </c>
      <c r="O599">
        <f t="shared" si="72"/>
        <v>13.953125</v>
      </c>
      <c r="P599">
        <f t="shared" si="73"/>
        <v>85.058250000000001</v>
      </c>
      <c r="Q599">
        <f t="shared" si="74"/>
        <v>42.282196969696969</v>
      </c>
      <c r="R599">
        <f t="shared" si="75"/>
        <v>1</v>
      </c>
      <c r="S599">
        <f t="shared" si="76"/>
        <v>85.058250000000001</v>
      </c>
      <c r="T599" t="str">
        <f t="shared" si="77"/>
        <v>OK</v>
      </c>
      <c r="U599" t="str">
        <f t="shared" si="78"/>
        <v>OK</v>
      </c>
      <c r="V599" t="str">
        <f t="shared" si="79"/>
        <v>OK</v>
      </c>
    </row>
    <row r="600" spans="1:22" x14ac:dyDescent="0.45">
      <c r="A600" t="str">
        <v>SO-50666</v>
      </c>
      <c r="B600" t="str">
        <v>PL-SUR</v>
      </c>
      <c r="C600" t="str">
        <v>CD-LEO</v>
      </c>
      <c r="D600" t="str">
        <v>PRO-1008</v>
      </c>
      <c r="E600">
        <v>1865</v>
      </c>
      <c r="F600" s="1">
        <v>46176</v>
      </c>
      <c r="G600" t="str">
        <v>In Transit</v>
      </c>
      <c r="H600" t="str">
        <v>OK</v>
      </c>
      <c r="I600">
        <v>11.98</v>
      </c>
      <c r="J600">
        <v>86</v>
      </c>
      <c r="K600">
        <v>123</v>
      </c>
      <c r="L600" t="str">
        <v>OK</v>
      </c>
      <c r="M600">
        <v>1</v>
      </c>
      <c r="O600">
        <f t="shared" si="72"/>
        <v>21.686046511627907</v>
      </c>
      <c r="P600">
        <f t="shared" si="73"/>
        <v>93.094583333333333</v>
      </c>
      <c r="Q600">
        <f t="shared" si="74"/>
        <v>65.715292459478505</v>
      </c>
      <c r="R600">
        <f t="shared" si="75"/>
        <v>1</v>
      </c>
      <c r="S600">
        <f t="shared" si="76"/>
        <v>93.094583333333333</v>
      </c>
      <c r="T600" t="str">
        <f t="shared" si="77"/>
        <v>OK</v>
      </c>
      <c r="U600" t="str">
        <f t="shared" si="78"/>
        <v>OK</v>
      </c>
      <c r="V600" t="str">
        <f t="shared" si="79"/>
        <v>OK</v>
      </c>
    </row>
    <row r="601" spans="1:22" x14ac:dyDescent="0.45">
      <c r="A601" t="str">
        <v>SO-50117</v>
      </c>
      <c r="B601" t="str">
        <v>PL-NTE</v>
      </c>
      <c r="C601" t="str">
        <v>CD-CHI</v>
      </c>
      <c r="D601" t="str">
        <v>BOT-1012</v>
      </c>
      <c r="E601">
        <v>1831</v>
      </c>
      <c r="F601" s="1">
        <v>46174</v>
      </c>
      <c r="G601" t="str">
        <v>In Transit</v>
      </c>
      <c r="H601" t="str">
        <v>OK</v>
      </c>
      <c r="I601">
        <v>4.26</v>
      </c>
      <c r="J601">
        <v>68</v>
      </c>
      <c r="K601">
        <v>117</v>
      </c>
      <c r="L601" t="str">
        <v>OK</v>
      </c>
      <c r="M601">
        <v>3</v>
      </c>
      <c r="O601">
        <f t="shared" si="72"/>
        <v>26.926470588235293</v>
      </c>
      <c r="P601">
        <f t="shared" si="73"/>
        <v>32.500249999999994</v>
      </c>
      <c r="Q601">
        <f t="shared" si="74"/>
        <v>81.595365418894829</v>
      </c>
      <c r="R601">
        <f t="shared" si="75"/>
        <v>1</v>
      </c>
      <c r="S601">
        <f t="shared" si="76"/>
        <v>81.595365418894829</v>
      </c>
      <c r="T601" t="str">
        <f t="shared" si="77"/>
        <v>OK</v>
      </c>
      <c r="U601" t="str">
        <f t="shared" si="78"/>
        <v>OK</v>
      </c>
      <c r="V601" t="str">
        <f t="shared" si="79"/>
        <v>OK</v>
      </c>
    </row>
    <row r="602" spans="1:22" x14ac:dyDescent="0.45">
      <c r="A602" t="str">
        <v>SO-50405</v>
      </c>
      <c r="B602" t="str">
        <v>PL-CEN</v>
      </c>
      <c r="C602" t="str">
        <v>CD-VER</v>
      </c>
      <c r="D602" t="str">
        <v>LAC-1001</v>
      </c>
      <c r="E602">
        <v>927</v>
      </c>
      <c r="F602" s="1">
        <v>46174</v>
      </c>
      <c r="G602" t="str">
        <v>In Transit</v>
      </c>
      <c r="H602" t="str">
        <v>OK</v>
      </c>
      <c r="I602">
        <v>7.51</v>
      </c>
      <c r="J602">
        <v>83</v>
      </c>
      <c r="K602">
        <v>18</v>
      </c>
      <c r="L602" t="str">
        <v>OK</v>
      </c>
      <c r="M602">
        <v>3</v>
      </c>
      <c r="O602">
        <f t="shared" si="72"/>
        <v>11.168674698795181</v>
      </c>
      <c r="P602">
        <f t="shared" si="73"/>
        <v>29.007374999999996</v>
      </c>
      <c r="Q602">
        <f t="shared" si="74"/>
        <v>33.844468784227821</v>
      </c>
      <c r="R602">
        <f t="shared" si="75"/>
        <v>1</v>
      </c>
      <c r="S602">
        <f t="shared" si="76"/>
        <v>33.844468784227821</v>
      </c>
      <c r="T602" t="str">
        <f t="shared" si="77"/>
        <v>CARGA INEFICIENTE</v>
      </c>
      <c r="U602" t="str">
        <f t="shared" si="78"/>
        <v>OK</v>
      </c>
      <c r="V602" t="str">
        <f t="shared" si="79"/>
        <v>OK</v>
      </c>
    </row>
    <row r="603" spans="1:22" x14ac:dyDescent="0.45">
      <c r="A603" t="str">
        <v>SO-50757</v>
      </c>
      <c r="B603" t="str">
        <v>PL-NTE</v>
      </c>
      <c r="C603" t="str">
        <v>CD-CHI</v>
      </c>
      <c r="D603" t="str">
        <v>ABA-1005</v>
      </c>
      <c r="E603">
        <v>1485</v>
      </c>
      <c r="F603" s="1">
        <v>46174</v>
      </c>
      <c r="G603" t="str">
        <v>In Transit</v>
      </c>
      <c r="H603" t="str">
        <v>OK</v>
      </c>
      <c r="I603">
        <v>13.31</v>
      </c>
      <c r="J603">
        <v>89</v>
      </c>
      <c r="K603">
        <v>313</v>
      </c>
      <c r="L603" t="str">
        <v>OK</v>
      </c>
      <c r="M603">
        <v>3</v>
      </c>
      <c r="O603">
        <f t="shared" si="72"/>
        <v>16.685393258426966</v>
      </c>
      <c r="P603">
        <f t="shared" si="73"/>
        <v>82.355625000000003</v>
      </c>
      <c r="Q603">
        <f t="shared" si="74"/>
        <v>50.561797752808992</v>
      </c>
      <c r="R603">
        <f t="shared" si="75"/>
        <v>1</v>
      </c>
      <c r="S603">
        <f t="shared" si="76"/>
        <v>82.355625000000003</v>
      </c>
      <c r="T603" t="str">
        <f t="shared" si="77"/>
        <v>OK</v>
      </c>
      <c r="U603" t="str">
        <f t="shared" si="78"/>
        <v>OK</v>
      </c>
      <c r="V603" t="str">
        <f t="shared" si="79"/>
        <v>OK</v>
      </c>
    </row>
    <row r="604" spans="1:22" x14ac:dyDescent="0.45">
      <c r="A604" t="str">
        <v>SO-50313</v>
      </c>
      <c r="B604" t="str">
        <v>PL-NTE</v>
      </c>
      <c r="C604" t="str">
        <v>CD-CHI</v>
      </c>
      <c r="D604" t="str">
        <v>BEB-1006</v>
      </c>
      <c r="E604">
        <v>1348</v>
      </c>
      <c r="F604" s="1">
        <v>46174</v>
      </c>
      <c r="G604" t="str">
        <v>In Transit</v>
      </c>
      <c r="H604" t="str">
        <v>OK</v>
      </c>
      <c r="I604">
        <v>17.18</v>
      </c>
      <c r="J604">
        <v>81</v>
      </c>
      <c r="K604">
        <v>293</v>
      </c>
      <c r="L604" t="str">
        <v>OK</v>
      </c>
      <c r="M604">
        <v>3</v>
      </c>
      <c r="O604">
        <f t="shared" si="72"/>
        <v>16.641975308641975</v>
      </c>
      <c r="P604">
        <f t="shared" si="73"/>
        <v>96.49433333333333</v>
      </c>
      <c r="Q604">
        <f t="shared" si="74"/>
        <v>50.430228208005978</v>
      </c>
      <c r="R604">
        <f t="shared" si="75"/>
        <v>1</v>
      </c>
      <c r="S604">
        <f t="shared" si="76"/>
        <v>96.49433333333333</v>
      </c>
      <c r="T604" t="str">
        <f t="shared" si="77"/>
        <v>OK</v>
      </c>
      <c r="U604" t="str">
        <f t="shared" si="78"/>
        <v>OK</v>
      </c>
      <c r="V604" t="str">
        <f t="shared" si="79"/>
        <v>OK</v>
      </c>
    </row>
    <row r="605" spans="1:22" x14ac:dyDescent="0.45">
      <c r="A605" t="str">
        <v>SO-51048</v>
      </c>
      <c r="B605" t="str">
        <v>PL-NTE</v>
      </c>
      <c r="C605" t="str">
        <v>CD-HER</v>
      </c>
      <c r="D605" t="str">
        <v>PRO-1007</v>
      </c>
      <c r="E605">
        <v>1483</v>
      </c>
      <c r="F605" s="1">
        <v>46175</v>
      </c>
      <c r="G605" t="str">
        <v>In Transit</v>
      </c>
      <c r="H605" t="str">
        <v>OK</v>
      </c>
      <c r="I605">
        <v>13.13</v>
      </c>
      <c r="J605">
        <v>82</v>
      </c>
      <c r="K605">
        <v>105</v>
      </c>
      <c r="L605" t="str">
        <v>OK</v>
      </c>
      <c r="M605">
        <v>2</v>
      </c>
      <c r="O605">
        <f t="shared" si="72"/>
        <v>18.085365853658537</v>
      </c>
      <c r="P605">
        <f t="shared" si="73"/>
        <v>81.132458333333332</v>
      </c>
      <c r="Q605">
        <f t="shared" si="74"/>
        <v>54.804138950480421</v>
      </c>
      <c r="R605">
        <f t="shared" si="75"/>
        <v>1</v>
      </c>
      <c r="S605">
        <f t="shared" si="76"/>
        <v>81.132458333333332</v>
      </c>
      <c r="T605" t="str">
        <f t="shared" si="77"/>
        <v>OK</v>
      </c>
      <c r="U605" t="str">
        <f t="shared" si="78"/>
        <v>OK</v>
      </c>
      <c r="V605" t="str">
        <f t="shared" si="79"/>
        <v>OK</v>
      </c>
    </row>
    <row r="606" spans="1:22" x14ac:dyDescent="0.45">
      <c r="A606" t="str">
        <v>SO-50497</v>
      </c>
      <c r="B606" t="str">
        <v>PL-SUR</v>
      </c>
      <c r="C606" t="str">
        <v>CD-MOR</v>
      </c>
      <c r="D606" t="str">
        <v>BOT-1019</v>
      </c>
      <c r="E606">
        <v>2626</v>
      </c>
      <c r="F606" s="1">
        <v>46176</v>
      </c>
      <c r="G606" t="str">
        <v>In Transit</v>
      </c>
      <c r="H606" t="str">
        <v>OK</v>
      </c>
      <c r="I606">
        <v>3.44</v>
      </c>
      <c r="J606">
        <v>85</v>
      </c>
      <c r="K606">
        <v>102</v>
      </c>
      <c r="L606" t="str">
        <v>OK</v>
      </c>
      <c r="M606">
        <v>1</v>
      </c>
      <c r="O606">
        <f t="shared" si="72"/>
        <v>30.894117647058824</v>
      </c>
      <c r="P606">
        <f t="shared" si="73"/>
        <v>37.639333333333333</v>
      </c>
      <c r="Q606">
        <f t="shared" si="74"/>
        <v>93.618538324420669</v>
      </c>
      <c r="R606">
        <f t="shared" si="75"/>
        <v>1</v>
      </c>
      <c r="S606">
        <f t="shared" si="76"/>
        <v>93.618538324420669</v>
      </c>
      <c r="T606" t="str">
        <f t="shared" si="77"/>
        <v>OK</v>
      </c>
      <c r="U606" t="str">
        <f t="shared" si="78"/>
        <v>OK</v>
      </c>
      <c r="V606" t="str">
        <f t="shared" si="79"/>
        <v>OK</v>
      </c>
    </row>
    <row r="607" spans="1:22" x14ac:dyDescent="0.45">
      <c r="A607" t="str">
        <v>SO-50668</v>
      </c>
      <c r="B607" t="str">
        <v>PL-SUR</v>
      </c>
      <c r="C607" t="str">
        <v>CD-GDL</v>
      </c>
      <c r="D607" t="str">
        <v>BEB-1017</v>
      </c>
      <c r="E607">
        <v>1071</v>
      </c>
      <c r="F607" s="1">
        <v>46176</v>
      </c>
      <c r="G607" t="str">
        <v>In Transit</v>
      </c>
      <c r="H607" t="str">
        <v>OK</v>
      </c>
      <c r="I607">
        <v>21.3</v>
      </c>
      <c r="J607">
        <v>108</v>
      </c>
      <c r="K607">
        <v>345</v>
      </c>
      <c r="L607" t="str">
        <v>OK</v>
      </c>
      <c r="M607">
        <v>1</v>
      </c>
      <c r="O607">
        <f t="shared" si="72"/>
        <v>9.9166666666666661</v>
      </c>
      <c r="P607">
        <f t="shared" si="73"/>
        <v>95.051249999999996</v>
      </c>
      <c r="Q607">
        <f t="shared" si="74"/>
        <v>30.050505050505048</v>
      </c>
      <c r="R607">
        <f t="shared" si="75"/>
        <v>1</v>
      </c>
      <c r="S607">
        <f t="shared" si="76"/>
        <v>95.051249999999996</v>
      </c>
      <c r="T607" t="str">
        <f t="shared" si="77"/>
        <v>OK</v>
      </c>
      <c r="U607" t="str">
        <f t="shared" si="78"/>
        <v>OK</v>
      </c>
      <c r="V607" t="str">
        <f t="shared" si="79"/>
        <v>OK</v>
      </c>
    </row>
    <row r="608" spans="1:22" x14ac:dyDescent="0.45">
      <c r="A608" t="str">
        <v>SO-50677</v>
      </c>
      <c r="B608" t="str">
        <v>PL-CEN</v>
      </c>
      <c r="C608" t="str">
        <v>CD-CDMX</v>
      </c>
      <c r="D608" t="str">
        <v>PRO-1011</v>
      </c>
      <c r="E608">
        <v>2498</v>
      </c>
      <c r="F608" s="1">
        <v>46176</v>
      </c>
      <c r="G608" t="str">
        <v>In Transit</v>
      </c>
      <c r="H608" t="str">
        <v>OK</v>
      </c>
      <c r="I608">
        <v>4.3600000000000003</v>
      </c>
      <c r="J608">
        <v>88</v>
      </c>
      <c r="K608">
        <v>108</v>
      </c>
      <c r="L608" t="str">
        <v>OK</v>
      </c>
      <c r="M608">
        <v>1</v>
      </c>
      <c r="O608">
        <f t="shared" si="72"/>
        <v>28.386363636363637</v>
      </c>
      <c r="P608">
        <f t="shared" si="73"/>
        <v>45.380333333333333</v>
      </c>
      <c r="Q608">
        <f t="shared" si="74"/>
        <v>86.019283746556468</v>
      </c>
      <c r="R608">
        <f t="shared" si="75"/>
        <v>1</v>
      </c>
      <c r="S608">
        <f t="shared" si="76"/>
        <v>86.019283746556468</v>
      </c>
      <c r="T608" t="str">
        <f t="shared" si="77"/>
        <v>OK</v>
      </c>
      <c r="U608" t="str">
        <f t="shared" si="78"/>
        <v>OK</v>
      </c>
      <c r="V608" t="str">
        <f t="shared" si="79"/>
        <v>OK</v>
      </c>
    </row>
    <row r="609" spans="1:22" x14ac:dyDescent="0.45">
      <c r="A609" t="str">
        <v>SO-50913</v>
      </c>
      <c r="B609" t="str">
        <v>PL-CEN</v>
      </c>
      <c r="C609" t="str">
        <v>CD-TOL</v>
      </c>
      <c r="D609" t="str">
        <v>BEB-1010</v>
      </c>
      <c r="E609">
        <v>986</v>
      </c>
      <c r="F609" s="1">
        <v>46175</v>
      </c>
      <c r="G609" t="str">
        <v>In Transit</v>
      </c>
      <c r="H609" t="str">
        <v>OK</v>
      </c>
      <c r="I609">
        <v>0</v>
      </c>
      <c r="J609">
        <v>71</v>
      </c>
      <c r="K609">
        <v>192</v>
      </c>
      <c r="L609" t="str">
        <v>OK</v>
      </c>
      <c r="M609">
        <v>2</v>
      </c>
      <c r="O609">
        <f t="shared" si="72"/>
        <v>13.887323943661972</v>
      </c>
      <c r="P609">
        <f t="shared" si="73"/>
        <v>0</v>
      </c>
      <c r="Q609">
        <f t="shared" si="74"/>
        <v>42.082799829278706</v>
      </c>
      <c r="R609">
        <f t="shared" si="75"/>
        <v>1</v>
      </c>
      <c r="S609">
        <f t="shared" si="76"/>
        <v>42.082799829278706</v>
      </c>
      <c r="T609" t="str">
        <f t="shared" si="77"/>
        <v>CARGA INEFICIENTE</v>
      </c>
      <c r="U609" t="str">
        <f t="shared" si="78"/>
        <v>OK</v>
      </c>
      <c r="V609" t="str">
        <f t="shared" si="79"/>
        <v>OK</v>
      </c>
    </row>
    <row r="610" spans="1:22" x14ac:dyDescent="0.45">
      <c r="A610" t="str">
        <v>SO-50565</v>
      </c>
      <c r="B610" t="str">
        <v>PL-NTE</v>
      </c>
      <c r="C610" t="str">
        <v>CD-TIJ</v>
      </c>
      <c r="D610" t="str">
        <v>PRO-1008</v>
      </c>
      <c r="E610">
        <v>1802</v>
      </c>
      <c r="F610" s="1">
        <v>46173</v>
      </c>
      <c r="G610" t="str">
        <v>In Transit</v>
      </c>
      <c r="H610" t="str">
        <v>OK</v>
      </c>
      <c r="I610">
        <v>11.98</v>
      </c>
      <c r="J610">
        <v>86</v>
      </c>
      <c r="K610">
        <v>123</v>
      </c>
      <c r="L610" t="str">
        <v>OK</v>
      </c>
      <c r="M610">
        <v>4</v>
      </c>
      <c r="O610">
        <f t="shared" si="72"/>
        <v>20.953488372093023</v>
      </c>
      <c r="P610">
        <f t="shared" si="73"/>
        <v>89.949833333333331</v>
      </c>
      <c r="Q610">
        <f t="shared" si="74"/>
        <v>63.495419309372799</v>
      </c>
      <c r="R610">
        <f t="shared" si="75"/>
        <v>1</v>
      </c>
      <c r="S610">
        <f t="shared" si="76"/>
        <v>89.949833333333331</v>
      </c>
      <c r="T610" t="str">
        <f t="shared" si="77"/>
        <v>OK</v>
      </c>
      <c r="U610" t="str">
        <f t="shared" si="78"/>
        <v>OK</v>
      </c>
      <c r="V610" t="str">
        <f t="shared" si="79"/>
        <v>OK</v>
      </c>
    </row>
    <row r="611" spans="1:22" x14ac:dyDescent="0.45">
      <c r="A611" t="str">
        <v>SO-50661</v>
      </c>
      <c r="B611" t="str">
        <v>PL-SUR</v>
      </c>
      <c r="C611" t="str">
        <v>CD-LEO</v>
      </c>
      <c r="D611" t="str">
        <v>BOT-1007</v>
      </c>
      <c r="E611">
        <v>1330</v>
      </c>
      <c r="F611" s="1">
        <v>46176</v>
      </c>
      <c r="G611" t="str">
        <v>In Transit</v>
      </c>
      <c r="H611" t="str">
        <v>OK</v>
      </c>
      <c r="I611">
        <v>0</v>
      </c>
      <c r="J611">
        <v>49</v>
      </c>
      <c r="K611">
        <v>104</v>
      </c>
      <c r="L611" t="str">
        <v>OK</v>
      </c>
      <c r="M611">
        <v>1</v>
      </c>
      <c r="O611">
        <f t="shared" si="72"/>
        <v>27.142857142857142</v>
      </c>
      <c r="P611">
        <f t="shared" si="73"/>
        <v>0</v>
      </c>
      <c r="Q611">
        <f t="shared" si="74"/>
        <v>82.251082251082252</v>
      </c>
      <c r="R611">
        <f t="shared" si="75"/>
        <v>1</v>
      </c>
      <c r="S611">
        <f t="shared" si="76"/>
        <v>82.251082251082252</v>
      </c>
      <c r="T611" t="str">
        <f t="shared" si="77"/>
        <v>OK</v>
      </c>
      <c r="U611" t="str">
        <f t="shared" si="78"/>
        <v>OK</v>
      </c>
      <c r="V611" t="str">
        <f t="shared" si="79"/>
        <v>OK</v>
      </c>
    </row>
    <row r="612" spans="1:22" x14ac:dyDescent="0.45">
      <c r="A612" t="str">
        <v>SO-50099</v>
      </c>
      <c r="B612" t="str">
        <v>PL-NTE</v>
      </c>
      <c r="C612" t="str">
        <v>CD-SAL</v>
      </c>
      <c r="D612" t="str">
        <v>BEB-1009</v>
      </c>
      <c r="E612">
        <v>1093</v>
      </c>
      <c r="F612" s="1">
        <v>46175</v>
      </c>
      <c r="G612" t="str">
        <v>In Transit</v>
      </c>
      <c r="H612" t="str">
        <v>OK</v>
      </c>
      <c r="I612">
        <v>18.170000000000002</v>
      </c>
      <c r="J612">
        <v>61</v>
      </c>
      <c r="K612">
        <v>188</v>
      </c>
      <c r="L612" t="str">
        <v>OK</v>
      </c>
      <c r="M612">
        <v>2</v>
      </c>
      <c r="O612">
        <f t="shared" si="72"/>
        <v>17.918032786885245</v>
      </c>
      <c r="P612">
        <f t="shared" si="73"/>
        <v>82.749208333333328</v>
      </c>
      <c r="Q612">
        <f t="shared" si="74"/>
        <v>54.297069051167412</v>
      </c>
      <c r="R612">
        <f t="shared" si="75"/>
        <v>1</v>
      </c>
      <c r="S612">
        <f t="shared" si="76"/>
        <v>82.749208333333328</v>
      </c>
      <c r="T612" t="str">
        <f t="shared" si="77"/>
        <v>OK</v>
      </c>
      <c r="U612" t="str">
        <f t="shared" si="78"/>
        <v>OK</v>
      </c>
      <c r="V612" t="str">
        <f t="shared" si="79"/>
        <v>OK</v>
      </c>
    </row>
    <row r="613" spans="1:22" x14ac:dyDescent="0.45">
      <c r="A613" t="str">
        <v>SO-50573</v>
      </c>
      <c r="B613" t="str">
        <v>PL-CEN</v>
      </c>
      <c r="C613" t="str">
        <v>CD-PUE</v>
      </c>
      <c r="D613" t="str">
        <v>LAC-1012</v>
      </c>
      <c r="E613">
        <v>2333</v>
      </c>
      <c r="F613" s="1">
        <v>46176</v>
      </c>
      <c r="G613" t="str">
        <v>In Transit</v>
      </c>
      <c r="H613" t="str">
        <v>OK</v>
      </c>
      <c r="I613">
        <v>9.8699999999999992</v>
      </c>
      <c r="J613">
        <v>88</v>
      </c>
      <c r="K613">
        <v>25</v>
      </c>
      <c r="L613" t="str">
        <v>OK</v>
      </c>
      <c r="M613">
        <v>1</v>
      </c>
      <c r="O613">
        <f t="shared" si="72"/>
        <v>26.511363636363637</v>
      </c>
      <c r="P613">
        <f t="shared" si="73"/>
        <v>95.944624999999988</v>
      </c>
      <c r="Q613">
        <f t="shared" si="74"/>
        <v>80.337465564738295</v>
      </c>
      <c r="R613">
        <f t="shared" si="75"/>
        <v>1</v>
      </c>
      <c r="S613">
        <f t="shared" si="76"/>
        <v>95.944624999999988</v>
      </c>
      <c r="T613" t="str">
        <f t="shared" si="77"/>
        <v>OK</v>
      </c>
      <c r="U613" t="str">
        <f t="shared" si="78"/>
        <v>OK</v>
      </c>
      <c r="V613" t="str">
        <f t="shared" si="79"/>
        <v>OK</v>
      </c>
    </row>
    <row r="614" spans="1:22" x14ac:dyDescent="0.45">
      <c r="A614" t="str">
        <v>SO-50798</v>
      </c>
      <c r="B614" t="str">
        <v>PL-CEN</v>
      </c>
      <c r="C614" t="str">
        <v>CD-TOL</v>
      </c>
      <c r="D614" t="str">
        <v>PRO-1008</v>
      </c>
      <c r="E614">
        <v>1729</v>
      </c>
      <c r="F614" s="1">
        <v>46175</v>
      </c>
      <c r="G614" t="str">
        <v>In Transit</v>
      </c>
      <c r="H614" t="str">
        <v>OK</v>
      </c>
      <c r="I614">
        <v>11.98</v>
      </c>
      <c r="J614">
        <v>86</v>
      </c>
      <c r="K614">
        <v>123</v>
      </c>
      <c r="L614" t="str">
        <v>OK</v>
      </c>
      <c r="M614">
        <v>2</v>
      </c>
      <c r="O614">
        <f t="shared" si="72"/>
        <v>20.104651162790699</v>
      </c>
      <c r="P614">
        <f t="shared" si="73"/>
        <v>86.305916666666675</v>
      </c>
      <c r="Q614">
        <f t="shared" si="74"/>
        <v>60.923185341789996</v>
      </c>
      <c r="R614">
        <f t="shared" si="75"/>
        <v>1</v>
      </c>
      <c r="S614">
        <f t="shared" si="76"/>
        <v>86.305916666666675</v>
      </c>
      <c r="T614" t="str">
        <f t="shared" si="77"/>
        <v>OK</v>
      </c>
      <c r="U614" t="str">
        <f t="shared" si="78"/>
        <v>OK</v>
      </c>
      <c r="V614" t="str">
        <f t="shared" si="79"/>
        <v>OK</v>
      </c>
    </row>
    <row r="615" spans="1:22" x14ac:dyDescent="0.45">
      <c r="A615" t="str">
        <v>SO-50519</v>
      </c>
      <c r="B615" t="str">
        <v>PL-SUR</v>
      </c>
      <c r="C615" t="str">
        <v>CD-MOR</v>
      </c>
      <c r="D615" t="str">
        <v>LAC-1017</v>
      </c>
      <c r="E615">
        <v>3115</v>
      </c>
      <c r="F615" s="1">
        <v>46176</v>
      </c>
      <c r="G615" t="str">
        <v>In Transit</v>
      </c>
      <c r="H615" t="str">
        <v>OK</v>
      </c>
      <c r="I615">
        <v>7.45</v>
      </c>
      <c r="J615">
        <v>147</v>
      </c>
      <c r="K615">
        <v>28</v>
      </c>
      <c r="L615" t="str">
        <v>OK</v>
      </c>
      <c r="M615">
        <v>1</v>
      </c>
      <c r="O615">
        <f t="shared" si="72"/>
        <v>21.19047619047619</v>
      </c>
      <c r="P615">
        <f t="shared" si="73"/>
        <v>96.694791666666674</v>
      </c>
      <c r="Q615">
        <f t="shared" si="74"/>
        <v>64.213564213564212</v>
      </c>
      <c r="R615">
        <f t="shared" si="75"/>
        <v>1</v>
      </c>
      <c r="S615">
        <f t="shared" si="76"/>
        <v>96.694791666666674</v>
      </c>
      <c r="T615" t="str">
        <f t="shared" si="77"/>
        <v>OK</v>
      </c>
      <c r="U615" t="str">
        <f t="shared" si="78"/>
        <v>OK</v>
      </c>
      <c r="V615" t="str">
        <f t="shared" si="79"/>
        <v>OK</v>
      </c>
    </row>
    <row r="616" spans="1:22" x14ac:dyDescent="0.45">
      <c r="A616" t="str">
        <v>SO-50260</v>
      </c>
      <c r="B616" t="str">
        <v>PL-CEN</v>
      </c>
      <c r="C616" t="str">
        <v>CD-PUE</v>
      </c>
      <c r="D616" t="str">
        <v>ABA-1006</v>
      </c>
      <c r="E616">
        <v>1513</v>
      </c>
      <c r="F616" s="1">
        <v>46176</v>
      </c>
      <c r="G616" t="str">
        <v>In Transit</v>
      </c>
      <c r="H616" t="str">
        <v>OK</v>
      </c>
      <c r="I616">
        <v>12.39</v>
      </c>
      <c r="J616">
        <v>134</v>
      </c>
      <c r="K616">
        <v>446</v>
      </c>
      <c r="L616" t="str">
        <v>OK</v>
      </c>
      <c r="M616">
        <v>1</v>
      </c>
      <c r="O616">
        <f t="shared" si="72"/>
        <v>11.291044776119403</v>
      </c>
      <c r="P616">
        <f t="shared" si="73"/>
        <v>78.108625000000004</v>
      </c>
      <c r="Q616">
        <f t="shared" si="74"/>
        <v>34.215287200361828</v>
      </c>
      <c r="R616">
        <f t="shared" si="75"/>
        <v>1</v>
      </c>
      <c r="S616">
        <f t="shared" si="76"/>
        <v>78.108625000000004</v>
      </c>
      <c r="T616" t="str">
        <f t="shared" si="77"/>
        <v>OK</v>
      </c>
      <c r="U616" t="str">
        <f t="shared" si="78"/>
        <v>OK</v>
      </c>
      <c r="V616" t="str">
        <f t="shared" si="79"/>
        <v>OK</v>
      </c>
    </row>
    <row r="617" spans="1:22" x14ac:dyDescent="0.45">
      <c r="A617" t="str">
        <v>SO-50865</v>
      </c>
      <c r="B617" t="str">
        <v>PL-NTE</v>
      </c>
      <c r="C617" t="str">
        <v>CD-MTY</v>
      </c>
      <c r="D617" t="str">
        <v>PRO-1002</v>
      </c>
      <c r="E617">
        <v>2363</v>
      </c>
      <c r="F617" s="1">
        <v>46176</v>
      </c>
      <c r="G617" t="str">
        <v>In Transit</v>
      </c>
      <c r="H617" t="str">
        <v>OK</v>
      </c>
      <c r="I617">
        <v>9.6999999999999993</v>
      </c>
      <c r="J617">
        <v>98</v>
      </c>
      <c r="K617">
        <v>115</v>
      </c>
      <c r="L617" t="str">
        <v>OK</v>
      </c>
      <c r="M617">
        <v>1</v>
      </c>
      <c r="O617">
        <f t="shared" si="72"/>
        <v>24.112244897959183</v>
      </c>
      <c r="P617">
        <f t="shared" si="73"/>
        <v>95.504583333333329</v>
      </c>
      <c r="Q617">
        <f t="shared" si="74"/>
        <v>73.067408781694496</v>
      </c>
      <c r="R617">
        <f t="shared" si="75"/>
        <v>1</v>
      </c>
      <c r="S617">
        <f t="shared" si="76"/>
        <v>95.504583333333329</v>
      </c>
      <c r="T617" t="str">
        <f t="shared" si="77"/>
        <v>OK</v>
      </c>
      <c r="U617" t="str">
        <f t="shared" si="78"/>
        <v>OK</v>
      </c>
      <c r="V617" t="str">
        <f t="shared" si="79"/>
        <v>OK</v>
      </c>
    </row>
    <row r="618" spans="1:22" x14ac:dyDescent="0.45">
      <c r="A618" t="str">
        <v>SO-50783</v>
      </c>
      <c r="B618" t="str">
        <v>PL-SUR</v>
      </c>
      <c r="C618" t="str">
        <v>CD-MOR</v>
      </c>
      <c r="D618" t="str">
        <v>LAC-1010</v>
      </c>
      <c r="E618">
        <v>3666</v>
      </c>
      <c r="F618" s="1">
        <v>46175</v>
      </c>
      <c r="G618" t="str">
        <v>In Transit</v>
      </c>
      <c r="H618" t="str">
        <v>OK</v>
      </c>
      <c r="I618">
        <v>6.24</v>
      </c>
      <c r="J618">
        <v>146</v>
      </c>
      <c r="K618">
        <v>24</v>
      </c>
      <c r="L618" t="str">
        <v>OK</v>
      </c>
      <c r="M618">
        <v>2</v>
      </c>
      <c r="O618">
        <f t="shared" si="72"/>
        <v>25.109589041095891</v>
      </c>
      <c r="P618">
        <f t="shared" si="73"/>
        <v>95.316000000000003</v>
      </c>
      <c r="Q618">
        <f t="shared" si="74"/>
        <v>76.089663760896642</v>
      </c>
      <c r="R618">
        <f t="shared" si="75"/>
        <v>1</v>
      </c>
      <c r="S618">
        <f t="shared" si="76"/>
        <v>95.316000000000003</v>
      </c>
      <c r="T618" t="str">
        <f t="shared" si="77"/>
        <v>OK</v>
      </c>
      <c r="U618" t="str">
        <f t="shared" si="78"/>
        <v>OK</v>
      </c>
      <c r="V618" t="str">
        <f t="shared" si="79"/>
        <v>OK</v>
      </c>
    </row>
    <row r="619" spans="1:22" x14ac:dyDescent="0.45">
      <c r="A619" t="str">
        <v>SO-50618</v>
      </c>
      <c r="B619" t="str">
        <v>PL-SUR</v>
      </c>
      <c r="C619" t="str">
        <v>CD-CAN</v>
      </c>
      <c r="D619" t="str">
        <v>BEB-1003</v>
      </c>
      <c r="E619">
        <v>397</v>
      </c>
      <c r="F619" s="1">
        <v>46176</v>
      </c>
      <c r="G619" t="str">
        <v>In Transit</v>
      </c>
      <c r="H619" t="str">
        <v>OK</v>
      </c>
      <c r="I619">
        <v>20.5</v>
      </c>
      <c r="J619">
        <v>64</v>
      </c>
      <c r="K619">
        <v>359</v>
      </c>
      <c r="L619" t="str">
        <v>OK</v>
      </c>
      <c r="M619">
        <v>1</v>
      </c>
      <c r="O619">
        <f t="shared" si="72"/>
        <v>6.203125</v>
      </c>
      <c r="P619">
        <f t="shared" si="73"/>
        <v>33.910416666666663</v>
      </c>
      <c r="Q619">
        <f t="shared" si="74"/>
        <v>18.797348484848484</v>
      </c>
      <c r="R619">
        <f t="shared" si="75"/>
        <v>1</v>
      </c>
      <c r="S619">
        <f t="shared" si="76"/>
        <v>33.910416666666663</v>
      </c>
      <c r="T619" t="str">
        <f t="shared" si="77"/>
        <v>CARGA INEFICIENTE</v>
      </c>
      <c r="U619" t="str">
        <f t="shared" si="78"/>
        <v>OK</v>
      </c>
      <c r="V619" t="str">
        <f t="shared" si="79"/>
        <v>OK</v>
      </c>
    </row>
    <row r="620" spans="1:22" x14ac:dyDescent="0.45">
      <c r="A620" t="str">
        <v>SO-50848</v>
      </c>
      <c r="B620" t="str">
        <v>PL-CEN</v>
      </c>
      <c r="C620" t="str">
        <v>CD-CDMX</v>
      </c>
      <c r="D620" t="str">
        <v>BEB-1000</v>
      </c>
      <c r="E620">
        <v>1239</v>
      </c>
      <c r="F620" s="1">
        <v>46176</v>
      </c>
      <c r="G620" t="str">
        <v>In Transit</v>
      </c>
      <c r="H620" t="str">
        <v>OK</v>
      </c>
      <c r="I620">
        <v>16.489999999999998</v>
      </c>
      <c r="J620">
        <v>102</v>
      </c>
      <c r="K620">
        <v>315</v>
      </c>
      <c r="L620" t="str">
        <v>OK</v>
      </c>
      <c r="M620">
        <v>1</v>
      </c>
      <c r="O620">
        <f t="shared" si="72"/>
        <v>12.147058823529411</v>
      </c>
      <c r="P620">
        <f t="shared" si="73"/>
        <v>85.12962499999999</v>
      </c>
      <c r="Q620">
        <f t="shared" si="74"/>
        <v>36.809269162210342</v>
      </c>
      <c r="R620">
        <f t="shared" si="75"/>
        <v>1</v>
      </c>
      <c r="S620">
        <f t="shared" si="76"/>
        <v>85.12962499999999</v>
      </c>
      <c r="T620" t="str">
        <f t="shared" si="77"/>
        <v>OK</v>
      </c>
      <c r="U620" t="str">
        <f t="shared" si="78"/>
        <v>OK</v>
      </c>
      <c r="V620" t="str">
        <f t="shared" si="79"/>
        <v>OK</v>
      </c>
    </row>
    <row r="621" spans="1:22" x14ac:dyDescent="0.45">
      <c r="A621" t="str">
        <v>SO-50169</v>
      </c>
      <c r="B621" t="str">
        <v>PL-SUR</v>
      </c>
      <c r="C621" t="str">
        <v>CD-MER</v>
      </c>
      <c r="D621" t="str">
        <v>BOT-1007</v>
      </c>
      <c r="E621">
        <v>1169</v>
      </c>
      <c r="F621" s="1">
        <v>46175</v>
      </c>
      <c r="G621" t="str">
        <v>In Transit</v>
      </c>
      <c r="H621" t="str">
        <v>OK</v>
      </c>
      <c r="I621">
        <v>0</v>
      </c>
      <c r="J621">
        <v>49</v>
      </c>
      <c r="K621">
        <v>104</v>
      </c>
      <c r="L621" t="str">
        <v>OK</v>
      </c>
      <c r="M621">
        <v>2</v>
      </c>
      <c r="O621">
        <f t="shared" si="72"/>
        <v>23.857142857142858</v>
      </c>
      <c r="P621">
        <f t="shared" si="73"/>
        <v>0</v>
      </c>
      <c r="Q621">
        <f t="shared" si="74"/>
        <v>72.294372294372295</v>
      </c>
      <c r="R621">
        <f t="shared" si="75"/>
        <v>1</v>
      </c>
      <c r="S621">
        <f t="shared" si="76"/>
        <v>72.294372294372295</v>
      </c>
      <c r="T621" t="str">
        <f t="shared" si="77"/>
        <v>CARGA INEFICIENTE</v>
      </c>
      <c r="U621" t="str">
        <f t="shared" si="78"/>
        <v>OK</v>
      </c>
      <c r="V621" t="str">
        <f t="shared" si="79"/>
        <v>OK</v>
      </c>
    </row>
    <row r="622" spans="1:22" x14ac:dyDescent="0.45">
      <c r="A622" t="str">
        <v>SO-50265</v>
      </c>
      <c r="B622" t="str">
        <v>PL-SUR</v>
      </c>
      <c r="C622" t="str">
        <v>CD-MER</v>
      </c>
      <c r="D622" t="str">
        <v>ABA-1017</v>
      </c>
      <c r="E622">
        <v>1042</v>
      </c>
      <c r="F622" s="1">
        <v>46173</v>
      </c>
      <c r="G622" t="str">
        <v>Delivered</v>
      </c>
      <c r="H622" t="str">
        <v>OK</v>
      </c>
      <c r="I622">
        <v>10.96</v>
      </c>
      <c r="J622">
        <v>128</v>
      </c>
      <c r="K622">
        <v>520</v>
      </c>
      <c r="L622" t="str">
        <v>OK</v>
      </c>
      <c r="M622">
        <v>4</v>
      </c>
      <c r="O622">
        <f t="shared" si="72"/>
        <v>8.140625</v>
      </c>
      <c r="P622">
        <f t="shared" si="73"/>
        <v>47.584666666666678</v>
      </c>
      <c r="Q622">
        <f t="shared" si="74"/>
        <v>24.668560606060606</v>
      </c>
      <c r="R622">
        <f t="shared" si="75"/>
        <v>1</v>
      </c>
      <c r="S622">
        <f t="shared" si="76"/>
        <v>47.584666666666678</v>
      </c>
      <c r="T622" t="str">
        <f t="shared" si="77"/>
        <v>CARGA INEFICIENTE</v>
      </c>
      <c r="U622" t="str">
        <f t="shared" si="78"/>
        <v>OK</v>
      </c>
      <c r="V622" t="str">
        <f t="shared" si="79"/>
        <v>OK</v>
      </c>
    </row>
    <row r="623" spans="1:22" x14ac:dyDescent="0.45">
      <c r="A623" t="str">
        <v>SO-50376</v>
      </c>
      <c r="B623" t="str">
        <v>PL-CEN</v>
      </c>
      <c r="C623" t="str">
        <v>CD-CDMX</v>
      </c>
      <c r="D623" t="str">
        <v>BOT-1009</v>
      </c>
      <c r="E623">
        <v>2246</v>
      </c>
      <c r="F623" s="1">
        <v>46176</v>
      </c>
      <c r="G623" t="str">
        <v>In Transit</v>
      </c>
      <c r="H623" t="str">
        <v>OK</v>
      </c>
      <c r="I623">
        <v>5.25</v>
      </c>
      <c r="J623">
        <v>76</v>
      </c>
      <c r="K623">
        <v>104</v>
      </c>
      <c r="L623" t="str">
        <v>OK</v>
      </c>
      <c r="M623">
        <v>1</v>
      </c>
      <c r="O623">
        <f t="shared" si="72"/>
        <v>29.55263157894737</v>
      </c>
      <c r="P623">
        <f t="shared" si="73"/>
        <v>49.131250000000001</v>
      </c>
      <c r="Q623">
        <f t="shared" si="74"/>
        <v>89.553429027113239</v>
      </c>
      <c r="R623">
        <f t="shared" si="75"/>
        <v>1</v>
      </c>
      <c r="S623">
        <f t="shared" si="76"/>
        <v>89.553429027113239</v>
      </c>
      <c r="T623" t="str">
        <f t="shared" si="77"/>
        <v>OK</v>
      </c>
      <c r="U623" t="str">
        <f t="shared" si="78"/>
        <v>OK</v>
      </c>
      <c r="V623" t="str">
        <f t="shared" si="79"/>
        <v>OK</v>
      </c>
    </row>
    <row r="624" spans="1:22" x14ac:dyDescent="0.45">
      <c r="A624" t="str">
        <v>SO-50594</v>
      </c>
      <c r="B624" t="str">
        <v>PL-SUR</v>
      </c>
      <c r="C624" t="str">
        <v>CD-MER</v>
      </c>
      <c r="D624" t="str">
        <v>ABA-1019</v>
      </c>
      <c r="E624">
        <v>1479</v>
      </c>
      <c r="F624" s="1">
        <v>46174</v>
      </c>
      <c r="G624" t="str">
        <v>Delivered</v>
      </c>
      <c r="H624" t="str">
        <v>OK</v>
      </c>
      <c r="I624">
        <v>14.82</v>
      </c>
      <c r="J624">
        <v>132</v>
      </c>
      <c r="K624">
        <v>373</v>
      </c>
      <c r="L624" t="str">
        <v>OK</v>
      </c>
      <c r="M624">
        <v>3</v>
      </c>
      <c r="O624">
        <f t="shared" si="72"/>
        <v>11.204545454545455</v>
      </c>
      <c r="P624">
        <f t="shared" si="73"/>
        <v>91.328249999999997</v>
      </c>
      <c r="Q624">
        <f t="shared" si="74"/>
        <v>33.953168044077138</v>
      </c>
      <c r="R624">
        <f t="shared" si="75"/>
        <v>1</v>
      </c>
      <c r="S624">
        <f t="shared" si="76"/>
        <v>91.328249999999997</v>
      </c>
      <c r="T624" t="str">
        <f t="shared" si="77"/>
        <v>OK</v>
      </c>
      <c r="U624" t="str">
        <f t="shared" si="78"/>
        <v>OK</v>
      </c>
      <c r="V624" t="str">
        <f t="shared" si="79"/>
        <v>OK</v>
      </c>
    </row>
    <row r="625" spans="1:22" x14ac:dyDescent="0.45">
      <c r="A625" t="str">
        <v>SO-50215</v>
      </c>
      <c r="B625" t="str">
        <v>PL-SUR</v>
      </c>
      <c r="C625" t="str">
        <v>CD-LEO</v>
      </c>
      <c r="D625" t="str">
        <v>ABA-1010</v>
      </c>
      <c r="E625">
        <v>871</v>
      </c>
      <c r="F625" s="1">
        <v>46175</v>
      </c>
      <c r="G625" t="str">
        <v>In Transit</v>
      </c>
      <c r="H625" t="str">
        <v>OK</v>
      </c>
      <c r="I625">
        <v>8.75</v>
      </c>
      <c r="J625">
        <v>123</v>
      </c>
      <c r="K625">
        <v>341</v>
      </c>
      <c r="L625" t="str">
        <v>OK</v>
      </c>
      <c r="M625">
        <v>2</v>
      </c>
      <c r="O625">
        <f t="shared" si="72"/>
        <v>7.0813008130081299</v>
      </c>
      <c r="P625">
        <f t="shared" si="73"/>
        <v>31.755208333333336</v>
      </c>
      <c r="Q625">
        <f t="shared" si="74"/>
        <v>21.458487312145849</v>
      </c>
      <c r="R625">
        <f t="shared" si="75"/>
        <v>1</v>
      </c>
      <c r="S625">
        <f t="shared" si="76"/>
        <v>31.755208333333336</v>
      </c>
      <c r="T625" t="str">
        <f t="shared" si="77"/>
        <v>CARGA INEFICIENTE</v>
      </c>
      <c r="U625" t="str">
        <f t="shared" si="78"/>
        <v>OK</v>
      </c>
      <c r="V625" t="str">
        <f t="shared" si="79"/>
        <v>OK</v>
      </c>
    </row>
    <row r="626" spans="1:22" x14ac:dyDescent="0.45">
      <c r="A626" t="str">
        <v>SO-50946</v>
      </c>
      <c r="B626" t="str">
        <v>PL-CEN</v>
      </c>
      <c r="C626" t="str">
        <v>CD-CDMX</v>
      </c>
      <c r="D626" t="str">
        <v>ABA-1000</v>
      </c>
      <c r="E626">
        <v>1331</v>
      </c>
      <c r="F626" s="1">
        <v>46176</v>
      </c>
      <c r="G626" t="str">
        <v>In Transit</v>
      </c>
      <c r="H626" t="str">
        <v>OK</v>
      </c>
      <c r="I626">
        <v>15.2</v>
      </c>
      <c r="J626">
        <v>135</v>
      </c>
      <c r="K626">
        <v>361</v>
      </c>
      <c r="L626" t="str">
        <v>OK</v>
      </c>
      <c r="M626">
        <v>1</v>
      </c>
      <c r="O626">
        <f t="shared" si="72"/>
        <v>9.8592592592592592</v>
      </c>
      <c r="P626">
        <f t="shared" si="73"/>
        <v>84.296666666666667</v>
      </c>
      <c r="Q626">
        <f t="shared" si="74"/>
        <v>29.876543209876544</v>
      </c>
      <c r="R626">
        <f t="shared" si="75"/>
        <v>1</v>
      </c>
      <c r="S626">
        <f t="shared" si="76"/>
        <v>84.296666666666667</v>
      </c>
      <c r="T626" t="str">
        <f t="shared" si="77"/>
        <v>OK</v>
      </c>
      <c r="U626" t="str">
        <f t="shared" si="78"/>
        <v>OK</v>
      </c>
      <c r="V626" t="str">
        <f t="shared" si="79"/>
        <v>OK</v>
      </c>
    </row>
    <row r="627" spans="1:22" x14ac:dyDescent="0.45">
      <c r="A627" t="str">
        <v>SO-50295</v>
      </c>
      <c r="B627" t="str">
        <v>PL-SUR</v>
      </c>
      <c r="C627" t="str">
        <v>CD-LEO</v>
      </c>
      <c r="D627" t="str">
        <v>ABA-1013</v>
      </c>
      <c r="E627">
        <v>1083</v>
      </c>
      <c r="F627" s="1">
        <v>46176</v>
      </c>
      <c r="G627" t="str">
        <v>In Transit</v>
      </c>
      <c r="H627" t="str">
        <v>OK</v>
      </c>
      <c r="I627">
        <v>12.02</v>
      </c>
      <c r="J627">
        <v>75</v>
      </c>
      <c r="K627">
        <v>402</v>
      </c>
      <c r="L627" t="str">
        <v>OK</v>
      </c>
      <c r="M627">
        <v>1</v>
      </c>
      <c r="O627">
        <f t="shared" si="72"/>
        <v>14.44</v>
      </c>
      <c r="P627">
        <f t="shared" si="73"/>
        <v>54.240250000000003</v>
      </c>
      <c r="Q627">
        <f t="shared" si="74"/>
        <v>43.757575757575758</v>
      </c>
      <c r="R627">
        <f t="shared" si="75"/>
        <v>1</v>
      </c>
      <c r="S627">
        <f t="shared" si="76"/>
        <v>54.240250000000003</v>
      </c>
      <c r="T627" t="str">
        <f t="shared" si="77"/>
        <v>CARGA INEFICIENTE</v>
      </c>
      <c r="U627" t="str">
        <f t="shared" si="78"/>
        <v>OK</v>
      </c>
      <c r="V627" t="str">
        <f t="shared" si="79"/>
        <v>OK</v>
      </c>
    </row>
    <row r="628" spans="1:22" x14ac:dyDescent="0.45">
      <c r="A628" t="str">
        <v>SO-50769</v>
      </c>
      <c r="B628" t="str">
        <v>PL-NTE</v>
      </c>
      <c r="C628" t="str">
        <v>CD-SAL</v>
      </c>
      <c r="D628" t="str">
        <v>LAC-1014</v>
      </c>
      <c r="E628">
        <v>2638</v>
      </c>
      <c r="F628" s="1">
        <v>46175</v>
      </c>
      <c r="G628" t="str">
        <v>In Transit</v>
      </c>
      <c r="H628" t="str">
        <v>OK</v>
      </c>
      <c r="I628">
        <v>8.0500000000000007</v>
      </c>
      <c r="J628">
        <v>147</v>
      </c>
      <c r="K628">
        <v>28</v>
      </c>
      <c r="L628" t="str">
        <v>OK</v>
      </c>
      <c r="M628">
        <v>2</v>
      </c>
      <c r="O628">
        <f t="shared" si="72"/>
        <v>17.945578231292519</v>
      </c>
      <c r="P628">
        <f t="shared" si="73"/>
        <v>88.482916666666682</v>
      </c>
      <c r="Q628">
        <f t="shared" si="74"/>
        <v>54.380540094825811</v>
      </c>
      <c r="R628">
        <f t="shared" si="75"/>
        <v>1</v>
      </c>
      <c r="S628">
        <f t="shared" si="76"/>
        <v>88.482916666666682</v>
      </c>
      <c r="T628" t="str">
        <f t="shared" si="77"/>
        <v>OK</v>
      </c>
      <c r="U628" t="str">
        <f t="shared" si="78"/>
        <v>OK</v>
      </c>
      <c r="V628" t="str">
        <f t="shared" si="79"/>
        <v>OK</v>
      </c>
    </row>
    <row r="629" spans="1:22" x14ac:dyDescent="0.45">
      <c r="A629" t="str">
        <v>SO-50269</v>
      </c>
      <c r="B629" t="str">
        <v>PL-NTE</v>
      </c>
      <c r="C629" t="str">
        <v>CD-HER</v>
      </c>
      <c r="D629" t="str">
        <v>BOT-1013</v>
      </c>
      <c r="E629">
        <v>969</v>
      </c>
      <c r="F629" s="1">
        <v>46176</v>
      </c>
      <c r="G629" t="str">
        <v>In Transit</v>
      </c>
      <c r="H629" t="str">
        <v>OK</v>
      </c>
      <c r="I629">
        <v>4</v>
      </c>
      <c r="J629">
        <v>58</v>
      </c>
      <c r="K629">
        <v>112</v>
      </c>
      <c r="L629" t="str">
        <v>OK</v>
      </c>
      <c r="M629">
        <v>1</v>
      </c>
      <c r="O629">
        <f t="shared" si="72"/>
        <v>16.706896551724139</v>
      </c>
      <c r="P629">
        <f t="shared" si="73"/>
        <v>16.150000000000002</v>
      </c>
      <c r="Q629">
        <f t="shared" si="74"/>
        <v>50.626959247648905</v>
      </c>
      <c r="R629">
        <f t="shared" si="75"/>
        <v>1</v>
      </c>
      <c r="S629">
        <f t="shared" si="76"/>
        <v>50.626959247648905</v>
      </c>
      <c r="T629" t="str">
        <f t="shared" si="77"/>
        <v>CARGA INEFICIENTE</v>
      </c>
      <c r="U629" t="str">
        <f t="shared" si="78"/>
        <v>OK</v>
      </c>
      <c r="V629" t="str">
        <f t="shared" si="79"/>
        <v>OK</v>
      </c>
    </row>
    <row r="630" spans="1:22" x14ac:dyDescent="0.45">
      <c r="A630" t="str">
        <v>SO-50263</v>
      </c>
      <c r="B630" t="str">
        <v>PL-CEN</v>
      </c>
      <c r="C630" t="str">
        <v>CD-QRO</v>
      </c>
      <c r="D630" t="str">
        <v>BOT-1011</v>
      </c>
      <c r="E630">
        <v>1190</v>
      </c>
      <c r="F630" s="1">
        <v>46175</v>
      </c>
      <c r="G630" t="str">
        <v>In Transit</v>
      </c>
      <c r="H630" t="str">
        <v>OK</v>
      </c>
      <c r="I630">
        <v>3.43</v>
      </c>
      <c r="J630">
        <v>88</v>
      </c>
      <c r="K630">
        <v>109</v>
      </c>
      <c r="L630" t="str">
        <v>OK</v>
      </c>
      <c r="M630">
        <v>2</v>
      </c>
      <c r="O630">
        <f t="shared" si="72"/>
        <v>13.522727272727273</v>
      </c>
      <c r="P630">
        <f t="shared" si="73"/>
        <v>17.007083333333334</v>
      </c>
      <c r="Q630">
        <f t="shared" si="74"/>
        <v>40.977961432506888</v>
      </c>
      <c r="R630">
        <f t="shared" si="75"/>
        <v>1</v>
      </c>
      <c r="S630">
        <f t="shared" si="76"/>
        <v>40.977961432506888</v>
      </c>
      <c r="T630" t="str">
        <f t="shared" si="77"/>
        <v>CARGA INEFICIENTE</v>
      </c>
      <c r="U630" t="str">
        <f t="shared" si="78"/>
        <v>OK</v>
      </c>
      <c r="V630" t="str">
        <f t="shared" si="79"/>
        <v>OK</v>
      </c>
    </row>
    <row r="631" spans="1:22" x14ac:dyDescent="0.45">
      <c r="A631" t="str">
        <v>SO-50749</v>
      </c>
      <c r="B631" t="str">
        <v>PL-SUR</v>
      </c>
      <c r="C631" t="str">
        <v>CD-MER</v>
      </c>
      <c r="D631" t="str">
        <v>PRO-1013</v>
      </c>
      <c r="E631">
        <v>1540</v>
      </c>
      <c r="F631" s="1">
        <v>46174</v>
      </c>
      <c r="G631" t="str">
        <v>Delivered</v>
      </c>
      <c r="H631" t="str">
        <v>OK</v>
      </c>
      <c r="I631">
        <v>4.37</v>
      </c>
      <c r="J631">
        <v>58</v>
      </c>
      <c r="K631">
        <v>92</v>
      </c>
      <c r="L631" t="str">
        <v>OK</v>
      </c>
      <c r="M631">
        <v>3</v>
      </c>
      <c r="O631">
        <f t="shared" si="72"/>
        <v>26.551724137931036</v>
      </c>
      <c r="P631">
        <f t="shared" si="73"/>
        <v>28.040833333333332</v>
      </c>
      <c r="Q631">
        <f t="shared" si="74"/>
        <v>80.459770114942529</v>
      </c>
      <c r="R631">
        <f t="shared" si="75"/>
        <v>1</v>
      </c>
      <c r="S631">
        <f t="shared" si="76"/>
        <v>80.459770114942529</v>
      </c>
      <c r="T631" t="str">
        <f t="shared" si="77"/>
        <v>OK</v>
      </c>
      <c r="U631" t="str">
        <f t="shared" si="78"/>
        <v>OK</v>
      </c>
      <c r="V631" t="str">
        <f t="shared" si="79"/>
        <v>OK</v>
      </c>
    </row>
    <row r="632" spans="1:22" x14ac:dyDescent="0.45">
      <c r="A632" t="str">
        <v>SO-50643</v>
      </c>
      <c r="B632" t="str">
        <v>PL-SUR</v>
      </c>
      <c r="C632" t="str">
        <v>CD-GDL</v>
      </c>
      <c r="D632" t="str">
        <v>LAC-1008</v>
      </c>
      <c r="E632">
        <v>1917</v>
      </c>
      <c r="F632" s="1">
        <v>46176</v>
      </c>
      <c r="G632" t="str">
        <v>In Transit</v>
      </c>
      <c r="H632" t="str">
        <v>OK</v>
      </c>
      <c r="I632">
        <v>9.8000000000000007</v>
      </c>
      <c r="J632">
        <v>83</v>
      </c>
      <c r="K632">
        <v>15</v>
      </c>
      <c r="L632" t="str">
        <v>OK</v>
      </c>
      <c r="M632">
        <v>1</v>
      </c>
      <c r="O632">
        <f t="shared" si="72"/>
        <v>23.096385542168676</v>
      </c>
      <c r="P632">
        <f t="shared" si="73"/>
        <v>78.277500000000018</v>
      </c>
      <c r="Q632">
        <f t="shared" si="74"/>
        <v>69.989047097480835</v>
      </c>
      <c r="R632">
        <f t="shared" si="75"/>
        <v>1</v>
      </c>
      <c r="S632">
        <f t="shared" si="76"/>
        <v>78.277500000000018</v>
      </c>
      <c r="T632" t="str">
        <f t="shared" si="77"/>
        <v>OK</v>
      </c>
      <c r="U632" t="str">
        <f t="shared" si="78"/>
        <v>OK</v>
      </c>
      <c r="V632" t="str">
        <f t="shared" si="79"/>
        <v>OK</v>
      </c>
    </row>
    <row r="633" spans="1:22" x14ac:dyDescent="0.45">
      <c r="A633" t="str">
        <v>SO-50348</v>
      </c>
      <c r="B633" t="str">
        <v>PL-NTE</v>
      </c>
      <c r="C633" t="str">
        <v>CD-HER</v>
      </c>
      <c r="D633" t="str">
        <v>BEB-1009</v>
      </c>
      <c r="E633">
        <v>1056</v>
      </c>
      <c r="F633" s="1">
        <v>46176</v>
      </c>
      <c r="G633" t="str">
        <v>In Transit</v>
      </c>
      <c r="H633" t="str">
        <v>OK</v>
      </c>
      <c r="I633">
        <v>18.170000000000002</v>
      </c>
      <c r="J633">
        <v>61</v>
      </c>
      <c r="K633">
        <v>188</v>
      </c>
      <c r="L633" t="str">
        <v>OK</v>
      </c>
      <c r="M633">
        <v>1</v>
      </c>
      <c r="O633">
        <f t="shared" si="72"/>
        <v>17.311475409836067</v>
      </c>
      <c r="P633">
        <f t="shared" si="73"/>
        <v>79.947999999999993</v>
      </c>
      <c r="Q633">
        <f t="shared" si="74"/>
        <v>52.459016393442624</v>
      </c>
      <c r="R633">
        <f t="shared" si="75"/>
        <v>1</v>
      </c>
      <c r="S633">
        <f t="shared" si="76"/>
        <v>79.947999999999993</v>
      </c>
      <c r="T633" t="str">
        <f t="shared" si="77"/>
        <v>OK</v>
      </c>
      <c r="U633" t="str">
        <f t="shared" si="78"/>
        <v>OK</v>
      </c>
      <c r="V633" t="str">
        <f t="shared" si="79"/>
        <v>OK</v>
      </c>
    </row>
    <row r="634" spans="1:22" x14ac:dyDescent="0.45">
      <c r="A634" t="str">
        <v>SO-50330</v>
      </c>
      <c r="B634" t="str">
        <v>PL-SUR</v>
      </c>
      <c r="C634" t="str">
        <v>CD-MER</v>
      </c>
      <c r="D634" t="str">
        <v>BEB-1002</v>
      </c>
      <c r="E634">
        <v>377</v>
      </c>
      <c r="F634" s="1">
        <v>46174</v>
      </c>
      <c r="G634" t="str">
        <v>Delivered</v>
      </c>
      <c r="H634" t="str">
        <v>OK</v>
      </c>
      <c r="I634">
        <v>0</v>
      </c>
      <c r="J634">
        <v>69</v>
      </c>
      <c r="K634">
        <v>291</v>
      </c>
      <c r="L634" t="str">
        <v>OK</v>
      </c>
      <c r="M634">
        <v>3</v>
      </c>
      <c r="O634">
        <f t="shared" si="72"/>
        <v>5.4637681159420293</v>
      </c>
      <c r="P634">
        <f t="shared" si="73"/>
        <v>0</v>
      </c>
      <c r="Q634">
        <f t="shared" si="74"/>
        <v>16.55687307861221</v>
      </c>
      <c r="R634">
        <f t="shared" si="75"/>
        <v>1</v>
      </c>
      <c r="S634">
        <f t="shared" si="76"/>
        <v>16.55687307861221</v>
      </c>
      <c r="T634" t="str">
        <f t="shared" si="77"/>
        <v>CARGA INEFICIENTE</v>
      </c>
      <c r="U634" t="str">
        <f t="shared" si="78"/>
        <v>OK</v>
      </c>
      <c r="V634" t="str">
        <f t="shared" si="79"/>
        <v>OK</v>
      </c>
    </row>
    <row r="635" spans="1:22" x14ac:dyDescent="0.45">
      <c r="A635" t="str">
        <v>SO-51017</v>
      </c>
      <c r="B635" t="str">
        <v>PL-SUR</v>
      </c>
      <c r="C635" t="str">
        <v>CD-CAN</v>
      </c>
      <c r="D635" t="str">
        <v>LAC-1011</v>
      </c>
      <c r="E635">
        <v>2105</v>
      </c>
      <c r="F635" s="1">
        <v>46164</v>
      </c>
      <c r="G635" t="str">
        <v>In Transit</v>
      </c>
      <c r="H635" t="str">
        <v>OK</v>
      </c>
      <c r="I635">
        <v>6.1</v>
      </c>
      <c r="J635">
        <v>137</v>
      </c>
      <c r="K635">
        <v>17</v>
      </c>
      <c r="L635" t="str">
        <v>OK</v>
      </c>
      <c r="M635">
        <v>13</v>
      </c>
      <c r="O635">
        <f t="shared" si="72"/>
        <v>15.364963503649635</v>
      </c>
      <c r="P635">
        <f t="shared" si="73"/>
        <v>53.502083333333331</v>
      </c>
      <c r="Q635">
        <f t="shared" si="74"/>
        <v>46.560495465604959</v>
      </c>
      <c r="R635">
        <f t="shared" si="75"/>
        <v>1</v>
      </c>
      <c r="S635">
        <f t="shared" si="76"/>
        <v>53.502083333333331</v>
      </c>
      <c r="T635" t="str">
        <f t="shared" si="77"/>
        <v>CARGA INEFICIENTE</v>
      </c>
      <c r="U635" t="str">
        <f t="shared" si="78"/>
        <v>FEFO RIESGO</v>
      </c>
      <c r="V635" t="str">
        <f t="shared" si="79"/>
        <v>FANTASMA</v>
      </c>
    </row>
    <row r="636" spans="1:22" x14ac:dyDescent="0.45">
      <c r="A636" t="str">
        <v>SO-50203</v>
      </c>
      <c r="B636" t="str">
        <v>PL-CEN</v>
      </c>
      <c r="C636" t="str">
        <v>CD-CDMX</v>
      </c>
      <c r="D636" t="str">
        <v>LAC-1005</v>
      </c>
      <c r="E636">
        <v>2566</v>
      </c>
      <c r="F636" s="1">
        <v>46176</v>
      </c>
      <c r="G636" t="str">
        <v>Delivered</v>
      </c>
      <c r="H636" t="str">
        <v>OK</v>
      </c>
      <c r="I636">
        <v>8.94</v>
      </c>
      <c r="J636">
        <v>100</v>
      </c>
      <c r="K636">
        <v>17</v>
      </c>
      <c r="L636" t="str">
        <v>OK</v>
      </c>
      <c r="M636">
        <v>1</v>
      </c>
      <c r="O636">
        <f t="shared" si="72"/>
        <v>25.66</v>
      </c>
      <c r="P636">
        <f t="shared" si="73"/>
        <v>95.583499999999987</v>
      </c>
      <c r="Q636">
        <f t="shared" si="74"/>
        <v>77.757575757575765</v>
      </c>
      <c r="R636">
        <f t="shared" si="75"/>
        <v>1</v>
      </c>
      <c r="S636">
        <f t="shared" si="76"/>
        <v>95.583499999999987</v>
      </c>
      <c r="T636" t="str">
        <f t="shared" si="77"/>
        <v>OK</v>
      </c>
      <c r="U636" t="str">
        <f t="shared" si="78"/>
        <v>OK</v>
      </c>
      <c r="V636" t="str">
        <f t="shared" si="79"/>
        <v>OK</v>
      </c>
    </row>
    <row r="637" spans="1:22" x14ac:dyDescent="0.45">
      <c r="A637" t="str">
        <v>SO-51027</v>
      </c>
      <c r="B637" t="str">
        <v>PL-SUR</v>
      </c>
      <c r="C637" t="str">
        <v>CD-LEO</v>
      </c>
      <c r="D637" t="str">
        <v>LAC-1004</v>
      </c>
      <c r="E637">
        <v>1911</v>
      </c>
      <c r="F637" s="1">
        <v>46164</v>
      </c>
      <c r="G637" t="str">
        <v>In Transit</v>
      </c>
      <c r="H637" t="str">
        <v>OK</v>
      </c>
      <c r="I637">
        <v>11.45</v>
      </c>
      <c r="J637">
        <v>93</v>
      </c>
      <c r="K637">
        <v>16</v>
      </c>
      <c r="L637" t="str">
        <v>OK</v>
      </c>
      <c r="M637">
        <v>13</v>
      </c>
      <c r="O637">
        <f t="shared" si="72"/>
        <v>20.548387096774192</v>
      </c>
      <c r="P637">
        <f t="shared" si="73"/>
        <v>91.170624999999987</v>
      </c>
      <c r="Q637">
        <f t="shared" si="74"/>
        <v>62.267839687194524</v>
      </c>
      <c r="R637">
        <f t="shared" si="75"/>
        <v>1</v>
      </c>
      <c r="S637">
        <f t="shared" si="76"/>
        <v>91.170624999999987</v>
      </c>
      <c r="T637" t="str">
        <f t="shared" si="77"/>
        <v>OK</v>
      </c>
      <c r="U637" t="str">
        <f t="shared" si="78"/>
        <v>FEFO RIESGO</v>
      </c>
      <c r="V637" t="str">
        <f t="shared" si="79"/>
        <v>FANTASMA</v>
      </c>
    </row>
    <row r="638" spans="1:22" x14ac:dyDescent="0.45">
      <c r="A638" t="str">
        <v>SO-50658</v>
      </c>
      <c r="B638" t="str">
        <v>PL-NTE</v>
      </c>
      <c r="C638" t="str">
        <v>CD-MTY</v>
      </c>
      <c r="D638" t="str">
        <v>ABA-1013</v>
      </c>
      <c r="E638">
        <v>1826</v>
      </c>
      <c r="F638" s="1">
        <v>46176</v>
      </c>
      <c r="G638" t="str">
        <v>In Transit</v>
      </c>
      <c r="H638" t="str">
        <v>OK</v>
      </c>
      <c r="I638">
        <v>12.02</v>
      </c>
      <c r="J638">
        <v>75</v>
      </c>
      <c r="K638">
        <v>402</v>
      </c>
      <c r="L638" t="str">
        <v>OK</v>
      </c>
      <c r="M638">
        <v>1</v>
      </c>
      <c r="O638">
        <f t="shared" si="72"/>
        <v>24.346666666666668</v>
      </c>
      <c r="P638">
        <f t="shared" si="73"/>
        <v>91.45216666666667</v>
      </c>
      <c r="Q638">
        <f t="shared" si="74"/>
        <v>73.777777777777771</v>
      </c>
      <c r="R638">
        <f t="shared" si="75"/>
        <v>1</v>
      </c>
      <c r="S638">
        <f t="shared" si="76"/>
        <v>91.45216666666667</v>
      </c>
      <c r="T638" t="str">
        <f t="shared" si="77"/>
        <v>OK</v>
      </c>
      <c r="U638" t="str">
        <f t="shared" si="78"/>
        <v>OK</v>
      </c>
      <c r="V638" t="str">
        <f t="shared" si="79"/>
        <v>OK</v>
      </c>
    </row>
    <row r="639" spans="1:22" x14ac:dyDescent="0.45">
      <c r="A639" t="str">
        <v>SO-50917</v>
      </c>
      <c r="B639" t="str">
        <v>PL-SUR</v>
      </c>
      <c r="C639" t="str">
        <v>CD-LEO</v>
      </c>
      <c r="D639" t="str">
        <v>BEB-1021</v>
      </c>
      <c r="E639">
        <v>845</v>
      </c>
      <c r="F639" s="1">
        <v>46175</v>
      </c>
      <c r="G639" t="str">
        <v>In Transit</v>
      </c>
      <c r="H639" t="str">
        <v>OK</v>
      </c>
      <c r="I639">
        <v>16.28</v>
      </c>
      <c r="J639">
        <v>90</v>
      </c>
      <c r="K639">
        <v>280</v>
      </c>
      <c r="L639" t="str">
        <v>OK</v>
      </c>
      <c r="M639">
        <v>2</v>
      </c>
      <c r="O639">
        <f t="shared" si="72"/>
        <v>9.3888888888888893</v>
      </c>
      <c r="P639">
        <f t="shared" si="73"/>
        <v>57.319166666666668</v>
      </c>
      <c r="Q639">
        <f t="shared" si="74"/>
        <v>28.451178451178453</v>
      </c>
      <c r="R639">
        <f t="shared" si="75"/>
        <v>1</v>
      </c>
      <c r="S639">
        <f t="shared" si="76"/>
        <v>57.319166666666668</v>
      </c>
      <c r="T639" t="str">
        <f t="shared" si="77"/>
        <v>CARGA INEFICIENTE</v>
      </c>
      <c r="U639" t="str">
        <f t="shared" si="78"/>
        <v>OK</v>
      </c>
      <c r="V639" t="str">
        <f t="shared" si="79"/>
        <v>OK</v>
      </c>
    </row>
    <row r="640" spans="1:22" x14ac:dyDescent="0.45">
      <c r="A640" t="str">
        <v>SO-50283</v>
      </c>
      <c r="B640" t="str">
        <v>PL-NTE</v>
      </c>
      <c r="C640" t="str">
        <v>CD-MTY</v>
      </c>
      <c r="D640" t="str">
        <v>BOT-1004</v>
      </c>
      <c r="E640">
        <v>866</v>
      </c>
      <c r="F640" s="1">
        <v>46176</v>
      </c>
      <c r="G640" t="str">
        <v>In Transit</v>
      </c>
      <c r="H640" t="str">
        <v>OK</v>
      </c>
      <c r="I640">
        <v>4.43</v>
      </c>
      <c r="J640">
        <v>63</v>
      </c>
      <c r="K640">
        <v>115</v>
      </c>
      <c r="L640" t="str">
        <v>OK</v>
      </c>
      <c r="M640">
        <v>1</v>
      </c>
      <c r="O640">
        <f t="shared" si="72"/>
        <v>13.746031746031745</v>
      </c>
      <c r="P640">
        <f t="shared" si="73"/>
        <v>15.984916666666665</v>
      </c>
      <c r="Q640">
        <f t="shared" si="74"/>
        <v>41.654641654641651</v>
      </c>
      <c r="R640">
        <f t="shared" si="75"/>
        <v>1</v>
      </c>
      <c r="S640">
        <f t="shared" si="76"/>
        <v>41.654641654641651</v>
      </c>
      <c r="T640" t="str">
        <f t="shared" si="77"/>
        <v>CARGA INEFICIENTE</v>
      </c>
      <c r="U640" t="str">
        <f t="shared" si="78"/>
        <v>OK</v>
      </c>
      <c r="V640" t="str">
        <f t="shared" si="79"/>
        <v>OK</v>
      </c>
    </row>
    <row r="641" spans="1:22" x14ac:dyDescent="0.45">
      <c r="A641" t="str">
        <v>SO-50252</v>
      </c>
      <c r="B641" t="str">
        <v>PL-CEN</v>
      </c>
      <c r="C641" t="str">
        <v>CD-QRO</v>
      </c>
      <c r="D641" t="str">
        <v>BEB-1017</v>
      </c>
      <c r="E641">
        <v>417</v>
      </c>
      <c r="F641" s="1">
        <v>46175</v>
      </c>
      <c r="G641" t="str">
        <v>In Transit</v>
      </c>
      <c r="H641" t="str">
        <v>OK</v>
      </c>
      <c r="I641">
        <v>21.3</v>
      </c>
      <c r="J641">
        <v>108</v>
      </c>
      <c r="K641">
        <v>345</v>
      </c>
      <c r="L641" t="str">
        <v>OK</v>
      </c>
      <c r="M641">
        <v>2</v>
      </c>
      <c r="O641">
        <f t="shared" si="72"/>
        <v>3.8611111111111112</v>
      </c>
      <c r="P641">
        <f t="shared" si="73"/>
        <v>37.008749999999999</v>
      </c>
      <c r="Q641">
        <f t="shared" si="74"/>
        <v>11.700336700336699</v>
      </c>
      <c r="R641">
        <f t="shared" si="75"/>
        <v>1</v>
      </c>
      <c r="S641">
        <f t="shared" si="76"/>
        <v>37.008749999999999</v>
      </c>
      <c r="T641" t="str">
        <f t="shared" si="77"/>
        <v>CARGA INEFICIENTE</v>
      </c>
      <c r="U641" t="str">
        <f t="shared" si="78"/>
        <v>OK</v>
      </c>
      <c r="V641" t="str">
        <f t="shared" si="79"/>
        <v>OK</v>
      </c>
    </row>
    <row r="642" spans="1:22" x14ac:dyDescent="0.45">
      <c r="A642" t="str">
        <v>SO-50153</v>
      </c>
      <c r="B642" t="str">
        <v>PL-SUR</v>
      </c>
      <c r="C642" t="str">
        <v>CD-LEO</v>
      </c>
      <c r="D642" t="str">
        <v>BOT-1000</v>
      </c>
      <c r="E642">
        <v>870</v>
      </c>
      <c r="F642" s="1">
        <v>46176</v>
      </c>
      <c r="G642" t="str">
        <v>In Transit</v>
      </c>
      <c r="H642" t="str">
        <v>OK</v>
      </c>
      <c r="I642">
        <v>3.56</v>
      </c>
      <c r="J642">
        <v>64</v>
      </c>
      <c r="K642">
        <v>92</v>
      </c>
      <c r="L642" t="str">
        <v>OK</v>
      </c>
      <c r="M642">
        <v>1</v>
      </c>
      <c r="O642">
        <f t="shared" si="72"/>
        <v>13.59375</v>
      </c>
      <c r="P642">
        <f t="shared" si="73"/>
        <v>12.904999999999999</v>
      </c>
      <c r="Q642">
        <f t="shared" si="74"/>
        <v>41.19318181818182</v>
      </c>
      <c r="R642">
        <f t="shared" si="75"/>
        <v>1</v>
      </c>
      <c r="S642">
        <f t="shared" si="76"/>
        <v>41.19318181818182</v>
      </c>
      <c r="T642" t="str">
        <f t="shared" si="77"/>
        <v>CARGA INEFICIENTE</v>
      </c>
      <c r="U642" t="str">
        <f t="shared" si="78"/>
        <v>OK</v>
      </c>
      <c r="V642" t="str">
        <f t="shared" si="79"/>
        <v>OK</v>
      </c>
    </row>
    <row r="643" spans="1:22" x14ac:dyDescent="0.45">
      <c r="A643" t="str">
        <v>SO-50644</v>
      </c>
      <c r="B643" t="str">
        <v>PL-SUR</v>
      </c>
      <c r="C643" t="str">
        <v>CD-MOR</v>
      </c>
      <c r="D643" t="str">
        <v>BOT-1010</v>
      </c>
      <c r="E643">
        <v>345</v>
      </c>
      <c r="F643" s="1">
        <v>46175</v>
      </c>
      <c r="G643" t="str">
        <v>Delivered</v>
      </c>
      <c r="H643" t="str">
        <v>OK</v>
      </c>
      <c r="I643">
        <v>5.09</v>
      </c>
      <c r="J643">
        <v>40</v>
      </c>
      <c r="K643">
        <v>90</v>
      </c>
      <c r="L643" t="str">
        <v>OK</v>
      </c>
      <c r="M643">
        <v>2</v>
      </c>
      <c r="O643">
        <f t="shared" ref="O643:O706" si="80">IF(L643="HUERFANO","n/a",IF(ISNUMBER(J643),E643/J643,"n/a"))</f>
        <v>8.625</v>
      </c>
      <c r="P643">
        <f t="shared" ref="P643:P706" si="81">IF(L643="HUERFANO","n/a",IFERROR(E643*I643/24000*100,""))</f>
        <v>7.3168750000000005</v>
      </c>
      <c r="Q643">
        <f t="shared" ref="Q643:Q706" si="82">IF(L643="HUERFANO","n/a",IFERROR(O643/33*100,""))</f>
        <v>26.136363636363637</v>
      </c>
      <c r="R643">
        <f t="shared" ref="R643:R706" si="83">IF(L643="HUERFANO","n/a",IFERROR(MAX(CEILING(P643/100,1),CEILING(Q643/100,1)),""))</f>
        <v>1</v>
      </c>
      <c r="S643">
        <f t="shared" ref="S643:S706" si="84">IF(L643="HUERFANO","n/a",IFERROR(MAX(P643,Q643)/(R643*100)*100,""))</f>
        <v>26.136363636363637</v>
      </c>
      <c r="T643" t="str">
        <f t="shared" ref="T643:T706" si="85">IF(L643="HUERFANO","n/a",IF(S643&lt;75,"CARGA INEFICIENTE","OK"))</f>
        <v>CARGA INEFICIENTE</v>
      </c>
      <c r="U643" t="str">
        <f t="shared" ref="U643:U706" si="86">IF(L643="HUERFANO","n/a",IF(AND(LEFT(D643,3)="LAC",(K643-M643)/K643*100&lt;70),"FEFO RIESGO","OK"))</f>
        <v>OK</v>
      </c>
      <c r="V643" t="str">
        <f t="shared" ref="V643:V706" si="87">IF(L643="HUERFANO","n/a",IF(AND(G643="In Transit",M643&gt;5),"FANTASMA","OK"))</f>
        <v>OK</v>
      </c>
    </row>
    <row r="644" spans="1:22" x14ac:dyDescent="0.45">
      <c r="A644" t="str">
        <v>SO-50107</v>
      </c>
      <c r="B644" t="str">
        <v>PL-SUR</v>
      </c>
      <c r="C644" t="str">
        <v>CD-MER</v>
      </c>
      <c r="D644" t="str">
        <v>ABA-1005</v>
      </c>
      <c r="E644">
        <v>973</v>
      </c>
      <c r="F644" s="1">
        <v>46173</v>
      </c>
      <c r="G644" t="str">
        <v>In Transit</v>
      </c>
      <c r="H644" t="str">
        <v>OK</v>
      </c>
      <c r="I644">
        <v>13.31</v>
      </c>
      <c r="J644">
        <v>89</v>
      </c>
      <c r="K644">
        <v>313</v>
      </c>
      <c r="L644" t="str">
        <v>OK</v>
      </c>
      <c r="M644">
        <v>4</v>
      </c>
      <c r="O644">
        <f t="shared" si="80"/>
        <v>10.932584269662922</v>
      </c>
      <c r="P644">
        <f t="shared" si="81"/>
        <v>53.960958333333345</v>
      </c>
      <c r="Q644">
        <f t="shared" si="82"/>
        <v>33.129043241402798</v>
      </c>
      <c r="R644">
        <f t="shared" si="83"/>
        <v>1</v>
      </c>
      <c r="S644">
        <f t="shared" si="84"/>
        <v>53.960958333333345</v>
      </c>
      <c r="T644" t="str">
        <f t="shared" si="85"/>
        <v>CARGA INEFICIENTE</v>
      </c>
      <c r="U644" t="str">
        <f t="shared" si="86"/>
        <v>OK</v>
      </c>
      <c r="V644" t="str">
        <f t="shared" si="87"/>
        <v>OK</v>
      </c>
    </row>
    <row r="645" spans="1:22" x14ac:dyDescent="0.45">
      <c r="A645" t="str">
        <v>SO-50190</v>
      </c>
      <c r="B645" t="str">
        <v>PL-CEN</v>
      </c>
      <c r="C645" t="str">
        <v>CD-PUE</v>
      </c>
      <c r="D645" t="str">
        <v>XXX-8788</v>
      </c>
      <c r="E645">
        <v>723</v>
      </c>
      <c r="F645" s="1">
        <v>46176</v>
      </c>
      <c r="G645" t="str">
        <v>In Transit</v>
      </c>
      <c r="H645" t="str">
        <v>OK</v>
      </c>
      <c r="I645">
        <v>0</v>
      </c>
      <c r="J645">
        <v>0</v>
      </c>
      <c r="K645">
        <v>0</v>
      </c>
      <c r="L645" t="str">
        <v>HUERFANO</v>
      </c>
      <c r="M645">
        <v>1</v>
      </c>
      <c r="O645" t="str">
        <f t="shared" si="80"/>
        <v>n/a</v>
      </c>
      <c r="P645" t="str">
        <f t="shared" si="81"/>
        <v>n/a</v>
      </c>
      <c r="Q645" t="str">
        <f t="shared" si="82"/>
        <v>n/a</v>
      </c>
      <c r="R645" t="str">
        <f t="shared" si="83"/>
        <v>n/a</v>
      </c>
      <c r="S645" t="str">
        <f t="shared" si="84"/>
        <v>n/a</v>
      </c>
      <c r="T645" t="str">
        <f t="shared" si="85"/>
        <v>n/a</v>
      </c>
      <c r="U645" t="str">
        <f t="shared" si="86"/>
        <v>n/a</v>
      </c>
      <c r="V645" t="str">
        <f t="shared" si="87"/>
        <v>n/a</v>
      </c>
    </row>
    <row r="646" spans="1:22" x14ac:dyDescent="0.45">
      <c r="A646" t="str">
        <v>SO-50213</v>
      </c>
      <c r="B646" t="str">
        <v>PL-NTE</v>
      </c>
      <c r="C646" t="str">
        <v>CD-TIJ</v>
      </c>
      <c r="D646" t="str">
        <v>BOT-1014</v>
      </c>
      <c r="E646">
        <v>429</v>
      </c>
      <c r="F646" s="1">
        <v>46175</v>
      </c>
      <c r="G646" t="str">
        <v>In Transit</v>
      </c>
      <c r="H646" t="str">
        <v>OK</v>
      </c>
      <c r="I646">
        <v>3.92</v>
      </c>
      <c r="J646">
        <v>49</v>
      </c>
      <c r="K646">
        <v>98</v>
      </c>
      <c r="L646" t="str">
        <v>OK</v>
      </c>
      <c r="M646">
        <v>2</v>
      </c>
      <c r="O646">
        <f t="shared" si="80"/>
        <v>8.7551020408163271</v>
      </c>
      <c r="P646">
        <f t="shared" si="81"/>
        <v>7.0070000000000006</v>
      </c>
      <c r="Q646">
        <f t="shared" si="82"/>
        <v>26.530612244897959</v>
      </c>
      <c r="R646">
        <f t="shared" si="83"/>
        <v>1</v>
      </c>
      <c r="S646">
        <f t="shared" si="84"/>
        <v>26.530612244897959</v>
      </c>
      <c r="T646" t="str">
        <f t="shared" si="85"/>
        <v>CARGA INEFICIENTE</v>
      </c>
      <c r="U646" t="str">
        <f t="shared" si="86"/>
        <v>OK</v>
      </c>
      <c r="V646" t="str">
        <f t="shared" si="87"/>
        <v>OK</v>
      </c>
    </row>
    <row r="647" spans="1:22" x14ac:dyDescent="0.45">
      <c r="A647" t="str">
        <v>SO-50995</v>
      </c>
      <c r="B647" t="str">
        <v>PL-SUR</v>
      </c>
      <c r="C647" t="str">
        <v>CD-GDL</v>
      </c>
      <c r="D647" t="str">
        <v>BOT-1020</v>
      </c>
      <c r="E647">
        <v>2072</v>
      </c>
      <c r="F647" s="1">
        <v>46176</v>
      </c>
      <c r="G647" t="str">
        <v>In Transit</v>
      </c>
      <c r="H647" t="str">
        <v>OK</v>
      </c>
      <c r="I647">
        <v>6.27</v>
      </c>
      <c r="J647">
        <v>67</v>
      </c>
      <c r="K647">
        <v>90</v>
      </c>
      <c r="L647" t="str">
        <v>OK</v>
      </c>
      <c r="M647">
        <v>1</v>
      </c>
      <c r="O647">
        <f t="shared" si="80"/>
        <v>30.925373134328357</v>
      </c>
      <c r="P647">
        <f t="shared" si="81"/>
        <v>54.130999999999993</v>
      </c>
      <c r="Q647">
        <f t="shared" si="82"/>
        <v>93.713251922207135</v>
      </c>
      <c r="R647">
        <f t="shared" si="83"/>
        <v>1</v>
      </c>
      <c r="S647">
        <f t="shared" si="84"/>
        <v>93.713251922207135</v>
      </c>
      <c r="T647" t="str">
        <f t="shared" si="85"/>
        <v>OK</v>
      </c>
      <c r="U647" t="str">
        <f t="shared" si="86"/>
        <v>OK</v>
      </c>
      <c r="V647" t="str">
        <f t="shared" si="87"/>
        <v>OK</v>
      </c>
    </row>
    <row r="648" spans="1:22" x14ac:dyDescent="0.45">
      <c r="A648" t="str">
        <v>SO-50241</v>
      </c>
      <c r="B648" t="str">
        <v>PL-NTE</v>
      </c>
      <c r="C648" t="str">
        <v>CD-CHI</v>
      </c>
      <c r="D648" t="str">
        <v>ABA-1019</v>
      </c>
      <c r="E648">
        <v>1563</v>
      </c>
      <c r="F648" s="1">
        <v>46176</v>
      </c>
      <c r="G648" t="str">
        <v>In Transit</v>
      </c>
      <c r="H648" t="str">
        <v>OK</v>
      </c>
      <c r="I648">
        <v>14.82</v>
      </c>
      <c r="J648">
        <v>132</v>
      </c>
      <c r="K648">
        <v>373</v>
      </c>
      <c r="L648" t="str">
        <v>OK</v>
      </c>
      <c r="M648">
        <v>1</v>
      </c>
      <c r="O648">
        <f t="shared" si="80"/>
        <v>11.840909090909092</v>
      </c>
      <c r="P648">
        <f t="shared" si="81"/>
        <v>96.515249999999995</v>
      </c>
      <c r="Q648">
        <f t="shared" si="82"/>
        <v>35.88154269972452</v>
      </c>
      <c r="R648">
        <f t="shared" si="83"/>
        <v>1</v>
      </c>
      <c r="S648">
        <f t="shared" si="84"/>
        <v>96.515249999999995</v>
      </c>
      <c r="T648" t="str">
        <f t="shared" si="85"/>
        <v>OK</v>
      </c>
      <c r="U648" t="str">
        <f t="shared" si="86"/>
        <v>OK</v>
      </c>
      <c r="V648" t="str">
        <f t="shared" si="87"/>
        <v>OK</v>
      </c>
    </row>
    <row r="649" spans="1:22" x14ac:dyDescent="0.45">
      <c r="A649" t="str">
        <v>SO-50932</v>
      </c>
      <c r="B649" t="str">
        <v>PL-SUR</v>
      </c>
      <c r="C649" t="str">
        <v>CD-GDL</v>
      </c>
      <c r="D649" t="str">
        <v>LAC-1017</v>
      </c>
      <c r="E649">
        <v>2616</v>
      </c>
      <c r="F649" s="1">
        <v>46176</v>
      </c>
      <c r="G649" t="str">
        <v>In Transit</v>
      </c>
      <c r="H649" t="str">
        <v>OK</v>
      </c>
      <c r="I649">
        <v>7.45</v>
      </c>
      <c r="J649">
        <v>147</v>
      </c>
      <c r="K649">
        <v>28</v>
      </c>
      <c r="L649" t="str">
        <v>OK</v>
      </c>
      <c r="M649">
        <v>1</v>
      </c>
      <c r="O649">
        <f t="shared" si="80"/>
        <v>17.795918367346939</v>
      </c>
      <c r="P649">
        <f t="shared" si="81"/>
        <v>81.204999999999998</v>
      </c>
      <c r="Q649">
        <f t="shared" si="82"/>
        <v>53.927025355596783</v>
      </c>
      <c r="R649">
        <f t="shared" si="83"/>
        <v>1</v>
      </c>
      <c r="S649">
        <f t="shared" si="84"/>
        <v>81.204999999999998</v>
      </c>
      <c r="T649" t="str">
        <f t="shared" si="85"/>
        <v>OK</v>
      </c>
      <c r="U649" t="str">
        <f t="shared" si="86"/>
        <v>OK</v>
      </c>
      <c r="V649" t="str">
        <f t="shared" si="87"/>
        <v>OK</v>
      </c>
    </row>
    <row r="650" spans="1:22" x14ac:dyDescent="0.45">
      <c r="A650" t="str">
        <v>SO-50059</v>
      </c>
      <c r="B650" t="str">
        <v>PL-NTE</v>
      </c>
      <c r="C650" t="str">
        <v>CD-MTY</v>
      </c>
      <c r="D650" t="str">
        <v>LAC-1003</v>
      </c>
      <c r="E650">
        <v>2087</v>
      </c>
      <c r="F650" s="1">
        <v>46176</v>
      </c>
      <c r="G650" t="str">
        <v>In Transit</v>
      </c>
      <c r="H650" t="str">
        <v>OK</v>
      </c>
      <c r="I650">
        <v>9.02</v>
      </c>
      <c r="J650">
        <v>114</v>
      </c>
      <c r="K650">
        <v>18</v>
      </c>
      <c r="L650" t="str">
        <v>OK</v>
      </c>
      <c r="M650">
        <v>1</v>
      </c>
      <c r="O650">
        <f t="shared" si="80"/>
        <v>18.307017543859651</v>
      </c>
      <c r="P650">
        <f t="shared" si="81"/>
        <v>78.436416666666659</v>
      </c>
      <c r="Q650">
        <f t="shared" si="82"/>
        <v>55.475810738968633</v>
      </c>
      <c r="R650">
        <f t="shared" si="83"/>
        <v>1</v>
      </c>
      <c r="S650">
        <f t="shared" si="84"/>
        <v>78.436416666666659</v>
      </c>
      <c r="T650" t="str">
        <f t="shared" si="85"/>
        <v>OK</v>
      </c>
      <c r="U650" t="str">
        <f t="shared" si="86"/>
        <v>OK</v>
      </c>
      <c r="V650" t="str">
        <f t="shared" si="87"/>
        <v>OK</v>
      </c>
    </row>
    <row r="651" spans="1:22" x14ac:dyDescent="0.45">
      <c r="A651" t="str">
        <v>SO-50797</v>
      </c>
      <c r="B651" t="str">
        <v>PL-SUR</v>
      </c>
      <c r="C651" t="str">
        <v>CD-GDL</v>
      </c>
      <c r="D651" t="str">
        <v>PRO-1014</v>
      </c>
      <c r="E651">
        <v>1705</v>
      </c>
      <c r="F651" s="1">
        <v>46176</v>
      </c>
      <c r="G651" t="str">
        <v>In Transit</v>
      </c>
      <c r="H651" t="str">
        <v>OK</v>
      </c>
      <c r="I651">
        <v>5.27</v>
      </c>
      <c r="J651">
        <v>60</v>
      </c>
      <c r="K651">
        <v>129</v>
      </c>
      <c r="L651" t="str">
        <v>OK</v>
      </c>
      <c r="M651">
        <v>1</v>
      </c>
      <c r="O651">
        <f t="shared" si="80"/>
        <v>28.416666666666668</v>
      </c>
      <c r="P651">
        <f t="shared" si="81"/>
        <v>37.438958333333325</v>
      </c>
      <c r="Q651">
        <f t="shared" si="82"/>
        <v>86.111111111111114</v>
      </c>
      <c r="R651">
        <f t="shared" si="83"/>
        <v>1</v>
      </c>
      <c r="S651">
        <f t="shared" si="84"/>
        <v>86.111111111111114</v>
      </c>
      <c r="T651" t="str">
        <f t="shared" si="85"/>
        <v>OK</v>
      </c>
      <c r="U651" t="str">
        <f t="shared" si="86"/>
        <v>OK</v>
      </c>
      <c r="V651" t="str">
        <f t="shared" si="87"/>
        <v>OK</v>
      </c>
    </row>
    <row r="652" spans="1:22" x14ac:dyDescent="0.45">
      <c r="A652" t="str">
        <v>SO-50014</v>
      </c>
      <c r="B652" t="str">
        <v>PL-NTE</v>
      </c>
      <c r="C652" t="str">
        <v>CD-SAL</v>
      </c>
      <c r="D652" t="str">
        <v>BOT-1021</v>
      </c>
      <c r="E652">
        <v>491</v>
      </c>
      <c r="F652" s="1">
        <v>46176</v>
      </c>
      <c r="G652" t="str">
        <v>In Transit</v>
      </c>
      <c r="H652" t="str">
        <v>OK</v>
      </c>
      <c r="I652">
        <v>5.04</v>
      </c>
      <c r="J652">
        <v>47</v>
      </c>
      <c r="K652">
        <v>96</v>
      </c>
      <c r="L652" t="str">
        <v>OK</v>
      </c>
      <c r="M652">
        <v>1</v>
      </c>
      <c r="O652">
        <f t="shared" si="80"/>
        <v>10.446808510638299</v>
      </c>
      <c r="P652">
        <f t="shared" si="81"/>
        <v>10.311</v>
      </c>
      <c r="Q652">
        <f t="shared" si="82"/>
        <v>31.656995486782723</v>
      </c>
      <c r="R652">
        <f t="shared" si="83"/>
        <v>1</v>
      </c>
      <c r="S652">
        <f t="shared" si="84"/>
        <v>31.656995486782723</v>
      </c>
      <c r="T652" t="str">
        <f t="shared" si="85"/>
        <v>CARGA INEFICIENTE</v>
      </c>
      <c r="U652" t="str">
        <f t="shared" si="86"/>
        <v>OK</v>
      </c>
      <c r="V652" t="str">
        <f t="shared" si="87"/>
        <v>OK</v>
      </c>
    </row>
    <row r="653" spans="1:22" x14ac:dyDescent="0.45">
      <c r="A653" t="str">
        <v>SO-50811</v>
      </c>
      <c r="B653" t="str">
        <v>PL-NTE</v>
      </c>
      <c r="C653" t="str">
        <v>CD-SAL</v>
      </c>
      <c r="D653" t="str">
        <v>BEB-1011</v>
      </c>
      <c r="E653">
        <v>804</v>
      </c>
      <c r="F653" s="1">
        <v>46175</v>
      </c>
      <c r="G653" t="str">
        <v>In Transit</v>
      </c>
      <c r="H653" t="str">
        <v>OK</v>
      </c>
      <c r="I653">
        <v>23.39</v>
      </c>
      <c r="J653">
        <v>79</v>
      </c>
      <c r="K653">
        <v>329</v>
      </c>
      <c r="L653" t="str">
        <v>OK</v>
      </c>
      <c r="M653">
        <v>2</v>
      </c>
      <c r="O653">
        <f t="shared" si="80"/>
        <v>10.177215189873417</v>
      </c>
      <c r="P653">
        <f t="shared" si="81"/>
        <v>78.356500000000011</v>
      </c>
      <c r="Q653">
        <f t="shared" si="82"/>
        <v>30.840046029919442</v>
      </c>
      <c r="R653">
        <f t="shared" si="83"/>
        <v>1</v>
      </c>
      <c r="S653">
        <f t="shared" si="84"/>
        <v>78.356500000000011</v>
      </c>
      <c r="T653" t="str">
        <f t="shared" si="85"/>
        <v>OK</v>
      </c>
      <c r="U653" t="str">
        <f t="shared" si="86"/>
        <v>OK</v>
      </c>
      <c r="V653" t="str">
        <f t="shared" si="87"/>
        <v>OK</v>
      </c>
    </row>
    <row r="654" spans="1:22" x14ac:dyDescent="0.45">
      <c r="A654" t="str">
        <v>SO-50428</v>
      </c>
      <c r="B654" t="str">
        <v>PL-SUR</v>
      </c>
      <c r="C654" t="str">
        <v>CD-MOR</v>
      </c>
      <c r="D654" t="str">
        <v>ABA-1004</v>
      </c>
      <c r="E654">
        <v>1683</v>
      </c>
      <c r="F654" s="1">
        <v>46176</v>
      </c>
      <c r="G654" t="str">
        <v>In Transit</v>
      </c>
      <c r="H654" t="str">
        <v>OK</v>
      </c>
      <c r="I654">
        <v>12.85</v>
      </c>
      <c r="J654">
        <v>91</v>
      </c>
      <c r="K654">
        <v>297</v>
      </c>
      <c r="L654" t="str">
        <v>OK</v>
      </c>
      <c r="M654">
        <v>1</v>
      </c>
      <c r="O654">
        <f t="shared" si="80"/>
        <v>18.494505494505493</v>
      </c>
      <c r="P654">
        <f t="shared" si="81"/>
        <v>90.110624999999999</v>
      </c>
      <c r="Q654">
        <f t="shared" si="82"/>
        <v>56.043956043956037</v>
      </c>
      <c r="R654">
        <f t="shared" si="83"/>
        <v>1</v>
      </c>
      <c r="S654">
        <f t="shared" si="84"/>
        <v>90.110624999999999</v>
      </c>
      <c r="T654" t="str">
        <f t="shared" si="85"/>
        <v>OK</v>
      </c>
      <c r="U654" t="str">
        <f t="shared" si="86"/>
        <v>OK</v>
      </c>
      <c r="V654" t="str">
        <f t="shared" si="87"/>
        <v>OK</v>
      </c>
    </row>
    <row r="655" spans="1:22" x14ac:dyDescent="0.45">
      <c r="A655" t="str">
        <v>SO-50275</v>
      </c>
      <c r="B655" t="str">
        <v>PL-NTE</v>
      </c>
      <c r="C655" t="str">
        <v>CD-SAL</v>
      </c>
      <c r="D655" t="str">
        <v>BEB-1017</v>
      </c>
      <c r="E655">
        <v>951</v>
      </c>
      <c r="F655" s="1">
        <v>46176</v>
      </c>
      <c r="G655" t="str">
        <v>In Transit</v>
      </c>
      <c r="H655" t="str">
        <v>OK</v>
      </c>
      <c r="I655">
        <v>21.3</v>
      </c>
      <c r="J655">
        <v>108</v>
      </c>
      <c r="K655">
        <v>345</v>
      </c>
      <c r="L655" t="str">
        <v>OK</v>
      </c>
      <c r="M655">
        <v>1</v>
      </c>
      <c r="O655">
        <f t="shared" si="80"/>
        <v>8.8055555555555554</v>
      </c>
      <c r="P655">
        <f t="shared" si="81"/>
        <v>84.40124999999999</v>
      </c>
      <c r="Q655">
        <f t="shared" si="82"/>
        <v>26.683501683501682</v>
      </c>
      <c r="R655">
        <f t="shared" si="83"/>
        <v>1</v>
      </c>
      <c r="S655">
        <f t="shared" si="84"/>
        <v>84.40124999999999</v>
      </c>
      <c r="T655" t="str">
        <f t="shared" si="85"/>
        <v>OK</v>
      </c>
      <c r="U655" t="str">
        <f t="shared" si="86"/>
        <v>OK</v>
      </c>
      <c r="V655" t="str">
        <f t="shared" si="87"/>
        <v>OK</v>
      </c>
    </row>
    <row r="656" spans="1:22" x14ac:dyDescent="0.45">
      <c r="A656" t="str">
        <v>SO-50974</v>
      </c>
      <c r="B656" t="str">
        <v>PL-CEN</v>
      </c>
      <c r="C656" t="str">
        <v>CD-PUE</v>
      </c>
      <c r="D656" t="str">
        <v>LAC-1006</v>
      </c>
      <c r="E656">
        <v>879</v>
      </c>
      <c r="F656" s="1">
        <v>46176</v>
      </c>
      <c r="G656" t="str">
        <v>Delivered</v>
      </c>
      <c r="H656" t="str">
        <v>OK</v>
      </c>
      <c r="I656">
        <v>10.029999999999999</v>
      </c>
      <c r="J656">
        <v>126</v>
      </c>
      <c r="K656">
        <v>17</v>
      </c>
      <c r="L656" t="str">
        <v>OK</v>
      </c>
      <c r="M656">
        <v>1</v>
      </c>
      <c r="O656">
        <f t="shared" si="80"/>
        <v>6.9761904761904763</v>
      </c>
      <c r="P656">
        <f t="shared" si="81"/>
        <v>36.734874999999995</v>
      </c>
      <c r="Q656">
        <f t="shared" si="82"/>
        <v>21.139971139971138</v>
      </c>
      <c r="R656">
        <f t="shared" si="83"/>
        <v>1</v>
      </c>
      <c r="S656">
        <f t="shared" si="84"/>
        <v>36.734874999999995</v>
      </c>
      <c r="T656" t="str">
        <f t="shared" si="85"/>
        <v>CARGA INEFICIENTE</v>
      </c>
      <c r="U656" t="str">
        <f t="shared" si="86"/>
        <v>OK</v>
      </c>
      <c r="V656" t="str">
        <f t="shared" si="87"/>
        <v>OK</v>
      </c>
    </row>
    <row r="657" spans="1:22" x14ac:dyDescent="0.45">
      <c r="A657" t="str">
        <v>SO-50143</v>
      </c>
      <c r="B657" t="str">
        <v>PL-SUR</v>
      </c>
      <c r="C657" t="str">
        <v>CD-CAN</v>
      </c>
      <c r="D657" t="str">
        <v>BEB-1005</v>
      </c>
      <c r="E657">
        <v>-100</v>
      </c>
      <c r="F657" s="1">
        <v>46174</v>
      </c>
      <c r="G657" t="str">
        <v>In Transit</v>
      </c>
      <c r="H657" t="str">
        <v>INVALIDO</v>
      </c>
      <c r="I657">
        <v>14.2</v>
      </c>
      <c r="J657">
        <v>95</v>
      </c>
      <c r="K657">
        <v>277</v>
      </c>
      <c r="L657" t="str">
        <v>OK</v>
      </c>
      <c r="M657">
        <v>3</v>
      </c>
      <c r="O657">
        <f t="shared" si="80"/>
        <v>-1.0526315789473684</v>
      </c>
      <c r="P657">
        <f t="shared" si="81"/>
        <v>-5.916666666666667</v>
      </c>
      <c r="Q657">
        <f t="shared" si="82"/>
        <v>-3.1897926634768736</v>
      </c>
      <c r="R657">
        <f t="shared" si="83"/>
        <v>0</v>
      </c>
      <c r="S657" t="str">
        <f t="shared" si="84"/>
        <v/>
      </c>
      <c r="T657" t="str">
        <f t="shared" si="85"/>
        <v>OK</v>
      </c>
      <c r="U657" t="str">
        <f t="shared" si="86"/>
        <v>OK</v>
      </c>
      <c r="V657" t="str">
        <f t="shared" si="87"/>
        <v>OK</v>
      </c>
    </row>
    <row r="658" spans="1:22" x14ac:dyDescent="0.45">
      <c r="A658" t="str">
        <v>SO-50826</v>
      </c>
      <c r="B658" t="str">
        <v>PL-CEN</v>
      </c>
      <c r="C658" t="str">
        <v>CD-VER</v>
      </c>
      <c r="D658" t="str">
        <v>BOT-1017</v>
      </c>
      <c r="E658">
        <v>1093</v>
      </c>
      <c r="F658" s="1">
        <v>46176</v>
      </c>
      <c r="G658" t="str">
        <v>In Transit</v>
      </c>
      <c r="H658" t="str">
        <v>OK</v>
      </c>
      <c r="I658">
        <v>3.75</v>
      </c>
      <c r="J658">
        <v>41</v>
      </c>
      <c r="K658">
        <v>106</v>
      </c>
      <c r="L658" t="str">
        <v>OK</v>
      </c>
      <c r="M658">
        <v>1</v>
      </c>
      <c r="O658">
        <f t="shared" si="80"/>
        <v>26.658536585365855</v>
      </c>
      <c r="P658">
        <f t="shared" si="81"/>
        <v>17.078125</v>
      </c>
      <c r="Q658">
        <f t="shared" si="82"/>
        <v>80.783444198078342</v>
      </c>
      <c r="R658">
        <f t="shared" si="83"/>
        <v>1</v>
      </c>
      <c r="S658">
        <f t="shared" si="84"/>
        <v>80.783444198078342</v>
      </c>
      <c r="T658" t="str">
        <f t="shared" si="85"/>
        <v>OK</v>
      </c>
      <c r="U658" t="str">
        <f t="shared" si="86"/>
        <v>OK</v>
      </c>
      <c r="V658" t="str">
        <f t="shared" si="87"/>
        <v>OK</v>
      </c>
    </row>
    <row r="659" spans="1:22" x14ac:dyDescent="0.45">
      <c r="A659" t="str">
        <v>SO-50046</v>
      </c>
      <c r="B659" t="str">
        <v>PL-NTE</v>
      </c>
      <c r="C659" t="str">
        <v>CD-TIJ</v>
      </c>
      <c r="D659" t="str">
        <v>LAC-1013</v>
      </c>
      <c r="E659">
        <v>2673</v>
      </c>
      <c r="F659" s="1">
        <v>46172</v>
      </c>
      <c r="G659" t="str">
        <v>In Transit</v>
      </c>
      <c r="H659" t="str">
        <v>OK</v>
      </c>
      <c r="I659">
        <v>8.32</v>
      </c>
      <c r="J659">
        <v>98</v>
      </c>
      <c r="K659">
        <v>16</v>
      </c>
      <c r="L659" t="str">
        <v>OK</v>
      </c>
      <c r="M659">
        <v>5</v>
      </c>
      <c r="O659">
        <f t="shared" si="80"/>
        <v>27.275510204081634</v>
      </c>
      <c r="P659">
        <f t="shared" si="81"/>
        <v>92.664000000000001</v>
      </c>
      <c r="Q659">
        <f t="shared" si="82"/>
        <v>82.653061224489804</v>
      </c>
      <c r="R659">
        <f t="shared" si="83"/>
        <v>1</v>
      </c>
      <c r="S659">
        <f t="shared" si="84"/>
        <v>92.664000000000001</v>
      </c>
      <c r="T659" t="str">
        <f t="shared" si="85"/>
        <v>OK</v>
      </c>
      <c r="U659" t="str">
        <f t="shared" si="86"/>
        <v>FEFO RIESGO</v>
      </c>
      <c r="V659" t="str">
        <f t="shared" si="87"/>
        <v>OK</v>
      </c>
    </row>
    <row r="660" spans="1:22" x14ac:dyDescent="0.45">
      <c r="A660" t="str">
        <v>SO-50832</v>
      </c>
      <c r="B660" t="str">
        <v>PL-CEN</v>
      </c>
      <c r="C660" t="str">
        <v>CD-CDMX</v>
      </c>
      <c r="D660" t="str">
        <v>ABA-1007</v>
      </c>
      <c r="E660">
        <v>2046</v>
      </c>
      <c r="F660" s="1">
        <v>46176</v>
      </c>
      <c r="G660" t="str">
        <v>In Transit</v>
      </c>
      <c r="H660" t="str">
        <v>OK</v>
      </c>
      <c r="I660">
        <v>9.7899999999999991</v>
      </c>
      <c r="J660">
        <v>123</v>
      </c>
      <c r="K660">
        <v>334</v>
      </c>
      <c r="L660" t="str">
        <v>OK</v>
      </c>
      <c r="M660">
        <v>1</v>
      </c>
      <c r="O660">
        <f t="shared" si="80"/>
        <v>16.634146341463413</v>
      </c>
      <c r="P660">
        <f t="shared" si="81"/>
        <v>83.459749999999985</v>
      </c>
      <c r="Q660">
        <f t="shared" si="82"/>
        <v>50.40650406504065</v>
      </c>
      <c r="R660">
        <f t="shared" si="83"/>
        <v>1</v>
      </c>
      <c r="S660">
        <f t="shared" si="84"/>
        <v>83.459749999999985</v>
      </c>
      <c r="T660" t="str">
        <f t="shared" si="85"/>
        <v>OK</v>
      </c>
      <c r="U660" t="str">
        <f t="shared" si="86"/>
        <v>OK</v>
      </c>
      <c r="V660" t="str">
        <f t="shared" si="87"/>
        <v>OK</v>
      </c>
    </row>
    <row r="661" spans="1:22" x14ac:dyDescent="0.45">
      <c r="A661" t="str">
        <v>SO-50584</v>
      </c>
      <c r="B661" t="str">
        <v>PL-SUR</v>
      </c>
      <c r="C661" t="str">
        <v>CD-LEO</v>
      </c>
      <c r="D661" t="str">
        <v>ABA-1019</v>
      </c>
      <c r="E661">
        <v>1483</v>
      </c>
      <c r="F661" s="1">
        <v>46176</v>
      </c>
      <c r="G661" t="str">
        <v>In Transit</v>
      </c>
      <c r="H661" t="str">
        <v>OK</v>
      </c>
      <c r="I661">
        <v>14.82</v>
      </c>
      <c r="J661">
        <v>132</v>
      </c>
      <c r="K661">
        <v>373</v>
      </c>
      <c r="L661" t="str">
        <v>OK</v>
      </c>
      <c r="M661">
        <v>1</v>
      </c>
      <c r="O661">
        <f t="shared" si="80"/>
        <v>11.234848484848484</v>
      </c>
      <c r="P661">
        <f t="shared" si="81"/>
        <v>91.575250000000011</v>
      </c>
      <c r="Q661">
        <f t="shared" si="82"/>
        <v>34.04499540863177</v>
      </c>
      <c r="R661">
        <f t="shared" si="83"/>
        <v>1</v>
      </c>
      <c r="S661">
        <f t="shared" si="84"/>
        <v>91.575250000000011</v>
      </c>
      <c r="T661" t="str">
        <f t="shared" si="85"/>
        <v>OK</v>
      </c>
      <c r="U661" t="str">
        <f t="shared" si="86"/>
        <v>OK</v>
      </c>
      <c r="V661" t="str">
        <f t="shared" si="87"/>
        <v>OK</v>
      </c>
    </row>
    <row r="662" spans="1:22" x14ac:dyDescent="0.45">
      <c r="A662" t="str">
        <v>SO-50150</v>
      </c>
      <c r="B662" t="str">
        <v>PL-CEN</v>
      </c>
      <c r="C662" t="str">
        <v>CD-VER</v>
      </c>
      <c r="D662" t="str">
        <v>PRO-1011</v>
      </c>
      <c r="E662">
        <v>962</v>
      </c>
      <c r="F662" s="1">
        <v>46176</v>
      </c>
      <c r="G662" t="str">
        <v>In Transit</v>
      </c>
      <c r="H662" t="str">
        <v>OK</v>
      </c>
      <c r="I662">
        <v>4.3600000000000003</v>
      </c>
      <c r="J662">
        <v>88</v>
      </c>
      <c r="K662">
        <v>108</v>
      </c>
      <c r="L662" t="str">
        <v>OK</v>
      </c>
      <c r="M662">
        <v>1</v>
      </c>
      <c r="O662">
        <f t="shared" si="80"/>
        <v>10.931818181818182</v>
      </c>
      <c r="P662">
        <f t="shared" si="81"/>
        <v>17.476333333333336</v>
      </c>
      <c r="Q662">
        <f t="shared" si="82"/>
        <v>33.126721763085399</v>
      </c>
      <c r="R662">
        <f t="shared" si="83"/>
        <v>1</v>
      </c>
      <c r="S662">
        <f t="shared" si="84"/>
        <v>33.126721763085399</v>
      </c>
      <c r="T662" t="str">
        <f t="shared" si="85"/>
        <v>CARGA INEFICIENTE</v>
      </c>
      <c r="U662" t="str">
        <f t="shared" si="86"/>
        <v>OK</v>
      </c>
      <c r="V662" t="str">
        <f t="shared" si="87"/>
        <v>OK</v>
      </c>
    </row>
    <row r="663" spans="1:22" x14ac:dyDescent="0.45">
      <c r="A663" t="str">
        <v>SO-50439</v>
      </c>
      <c r="B663" t="str">
        <v>PL-NTE</v>
      </c>
      <c r="C663" t="str">
        <v>CD-CHI</v>
      </c>
      <c r="D663" t="str">
        <v>BEB-1006</v>
      </c>
      <c r="E663">
        <v>1343</v>
      </c>
      <c r="F663" s="1">
        <v>46176</v>
      </c>
      <c r="G663" t="str">
        <v>In Transit</v>
      </c>
      <c r="H663" t="str">
        <v>OK</v>
      </c>
      <c r="I663">
        <v>17.18</v>
      </c>
      <c r="J663">
        <v>81</v>
      </c>
      <c r="K663">
        <v>293</v>
      </c>
      <c r="L663" t="str">
        <v>OK</v>
      </c>
      <c r="M663">
        <v>1</v>
      </c>
      <c r="O663">
        <f t="shared" si="80"/>
        <v>16.580246913580247</v>
      </c>
      <c r="P663">
        <f t="shared" si="81"/>
        <v>96.136416666666662</v>
      </c>
      <c r="Q663">
        <f t="shared" si="82"/>
        <v>50.243172465394693</v>
      </c>
      <c r="R663">
        <f t="shared" si="83"/>
        <v>1</v>
      </c>
      <c r="S663">
        <f t="shared" si="84"/>
        <v>96.136416666666662</v>
      </c>
      <c r="T663" t="str">
        <f t="shared" si="85"/>
        <v>OK</v>
      </c>
      <c r="U663" t="str">
        <f t="shared" si="86"/>
        <v>OK</v>
      </c>
      <c r="V663" t="str">
        <f t="shared" si="87"/>
        <v>OK</v>
      </c>
    </row>
    <row r="664" spans="1:22" x14ac:dyDescent="0.45">
      <c r="A664" t="str">
        <v>SO-50918</v>
      </c>
      <c r="B664" t="str">
        <v>PL-NTE</v>
      </c>
      <c r="C664" t="str">
        <v>CD-SAL</v>
      </c>
      <c r="D664" t="str">
        <v>ABA-1001</v>
      </c>
      <c r="E664">
        <v>1175</v>
      </c>
      <c r="F664" s="1">
        <v>46175</v>
      </c>
      <c r="G664" t="str">
        <v>In Transit</v>
      </c>
      <c r="H664" t="str">
        <v>OK</v>
      </c>
      <c r="I664">
        <v>0</v>
      </c>
      <c r="J664">
        <v>100</v>
      </c>
      <c r="K664">
        <v>512</v>
      </c>
      <c r="L664" t="str">
        <v>OK</v>
      </c>
      <c r="M664">
        <v>2</v>
      </c>
      <c r="O664">
        <f t="shared" si="80"/>
        <v>11.75</v>
      </c>
      <c r="P664">
        <f t="shared" si="81"/>
        <v>0</v>
      </c>
      <c r="Q664">
        <f t="shared" si="82"/>
        <v>35.606060606060609</v>
      </c>
      <c r="R664">
        <f t="shared" si="83"/>
        <v>1</v>
      </c>
      <c r="S664">
        <f t="shared" si="84"/>
        <v>35.606060606060609</v>
      </c>
      <c r="T664" t="str">
        <f t="shared" si="85"/>
        <v>CARGA INEFICIENTE</v>
      </c>
      <c r="U664" t="str">
        <f t="shared" si="86"/>
        <v>OK</v>
      </c>
      <c r="V664" t="str">
        <f t="shared" si="87"/>
        <v>OK</v>
      </c>
    </row>
    <row r="665" spans="1:22" x14ac:dyDescent="0.45">
      <c r="A665" t="str">
        <v>SO-50795</v>
      </c>
      <c r="B665" t="str">
        <v>PL-NTE</v>
      </c>
      <c r="C665" t="str">
        <v>CD-SAL</v>
      </c>
      <c r="D665" t="str">
        <v>PRO-1005</v>
      </c>
      <c r="E665">
        <v>1859</v>
      </c>
      <c r="F665" s="1">
        <v>46175</v>
      </c>
      <c r="G665" t="str">
        <v>In Transit</v>
      </c>
      <c r="H665" t="str">
        <v>OK</v>
      </c>
      <c r="I665">
        <v>11.02</v>
      </c>
      <c r="J665">
        <v>69</v>
      </c>
      <c r="K665">
        <v>86</v>
      </c>
      <c r="L665" t="str">
        <v>OK</v>
      </c>
      <c r="M665">
        <v>2</v>
      </c>
      <c r="O665">
        <f t="shared" si="80"/>
        <v>26.942028985507246</v>
      </c>
      <c r="P665">
        <f t="shared" si="81"/>
        <v>85.359083333333331</v>
      </c>
      <c r="Q665">
        <f t="shared" si="82"/>
        <v>81.642512077294683</v>
      </c>
      <c r="R665">
        <f t="shared" si="83"/>
        <v>1</v>
      </c>
      <c r="S665">
        <f t="shared" si="84"/>
        <v>85.359083333333331</v>
      </c>
      <c r="T665" t="str">
        <f t="shared" si="85"/>
        <v>OK</v>
      </c>
      <c r="U665" t="str">
        <f t="shared" si="86"/>
        <v>OK</v>
      </c>
      <c r="V665" t="str">
        <f t="shared" si="87"/>
        <v>OK</v>
      </c>
    </row>
    <row r="666" spans="1:22" x14ac:dyDescent="0.45">
      <c r="A666" t="str">
        <v>SO-50299</v>
      </c>
      <c r="B666" t="str">
        <v>PL-CEN</v>
      </c>
      <c r="C666" t="str">
        <v>CD-QRO</v>
      </c>
      <c r="D666" t="str">
        <v>BEB-1003</v>
      </c>
      <c r="E666">
        <v>1046</v>
      </c>
      <c r="F666" s="1">
        <v>46175</v>
      </c>
      <c r="G666" t="str">
        <v>In Transit</v>
      </c>
      <c r="H666" t="str">
        <v>OK</v>
      </c>
      <c r="I666">
        <v>20.5</v>
      </c>
      <c r="J666">
        <v>64</v>
      </c>
      <c r="K666">
        <v>359</v>
      </c>
      <c r="L666" t="str">
        <v>OK</v>
      </c>
      <c r="M666">
        <v>2</v>
      </c>
      <c r="O666">
        <f t="shared" si="80"/>
        <v>16.34375</v>
      </c>
      <c r="P666">
        <f t="shared" si="81"/>
        <v>89.345833333333331</v>
      </c>
      <c r="Q666">
        <f t="shared" si="82"/>
        <v>49.526515151515149</v>
      </c>
      <c r="R666">
        <f t="shared" si="83"/>
        <v>1</v>
      </c>
      <c r="S666">
        <f t="shared" si="84"/>
        <v>89.345833333333331</v>
      </c>
      <c r="T666" t="str">
        <f t="shared" si="85"/>
        <v>OK</v>
      </c>
      <c r="U666" t="str">
        <f t="shared" si="86"/>
        <v>OK</v>
      </c>
      <c r="V666" t="str">
        <f t="shared" si="87"/>
        <v>OK</v>
      </c>
    </row>
    <row r="667" spans="1:22" x14ac:dyDescent="0.45">
      <c r="A667" t="str">
        <v>SO-50557</v>
      </c>
      <c r="B667" t="str">
        <v>PL-NTE</v>
      </c>
      <c r="C667" t="str">
        <v>CD-HER</v>
      </c>
      <c r="D667" t="str">
        <v>ABA-1012</v>
      </c>
      <c r="E667">
        <v>1516</v>
      </c>
      <c r="F667" s="1">
        <v>46176</v>
      </c>
      <c r="G667" t="str">
        <v>In Transit</v>
      </c>
      <c r="H667" t="str">
        <v>OK</v>
      </c>
      <c r="I667">
        <v>15.14</v>
      </c>
      <c r="J667">
        <v>117</v>
      </c>
      <c r="K667">
        <v>484</v>
      </c>
      <c r="L667" t="str">
        <v>OK</v>
      </c>
      <c r="M667">
        <v>1</v>
      </c>
      <c r="O667">
        <f t="shared" si="80"/>
        <v>12.957264957264957</v>
      </c>
      <c r="P667">
        <f t="shared" si="81"/>
        <v>95.634333333333345</v>
      </c>
      <c r="Q667">
        <f t="shared" si="82"/>
        <v>39.264439264439268</v>
      </c>
      <c r="R667">
        <f t="shared" si="83"/>
        <v>1</v>
      </c>
      <c r="S667">
        <f t="shared" si="84"/>
        <v>95.634333333333345</v>
      </c>
      <c r="T667" t="str">
        <f t="shared" si="85"/>
        <v>OK</v>
      </c>
      <c r="U667" t="str">
        <f t="shared" si="86"/>
        <v>OK</v>
      </c>
      <c r="V667" t="str">
        <f t="shared" si="87"/>
        <v>OK</v>
      </c>
    </row>
    <row r="668" spans="1:22" x14ac:dyDescent="0.45">
      <c r="A668" t="str">
        <v>SO-50943</v>
      </c>
      <c r="B668" t="str">
        <v>PL-SUR</v>
      </c>
      <c r="C668" t="str">
        <v>CD-GDL</v>
      </c>
      <c r="D668" t="str">
        <v>BOT-1016</v>
      </c>
      <c r="E668">
        <v>431</v>
      </c>
      <c r="F668" s="1">
        <v>46176</v>
      </c>
      <c r="G668" t="str">
        <v>In Transit</v>
      </c>
      <c r="H668" t="str">
        <v>OK</v>
      </c>
      <c r="I668">
        <v>5.53</v>
      </c>
      <c r="J668">
        <v>42</v>
      </c>
      <c r="K668">
        <v>114</v>
      </c>
      <c r="L668" t="str">
        <v>OK</v>
      </c>
      <c r="M668">
        <v>1</v>
      </c>
      <c r="O668">
        <f t="shared" si="80"/>
        <v>10.261904761904763</v>
      </c>
      <c r="P668">
        <f t="shared" si="81"/>
        <v>9.9309583333333347</v>
      </c>
      <c r="Q668">
        <f t="shared" si="82"/>
        <v>31.096681096681099</v>
      </c>
      <c r="R668">
        <f t="shared" si="83"/>
        <v>1</v>
      </c>
      <c r="S668">
        <f t="shared" si="84"/>
        <v>31.096681096681099</v>
      </c>
      <c r="T668" t="str">
        <f t="shared" si="85"/>
        <v>CARGA INEFICIENTE</v>
      </c>
      <c r="U668" t="str">
        <f t="shared" si="86"/>
        <v>OK</v>
      </c>
      <c r="V668" t="str">
        <f t="shared" si="87"/>
        <v>OK</v>
      </c>
    </row>
    <row r="669" spans="1:22" x14ac:dyDescent="0.45">
      <c r="A669" t="str">
        <v>SO-50030</v>
      </c>
      <c r="B669" t="str">
        <v>PL-NTE</v>
      </c>
      <c r="C669" t="str">
        <v>CD-HER</v>
      </c>
      <c r="D669" t="str">
        <v>LAC-1014</v>
      </c>
      <c r="E669">
        <v>2833</v>
      </c>
      <c r="F669" s="1">
        <v>46176</v>
      </c>
      <c r="G669" t="str">
        <v>In Transit</v>
      </c>
      <c r="H669" t="str">
        <v>OK</v>
      </c>
      <c r="I669">
        <v>8.0500000000000007</v>
      </c>
      <c r="J669">
        <v>147</v>
      </c>
      <c r="K669">
        <v>28</v>
      </c>
      <c r="L669" t="str">
        <v>OK</v>
      </c>
      <c r="M669">
        <v>1</v>
      </c>
      <c r="O669">
        <f t="shared" si="80"/>
        <v>19.272108843537413</v>
      </c>
      <c r="P669">
        <f t="shared" si="81"/>
        <v>95.023541666666674</v>
      </c>
      <c r="Q669">
        <f t="shared" si="82"/>
        <v>58.400329828901256</v>
      </c>
      <c r="R669">
        <f t="shared" si="83"/>
        <v>1</v>
      </c>
      <c r="S669">
        <f t="shared" si="84"/>
        <v>95.023541666666674</v>
      </c>
      <c r="T669" t="str">
        <f t="shared" si="85"/>
        <v>OK</v>
      </c>
      <c r="U669" t="str">
        <f t="shared" si="86"/>
        <v>OK</v>
      </c>
      <c r="V669" t="str">
        <f t="shared" si="87"/>
        <v>OK</v>
      </c>
    </row>
    <row r="670" spans="1:22" x14ac:dyDescent="0.45">
      <c r="A670" t="str">
        <v>SO-50986</v>
      </c>
      <c r="B670" t="str">
        <v>PL-CEN</v>
      </c>
      <c r="C670" t="str">
        <v>CD-CDMX</v>
      </c>
      <c r="D670" t="str">
        <v>BEB-1010</v>
      </c>
      <c r="E670">
        <v>1269</v>
      </c>
      <c r="F670" s="1">
        <v>46176</v>
      </c>
      <c r="G670" t="str">
        <v>In Transit</v>
      </c>
      <c r="H670" t="str">
        <v>OK</v>
      </c>
      <c r="I670">
        <v>0</v>
      </c>
      <c r="J670">
        <v>71</v>
      </c>
      <c r="K670">
        <v>192</v>
      </c>
      <c r="L670" t="str">
        <v>OK</v>
      </c>
      <c r="M670">
        <v>1</v>
      </c>
      <c r="O670">
        <f t="shared" si="80"/>
        <v>17.87323943661972</v>
      </c>
      <c r="P670">
        <f t="shared" si="81"/>
        <v>0</v>
      </c>
      <c r="Q670">
        <f t="shared" si="82"/>
        <v>54.161331626120365</v>
      </c>
      <c r="R670">
        <f t="shared" si="83"/>
        <v>1</v>
      </c>
      <c r="S670">
        <f t="shared" si="84"/>
        <v>54.161331626120365</v>
      </c>
      <c r="T670" t="str">
        <f t="shared" si="85"/>
        <v>CARGA INEFICIENTE</v>
      </c>
      <c r="U670" t="str">
        <f t="shared" si="86"/>
        <v>OK</v>
      </c>
      <c r="V670" t="str">
        <f t="shared" si="87"/>
        <v>OK</v>
      </c>
    </row>
    <row r="671" spans="1:22" x14ac:dyDescent="0.45">
      <c r="A671" t="str">
        <v>SO-50512</v>
      </c>
      <c r="B671" t="str">
        <v>PL-SUR</v>
      </c>
      <c r="C671" t="str">
        <v>CD-MER</v>
      </c>
      <c r="D671" t="str">
        <v>LAC-1016</v>
      </c>
      <c r="E671">
        <v>756</v>
      </c>
      <c r="F671" s="1">
        <v>46174</v>
      </c>
      <c r="G671" t="str">
        <v>In Transit</v>
      </c>
      <c r="H671" t="str">
        <v>OK</v>
      </c>
      <c r="I671">
        <v>10.9</v>
      </c>
      <c r="J671">
        <v>131</v>
      </c>
      <c r="K671">
        <v>22</v>
      </c>
      <c r="L671" t="str">
        <v>OK</v>
      </c>
      <c r="M671">
        <v>3</v>
      </c>
      <c r="O671">
        <f t="shared" si="80"/>
        <v>5.770992366412214</v>
      </c>
      <c r="P671">
        <f t="shared" si="81"/>
        <v>34.335000000000001</v>
      </c>
      <c r="Q671">
        <f t="shared" si="82"/>
        <v>17.487855655794586</v>
      </c>
      <c r="R671">
        <f t="shared" si="83"/>
        <v>1</v>
      </c>
      <c r="S671">
        <f t="shared" si="84"/>
        <v>34.335000000000001</v>
      </c>
      <c r="T671" t="str">
        <f t="shared" si="85"/>
        <v>CARGA INEFICIENTE</v>
      </c>
      <c r="U671" t="str">
        <f t="shared" si="86"/>
        <v>OK</v>
      </c>
      <c r="V671" t="str">
        <f t="shared" si="87"/>
        <v>OK</v>
      </c>
    </row>
    <row r="672" spans="1:22" x14ac:dyDescent="0.45">
      <c r="A672" t="str">
        <v>SO-50748</v>
      </c>
      <c r="B672" t="str">
        <v>PL-NTE</v>
      </c>
      <c r="C672" t="str">
        <v>CD-HER</v>
      </c>
      <c r="D672" t="str">
        <v>BEB-1008</v>
      </c>
      <c r="E672">
        <v>1118</v>
      </c>
      <c r="F672" s="1">
        <v>46175</v>
      </c>
      <c r="G672" t="str">
        <v>In Transit</v>
      </c>
      <c r="H672" t="str">
        <v>OK</v>
      </c>
      <c r="I672">
        <v>17.47</v>
      </c>
      <c r="J672">
        <v>65</v>
      </c>
      <c r="K672">
        <v>216</v>
      </c>
      <c r="L672" t="str">
        <v>OK</v>
      </c>
      <c r="M672">
        <v>2</v>
      </c>
      <c r="O672">
        <f t="shared" si="80"/>
        <v>17.2</v>
      </c>
      <c r="P672">
        <f t="shared" si="81"/>
        <v>81.381083333333322</v>
      </c>
      <c r="Q672">
        <f t="shared" si="82"/>
        <v>52.121212121212125</v>
      </c>
      <c r="R672">
        <f t="shared" si="83"/>
        <v>1</v>
      </c>
      <c r="S672">
        <f t="shared" si="84"/>
        <v>81.381083333333322</v>
      </c>
      <c r="T672" t="str">
        <f t="shared" si="85"/>
        <v>OK</v>
      </c>
      <c r="U672" t="str">
        <f t="shared" si="86"/>
        <v>OK</v>
      </c>
      <c r="V672" t="str">
        <f t="shared" si="87"/>
        <v>OK</v>
      </c>
    </row>
    <row r="673" spans="1:22" x14ac:dyDescent="0.45">
      <c r="A673" t="str">
        <v>SO-50833</v>
      </c>
      <c r="B673" t="str">
        <v>PL-CEN</v>
      </c>
      <c r="C673" t="str">
        <v>CD-CDMX</v>
      </c>
      <c r="D673" t="str">
        <v>BEB-1014</v>
      </c>
      <c r="E673">
        <v>1769</v>
      </c>
      <c r="F673" s="1">
        <v>46176</v>
      </c>
      <c r="G673" t="str">
        <v>In Transit</v>
      </c>
      <c r="H673" t="str">
        <v>OK</v>
      </c>
      <c r="I673">
        <v>12.41</v>
      </c>
      <c r="J673">
        <v>95</v>
      </c>
      <c r="K673">
        <v>227</v>
      </c>
      <c r="L673" t="str">
        <v>OK</v>
      </c>
      <c r="M673">
        <v>1</v>
      </c>
      <c r="O673">
        <f t="shared" si="80"/>
        <v>18.621052631578948</v>
      </c>
      <c r="P673">
        <f t="shared" si="81"/>
        <v>91.472041666666669</v>
      </c>
      <c r="Q673">
        <f t="shared" si="82"/>
        <v>56.427432216905906</v>
      </c>
      <c r="R673">
        <f t="shared" si="83"/>
        <v>1</v>
      </c>
      <c r="S673">
        <f t="shared" si="84"/>
        <v>91.472041666666669</v>
      </c>
      <c r="T673" t="str">
        <f t="shared" si="85"/>
        <v>OK</v>
      </c>
      <c r="U673" t="str">
        <f t="shared" si="86"/>
        <v>OK</v>
      </c>
      <c r="V673" t="str">
        <f t="shared" si="87"/>
        <v>OK</v>
      </c>
    </row>
    <row r="674" spans="1:22" x14ac:dyDescent="0.45">
      <c r="A674" t="str">
        <v>SO-50845</v>
      </c>
      <c r="B674" t="str">
        <v>PL-NTE</v>
      </c>
      <c r="C674" t="str">
        <v>CD-CHI</v>
      </c>
      <c r="D674" t="str">
        <v>BOT-1012</v>
      </c>
      <c r="E674">
        <v>2015</v>
      </c>
      <c r="F674" s="1">
        <v>46175</v>
      </c>
      <c r="G674" t="str">
        <v>In Transit</v>
      </c>
      <c r="H674" t="str">
        <v>OK</v>
      </c>
      <c r="I674">
        <v>4.26</v>
      </c>
      <c r="J674">
        <v>68</v>
      </c>
      <c r="K674">
        <v>117</v>
      </c>
      <c r="L674" t="str">
        <v>OK</v>
      </c>
      <c r="M674">
        <v>2</v>
      </c>
      <c r="O674">
        <f t="shared" si="80"/>
        <v>29.632352941176471</v>
      </c>
      <c r="P674">
        <f t="shared" si="81"/>
        <v>35.766249999999999</v>
      </c>
      <c r="Q674">
        <f t="shared" si="82"/>
        <v>89.795008912655973</v>
      </c>
      <c r="R674">
        <f t="shared" si="83"/>
        <v>1</v>
      </c>
      <c r="S674">
        <f t="shared" si="84"/>
        <v>89.795008912655973</v>
      </c>
      <c r="T674" t="str">
        <f t="shared" si="85"/>
        <v>OK</v>
      </c>
      <c r="U674" t="str">
        <f t="shared" si="86"/>
        <v>OK</v>
      </c>
      <c r="V674" t="str">
        <f t="shared" si="87"/>
        <v>OK</v>
      </c>
    </row>
    <row r="675" spans="1:22" x14ac:dyDescent="0.45">
      <c r="A675" t="str">
        <v>SO-50692</v>
      </c>
      <c r="B675" t="str">
        <v>PL-SUR</v>
      </c>
      <c r="C675" t="str">
        <v>CD-MOR</v>
      </c>
      <c r="D675" t="str">
        <v>PRO-1002</v>
      </c>
      <c r="E675">
        <v>2129</v>
      </c>
      <c r="F675" s="1">
        <v>46176</v>
      </c>
      <c r="G675" t="str">
        <v>In Transit</v>
      </c>
      <c r="H675" t="str">
        <v>OK</v>
      </c>
      <c r="I675">
        <v>9.6999999999999993</v>
      </c>
      <c r="J675">
        <v>98</v>
      </c>
      <c r="K675">
        <v>115</v>
      </c>
      <c r="L675" t="str">
        <v>OK</v>
      </c>
      <c r="M675">
        <v>1</v>
      </c>
      <c r="O675">
        <f t="shared" si="80"/>
        <v>21.724489795918366</v>
      </c>
      <c r="P675">
        <f t="shared" si="81"/>
        <v>86.047083333333333</v>
      </c>
      <c r="Q675">
        <f t="shared" si="82"/>
        <v>65.831787260358681</v>
      </c>
      <c r="R675">
        <f t="shared" si="83"/>
        <v>1</v>
      </c>
      <c r="S675">
        <f t="shared" si="84"/>
        <v>86.047083333333333</v>
      </c>
      <c r="T675" t="str">
        <f t="shared" si="85"/>
        <v>OK</v>
      </c>
      <c r="U675" t="str">
        <f t="shared" si="86"/>
        <v>OK</v>
      </c>
      <c r="V675" t="str">
        <f t="shared" si="87"/>
        <v>OK</v>
      </c>
    </row>
    <row r="676" spans="1:22" x14ac:dyDescent="0.45">
      <c r="A676" t="str">
        <v>SO-50091</v>
      </c>
      <c r="B676" t="str">
        <v>PL-NTE</v>
      </c>
      <c r="C676" t="str">
        <v>CD-HER</v>
      </c>
      <c r="D676" t="str">
        <v>BOT-1011</v>
      </c>
      <c r="E676">
        <v>2645</v>
      </c>
      <c r="F676" s="1">
        <v>46174</v>
      </c>
      <c r="G676" t="str">
        <v>In Transit</v>
      </c>
      <c r="H676" t="str">
        <v>OK</v>
      </c>
      <c r="I676">
        <v>3.43</v>
      </c>
      <c r="J676">
        <v>88</v>
      </c>
      <c r="K676">
        <v>109</v>
      </c>
      <c r="L676" t="str">
        <v>OK</v>
      </c>
      <c r="M676">
        <v>3</v>
      </c>
      <c r="O676">
        <f t="shared" si="80"/>
        <v>30.056818181818183</v>
      </c>
      <c r="P676">
        <f t="shared" si="81"/>
        <v>37.801458333333336</v>
      </c>
      <c r="Q676">
        <f t="shared" si="82"/>
        <v>91.081267217630852</v>
      </c>
      <c r="R676">
        <f t="shared" si="83"/>
        <v>1</v>
      </c>
      <c r="S676">
        <f t="shared" si="84"/>
        <v>91.081267217630852</v>
      </c>
      <c r="T676" t="str">
        <f t="shared" si="85"/>
        <v>OK</v>
      </c>
      <c r="U676" t="str">
        <f t="shared" si="86"/>
        <v>OK</v>
      </c>
      <c r="V676" t="str">
        <f t="shared" si="87"/>
        <v>OK</v>
      </c>
    </row>
    <row r="677" spans="1:22" x14ac:dyDescent="0.45">
      <c r="A677" t="str">
        <v>SO-50067</v>
      </c>
      <c r="B677" t="str">
        <v>PL-NTE</v>
      </c>
      <c r="C677" t="str">
        <v>CD-HER</v>
      </c>
      <c r="D677" t="str">
        <v>BEB-1007</v>
      </c>
      <c r="E677">
        <v>509</v>
      </c>
      <c r="F677" s="1">
        <v>46175</v>
      </c>
      <c r="G677" t="str">
        <v>In Transit</v>
      </c>
      <c r="H677" t="str">
        <v>OK</v>
      </c>
      <c r="I677">
        <v>13.67</v>
      </c>
      <c r="J677">
        <v>78</v>
      </c>
      <c r="K677">
        <v>247</v>
      </c>
      <c r="L677" t="str">
        <v>OK</v>
      </c>
      <c r="M677">
        <v>2</v>
      </c>
      <c r="O677">
        <f t="shared" si="80"/>
        <v>6.5256410256410255</v>
      </c>
      <c r="P677">
        <f t="shared" si="81"/>
        <v>28.991791666666668</v>
      </c>
      <c r="Q677">
        <f t="shared" si="82"/>
        <v>19.774669774669775</v>
      </c>
      <c r="R677">
        <f t="shared" si="83"/>
        <v>1</v>
      </c>
      <c r="S677">
        <f t="shared" si="84"/>
        <v>28.991791666666668</v>
      </c>
      <c r="T677" t="str">
        <f t="shared" si="85"/>
        <v>CARGA INEFICIENTE</v>
      </c>
      <c r="U677" t="str">
        <f t="shared" si="86"/>
        <v>OK</v>
      </c>
      <c r="V677" t="str">
        <f t="shared" si="87"/>
        <v>OK</v>
      </c>
    </row>
    <row r="678" spans="1:22" x14ac:dyDescent="0.45">
      <c r="A678" t="str">
        <v>SO-50412</v>
      </c>
      <c r="B678" t="str">
        <v>PL-NTE</v>
      </c>
      <c r="C678" t="str">
        <v>CD-TIJ</v>
      </c>
      <c r="D678" t="str">
        <v>BOT-1010</v>
      </c>
      <c r="E678">
        <v>428</v>
      </c>
      <c r="F678" s="1">
        <v>46174</v>
      </c>
      <c r="G678" t="str">
        <v>In Transit</v>
      </c>
      <c r="H678" t="str">
        <v>OK</v>
      </c>
      <c r="I678">
        <v>5.09</v>
      </c>
      <c r="J678">
        <v>40</v>
      </c>
      <c r="K678">
        <v>90</v>
      </c>
      <c r="L678" t="str">
        <v>OK</v>
      </c>
      <c r="M678">
        <v>3</v>
      </c>
      <c r="O678">
        <f t="shared" si="80"/>
        <v>10.7</v>
      </c>
      <c r="P678">
        <f t="shared" si="81"/>
        <v>9.0771666666666668</v>
      </c>
      <c r="Q678">
        <f t="shared" si="82"/>
        <v>32.424242424242422</v>
      </c>
      <c r="R678">
        <f t="shared" si="83"/>
        <v>1</v>
      </c>
      <c r="S678">
        <f t="shared" si="84"/>
        <v>32.424242424242422</v>
      </c>
      <c r="T678" t="str">
        <f t="shared" si="85"/>
        <v>CARGA INEFICIENTE</v>
      </c>
      <c r="U678" t="str">
        <f t="shared" si="86"/>
        <v>OK</v>
      </c>
      <c r="V678" t="str">
        <f t="shared" si="87"/>
        <v>OK</v>
      </c>
    </row>
    <row r="679" spans="1:22" x14ac:dyDescent="0.45">
      <c r="A679" t="str">
        <v>SO-50326</v>
      </c>
      <c r="B679" t="str">
        <v>PL-NTE</v>
      </c>
      <c r="C679" t="str">
        <v>CD-SAL</v>
      </c>
      <c r="D679" t="str">
        <v>PRO-1015</v>
      </c>
      <c r="E679">
        <v>2870</v>
      </c>
      <c r="F679" s="1">
        <v>46175</v>
      </c>
      <c r="G679" t="str">
        <v>In Transit</v>
      </c>
      <c r="H679" t="str">
        <v>OK</v>
      </c>
      <c r="I679">
        <v>6.16</v>
      </c>
      <c r="J679">
        <v>104</v>
      </c>
      <c r="K679">
        <v>67</v>
      </c>
      <c r="L679" t="str">
        <v>OK</v>
      </c>
      <c r="M679">
        <v>2</v>
      </c>
      <c r="O679">
        <f t="shared" si="80"/>
        <v>27.596153846153847</v>
      </c>
      <c r="P679">
        <f t="shared" si="81"/>
        <v>73.663333333333341</v>
      </c>
      <c r="Q679">
        <f t="shared" si="82"/>
        <v>83.624708624708617</v>
      </c>
      <c r="R679">
        <f t="shared" si="83"/>
        <v>1</v>
      </c>
      <c r="S679">
        <f t="shared" si="84"/>
        <v>83.624708624708617</v>
      </c>
      <c r="T679" t="str">
        <f t="shared" si="85"/>
        <v>OK</v>
      </c>
      <c r="U679" t="str">
        <f t="shared" si="86"/>
        <v>OK</v>
      </c>
      <c r="V679" t="str">
        <f t="shared" si="87"/>
        <v>OK</v>
      </c>
    </row>
    <row r="680" spans="1:22" x14ac:dyDescent="0.45">
      <c r="A680" t="str">
        <v>SO-50220</v>
      </c>
      <c r="B680" t="str">
        <v>PL-CEN</v>
      </c>
      <c r="C680" t="str">
        <v>CD-TOL</v>
      </c>
      <c r="D680" t="str">
        <v>LAC-1014</v>
      </c>
      <c r="E680">
        <v>1419</v>
      </c>
      <c r="F680" s="1">
        <v>46176</v>
      </c>
      <c r="G680" t="str">
        <v>In Transit</v>
      </c>
      <c r="H680" t="str">
        <v>OK</v>
      </c>
      <c r="I680">
        <v>8.0500000000000007</v>
      </c>
      <c r="J680">
        <v>147</v>
      </c>
      <c r="K680">
        <v>28</v>
      </c>
      <c r="L680" t="str">
        <v>OK</v>
      </c>
      <c r="M680">
        <v>1</v>
      </c>
      <c r="O680">
        <f t="shared" si="80"/>
        <v>9.6530612244897966</v>
      </c>
      <c r="P680">
        <f t="shared" si="81"/>
        <v>47.595625000000005</v>
      </c>
      <c r="Q680">
        <f t="shared" si="82"/>
        <v>29.251700680272112</v>
      </c>
      <c r="R680">
        <f t="shared" si="83"/>
        <v>1</v>
      </c>
      <c r="S680">
        <f t="shared" si="84"/>
        <v>47.595625000000005</v>
      </c>
      <c r="T680" t="str">
        <f t="shared" si="85"/>
        <v>CARGA INEFICIENTE</v>
      </c>
      <c r="U680" t="str">
        <f t="shared" si="86"/>
        <v>OK</v>
      </c>
      <c r="V680" t="str">
        <f t="shared" si="87"/>
        <v>OK</v>
      </c>
    </row>
    <row r="681" spans="1:22" x14ac:dyDescent="0.45">
      <c r="A681" t="str">
        <v>SO-50217</v>
      </c>
      <c r="B681" t="str">
        <v>PL-CEN</v>
      </c>
      <c r="C681" t="str">
        <v>CD-CDMX</v>
      </c>
      <c r="D681" t="str">
        <v>LAC-1013</v>
      </c>
      <c r="E681">
        <v>2701</v>
      </c>
      <c r="F681" s="1">
        <v>46176</v>
      </c>
      <c r="G681" t="str">
        <v>In Transit</v>
      </c>
      <c r="H681" t="str">
        <v>OK</v>
      </c>
      <c r="I681">
        <v>8.32</v>
      </c>
      <c r="J681">
        <v>98</v>
      </c>
      <c r="K681">
        <v>16</v>
      </c>
      <c r="L681" t="str">
        <v>OK</v>
      </c>
      <c r="M681">
        <v>1</v>
      </c>
      <c r="O681">
        <f t="shared" si="80"/>
        <v>27.561224489795919</v>
      </c>
      <c r="P681">
        <f t="shared" si="81"/>
        <v>93.634666666666661</v>
      </c>
      <c r="Q681">
        <f t="shared" si="82"/>
        <v>83.518862090290654</v>
      </c>
      <c r="R681">
        <f t="shared" si="83"/>
        <v>1</v>
      </c>
      <c r="S681">
        <f t="shared" si="84"/>
        <v>93.634666666666661</v>
      </c>
      <c r="T681" t="str">
        <f t="shared" si="85"/>
        <v>OK</v>
      </c>
      <c r="U681" t="str">
        <f t="shared" si="86"/>
        <v>OK</v>
      </c>
      <c r="V681" t="str">
        <f t="shared" si="87"/>
        <v>OK</v>
      </c>
    </row>
    <row r="682" spans="1:22" x14ac:dyDescent="0.45">
      <c r="A682" t="str">
        <v>SO-50024</v>
      </c>
      <c r="B682" t="str">
        <v>PL-NTE</v>
      </c>
      <c r="C682" t="str">
        <v>CD-HER</v>
      </c>
      <c r="D682" t="str">
        <v>BOT-1013</v>
      </c>
      <c r="E682">
        <v>1691</v>
      </c>
      <c r="F682" s="1">
        <v>46175</v>
      </c>
      <c r="G682" t="str">
        <v>In Transit</v>
      </c>
      <c r="H682" t="str">
        <v>OK</v>
      </c>
      <c r="I682">
        <v>4</v>
      </c>
      <c r="J682">
        <v>58</v>
      </c>
      <c r="K682">
        <v>112</v>
      </c>
      <c r="L682" t="str">
        <v>OK</v>
      </c>
      <c r="M682">
        <v>2</v>
      </c>
      <c r="O682">
        <f t="shared" si="80"/>
        <v>29.155172413793103</v>
      </c>
      <c r="P682">
        <f t="shared" si="81"/>
        <v>28.183333333333334</v>
      </c>
      <c r="Q682">
        <f t="shared" si="82"/>
        <v>88.349007314524556</v>
      </c>
      <c r="R682">
        <f t="shared" si="83"/>
        <v>1</v>
      </c>
      <c r="S682">
        <f t="shared" si="84"/>
        <v>88.349007314524556</v>
      </c>
      <c r="T682" t="str">
        <f t="shared" si="85"/>
        <v>OK</v>
      </c>
      <c r="U682" t="str">
        <f t="shared" si="86"/>
        <v>OK</v>
      </c>
      <c r="V682" t="str">
        <f t="shared" si="87"/>
        <v>OK</v>
      </c>
    </row>
    <row r="683" spans="1:22" x14ac:dyDescent="0.45">
      <c r="A683" t="str">
        <v>SO-50609</v>
      </c>
      <c r="B683" t="str">
        <v>PL-SUR</v>
      </c>
      <c r="C683" t="str">
        <v>CD-GDL</v>
      </c>
      <c r="D683" t="str">
        <v>PRO-1003</v>
      </c>
      <c r="E683">
        <v>1490</v>
      </c>
      <c r="F683" s="1">
        <v>46176</v>
      </c>
      <c r="G683" t="str">
        <v>In Transit</v>
      </c>
      <c r="H683" t="str">
        <v>OK</v>
      </c>
      <c r="I683">
        <v>13.9</v>
      </c>
      <c r="J683">
        <v>69</v>
      </c>
      <c r="K683">
        <v>106</v>
      </c>
      <c r="L683" t="str">
        <v>OK</v>
      </c>
      <c r="M683">
        <v>1</v>
      </c>
      <c r="O683">
        <f t="shared" si="80"/>
        <v>21.594202898550726</v>
      </c>
      <c r="P683">
        <f t="shared" si="81"/>
        <v>86.295833333333334</v>
      </c>
      <c r="Q683">
        <f t="shared" si="82"/>
        <v>65.436978480456744</v>
      </c>
      <c r="R683">
        <f t="shared" si="83"/>
        <v>1</v>
      </c>
      <c r="S683">
        <f t="shared" si="84"/>
        <v>86.295833333333334</v>
      </c>
      <c r="T683" t="str">
        <f t="shared" si="85"/>
        <v>OK</v>
      </c>
      <c r="U683" t="str">
        <f t="shared" si="86"/>
        <v>OK</v>
      </c>
      <c r="V683" t="str">
        <f t="shared" si="87"/>
        <v>OK</v>
      </c>
    </row>
    <row r="684" spans="1:22" x14ac:dyDescent="0.45">
      <c r="A684" t="str">
        <v>SO-50397</v>
      </c>
      <c r="B684" t="str">
        <v>PL-SUR</v>
      </c>
      <c r="C684" t="str">
        <v>CD-MOR</v>
      </c>
      <c r="D684" t="str">
        <v>LAC-1014</v>
      </c>
      <c r="E684">
        <v>848</v>
      </c>
      <c r="F684" s="1">
        <v>46176</v>
      </c>
      <c r="G684" t="str">
        <v>In Transit</v>
      </c>
      <c r="H684" t="str">
        <v>OK</v>
      </c>
      <c r="I684">
        <v>8.0500000000000007</v>
      </c>
      <c r="J684">
        <v>147</v>
      </c>
      <c r="K684">
        <v>28</v>
      </c>
      <c r="L684" t="str">
        <v>OK</v>
      </c>
      <c r="M684">
        <v>1</v>
      </c>
      <c r="O684">
        <f t="shared" si="80"/>
        <v>5.7687074829931975</v>
      </c>
      <c r="P684">
        <f t="shared" si="81"/>
        <v>28.443333333333339</v>
      </c>
      <c r="Q684">
        <f t="shared" si="82"/>
        <v>17.480931766646052</v>
      </c>
      <c r="R684">
        <f t="shared" si="83"/>
        <v>1</v>
      </c>
      <c r="S684">
        <f t="shared" si="84"/>
        <v>28.443333333333339</v>
      </c>
      <c r="T684" t="str">
        <f t="shared" si="85"/>
        <v>CARGA INEFICIENTE</v>
      </c>
      <c r="U684" t="str">
        <f t="shared" si="86"/>
        <v>OK</v>
      </c>
      <c r="V684" t="str">
        <f t="shared" si="87"/>
        <v>OK</v>
      </c>
    </row>
    <row r="685" spans="1:22" x14ac:dyDescent="0.45">
      <c r="A685" t="str">
        <v>SO-51064</v>
      </c>
      <c r="B685" t="str">
        <v>PL-NTE</v>
      </c>
      <c r="C685" t="str">
        <v>CD-MTY</v>
      </c>
      <c r="D685" t="str">
        <v>BOT-1023</v>
      </c>
      <c r="E685">
        <v>1314</v>
      </c>
      <c r="F685" s="1">
        <v>46174</v>
      </c>
      <c r="G685" t="str">
        <v>In Transit</v>
      </c>
      <c r="H685" t="str">
        <v>OK</v>
      </c>
      <c r="I685">
        <v>4.29</v>
      </c>
      <c r="J685">
        <v>44</v>
      </c>
      <c r="K685">
        <v>111</v>
      </c>
      <c r="L685" t="str">
        <v>OK</v>
      </c>
      <c r="M685">
        <v>3</v>
      </c>
      <c r="O685">
        <f t="shared" si="80"/>
        <v>29.863636363636363</v>
      </c>
      <c r="P685">
        <f t="shared" si="81"/>
        <v>23.487750000000002</v>
      </c>
      <c r="Q685">
        <f t="shared" si="82"/>
        <v>90.495867768595033</v>
      </c>
      <c r="R685">
        <f t="shared" si="83"/>
        <v>1</v>
      </c>
      <c r="S685">
        <f t="shared" si="84"/>
        <v>90.495867768595033</v>
      </c>
      <c r="T685" t="str">
        <f t="shared" si="85"/>
        <v>OK</v>
      </c>
      <c r="U685" t="str">
        <f t="shared" si="86"/>
        <v>OK</v>
      </c>
      <c r="V685" t="str">
        <f t="shared" si="87"/>
        <v>OK</v>
      </c>
    </row>
    <row r="686" spans="1:22" x14ac:dyDescent="0.45">
      <c r="A686" t="str">
        <v>SO-51058</v>
      </c>
      <c r="B686" t="str">
        <v>PL-CEN</v>
      </c>
      <c r="C686" t="str">
        <v>CD-TOL</v>
      </c>
      <c r="D686" t="str">
        <v>ABA-1000</v>
      </c>
      <c r="E686">
        <v>1300</v>
      </c>
      <c r="F686" s="1">
        <v>46174</v>
      </c>
      <c r="G686" t="str">
        <v>In Transit</v>
      </c>
      <c r="H686" t="str">
        <v>OK</v>
      </c>
      <c r="I686">
        <v>15.2</v>
      </c>
      <c r="J686">
        <v>135</v>
      </c>
      <c r="K686">
        <v>361</v>
      </c>
      <c r="L686" t="str">
        <v>OK</v>
      </c>
      <c r="M686">
        <v>3</v>
      </c>
      <c r="O686">
        <f t="shared" si="80"/>
        <v>9.6296296296296298</v>
      </c>
      <c r="P686">
        <f t="shared" si="81"/>
        <v>82.333333333333343</v>
      </c>
      <c r="Q686">
        <f t="shared" si="82"/>
        <v>29.180695847362514</v>
      </c>
      <c r="R686">
        <f t="shared" si="83"/>
        <v>1</v>
      </c>
      <c r="S686">
        <f t="shared" si="84"/>
        <v>82.333333333333343</v>
      </c>
      <c r="T686" t="str">
        <f t="shared" si="85"/>
        <v>OK</v>
      </c>
      <c r="U686" t="str">
        <f t="shared" si="86"/>
        <v>OK</v>
      </c>
      <c r="V686" t="str">
        <f t="shared" si="87"/>
        <v>OK</v>
      </c>
    </row>
    <row r="687" spans="1:22" x14ac:dyDescent="0.45">
      <c r="A687" t="str">
        <v>SO-50698</v>
      </c>
      <c r="B687" t="str">
        <v>PL-CEN</v>
      </c>
      <c r="C687" t="str">
        <v>CD-QRO</v>
      </c>
      <c r="D687" t="str">
        <v>LAC-1001</v>
      </c>
      <c r="E687">
        <v>2180</v>
      </c>
      <c r="F687" s="1">
        <v>46176</v>
      </c>
      <c r="G687" t="str">
        <v>In Transit</v>
      </c>
      <c r="H687" t="str">
        <v>OK</v>
      </c>
      <c r="I687">
        <v>7.51</v>
      </c>
      <c r="J687">
        <v>83</v>
      </c>
      <c r="K687">
        <v>18</v>
      </c>
      <c r="L687" t="str">
        <v>OK</v>
      </c>
      <c r="M687">
        <v>1</v>
      </c>
      <c r="O687">
        <f t="shared" si="80"/>
        <v>26.265060240963855</v>
      </c>
      <c r="P687">
        <f t="shared" si="81"/>
        <v>68.215833333333336</v>
      </c>
      <c r="Q687">
        <f t="shared" si="82"/>
        <v>79.5910916392844</v>
      </c>
      <c r="R687">
        <f t="shared" si="83"/>
        <v>1</v>
      </c>
      <c r="S687">
        <f t="shared" si="84"/>
        <v>79.5910916392844</v>
      </c>
      <c r="T687" t="str">
        <f t="shared" si="85"/>
        <v>OK</v>
      </c>
      <c r="U687" t="str">
        <f t="shared" si="86"/>
        <v>OK</v>
      </c>
      <c r="V687" t="str">
        <f t="shared" si="87"/>
        <v>OK</v>
      </c>
    </row>
    <row r="688" spans="1:22" x14ac:dyDescent="0.45">
      <c r="A688" t="str">
        <v>SO-51085</v>
      </c>
      <c r="B688" t="str">
        <v>PL-SUR</v>
      </c>
      <c r="C688" t="str">
        <v>CD-CAN</v>
      </c>
      <c r="D688" t="str">
        <v>BEB-1005</v>
      </c>
      <c r="E688">
        <v>1532</v>
      </c>
      <c r="F688" s="1">
        <v>46176</v>
      </c>
      <c r="G688" t="str">
        <v>In Transit</v>
      </c>
      <c r="H688" t="str">
        <v>OK</v>
      </c>
      <c r="I688">
        <v>14.2</v>
      </c>
      <c r="J688">
        <v>95</v>
      </c>
      <c r="K688">
        <v>277</v>
      </c>
      <c r="L688" t="str">
        <v>OK</v>
      </c>
      <c r="M688">
        <v>1</v>
      </c>
      <c r="O688">
        <f t="shared" si="80"/>
        <v>16.126315789473683</v>
      </c>
      <c r="P688">
        <f t="shared" si="81"/>
        <v>90.643333333333317</v>
      </c>
      <c r="Q688">
        <f t="shared" si="82"/>
        <v>48.867623604465706</v>
      </c>
      <c r="R688">
        <f t="shared" si="83"/>
        <v>1</v>
      </c>
      <c r="S688">
        <f t="shared" si="84"/>
        <v>90.643333333333317</v>
      </c>
      <c r="T688" t="str">
        <f t="shared" si="85"/>
        <v>OK</v>
      </c>
      <c r="U688" t="str">
        <f t="shared" si="86"/>
        <v>OK</v>
      </c>
      <c r="V688" t="str">
        <f t="shared" si="87"/>
        <v>OK</v>
      </c>
    </row>
    <row r="689" spans="1:22" x14ac:dyDescent="0.45">
      <c r="A689" t="str">
        <v>SO-50823</v>
      </c>
      <c r="B689" t="str">
        <v>PL-SUR</v>
      </c>
      <c r="C689" t="str">
        <v>CD-LEO</v>
      </c>
      <c r="D689" t="str">
        <v>LAC-1008</v>
      </c>
      <c r="E689">
        <v>801</v>
      </c>
      <c r="F689" s="1">
        <v>46176</v>
      </c>
      <c r="G689" t="str">
        <v>In Transit</v>
      </c>
      <c r="H689" t="str">
        <v>OK</v>
      </c>
      <c r="I689">
        <v>9.8000000000000007</v>
      </c>
      <c r="J689">
        <v>83</v>
      </c>
      <c r="K689">
        <v>15</v>
      </c>
      <c r="L689" t="str">
        <v>OK</v>
      </c>
      <c r="M689">
        <v>1</v>
      </c>
      <c r="O689">
        <f t="shared" si="80"/>
        <v>9.6506024096385534</v>
      </c>
      <c r="P689">
        <f t="shared" si="81"/>
        <v>32.707500000000003</v>
      </c>
      <c r="Q689">
        <f t="shared" si="82"/>
        <v>29.244249726177436</v>
      </c>
      <c r="R689">
        <f t="shared" si="83"/>
        <v>1</v>
      </c>
      <c r="S689">
        <f t="shared" si="84"/>
        <v>32.707500000000003</v>
      </c>
      <c r="T689" t="str">
        <f t="shared" si="85"/>
        <v>CARGA INEFICIENTE</v>
      </c>
      <c r="U689" t="str">
        <f t="shared" si="86"/>
        <v>OK</v>
      </c>
      <c r="V689" t="str">
        <f t="shared" si="87"/>
        <v>OK</v>
      </c>
    </row>
    <row r="690" spans="1:22" x14ac:dyDescent="0.45">
      <c r="A690" t="str">
        <v>SO-50706</v>
      </c>
      <c r="B690" t="str">
        <v>PL-CEN</v>
      </c>
      <c r="C690" t="str">
        <v>CD-VER</v>
      </c>
      <c r="D690" t="str">
        <v>ABA-1007</v>
      </c>
      <c r="E690">
        <v>2014</v>
      </c>
      <c r="F690" s="1">
        <v>46174</v>
      </c>
      <c r="G690" t="str">
        <v>In Transit</v>
      </c>
      <c r="H690" t="str">
        <v>OK</v>
      </c>
      <c r="I690">
        <v>9.7899999999999991</v>
      </c>
      <c r="J690">
        <v>123</v>
      </c>
      <c r="K690">
        <v>334</v>
      </c>
      <c r="L690" t="str">
        <v>OK</v>
      </c>
      <c r="M690">
        <v>3</v>
      </c>
      <c r="O690">
        <f t="shared" si="80"/>
        <v>16.373983739837399</v>
      </c>
      <c r="P690">
        <f t="shared" si="81"/>
        <v>82.154416666666648</v>
      </c>
      <c r="Q690">
        <f t="shared" si="82"/>
        <v>49.618132544961817</v>
      </c>
      <c r="R690">
        <f t="shared" si="83"/>
        <v>1</v>
      </c>
      <c r="S690">
        <f t="shared" si="84"/>
        <v>82.154416666666648</v>
      </c>
      <c r="T690" t="str">
        <f t="shared" si="85"/>
        <v>OK</v>
      </c>
      <c r="U690" t="str">
        <f t="shared" si="86"/>
        <v>OK</v>
      </c>
      <c r="V690" t="str">
        <f t="shared" si="87"/>
        <v>OK</v>
      </c>
    </row>
    <row r="691" spans="1:22" x14ac:dyDescent="0.45">
      <c r="A691" t="str">
        <v>SO-50665</v>
      </c>
      <c r="B691" t="str">
        <v>PL-NTE</v>
      </c>
      <c r="C691" t="str">
        <v>CD-TIJ</v>
      </c>
      <c r="D691" t="str">
        <v>PRO-1002</v>
      </c>
      <c r="E691">
        <v>2119</v>
      </c>
      <c r="F691" s="1">
        <v>46174</v>
      </c>
      <c r="G691" t="str">
        <v>In Transit</v>
      </c>
      <c r="H691" t="str">
        <v>OK</v>
      </c>
      <c r="I691">
        <v>9.6999999999999993</v>
      </c>
      <c r="J691">
        <v>98</v>
      </c>
      <c r="K691">
        <v>115</v>
      </c>
      <c r="L691" t="str">
        <v>OK</v>
      </c>
      <c r="M691">
        <v>3</v>
      </c>
      <c r="O691">
        <f t="shared" si="80"/>
        <v>21.622448979591837</v>
      </c>
      <c r="P691">
        <f t="shared" si="81"/>
        <v>85.642916666666665</v>
      </c>
      <c r="Q691">
        <f t="shared" si="82"/>
        <v>65.522572665429806</v>
      </c>
      <c r="R691">
        <f t="shared" si="83"/>
        <v>1</v>
      </c>
      <c r="S691">
        <f t="shared" si="84"/>
        <v>85.642916666666665</v>
      </c>
      <c r="T691" t="str">
        <f t="shared" si="85"/>
        <v>OK</v>
      </c>
      <c r="U691" t="str">
        <f t="shared" si="86"/>
        <v>OK</v>
      </c>
      <c r="V691" t="str">
        <f t="shared" si="87"/>
        <v>OK</v>
      </c>
    </row>
    <row r="692" spans="1:22" x14ac:dyDescent="0.45">
      <c r="A692" t="str">
        <v>SO-50933</v>
      </c>
      <c r="B692" t="str">
        <v>PL-CEN</v>
      </c>
      <c r="C692" t="str">
        <v>CD-QRO</v>
      </c>
      <c r="D692" t="str">
        <v>PRO-1012</v>
      </c>
      <c r="E692">
        <v>3074</v>
      </c>
      <c r="F692" s="1">
        <v>46175</v>
      </c>
      <c r="G692" t="str">
        <v>In Transit</v>
      </c>
      <c r="H692" t="str">
        <v>OK</v>
      </c>
      <c r="I692">
        <v>6.87</v>
      </c>
      <c r="J692">
        <v>101</v>
      </c>
      <c r="K692">
        <v>62</v>
      </c>
      <c r="L692" t="str">
        <v>OK</v>
      </c>
      <c r="M692">
        <v>2</v>
      </c>
      <c r="O692">
        <f t="shared" si="80"/>
        <v>30.435643564356436</v>
      </c>
      <c r="P692">
        <f t="shared" si="81"/>
        <v>87.993250000000003</v>
      </c>
      <c r="Q692">
        <f t="shared" si="82"/>
        <v>92.229222922292237</v>
      </c>
      <c r="R692">
        <f t="shared" si="83"/>
        <v>1</v>
      </c>
      <c r="S692">
        <f t="shared" si="84"/>
        <v>92.229222922292237</v>
      </c>
      <c r="T692" t="str">
        <f t="shared" si="85"/>
        <v>OK</v>
      </c>
      <c r="U692" t="str">
        <f t="shared" si="86"/>
        <v>OK</v>
      </c>
      <c r="V692" t="str">
        <f t="shared" si="87"/>
        <v>OK</v>
      </c>
    </row>
    <row r="693" spans="1:22" x14ac:dyDescent="0.45">
      <c r="A693" t="str">
        <v>SO-50127</v>
      </c>
      <c r="B693" t="str">
        <v>PL-NTE</v>
      </c>
      <c r="C693" t="str">
        <v>CD-MTY</v>
      </c>
      <c r="D693" t="str">
        <v>BEB-1000</v>
      </c>
      <c r="E693">
        <v>1349</v>
      </c>
      <c r="F693" s="1">
        <v>46176</v>
      </c>
      <c r="G693" t="str">
        <v>In Transit</v>
      </c>
      <c r="H693" t="str">
        <v>OK</v>
      </c>
      <c r="I693">
        <v>16.489999999999998</v>
      </c>
      <c r="J693">
        <v>102</v>
      </c>
      <c r="K693">
        <v>315</v>
      </c>
      <c r="L693" t="str">
        <v>OK</v>
      </c>
      <c r="M693">
        <v>1</v>
      </c>
      <c r="O693">
        <f t="shared" si="80"/>
        <v>13.225490196078431</v>
      </c>
      <c r="P693">
        <f t="shared" si="81"/>
        <v>92.687541666666661</v>
      </c>
      <c r="Q693">
        <f t="shared" si="82"/>
        <v>40.07724301841948</v>
      </c>
      <c r="R693">
        <f t="shared" si="83"/>
        <v>1</v>
      </c>
      <c r="S693">
        <f t="shared" si="84"/>
        <v>92.687541666666661</v>
      </c>
      <c r="T693" t="str">
        <f t="shared" si="85"/>
        <v>OK</v>
      </c>
      <c r="U693" t="str">
        <f t="shared" si="86"/>
        <v>OK</v>
      </c>
      <c r="V693" t="str">
        <f t="shared" si="87"/>
        <v>OK</v>
      </c>
    </row>
    <row r="694" spans="1:22" x14ac:dyDescent="0.45">
      <c r="A694" t="str">
        <v>SO-50539</v>
      </c>
      <c r="B694" t="str">
        <v>PL-CEN</v>
      </c>
      <c r="C694" t="str">
        <v>CD-QRO</v>
      </c>
      <c r="D694" t="str">
        <v>PRO-1005</v>
      </c>
      <c r="E694">
        <v>1209</v>
      </c>
      <c r="F694" s="1">
        <v>46175</v>
      </c>
      <c r="G694" t="str">
        <v>In Transit</v>
      </c>
      <c r="H694" t="str">
        <v>OK</v>
      </c>
      <c r="I694">
        <v>11.02</v>
      </c>
      <c r="J694">
        <v>69</v>
      </c>
      <c r="K694">
        <v>86</v>
      </c>
      <c r="L694" t="str">
        <v>OK</v>
      </c>
      <c r="M694">
        <v>2</v>
      </c>
      <c r="O694">
        <f t="shared" si="80"/>
        <v>17.521739130434781</v>
      </c>
      <c r="P694">
        <f t="shared" si="81"/>
        <v>55.513249999999999</v>
      </c>
      <c r="Q694">
        <f t="shared" si="82"/>
        <v>53.096179183135703</v>
      </c>
      <c r="R694">
        <f t="shared" si="83"/>
        <v>1</v>
      </c>
      <c r="S694">
        <f t="shared" si="84"/>
        <v>55.513249999999999</v>
      </c>
      <c r="T694" t="str">
        <f t="shared" si="85"/>
        <v>CARGA INEFICIENTE</v>
      </c>
      <c r="U694" t="str">
        <f t="shared" si="86"/>
        <v>OK</v>
      </c>
      <c r="V694" t="str">
        <f t="shared" si="87"/>
        <v>OK</v>
      </c>
    </row>
    <row r="695" spans="1:22" x14ac:dyDescent="0.45">
      <c r="A695" t="str">
        <v>SO-51057</v>
      </c>
      <c r="B695" t="str">
        <v>PL-CEN</v>
      </c>
      <c r="C695" t="str">
        <v>CD-TOL</v>
      </c>
      <c r="D695" t="str">
        <v>ABA-1005</v>
      </c>
      <c r="E695">
        <v>1447</v>
      </c>
      <c r="F695" s="1">
        <v>46175</v>
      </c>
      <c r="G695" t="str">
        <v>Delivered</v>
      </c>
      <c r="H695" t="str">
        <v>OK</v>
      </c>
      <c r="I695">
        <v>13.31</v>
      </c>
      <c r="J695">
        <v>89</v>
      </c>
      <c r="K695">
        <v>313</v>
      </c>
      <c r="L695" t="str">
        <v>OK</v>
      </c>
      <c r="M695">
        <v>2</v>
      </c>
      <c r="O695">
        <f t="shared" si="80"/>
        <v>16.258426966292134</v>
      </c>
      <c r="P695">
        <f t="shared" si="81"/>
        <v>80.248208333333338</v>
      </c>
      <c r="Q695">
        <f t="shared" si="82"/>
        <v>49.26796050391556</v>
      </c>
      <c r="R695">
        <f t="shared" si="83"/>
        <v>1</v>
      </c>
      <c r="S695">
        <f t="shared" si="84"/>
        <v>80.248208333333338</v>
      </c>
      <c r="T695" t="str">
        <f t="shared" si="85"/>
        <v>OK</v>
      </c>
      <c r="U695" t="str">
        <f t="shared" si="86"/>
        <v>OK</v>
      </c>
      <c r="V695" t="str">
        <f t="shared" si="87"/>
        <v>OK</v>
      </c>
    </row>
    <row r="696" spans="1:22" x14ac:dyDescent="0.45">
      <c r="A696" t="str">
        <v>SO-50770</v>
      </c>
      <c r="B696" t="str">
        <v>PL-CEN</v>
      </c>
      <c r="C696" t="str">
        <v>CD-QRO</v>
      </c>
      <c r="D696" t="str">
        <v>PRO-1015</v>
      </c>
      <c r="E696">
        <v>3239</v>
      </c>
      <c r="F696" s="1">
        <v>46175</v>
      </c>
      <c r="G696" t="str">
        <v>In Transit</v>
      </c>
      <c r="H696" t="str">
        <v>OK</v>
      </c>
      <c r="I696">
        <v>6.16</v>
      </c>
      <c r="J696">
        <v>104</v>
      </c>
      <c r="K696">
        <v>67</v>
      </c>
      <c r="L696" t="str">
        <v>OK</v>
      </c>
      <c r="M696">
        <v>2</v>
      </c>
      <c r="O696">
        <f t="shared" si="80"/>
        <v>31.14423076923077</v>
      </c>
      <c r="P696">
        <f t="shared" si="81"/>
        <v>83.134333333333345</v>
      </c>
      <c r="Q696">
        <f t="shared" si="82"/>
        <v>94.376456876456885</v>
      </c>
      <c r="R696">
        <f t="shared" si="83"/>
        <v>1</v>
      </c>
      <c r="S696">
        <f t="shared" si="84"/>
        <v>94.376456876456885</v>
      </c>
      <c r="T696" t="str">
        <f t="shared" si="85"/>
        <v>OK</v>
      </c>
      <c r="U696" t="str">
        <f t="shared" si="86"/>
        <v>OK</v>
      </c>
      <c r="V696" t="str">
        <f t="shared" si="87"/>
        <v>OK</v>
      </c>
    </row>
    <row r="697" spans="1:22" x14ac:dyDescent="0.45">
      <c r="A697" t="str">
        <v>SO-50551</v>
      </c>
      <c r="B697" t="str">
        <v>PL-NTE</v>
      </c>
      <c r="C697" t="str">
        <v>CD-TIJ</v>
      </c>
      <c r="D697" t="str">
        <v>ABA-1001</v>
      </c>
      <c r="E697">
        <v>722</v>
      </c>
      <c r="F697" s="1">
        <v>46174</v>
      </c>
      <c r="G697" t="str">
        <v>In Transit</v>
      </c>
      <c r="H697" t="str">
        <v>OK</v>
      </c>
      <c r="I697">
        <v>0</v>
      </c>
      <c r="J697">
        <v>100</v>
      </c>
      <c r="K697">
        <v>512</v>
      </c>
      <c r="L697" t="str">
        <v>OK</v>
      </c>
      <c r="M697">
        <v>3</v>
      </c>
      <c r="O697">
        <f t="shared" si="80"/>
        <v>7.22</v>
      </c>
      <c r="P697">
        <f t="shared" si="81"/>
        <v>0</v>
      </c>
      <c r="Q697">
        <f t="shared" si="82"/>
        <v>21.878787878787879</v>
      </c>
      <c r="R697">
        <f t="shared" si="83"/>
        <v>1</v>
      </c>
      <c r="S697">
        <f t="shared" si="84"/>
        <v>21.878787878787879</v>
      </c>
      <c r="T697" t="str">
        <f t="shared" si="85"/>
        <v>CARGA INEFICIENTE</v>
      </c>
      <c r="U697" t="str">
        <f t="shared" si="86"/>
        <v>OK</v>
      </c>
      <c r="V697" t="str">
        <f t="shared" si="87"/>
        <v>OK</v>
      </c>
    </row>
    <row r="698" spans="1:22" x14ac:dyDescent="0.45">
      <c r="A698" t="str">
        <v>SO-50607</v>
      </c>
      <c r="B698" t="str">
        <v>PL-NTE</v>
      </c>
      <c r="C698" t="str">
        <v>CD-MTY</v>
      </c>
      <c r="D698" t="str">
        <v>ABA-1015</v>
      </c>
      <c r="E698">
        <v>1209</v>
      </c>
      <c r="F698" s="1">
        <v>46176</v>
      </c>
      <c r="G698" t="str">
        <v>In Transit</v>
      </c>
      <c r="H698" t="str">
        <v>OK</v>
      </c>
      <c r="I698">
        <v>8.19</v>
      </c>
      <c r="J698">
        <v>82</v>
      </c>
      <c r="K698">
        <v>317</v>
      </c>
      <c r="L698" t="str">
        <v>OK</v>
      </c>
      <c r="M698">
        <v>1</v>
      </c>
      <c r="O698">
        <f t="shared" si="80"/>
        <v>14.74390243902439</v>
      </c>
      <c r="P698">
        <f t="shared" si="81"/>
        <v>41.257124999999995</v>
      </c>
      <c r="Q698">
        <f t="shared" si="82"/>
        <v>44.67849223946785</v>
      </c>
      <c r="R698">
        <f t="shared" si="83"/>
        <v>1</v>
      </c>
      <c r="S698">
        <f t="shared" si="84"/>
        <v>44.67849223946785</v>
      </c>
      <c r="T698" t="str">
        <f t="shared" si="85"/>
        <v>CARGA INEFICIENTE</v>
      </c>
      <c r="U698" t="str">
        <f t="shared" si="86"/>
        <v>OK</v>
      </c>
      <c r="V698" t="str">
        <f t="shared" si="87"/>
        <v>OK</v>
      </c>
    </row>
    <row r="699" spans="1:22" x14ac:dyDescent="0.45">
      <c r="A699" t="str">
        <v>SO-50642</v>
      </c>
      <c r="B699" t="str">
        <v>PL-CEN</v>
      </c>
      <c r="C699" t="str">
        <v>CD-VER</v>
      </c>
      <c r="D699" t="str">
        <v>XXX-8916</v>
      </c>
      <c r="E699">
        <v>2624</v>
      </c>
      <c r="F699" s="1">
        <v>46174</v>
      </c>
      <c r="G699" t="str">
        <v>In Transit</v>
      </c>
      <c r="H699" t="str">
        <v>OK</v>
      </c>
      <c r="I699">
        <v>0</v>
      </c>
      <c r="J699">
        <v>0</v>
      </c>
      <c r="K699">
        <v>0</v>
      </c>
      <c r="L699" t="str">
        <v>HUERFANO</v>
      </c>
      <c r="M699">
        <v>3</v>
      </c>
      <c r="O699" t="str">
        <f t="shared" si="80"/>
        <v>n/a</v>
      </c>
      <c r="P699" t="str">
        <f t="shared" si="81"/>
        <v>n/a</v>
      </c>
      <c r="Q699" t="str">
        <f t="shared" si="82"/>
        <v>n/a</v>
      </c>
      <c r="R699" t="str">
        <f t="shared" si="83"/>
        <v>n/a</v>
      </c>
      <c r="S699" t="str">
        <f t="shared" si="84"/>
        <v>n/a</v>
      </c>
      <c r="T699" t="str">
        <f t="shared" si="85"/>
        <v>n/a</v>
      </c>
      <c r="U699" t="str">
        <f t="shared" si="86"/>
        <v>n/a</v>
      </c>
      <c r="V699" t="str">
        <f t="shared" si="87"/>
        <v>n/a</v>
      </c>
    </row>
    <row r="700" spans="1:22" x14ac:dyDescent="0.45">
      <c r="A700" t="str">
        <v>SO-50426</v>
      </c>
      <c r="B700" t="str">
        <v>PL-CEN</v>
      </c>
      <c r="C700" t="str">
        <v>CD-CDMX</v>
      </c>
      <c r="D700" t="str">
        <v>BOT-1000</v>
      </c>
      <c r="E700">
        <v>1881</v>
      </c>
      <c r="F700" s="1">
        <v>46176</v>
      </c>
      <c r="G700" t="str">
        <v>In Transit</v>
      </c>
      <c r="H700" t="str">
        <v>OK</v>
      </c>
      <c r="I700">
        <v>3.56</v>
      </c>
      <c r="J700">
        <v>64</v>
      </c>
      <c r="K700">
        <v>92</v>
      </c>
      <c r="L700" t="str">
        <v>OK</v>
      </c>
      <c r="M700">
        <v>1</v>
      </c>
      <c r="O700">
        <f t="shared" si="80"/>
        <v>29.390625</v>
      </c>
      <c r="P700">
        <f t="shared" si="81"/>
        <v>27.901500000000002</v>
      </c>
      <c r="Q700">
        <f t="shared" si="82"/>
        <v>89.0625</v>
      </c>
      <c r="R700">
        <f t="shared" si="83"/>
        <v>1</v>
      </c>
      <c r="S700">
        <f t="shared" si="84"/>
        <v>89.0625</v>
      </c>
      <c r="T700" t="str">
        <f t="shared" si="85"/>
        <v>OK</v>
      </c>
      <c r="U700" t="str">
        <f t="shared" si="86"/>
        <v>OK</v>
      </c>
      <c r="V700" t="str">
        <f t="shared" si="87"/>
        <v>OK</v>
      </c>
    </row>
    <row r="701" spans="1:22" x14ac:dyDescent="0.45">
      <c r="A701" t="str">
        <v>SO-50375</v>
      </c>
      <c r="B701" t="str">
        <v>PL-CEN</v>
      </c>
      <c r="C701" t="str">
        <v>CD-VER</v>
      </c>
      <c r="D701" t="str">
        <v>BOT-1012</v>
      </c>
      <c r="E701">
        <v>1798</v>
      </c>
      <c r="F701" s="1">
        <v>46174</v>
      </c>
      <c r="G701" t="str">
        <v>In Transit</v>
      </c>
      <c r="H701" t="str">
        <v>OK</v>
      </c>
      <c r="I701">
        <v>4.26</v>
      </c>
      <c r="J701">
        <v>68</v>
      </c>
      <c r="K701">
        <v>117</v>
      </c>
      <c r="L701" t="str">
        <v>OK</v>
      </c>
      <c r="M701">
        <v>3</v>
      </c>
      <c r="O701">
        <f t="shared" si="80"/>
        <v>26.441176470588236</v>
      </c>
      <c r="P701">
        <f t="shared" si="81"/>
        <v>31.914499999999997</v>
      </c>
      <c r="Q701">
        <f t="shared" si="82"/>
        <v>80.124777183600713</v>
      </c>
      <c r="R701">
        <f t="shared" si="83"/>
        <v>1</v>
      </c>
      <c r="S701">
        <f t="shared" si="84"/>
        <v>80.124777183600713</v>
      </c>
      <c r="T701" t="str">
        <f t="shared" si="85"/>
        <v>OK</v>
      </c>
      <c r="U701" t="str">
        <f t="shared" si="86"/>
        <v>OK</v>
      </c>
      <c r="V701" t="str">
        <f t="shared" si="87"/>
        <v>OK</v>
      </c>
    </row>
    <row r="702" spans="1:22" x14ac:dyDescent="0.45">
      <c r="A702" t="str">
        <v>SO-50267</v>
      </c>
      <c r="B702" t="str">
        <v>PL-SUR</v>
      </c>
      <c r="C702" t="str">
        <v>CD-LEO</v>
      </c>
      <c r="D702" t="str">
        <v>ABA-1002</v>
      </c>
      <c r="E702">
        <v>1249</v>
      </c>
      <c r="F702" s="1">
        <v>46175</v>
      </c>
      <c r="G702" t="str">
        <v>In Transit</v>
      </c>
      <c r="H702" t="str">
        <v>OK</v>
      </c>
      <c r="I702">
        <v>15.1</v>
      </c>
      <c r="J702">
        <v>74</v>
      </c>
      <c r="K702">
        <v>443</v>
      </c>
      <c r="L702" t="str">
        <v>OK</v>
      </c>
      <c r="M702">
        <v>2</v>
      </c>
      <c r="O702">
        <f t="shared" si="80"/>
        <v>16.878378378378379</v>
      </c>
      <c r="P702">
        <f t="shared" si="81"/>
        <v>78.582916666666662</v>
      </c>
      <c r="Q702">
        <f t="shared" si="82"/>
        <v>51.146601146601142</v>
      </c>
      <c r="R702">
        <f t="shared" si="83"/>
        <v>1</v>
      </c>
      <c r="S702">
        <f t="shared" si="84"/>
        <v>78.582916666666662</v>
      </c>
      <c r="T702" t="str">
        <f t="shared" si="85"/>
        <v>OK</v>
      </c>
      <c r="U702" t="str">
        <f t="shared" si="86"/>
        <v>OK</v>
      </c>
      <c r="V702" t="str">
        <f t="shared" si="87"/>
        <v>OK</v>
      </c>
    </row>
    <row r="703" spans="1:22" x14ac:dyDescent="0.45">
      <c r="A703" t="str">
        <v>SO-50144</v>
      </c>
      <c r="B703" t="str">
        <v>PL-SUR</v>
      </c>
      <c r="C703" t="str">
        <v>CD-CAN</v>
      </c>
      <c r="D703" t="str">
        <v>BOT-1023</v>
      </c>
      <c r="E703">
        <v>622</v>
      </c>
      <c r="F703" s="1">
        <v>46176</v>
      </c>
      <c r="G703" t="str">
        <v>In Transit</v>
      </c>
      <c r="H703" t="str">
        <v>OK</v>
      </c>
      <c r="I703">
        <v>4.29</v>
      </c>
      <c r="J703">
        <v>44</v>
      </c>
      <c r="K703">
        <v>111</v>
      </c>
      <c r="L703" t="str">
        <v>OK</v>
      </c>
      <c r="M703">
        <v>1</v>
      </c>
      <c r="O703">
        <f t="shared" si="80"/>
        <v>14.136363636363637</v>
      </c>
      <c r="P703">
        <f t="shared" si="81"/>
        <v>11.11825</v>
      </c>
      <c r="Q703">
        <f t="shared" si="82"/>
        <v>42.837465564738295</v>
      </c>
      <c r="R703">
        <f t="shared" si="83"/>
        <v>1</v>
      </c>
      <c r="S703">
        <f t="shared" si="84"/>
        <v>42.837465564738295</v>
      </c>
      <c r="T703" t="str">
        <f t="shared" si="85"/>
        <v>CARGA INEFICIENTE</v>
      </c>
      <c r="U703" t="str">
        <f t="shared" si="86"/>
        <v>OK</v>
      </c>
      <c r="V703" t="str">
        <f t="shared" si="87"/>
        <v>OK</v>
      </c>
    </row>
    <row r="704" spans="1:22" x14ac:dyDescent="0.45">
      <c r="A704" t="str">
        <v>SO-51061</v>
      </c>
      <c r="B704" t="str">
        <v>PL-NTE</v>
      </c>
      <c r="C704" t="str">
        <v>CD-MTY</v>
      </c>
      <c r="D704" t="str">
        <v>ABA-1017</v>
      </c>
      <c r="E704">
        <v>2046</v>
      </c>
      <c r="F704" s="1">
        <v>46175</v>
      </c>
      <c r="G704" t="str">
        <v>In Transit</v>
      </c>
      <c r="H704" t="str">
        <v>OK</v>
      </c>
      <c r="I704">
        <v>10.96</v>
      </c>
      <c r="J704">
        <v>128</v>
      </c>
      <c r="K704">
        <v>520</v>
      </c>
      <c r="L704" t="str">
        <v>OK</v>
      </c>
      <c r="M704">
        <v>2</v>
      </c>
      <c r="O704">
        <f t="shared" si="80"/>
        <v>15.984375</v>
      </c>
      <c r="P704">
        <f t="shared" si="81"/>
        <v>93.434000000000012</v>
      </c>
      <c r="Q704">
        <f t="shared" si="82"/>
        <v>48.4375</v>
      </c>
      <c r="R704">
        <f t="shared" si="83"/>
        <v>1</v>
      </c>
      <c r="S704">
        <f t="shared" si="84"/>
        <v>93.434000000000012</v>
      </c>
      <c r="T704" t="str">
        <f t="shared" si="85"/>
        <v>OK</v>
      </c>
      <c r="U704" t="str">
        <f t="shared" si="86"/>
        <v>OK</v>
      </c>
      <c r="V704" t="str">
        <f t="shared" si="87"/>
        <v>OK</v>
      </c>
    </row>
    <row r="705" spans="1:22" x14ac:dyDescent="0.45">
      <c r="A705" t="str">
        <v>SO-51031</v>
      </c>
      <c r="B705" t="str">
        <v>PL-SUR</v>
      </c>
      <c r="C705" t="str">
        <v>CD-LEO</v>
      </c>
      <c r="D705" t="str">
        <v>LAC-1015</v>
      </c>
      <c r="E705">
        <v>1718</v>
      </c>
      <c r="F705" s="1">
        <v>46160</v>
      </c>
      <c r="G705" t="str">
        <v>In Transit</v>
      </c>
      <c r="H705" t="str">
        <v>OK</v>
      </c>
      <c r="I705">
        <v>11.26</v>
      </c>
      <c r="J705">
        <v>129</v>
      </c>
      <c r="K705">
        <v>24</v>
      </c>
      <c r="L705" t="str">
        <v>OK</v>
      </c>
      <c r="M705">
        <v>17</v>
      </c>
      <c r="O705">
        <f t="shared" si="80"/>
        <v>13.317829457364342</v>
      </c>
      <c r="P705">
        <f t="shared" si="81"/>
        <v>80.602833333333336</v>
      </c>
      <c r="Q705">
        <f t="shared" si="82"/>
        <v>40.357058961710123</v>
      </c>
      <c r="R705">
        <f t="shared" si="83"/>
        <v>1</v>
      </c>
      <c r="S705">
        <f t="shared" si="84"/>
        <v>80.602833333333336</v>
      </c>
      <c r="T705" t="str">
        <f t="shared" si="85"/>
        <v>OK</v>
      </c>
      <c r="U705" t="str">
        <f t="shared" si="86"/>
        <v>FEFO RIESGO</v>
      </c>
      <c r="V705" t="str">
        <f t="shared" si="87"/>
        <v>FANTASMA</v>
      </c>
    </row>
    <row r="706" spans="1:22" x14ac:dyDescent="0.45">
      <c r="A706" t="str">
        <v>SO-50108</v>
      </c>
      <c r="B706" t="str">
        <v>PL-SUR</v>
      </c>
      <c r="C706" t="str">
        <v>CD-MOR</v>
      </c>
      <c r="D706" t="str">
        <v>BOT-1016</v>
      </c>
      <c r="E706">
        <v>1196</v>
      </c>
      <c r="F706" s="1">
        <v>46176</v>
      </c>
      <c r="G706" t="str">
        <v>In Transit</v>
      </c>
      <c r="H706" t="str">
        <v>OK</v>
      </c>
      <c r="I706">
        <v>5.53</v>
      </c>
      <c r="J706">
        <v>42</v>
      </c>
      <c r="K706">
        <v>114</v>
      </c>
      <c r="L706" t="str">
        <v>OK</v>
      </c>
      <c r="M706">
        <v>1</v>
      </c>
      <c r="O706">
        <f t="shared" si="80"/>
        <v>28.476190476190474</v>
      </c>
      <c r="P706">
        <f t="shared" si="81"/>
        <v>27.557833333333331</v>
      </c>
      <c r="Q706">
        <f t="shared" si="82"/>
        <v>86.291486291486279</v>
      </c>
      <c r="R706">
        <f t="shared" si="83"/>
        <v>1</v>
      </c>
      <c r="S706">
        <f t="shared" si="84"/>
        <v>86.291486291486279</v>
      </c>
      <c r="T706" t="str">
        <f t="shared" si="85"/>
        <v>OK</v>
      </c>
      <c r="U706" t="str">
        <f t="shared" si="86"/>
        <v>OK</v>
      </c>
      <c r="V706" t="str">
        <f t="shared" si="87"/>
        <v>OK</v>
      </c>
    </row>
    <row r="707" spans="1:22" x14ac:dyDescent="0.45">
      <c r="A707" t="str">
        <v>SO-50122</v>
      </c>
      <c r="B707" t="str">
        <v>PL-SUR</v>
      </c>
      <c r="C707" t="str">
        <v>CD-MER</v>
      </c>
      <c r="D707" t="str">
        <v>BOT-1011</v>
      </c>
      <c r="E707">
        <v>2796</v>
      </c>
      <c r="F707" s="1">
        <v>46173</v>
      </c>
      <c r="G707" t="str">
        <v>In Transit</v>
      </c>
      <c r="H707" t="str">
        <v>OK</v>
      </c>
      <c r="I707">
        <v>3.43</v>
      </c>
      <c r="J707">
        <v>88</v>
      </c>
      <c r="K707">
        <v>109</v>
      </c>
      <c r="L707" t="str">
        <v>OK</v>
      </c>
      <c r="M707">
        <v>4</v>
      </c>
      <c r="O707">
        <f t="shared" ref="O707:O770" si="88">IF(L707="HUERFANO","n/a",IF(ISNUMBER(J707),E707/J707,"n/a"))</f>
        <v>31.772727272727273</v>
      </c>
      <c r="P707">
        <f t="shared" ref="P707:P770" si="89">IF(L707="HUERFANO","n/a",IFERROR(E707*I707/24000*100,""))</f>
        <v>39.959500000000006</v>
      </c>
      <c r="Q707">
        <f t="shared" ref="Q707:Q770" si="90">IF(L707="HUERFANO","n/a",IFERROR(O707/33*100,""))</f>
        <v>96.280991735537185</v>
      </c>
      <c r="R707">
        <f t="shared" ref="R707:R770" si="91">IF(L707="HUERFANO","n/a",IFERROR(MAX(CEILING(P707/100,1),CEILING(Q707/100,1)),""))</f>
        <v>1</v>
      </c>
      <c r="S707">
        <f t="shared" ref="S707:S770" si="92">IF(L707="HUERFANO","n/a",IFERROR(MAX(P707,Q707)/(R707*100)*100,""))</f>
        <v>96.280991735537185</v>
      </c>
      <c r="T707" t="str">
        <f t="shared" ref="T707:T770" si="93">IF(L707="HUERFANO","n/a",IF(S707&lt;75,"CARGA INEFICIENTE","OK"))</f>
        <v>OK</v>
      </c>
      <c r="U707" t="str">
        <f t="shared" ref="U707:U770" si="94">IF(L707="HUERFANO","n/a",IF(AND(LEFT(D707,3)="LAC",(K707-M707)/K707*100&lt;70),"FEFO RIESGO","OK"))</f>
        <v>OK</v>
      </c>
      <c r="V707" t="str">
        <f t="shared" ref="V707:V770" si="95">IF(L707="HUERFANO","n/a",IF(AND(G707="In Transit",M707&gt;5),"FANTASMA","OK"))</f>
        <v>OK</v>
      </c>
    </row>
    <row r="708" spans="1:22" x14ac:dyDescent="0.45">
      <c r="A708" t="str">
        <v>SO-50193</v>
      </c>
      <c r="B708" t="str">
        <v>PL-SUR</v>
      </c>
      <c r="C708" t="str">
        <v>CD-MOR</v>
      </c>
      <c r="D708" t="str">
        <v>PRO-1010</v>
      </c>
      <c r="E708">
        <v>2719</v>
      </c>
      <c r="F708" s="1">
        <v>46175</v>
      </c>
      <c r="G708" t="str">
        <v>In Transit</v>
      </c>
      <c r="H708" t="str">
        <v>OK</v>
      </c>
      <c r="I708">
        <v>7.76</v>
      </c>
      <c r="J708">
        <v>86</v>
      </c>
      <c r="K708">
        <v>112</v>
      </c>
      <c r="L708" t="str">
        <v>OK</v>
      </c>
      <c r="M708">
        <v>2</v>
      </c>
      <c r="O708">
        <f t="shared" si="88"/>
        <v>31.61627906976744</v>
      </c>
      <c r="P708">
        <f t="shared" si="89"/>
        <v>87.914333333333332</v>
      </c>
      <c r="Q708">
        <f t="shared" si="90"/>
        <v>95.806906272022559</v>
      </c>
      <c r="R708">
        <f t="shared" si="91"/>
        <v>1</v>
      </c>
      <c r="S708">
        <f t="shared" si="92"/>
        <v>95.806906272022559</v>
      </c>
      <c r="T708" t="str">
        <f t="shared" si="93"/>
        <v>OK</v>
      </c>
      <c r="U708" t="str">
        <f t="shared" si="94"/>
        <v>OK</v>
      </c>
      <c r="V708" t="str">
        <f t="shared" si="95"/>
        <v>OK</v>
      </c>
    </row>
    <row r="709" spans="1:22" x14ac:dyDescent="0.45">
      <c r="A709" t="str">
        <v>SO-50084</v>
      </c>
      <c r="B709" t="str">
        <v>PL-CEN</v>
      </c>
      <c r="C709" t="str">
        <v>CD-VER</v>
      </c>
      <c r="D709" t="str">
        <v>BEB-1010</v>
      </c>
      <c r="E709">
        <v>1773</v>
      </c>
      <c r="F709" s="1">
        <v>46174</v>
      </c>
      <c r="G709" t="str">
        <v>In Transit</v>
      </c>
      <c r="H709" t="str">
        <v>OK</v>
      </c>
      <c r="I709">
        <v>0</v>
      </c>
      <c r="J709">
        <v>71</v>
      </c>
      <c r="K709">
        <v>192</v>
      </c>
      <c r="L709" t="str">
        <v>OK</v>
      </c>
      <c r="M709">
        <v>3</v>
      </c>
      <c r="O709">
        <f t="shared" si="88"/>
        <v>24.971830985915492</v>
      </c>
      <c r="P709">
        <f t="shared" si="89"/>
        <v>0</v>
      </c>
      <c r="Q709">
        <f t="shared" si="90"/>
        <v>75.672215108834834</v>
      </c>
      <c r="R709">
        <f t="shared" si="91"/>
        <v>1</v>
      </c>
      <c r="S709">
        <f t="shared" si="92"/>
        <v>75.672215108834834</v>
      </c>
      <c r="T709" t="str">
        <f t="shared" si="93"/>
        <v>OK</v>
      </c>
      <c r="U709" t="str">
        <f t="shared" si="94"/>
        <v>OK</v>
      </c>
      <c r="V709" t="str">
        <f t="shared" si="95"/>
        <v>OK</v>
      </c>
    </row>
    <row r="710" spans="1:22" x14ac:dyDescent="0.45">
      <c r="A710" t="str">
        <v>SO-50920</v>
      </c>
      <c r="B710" t="str">
        <v>PL-CEN</v>
      </c>
      <c r="C710" t="str">
        <v>CD-TOL</v>
      </c>
      <c r="D710" t="str">
        <v>ABA-1001</v>
      </c>
      <c r="E710">
        <v>1848</v>
      </c>
      <c r="F710" s="1">
        <v>46176</v>
      </c>
      <c r="G710" t="str">
        <v>In Transit</v>
      </c>
      <c r="H710" t="str">
        <v>OK</v>
      </c>
      <c r="I710">
        <v>0</v>
      </c>
      <c r="J710">
        <v>100</v>
      </c>
      <c r="K710">
        <v>512</v>
      </c>
      <c r="L710" t="str">
        <v>OK</v>
      </c>
      <c r="M710">
        <v>1</v>
      </c>
      <c r="O710">
        <f t="shared" si="88"/>
        <v>18.48</v>
      </c>
      <c r="P710">
        <f t="shared" si="89"/>
        <v>0</v>
      </c>
      <c r="Q710">
        <f t="shared" si="90"/>
        <v>56.000000000000007</v>
      </c>
      <c r="R710">
        <f t="shared" si="91"/>
        <v>1</v>
      </c>
      <c r="S710">
        <f t="shared" si="92"/>
        <v>56.000000000000007</v>
      </c>
      <c r="T710" t="str">
        <f t="shared" si="93"/>
        <v>CARGA INEFICIENTE</v>
      </c>
      <c r="U710" t="str">
        <f t="shared" si="94"/>
        <v>OK</v>
      </c>
      <c r="V710" t="str">
        <f t="shared" si="95"/>
        <v>OK</v>
      </c>
    </row>
    <row r="711" spans="1:22" x14ac:dyDescent="0.45">
      <c r="A711" t="str">
        <v>SO-50734</v>
      </c>
      <c r="B711" t="str">
        <v>PL-NTE</v>
      </c>
      <c r="C711" t="str">
        <v>CD-SAL</v>
      </c>
      <c r="D711" t="str">
        <v>PRO-1003</v>
      </c>
      <c r="E711">
        <v>1380</v>
      </c>
      <c r="F711" s="1">
        <v>46175</v>
      </c>
      <c r="G711" t="str">
        <v>In Transit</v>
      </c>
      <c r="H711" t="str">
        <v>OK</v>
      </c>
      <c r="I711">
        <v>13.9</v>
      </c>
      <c r="J711">
        <v>69</v>
      </c>
      <c r="K711">
        <v>106</v>
      </c>
      <c r="L711" t="str">
        <v>OK</v>
      </c>
      <c r="M711">
        <v>2</v>
      </c>
      <c r="O711">
        <f t="shared" si="88"/>
        <v>20</v>
      </c>
      <c r="P711">
        <f t="shared" si="89"/>
        <v>79.924999999999997</v>
      </c>
      <c r="Q711">
        <f t="shared" si="90"/>
        <v>60.606060606060609</v>
      </c>
      <c r="R711">
        <f t="shared" si="91"/>
        <v>1</v>
      </c>
      <c r="S711">
        <f t="shared" si="92"/>
        <v>79.924999999999997</v>
      </c>
      <c r="T711" t="str">
        <f t="shared" si="93"/>
        <v>OK</v>
      </c>
      <c r="U711" t="str">
        <f t="shared" si="94"/>
        <v>OK</v>
      </c>
      <c r="V711" t="str">
        <f t="shared" si="95"/>
        <v>OK</v>
      </c>
    </row>
    <row r="712" spans="1:22" x14ac:dyDescent="0.45">
      <c r="A712" t="str">
        <v>SO-50087</v>
      </c>
      <c r="B712" t="str">
        <v>PL-CEN</v>
      </c>
      <c r="C712" t="str">
        <v>CD-TOL</v>
      </c>
      <c r="D712" t="str">
        <v>BOT-1018</v>
      </c>
      <c r="E712">
        <v>2398</v>
      </c>
      <c r="F712" s="1">
        <v>46176</v>
      </c>
      <c r="G712" t="str">
        <v>In Transit</v>
      </c>
      <c r="H712" t="str">
        <v>OK</v>
      </c>
      <c r="I712">
        <v>6.23</v>
      </c>
      <c r="J712">
        <v>78</v>
      </c>
      <c r="K712">
        <v>99</v>
      </c>
      <c r="L712" t="str">
        <v>OK</v>
      </c>
      <c r="M712">
        <v>1</v>
      </c>
      <c r="O712">
        <f t="shared" si="88"/>
        <v>30.743589743589745</v>
      </c>
      <c r="P712">
        <f t="shared" si="89"/>
        <v>62.248083333333341</v>
      </c>
      <c r="Q712">
        <f t="shared" si="90"/>
        <v>93.162393162393158</v>
      </c>
      <c r="R712">
        <f t="shared" si="91"/>
        <v>1</v>
      </c>
      <c r="S712">
        <f t="shared" si="92"/>
        <v>93.162393162393158</v>
      </c>
      <c r="T712" t="str">
        <f t="shared" si="93"/>
        <v>OK</v>
      </c>
      <c r="U712" t="str">
        <f t="shared" si="94"/>
        <v>OK</v>
      </c>
      <c r="V712" t="str">
        <f t="shared" si="95"/>
        <v>OK</v>
      </c>
    </row>
    <row r="713" spans="1:22" x14ac:dyDescent="0.45">
      <c r="A713" t="str">
        <v>SO-50086</v>
      </c>
      <c r="B713" t="str">
        <v>PL-CEN</v>
      </c>
      <c r="C713" t="str">
        <v>CD-VER</v>
      </c>
      <c r="D713" t="str">
        <v>ABA-1008</v>
      </c>
      <c r="E713">
        <v>1787</v>
      </c>
      <c r="F713" s="1">
        <v>46174</v>
      </c>
      <c r="G713" t="str">
        <v>In Transit</v>
      </c>
      <c r="H713" t="str">
        <v>OK</v>
      </c>
      <c r="I713">
        <v>10.6</v>
      </c>
      <c r="J713">
        <v>96</v>
      </c>
      <c r="K713">
        <v>445</v>
      </c>
      <c r="L713" t="str">
        <v>OK</v>
      </c>
      <c r="M713">
        <v>3</v>
      </c>
      <c r="O713">
        <f t="shared" si="88"/>
        <v>18.614583333333332</v>
      </c>
      <c r="P713">
        <f t="shared" si="89"/>
        <v>78.925833333333344</v>
      </c>
      <c r="Q713">
        <f t="shared" si="90"/>
        <v>56.407828282828277</v>
      </c>
      <c r="R713">
        <f t="shared" si="91"/>
        <v>1</v>
      </c>
      <c r="S713">
        <f t="shared" si="92"/>
        <v>78.925833333333344</v>
      </c>
      <c r="T713" t="str">
        <f t="shared" si="93"/>
        <v>OK</v>
      </c>
      <c r="U713" t="str">
        <f t="shared" si="94"/>
        <v>OK</v>
      </c>
      <c r="V713" t="str">
        <f t="shared" si="95"/>
        <v>OK</v>
      </c>
    </row>
    <row r="714" spans="1:22" x14ac:dyDescent="0.45">
      <c r="A714" t="str">
        <v>SO-50570</v>
      </c>
      <c r="B714" t="str">
        <v>PL-CEN</v>
      </c>
      <c r="C714" t="str">
        <v>CD-QRO</v>
      </c>
      <c r="D714" t="str">
        <v>BOT-1022</v>
      </c>
      <c r="E714">
        <v>818</v>
      </c>
      <c r="F714" s="1">
        <v>46175</v>
      </c>
      <c r="G714" t="str">
        <v>In Transit</v>
      </c>
      <c r="H714" t="str">
        <v>OK</v>
      </c>
      <c r="I714">
        <v>3.48</v>
      </c>
      <c r="J714">
        <v>55</v>
      </c>
      <c r="K714">
        <v>118</v>
      </c>
      <c r="L714" t="str">
        <v>OK</v>
      </c>
      <c r="M714">
        <v>2</v>
      </c>
      <c r="O714">
        <f t="shared" si="88"/>
        <v>14.872727272727273</v>
      </c>
      <c r="P714">
        <f t="shared" si="89"/>
        <v>11.860999999999999</v>
      </c>
      <c r="Q714">
        <f t="shared" si="90"/>
        <v>45.068870523415974</v>
      </c>
      <c r="R714">
        <f t="shared" si="91"/>
        <v>1</v>
      </c>
      <c r="S714">
        <f t="shared" si="92"/>
        <v>45.068870523415974</v>
      </c>
      <c r="T714" t="str">
        <f t="shared" si="93"/>
        <v>CARGA INEFICIENTE</v>
      </c>
      <c r="U714" t="str">
        <f t="shared" si="94"/>
        <v>OK</v>
      </c>
      <c r="V714" t="str">
        <f t="shared" si="95"/>
        <v>OK</v>
      </c>
    </row>
    <row r="715" spans="1:22" x14ac:dyDescent="0.45">
      <c r="A715" t="str">
        <v>SO-50522</v>
      </c>
      <c r="B715" t="str">
        <v>PL-CEN</v>
      </c>
      <c r="C715" t="str">
        <v>CD-TOL</v>
      </c>
      <c r="D715" t="str">
        <v>BEB-1004</v>
      </c>
      <c r="E715">
        <v>547</v>
      </c>
      <c r="F715" s="1">
        <v>46175</v>
      </c>
      <c r="G715" t="str">
        <v>In Transit</v>
      </c>
      <c r="H715" t="str">
        <v>OK</v>
      </c>
      <c r="I715">
        <v>21.99</v>
      </c>
      <c r="J715">
        <v>67</v>
      </c>
      <c r="K715">
        <v>213</v>
      </c>
      <c r="L715" t="str">
        <v>OK</v>
      </c>
      <c r="M715">
        <v>2</v>
      </c>
      <c r="O715">
        <f t="shared" si="88"/>
        <v>8.1641791044776113</v>
      </c>
      <c r="P715">
        <f t="shared" si="89"/>
        <v>50.118874999999996</v>
      </c>
      <c r="Q715">
        <f t="shared" si="90"/>
        <v>24.739936680235186</v>
      </c>
      <c r="R715">
        <f t="shared" si="91"/>
        <v>1</v>
      </c>
      <c r="S715">
        <f t="shared" si="92"/>
        <v>50.118874999999996</v>
      </c>
      <c r="T715" t="str">
        <f t="shared" si="93"/>
        <v>CARGA INEFICIENTE</v>
      </c>
      <c r="U715" t="str">
        <f t="shared" si="94"/>
        <v>OK</v>
      </c>
      <c r="V715" t="str">
        <f t="shared" si="95"/>
        <v>OK</v>
      </c>
    </row>
    <row r="716" spans="1:22" x14ac:dyDescent="0.45">
      <c r="A716" t="str">
        <v>SO-51047</v>
      </c>
      <c r="B716" t="str">
        <v>PL-CEN</v>
      </c>
      <c r="C716" t="str">
        <v>CD-TOL</v>
      </c>
      <c r="D716" t="str">
        <v>ABA-1009</v>
      </c>
      <c r="E716">
        <v>537</v>
      </c>
      <c r="F716" s="1">
        <v>46176</v>
      </c>
      <c r="G716" t="str">
        <v>In Transit</v>
      </c>
      <c r="H716" t="str">
        <v>OK</v>
      </c>
      <c r="I716">
        <v>14.79</v>
      </c>
      <c r="J716">
        <v>124</v>
      </c>
      <c r="K716">
        <v>423</v>
      </c>
      <c r="L716" t="str">
        <v>OK</v>
      </c>
      <c r="M716">
        <v>1</v>
      </c>
      <c r="O716">
        <f t="shared" si="88"/>
        <v>4.330645161290323</v>
      </c>
      <c r="P716">
        <f t="shared" si="89"/>
        <v>33.092624999999998</v>
      </c>
      <c r="Q716">
        <f t="shared" si="90"/>
        <v>13.123167155425222</v>
      </c>
      <c r="R716">
        <f t="shared" si="91"/>
        <v>1</v>
      </c>
      <c r="S716">
        <f t="shared" si="92"/>
        <v>33.092624999999998</v>
      </c>
      <c r="T716" t="str">
        <f t="shared" si="93"/>
        <v>CARGA INEFICIENTE</v>
      </c>
      <c r="U716" t="str">
        <f t="shared" si="94"/>
        <v>OK</v>
      </c>
      <c r="V716" t="str">
        <f t="shared" si="95"/>
        <v>OK</v>
      </c>
    </row>
    <row r="717" spans="1:22" x14ac:dyDescent="0.45">
      <c r="A717" t="str">
        <v>SO-51044</v>
      </c>
      <c r="B717" t="str">
        <v>PL-NTE</v>
      </c>
      <c r="C717" t="str">
        <v>CD-SAL</v>
      </c>
      <c r="D717" t="str">
        <v>LAC-1017</v>
      </c>
      <c r="E717">
        <v>1225</v>
      </c>
      <c r="F717" s="1">
        <v>46175</v>
      </c>
      <c r="G717" t="str">
        <v>Delivered</v>
      </c>
      <c r="H717" t="str">
        <v>OK</v>
      </c>
      <c r="I717">
        <v>7.45</v>
      </c>
      <c r="J717">
        <v>147</v>
      </c>
      <c r="K717">
        <v>28</v>
      </c>
      <c r="L717" t="str">
        <v>OK</v>
      </c>
      <c r="M717">
        <v>2</v>
      </c>
      <c r="O717">
        <f t="shared" si="88"/>
        <v>8.3333333333333339</v>
      </c>
      <c r="P717">
        <f t="shared" si="89"/>
        <v>38.026041666666664</v>
      </c>
      <c r="Q717">
        <f t="shared" si="90"/>
        <v>25.252525252525253</v>
      </c>
      <c r="R717">
        <f t="shared" si="91"/>
        <v>1</v>
      </c>
      <c r="S717">
        <f t="shared" si="92"/>
        <v>38.026041666666664</v>
      </c>
      <c r="T717" t="str">
        <f t="shared" si="93"/>
        <v>CARGA INEFICIENTE</v>
      </c>
      <c r="U717" t="str">
        <f t="shared" si="94"/>
        <v>OK</v>
      </c>
      <c r="V717" t="str">
        <f t="shared" si="95"/>
        <v>OK</v>
      </c>
    </row>
    <row r="718" spans="1:22" x14ac:dyDescent="0.45">
      <c r="A718" t="str">
        <v>SO-50244</v>
      </c>
      <c r="B718" t="str">
        <v>PL-SUR</v>
      </c>
      <c r="C718" t="str">
        <v>CD-MER</v>
      </c>
      <c r="D718" t="str">
        <v>PRO-1014</v>
      </c>
      <c r="E718">
        <v>1559</v>
      </c>
      <c r="F718" s="1">
        <v>46175</v>
      </c>
      <c r="G718" t="str">
        <v>In Transit</v>
      </c>
      <c r="H718" t="str">
        <v>OK</v>
      </c>
      <c r="I718">
        <v>5.27</v>
      </c>
      <c r="J718">
        <v>60</v>
      </c>
      <c r="K718">
        <v>129</v>
      </c>
      <c r="L718" t="str">
        <v>OK</v>
      </c>
      <c r="M718">
        <v>2</v>
      </c>
      <c r="O718">
        <f t="shared" si="88"/>
        <v>25.983333333333334</v>
      </c>
      <c r="P718">
        <f t="shared" si="89"/>
        <v>34.233041666666658</v>
      </c>
      <c r="Q718">
        <f t="shared" si="90"/>
        <v>78.737373737373744</v>
      </c>
      <c r="R718">
        <f t="shared" si="91"/>
        <v>1</v>
      </c>
      <c r="S718">
        <f t="shared" si="92"/>
        <v>78.737373737373744</v>
      </c>
      <c r="T718" t="str">
        <f t="shared" si="93"/>
        <v>OK</v>
      </c>
      <c r="U718" t="str">
        <f t="shared" si="94"/>
        <v>OK</v>
      </c>
      <c r="V718" t="str">
        <f t="shared" si="95"/>
        <v>OK</v>
      </c>
    </row>
    <row r="719" spans="1:22" x14ac:dyDescent="0.45">
      <c r="A719" t="str">
        <v>SO-50740</v>
      </c>
      <c r="B719" t="str">
        <v>PL-SUR</v>
      </c>
      <c r="C719" t="str">
        <v>CD-MER</v>
      </c>
      <c r="D719" t="str">
        <v>LAC-1012</v>
      </c>
      <c r="E719">
        <v>1105</v>
      </c>
      <c r="F719" s="1">
        <v>46174</v>
      </c>
      <c r="G719" t="str">
        <v>In Transit</v>
      </c>
      <c r="H719" t="str">
        <v>OK</v>
      </c>
      <c r="I719">
        <v>9.8699999999999992</v>
      </c>
      <c r="J719">
        <v>88</v>
      </c>
      <c r="K719">
        <v>25</v>
      </c>
      <c r="L719" t="str">
        <v>OK</v>
      </c>
      <c r="M719">
        <v>3</v>
      </c>
      <c r="O719">
        <f t="shared" si="88"/>
        <v>12.556818181818182</v>
      </c>
      <c r="P719">
        <f t="shared" si="89"/>
        <v>45.443124999999995</v>
      </c>
      <c r="Q719">
        <f t="shared" si="90"/>
        <v>38.050964187327821</v>
      </c>
      <c r="R719">
        <f t="shared" si="91"/>
        <v>1</v>
      </c>
      <c r="S719">
        <f t="shared" si="92"/>
        <v>45.443124999999995</v>
      </c>
      <c r="T719" t="str">
        <f t="shared" si="93"/>
        <v>CARGA INEFICIENTE</v>
      </c>
      <c r="U719" t="str">
        <f t="shared" si="94"/>
        <v>OK</v>
      </c>
      <c r="V719" t="str">
        <f t="shared" si="95"/>
        <v>OK</v>
      </c>
    </row>
    <row r="720" spans="1:22" x14ac:dyDescent="0.45">
      <c r="A720" t="str">
        <v>SO-50113</v>
      </c>
      <c r="B720" t="str">
        <v>PL-NTE</v>
      </c>
      <c r="C720" t="str">
        <v>CD-SAL</v>
      </c>
      <c r="D720" t="str">
        <v>BEB-1017</v>
      </c>
      <c r="E720">
        <v>894</v>
      </c>
      <c r="F720" s="1">
        <v>46176</v>
      </c>
      <c r="G720" t="str">
        <v>In Transit</v>
      </c>
      <c r="H720" t="str">
        <v>OK</v>
      </c>
      <c r="I720">
        <v>21.3</v>
      </c>
      <c r="J720">
        <v>108</v>
      </c>
      <c r="K720">
        <v>345</v>
      </c>
      <c r="L720" t="str">
        <v>OK</v>
      </c>
      <c r="M720">
        <v>1</v>
      </c>
      <c r="O720">
        <f t="shared" si="88"/>
        <v>8.2777777777777786</v>
      </c>
      <c r="P720">
        <f t="shared" si="89"/>
        <v>79.342500000000001</v>
      </c>
      <c r="Q720">
        <f t="shared" si="90"/>
        <v>25.084175084175087</v>
      </c>
      <c r="R720">
        <f t="shared" si="91"/>
        <v>1</v>
      </c>
      <c r="S720">
        <f t="shared" si="92"/>
        <v>79.342500000000001</v>
      </c>
      <c r="T720" t="str">
        <f t="shared" si="93"/>
        <v>OK</v>
      </c>
      <c r="U720" t="str">
        <f t="shared" si="94"/>
        <v>OK</v>
      </c>
      <c r="V720" t="str">
        <f t="shared" si="95"/>
        <v>OK</v>
      </c>
    </row>
    <row r="721" spans="1:22" x14ac:dyDescent="0.45">
      <c r="A721" t="str">
        <v>SO-50449</v>
      </c>
      <c r="B721" t="str">
        <v>PL-CEN</v>
      </c>
      <c r="C721" t="str">
        <v>CD-TOL</v>
      </c>
      <c r="D721" t="str">
        <v>PRO-1013</v>
      </c>
      <c r="E721">
        <v>1621</v>
      </c>
      <c r="F721" s="1">
        <v>46176</v>
      </c>
      <c r="G721" t="str">
        <v>In Transit</v>
      </c>
      <c r="H721" t="str">
        <v>OK</v>
      </c>
      <c r="I721">
        <v>4.37</v>
      </c>
      <c r="J721">
        <v>58</v>
      </c>
      <c r="K721">
        <v>92</v>
      </c>
      <c r="L721" t="str">
        <v>OK</v>
      </c>
      <c r="M721">
        <v>1</v>
      </c>
      <c r="O721">
        <f t="shared" si="88"/>
        <v>27.948275862068964</v>
      </c>
      <c r="P721">
        <f t="shared" si="89"/>
        <v>29.515708333333336</v>
      </c>
      <c r="Q721">
        <f t="shared" si="90"/>
        <v>84.691745036572613</v>
      </c>
      <c r="R721">
        <f t="shared" si="91"/>
        <v>1</v>
      </c>
      <c r="S721">
        <f t="shared" si="92"/>
        <v>84.691745036572613</v>
      </c>
      <c r="T721" t="str">
        <f t="shared" si="93"/>
        <v>OK</v>
      </c>
      <c r="U721" t="str">
        <f t="shared" si="94"/>
        <v>OK</v>
      </c>
      <c r="V721" t="str">
        <f t="shared" si="95"/>
        <v>OK</v>
      </c>
    </row>
    <row r="722" spans="1:22" x14ac:dyDescent="0.45">
      <c r="A722" t="str">
        <v>SO-50347</v>
      </c>
      <c r="B722" t="str">
        <v>PL-CEN</v>
      </c>
      <c r="C722" t="str">
        <v>CD-PUE</v>
      </c>
      <c r="D722" t="str">
        <v>PRO-1007</v>
      </c>
      <c r="E722">
        <v>1705</v>
      </c>
      <c r="F722" s="1">
        <v>46176</v>
      </c>
      <c r="G722" t="str">
        <v>In Transit</v>
      </c>
      <c r="H722" t="str">
        <v>OK</v>
      </c>
      <c r="I722">
        <v>13.13</v>
      </c>
      <c r="J722">
        <v>82</v>
      </c>
      <c r="K722">
        <v>105</v>
      </c>
      <c r="L722" t="str">
        <v>OK</v>
      </c>
      <c r="M722">
        <v>1</v>
      </c>
      <c r="O722">
        <f t="shared" si="88"/>
        <v>20.792682926829269</v>
      </c>
      <c r="P722">
        <f t="shared" si="89"/>
        <v>93.277708333333337</v>
      </c>
      <c r="Q722">
        <f t="shared" si="90"/>
        <v>63.00813008130082</v>
      </c>
      <c r="R722">
        <f t="shared" si="91"/>
        <v>1</v>
      </c>
      <c r="S722">
        <f t="shared" si="92"/>
        <v>93.277708333333337</v>
      </c>
      <c r="T722" t="str">
        <f t="shared" si="93"/>
        <v>OK</v>
      </c>
      <c r="U722" t="str">
        <f t="shared" si="94"/>
        <v>OK</v>
      </c>
      <c r="V722" t="str">
        <f t="shared" si="95"/>
        <v>OK</v>
      </c>
    </row>
    <row r="723" spans="1:22" x14ac:dyDescent="0.45">
      <c r="A723" t="str">
        <v>SO-50779</v>
      </c>
      <c r="B723" t="str">
        <v>PL-NTE</v>
      </c>
      <c r="C723" t="str">
        <v>CD-MTY</v>
      </c>
      <c r="D723" t="str">
        <v>BEB-1007</v>
      </c>
      <c r="E723">
        <v>1469</v>
      </c>
      <c r="F723" s="1">
        <v>46176</v>
      </c>
      <c r="G723" t="str">
        <v>In Transit</v>
      </c>
      <c r="H723" t="str">
        <v>OK</v>
      </c>
      <c r="I723">
        <v>13.67</v>
      </c>
      <c r="J723">
        <v>78</v>
      </c>
      <c r="K723">
        <v>247</v>
      </c>
      <c r="L723" t="str">
        <v>OK</v>
      </c>
      <c r="M723">
        <v>1</v>
      </c>
      <c r="O723">
        <f t="shared" si="88"/>
        <v>18.833333333333332</v>
      </c>
      <c r="P723">
        <f t="shared" si="89"/>
        <v>83.671791666666664</v>
      </c>
      <c r="Q723">
        <f t="shared" si="90"/>
        <v>57.070707070707073</v>
      </c>
      <c r="R723">
        <f t="shared" si="91"/>
        <v>1</v>
      </c>
      <c r="S723">
        <f t="shared" si="92"/>
        <v>83.671791666666664</v>
      </c>
      <c r="T723" t="str">
        <f t="shared" si="93"/>
        <v>OK</v>
      </c>
      <c r="U723" t="str">
        <f t="shared" si="94"/>
        <v>OK</v>
      </c>
      <c r="V723" t="str">
        <f t="shared" si="95"/>
        <v>OK</v>
      </c>
    </row>
    <row r="724" spans="1:22" x14ac:dyDescent="0.45">
      <c r="A724" t="str">
        <v>SO-50055</v>
      </c>
      <c r="B724" t="str">
        <v>PL-CEN</v>
      </c>
      <c r="C724" t="str">
        <v>CD-QRO</v>
      </c>
      <c r="D724" t="str">
        <v>LAC-1015</v>
      </c>
      <c r="E724">
        <v>2013</v>
      </c>
      <c r="F724" s="1">
        <v>46176</v>
      </c>
      <c r="G724" t="str">
        <v>In Transit</v>
      </c>
      <c r="H724" t="str">
        <v>OK</v>
      </c>
      <c r="I724">
        <v>11.26</v>
      </c>
      <c r="J724">
        <v>129</v>
      </c>
      <c r="K724">
        <v>24</v>
      </c>
      <c r="L724" t="str">
        <v>OK</v>
      </c>
      <c r="M724">
        <v>1</v>
      </c>
      <c r="O724">
        <f t="shared" si="88"/>
        <v>15.604651162790697</v>
      </c>
      <c r="P724">
        <f t="shared" si="89"/>
        <v>94.443250000000006</v>
      </c>
      <c r="Q724">
        <f t="shared" si="90"/>
        <v>47.286821705426348</v>
      </c>
      <c r="R724">
        <f t="shared" si="91"/>
        <v>1</v>
      </c>
      <c r="S724">
        <f t="shared" si="92"/>
        <v>94.443250000000006</v>
      </c>
      <c r="T724" t="str">
        <f t="shared" si="93"/>
        <v>OK</v>
      </c>
      <c r="U724" t="str">
        <f t="shared" si="94"/>
        <v>OK</v>
      </c>
      <c r="V724" t="str">
        <f t="shared" si="95"/>
        <v>OK</v>
      </c>
    </row>
    <row r="725" spans="1:22" x14ac:dyDescent="0.45">
      <c r="A725" t="str">
        <v>SO-50897</v>
      </c>
      <c r="B725" t="str">
        <v>PL-NTE</v>
      </c>
      <c r="C725" t="str">
        <v>CD-MTY</v>
      </c>
      <c r="D725" t="str">
        <v>LAC-1012</v>
      </c>
      <c r="E725">
        <v>2271</v>
      </c>
      <c r="F725" s="1">
        <v>46176</v>
      </c>
      <c r="G725" t="str">
        <v>In Transit</v>
      </c>
      <c r="H725" t="str">
        <v>OK</v>
      </c>
      <c r="I725">
        <v>9.8699999999999992</v>
      </c>
      <c r="J725">
        <v>88</v>
      </c>
      <c r="K725">
        <v>25</v>
      </c>
      <c r="L725" t="str">
        <v>OK</v>
      </c>
      <c r="M725">
        <v>1</v>
      </c>
      <c r="O725">
        <f t="shared" si="88"/>
        <v>25.806818181818183</v>
      </c>
      <c r="P725">
        <f t="shared" si="89"/>
        <v>93.394874999999985</v>
      </c>
      <c r="Q725">
        <f t="shared" si="90"/>
        <v>78.202479338842977</v>
      </c>
      <c r="R725">
        <f t="shared" si="91"/>
        <v>1</v>
      </c>
      <c r="S725">
        <f t="shared" si="92"/>
        <v>93.394874999999985</v>
      </c>
      <c r="T725" t="str">
        <f t="shared" si="93"/>
        <v>OK</v>
      </c>
      <c r="U725" t="str">
        <f t="shared" si="94"/>
        <v>OK</v>
      </c>
      <c r="V725" t="str">
        <f t="shared" si="95"/>
        <v>OK</v>
      </c>
    </row>
    <row r="726" spans="1:22" x14ac:dyDescent="0.45">
      <c r="A726" t="str">
        <v>SO-50789</v>
      </c>
      <c r="B726" t="str">
        <v>PL-CEN</v>
      </c>
      <c r="C726" t="str">
        <v>CD-VER</v>
      </c>
      <c r="D726" t="str">
        <v>ABA-1006</v>
      </c>
      <c r="E726">
        <v>655</v>
      </c>
      <c r="F726" s="1">
        <v>46176</v>
      </c>
      <c r="G726" t="str">
        <v>In Transit</v>
      </c>
      <c r="H726" t="str">
        <v>OK</v>
      </c>
      <c r="I726">
        <v>12.39</v>
      </c>
      <c r="J726">
        <v>134</v>
      </c>
      <c r="K726">
        <v>446</v>
      </c>
      <c r="L726" t="str">
        <v>OK</v>
      </c>
      <c r="M726">
        <v>1</v>
      </c>
      <c r="O726">
        <f t="shared" si="88"/>
        <v>4.8880597014925371</v>
      </c>
      <c r="P726">
        <f t="shared" si="89"/>
        <v>33.814375000000005</v>
      </c>
      <c r="Q726">
        <f t="shared" si="90"/>
        <v>14.812302125734961</v>
      </c>
      <c r="R726">
        <f t="shared" si="91"/>
        <v>1</v>
      </c>
      <c r="S726">
        <f t="shared" si="92"/>
        <v>33.814375000000005</v>
      </c>
      <c r="T726" t="str">
        <f t="shared" si="93"/>
        <v>CARGA INEFICIENTE</v>
      </c>
      <c r="U726" t="str">
        <f t="shared" si="94"/>
        <v>OK</v>
      </c>
      <c r="V726" t="str">
        <f t="shared" si="95"/>
        <v>OK</v>
      </c>
    </row>
    <row r="727" spans="1:22" x14ac:dyDescent="0.45">
      <c r="A727" t="str">
        <v>SO-50223</v>
      </c>
      <c r="B727" t="str">
        <v>PL-NTE</v>
      </c>
      <c r="C727" t="str">
        <v>CD-SAL</v>
      </c>
      <c r="D727" t="str">
        <v>BOT-1014</v>
      </c>
      <c r="E727">
        <v>1300</v>
      </c>
      <c r="F727" s="1">
        <v>46176</v>
      </c>
      <c r="G727" t="str">
        <v>In Transit</v>
      </c>
      <c r="H727" t="str">
        <v>OK</v>
      </c>
      <c r="I727">
        <v>3.92</v>
      </c>
      <c r="J727">
        <v>49</v>
      </c>
      <c r="K727">
        <v>98</v>
      </c>
      <c r="L727" t="str">
        <v>OK</v>
      </c>
      <c r="M727">
        <v>1</v>
      </c>
      <c r="O727">
        <f t="shared" si="88"/>
        <v>26.530612244897959</v>
      </c>
      <c r="P727">
        <f t="shared" si="89"/>
        <v>21.233333333333334</v>
      </c>
      <c r="Q727">
        <f t="shared" si="90"/>
        <v>80.395794681508974</v>
      </c>
      <c r="R727">
        <f t="shared" si="91"/>
        <v>1</v>
      </c>
      <c r="S727">
        <f t="shared" si="92"/>
        <v>80.395794681508974</v>
      </c>
      <c r="T727" t="str">
        <f t="shared" si="93"/>
        <v>OK</v>
      </c>
      <c r="U727" t="str">
        <f t="shared" si="94"/>
        <v>OK</v>
      </c>
      <c r="V727" t="str">
        <f t="shared" si="95"/>
        <v>OK</v>
      </c>
    </row>
    <row r="728" spans="1:22" x14ac:dyDescent="0.45">
      <c r="A728" t="str">
        <v>SO-50318</v>
      </c>
      <c r="B728" t="str">
        <v>PL-SUR</v>
      </c>
      <c r="C728" t="str">
        <v>CD-CAN</v>
      </c>
      <c r="D728" t="str">
        <v>LAC-1002</v>
      </c>
      <c r="E728">
        <v>2886</v>
      </c>
      <c r="F728" s="1">
        <v>46175</v>
      </c>
      <c r="G728" t="str">
        <v>In Transit</v>
      </c>
      <c r="H728" t="str">
        <v>OK</v>
      </c>
      <c r="I728">
        <v>7.71</v>
      </c>
      <c r="J728">
        <v>101</v>
      </c>
      <c r="K728">
        <v>23</v>
      </c>
      <c r="L728" t="str">
        <v>OK</v>
      </c>
      <c r="M728">
        <v>2</v>
      </c>
      <c r="O728">
        <f t="shared" si="88"/>
        <v>28.574257425742573</v>
      </c>
      <c r="P728">
        <f t="shared" si="89"/>
        <v>92.712750000000014</v>
      </c>
      <c r="Q728">
        <f t="shared" si="90"/>
        <v>86.588658865886586</v>
      </c>
      <c r="R728">
        <f t="shared" si="91"/>
        <v>1</v>
      </c>
      <c r="S728">
        <f t="shared" si="92"/>
        <v>92.712750000000014</v>
      </c>
      <c r="T728" t="str">
        <f t="shared" si="93"/>
        <v>OK</v>
      </c>
      <c r="U728" t="str">
        <f t="shared" si="94"/>
        <v>OK</v>
      </c>
      <c r="V728" t="str">
        <f t="shared" si="95"/>
        <v>OK</v>
      </c>
    </row>
    <row r="729" spans="1:22" x14ac:dyDescent="0.45">
      <c r="A729" t="str">
        <v>SO-50546</v>
      </c>
      <c r="B729" t="str">
        <v>PL-CEN</v>
      </c>
      <c r="C729" t="str">
        <v>CD-PUE</v>
      </c>
      <c r="D729" t="str">
        <v>BEB-1011</v>
      </c>
      <c r="E729">
        <v>473</v>
      </c>
      <c r="F729" s="1">
        <v>46176</v>
      </c>
      <c r="G729" t="str">
        <v>In Transit</v>
      </c>
      <c r="H729" t="str">
        <v>OK</v>
      </c>
      <c r="I729">
        <v>23.39</v>
      </c>
      <c r="J729">
        <v>79</v>
      </c>
      <c r="K729">
        <v>329</v>
      </c>
      <c r="L729" t="str">
        <v>OK</v>
      </c>
      <c r="M729">
        <v>1</v>
      </c>
      <c r="O729">
        <f t="shared" si="88"/>
        <v>5.9873417721518987</v>
      </c>
      <c r="P729">
        <f t="shared" si="89"/>
        <v>46.097791666666673</v>
      </c>
      <c r="Q729">
        <f t="shared" si="90"/>
        <v>18.143459915611814</v>
      </c>
      <c r="R729">
        <f t="shared" si="91"/>
        <v>1</v>
      </c>
      <c r="S729">
        <f t="shared" si="92"/>
        <v>46.097791666666673</v>
      </c>
      <c r="T729" t="str">
        <f t="shared" si="93"/>
        <v>CARGA INEFICIENTE</v>
      </c>
      <c r="U729" t="str">
        <f t="shared" si="94"/>
        <v>OK</v>
      </c>
      <c r="V729" t="str">
        <f t="shared" si="95"/>
        <v>OK</v>
      </c>
    </row>
    <row r="730" spans="1:22" x14ac:dyDescent="0.45">
      <c r="A730" t="str">
        <v>SO-50682</v>
      </c>
      <c r="B730" t="str">
        <v>PL-CEN</v>
      </c>
      <c r="C730" t="str">
        <v>CD-TOL</v>
      </c>
      <c r="D730" t="str">
        <v>ABA-1000</v>
      </c>
      <c r="E730">
        <v>1466</v>
      </c>
      <c r="F730" s="1">
        <v>46176</v>
      </c>
      <c r="G730" t="str">
        <v>In Transit</v>
      </c>
      <c r="H730" t="str">
        <v>OK</v>
      </c>
      <c r="I730">
        <v>15.2</v>
      </c>
      <c r="J730">
        <v>135</v>
      </c>
      <c r="K730">
        <v>361</v>
      </c>
      <c r="L730" t="str">
        <v>OK</v>
      </c>
      <c r="M730">
        <v>1</v>
      </c>
      <c r="O730">
        <f t="shared" si="88"/>
        <v>10.859259259259259</v>
      </c>
      <c r="P730">
        <f t="shared" si="89"/>
        <v>92.846666666666664</v>
      </c>
      <c r="Q730">
        <f t="shared" si="90"/>
        <v>32.906846240179568</v>
      </c>
      <c r="R730">
        <f t="shared" si="91"/>
        <v>1</v>
      </c>
      <c r="S730">
        <f t="shared" si="92"/>
        <v>92.846666666666664</v>
      </c>
      <c r="T730" t="str">
        <f t="shared" si="93"/>
        <v>OK</v>
      </c>
      <c r="U730" t="str">
        <f t="shared" si="94"/>
        <v>OK</v>
      </c>
      <c r="V730" t="str">
        <f t="shared" si="95"/>
        <v>OK</v>
      </c>
    </row>
    <row r="731" spans="1:22" x14ac:dyDescent="0.45">
      <c r="A731" t="str">
        <v>SO-51083</v>
      </c>
      <c r="B731" t="str">
        <v>PL-NTE</v>
      </c>
      <c r="C731" t="str">
        <v>CD-HER</v>
      </c>
      <c r="D731" t="str">
        <v>BEB-1005</v>
      </c>
      <c r="E731">
        <v>1585</v>
      </c>
      <c r="F731" s="1">
        <v>46175</v>
      </c>
      <c r="G731" t="str">
        <v>In Transit</v>
      </c>
      <c r="H731" t="str">
        <v>OK</v>
      </c>
      <c r="I731">
        <v>14.2</v>
      </c>
      <c r="J731">
        <v>95</v>
      </c>
      <c r="K731">
        <v>277</v>
      </c>
      <c r="L731" t="str">
        <v>OK</v>
      </c>
      <c r="M731">
        <v>2</v>
      </c>
      <c r="O731">
        <f t="shared" si="88"/>
        <v>16.684210526315791</v>
      </c>
      <c r="P731">
        <f t="shared" si="89"/>
        <v>93.779166666666669</v>
      </c>
      <c r="Q731">
        <f t="shared" si="90"/>
        <v>50.558213716108455</v>
      </c>
      <c r="R731">
        <f t="shared" si="91"/>
        <v>1</v>
      </c>
      <c r="S731">
        <f t="shared" si="92"/>
        <v>93.779166666666669</v>
      </c>
      <c r="T731" t="str">
        <f t="shared" si="93"/>
        <v>OK</v>
      </c>
      <c r="U731" t="str">
        <f t="shared" si="94"/>
        <v>OK</v>
      </c>
      <c r="V731" t="str">
        <f t="shared" si="95"/>
        <v>OK</v>
      </c>
    </row>
    <row r="732" spans="1:22" x14ac:dyDescent="0.45">
      <c r="A732" t="str">
        <v>SO-50958</v>
      </c>
      <c r="B732" t="str">
        <v>PL-CEN</v>
      </c>
      <c r="C732" t="str">
        <v>CD-QRO</v>
      </c>
      <c r="D732" t="str">
        <v>ABA-1009</v>
      </c>
      <c r="E732">
        <v>1484</v>
      </c>
      <c r="F732" s="1">
        <v>46176</v>
      </c>
      <c r="G732" t="str">
        <v>In Transit</v>
      </c>
      <c r="H732" t="str">
        <v>OK</v>
      </c>
      <c r="I732">
        <v>14.79</v>
      </c>
      <c r="J732">
        <v>124</v>
      </c>
      <c r="K732">
        <v>423</v>
      </c>
      <c r="L732" t="str">
        <v>OK</v>
      </c>
      <c r="M732">
        <v>1</v>
      </c>
      <c r="O732">
        <f t="shared" si="88"/>
        <v>11.96774193548387</v>
      </c>
      <c r="P732">
        <f t="shared" si="89"/>
        <v>91.451499999999982</v>
      </c>
      <c r="Q732">
        <f t="shared" si="90"/>
        <v>36.26588465298142</v>
      </c>
      <c r="R732">
        <f t="shared" si="91"/>
        <v>1</v>
      </c>
      <c r="S732">
        <f t="shared" si="92"/>
        <v>91.451499999999982</v>
      </c>
      <c r="T732" t="str">
        <f t="shared" si="93"/>
        <v>OK</v>
      </c>
      <c r="U732" t="str">
        <f t="shared" si="94"/>
        <v>OK</v>
      </c>
      <c r="V732" t="str">
        <f t="shared" si="95"/>
        <v>OK</v>
      </c>
    </row>
    <row r="733" spans="1:22" x14ac:dyDescent="0.45">
      <c r="A733" t="str">
        <v>SO-51079</v>
      </c>
      <c r="B733" t="str">
        <v>PL-SUR</v>
      </c>
      <c r="C733" t="str">
        <v>CD-LEO</v>
      </c>
      <c r="D733" t="str">
        <v>BEB-1017</v>
      </c>
      <c r="E733">
        <v>919</v>
      </c>
      <c r="F733" s="1">
        <v>46174</v>
      </c>
      <c r="G733" t="str">
        <v>In Transit</v>
      </c>
      <c r="H733" t="str">
        <v>OK</v>
      </c>
      <c r="I733">
        <v>21.3</v>
      </c>
      <c r="J733">
        <v>108</v>
      </c>
      <c r="K733">
        <v>345</v>
      </c>
      <c r="L733" t="str">
        <v>OK</v>
      </c>
      <c r="M733">
        <v>3</v>
      </c>
      <c r="O733">
        <f t="shared" si="88"/>
        <v>8.5092592592592595</v>
      </c>
      <c r="P733">
        <f t="shared" si="89"/>
        <v>81.561250000000001</v>
      </c>
      <c r="Q733">
        <f t="shared" si="90"/>
        <v>25.785634118967454</v>
      </c>
      <c r="R733">
        <f t="shared" si="91"/>
        <v>1</v>
      </c>
      <c r="S733">
        <f t="shared" si="92"/>
        <v>81.561250000000001</v>
      </c>
      <c r="T733" t="str">
        <f t="shared" si="93"/>
        <v>OK</v>
      </c>
      <c r="U733" t="str">
        <f t="shared" si="94"/>
        <v>OK</v>
      </c>
      <c r="V733" t="str">
        <f t="shared" si="95"/>
        <v>OK</v>
      </c>
    </row>
    <row r="734" spans="1:22" x14ac:dyDescent="0.45">
      <c r="A734" t="str">
        <v>SO-50792</v>
      </c>
      <c r="B734" t="str">
        <v>PL-CEN</v>
      </c>
      <c r="C734" t="str">
        <v>CD-TOL</v>
      </c>
      <c r="D734" t="str">
        <v>BOT-1015</v>
      </c>
      <c r="E734">
        <v>1934</v>
      </c>
      <c r="F734" s="1">
        <v>46175</v>
      </c>
      <c r="G734" t="str">
        <v>In Transit</v>
      </c>
      <c r="H734" t="str">
        <v>OK</v>
      </c>
      <c r="I734">
        <v>3.64</v>
      </c>
      <c r="J734">
        <v>62</v>
      </c>
      <c r="K734">
        <v>114</v>
      </c>
      <c r="L734" t="str">
        <v>OK</v>
      </c>
      <c r="M734">
        <v>2</v>
      </c>
      <c r="O734">
        <f t="shared" si="88"/>
        <v>31.193548387096776</v>
      </c>
      <c r="P734">
        <f t="shared" si="89"/>
        <v>29.332333333333331</v>
      </c>
      <c r="Q734">
        <f t="shared" si="90"/>
        <v>94.525904203323563</v>
      </c>
      <c r="R734">
        <f t="shared" si="91"/>
        <v>1</v>
      </c>
      <c r="S734">
        <f t="shared" si="92"/>
        <v>94.525904203323563</v>
      </c>
      <c r="T734" t="str">
        <f t="shared" si="93"/>
        <v>OK</v>
      </c>
      <c r="U734" t="str">
        <f t="shared" si="94"/>
        <v>OK</v>
      </c>
      <c r="V734" t="str">
        <f t="shared" si="95"/>
        <v>OK</v>
      </c>
    </row>
    <row r="735" spans="1:22" x14ac:dyDescent="0.45">
      <c r="A735" t="str">
        <v>SO-50307</v>
      </c>
      <c r="B735" t="str">
        <v>PL-NTE</v>
      </c>
      <c r="C735" t="str">
        <v>CD-MTY</v>
      </c>
      <c r="D735" t="str">
        <v>LAC-1004</v>
      </c>
      <c r="E735">
        <v>1686</v>
      </c>
      <c r="F735" s="1">
        <v>46176</v>
      </c>
      <c r="G735" t="str">
        <v>In Transit</v>
      </c>
      <c r="H735" t="str">
        <v>OK</v>
      </c>
      <c r="I735">
        <v>11.45</v>
      </c>
      <c r="J735">
        <v>93</v>
      </c>
      <c r="K735">
        <v>16</v>
      </c>
      <c r="L735" t="str">
        <v>OK</v>
      </c>
      <c r="M735">
        <v>1</v>
      </c>
      <c r="O735">
        <f t="shared" si="88"/>
        <v>18.129032258064516</v>
      </c>
      <c r="P735">
        <f t="shared" si="89"/>
        <v>80.436249999999987</v>
      </c>
      <c r="Q735">
        <f t="shared" si="90"/>
        <v>54.936461388074285</v>
      </c>
      <c r="R735">
        <f t="shared" si="91"/>
        <v>1</v>
      </c>
      <c r="S735">
        <f t="shared" si="92"/>
        <v>80.436249999999987</v>
      </c>
      <c r="T735" t="str">
        <f t="shared" si="93"/>
        <v>OK</v>
      </c>
      <c r="U735" t="str">
        <f t="shared" si="94"/>
        <v>OK</v>
      </c>
      <c r="V735" t="str">
        <f t="shared" si="95"/>
        <v>OK</v>
      </c>
    </row>
    <row r="736" spans="1:22" x14ac:dyDescent="0.45">
      <c r="A736" t="str">
        <v>SO-50803</v>
      </c>
      <c r="B736" t="str">
        <v>PL-SUR</v>
      </c>
      <c r="C736" t="str">
        <v>CD-MER</v>
      </c>
      <c r="D736" t="str">
        <v>LAC-1012</v>
      </c>
      <c r="E736">
        <v>959</v>
      </c>
      <c r="F736" s="1">
        <v>46173</v>
      </c>
      <c r="G736" t="str">
        <v>Delivered</v>
      </c>
      <c r="H736" t="str">
        <v>OK</v>
      </c>
      <c r="I736">
        <v>9.8699999999999992</v>
      </c>
      <c r="J736">
        <v>88</v>
      </c>
      <c r="K736">
        <v>25</v>
      </c>
      <c r="L736" t="str">
        <v>OK</v>
      </c>
      <c r="M736">
        <v>4</v>
      </c>
      <c r="O736">
        <f t="shared" si="88"/>
        <v>10.897727272727273</v>
      </c>
      <c r="P736">
        <f t="shared" si="89"/>
        <v>39.438875000000003</v>
      </c>
      <c r="Q736">
        <f t="shared" si="90"/>
        <v>33.023415977961434</v>
      </c>
      <c r="R736">
        <f t="shared" si="91"/>
        <v>1</v>
      </c>
      <c r="S736">
        <f t="shared" si="92"/>
        <v>39.438875000000003</v>
      </c>
      <c r="T736" t="str">
        <f t="shared" si="93"/>
        <v>CARGA INEFICIENTE</v>
      </c>
      <c r="U736" t="str">
        <f t="shared" si="94"/>
        <v>OK</v>
      </c>
      <c r="V736" t="str">
        <f t="shared" si="95"/>
        <v>OK</v>
      </c>
    </row>
    <row r="737" spans="1:22" x14ac:dyDescent="0.45">
      <c r="A737" t="str">
        <v>SO-50080</v>
      </c>
      <c r="B737" t="str">
        <v>PL-CEN</v>
      </c>
      <c r="C737" t="str">
        <v>CD-PUE</v>
      </c>
      <c r="D737" t="str">
        <v>BEB-1015</v>
      </c>
      <c r="E737">
        <v>953</v>
      </c>
      <c r="F737" s="1">
        <v>46176</v>
      </c>
      <c r="G737" t="str">
        <v>In Transit</v>
      </c>
      <c r="H737" t="str">
        <v>OK</v>
      </c>
      <c r="I737">
        <v>19.95</v>
      </c>
      <c r="J737">
        <v>78</v>
      </c>
      <c r="K737">
        <v>276</v>
      </c>
      <c r="L737" t="str">
        <v>OK</v>
      </c>
      <c r="M737">
        <v>1</v>
      </c>
      <c r="O737">
        <f t="shared" si="88"/>
        <v>12.217948717948717</v>
      </c>
      <c r="P737">
        <f t="shared" si="89"/>
        <v>79.218125000000001</v>
      </c>
      <c r="Q737">
        <f t="shared" si="90"/>
        <v>37.024087024087024</v>
      </c>
      <c r="R737">
        <f t="shared" si="91"/>
        <v>1</v>
      </c>
      <c r="S737">
        <f t="shared" si="92"/>
        <v>79.218125000000001</v>
      </c>
      <c r="T737" t="str">
        <f t="shared" si="93"/>
        <v>OK</v>
      </c>
      <c r="U737" t="str">
        <f t="shared" si="94"/>
        <v>OK</v>
      </c>
      <c r="V737" t="str">
        <f t="shared" si="95"/>
        <v>OK</v>
      </c>
    </row>
    <row r="738" spans="1:22" x14ac:dyDescent="0.45">
      <c r="A738" t="str">
        <v>SO-50611</v>
      </c>
      <c r="B738" t="str">
        <v>PL-NTE</v>
      </c>
      <c r="C738" t="str">
        <v>CD-HER</v>
      </c>
      <c r="D738" t="str">
        <v>PRO-1011</v>
      </c>
      <c r="E738">
        <v>2573</v>
      </c>
      <c r="F738" s="1">
        <v>46173</v>
      </c>
      <c r="G738" t="str">
        <v>In Transit</v>
      </c>
      <c r="H738" t="str">
        <v>OK</v>
      </c>
      <c r="I738">
        <v>4.3600000000000003</v>
      </c>
      <c r="J738">
        <v>88</v>
      </c>
      <c r="K738">
        <v>108</v>
      </c>
      <c r="L738" t="str">
        <v>OK</v>
      </c>
      <c r="M738">
        <v>4</v>
      </c>
      <c r="O738">
        <f t="shared" si="88"/>
        <v>29.238636363636363</v>
      </c>
      <c r="P738">
        <f t="shared" si="89"/>
        <v>46.742833333333337</v>
      </c>
      <c r="Q738">
        <f t="shared" si="90"/>
        <v>88.601928374655643</v>
      </c>
      <c r="R738">
        <f t="shared" si="91"/>
        <v>1</v>
      </c>
      <c r="S738">
        <f t="shared" si="92"/>
        <v>88.601928374655643</v>
      </c>
      <c r="T738" t="str">
        <f t="shared" si="93"/>
        <v>OK</v>
      </c>
      <c r="U738" t="str">
        <f t="shared" si="94"/>
        <v>OK</v>
      </c>
      <c r="V738" t="str">
        <f t="shared" si="95"/>
        <v>OK</v>
      </c>
    </row>
    <row r="739" spans="1:22" x14ac:dyDescent="0.45">
      <c r="A739" t="str">
        <v>SO-50115</v>
      </c>
      <c r="B739" t="str">
        <v>PL-SUR</v>
      </c>
      <c r="C739" t="str">
        <v>CD-CAN</v>
      </c>
      <c r="D739" t="str">
        <v>BEB-1013</v>
      </c>
      <c r="E739">
        <v>1304</v>
      </c>
      <c r="F739" s="1">
        <v>46173</v>
      </c>
      <c r="G739" t="str">
        <v>In Transit</v>
      </c>
      <c r="H739" t="str">
        <v>OK</v>
      </c>
      <c r="I739">
        <v>17.28</v>
      </c>
      <c r="J739">
        <v>97</v>
      </c>
      <c r="K739">
        <v>271</v>
      </c>
      <c r="L739" t="str">
        <v>OK</v>
      </c>
      <c r="M739">
        <v>4</v>
      </c>
      <c r="O739">
        <f t="shared" si="88"/>
        <v>13.443298969072165</v>
      </c>
      <c r="P739">
        <f t="shared" si="89"/>
        <v>93.888000000000019</v>
      </c>
      <c r="Q739">
        <f t="shared" si="90"/>
        <v>40.73726960324899</v>
      </c>
      <c r="R739">
        <f t="shared" si="91"/>
        <v>1</v>
      </c>
      <c r="S739">
        <f t="shared" si="92"/>
        <v>93.888000000000019</v>
      </c>
      <c r="T739" t="str">
        <f t="shared" si="93"/>
        <v>OK</v>
      </c>
      <c r="U739" t="str">
        <f t="shared" si="94"/>
        <v>OK</v>
      </c>
      <c r="V739" t="str">
        <f t="shared" si="95"/>
        <v>OK</v>
      </c>
    </row>
    <row r="740" spans="1:22" x14ac:dyDescent="0.45">
      <c r="A740" t="str">
        <v>SO-50991</v>
      </c>
      <c r="B740" t="str">
        <v>PL-CEN</v>
      </c>
      <c r="C740" t="str">
        <v>CD-PUE</v>
      </c>
      <c r="D740" t="str">
        <v>BEB-1016</v>
      </c>
      <c r="E740">
        <v>-100</v>
      </c>
      <c r="F740" s="1">
        <v>46176</v>
      </c>
      <c r="G740" t="str">
        <v>In Transit</v>
      </c>
      <c r="H740" t="str">
        <v>INVALIDO</v>
      </c>
      <c r="I740">
        <v>0</v>
      </c>
      <c r="J740">
        <v>98</v>
      </c>
      <c r="K740">
        <v>359</v>
      </c>
      <c r="L740" t="str">
        <v>OK</v>
      </c>
      <c r="M740">
        <v>1</v>
      </c>
      <c r="O740">
        <f t="shared" si="88"/>
        <v>-1.0204081632653061</v>
      </c>
      <c r="P740">
        <f t="shared" si="89"/>
        <v>0</v>
      </c>
      <c r="Q740">
        <f t="shared" si="90"/>
        <v>-3.0921459492888066</v>
      </c>
      <c r="R740">
        <f t="shared" si="91"/>
        <v>0</v>
      </c>
      <c r="S740" t="str">
        <f t="shared" si="92"/>
        <v/>
      </c>
      <c r="T740" t="str">
        <f t="shared" si="93"/>
        <v>OK</v>
      </c>
      <c r="U740" t="str">
        <f t="shared" si="94"/>
        <v>OK</v>
      </c>
      <c r="V740" t="str">
        <f t="shared" si="95"/>
        <v>OK</v>
      </c>
    </row>
    <row r="741" spans="1:22" x14ac:dyDescent="0.45">
      <c r="A741" t="str">
        <v>SO-50992</v>
      </c>
      <c r="B741" t="str">
        <v>PL-CEN</v>
      </c>
      <c r="C741" t="str">
        <v>CD-VER</v>
      </c>
      <c r="D741" t="str">
        <v>PRO-1006</v>
      </c>
      <c r="E741">
        <v>837</v>
      </c>
      <c r="F741" s="1">
        <v>46174</v>
      </c>
      <c r="G741" t="str">
        <v>In Transit</v>
      </c>
      <c r="H741" t="str">
        <v>OK</v>
      </c>
      <c r="I741">
        <v>12.09</v>
      </c>
      <c r="J741">
        <v>80</v>
      </c>
      <c r="K741">
        <v>138</v>
      </c>
      <c r="L741" t="str">
        <v>OK</v>
      </c>
      <c r="M741">
        <v>3</v>
      </c>
      <c r="O741">
        <f t="shared" si="88"/>
        <v>10.4625</v>
      </c>
      <c r="P741">
        <f t="shared" si="89"/>
        <v>42.163874999999997</v>
      </c>
      <c r="Q741">
        <f t="shared" si="90"/>
        <v>31.704545454545457</v>
      </c>
      <c r="R741">
        <f t="shared" si="91"/>
        <v>1</v>
      </c>
      <c r="S741">
        <f t="shared" si="92"/>
        <v>42.163874999999997</v>
      </c>
      <c r="T741" t="str">
        <f t="shared" si="93"/>
        <v>CARGA INEFICIENTE</v>
      </c>
      <c r="U741" t="str">
        <f t="shared" si="94"/>
        <v>OK</v>
      </c>
      <c r="V741" t="str">
        <f t="shared" si="95"/>
        <v>OK</v>
      </c>
    </row>
    <row r="742" spans="1:22" x14ac:dyDescent="0.45">
      <c r="A742" t="str">
        <v>SO-51070</v>
      </c>
      <c r="B742" t="str">
        <v>PL-SUR</v>
      </c>
      <c r="C742" t="str">
        <v>CD-MOR</v>
      </c>
      <c r="D742" t="str">
        <v>PRO-1012</v>
      </c>
      <c r="E742">
        <v>3076</v>
      </c>
      <c r="F742" s="1">
        <v>46176</v>
      </c>
      <c r="G742" t="str">
        <v>In Transit</v>
      </c>
      <c r="H742" t="str">
        <v>OK</v>
      </c>
      <c r="I742">
        <v>6.87</v>
      </c>
      <c r="J742">
        <v>101</v>
      </c>
      <c r="K742">
        <v>62</v>
      </c>
      <c r="L742" t="str">
        <v>OK</v>
      </c>
      <c r="M742">
        <v>1</v>
      </c>
      <c r="O742">
        <f t="shared" si="88"/>
        <v>30.455445544554454</v>
      </c>
      <c r="P742">
        <f t="shared" si="89"/>
        <v>88.0505</v>
      </c>
      <c r="Q742">
        <f t="shared" si="90"/>
        <v>92.289228922892292</v>
      </c>
      <c r="R742">
        <f t="shared" si="91"/>
        <v>1</v>
      </c>
      <c r="S742">
        <f t="shared" si="92"/>
        <v>92.289228922892292</v>
      </c>
      <c r="T742" t="str">
        <f t="shared" si="93"/>
        <v>OK</v>
      </c>
      <c r="U742" t="str">
        <f t="shared" si="94"/>
        <v>OK</v>
      </c>
      <c r="V742" t="str">
        <f t="shared" si="95"/>
        <v>OK</v>
      </c>
    </row>
    <row r="743" spans="1:22" x14ac:dyDescent="0.45">
      <c r="A743" t="str">
        <v>SO-50815</v>
      </c>
      <c r="B743" t="str">
        <v>PL-SUR</v>
      </c>
      <c r="C743" t="str">
        <v>CD-MOR</v>
      </c>
      <c r="D743" t="str">
        <v>LAC-1001</v>
      </c>
      <c r="E743">
        <v>1071</v>
      </c>
      <c r="F743" s="1">
        <v>46175</v>
      </c>
      <c r="G743" t="str">
        <v>In Transit</v>
      </c>
      <c r="H743" t="str">
        <v>OK</v>
      </c>
      <c r="I743">
        <v>7.51</v>
      </c>
      <c r="J743">
        <v>83</v>
      </c>
      <c r="K743">
        <v>18</v>
      </c>
      <c r="L743" t="str">
        <v>OK</v>
      </c>
      <c r="M743">
        <v>2</v>
      </c>
      <c r="O743">
        <f t="shared" si="88"/>
        <v>12.903614457831326</v>
      </c>
      <c r="P743">
        <f t="shared" si="89"/>
        <v>33.513375000000003</v>
      </c>
      <c r="Q743">
        <f t="shared" si="90"/>
        <v>39.101861993428258</v>
      </c>
      <c r="R743">
        <f t="shared" si="91"/>
        <v>1</v>
      </c>
      <c r="S743">
        <f t="shared" si="92"/>
        <v>39.101861993428258</v>
      </c>
      <c r="T743" t="str">
        <f t="shared" si="93"/>
        <v>CARGA INEFICIENTE</v>
      </c>
      <c r="U743" t="str">
        <f t="shared" si="94"/>
        <v>OK</v>
      </c>
      <c r="V743" t="str">
        <f t="shared" si="95"/>
        <v>OK</v>
      </c>
    </row>
    <row r="744" spans="1:22" x14ac:dyDescent="0.45">
      <c r="A744" t="str">
        <v>SO-50196</v>
      </c>
      <c r="B744" t="str">
        <v>PL-NTE</v>
      </c>
      <c r="C744" t="str">
        <v>CD-SAL</v>
      </c>
      <c r="D744" t="str">
        <v>PRO-1001</v>
      </c>
      <c r="E744">
        <v>2343</v>
      </c>
      <c r="F744" s="1">
        <v>46176</v>
      </c>
      <c r="G744" t="str">
        <v>In Transit</v>
      </c>
      <c r="H744" t="str">
        <v>OK</v>
      </c>
      <c r="I744">
        <v>9.57</v>
      </c>
      <c r="J744">
        <v>92</v>
      </c>
      <c r="K744">
        <v>122</v>
      </c>
      <c r="L744" t="str">
        <v>OK</v>
      </c>
      <c r="M744">
        <v>1</v>
      </c>
      <c r="O744">
        <f t="shared" si="88"/>
        <v>25.467391304347824</v>
      </c>
      <c r="P744">
        <f t="shared" si="89"/>
        <v>93.427125000000018</v>
      </c>
      <c r="Q744">
        <f t="shared" si="90"/>
        <v>77.173913043478265</v>
      </c>
      <c r="R744">
        <f t="shared" si="91"/>
        <v>1</v>
      </c>
      <c r="S744">
        <f t="shared" si="92"/>
        <v>93.427125000000018</v>
      </c>
      <c r="T744" t="str">
        <f t="shared" si="93"/>
        <v>OK</v>
      </c>
      <c r="U744" t="str">
        <f t="shared" si="94"/>
        <v>OK</v>
      </c>
      <c r="V744" t="str">
        <f t="shared" si="95"/>
        <v>OK</v>
      </c>
    </row>
    <row r="745" spans="1:22" x14ac:dyDescent="0.45">
      <c r="A745" t="str">
        <v>SO-50261</v>
      </c>
      <c r="B745" t="str">
        <v>PL-CEN</v>
      </c>
      <c r="C745" t="str">
        <v>CD-QRO</v>
      </c>
      <c r="D745" t="str">
        <v>BEB-1020</v>
      </c>
      <c r="E745">
        <v>1274</v>
      </c>
      <c r="F745" s="1">
        <v>46176</v>
      </c>
      <c r="G745" t="str">
        <v>In Transit</v>
      </c>
      <c r="H745" t="str">
        <v>OK</v>
      </c>
      <c r="I745">
        <v>16.66</v>
      </c>
      <c r="J745">
        <v>85</v>
      </c>
      <c r="K745">
        <v>333</v>
      </c>
      <c r="L745" t="str">
        <v>OK</v>
      </c>
      <c r="M745">
        <v>1</v>
      </c>
      <c r="O745">
        <f t="shared" si="88"/>
        <v>14.988235294117647</v>
      </c>
      <c r="P745">
        <f t="shared" si="89"/>
        <v>88.436833333333325</v>
      </c>
      <c r="Q745">
        <f t="shared" si="90"/>
        <v>45.418894830659532</v>
      </c>
      <c r="R745">
        <f t="shared" si="91"/>
        <v>1</v>
      </c>
      <c r="S745">
        <f t="shared" si="92"/>
        <v>88.436833333333325</v>
      </c>
      <c r="T745" t="str">
        <f t="shared" si="93"/>
        <v>OK</v>
      </c>
      <c r="U745" t="str">
        <f t="shared" si="94"/>
        <v>OK</v>
      </c>
      <c r="V745" t="str">
        <f t="shared" si="95"/>
        <v>OK</v>
      </c>
    </row>
    <row r="746" spans="1:22" x14ac:dyDescent="0.45">
      <c r="A746" t="str">
        <v>SO-50314</v>
      </c>
      <c r="B746" t="str">
        <v>PL-NTE</v>
      </c>
      <c r="C746" t="str">
        <v>CD-TIJ</v>
      </c>
      <c r="D746" t="str">
        <v>LAC-1002</v>
      </c>
      <c r="E746">
        <v>2690</v>
      </c>
      <c r="F746" s="1">
        <v>46174</v>
      </c>
      <c r="G746" t="str">
        <v>In Transit</v>
      </c>
      <c r="H746" t="str">
        <v>OK</v>
      </c>
      <c r="I746">
        <v>7.71</v>
      </c>
      <c r="J746">
        <v>101</v>
      </c>
      <c r="K746">
        <v>23</v>
      </c>
      <c r="L746" t="str">
        <v>OK</v>
      </c>
      <c r="M746">
        <v>3</v>
      </c>
      <c r="O746">
        <f t="shared" si="88"/>
        <v>26.633663366336634</v>
      </c>
      <c r="P746">
        <f t="shared" si="89"/>
        <v>86.416250000000005</v>
      </c>
      <c r="Q746">
        <f t="shared" si="90"/>
        <v>80.708070807080716</v>
      </c>
      <c r="R746">
        <f t="shared" si="91"/>
        <v>1</v>
      </c>
      <c r="S746">
        <f t="shared" si="92"/>
        <v>86.416250000000005</v>
      </c>
      <c r="T746" t="str">
        <f t="shared" si="93"/>
        <v>OK</v>
      </c>
      <c r="U746" t="str">
        <f t="shared" si="94"/>
        <v>OK</v>
      </c>
      <c r="V746" t="str">
        <f t="shared" si="95"/>
        <v>OK</v>
      </c>
    </row>
    <row r="747" spans="1:22" x14ac:dyDescent="0.45">
      <c r="A747" t="str">
        <v>SO-50105</v>
      </c>
      <c r="B747" t="str">
        <v>PL-CEN</v>
      </c>
      <c r="C747" t="str">
        <v>CD-CDMX</v>
      </c>
      <c r="D747" t="str">
        <v>BOT-1014</v>
      </c>
      <c r="E747">
        <v>1300</v>
      </c>
      <c r="F747" s="1">
        <v>46176</v>
      </c>
      <c r="G747" t="str">
        <v>In Transit</v>
      </c>
      <c r="H747" t="str">
        <v>OK</v>
      </c>
      <c r="I747">
        <v>3.92</v>
      </c>
      <c r="J747">
        <v>49</v>
      </c>
      <c r="K747">
        <v>98</v>
      </c>
      <c r="L747" t="str">
        <v>OK</v>
      </c>
      <c r="M747">
        <v>1</v>
      </c>
      <c r="O747">
        <f t="shared" si="88"/>
        <v>26.530612244897959</v>
      </c>
      <c r="P747">
        <f t="shared" si="89"/>
        <v>21.233333333333334</v>
      </c>
      <c r="Q747">
        <f t="shared" si="90"/>
        <v>80.395794681508974</v>
      </c>
      <c r="R747">
        <f t="shared" si="91"/>
        <v>1</v>
      </c>
      <c r="S747">
        <f t="shared" si="92"/>
        <v>80.395794681508974</v>
      </c>
      <c r="T747" t="str">
        <f t="shared" si="93"/>
        <v>OK</v>
      </c>
      <c r="U747" t="str">
        <f t="shared" si="94"/>
        <v>OK</v>
      </c>
      <c r="V747" t="str">
        <f t="shared" si="95"/>
        <v>OK</v>
      </c>
    </row>
    <row r="748" spans="1:22" x14ac:dyDescent="0.45">
      <c r="A748" t="str">
        <v>SO-50238</v>
      </c>
      <c r="B748" t="str">
        <v>PL-SUR</v>
      </c>
      <c r="C748" t="str">
        <v>CD-MOR</v>
      </c>
      <c r="D748" t="str">
        <v>PRO-1005</v>
      </c>
      <c r="E748">
        <v>980</v>
      </c>
      <c r="F748" s="1">
        <v>46175</v>
      </c>
      <c r="G748" t="str">
        <v>In Transit</v>
      </c>
      <c r="H748" t="str">
        <v>OK</v>
      </c>
      <c r="I748">
        <v>11.02</v>
      </c>
      <c r="J748">
        <v>69</v>
      </c>
      <c r="K748">
        <v>86</v>
      </c>
      <c r="L748" t="str">
        <v>OK</v>
      </c>
      <c r="M748">
        <v>2</v>
      </c>
      <c r="O748">
        <f t="shared" si="88"/>
        <v>14.202898550724637</v>
      </c>
      <c r="P748">
        <f t="shared" si="89"/>
        <v>44.998333333333335</v>
      </c>
      <c r="Q748">
        <f t="shared" si="90"/>
        <v>43.039086517347386</v>
      </c>
      <c r="R748">
        <f t="shared" si="91"/>
        <v>1</v>
      </c>
      <c r="S748">
        <f t="shared" si="92"/>
        <v>44.998333333333335</v>
      </c>
      <c r="T748" t="str">
        <f t="shared" si="93"/>
        <v>CARGA INEFICIENTE</v>
      </c>
      <c r="U748" t="str">
        <f t="shared" si="94"/>
        <v>OK</v>
      </c>
      <c r="V748" t="str">
        <f t="shared" si="95"/>
        <v>OK</v>
      </c>
    </row>
    <row r="749" spans="1:22" x14ac:dyDescent="0.45">
      <c r="A749" t="str">
        <v>SO-50033</v>
      </c>
      <c r="B749" t="str">
        <v>PL-NTE</v>
      </c>
      <c r="C749" t="str">
        <v>CD-SAL</v>
      </c>
      <c r="D749" t="str">
        <v>PRO-1000</v>
      </c>
      <c r="E749">
        <v>1824</v>
      </c>
      <c r="F749" s="1">
        <v>46175</v>
      </c>
      <c r="G749" t="str">
        <v>In Transit</v>
      </c>
      <c r="H749" t="str">
        <v>OK</v>
      </c>
      <c r="I749">
        <v>12.51</v>
      </c>
      <c r="J749">
        <v>73</v>
      </c>
      <c r="K749">
        <v>75</v>
      </c>
      <c r="L749" t="str">
        <v>OK</v>
      </c>
      <c r="M749">
        <v>2</v>
      </c>
      <c r="O749">
        <f t="shared" si="88"/>
        <v>24.986301369863014</v>
      </c>
      <c r="P749">
        <f t="shared" si="89"/>
        <v>95.075999999999993</v>
      </c>
      <c r="Q749">
        <f t="shared" si="90"/>
        <v>75.716064757160652</v>
      </c>
      <c r="R749">
        <f t="shared" si="91"/>
        <v>1</v>
      </c>
      <c r="S749">
        <f t="shared" si="92"/>
        <v>95.075999999999993</v>
      </c>
      <c r="T749" t="str">
        <f t="shared" si="93"/>
        <v>OK</v>
      </c>
      <c r="U749" t="str">
        <f t="shared" si="94"/>
        <v>OK</v>
      </c>
      <c r="V749" t="str">
        <f t="shared" si="95"/>
        <v>OK</v>
      </c>
    </row>
    <row r="750" spans="1:22" x14ac:dyDescent="0.45">
      <c r="A750" t="str">
        <v>SO-50452</v>
      </c>
      <c r="B750" t="str">
        <v>PL-NTE</v>
      </c>
      <c r="C750" t="str">
        <v>CD-HER</v>
      </c>
      <c r="D750" t="str">
        <v>PRO-1015</v>
      </c>
      <c r="E750">
        <v>1248</v>
      </c>
      <c r="F750" s="1">
        <v>46173</v>
      </c>
      <c r="G750" t="str">
        <v>In Transit</v>
      </c>
      <c r="H750" t="str">
        <v>OK</v>
      </c>
      <c r="I750">
        <v>6.16</v>
      </c>
      <c r="J750">
        <v>104</v>
      </c>
      <c r="K750">
        <v>67</v>
      </c>
      <c r="L750" t="str">
        <v>OK</v>
      </c>
      <c r="M750">
        <v>4</v>
      </c>
      <c r="O750">
        <f t="shared" si="88"/>
        <v>12</v>
      </c>
      <c r="P750">
        <f t="shared" si="89"/>
        <v>32.031999999999996</v>
      </c>
      <c r="Q750">
        <f t="shared" si="90"/>
        <v>36.363636363636367</v>
      </c>
      <c r="R750">
        <f t="shared" si="91"/>
        <v>1</v>
      </c>
      <c r="S750">
        <f t="shared" si="92"/>
        <v>36.363636363636367</v>
      </c>
      <c r="T750" t="str">
        <f t="shared" si="93"/>
        <v>CARGA INEFICIENTE</v>
      </c>
      <c r="U750" t="str">
        <f t="shared" si="94"/>
        <v>OK</v>
      </c>
      <c r="V750" t="str">
        <f t="shared" si="95"/>
        <v>OK</v>
      </c>
    </row>
    <row r="751" spans="1:22" x14ac:dyDescent="0.45">
      <c r="A751" t="str">
        <v>SO-50595</v>
      </c>
      <c r="B751" t="str">
        <v>PL-NTE</v>
      </c>
      <c r="C751" t="str">
        <v>CD-CHI</v>
      </c>
      <c r="D751" t="str">
        <v>BEB-1009</v>
      </c>
      <c r="E751">
        <v>1163</v>
      </c>
      <c r="F751" s="1">
        <v>46176</v>
      </c>
      <c r="G751" t="str">
        <v>In Transit</v>
      </c>
      <c r="H751" t="str">
        <v>OK</v>
      </c>
      <c r="I751">
        <v>18.170000000000002</v>
      </c>
      <c r="J751">
        <v>61</v>
      </c>
      <c r="K751">
        <v>188</v>
      </c>
      <c r="L751" t="str">
        <v>OK</v>
      </c>
      <c r="M751">
        <v>1</v>
      </c>
      <c r="O751">
        <f t="shared" si="88"/>
        <v>19.065573770491802</v>
      </c>
      <c r="P751">
        <f t="shared" si="89"/>
        <v>88.048791666666688</v>
      </c>
      <c r="Q751">
        <f t="shared" si="90"/>
        <v>57.774465971187283</v>
      </c>
      <c r="R751">
        <f t="shared" si="91"/>
        <v>1</v>
      </c>
      <c r="S751">
        <f t="shared" si="92"/>
        <v>88.048791666666688</v>
      </c>
      <c r="T751" t="str">
        <f t="shared" si="93"/>
        <v>OK</v>
      </c>
      <c r="U751" t="str">
        <f t="shared" si="94"/>
        <v>OK</v>
      </c>
      <c r="V751" t="str">
        <f t="shared" si="95"/>
        <v>OK</v>
      </c>
    </row>
    <row r="752" spans="1:22" x14ac:dyDescent="0.45">
      <c r="A752" t="str">
        <v>SO-50049</v>
      </c>
      <c r="B752" t="str">
        <v>PL-NTE</v>
      </c>
      <c r="C752" t="str">
        <v>CD-SAL</v>
      </c>
      <c r="D752" t="str">
        <v>BEB-1006</v>
      </c>
      <c r="E752">
        <v>814</v>
      </c>
      <c r="F752" s="1">
        <v>46175</v>
      </c>
      <c r="G752" t="str">
        <v>In Transit</v>
      </c>
      <c r="H752" t="str">
        <v>OK</v>
      </c>
      <c r="I752">
        <v>17.18</v>
      </c>
      <c r="J752">
        <v>81</v>
      </c>
      <c r="K752">
        <v>293</v>
      </c>
      <c r="L752" t="str">
        <v>OK</v>
      </c>
      <c r="M752">
        <v>2</v>
      </c>
      <c r="O752">
        <f t="shared" si="88"/>
        <v>10.049382716049383</v>
      </c>
      <c r="P752">
        <f t="shared" si="89"/>
        <v>58.268833333333333</v>
      </c>
      <c r="Q752">
        <f t="shared" si="90"/>
        <v>30.452674897119341</v>
      </c>
      <c r="R752">
        <f t="shared" si="91"/>
        <v>1</v>
      </c>
      <c r="S752">
        <f t="shared" si="92"/>
        <v>58.268833333333333</v>
      </c>
      <c r="T752" t="str">
        <f t="shared" si="93"/>
        <v>CARGA INEFICIENTE</v>
      </c>
      <c r="U752" t="str">
        <f t="shared" si="94"/>
        <v>OK</v>
      </c>
      <c r="V752" t="str">
        <f t="shared" si="95"/>
        <v>OK</v>
      </c>
    </row>
    <row r="753" spans="1:22" x14ac:dyDescent="0.45">
      <c r="A753" t="str">
        <v>SO-50828</v>
      </c>
      <c r="B753" t="str">
        <v>PL-CEN</v>
      </c>
      <c r="C753" t="str">
        <v>CD-VER</v>
      </c>
      <c r="D753" t="str">
        <v>ABA-1000</v>
      </c>
      <c r="E753">
        <v>573</v>
      </c>
      <c r="F753" s="1">
        <v>46175</v>
      </c>
      <c r="G753" t="str">
        <v>In Transit</v>
      </c>
      <c r="H753" t="str">
        <v>OK</v>
      </c>
      <c r="I753">
        <v>15.2</v>
      </c>
      <c r="J753">
        <v>135</v>
      </c>
      <c r="K753">
        <v>361</v>
      </c>
      <c r="L753" t="str">
        <v>OK</v>
      </c>
      <c r="M753">
        <v>2</v>
      </c>
      <c r="O753">
        <f t="shared" si="88"/>
        <v>4.2444444444444445</v>
      </c>
      <c r="P753">
        <f t="shared" si="89"/>
        <v>36.29</v>
      </c>
      <c r="Q753">
        <f t="shared" si="90"/>
        <v>12.861952861952863</v>
      </c>
      <c r="R753">
        <f t="shared" si="91"/>
        <v>1</v>
      </c>
      <c r="S753">
        <f t="shared" si="92"/>
        <v>36.29</v>
      </c>
      <c r="T753" t="str">
        <f t="shared" si="93"/>
        <v>CARGA INEFICIENTE</v>
      </c>
      <c r="U753" t="str">
        <f t="shared" si="94"/>
        <v>OK</v>
      </c>
      <c r="V753" t="str">
        <f t="shared" si="95"/>
        <v>OK</v>
      </c>
    </row>
    <row r="754" spans="1:22" x14ac:dyDescent="0.45">
      <c r="A754" t="str">
        <v>SO-50582</v>
      </c>
      <c r="B754" t="str">
        <v>PL-SUR</v>
      </c>
      <c r="C754" t="str">
        <v>CD-CAN</v>
      </c>
      <c r="D754" t="str">
        <v>LAC-1002</v>
      </c>
      <c r="E754">
        <v>2499</v>
      </c>
      <c r="F754" s="1">
        <v>46173</v>
      </c>
      <c r="G754" t="str">
        <v>Delivered</v>
      </c>
      <c r="H754" t="str">
        <v>OK</v>
      </c>
      <c r="I754">
        <v>7.71</v>
      </c>
      <c r="J754">
        <v>101</v>
      </c>
      <c r="K754">
        <v>23</v>
      </c>
      <c r="L754" t="str">
        <v>OK</v>
      </c>
      <c r="M754">
        <v>4</v>
      </c>
      <c r="O754">
        <f t="shared" si="88"/>
        <v>24.742574257425744</v>
      </c>
      <c r="P754">
        <f t="shared" si="89"/>
        <v>80.280375000000006</v>
      </c>
      <c r="Q754">
        <f t="shared" si="90"/>
        <v>74.977497749774983</v>
      </c>
      <c r="R754">
        <f t="shared" si="91"/>
        <v>1</v>
      </c>
      <c r="S754">
        <f t="shared" si="92"/>
        <v>80.280375000000006</v>
      </c>
      <c r="T754" t="str">
        <f t="shared" si="93"/>
        <v>OK</v>
      </c>
      <c r="U754" t="str">
        <f t="shared" si="94"/>
        <v>OK</v>
      </c>
      <c r="V754" t="str">
        <f t="shared" si="95"/>
        <v>OK</v>
      </c>
    </row>
    <row r="755" spans="1:22" x14ac:dyDescent="0.45">
      <c r="A755" t="str">
        <v>SO-50979</v>
      </c>
      <c r="B755" t="str">
        <v>PL-NTE</v>
      </c>
      <c r="C755" t="str">
        <v>CD-SAL</v>
      </c>
      <c r="D755" t="str">
        <v>BOT-1020</v>
      </c>
      <c r="E755">
        <v>2050</v>
      </c>
      <c r="F755" s="1">
        <v>46176</v>
      </c>
      <c r="G755" t="str">
        <v>In Transit</v>
      </c>
      <c r="H755" t="str">
        <v>OK</v>
      </c>
      <c r="I755">
        <v>6.27</v>
      </c>
      <c r="J755">
        <v>67</v>
      </c>
      <c r="K755">
        <v>90</v>
      </c>
      <c r="L755" t="str">
        <v>OK</v>
      </c>
      <c r="M755">
        <v>1</v>
      </c>
      <c r="O755">
        <f t="shared" si="88"/>
        <v>30.597014925373134</v>
      </c>
      <c r="P755">
        <f t="shared" si="89"/>
        <v>53.556250000000006</v>
      </c>
      <c r="Q755">
        <f t="shared" si="90"/>
        <v>92.718227046585255</v>
      </c>
      <c r="R755">
        <f t="shared" si="91"/>
        <v>1</v>
      </c>
      <c r="S755">
        <f t="shared" si="92"/>
        <v>92.718227046585255</v>
      </c>
      <c r="T755" t="str">
        <f t="shared" si="93"/>
        <v>OK</v>
      </c>
      <c r="U755" t="str">
        <f t="shared" si="94"/>
        <v>OK</v>
      </c>
      <c r="V755" t="str">
        <f t="shared" si="95"/>
        <v>OK</v>
      </c>
    </row>
    <row r="756" spans="1:22" x14ac:dyDescent="0.45">
      <c r="A756" t="str">
        <v>SO-50202</v>
      </c>
      <c r="B756" t="str">
        <v>PL-SUR</v>
      </c>
      <c r="C756" t="str">
        <v>CD-GDL</v>
      </c>
      <c r="D756" t="str">
        <v>LAC-1006</v>
      </c>
      <c r="E756">
        <v>1926</v>
      </c>
      <c r="F756" s="1">
        <v>46176</v>
      </c>
      <c r="G756" t="str">
        <v>In Transit</v>
      </c>
      <c r="H756" t="str">
        <v>OK</v>
      </c>
      <c r="I756">
        <v>10.029999999999999</v>
      </c>
      <c r="J756">
        <v>126</v>
      </c>
      <c r="K756">
        <v>17</v>
      </c>
      <c r="L756" t="str">
        <v>OK</v>
      </c>
      <c r="M756">
        <v>1</v>
      </c>
      <c r="O756">
        <f t="shared" si="88"/>
        <v>15.285714285714286</v>
      </c>
      <c r="P756">
        <f t="shared" si="89"/>
        <v>80.490750000000006</v>
      </c>
      <c r="Q756">
        <f t="shared" si="90"/>
        <v>46.320346320346324</v>
      </c>
      <c r="R756">
        <f t="shared" si="91"/>
        <v>1</v>
      </c>
      <c r="S756">
        <f t="shared" si="92"/>
        <v>80.490750000000006</v>
      </c>
      <c r="T756" t="str">
        <f t="shared" si="93"/>
        <v>OK</v>
      </c>
      <c r="U756" t="str">
        <f t="shared" si="94"/>
        <v>OK</v>
      </c>
      <c r="V756" t="str">
        <f t="shared" si="95"/>
        <v>OK</v>
      </c>
    </row>
    <row r="757" spans="1:22" x14ac:dyDescent="0.45">
      <c r="A757" t="str">
        <v>SO-50975</v>
      </c>
      <c r="B757" t="str">
        <v>PL-SUR</v>
      </c>
      <c r="C757" t="str">
        <v>CD-LEO</v>
      </c>
      <c r="D757" t="str">
        <v>BOT-1021</v>
      </c>
      <c r="E757">
        <v>1263</v>
      </c>
      <c r="F757" s="1">
        <v>46176</v>
      </c>
      <c r="G757" t="str">
        <v>In Transit</v>
      </c>
      <c r="H757" t="str">
        <v>OK</v>
      </c>
      <c r="I757">
        <v>5.04</v>
      </c>
      <c r="J757">
        <v>47</v>
      </c>
      <c r="K757">
        <v>96</v>
      </c>
      <c r="L757" t="str">
        <v>OK</v>
      </c>
      <c r="M757">
        <v>1</v>
      </c>
      <c r="O757">
        <f t="shared" si="88"/>
        <v>26.872340425531913</v>
      </c>
      <c r="P757">
        <f t="shared" si="89"/>
        <v>26.523000000000003</v>
      </c>
      <c r="Q757">
        <f t="shared" si="90"/>
        <v>81.431334622823982</v>
      </c>
      <c r="R757">
        <f t="shared" si="91"/>
        <v>1</v>
      </c>
      <c r="S757">
        <f t="shared" si="92"/>
        <v>81.431334622823982</v>
      </c>
      <c r="T757" t="str">
        <f t="shared" si="93"/>
        <v>OK</v>
      </c>
      <c r="U757" t="str">
        <f t="shared" si="94"/>
        <v>OK</v>
      </c>
      <c r="V757" t="str">
        <f t="shared" si="95"/>
        <v>OK</v>
      </c>
    </row>
    <row r="758" spans="1:22" x14ac:dyDescent="0.45">
      <c r="A758" t="str">
        <v>SO-50148</v>
      </c>
      <c r="B758" t="str">
        <v>PL-SUR</v>
      </c>
      <c r="C758" t="str">
        <v>CD-LEO</v>
      </c>
      <c r="D758" t="str">
        <v>ABA-1007</v>
      </c>
      <c r="E758">
        <v>1954</v>
      </c>
      <c r="F758" s="1">
        <v>46175</v>
      </c>
      <c r="G758" t="str">
        <v>In Transit</v>
      </c>
      <c r="H758" t="str">
        <v>OK</v>
      </c>
      <c r="I758">
        <v>9.7899999999999991</v>
      </c>
      <c r="J758">
        <v>123</v>
      </c>
      <c r="K758">
        <v>334</v>
      </c>
      <c r="L758" t="str">
        <v>OK</v>
      </c>
      <c r="M758">
        <v>2</v>
      </c>
      <c r="O758">
        <f t="shared" si="88"/>
        <v>15.886178861788618</v>
      </c>
      <c r="P758">
        <f t="shared" si="89"/>
        <v>79.706916666666658</v>
      </c>
      <c r="Q758">
        <f t="shared" si="90"/>
        <v>48.139935944813992</v>
      </c>
      <c r="R758">
        <f t="shared" si="91"/>
        <v>1</v>
      </c>
      <c r="S758">
        <f t="shared" si="92"/>
        <v>79.706916666666658</v>
      </c>
      <c r="T758" t="str">
        <f t="shared" si="93"/>
        <v>OK</v>
      </c>
      <c r="U758" t="str">
        <f t="shared" si="94"/>
        <v>OK</v>
      </c>
      <c r="V758" t="str">
        <f t="shared" si="95"/>
        <v>OK</v>
      </c>
    </row>
    <row r="759" spans="1:22" x14ac:dyDescent="0.45">
      <c r="A759" t="str">
        <v>SO-50525</v>
      </c>
      <c r="B759" t="str">
        <v>PL-CEN</v>
      </c>
      <c r="C759" t="str">
        <v>CD-CDMX</v>
      </c>
      <c r="D759" t="str">
        <v>BEB-1014</v>
      </c>
      <c r="E759">
        <v>1565</v>
      </c>
      <c r="F759" s="1">
        <v>46176</v>
      </c>
      <c r="G759" t="str">
        <v>In Transit</v>
      </c>
      <c r="H759" t="str">
        <v>OK</v>
      </c>
      <c r="I759">
        <v>12.41</v>
      </c>
      <c r="J759">
        <v>95</v>
      </c>
      <c r="K759">
        <v>227</v>
      </c>
      <c r="L759" t="str">
        <v>OK</v>
      </c>
      <c r="M759">
        <v>1</v>
      </c>
      <c r="O759">
        <f t="shared" si="88"/>
        <v>16.473684210526315</v>
      </c>
      <c r="P759">
        <f t="shared" si="89"/>
        <v>80.923541666666679</v>
      </c>
      <c r="Q759">
        <f t="shared" si="90"/>
        <v>49.920255183413076</v>
      </c>
      <c r="R759">
        <f t="shared" si="91"/>
        <v>1</v>
      </c>
      <c r="S759">
        <f t="shared" si="92"/>
        <v>80.923541666666679</v>
      </c>
      <c r="T759" t="str">
        <f t="shared" si="93"/>
        <v>OK</v>
      </c>
      <c r="U759" t="str">
        <f t="shared" si="94"/>
        <v>OK</v>
      </c>
      <c r="V759" t="str">
        <f t="shared" si="95"/>
        <v>OK</v>
      </c>
    </row>
    <row r="760" spans="1:22" x14ac:dyDescent="0.45">
      <c r="A760" t="str">
        <v>SO-50593</v>
      </c>
      <c r="B760" t="str">
        <v>PL-NTE</v>
      </c>
      <c r="C760" t="str">
        <v>CD-CHI</v>
      </c>
      <c r="D760" t="str">
        <v>LAC-1006</v>
      </c>
      <c r="E760">
        <v>498</v>
      </c>
      <c r="F760" s="1">
        <v>46174</v>
      </c>
      <c r="G760" t="str">
        <v>In Transit</v>
      </c>
      <c r="H760" t="str">
        <v>OK</v>
      </c>
      <c r="I760">
        <v>10.029999999999999</v>
      </c>
      <c r="J760">
        <v>126</v>
      </c>
      <c r="K760">
        <v>17</v>
      </c>
      <c r="L760" t="str">
        <v>OK</v>
      </c>
      <c r="M760">
        <v>3</v>
      </c>
      <c r="O760">
        <f t="shared" si="88"/>
        <v>3.9523809523809526</v>
      </c>
      <c r="P760">
        <f t="shared" si="89"/>
        <v>20.812249999999999</v>
      </c>
      <c r="Q760">
        <f t="shared" si="90"/>
        <v>11.976911976911978</v>
      </c>
      <c r="R760">
        <f t="shared" si="91"/>
        <v>1</v>
      </c>
      <c r="S760">
        <f t="shared" si="92"/>
        <v>20.812249999999999</v>
      </c>
      <c r="T760" t="str">
        <f t="shared" si="93"/>
        <v>CARGA INEFICIENTE</v>
      </c>
      <c r="U760" t="str">
        <f t="shared" si="94"/>
        <v>OK</v>
      </c>
      <c r="V760" t="str">
        <f t="shared" si="95"/>
        <v>OK</v>
      </c>
    </row>
    <row r="761" spans="1:22" x14ac:dyDescent="0.45">
      <c r="A761" t="str">
        <v>SO-51065</v>
      </c>
      <c r="B761" t="str">
        <v>PL-SUR</v>
      </c>
      <c r="C761" t="str">
        <v>CD-LEO</v>
      </c>
      <c r="D761" t="str">
        <v>BEB-1008</v>
      </c>
      <c r="E761">
        <v>1139</v>
      </c>
      <c r="F761" s="1">
        <v>46175</v>
      </c>
      <c r="G761" t="str">
        <v>In Transit</v>
      </c>
      <c r="H761" t="str">
        <v>OK</v>
      </c>
      <c r="I761">
        <v>17.47</v>
      </c>
      <c r="J761">
        <v>65</v>
      </c>
      <c r="K761">
        <v>216</v>
      </c>
      <c r="L761" t="str">
        <v>OK</v>
      </c>
      <c r="M761">
        <v>2</v>
      </c>
      <c r="O761">
        <f t="shared" si="88"/>
        <v>17.523076923076925</v>
      </c>
      <c r="P761">
        <f t="shared" si="89"/>
        <v>82.909708333333327</v>
      </c>
      <c r="Q761">
        <f t="shared" si="90"/>
        <v>53.100233100233105</v>
      </c>
      <c r="R761">
        <f t="shared" si="91"/>
        <v>1</v>
      </c>
      <c r="S761">
        <f t="shared" si="92"/>
        <v>82.909708333333327</v>
      </c>
      <c r="T761" t="str">
        <f t="shared" si="93"/>
        <v>OK</v>
      </c>
      <c r="U761" t="str">
        <f t="shared" si="94"/>
        <v>OK</v>
      </c>
      <c r="V761" t="str">
        <f t="shared" si="95"/>
        <v>OK</v>
      </c>
    </row>
    <row r="762" spans="1:22" x14ac:dyDescent="0.45">
      <c r="A762" t="str">
        <v>SO-50475</v>
      </c>
      <c r="B762" t="str">
        <v>PL-NTE</v>
      </c>
      <c r="C762" t="str">
        <v>CD-HER</v>
      </c>
      <c r="D762" t="str">
        <v>BOT-1011</v>
      </c>
      <c r="E762">
        <v>1576</v>
      </c>
      <c r="F762" s="1">
        <v>46175</v>
      </c>
      <c r="G762" t="str">
        <v>In Transit</v>
      </c>
      <c r="H762" t="str">
        <v>OK</v>
      </c>
      <c r="I762">
        <v>3.43</v>
      </c>
      <c r="J762">
        <v>88</v>
      </c>
      <c r="K762">
        <v>109</v>
      </c>
      <c r="L762" t="str">
        <v>OK</v>
      </c>
      <c r="M762">
        <v>2</v>
      </c>
      <c r="O762">
        <f t="shared" si="88"/>
        <v>17.90909090909091</v>
      </c>
      <c r="P762">
        <f t="shared" si="89"/>
        <v>22.523666666666667</v>
      </c>
      <c r="Q762">
        <f t="shared" si="90"/>
        <v>54.269972451790636</v>
      </c>
      <c r="R762">
        <f t="shared" si="91"/>
        <v>1</v>
      </c>
      <c r="S762">
        <f t="shared" si="92"/>
        <v>54.269972451790636</v>
      </c>
      <c r="T762" t="str">
        <f t="shared" si="93"/>
        <v>CARGA INEFICIENTE</v>
      </c>
      <c r="U762" t="str">
        <f t="shared" si="94"/>
        <v>OK</v>
      </c>
      <c r="V762" t="str">
        <f t="shared" si="95"/>
        <v>OK</v>
      </c>
    </row>
    <row r="763" spans="1:22" x14ac:dyDescent="0.45">
      <c r="A763" t="str">
        <v>SO-51024</v>
      </c>
      <c r="B763" t="str">
        <v>PL-NTE</v>
      </c>
      <c r="C763" t="str">
        <v>CD-MTY</v>
      </c>
      <c r="D763" t="str">
        <v>LAC-1010</v>
      </c>
      <c r="E763">
        <v>3039</v>
      </c>
      <c r="F763" s="1">
        <v>46161</v>
      </c>
      <c r="G763" t="str">
        <v>In Transit</v>
      </c>
      <c r="H763" t="str">
        <v>OK</v>
      </c>
      <c r="I763">
        <v>6.24</v>
      </c>
      <c r="J763">
        <v>146</v>
      </c>
      <c r="K763">
        <v>24</v>
      </c>
      <c r="L763" t="str">
        <v>OK</v>
      </c>
      <c r="M763">
        <v>16</v>
      </c>
      <c r="O763">
        <f t="shared" si="88"/>
        <v>20.815068493150687</v>
      </c>
      <c r="P763">
        <f t="shared" si="89"/>
        <v>79.01400000000001</v>
      </c>
      <c r="Q763">
        <f t="shared" si="90"/>
        <v>63.075965130759656</v>
      </c>
      <c r="R763">
        <f t="shared" si="91"/>
        <v>1</v>
      </c>
      <c r="S763">
        <f t="shared" si="92"/>
        <v>79.01400000000001</v>
      </c>
      <c r="T763" t="str">
        <f t="shared" si="93"/>
        <v>OK</v>
      </c>
      <c r="U763" t="str">
        <f t="shared" si="94"/>
        <v>FEFO RIESGO</v>
      </c>
      <c r="V763" t="str">
        <f t="shared" si="95"/>
        <v>FANTASMA</v>
      </c>
    </row>
    <row r="764" spans="1:22" x14ac:dyDescent="0.45">
      <c r="A764" t="str">
        <v>SO-50417</v>
      </c>
      <c r="B764" t="str">
        <v>PL-SUR</v>
      </c>
      <c r="C764" t="str">
        <v>CD-LEO</v>
      </c>
      <c r="D764" t="str">
        <v>PRO-1004</v>
      </c>
      <c r="E764">
        <v>575</v>
      </c>
      <c r="F764" s="1">
        <v>46176</v>
      </c>
      <c r="G764" t="str">
        <v>In Transit</v>
      </c>
      <c r="H764" t="str">
        <v>OK</v>
      </c>
      <c r="I764">
        <v>12.77</v>
      </c>
      <c r="J764">
        <v>96</v>
      </c>
      <c r="K764">
        <v>122</v>
      </c>
      <c r="L764" t="str">
        <v>OK</v>
      </c>
      <c r="M764">
        <v>1</v>
      </c>
      <c r="O764">
        <f t="shared" si="88"/>
        <v>5.989583333333333</v>
      </c>
      <c r="P764">
        <f t="shared" si="89"/>
        <v>30.594791666666666</v>
      </c>
      <c r="Q764">
        <f t="shared" si="90"/>
        <v>18.150252525252526</v>
      </c>
      <c r="R764">
        <f t="shared" si="91"/>
        <v>1</v>
      </c>
      <c r="S764">
        <f t="shared" si="92"/>
        <v>30.594791666666666</v>
      </c>
      <c r="T764" t="str">
        <f t="shared" si="93"/>
        <v>CARGA INEFICIENTE</v>
      </c>
      <c r="U764" t="str">
        <f t="shared" si="94"/>
        <v>OK</v>
      </c>
      <c r="V764" t="str">
        <f t="shared" si="95"/>
        <v>OK</v>
      </c>
    </row>
    <row r="765" spans="1:22" x14ac:dyDescent="0.45">
      <c r="A765" t="str">
        <v>SO-50883</v>
      </c>
      <c r="B765" t="str">
        <v>PL-SUR</v>
      </c>
      <c r="C765" t="str">
        <v>CD-LEO</v>
      </c>
      <c r="D765" t="str">
        <v>BEB-1017</v>
      </c>
      <c r="E765">
        <v>407</v>
      </c>
      <c r="F765" s="1">
        <v>46176</v>
      </c>
      <c r="G765" t="str">
        <v>In Transit</v>
      </c>
      <c r="H765" t="str">
        <v>OK</v>
      </c>
      <c r="I765">
        <v>21.3</v>
      </c>
      <c r="J765">
        <v>108</v>
      </c>
      <c r="K765">
        <v>345</v>
      </c>
      <c r="L765" t="str">
        <v>OK</v>
      </c>
      <c r="M765">
        <v>1</v>
      </c>
      <c r="O765">
        <f t="shared" si="88"/>
        <v>3.7685185185185186</v>
      </c>
      <c r="P765">
        <f t="shared" si="89"/>
        <v>36.121249999999996</v>
      </c>
      <c r="Q765">
        <f t="shared" si="90"/>
        <v>11.419753086419753</v>
      </c>
      <c r="R765">
        <f t="shared" si="91"/>
        <v>1</v>
      </c>
      <c r="S765">
        <f t="shared" si="92"/>
        <v>36.121249999999996</v>
      </c>
      <c r="T765" t="str">
        <f t="shared" si="93"/>
        <v>CARGA INEFICIENTE</v>
      </c>
      <c r="U765" t="str">
        <f t="shared" si="94"/>
        <v>OK</v>
      </c>
      <c r="V765" t="str">
        <f t="shared" si="95"/>
        <v>OK</v>
      </c>
    </row>
    <row r="766" spans="1:22" x14ac:dyDescent="0.45">
      <c r="A766" t="str">
        <v>SO-50745</v>
      </c>
      <c r="B766" t="str">
        <v>PL-SUR</v>
      </c>
      <c r="C766" t="str">
        <v>CD-LEO</v>
      </c>
      <c r="D766" t="str">
        <v>BOT-1020</v>
      </c>
      <c r="E766">
        <v>1801</v>
      </c>
      <c r="F766" s="1">
        <v>46175</v>
      </c>
      <c r="G766" t="str">
        <v>In Transit</v>
      </c>
      <c r="H766" t="str">
        <v>OK</v>
      </c>
      <c r="I766">
        <v>6.27</v>
      </c>
      <c r="J766">
        <v>67</v>
      </c>
      <c r="K766">
        <v>90</v>
      </c>
      <c r="L766" t="str">
        <v>OK</v>
      </c>
      <c r="M766">
        <v>2</v>
      </c>
      <c r="O766">
        <f t="shared" si="88"/>
        <v>26.880597014925375</v>
      </c>
      <c r="P766">
        <f t="shared" si="89"/>
        <v>47.051124999999992</v>
      </c>
      <c r="Q766">
        <f t="shared" si="90"/>
        <v>81.456354590682949</v>
      </c>
      <c r="R766">
        <f t="shared" si="91"/>
        <v>1</v>
      </c>
      <c r="S766">
        <f t="shared" si="92"/>
        <v>81.456354590682949</v>
      </c>
      <c r="T766" t="str">
        <f t="shared" si="93"/>
        <v>OK</v>
      </c>
      <c r="U766" t="str">
        <f t="shared" si="94"/>
        <v>OK</v>
      </c>
      <c r="V766" t="str">
        <f t="shared" si="95"/>
        <v>OK</v>
      </c>
    </row>
    <row r="767" spans="1:22" x14ac:dyDescent="0.45">
      <c r="A767" t="str">
        <v>SO-51040</v>
      </c>
      <c r="B767" t="str">
        <v>PL-NTE</v>
      </c>
      <c r="C767" t="str">
        <v>CD-SAL</v>
      </c>
      <c r="D767" t="str">
        <v>LAC-1001</v>
      </c>
      <c r="E767">
        <v>1550</v>
      </c>
      <c r="F767" s="1">
        <v>46166</v>
      </c>
      <c r="G767" t="str">
        <v>In Transit</v>
      </c>
      <c r="H767" t="str">
        <v>OK</v>
      </c>
      <c r="I767">
        <v>7.51</v>
      </c>
      <c r="J767">
        <v>83</v>
      </c>
      <c r="K767">
        <v>18</v>
      </c>
      <c r="L767" t="str">
        <v>OK</v>
      </c>
      <c r="M767">
        <v>11</v>
      </c>
      <c r="O767">
        <f t="shared" si="88"/>
        <v>18.674698795180724</v>
      </c>
      <c r="P767">
        <f t="shared" si="89"/>
        <v>48.502083333333331</v>
      </c>
      <c r="Q767">
        <f t="shared" si="90"/>
        <v>56.589996349032504</v>
      </c>
      <c r="R767">
        <f t="shared" si="91"/>
        <v>1</v>
      </c>
      <c r="S767">
        <f t="shared" si="92"/>
        <v>56.589996349032504</v>
      </c>
      <c r="T767" t="str">
        <f t="shared" si="93"/>
        <v>CARGA INEFICIENTE</v>
      </c>
      <c r="U767" t="str">
        <f t="shared" si="94"/>
        <v>FEFO RIESGO</v>
      </c>
      <c r="V767" t="str">
        <f t="shared" si="95"/>
        <v>FANTASMA</v>
      </c>
    </row>
    <row r="768" spans="1:22" x14ac:dyDescent="0.45">
      <c r="A768" t="str">
        <v>SO-50374</v>
      </c>
      <c r="B768" t="str">
        <v>PL-SUR</v>
      </c>
      <c r="C768" t="str">
        <v>CD-MER</v>
      </c>
      <c r="D768" t="str">
        <v>PRO-1009</v>
      </c>
      <c r="E768">
        <v>1017</v>
      </c>
      <c r="F768" s="1">
        <v>46175</v>
      </c>
      <c r="G768" t="str">
        <v>In Transit</v>
      </c>
      <c r="H768" t="str">
        <v>OK</v>
      </c>
      <c r="I768">
        <v>11.96</v>
      </c>
      <c r="J768">
        <v>101</v>
      </c>
      <c r="K768">
        <v>90</v>
      </c>
      <c r="L768" t="str">
        <v>OK</v>
      </c>
      <c r="M768">
        <v>2</v>
      </c>
      <c r="O768">
        <f t="shared" si="88"/>
        <v>10.069306930693068</v>
      </c>
      <c r="P768">
        <f t="shared" si="89"/>
        <v>50.680500000000009</v>
      </c>
      <c r="Q768">
        <f t="shared" si="90"/>
        <v>30.51305130513051</v>
      </c>
      <c r="R768">
        <f t="shared" si="91"/>
        <v>1</v>
      </c>
      <c r="S768">
        <f t="shared" si="92"/>
        <v>50.680500000000009</v>
      </c>
      <c r="T768" t="str">
        <f t="shared" si="93"/>
        <v>CARGA INEFICIENTE</v>
      </c>
      <c r="U768" t="str">
        <f t="shared" si="94"/>
        <v>OK</v>
      </c>
      <c r="V768" t="str">
        <f t="shared" si="95"/>
        <v>OK</v>
      </c>
    </row>
    <row r="769" spans="1:22" x14ac:dyDescent="0.45">
      <c r="A769" t="str">
        <v>SO-51016</v>
      </c>
      <c r="B769" t="str">
        <v>PL-SUR</v>
      </c>
      <c r="C769" t="str">
        <v>CD-MER</v>
      </c>
      <c r="D769" t="str">
        <v>LAC-1014</v>
      </c>
      <c r="E769">
        <v>2367</v>
      </c>
      <c r="F769" s="1">
        <v>46159</v>
      </c>
      <c r="G769" t="str">
        <v>In Transit</v>
      </c>
      <c r="H769" t="str">
        <v>OK</v>
      </c>
      <c r="I769">
        <v>8.0500000000000007</v>
      </c>
      <c r="J769">
        <v>147</v>
      </c>
      <c r="K769">
        <v>28</v>
      </c>
      <c r="L769" t="str">
        <v>OK</v>
      </c>
      <c r="M769">
        <v>18</v>
      </c>
      <c r="O769">
        <f t="shared" si="88"/>
        <v>16.102040816326532</v>
      </c>
      <c r="P769">
        <f t="shared" si="89"/>
        <v>79.393125000000012</v>
      </c>
      <c r="Q769">
        <f t="shared" si="90"/>
        <v>48.794063079777374</v>
      </c>
      <c r="R769">
        <f t="shared" si="91"/>
        <v>1</v>
      </c>
      <c r="S769">
        <f t="shared" si="92"/>
        <v>79.393125000000012</v>
      </c>
      <c r="T769" t="str">
        <f t="shared" si="93"/>
        <v>OK</v>
      </c>
      <c r="U769" t="str">
        <f t="shared" si="94"/>
        <v>FEFO RIESGO</v>
      </c>
      <c r="V769" t="str">
        <f t="shared" si="95"/>
        <v>FANTASMA</v>
      </c>
    </row>
    <row r="770" spans="1:22" x14ac:dyDescent="0.45">
      <c r="A770" t="str">
        <v>SO-50016</v>
      </c>
      <c r="B770" t="str">
        <v>PL-CEN</v>
      </c>
      <c r="C770" t="str">
        <v>CD-TOL</v>
      </c>
      <c r="D770" t="str">
        <v>BOT-1007</v>
      </c>
      <c r="E770">
        <v>1343</v>
      </c>
      <c r="F770" s="1">
        <v>46175</v>
      </c>
      <c r="G770" t="str">
        <v>In Transit</v>
      </c>
      <c r="H770" t="str">
        <v>OK</v>
      </c>
      <c r="I770">
        <v>0</v>
      </c>
      <c r="J770">
        <v>49</v>
      </c>
      <c r="K770">
        <v>104</v>
      </c>
      <c r="L770" t="str">
        <v>OK</v>
      </c>
      <c r="M770">
        <v>2</v>
      </c>
      <c r="O770">
        <f t="shared" si="88"/>
        <v>27.408163265306122</v>
      </c>
      <c r="P770">
        <f t="shared" si="89"/>
        <v>0</v>
      </c>
      <c r="Q770">
        <f t="shared" si="90"/>
        <v>83.055040197897341</v>
      </c>
      <c r="R770">
        <f t="shared" si="91"/>
        <v>1</v>
      </c>
      <c r="S770">
        <f t="shared" si="92"/>
        <v>83.055040197897341</v>
      </c>
      <c r="T770" t="str">
        <f t="shared" si="93"/>
        <v>OK</v>
      </c>
      <c r="U770" t="str">
        <f t="shared" si="94"/>
        <v>OK</v>
      </c>
      <c r="V770" t="str">
        <f t="shared" si="95"/>
        <v>OK</v>
      </c>
    </row>
    <row r="771" spans="1:22" x14ac:dyDescent="0.45">
      <c r="A771" t="str">
        <v>SO-50304</v>
      </c>
      <c r="B771" t="str">
        <v>PL-SUR</v>
      </c>
      <c r="C771" t="str">
        <v>CD-MER</v>
      </c>
      <c r="D771" t="str">
        <v>LAC-1013</v>
      </c>
      <c r="E771">
        <v>2545</v>
      </c>
      <c r="F771" s="1">
        <v>46176</v>
      </c>
      <c r="G771" t="str">
        <v>In Transit</v>
      </c>
      <c r="H771" t="str">
        <v>OK</v>
      </c>
      <c r="I771">
        <v>8.32</v>
      </c>
      <c r="J771">
        <v>98</v>
      </c>
      <c r="K771">
        <v>16</v>
      </c>
      <c r="L771" t="str">
        <v>OK</v>
      </c>
      <c r="M771">
        <v>1</v>
      </c>
      <c r="O771">
        <f t="shared" ref="O771:O834" si="96">IF(L771="HUERFANO","n/a",IF(ISNUMBER(J771),E771/J771,"n/a"))</f>
        <v>25.969387755102041</v>
      </c>
      <c r="P771">
        <f t="shared" ref="P771:P834" si="97">IF(L771="HUERFANO","n/a",IFERROR(E771*I771/24000*100,""))</f>
        <v>88.226666666666674</v>
      </c>
      <c r="Q771">
        <f t="shared" ref="Q771:Q834" si="98">IF(L771="HUERFANO","n/a",IFERROR(O771/33*100,""))</f>
        <v>78.695114409400119</v>
      </c>
      <c r="R771">
        <f t="shared" ref="R771:R834" si="99">IF(L771="HUERFANO","n/a",IFERROR(MAX(CEILING(P771/100,1),CEILING(Q771/100,1)),""))</f>
        <v>1</v>
      </c>
      <c r="S771">
        <f t="shared" ref="S771:S834" si="100">IF(L771="HUERFANO","n/a",IFERROR(MAX(P771,Q771)/(R771*100)*100,""))</f>
        <v>88.226666666666674</v>
      </c>
      <c r="T771" t="str">
        <f t="shared" ref="T771:T834" si="101">IF(L771="HUERFANO","n/a",IF(S771&lt;75,"CARGA INEFICIENTE","OK"))</f>
        <v>OK</v>
      </c>
      <c r="U771" t="str">
        <f t="shared" ref="U771:U834" si="102">IF(L771="HUERFANO","n/a",IF(AND(LEFT(D771,3)="LAC",(K771-M771)/K771*100&lt;70),"FEFO RIESGO","OK"))</f>
        <v>OK</v>
      </c>
      <c r="V771" t="str">
        <f t="shared" ref="V771:V834" si="103">IF(L771="HUERFANO","n/a",IF(AND(G771="In Transit",M771&gt;5),"FANTASMA","OK"))</f>
        <v>OK</v>
      </c>
    </row>
    <row r="772" spans="1:22" x14ac:dyDescent="0.45">
      <c r="A772" t="str">
        <v>SO-50777</v>
      </c>
      <c r="B772" t="str">
        <v>PL-CEN</v>
      </c>
      <c r="C772" t="str">
        <v>CD-TOL</v>
      </c>
      <c r="D772" t="str">
        <v>BOT-1016</v>
      </c>
      <c r="E772">
        <v>371</v>
      </c>
      <c r="F772" s="1">
        <v>46176</v>
      </c>
      <c r="G772" t="str">
        <v>In Transit</v>
      </c>
      <c r="H772" t="str">
        <v>OK</v>
      </c>
      <c r="I772">
        <v>5.53</v>
      </c>
      <c r="J772">
        <v>42</v>
      </c>
      <c r="K772">
        <v>114</v>
      </c>
      <c r="L772" t="str">
        <v>OK</v>
      </c>
      <c r="M772">
        <v>1</v>
      </c>
      <c r="O772">
        <f t="shared" si="96"/>
        <v>8.8333333333333339</v>
      </c>
      <c r="P772">
        <f t="shared" si="97"/>
        <v>8.5484583333333344</v>
      </c>
      <c r="Q772">
        <f t="shared" si="98"/>
        <v>26.767676767676768</v>
      </c>
      <c r="R772">
        <f t="shared" si="99"/>
        <v>1</v>
      </c>
      <c r="S772">
        <f t="shared" si="100"/>
        <v>26.767676767676768</v>
      </c>
      <c r="T772" t="str">
        <f t="shared" si="101"/>
        <v>CARGA INEFICIENTE</v>
      </c>
      <c r="U772" t="str">
        <f t="shared" si="102"/>
        <v>OK</v>
      </c>
      <c r="V772" t="str">
        <f t="shared" si="103"/>
        <v>OK</v>
      </c>
    </row>
    <row r="773" spans="1:22" x14ac:dyDescent="0.45">
      <c r="A773" t="str">
        <v>SO-50549</v>
      </c>
      <c r="B773" t="str">
        <v>PL-SUR</v>
      </c>
      <c r="C773" t="str">
        <v>CD-GDL</v>
      </c>
      <c r="D773" t="str">
        <v>BEB-1019</v>
      </c>
      <c r="E773">
        <v>1439</v>
      </c>
      <c r="F773" s="1">
        <v>46176</v>
      </c>
      <c r="G773" t="str">
        <v>In Transit</v>
      </c>
      <c r="H773" t="str">
        <v>OK</v>
      </c>
      <c r="I773">
        <v>14.35</v>
      </c>
      <c r="J773">
        <v>70</v>
      </c>
      <c r="K773">
        <v>240</v>
      </c>
      <c r="L773" t="str">
        <v>OK</v>
      </c>
      <c r="M773">
        <v>1</v>
      </c>
      <c r="O773">
        <f t="shared" si="96"/>
        <v>20.557142857142857</v>
      </c>
      <c r="P773">
        <f t="shared" si="97"/>
        <v>86.040208333333325</v>
      </c>
      <c r="Q773">
        <f t="shared" si="98"/>
        <v>62.294372294372295</v>
      </c>
      <c r="R773">
        <f t="shared" si="99"/>
        <v>1</v>
      </c>
      <c r="S773">
        <f t="shared" si="100"/>
        <v>86.040208333333325</v>
      </c>
      <c r="T773" t="str">
        <f t="shared" si="101"/>
        <v>OK</v>
      </c>
      <c r="U773" t="str">
        <f t="shared" si="102"/>
        <v>OK</v>
      </c>
      <c r="V773" t="str">
        <f t="shared" si="103"/>
        <v>OK</v>
      </c>
    </row>
    <row r="774" spans="1:22" x14ac:dyDescent="0.45">
      <c r="A774" t="str">
        <v>SO-50293</v>
      </c>
      <c r="B774" t="str">
        <v>PL-CEN</v>
      </c>
      <c r="C774" t="str">
        <v>CD-TOL</v>
      </c>
      <c r="D774" t="str">
        <v>PRO-1011</v>
      </c>
      <c r="E774">
        <v>2305</v>
      </c>
      <c r="F774" s="1">
        <v>46176</v>
      </c>
      <c r="G774" t="str">
        <v>In Transit</v>
      </c>
      <c r="H774" t="str">
        <v>OK</v>
      </c>
      <c r="I774">
        <v>4.3600000000000003</v>
      </c>
      <c r="J774">
        <v>88</v>
      </c>
      <c r="K774">
        <v>108</v>
      </c>
      <c r="L774" t="str">
        <v>OK</v>
      </c>
      <c r="M774">
        <v>1</v>
      </c>
      <c r="O774">
        <f t="shared" si="96"/>
        <v>26.193181818181817</v>
      </c>
      <c r="P774">
        <f t="shared" si="97"/>
        <v>41.874166666666675</v>
      </c>
      <c r="Q774">
        <f t="shared" si="98"/>
        <v>79.373278236914587</v>
      </c>
      <c r="R774">
        <f t="shared" si="99"/>
        <v>1</v>
      </c>
      <c r="S774">
        <f t="shared" si="100"/>
        <v>79.373278236914587</v>
      </c>
      <c r="T774" t="str">
        <f t="shared" si="101"/>
        <v>OK</v>
      </c>
      <c r="U774" t="str">
        <f t="shared" si="102"/>
        <v>OK</v>
      </c>
      <c r="V774" t="str">
        <f t="shared" si="103"/>
        <v>OK</v>
      </c>
    </row>
    <row r="775" spans="1:22" x14ac:dyDescent="0.45">
      <c r="A775" t="str">
        <v>SO-50674</v>
      </c>
      <c r="B775" t="str">
        <v>PL-CEN</v>
      </c>
      <c r="C775" t="str">
        <v>CD-CDMX</v>
      </c>
      <c r="D775" t="str">
        <v>PRO-1009</v>
      </c>
      <c r="E775">
        <v>1631</v>
      </c>
      <c r="F775" s="1">
        <v>46176</v>
      </c>
      <c r="G775" t="str">
        <v>In Transit</v>
      </c>
      <c r="H775" t="str">
        <v>OK</v>
      </c>
      <c r="I775">
        <v>11.96</v>
      </c>
      <c r="J775">
        <v>101</v>
      </c>
      <c r="K775">
        <v>90</v>
      </c>
      <c r="L775" t="str">
        <v>OK</v>
      </c>
      <c r="M775">
        <v>1</v>
      </c>
      <c r="O775">
        <f t="shared" si="96"/>
        <v>16.14851485148515</v>
      </c>
      <c r="P775">
        <f t="shared" si="97"/>
        <v>81.278166666666678</v>
      </c>
      <c r="Q775">
        <f t="shared" si="98"/>
        <v>48.934893489348937</v>
      </c>
      <c r="R775">
        <f t="shared" si="99"/>
        <v>1</v>
      </c>
      <c r="S775">
        <f t="shared" si="100"/>
        <v>81.278166666666678</v>
      </c>
      <c r="T775" t="str">
        <f t="shared" si="101"/>
        <v>OK</v>
      </c>
      <c r="U775" t="str">
        <f t="shared" si="102"/>
        <v>OK</v>
      </c>
      <c r="V775" t="str">
        <f t="shared" si="103"/>
        <v>OK</v>
      </c>
    </row>
    <row r="776" spans="1:22" x14ac:dyDescent="0.45">
      <c r="A776" t="str">
        <v>SO-50954</v>
      </c>
      <c r="B776" t="str">
        <v>PL-CEN</v>
      </c>
      <c r="C776" t="str">
        <v>CD-TOL</v>
      </c>
      <c r="D776" t="str">
        <v>LAC-1003</v>
      </c>
      <c r="E776">
        <v>2292</v>
      </c>
      <c r="F776" s="1">
        <v>46175</v>
      </c>
      <c r="G776" t="str">
        <v>In Transit</v>
      </c>
      <c r="H776" t="str">
        <v>OK</v>
      </c>
      <c r="I776">
        <v>9.02</v>
      </c>
      <c r="J776">
        <v>114</v>
      </c>
      <c r="K776">
        <v>18</v>
      </c>
      <c r="L776" t="str">
        <v>OK</v>
      </c>
      <c r="M776">
        <v>2</v>
      </c>
      <c r="O776">
        <f t="shared" si="96"/>
        <v>20.105263157894736</v>
      </c>
      <c r="P776">
        <f t="shared" si="97"/>
        <v>86.141000000000005</v>
      </c>
      <c r="Q776">
        <f t="shared" si="98"/>
        <v>60.925039872408291</v>
      </c>
      <c r="R776">
        <f t="shared" si="99"/>
        <v>1</v>
      </c>
      <c r="S776">
        <f t="shared" si="100"/>
        <v>86.141000000000005</v>
      </c>
      <c r="T776" t="str">
        <f t="shared" si="101"/>
        <v>OK</v>
      </c>
      <c r="U776" t="str">
        <f t="shared" si="102"/>
        <v>OK</v>
      </c>
      <c r="V776" t="str">
        <f t="shared" si="103"/>
        <v>OK</v>
      </c>
    </row>
    <row r="777" spans="1:22" x14ac:dyDescent="0.45">
      <c r="A777" t="str">
        <v>SO-50381</v>
      </c>
      <c r="B777" t="str">
        <v>PL-CEN</v>
      </c>
      <c r="C777" t="str">
        <v>CD-VER</v>
      </c>
      <c r="D777" t="str">
        <v>PRO-1001</v>
      </c>
      <c r="E777">
        <v>1026</v>
      </c>
      <c r="F777" s="1">
        <v>46176</v>
      </c>
      <c r="G777" t="str">
        <v>In Transit</v>
      </c>
      <c r="H777" t="str">
        <v>OK</v>
      </c>
      <c r="I777">
        <v>9.57</v>
      </c>
      <c r="J777">
        <v>92</v>
      </c>
      <c r="K777">
        <v>122</v>
      </c>
      <c r="L777" t="str">
        <v>OK</v>
      </c>
      <c r="M777">
        <v>1</v>
      </c>
      <c r="O777">
        <f t="shared" si="96"/>
        <v>11.152173913043478</v>
      </c>
      <c r="P777">
        <f t="shared" si="97"/>
        <v>40.911749999999998</v>
      </c>
      <c r="Q777">
        <f t="shared" si="98"/>
        <v>33.794466403162055</v>
      </c>
      <c r="R777">
        <f t="shared" si="99"/>
        <v>1</v>
      </c>
      <c r="S777">
        <f t="shared" si="100"/>
        <v>40.911749999999998</v>
      </c>
      <c r="T777" t="str">
        <f t="shared" si="101"/>
        <v>CARGA INEFICIENTE</v>
      </c>
      <c r="U777" t="str">
        <f t="shared" si="102"/>
        <v>OK</v>
      </c>
      <c r="V777" t="str">
        <f t="shared" si="103"/>
        <v>OK</v>
      </c>
    </row>
    <row r="778" spans="1:22" x14ac:dyDescent="0.45">
      <c r="A778" t="str">
        <v>SO-50232</v>
      </c>
      <c r="B778" t="str">
        <v>PL-NTE</v>
      </c>
      <c r="C778" t="str">
        <v>CD-MTY</v>
      </c>
      <c r="D778" t="str">
        <v>BOT-1009</v>
      </c>
      <c r="E778">
        <v>688</v>
      </c>
      <c r="F778" s="1">
        <v>46176</v>
      </c>
      <c r="G778" t="str">
        <v>In Transit</v>
      </c>
      <c r="H778" t="str">
        <v>OK</v>
      </c>
      <c r="I778">
        <v>5.25</v>
      </c>
      <c r="J778">
        <v>76</v>
      </c>
      <c r="K778">
        <v>104</v>
      </c>
      <c r="L778" t="str">
        <v>OK</v>
      </c>
      <c r="M778">
        <v>1</v>
      </c>
      <c r="O778">
        <f t="shared" si="96"/>
        <v>9.0526315789473681</v>
      </c>
      <c r="P778">
        <f t="shared" si="97"/>
        <v>15.049999999999999</v>
      </c>
      <c r="Q778">
        <f t="shared" si="98"/>
        <v>27.432216905901115</v>
      </c>
      <c r="R778">
        <f t="shared" si="99"/>
        <v>1</v>
      </c>
      <c r="S778">
        <f t="shared" si="100"/>
        <v>27.432216905901115</v>
      </c>
      <c r="T778" t="str">
        <f t="shared" si="101"/>
        <v>CARGA INEFICIENTE</v>
      </c>
      <c r="U778" t="str">
        <f t="shared" si="102"/>
        <v>OK</v>
      </c>
      <c r="V778" t="str">
        <f t="shared" si="103"/>
        <v>OK</v>
      </c>
    </row>
    <row r="779" spans="1:22" x14ac:dyDescent="0.45">
      <c r="A779" t="str">
        <v>SO-51012</v>
      </c>
      <c r="B779" t="str">
        <v>PL-NTE</v>
      </c>
      <c r="C779" t="str">
        <v>CD-TIJ</v>
      </c>
      <c r="D779" t="str">
        <v>LAC-1014</v>
      </c>
      <c r="E779">
        <v>2806</v>
      </c>
      <c r="F779" s="1">
        <v>46159</v>
      </c>
      <c r="G779" t="str">
        <v>In Transit</v>
      </c>
      <c r="H779" t="str">
        <v>OK</v>
      </c>
      <c r="I779">
        <v>8.0500000000000007</v>
      </c>
      <c r="J779">
        <v>147</v>
      </c>
      <c r="K779">
        <v>28</v>
      </c>
      <c r="L779" t="str">
        <v>OK</v>
      </c>
      <c r="M779">
        <v>18</v>
      </c>
      <c r="O779">
        <f t="shared" si="96"/>
        <v>19.088435374149661</v>
      </c>
      <c r="P779">
        <f t="shared" si="97"/>
        <v>94.117916666666673</v>
      </c>
      <c r="Q779">
        <f t="shared" si="98"/>
        <v>57.843743558029281</v>
      </c>
      <c r="R779">
        <f t="shared" si="99"/>
        <v>1</v>
      </c>
      <c r="S779">
        <f t="shared" si="100"/>
        <v>94.117916666666673</v>
      </c>
      <c r="T779" t="str">
        <f t="shared" si="101"/>
        <v>OK</v>
      </c>
      <c r="U779" t="str">
        <f t="shared" si="102"/>
        <v>FEFO RIESGO</v>
      </c>
      <c r="V779" t="str">
        <f t="shared" si="103"/>
        <v>FANTASMA</v>
      </c>
    </row>
    <row r="780" spans="1:22" x14ac:dyDescent="0.45">
      <c r="A780" t="str">
        <v>SO-50693</v>
      </c>
      <c r="B780" t="str">
        <v>PL-CEN</v>
      </c>
      <c r="C780" t="str">
        <v>CD-PUE</v>
      </c>
      <c r="D780" t="str">
        <v>ABA-1007</v>
      </c>
      <c r="E780">
        <v>1958</v>
      </c>
      <c r="F780" s="1">
        <v>46176</v>
      </c>
      <c r="G780" t="str">
        <v>In Transit</v>
      </c>
      <c r="H780" t="str">
        <v>OK</v>
      </c>
      <c r="I780">
        <v>9.7899999999999991</v>
      </c>
      <c r="J780">
        <v>123</v>
      </c>
      <c r="K780">
        <v>334</v>
      </c>
      <c r="L780" t="str">
        <v>OK</v>
      </c>
      <c r="M780">
        <v>1</v>
      </c>
      <c r="O780">
        <f t="shared" si="96"/>
        <v>15.918699186991869</v>
      </c>
      <c r="P780">
        <f t="shared" si="97"/>
        <v>79.870083333333326</v>
      </c>
      <c r="Q780">
        <f t="shared" si="98"/>
        <v>48.238482384823847</v>
      </c>
      <c r="R780">
        <f t="shared" si="99"/>
        <v>1</v>
      </c>
      <c r="S780">
        <f t="shared" si="100"/>
        <v>79.870083333333326</v>
      </c>
      <c r="T780" t="str">
        <f t="shared" si="101"/>
        <v>OK</v>
      </c>
      <c r="U780" t="str">
        <f t="shared" si="102"/>
        <v>OK</v>
      </c>
      <c r="V780" t="str">
        <f t="shared" si="103"/>
        <v>OK</v>
      </c>
    </row>
    <row r="781" spans="1:22" x14ac:dyDescent="0.45">
      <c r="A781" t="str">
        <v>SO-50325</v>
      </c>
      <c r="B781" t="str">
        <v>PL-NTE</v>
      </c>
      <c r="C781" t="str">
        <v>CD-HER</v>
      </c>
      <c r="D781" t="str">
        <v>ABA-1019</v>
      </c>
      <c r="E781">
        <v>1438</v>
      </c>
      <c r="F781" s="1">
        <v>46176</v>
      </c>
      <c r="G781" t="str">
        <v>In Transit</v>
      </c>
      <c r="H781" t="str">
        <v>OK</v>
      </c>
      <c r="I781">
        <v>14.82</v>
      </c>
      <c r="J781">
        <v>132</v>
      </c>
      <c r="K781">
        <v>373</v>
      </c>
      <c r="L781" t="str">
        <v>OK</v>
      </c>
      <c r="M781">
        <v>1</v>
      </c>
      <c r="O781">
        <f t="shared" si="96"/>
        <v>10.893939393939394</v>
      </c>
      <c r="P781">
        <f t="shared" si="97"/>
        <v>88.796499999999995</v>
      </c>
      <c r="Q781">
        <f t="shared" si="98"/>
        <v>33.011937557392109</v>
      </c>
      <c r="R781">
        <f t="shared" si="99"/>
        <v>1</v>
      </c>
      <c r="S781">
        <f t="shared" si="100"/>
        <v>88.796499999999995</v>
      </c>
      <c r="T781" t="str">
        <f t="shared" si="101"/>
        <v>OK</v>
      </c>
      <c r="U781" t="str">
        <f t="shared" si="102"/>
        <v>OK</v>
      </c>
      <c r="V781" t="str">
        <f t="shared" si="103"/>
        <v>OK</v>
      </c>
    </row>
    <row r="782" spans="1:22" x14ac:dyDescent="0.45">
      <c r="A782" t="str">
        <v>SO-50114</v>
      </c>
      <c r="B782" t="str">
        <v>PL-NTE</v>
      </c>
      <c r="C782" t="str">
        <v>CD-TIJ</v>
      </c>
      <c r="D782" t="str">
        <v>BEB-1014</v>
      </c>
      <c r="E782">
        <v>1833</v>
      </c>
      <c r="F782" s="1">
        <v>46176</v>
      </c>
      <c r="G782" t="str">
        <v>In Transit</v>
      </c>
      <c r="H782" t="str">
        <v>OK</v>
      </c>
      <c r="I782">
        <v>12.41</v>
      </c>
      <c r="J782">
        <v>95</v>
      </c>
      <c r="K782">
        <v>227</v>
      </c>
      <c r="L782" t="str">
        <v>OK</v>
      </c>
      <c r="M782">
        <v>1</v>
      </c>
      <c r="O782">
        <f t="shared" si="96"/>
        <v>19.294736842105262</v>
      </c>
      <c r="P782">
        <f t="shared" si="97"/>
        <v>94.781374999999997</v>
      </c>
      <c r="Q782">
        <f t="shared" si="98"/>
        <v>58.468899521531092</v>
      </c>
      <c r="R782">
        <f t="shared" si="99"/>
        <v>1</v>
      </c>
      <c r="S782">
        <f t="shared" si="100"/>
        <v>94.781374999999997</v>
      </c>
      <c r="T782" t="str">
        <f t="shared" si="101"/>
        <v>OK</v>
      </c>
      <c r="U782" t="str">
        <f t="shared" si="102"/>
        <v>OK</v>
      </c>
      <c r="V782" t="str">
        <f t="shared" si="103"/>
        <v>OK</v>
      </c>
    </row>
    <row r="783" spans="1:22" x14ac:dyDescent="0.45">
      <c r="A783" t="str">
        <v>SO-50527</v>
      </c>
      <c r="B783" t="str">
        <v>PL-SUR</v>
      </c>
      <c r="C783" t="str">
        <v>CD-MER</v>
      </c>
      <c r="D783" t="str">
        <v>ABA-1001</v>
      </c>
      <c r="E783">
        <v>2259</v>
      </c>
      <c r="F783" s="1">
        <v>46175</v>
      </c>
      <c r="G783" t="str">
        <v>In Transit</v>
      </c>
      <c r="H783" t="str">
        <v>OK</v>
      </c>
      <c r="I783">
        <v>0</v>
      </c>
      <c r="J783">
        <v>100</v>
      </c>
      <c r="K783">
        <v>512</v>
      </c>
      <c r="L783" t="str">
        <v>OK</v>
      </c>
      <c r="M783">
        <v>2</v>
      </c>
      <c r="O783">
        <f t="shared" si="96"/>
        <v>22.59</v>
      </c>
      <c r="P783">
        <f t="shared" si="97"/>
        <v>0</v>
      </c>
      <c r="Q783">
        <f t="shared" si="98"/>
        <v>68.454545454545453</v>
      </c>
      <c r="R783">
        <f t="shared" si="99"/>
        <v>1</v>
      </c>
      <c r="S783">
        <f t="shared" si="100"/>
        <v>68.454545454545453</v>
      </c>
      <c r="T783" t="str">
        <f t="shared" si="101"/>
        <v>CARGA INEFICIENTE</v>
      </c>
      <c r="U783" t="str">
        <f t="shared" si="102"/>
        <v>OK</v>
      </c>
      <c r="V783" t="str">
        <f t="shared" si="103"/>
        <v>OK</v>
      </c>
    </row>
    <row r="784" spans="1:22" x14ac:dyDescent="0.45">
      <c r="A784" t="str">
        <v>SO-50722</v>
      </c>
      <c r="B784" t="str">
        <v>PL-SUR</v>
      </c>
      <c r="C784" t="str">
        <v>CD-MOR</v>
      </c>
      <c r="D784" t="str">
        <v>ABA-1005</v>
      </c>
      <c r="E784">
        <v>689</v>
      </c>
      <c r="F784" s="1">
        <v>46175</v>
      </c>
      <c r="G784" t="str">
        <v>In Transit</v>
      </c>
      <c r="H784" t="str">
        <v>OK</v>
      </c>
      <c r="I784">
        <v>13.31</v>
      </c>
      <c r="J784">
        <v>89</v>
      </c>
      <c r="K784">
        <v>313</v>
      </c>
      <c r="L784" t="str">
        <v>OK</v>
      </c>
      <c r="M784">
        <v>2</v>
      </c>
      <c r="O784">
        <f t="shared" si="96"/>
        <v>7.7415730337078648</v>
      </c>
      <c r="P784">
        <f t="shared" si="97"/>
        <v>38.210791666666665</v>
      </c>
      <c r="Q784">
        <f t="shared" si="98"/>
        <v>23.459312223357166</v>
      </c>
      <c r="R784">
        <f t="shared" si="99"/>
        <v>1</v>
      </c>
      <c r="S784">
        <f t="shared" si="100"/>
        <v>38.210791666666665</v>
      </c>
      <c r="T784" t="str">
        <f t="shared" si="101"/>
        <v>CARGA INEFICIENTE</v>
      </c>
      <c r="U784" t="str">
        <f t="shared" si="102"/>
        <v>OK</v>
      </c>
      <c r="V784" t="str">
        <f t="shared" si="103"/>
        <v>OK</v>
      </c>
    </row>
    <row r="785" spans="1:22" x14ac:dyDescent="0.45">
      <c r="A785" t="str">
        <v>SO-50085</v>
      </c>
      <c r="B785" t="str">
        <v>PL-CEN</v>
      </c>
      <c r="C785" t="str">
        <v>CD-PUE</v>
      </c>
      <c r="D785" t="str">
        <v>PRO-1000</v>
      </c>
      <c r="E785">
        <v>1603</v>
      </c>
      <c r="F785" s="1">
        <v>46176</v>
      </c>
      <c r="G785" t="str">
        <v>In Transit</v>
      </c>
      <c r="H785" t="str">
        <v>OK</v>
      </c>
      <c r="I785">
        <v>12.51</v>
      </c>
      <c r="J785">
        <v>73</v>
      </c>
      <c r="K785">
        <v>75</v>
      </c>
      <c r="L785" t="str">
        <v>OK</v>
      </c>
      <c r="M785">
        <v>1</v>
      </c>
      <c r="O785">
        <f t="shared" si="96"/>
        <v>21.958904109589042</v>
      </c>
      <c r="P785">
        <f t="shared" si="97"/>
        <v>83.556374999999989</v>
      </c>
      <c r="Q785">
        <f t="shared" si="98"/>
        <v>66.542133665421346</v>
      </c>
      <c r="R785">
        <f t="shared" si="99"/>
        <v>1</v>
      </c>
      <c r="S785">
        <f t="shared" si="100"/>
        <v>83.556374999999989</v>
      </c>
      <c r="T785" t="str">
        <f t="shared" si="101"/>
        <v>OK</v>
      </c>
      <c r="U785" t="str">
        <f t="shared" si="102"/>
        <v>OK</v>
      </c>
      <c r="V785" t="str">
        <f t="shared" si="103"/>
        <v>OK</v>
      </c>
    </row>
    <row r="786" spans="1:22" x14ac:dyDescent="0.45">
      <c r="A786" t="str">
        <v>SO-50132</v>
      </c>
      <c r="B786" t="str">
        <v>PL-CEN</v>
      </c>
      <c r="C786" t="str">
        <v>CD-TOL</v>
      </c>
      <c r="D786" t="str">
        <v>PRO-1006</v>
      </c>
      <c r="E786">
        <v>718</v>
      </c>
      <c r="F786" s="1">
        <v>46176</v>
      </c>
      <c r="G786" t="str">
        <v>In Transit</v>
      </c>
      <c r="H786" t="str">
        <v>OK</v>
      </c>
      <c r="I786">
        <v>12.09</v>
      </c>
      <c r="J786">
        <v>80</v>
      </c>
      <c r="K786">
        <v>138</v>
      </c>
      <c r="L786" t="str">
        <v>OK</v>
      </c>
      <c r="M786">
        <v>1</v>
      </c>
      <c r="O786">
        <f t="shared" si="96"/>
        <v>8.9749999999999996</v>
      </c>
      <c r="P786">
        <f t="shared" si="97"/>
        <v>36.169250000000005</v>
      </c>
      <c r="Q786">
        <f t="shared" si="98"/>
        <v>27.196969696969695</v>
      </c>
      <c r="R786">
        <f t="shared" si="99"/>
        <v>1</v>
      </c>
      <c r="S786">
        <f t="shared" si="100"/>
        <v>36.169250000000005</v>
      </c>
      <c r="T786" t="str">
        <f t="shared" si="101"/>
        <v>CARGA INEFICIENTE</v>
      </c>
      <c r="U786" t="str">
        <f t="shared" si="102"/>
        <v>OK</v>
      </c>
      <c r="V786" t="str">
        <f t="shared" si="103"/>
        <v>OK</v>
      </c>
    </row>
    <row r="787" spans="1:22" x14ac:dyDescent="0.45">
      <c r="A787" t="str">
        <v>SO-50672</v>
      </c>
      <c r="B787" t="str">
        <v>PL-NTE</v>
      </c>
      <c r="C787" t="str">
        <v>CD-TIJ</v>
      </c>
      <c r="D787" t="str">
        <v>LAC-1010</v>
      </c>
      <c r="E787">
        <v>3116</v>
      </c>
      <c r="F787" s="1">
        <v>46172</v>
      </c>
      <c r="G787" t="str">
        <v>In Transit</v>
      </c>
      <c r="H787" t="str">
        <v>OK</v>
      </c>
      <c r="I787">
        <v>6.24</v>
      </c>
      <c r="J787">
        <v>146</v>
      </c>
      <c r="K787">
        <v>24</v>
      </c>
      <c r="L787" t="str">
        <v>OK</v>
      </c>
      <c r="M787">
        <v>5</v>
      </c>
      <c r="O787">
        <f t="shared" si="96"/>
        <v>21.342465753424658</v>
      </c>
      <c r="P787">
        <f t="shared" si="97"/>
        <v>81.016000000000005</v>
      </c>
      <c r="Q787">
        <f t="shared" si="98"/>
        <v>64.674138646741383</v>
      </c>
      <c r="R787">
        <f t="shared" si="99"/>
        <v>1</v>
      </c>
      <c r="S787">
        <f t="shared" si="100"/>
        <v>81.016000000000005</v>
      </c>
      <c r="T787" t="str">
        <f t="shared" si="101"/>
        <v>OK</v>
      </c>
      <c r="U787" t="str">
        <f t="shared" si="102"/>
        <v>OK</v>
      </c>
      <c r="V787" t="str">
        <f t="shared" si="103"/>
        <v>OK</v>
      </c>
    </row>
    <row r="788" spans="1:22" x14ac:dyDescent="0.45">
      <c r="A788" t="str">
        <v>SO-50490</v>
      </c>
      <c r="B788" t="str">
        <v>PL-CEN</v>
      </c>
      <c r="C788" t="str">
        <v>CD-QRO</v>
      </c>
      <c r="D788" t="str">
        <v>PRO-1004</v>
      </c>
      <c r="E788">
        <v>1815</v>
      </c>
      <c r="F788" s="1">
        <v>46175</v>
      </c>
      <c r="G788" t="str">
        <v>In Transit</v>
      </c>
      <c r="H788" t="str">
        <v>OK</v>
      </c>
      <c r="I788">
        <v>12.77</v>
      </c>
      <c r="J788">
        <v>96</v>
      </c>
      <c r="K788">
        <v>122</v>
      </c>
      <c r="L788" t="str">
        <v>OK</v>
      </c>
      <c r="M788">
        <v>2</v>
      </c>
      <c r="O788">
        <f t="shared" si="96"/>
        <v>18.90625</v>
      </c>
      <c r="P788">
        <f t="shared" si="97"/>
        <v>96.57312499999999</v>
      </c>
      <c r="Q788">
        <f t="shared" si="98"/>
        <v>57.291666666666664</v>
      </c>
      <c r="R788">
        <f t="shared" si="99"/>
        <v>1</v>
      </c>
      <c r="S788">
        <f t="shared" si="100"/>
        <v>96.57312499999999</v>
      </c>
      <c r="T788" t="str">
        <f t="shared" si="101"/>
        <v>OK</v>
      </c>
      <c r="U788" t="str">
        <f t="shared" si="102"/>
        <v>OK</v>
      </c>
      <c r="V788" t="str">
        <f t="shared" si="103"/>
        <v>OK</v>
      </c>
    </row>
    <row r="789" spans="1:22" x14ac:dyDescent="0.45">
      <c r="A789" t="str">
        <v>SO-50388</v>
      </c>
      <c r="B789" t="str">
        <v>PL-CEN</v>
      </c>
      <c r="C789" t="str">
        <v>CD-CDMX</v>
      </c>
      <c r="D789" t="str">
        <v>BOT-1013</v>
      </c>
      <c r="E789">
        <v>684</v>
      </c>
      <c r="F789" s="1">
        <v>46176</v>
      </c>
      <c r="G789" t="str">
        <v>In Transit</v>
      </c>
      <c r="H789" t="str">
        <v>OK</v>
      </c>
      <c r="I789">
        <v>4</v>
      </c>
      <c r="J789">
        <v>58</v>
      </c>
      <c r="K789">
        <v>112</v>
      </c>
      <c r="L789" t="str">
        <v>OK</v>
      </c>
      <c r="M789">
        <v>1</v>
      </c>
      <c r="O789">
        <f t="shared" si="96"/>
        <v>11.793103448275861</v>
      </c>
      <c r="P789">
        <f t="shared" si="97"/>
        <v>11.4</v>
      </c>
      <c r="Q789">
        <f t="shared" si="98"/>
        <v>35.736677115987462</v>
      </c>
      <c r="R789">
        <f t="shared" si="99"/>
        <v>1</v>
      </c>
      <c r="S789">
        <f t="shared" si="100"/>
        <v>35.736677115987462</v>
      </c>
      <c r="T789" t="str">
        <f t="shared" si="101"/>
        <v>CARGA INEFICIENTE</v>
      </c>
      <c r="U789" t="str">
        <f t="shared" si="102"/>
        <v>OK</v>
      </c>
      <c r="V789" t="str">
        <f t="shared" si="103"/>
        <v>OK</v>
      </c>
    </row>
    <row r="790" spans="1:22" x14ac:dyDescent="0.45">
      <c r="A790" t="str">
        <v>SO-50648</v>
      </c>
      <c r="B790" t="str">
        <v>PL-NTE</v>
      </c>
      <c r="C790" t="str">
        <v>CD-SAL</v>
      </c>
      <c r="D790" t="str">
        <v>BOT-1008</v>
      </c>
      <c r="E790">
        <v>1938</v>
      </c>
      <c r="F790" s="1">
        <v>46176</v>
      </c>
      <c r="G790" t="str">
        <v>In Transit</v>
      </c>
      <c r="H790" t="str">
        <v>OK</v>
      </c>
      <c r="I790">
        <v>3.48</v>
      </c>
      <c r="J790">
        <v>66</v>
      </c>
      <c r="K790">
        <v>112</v>
      </c>
      <c r="L790" t="str">
        <v>OK</v>
      </c>
      <c r="M790">
        <v>1</v>
      </c>
      <c r="O790">
        <f t="shared" si="96"/>
        <v>29.363636363636363</v>
      </c>
      <c r="P790">
        <f t="shared" si="97"/>
        <v>28.100999999999999</v>
      </c>
      <c r="Q790">
        <f t="shared" si="98"/>
        <v>88.980716253443532</v>
      </c>
      <c r="R790">
        <f t="shared" si="99"/>
        <v>1</v>
      </c>
      <c r="S790">
        <f t="shared" si="100"/>
        <v>88.980716253443532</v>
      </c>
      <c r="T790" t="str">
        <f t="shared" si="101"/>
        <v>OK</v>
      </c>
      <c r="U790" t="str">
        <f t="shared" si="102"/>
        <v>OK</v>
      </c>
      <c r="V790" t="str">
        <f t="shared" si="103"/>
        <v>OK</v>
      </c>
    </row>
    <row r="791" spans="1:22" x14ac:dyDescent="0.45">
      <c r="A791" t="str">
        <v>SO-50482</v>
      </c>
      <c r="B791" t="str">
        <v>PL-SUR</v>
      </c>
      <c r="C791" t="str">
        <v>CD-CAN</v>
      </c>
      <c r="D791" t="str">
        <v>BOT-1012</v>
      </c>
      <c r="E791">
        <v>2074</v>
      </c>
      <c r="F791" s="1">
        <v>46174</v>
      </c>
      <c r="G791" t="str">
        <v>In Transit</v>
      </c>
      <c r="H791" t="str">
        <v>OK</v>
      </c>
      <c r="I791">
        <v>4.26</v>
      </c>
      <c r="J791">
        <v>68</v>
      </c>
      <c r="K791">
        <v>117</v>
      </c>
      <c r="L791" t="str">
        <v>OK</v>
      </c>
      <c r="M791">
        <v>3</v>
      </c>
      <c r="O791">
        <f t="shared" si="96"/>
        <v>30.5</v>
      </c>
      <c r="P791">
        <f t="shared" si="97"/>
        <v>36.813499999999998</v>
      </c>
      <c r="Q791">
        <f t="shared" si="98"/>
        <v>92.424242424242422</v>
      </c>
      <c r="R791">
        <f t="shared" si="99"/>
        <v>1</v>
      </c>
      <c r="S791">
        <f t="shared" si="100"/>
        <v>92.424242424242422</v>
      </c>
      <c r="T791" t="str">
        <f t="shared" si="101"/>
        <v>OK</v>
      </c>
      <c r="U791" t="str">
        <f t="shared" si="102"/>
        <v>OK</v>
      </c>
      <c r="V791" t="str">
        <f t="shared" si="103"/>
        <v>OK</v>
      </c>
    </row>
    <row r="792" spans="1:22" x14ac:dyDescent="0.45">
      <c r="A792" t="str">
        <v>SO-50694</v>
      </c>
      <c r="B792" t="str">
        <v>PL-CEN</v>
      </c>
      <c r="C792" t="str">
        <v>CD-CDMX</v>
      </c>
      <c r="D792" t="str">
        <v>BEB-1011</v>
      </c>
      <c r="E792">
        <v>939</v>
      </c>
      <c r="F792" s="1">
        <v>46176</v>
      </c>
      <c r="G792" t="str">
        <v>Delivered</v>
      </c>
      <c r="H792" t="str">
        <v>OK</v>
      </c>
      <c r="I792">
        <v>23.39</v>
      </c>
      <c r="J792">
        <v>79</v>
      </c>
      <c r="K792">
        <v>329</v>
      </c>
      <c r="L792" t="str">
        <v>OK</v>
      </c>
      <c r="M792">
        <v>1</v>
      </c>
      <c r="O792">
        <f t="shared" si="96"/>
        <v>11.886075949367088</v>
      </c>
      <c r="P792">
        <f t="shared" si="97"/>
        <v>91.513374999999996</v>
      </c>
      <c r="Q792">
        <f t="shared" si="98"/>
        <v>36.018411967779059</v>
      </c>
      <c r="R792">
        <f t="shared" si="99"/>
        <v>1</v>
      </c>
      <c r="S792">
        <f t="shared" si="100"/>
        <v>91.513374999999996</v>
      </c>
      <c r="T792" t="str">
        <f t="shared" si="101"/>
        <v>OK</v>
      </c>
      <c r="U792" t="str">
        <f t="shared" si="102"/>
        <v>OK</v>
      </c>
      <c r="V792" t="str">
        <f t="shared" si="103"/>
        <v>OK</v>
      </c>
    </row>
    <row r="793" spans="1:22" x14ac:dyDescent="0.45">
      <c r="A793" t="str">
        <v>SO-50566</v>
      </c>
      <c r="B793" t="str">
        <v>PL-NTE</v>
      </c>
      <c r="C793" t="str">
        <v>CD-TIJ</v>
      </c>
      <c r="D793" t="str">
        <v>ABA-1011</v>
      </c>
      <c r="E793">
        <v>649</v>
      </c>
      <c r="F793" s="1">
        <v>46175</v>
      </c>
      <c r="G793" t="str">
        <v>In Transit</v>
      </c>
      <c r="H793" t="str">
        <v>OK</v>
      </c>
      <c r="I793">
        <v>9.9499999999999993</v>
      </c>
      <c r="J793">
        <v>106</v>
      </c>
      <c r="K793">
        <v>376</v>
      </c>
      <c r="L793" t="str">
        <v>OK</v>
      </c>
      <c r="M793">
        <v>2</v>
      </c>
      <c r="O793">
        <f t="shared" si="96"/>
        <v>6.1226415094339623</v>
      </c>
      <c r="P793">
        <f t="shared" si="97"/>
        <v>26.906458333333333</v>
      </c>
      <c r="Q793">
        <f t="shared" si="98"/>
        <v>18.553459119496857</v>
      </c>
      <c r="R793">
        <f t="shared" si="99"/>
        <v>1</v>
      </c>
      <c r="S793">
        <f t="shared" si="100"/>
        <v>26.906458333333333</v>
      </c>
      <c r="T793" t="str">
        <f t="shared" si="101"/>
        <v>CARGA INEFICIENTE</v>
      </c>
      <c r="U793" t="str">
        <f t="shared" si="102"/>
        <v>OK</v>
      </c>
      <c r="V793" t="str">
        <f t="shared" si="103"/>
        <v>OK</v>
      </c>
    </row>
    <row r="794" spans="1:22" x14ac:dyDescent="0.45">
      <c r="A794" t="str">
        <v>SO-51042</v>
      </c>
      <c r="B794" t="str">
        <v>PL-SUR</v>
      </c>
      <c r="C794" t="str">
        <v>CD-GDL</v>
      </c>
      <c r="D794" t="str">
        <v>ABA-1015</v>
      </c>
      <c r="E794">
        <v>2361</v>
      </c>
      <c r="F794" s="1">
        <v>46175</v>
      </c>
      <c r="G794" t="str">
        <v>In Transit</v>
      </c>
      <c r="H794" t="str">
        <v>OK</v>
      </c>
      <c r="I794">
        <v>8.19</v>
      </c>
      <c r="J794">
        <v>82</v>
      </c>
      <c r="K794">
        <v>317</v>
      </c>
      <c r="L794" t="str">
        <v>OK</v>
      </c>
      <c r="M794">
        <v>2</v>
      </c>
      <c r="O794">
        <f t="shared" si="96"/>
        <v>28.792682926829269</v>
      </c>
      <c r="P794">
        <f t="shared" si="97"/>
        <v>80.569125</v>
      </c>
      <c r="Q794">
        <f t="shared" si="98"/>
        <v>87.250554323725055</v>
      </c>
      <c r="R794">
        <f t="shared" si="99"/>
        <v>1</v>
      </c>
      <c r="S794">
        <f t="shared" si="100"/>
        <v>87.250554323725055</v>
      </c>
      <c r="T794" t="str">
        <f t="shared" si="101"/>
        <v>OK</v>
      </c>
      <c r="U794" t="str">
        <f t="shared" si="102"/>
        <v>OK</v>
      </c>
      <c r="V794" t="str">
        <f t="shared" si="103"/>
        <v>OK</v>
      </c>
    </row>
    <row r="795" spans="1:22" x14ac:dyDescent="0.45">
      <c r="A795" t="str">
        <v>SO-50276</v>
      </c>
      <c r="B795" t="str">
        <v>PL-NTE</v>
      </c>
      <c r="C795" t="str">
        <v>CD-CHI</v>
      </c>
      <c r="D795" t="str">
        <v>BOT-1007</v>
      </c>
      <c r="E795">
        <v>1690</v>
      </c>
      <c r="F795" s="1">
        <v>46175</v>
      </c>
      <c r="G795" t="str">
        <v>In Transit</v>
      </c>
      <c r="H795" t="str">
        <v>OK</v>
      </c>
      <c r="I795">
        <v>0</v>
      </c>
      <c r="J795">
        <v>49</v>
      </c>
      <c r="K795">
        <v>104</v>
      </c>
      <c r="L795" t="str">
        <v>OK</v>
      </c>
      <c r="M795">
        <v>2</v>
      </c>
      <c r="O795">
        <f t="shared" si="96"/>
        <v>34.489795918367349</v>
      </c>
      <c r="P795">
        <f t="shared" si="97"/>
        <v>0</v>
      </c>
      <c r="Q795">
        <f t="shared" si="98"/>
        <v>104.51453308596166</v>
      </c>
      <c r="R795">
        <f t="shared" si="99"/>
        <v>2</v>
      </c>
      <c r="S795">
        <f t="shared" si="100"/>
        <v>52.25726654298083</v>
      </c>
      <c r="T795" t="str">
        <f t="shared" si="101"/>
        <v>CARGA INEFICIENTE</v>
      </c>
      <c r="U795" t="str">
        <f t="shared" si="102"/>
        <v>OK</v>
      </c>
      <c r="V795" t="str">
        <f t="shared" si="103"/>
        <v>OK</v>
      </c>
    </row>
    <row r="796" spans="1:22" x14ac:dyDescent="0.45">
      <c r="A796" t="str">
        <v>SO-50736</v>
      </c>
      <c r="B796" t="str">
        <v>PL-SUR</v>
      </c>
      <c r="C796" t="str">
        <v>CD-CAN</v>
      </c>
      <c r="D796" t="str">
        <v>XXX-8514</v>
      </c>
      <c r="E796">
        <v>1238</v>
      </c>
      <c r="F796" s="1">
        <v>46174</v>
      </c>
      <c r="G796" t="str">
        <v>In Transit</v>
      </c>
      <c r="H796" t="str">
        <v>OK</v>
      </c>
      <c r="I796">
        <v>0</v>
      </c>
      <c r="J796">
        <v>0</v>
      </c>
      <c r="K796">
        <v>0</v>
      </c>
      <c r="L796" t="str">
        <v>HUERFANO</v>
      </c>
      <c r="M796">
        <v>3</v>
      </c>
      <c r="O796" t="str">
        <f t="shared" si="96"/>
        <v>n/a</v>
      </c>
      <c r="P796" t="str">
        <f t="shared" si="97"/>
        <v>n/a</v>
      </c>
      <c r="Q796" t="str">
        <f t="shared" si="98"/>
        <v>n/a</v>
      </c>
      <c r="R796" t="str">
        <f t="shared" si="99"/>
        <v>n/a</v>
      </c>
      <c r="S796" t="str">
        <f t="shared" si="100"/>
        <v>n/a</v>
      </c>
      <c r="T796" t="str">
        <f t="shared" si="101"/>
        <v>n/a</v>
      </c>
      <c r="U796" t="str">
        <f t="shared" si="102"/>
        <v>n/a</v>
      </c>
      <c r="V796" t="str">
        <f t="shared" si="103"/>
        <v>n/a</v>
      </c>
    </row>
    <row r="797" spans="1:22" x14ac:dyDescent="0.45">
      <c r="A797" t="str">
        <v>SO-50239</v>
      </c>
      <c r="B797" t="str">
        <v>PL-CEN</v>
      </c>
      <c r="C797" t="str">
        <v>CD-PUE</v>
      </c>
      <c r="D797" t="str">
        <v>LAC-1017</v>
      </c>
      <c r="E797">
        <v>825</v>
      </c>
      <c r="F797" s="1">
        <v>46176</v>
      </c>
      <c r="G797" t="str">
        <v>In Transit</v>
      </c>
      <c r="H797" t="str">
        <v>OK</v>
      </c>
      <c r="I797">
        <v>7.45</v>
      </c>
      <c r="J797">
        <v>147</v>
      </c>
      <c r="K797">
        <v>28</v>
      </c>
      <c r="L797" t="str">
        <v>OK</v>
      </c>
      <c r="M797">
        <v>1</v>
      </c>
      <c r="O797">
        <f t="shared" si="96"/>
        <v>5.6122448979591839</v>
      </c>
      <c r="P797">
        <f t="shared" si="97"/>
        <v>25.609375</v>
      </c>
      <c r="Q797">
        <f t="shared" si="98"/>
        <v>17.006802721088434</v>
      </c>
      <c r="R797">
        <f t="shared" si="99"/>
        <v>1</v>
      </c>
      <c r="S797">
        <f t="shared" si="100"/>
        <v>25.609375</v>
      </c>
      <c r="T797" t="str">
        <f t="shared" si="101"/>
        <v>CARGA INEFICIENTE</v>
      </c>
      <c r="U797" t="str">
        <f t="shared" si="102"/>
        <v>OK</v>
      </c>
      <c r="V797" t="str">
        <f t="shared" si="103"/>
        <v>OK</v>
      </c>
    </row>
    <row r="798" spans="1:22" x14ac:dyDescent="0.45">
      <c r="A798" t="str">
        <v>SO-50663</v>
      </c>
      <c r="B798" t="str">
        <v>PL-NTE</v>
      </c>
      <c r="C798" t="str">
        <v>CD-HER</v>
      </c>
      <c r="D798" t="str">
        <v>ABA-1017</v>
      </c>
      <c r="E798">
        <v>1846</v>
      </c>
      <c r="F798" s="1">
        <v>46174</v>
      </c>
      <c r="G798" t="str">
        <v>In Transit</v>
      </c>
      <c r="H798" t="str">
        <v>OK</v>
      </c>
      <c r="I798">
        <v>10.96</v>
      </c>
      <c r="J798">
        <v>128</v>
      </c>
      <c r="K798">
        <v>520</v>
      </c>
      <c r="L798" t="str">
        <v>OK</v>
      </c>
      <c r="M798">
        <v>3</v>
      </c>
      <c r="O798">
        <f t="shared" si="96"/>
        <v>14.421875</v>
      </c>
      <c r="P798">
        <f t="shared" si="97"/>
        <v>84.300666666666672</v>
      </c>
      <c r="Q798">
        <f t="shared" si="98"/>
        <v>43.702651515151516</v>
      </c>
      <c r="R798">
        <f t="shared" si="99"/>
        <v>1</v>
      </c>
      <c r="S798">
        <f t="shared" si="100"/>
        <v>84.300666666666672</v>
      </c>
      <c r="T798" t="str">
        <f t="shared" si="101"/>
        <v>OK</v>
      </c>
      <c r="U798" t="str">
        <f t="shared" si="102"/>
        <v>OK</v>
      </c>
      <c r="V798" t="str">
        <f t="shared" si="103"/>
        <v>OK</v>
      </c>
    </row>
    <row r="799" spans="1:22" x14ac:dyDescent="0.45">
      <c r="A799" t="str">
        <v>SO-50111</v>
      </c>
      <c r="B799" t="str">
        <v>PL-SUR</v>
      </c>
      <c r="C799" t="str">
        <v>CD-GDL</v>
      </c>
      <c r="D799" t="str">
        <v>ABA-1006</v>
      </c>
      <c r="E799">
        <v>574</v>
      </c>
      <c r="F799" s="1">
        <v>46176</v>
      </c>
      <c r="G799" t="str">
        <v>In Transit</v>
      </c>
      <c r="H799" t="str">
        <v>OK</v>
      </c>
      <c r="I799">
        <v>12.39</v>
      </c>
      <c r="J799">
        <v>134</v>
      </c>
      <c r="K799">
        <v>446</v>
      </c>
      <c r="L799" t="str">
        <v>OK</v>
      </c>
      <c r="M799">
        <v>1</v>
      </c>
      <c r="O799">
        <f t="shared" si="96"/>
        <v>4.2835820895522385</v>
      </c>
      <c r="P799">
        <f t="shared" si="97"/>
        <v>29.632750000000001</v>
      </c>
      <c r="Q799">
        <f t="shared" si="98"/>
        <v>12.980551786521936</v>
      </c>
      <c r="R799">
        <f t="shared" si="99"/>
        <v>1</v>
      </c>
      <c r="S799">
        <f t="shared" si="100"/>
        <v>29.632750000000001</v>
      </c>
      <c r="T799" t="str">
        <f t="shared" si="101"/>
        <v>CARGA INEFICIENTE</v>
      </c>
      <c r="U799" t="str">
        <f t="shared" si="102"/>
        <v>OK</v>
      </c>
      <c r="V799" t="str">
        <f t="shared" si="103"/>
        <v>OK</v>
      </c>
    </row>
    <row r="800" spans="1:22" x14ac:dyDescent="0.45">
      <c r="A800" t="str">
        <v>SO-50870</v>
      </c>
      <c r="B800" t="str">
        <v>PL-CEN</v>
      </c>
      <c r="C800" t="str">
        <v>CD-PUE</v>
      </c>
      <c r="D800" t="str">
        <v>BOT-1012</v>
      </c>
      <c r="E800">
        <v>2055</v>
      </c>
      <c r="F800" s="1">
        <v>46176</v>
      </c>
      <c r="G800" t="str">
        <v>In Transit</v>
      </c>
      <c r="H800" t="str">
        <v>OK</v>
      </c>
      <c r="I800">
        <v>4.26</v>
      </c>
      <c r="J800">
        <v>68</v>
      </c>
      <c r="K800">
        <v>117</v>
      </c>
      <c r="L800" t="str">
        <v>OK</v>
      </c>
      <c r="M800">
        <v>1</v>
      </c>
      <c r="O800">
        <f t="shared" si="96"/>
        <v>30.220588235294116</v>
      </c>
      <c r="P800">
        <f t="shared" si="97"/>
        <v>36.47625</v>
      </c>
      <c r="Q800">
        <f t="shared" si="98"/>
        <v>91.577540106951872</v>
      </c>
      <c r="R800">
        <f t="shared" si="99"/>
        <v>1</v>
      </c>
      <c r="S800">
        <f t="shared" si="100"/>
        <v>91.577540106951872</v>
      </c>
      <c r="T800" t="str">
        <f t="shared" si="101"/>
        <v>OK</v>
      </c>
      <c r="U800" t="str">
        <f t="shared" si="102"/>
        <v>OK</v>
      </c>
      <c r="V800" t="str">
        <f t="shared" si="103"/>
        <v>OK</v>
      </c>
    </row>
    <row r="801" spans="1:22" x14ac:dyDescent="0.45">
      <c r="A801" t="str">
        <v>SO-50814</v>
      </c>
      <c r="B801" t="str">
        <v>PL-NTE</v>
      </c>
      <c r="C801" t="str">
        <v>CD-SAL</v>
      </c>
      <c r="D801" t="str">
        <v>PRO-1011</v>
      </c>
      <c r="E801">
        <v>2648</v>
      </c>
      <c r="F801" s="1">
        <v>46175</v>
      </c>
      <c r="G801" t="str">
        <v>In Transit</v>
      </c>
      <c r="H801" t="str">
        <v>OK</v>
      </c>
      <c r="I801">
        <v>4.3600000000000003</v>
      </c>
      <c r="J801">
        <v>88</v>
      </c>
      <c r="K801">
        <v>108</v>
      </c>
      <c r="L801" t="str">
        <v>OK</v>
      </c>
      <c r="M801">
        <v>2</v>
      </c>
      <c r="O801">
        <f t="shared" si="96"/>
        <v>30.09090909090909</v>
      </c>
      <c r="P801">
        <f t="shared" si="97"/>
        <v>48.105333333333341</v>
      </c>
      <c r="Q801">
        <f t="shared" si="98"/>
        <v>91.184573002754817</v>
      </c>
      <c r="R801">
        <f t="shared" si="99"/>
        <v>1</v>
      </c>
      <c r="S801">
        <f t="shared" si="100"/>
        <v>91.184573002754817</v>
      </c>
      <c r="T801" t="str">
        <f t="shared" si="101"/>
        <v>OK</v>
      </c>
      <c r="U801" t="str">
        <f t="shared" si="102"/>
        <v>OK</v>
      </c>
      <c r="V801" t="str">
        <f t="shared" si="103"/>
        <v>OK</v>
      </c>
    </row>
    <row r="802" spans="1:22" x14ac:dyDescent="0.45">
      <c r="A802" t="str">
        <v>SO-50365</v>
      </c>
      <c r="B802" t="str">
        <v>PL-CEN</v>
      </c>
      <c r="C802" t="str">
        <v>CD-CDMX</v>
      </c>
      <c r="D802" t="str">
        <v>ABA-1017</v>
      </c>
      <c r="E802">
        <v>1889</v>
      </c>
      <c r="F802" s="1">
        <v>46176</v>
      </c>
      <c r="G802" t="str">
        <v>In Transit</v>
      </c>
      <c r="H802" t="str">
        <v>OK</v>
      </c>
      <c r="I802">
        <v>10.96</v>
      </c>
      <c r="J802">
        <v>128</v>
      </c>
      <c r="K802">
        <v>520</v>
      </c>
      <c r="L802" t="str">
        <v>OK</v>
      </c>
      <c r="M802">
        <v>1</v>
      </c>
      <c r="O802">
        <f t="shared" si="96"/>
        <v>14.7578125</v>
      </c>
      <c r="P802">
        <f t="shared" si="97"/>
        <v>86.26433333333334</v>
      </c>
      <c r="Q802">
        <f t="shared" si="98"/>
        <v>44.720643939393938</v>
      </c>
      <c r="R802">
        <f t="shared" si="99"/>
        <v>1</v>
      </c>
      <c r="S802">
        <f t="shared" si="100"/>
        <v>86.26433333333334</v>
      </c>
      <c r="T802" t="str">
        <f t="shared" si="101"/>
        <v>OK</v>
      </c>
      <c r="U802" t="str">
        <f t="shared" si="102"/>
        <v>OK</v>
      </c>
      <c r="V802" t="str">
        <f t="shared" si="103"/>
        <v>OK</v>
      </c>
    </row>
    <row r="803" spans="1:22" x14ac:dyDescent="0.45">
      <c r="A803" t="str">
        <v>SO-50026</v>
      </c>
      <c r="B803" t="str">
        <v>PL-NTE</v>
      </c>
      <c r="C803" t="str">
        <v>CD-HER</v>
      </c>
      <c r="D803" t="str">
        <v>ABA-1005</v>
      </c>
      <c r="E803">
        <v>637</v>
      </c>
      <c r="F803" s="1">
        <v>46173</v>
      </c>
      <c r="G803" t="str">
        <v>In Transit</v>
      </c>
      <c r="H803" t="str">
        <v>OK</v>
      </c>
      <c r="I803">
        <v>13.31</v>
      </c>
      <c r="J803">
        <v>89</v>
      </c>
      <c r="K803">
        <v>313</v>
      </c>
      <c r="L803" t="str">
        <v>OK</v>
      </c>
      <c r="M803">
        <v>4</v>
      </c>
      <c r="O803">
        <f t="shared" si="96"/>
        <v>7.1573033707865168</v>
      </c>
      <c r="P803">
        <f t="shared" si="97"/>
        <v>35.326958333333337</v>
      </c>
      <c r="Q803">
        <f t="shared" si="98"/>
        <v>21.688798093292476</v>
      </c>
      <c r="R803">
        <f t="shared" si="99"/>
        <v>1</v>
      </c>
      <c r="S803">
        <f t="shared" si="100"/>
        <v>35.326958333333337</v>
      </c>
      <c r="T803" t="str">
        <f t="shared" si="101"/>
        <v>CARGA INEFICIENTE</v>
      </c>
      <c r="U803" t="str">
        <f t="shared" si="102"/>
        <v>OK</v>
      </c>
      <c r="V803" t="str">
        <f t="shared" si="103"/>
        <v>OK</v>
      </c>
    </row>
    <row r="804" spans="1:22" x14ac:dyDescent="0.45">
      <c r="A804" t="str">
        <v>SO-50051</v>
      </c>
      <c r="B804" t="str">
        <v>PL-SUR</v>
      </c>
      <c r="C804" t="str">
        <v>CD-MER</v>
      </c>
      <c r="D804" t="str">
        <v>BEB-1001</v>
      </c>
      <c r="E804">
        <v>1039</v>
      </c>
      <c r="F804" s="1">
        <v>46176</v>
      </c>
      <c r="G804" t="str">
        <v>In Transit</v>
      </c>
      <c r="H804" t="str">
        <v>OK</v>
      </c>
      <c r="I804">
        <v>19.18</v>
      </c>
      <c r="J804">
        <v>95</v>
      </c>
      <c r="K804">
        <v>208</v>
      </c>
      <c r="L804" t="str">
        <v>OK</v>
      </c>
      <c r="M804">
        <v>1</v>
      </c>
      <c r="O804">
        <f t="shared" si="96"/>
        <v>10.936842105263159</v>
      </c>
      <c r="P804">
        <f t="shared" si="97"/>
        <v>83.033416666666668</v>
      </c>
      <c r="Q804">
        <f t="shared" si="98"/>
        <v>33.141945773524725</v>
      </c>
      <c r="R804">
        <f t="shared" si="99"/>
        <v>1</v>
      </c>
      <c r="S804">
        <f t="shared" si="100"/>
        <v>83.033416666666668</v>
      </c>
      <c r="T804" t="str">
        <f t="shared" si="101"/>
        <v>OK</v>
      </c>
      <c r="U804" t="str">
        <f t="shared" si="102"/>
        <v>OK</v>
      </c>
      <c r="V804" t="str">
        <f t="shared" si="103"/>
        <v>OK</v>
      </c>
    </row>
    <row r="805" spans="1:22" x14ac:dyDescent="0.45">
      <c r="A805" t="str">
        <v>SO-51021</v>
      </c>
      <c r="B805" t="str">
        <v>PL-CEN</v>
      </c>
      <c r="C805" t="str">
        <v>CD-CDMX</v>
      </c>
      <c r="D805" t="str">
        <v>LAC-1007</v>
      </c>
      <c r="E805">
        <v>1205</v>
      </c>
      <c r="F805" s="1">
        <v>46159</v>
      </c>
      <c r="G805" t="str">
        <v>In Transit</v>
      </c>
      <c r="H805" t="str">
        <v>OK</v>
      </c>
      <c r="I805">
        <v>10.37</v>
      </c>
      <c r="J805">
        <v>100</v>
      </c>
      <c r="K805">
        <v>24</v>
      </c>
      <c r="L805" t="str">
        <v>OK</v>
      </c>
      <c r="M805">
        <v>18</v>
      </c>
      <c r="O805">
        <f t="shared" si="96"/>
        <v>12.05</v>
      </c>
      <c r="P805">
        <f t="shared" si="97"/>
        <v>52.066041666666663</v>
      </c>
      <c r="Q805">
        <f t="shared" si="98"/>
        <v>36.515151515151516</v>
      </c>
      <c r="R805">
        <f t="shared" si="99"/>
        <v>1</v>
      </c>
      <c r="S805">
        <f t="shared" si="100"/>
        <v>52.066041666666663</v>
      </c>
      <c r="T805" t="str">
        <f t="shared" si="101"/>
        <v>CARGA INEFICIENTE</v>
      </c>
      <c r="U805" t="str">
        <f t="shared" si="102"/>
        <v>FEFO RIESGO</v>
      </c>
      <c r="V805" t="str">
        <f t="shared" si="103"/>
        <v>FANTASMA</v>
      </c>
    </row>
    <row r="806" spans="1:22" x14ac:dyDescent="0.45">
      <c r="A806" t="str">
        <v>SO-50425</v>
      </c>
      <c r="B806" t="str">
        <v>PL-NTE</v>
      </c>
      <c r="C806" t="str">
        <v>CD-TIJ</v>
      </c>
      <c r="D806" t="str">
        <v>BOT-1007</v>
      </c>
      <c r="E806">
        <v>1522</v>
      </c>
      <c r="F806" s="1">
        <v>46173</v>
      </c>
      <c r="G806" t="str">
        <v>In Transit</v>
      </c>
      <c r="H806" t="str">
        <v>OK</v>
      </c>
      <c r="I806">
        <v>0</v>
      </c>
      <c r="J806">
        <v>49</v>
      </c>
      <c r="K806">
        <v>104</v>
      </c>
      <c r="L806" t="str">
        <v>OK</v>
      </c>
      <c r="M806">
        <v>4</v>
      </c>
      <c r="O806">
        <f t="shared" si="96"/>
        <v>31.061224489795919</v>
      </c>
      <c r="P806">
        <f t="shared" si="97"/>
        <v>0</v>
      </c>
      <c r="Q806">
        <f t="shared" si="98"/>
        <v>94.124922696351263</v>
      </c>
      <c r="R806">
        <f t="shared" si="99"/>
        <v>1</v>
      </c>
      <c r="S806">
        <f t="shared" si="100"/>
        <v>94.124922696351263</v>
      </c>
      <c r="T806" t="str">
        <f t="shared" si="101"/>
        <v>OK</v>
      </c>
      <c r="U806" t="str">
        <f t="shared" si="102"/>
        <v>OK</v>
      </c>
      <c r="V806" t="str">
        <f t="shared" si="103"/>
        <v>OK</v>
      </c>
    </row>
    <row r="807" spans="1:22" x14ac:dyDescent="0.45">
      <c r="A807" t="str">
        <v>SO-50281</v>
      </c>
      <c r="B807" t="str">
        <v>PL-CEN</v>
      </c>
      <c r="C807" t="str">
        <v>CD-CDMX</v>
      </c>
      <c r="D807" t="str">
        <v>ABA-1005</v>
      </c>
      <c r="E807">
        <v>395</v>
      </c>
      <c r="F807" s="1">
        <v>46176</v>
      </c>
      <c r="G807" t="str">
        <v>In Transit</v>
      </c>
      <c r="H807" t="str">
        <v>OK</v>
      </c>
      <c r="I807">
        <v>13.31</v>
      </c>
      <c r="J807">
        <v>89</v>
      </c>
      <c r="K807">
        <v>313</v>
      </c>
      <c r="L807" t="str">
        <v>OK</v>
      </c>
      <c r="M807">
        <v>1</v>
      </c>
      <c r="O807">
        <f t="shared" si="96"/>
        <v>4.4382022471910112</v>
      </c>
      <c r="P807">
        <f t="shared" si="97"/>
        <v>21.906041666666663</v>
      </c>
      <c r="Q807">
        <f t="shared" si="98"/>
        <v>13.449097718760639</v>
      </c>
      <c r="R807">
        <f t="shared" si="99"/>
        <v>1</v>
      </c>
      <c r="S807">
        <f t="shared" si="100"/>
        <v>21.906041666666663</v>
      </c>
      <c r="T807" t="str">
        <f t="shared" si="101"/>
        <v>CARGA INEFICIENTE</v>
      </c>
      <c r="U807" t="str">
        <f t="shared" si="102"/>
        <v>OK</v>
      </c>
      <c r="V807" t="str">
        <f t="shared" si="103"/>
        <v>OK</v>
      </c>
    </row>
    <row r="808" spans="1:22" x14ac:dyDescent="0.45">
      <c r="A808" t="str">
        <v>SO-50684</v>
      </c>
      <c r="B808" t="str">
        <v>PL-SUR</v>
      </c>
      <c r="C808" t="str">
        <v>CD-MER</v>
      </c>
      <c r="D808" t="str">
        <v>BEB-1021</v>
      </c>
      <c r="E808">
        <v>1288</v>
      </c>
      <c r="F808" s="1">
        <v>46176</v>
      </c>
      <c r="G808" t="str">
        <v>In Transit</v>
      </c>
      <c r="H808" t="str">
        <v>OK</v>
      </c>
      <c r="I808">
        <v>16.28</v>
      </c>
      <c r="J808">
        <v>90</v>
      </c>
      <c r="K808">
        <v>280</v>
      </c>
      <c r="L808" t="str">
        <v>OK</v>
      </c>
      <c r="M808">
        <v>1</v>
      </c>
      <c r="O808">
        <f t="shared" si="96"/>
        <v>14.311111111111112</v>
      </c>
      <c r="P808">
        <f t="shared" si="97"/>
        <v>87.369333333333344</v>
      </c>
      <c r="Q808">
        <f t="shared" si="98"/>
        <v>43.36700336700337</v>
      </c>
      <c r="R808">
        <f t="shared" si="99"/>
        <v>1</v>
      </c>
      <c r="S808">
        <f t="shared" si="100"/>
        <v>87.369333333333344</v>
      </c>
      <c r="T808" t="str">
        <f t="shared" si="101"/>
        <v>OK</v>
      </c>
      <c r="U808" t="str">
        <f t="shared" si="102"/>
        <v>OK</v>
      </c>
      <c r="V808" t="str">
        <f t="shared" si="103"/>
        <v>OK</v>
      </c>
    </row>
    <row r="809" spans="1:22" x14ac:dyDescent="0.45">
      <c r="A809" t="str">
        <v>SO-50733</v>
      </c>
      <c r="B809" t="str">
        <v>PL-SUR</v>
      </c>
      <c r="C809" t="str">
        <v>CD-MER</v>
      </c>
      <c r="D809" t="str">
        <v>LAC-1000</v>
      </c>
      <c r="E809">
        <v>2829</v>
      </c>
      <c r="F809" s="1">
        <v>46174</v>
      </c>
      <c r="G809" t="str">
        <v>In Transit</v>
      </c>
      <c r="H809" t="str">
        <v>OK</v>
      </c>
      <c r="I809">
        <v>8.18</v>
      </c>
      <c r="J809">
        <v>90</v>
      </c>
      <c r="K809">
        <v>29</v>
      </c>
      <c r="L809" t="str">
        <v>OK</v>
      </c>
      <c r="M809">
        <v>3</v>
      </c>
      <c r="O809">
        <f t="shared" si="96"/>
        <v>31.433333333333334</v>
      </c>
      <c r="P809">
        <f t="shared" si="97"/>
        <v>96.421749999999989</v>
      </c>
      <c r="Q809">
        <f t="shared" si="98"/>
        <v>95.25252525252526</v>
      </c>
      <c r="R809">
        <f t="shared" si="99"/>
        <v>1</v>
      </c>
      <c r="S809">
        <f t="shared" si="100"/>
        <v>96.421749999999989</v>
      </c>
      <c r="T809" t="str">
        <f t="shared" si="101"/>
        <v>OK</v>
      </c>
      <c r="U809" t="str">
        <f t="shared" si="102"/>
        <v>OK</v>
      </c>
      <c r="V809" t="str">
        <f t="shared" si="103"/>
        <v>OK</v>
      </c>
    </row>
    <row r="810" spans="1:22" x14ac:dyDescent="0.45">
      <c r="A810" t="str">
        <v>SO-50065</v>
      </c>
      <c r="B810" t="str">
        <v>PL-CEN</v>
      </c>
      <c r="C810" t="str">
        <v>CD-QRO</v>
      </c>
      <c r="D810" t="str">
        <v>BEB-1019</v>
      </c>
      <c r="E810">
        <v>1506</v>
      </c>
      <c r="F810" s="1">
        <v>46175</v>
      </c>
      <c r="G810" t="str">
        <v>In Transit</v>
      </c>
      <c r="H810" t="str">
        <v>OK</v>
      </c>
      <c r="I810">
        <v>14.35</v>
      </c>
      <c r="J810">
        <v>70</v>
      </c>
      <c r="K810">
        <v>240</v>
      </c>
      <c r="L810" t="str">
        <v>OK</v>
      </c>
      <c r="M810">
        <v>2</v>
      </c>
      <c r="O810">
        <f t="shared" si="96"/>
        <v>21.514285714285716</v>
      </c>
      <c r="P810">
        <f t="shared" si="97"/>
        <v>90.046250000000001</v>
      </c>
      <c r="Q810">
        <f t="shared" si="98"/>
        <v>65.194805194805213</v>
      </c>
      <c r="R810">
        <f t="shared" si="99"/>
        <v>1</v>
      </c>
      <c r="S810">
        <f t="shared" si="100"/>
        <v>90.046250000000001</v>
      </c>
      <c r="T810" t="str">
        <f t="shared" si="101"/>
        <v>OK</v>
      </c>
      <c r="U810" t="str">
        <f t="shared" si="102"/>
        <v>OK</v>
      </c>
      <c r="V810" t="str">
        <f t="shared" si="103"/>
        <v>OK</v>
      </c>
    </row>
    <row r="811" spans="1:22" x14ac:dyDescent="0.45">
      <c r="A811" t="str">
        <v>SO-50641</v>
      </c>
      <c r="B811" t="str">
        <v>PL-CEN</v>
      </c>
      <c r="C811" t="str">
        <v>CD-QRO</v>
      </c>
      <c r="D811" t="str">
        <v>BOT-1022</v>
      </c>
      <c r="E811">
        <v>647</v>
      </c>
      <c r="F811" s="1">
        <v>46175</v>
      </c>
      <c r="G811" t="str">
        <v>In Transit</v>
      </c>
      <c r="H811" t="str">
        <v>OK</v>
      </c>
      <c r="I811">
        <v>3.48</v>
      </c>
      <c r="J811">
        <v>55</v>
      </c>
      <c r="K811">
        <v>118</v>
      </c>
      <c r="L811" t="str">
        <v>OK</v>
      </c>
      <c r="M811">
        <v>2</v>
      </c>
      <c r="O811">
        <f t="shared" si="96"/>
        <v>11.763636363636364</v>
      </c>
      <c r="P811">
        <f t="shared" si="97"/>
        <v>9.3814999999999991</v>
      </c>
      <c r="Q811">
        <f t="shared" si="98"/>
        <v>35.647382920110196</v>
      </c>
      <c r="R811">
        <f t="shared" si="99"/>
        <v>1</v>
      </c>
      <c r="S811">
        <f t="shared" si="100"/>
        <v>35.647382920110196</v>
      </c>
      <c r="T811" t="str">
        <f t="shared" si="101"/>
        <v>CARGA INEFICIENTE</v>
      </c>
      <c r="U811" t="str">
        <f t="shared" si="102"/>
        <v>OK</v>
      </c>
      <c r="V811" t="str">
        <f t="shared" si="103"/>
        <v>OK</v>
      </c>
    </row>
    <row r="812" spans="1:22" x14ac:dyDescent="0.45">
      <c r="A812" t="str">
        <v>SO-50183</v>
      </c>
      <c r="B812" t="str">
        <v>PL-CEN</v>
      </c>
      <c r="C812" t="str">
        <v>CD-PUE</v>
      </c>
      <c r="D812" t="str">
        <v>BOT-1022</v>
      </c>
      <c r="E812">
        <v>1438</v>
      </c>
      <c r="F812" s="1">
        <v>46176</v>
      </c>
      <c r="G812" t="str">
        <v>In Transit</v>
      </c>
      <c r="H812" t="str">
        <v>OK</v>
      </c>
      <c r="I812">
        <v>3.48</v>
      </c>
      <c r="J812">
        <v>55</v>
      </c>
      <c r="K812">
        <v>118</v>
      </c>
      <c r="L812" t="str">
        <v>OK</v>
      </c>
      <c r="M812">
        <v>1</v>
      </c>
      <c r="O812">
        <f t="shared" si="96"/>
        <v>26.145454545454545</v>
      </c>
      <c r="P812">
        <f t="shared" si="97"/>
        <v>20.850999999999999</v>
      </c>
      <c r="Q812">
        <f t="shared" si="98"/>
        <v>79.228650137741042</v>
      </c>
      <c r="R812">
        <f t="shared" si="99"/>
        <v>1</v>
      </c>
      <c r="S812">
        <f t="shared" si="100"/>
        <v>79.228650137741042</v>
      </c>
      <c r="T812" t="str">
        <f t="shared" si="101"/>
        <v>OK</v>
      </c>
      <c r="U812" t="str">
        <f t="shared" si="102"/>
        <v>OK</v>
      </c>
      <c r="V812" t="str">
        <f t="shared" si="103"/>
        <v>OK</v>
      </c>
    </row>
    <row r="813" spans="1:22" x14ac:dyDescent="0.45">
      <c r="A813" t="str">
        <v>SO-50201</v>
      </c>
      <c r="B813" t="str">
        <v>PL-CEN</v>
      </c>
      <c r="C813" t="str">
        <v>CD-TOL</v>
      </c>
      <c r="D813" t="str">
        <v>BOT-1017</v>
      </c>
      <c r="E813">
        <v>448</v>
      </c>
      <c r="F813" s="1">
        <v>46176</v>
      </c>
      <c r="G813" t="str">
        <v>In Transit</v>
      </c>
      <c r="H813" t="str">
        <v>OK</v>
      </c>
      <c r="I813">
        <v>3.75</v>
      </c>
      <c r="J813">
        <v>41</v>
      </c>
      <c r="K813">
        <v>106</v>
      </c>
      <c r="L813" t="str">
        <v>OK</v>
      </c>
      <c r="M813">
        <v>1</v>
      </c>
      <c r="O813">
        <f t="shared" si="96"/>
        <v>10.926829268292684</v>
      </c>
      <c r="P813">
        <f t="shared" si="97"/>
        <v>7.0000000000000009</v>
      </c>
      <c r="Q813">
        <f t="shared" si="98"/>
        <v>33.111603843311158</v>
      </c>
      <c r="R813">
        <f t="shared" si="99"/>
        <v>1</v>
      </c>
      <c r="S813">
        <f t="shared" si="100"/>
        <v>33.111603843311158</v>
      </c>
      <c r="T813" t="str">
        <f t="shared" si="101"/>
        <v>CARGA INEFICIENTE</v>
      </c>
      <c r="U813" t="str">
        <f t="shared" si="102"/>
        <v>OK</v>
      </c>
      <c r="V813" t="str">
        <f t="shared" si="103"/>
        <v>OK</v>
      </c>
    </row>
    <row r="814" spans="1:22" x14ac:dyDescent="0.45">
      <c r="A814" t="str">
        <v>SO-50019</v>
      </c>
      <c r="B814" t="str">
        <v>PL-SUR</v>
      </c>
      <c r="C814" t="str">
        <v>CD-MOR</v>
      </c>
      <c r="D814" t="str">
        <v>ABA-1016</v>
      </c>
      <c r="E814">
        <v>1294</v>
      </c>
      <c r="F814" s="1">
        <v>46175</v>
      </c>
      <c r="G814" t="str">
        <v>In Transit</v>
      </c>
      <c r="H814" t="str">
        <v>OK</v>
      </c>
      <c r="I814">
        <v>15.52</v>
      </c>
      <c r="J814">
        <v>121</v>
      </c>
      <c r="K814">
        <v>517</v>
      </c>
      <c r="L814" t="str">
        <v>OK</v>
      </c>
      <c r="M814">
        <v>2</v>
      </c>
      <c r="O814">
        <f t="shared" si="96"/>
        <v>10.694214876033058</v>
      </c>
      <c r="P814">
        <f t="shared" si="97"/>
        <v>83.678666666666672</v>
      </c>
      <c r="Q814">
        <f t="shared" si="98"/>
        <v>32.406711745554723</v>
      </c>
      <c r="R814">
        <f t="shared" si="99"/>
        <v>1</v>
      </c>
      <c r="S814">
        <f t="shared" si="100"/>
        <v>83.678666666666672</v>
      </c>
      <c r="T814" t="str">
        <f t="shared" si="101"/>
        <v>OK</v>
      </c>
      <c r="U814" t="str">
        <f t="shared" si="102"/>
        <v>OK</v>
      </c>
      <c r="V814" t="str">
        <f t="shared" si="103"/>
        <v>OK</v>
      </c>
    </row>
    <row r="815" spans="1:22" x14ac:dyDescent="0.45">
      <c r="A815" t="str">
        <v>SO-50966</v>
      </c>
      <c r="B815" t="str">
        <v>PL-CEN</v>
      </c>
      <c r="C815" t="str">
        <v>CD-TOL</v>
      </c>
      <c r="D815" t="str">
        <v>ABA-1018</v>
      </c>
      <c r="E815">
        <v>2018</v>
      </c>
      <c r="F815" s="1">
        <v>46175</v>
      </c>
      <c r="G815" t="str">
        <v>In Transit</v>
      </c>
      <c r="H815" t="str">
        <v>OK</v>
      </c>
      <c r="I815">
        <v>11.43</v>
      </c>
      <c r="J815">
        <v>128</v>
      </c>
      <c r="K815">
        <v>530</v>
      </c>
      <c r="L815" t="str">
        <v>OK</v>
      </c>
      <c r="M815">
        <v>2</v>
      </c>
      <c r="O815">
        <f t="shared" si="96"/>
        <v>15.765625</v>
      </c>
      <c r="P815">
        <f t="shared" si="97"/>
        <v>96.107249999999993</v>
      </c>
      <c r="Q815">
        <f t="shared" si="98"/>
        <v>47.774621212121211</v>
      </c>
      <c r="R815">
        <f t="shared" si="99"/>
        <v>1</v>
      </c>
      <c r="S815">
        <f t="shared" si="100"/>
        <v>96.107249999999993</v>
      </c>
      <c r="T815" t="str">
        <f t="shared" si="101"/>
        <v>OK</v>
      </c>
      <c r="U815" t="str">
        <f t="shared" si="102"/>
        <v>OK</v>
      </c>
      <c r="V815" t="str">
        <f t="shared" si="103"/>
        <v>OK</v>
      </c>
    </row>
    <row r="816" spans="1:22" x14ac:dyDescent="0.45">
      <c r="A816" t="str">
        <v>SO-50300</v>
      </c>
      <c r="B816" t="str">
        <v>PL-CEN</v>
      </c>
      <c r="C816" t="str">
        <v>CD-PUE</v>
      </c>
      <c r="D816" t="str">
        <v>BOT-1021</v>
      </c>
      <c r="E816">
        <v>1468</v>
      </c>
      <c r="F816" s="1">
        <v>46176</v>
      </c>
      <c r="G816" t="str">
        <v>Delivered</v>
      </c>
      <c r="H816" t="str">
        <v>OK</v>
      </c>
      <c r="I816">
        <v>5.04</v>
      </c>
      <c r="J816">
        <v>47</v>
      </c>
      <c r="K816">
        <v>96</v>
      </c>
      <c r="L816" t="str">
        <v>OK</v>
      </c>
      <c r="M816">
        <v>1</v>
      </c>
      <c r="O816">
        <f t="shared" si="96"/>
        <v>31.23404255319149</v>
      </c>
      <c r="P816">
        <f t="shared" si="97"/>
        <v>30.827999999999999</v>
      </c>
      <c r="Q816">
        <f t="shared" si="98"/>
        <v>94.648613797549956</v>
      </c>
      <c r="R816">
        <f t="shared" si="99"/>
        <v>1</v>
      </c>
      <c r="S816">
        <f t="shared" si="100"/>
        <v>94.648613797549956</v>
      </c>
      <c r="T816" t="str">
        <f t="shared" si="101"/>
        <v>OK</v>
      </c>
      <c r="U816" t="str">
        <f t="shared" si="102"/>
        <v>OK</v>
      </c>
      <c r="V816" t="str">
        <f t="shared" si="103"/>
        <v>OK</v>
      </c>
    </row>
    <row r="817" spans="1:22" x14ac:dyDescent="0.45">
      <c r="A817" t="str">
        <v>SO-50959</v>
      </c>
      <c r="B817" t="str">
        <v>PL-SUR</v>
      </c>
      <c r="C817" t="str">
        <v>CD-GDL</v>
      </c>
      <c r="D817" t="str">
        <v>BOT-1002</v>
      </c>
      <c r="E817">
        <v>2581</v>
      </c>
      <c r="F817" s="1">
        <v>46176</v>
      </c>
      <c r="G817" t="str">
        <v>In Transit</v>
      </c>
      <c r="H817" t="str">
        <v>OK</v>
      </c>
      <c r="I817">
        <v>3.02</v>
      </c>
      <c r="J817">
        <v>84</v>
      </c>
      <c r="K817">
        <v>111</v>
      </c>
      <c r="L817" t="str">
        <v>OK</v>
      </c>
      <c r="M817">
        <v>1</v>
      </c>
      <c r="O817">
        <f t="shared" si="96"/>
        <v>30.726190476190474</v>
      </c>
      <c r="P817">
        <f t="shared" si="97"/>
        <v>32.477583333333335</v>
      </c>
      <c r="Q817">
        <f t="shared" si="98"/>
        <v>93.109668109668107</v>
      </c>
      <c r="R817">
        <f t="shared" si="99"/>
        <v>1</v>
      </c>
      <c r="S817">
        <f t="shared" si="100"/>
        <v>93.109668109668107</v>
      </c>
      <c r="T817" t="str">
        <f t="shared" si="101"/>
        <v>OK</v>
      </c>
      <c r="U817" t="str">
        <f t="shared" si="102"/>
        <v>OK</v>
      </c>
      <c r="V817" t="str">
        <f t="shared" si="103"/>
        <v>OK</v>
      </c>
    </row>
    <row r="818" spans="1:22" x14ac:dyDescent="0.45">
      <c r="A818" t="str">
        <v>SO-50052</v>
      </c>
      <c r="B818" t="str">
        <v>PL-NTE</v>
      </c>
      <c r="C818" t="str">
        <v>CD-SAL</v>
      </c>
      <c r="D818" t="str">
        <v>PRO-1012</v>
      </c>
      <c r="E818">
        <v>884</v>
      </c>
      <c r="F818" s="1">
        <v>46175</v>
      </c>
      <c r="G818" t="str">
        <v>In Transit</v>
      </c>
      <c r="H818" t="str">
        <v>OK</v>
      </c>
      <c r="I818">
        <v>6.87</v>
      </c>
      <c r="J818">
        <v>101</v>
      </c>
      <c r="K818">
        <v>62</v>
      </c>
      <c r="L818" t="str">
        <v>OK</v>
      </c>
      <c r="M818">
        <v>2</v>
      </c>
      <c r="O818">
        <f t="shared" si="96"/>
        <v>8.7524752475247531</v>
      </c>
      <c r="P818">
        <f t="shared" si="97"/>
        <v>25.304500000000001</v>
      </c>
      <c r="Q818">
        <f t="shared" si="98"/>
        <v>26.522652265226526</v>
      </c>
      <c r="R818">
        <f t="shared" si="99"/>
        <v>1</v>
      </c>
      <c r="S818">
        <f t="shared" si="100"/>
        <v>26.522652265226526</v>
      </c>
      <c r="T818" t="str">
        <f t="shared" si="101"/>
        <v>CARGA INEFICIENTE</v>
      </c>
      <c r="U818" t="str">
        <f t="shared" si="102"/>
        <v>OK</v>
      </c>
      <c r="V818" t="str">
        <f t="shared" si="103"/>
        <v>OK</v>
      </c>
    </row>
    <row r="819" spans="1:22" x14ac:dyDescent="0.45">
      <c r="A819" t="str">
        <v>SO-50237</v>
      </c>
      <c r="B819" t="str">
        <v>PL-CEN</v>
      </c>
      <c r="C819" t="str">
        <v>CD-VER</v>
      </c>
      <c r="D819" t="str">
        <v>BOT-1002</v>
      </c>
      <c r="E819">
        <v>675</v>
      </c>
      <c r="F819" s="1">
        <v>46176</v>
      </c>
      <c r="G819" t="str">
        <v>In Transit</v>
      </c>
      <c r="H819" t="str">
        <v>OK</v>
      </c>
      <c r="I819">
        <v>3.02</v>
      </c>
      <c r="J819">
        <v>84</v>
      </c>
      <c r="K819">
        <v>111</v>
      </c>
      <c r="L819" t="str">
        <v>OK</v>
      </c>
      <c r="M819">
        <v>1</v>
      </c>
      <c r="O819">
        <f t="shared" si="96"/>
        <v>8.0357142857142865</v>
      </c>
      <c r="P819">
        <f t="shared" si="97"/>
        <v>8.4937500000000004</v>
      </c>
      <c r="Q819">
        <f t="shared" si="98"/>
        <v>24.350649350649352</v>
      </c>
      <c r="R819">
        <f t="shared" si="99"/>
        <v>1</v>
      </c>
      <c r="S819">
        <f t="shared" si="100"/>
        <v>24.350649350649352</v>
      </c>
      <c r="T819" t="str">
        <f t="shared" si="101"/>
        <v>CARGA INEFICIENTE</v>
      </c>
      <c r="U819" t="str">
        <f t="shared" si="102"/>
        <v>OK</v>
      </c>
      <c r="V819" t="str">
        <f t="shared" si="103"/>
        <v>OK</v>
      </c>
    </row>
    <row r="820" spans="1:22" x14ac:dyDescent="0.45">
      <c r="A820" t="str">
        <v>SO-50028</v>
      </c>
      <c r="B820" t="str">
        <v>PL-SUR</v>
      </c>
      <c r="C820" t="str">
        <v>CD-CAN</v>
      </c>
      <c r="D820" t="str">
        <v>ABA-1009</v>
      </c>
      <c r="E820">
        <v>1387</v>
      </c>
      <c r="F820" s="1">
        <v>46173</v>
      </c>
      <c r="G820" t="str">
        <v>In Transit</v>
      </c>
      <c r="H820" t="str">
        <v>OK</v>
      </c>
      <c r="I820">
        <v>14.79</v>
      </c>
      <c r="J820">
        <v>124</v>
      </c>
      <c r="K820">
        <v>423</v>
      </c>
      <c r="L820" t="str">
        <v>OK</v>
      </c>
      <c r="M820">
        <v>4</v>
      </c>
      <c r="O820">
        <f t="shared" si="96"/>
        <v>11.185483870967742</v>
      </c>
      <c r="P820">
        <f t="shared" si="97"/>
        <v>85.473874999999992</v>
      </c>
      <c r="Q820">
        <f t="shared" si="98"/>
        <v>33.895405669599214</v>
      </c>
      <c r="R820">
        <f t="shared" si="99"/>
        <v>1</v>
      </c>
      <c r="S820">
        <f t="shared" si="100"/>
        <v>85.473874999999992</v>
      </c>
      <c r="T820" t="str">
        <f t="shared" si="101"/>
        <v>OK</v>
      </c>
      <c r="U820" t="str">
        <f t="shared" si="102"/>
        <v>OK</v>
      </c>
      <c r="V820" t="str">
        <f t="shared" si="103"/>
        <v>OK</v>
      </c>
    </row>
    <row r="821" spans="1:22" x14ac:dyDescent="0.45">
      <c r="A821" t="str">
        <v>SO-50799</v>
      </c>
      <c r="B821" t="str">
        <v>PL-SUR</v>
      </c>
      <c r="C821" t="str">
        <v>CD-MER</v>
      </c>
      <c r="D821" t="str">
        <v>XXX-8163</v>
      </c>
      <c r="E821">
        <v>1764</v>
      </c>
      <c r="F821" s="1">
        <v>46175</v>
      </c>
      <c r="G821" t="str">
        <v>In Transit</v>
      </c>
      <c r="H821" t="str">
        <v>OK</v>
      </c>
      <c r="I821">
        <v>0</v>
      </c>
      <c r="J821">
        <v>0</v>
      </c>
      <c r="K821">
        <v>0</v>
      </c>
      <c r="L821" t="str">
        <v>HUERFANO</v>
      </c>
      <c r="M821">
        <v>2</v>
      </c>
      <c r="O821" t="str">
        <f t="shared" si="96"/>
        <v>n/a</v>
      </c>
      <c r="P821" t="str">
        <f t="shared" si="97"/>
        <v>n/a</v>
      </c>
      <c r="Q821" t="str">
        <f t="shared" si="98"/>
        <v>n/a</v>
      </c>
      <c r="R821" t="str">
        <f t="shared" si="99"/>
        <v>n/a</v>
      </c>
      <c r="S821" t="str">
        <f t="shared" si="100"/>
        <v>n/a</v>
      </c>
      <c r="T821" t="str">
        <f t="shared" si="101"/>
        <v>n/a</v>
      </c>
      <c r="U821" t="str">
        <f t="shared" si="102"/>
        <v>n/a</v>
      </c>
      <c r="V821" t="str">
        <f t="shared" si="103"/>
        <v>n/a</v>
      </c>
    </row>
    <row r="822" spans="1:22" x14ac:dyDescent="0.45">
      <c r="A822" t="str">
        <v>SO-50899</v>
      </c>
      <c r="B822" t="str">
        <v>PL-SUR</v>
      </c>
      <c r="C822" t="str">
        <v>CD-MER</v>
      </c>
      <c r="D822" t="str">
        <v>BOT-1018</v>
      </c>
      <c r="E822">
        <v>829</v>
      </c>
      <c r="F822" s="1">
        <v>46174</v>
      </c>
      <c r="G822" t="str">
        <v>In Transit</v>
      </c>
      <c r="H822" t="str">
        <v>OK</v>
      </c>
      <c r="I822">
        <v>6.23</v>
      </c>
      <c r="J822">
        <v>78</v>
      </c>
      <c r="K822">
        <v>99</v>
      </c>
      <c r="L822" t="str">
        <v>OK</v>
      </c>
      <c r="M822">
        <v>3</v>
      </c>
      <c r="O822">
        <f t="shared" si="96"/>
        <v>10.628205128205128</v>
      </c>
      <c r="P822">
        <f t="shared" si="97"/>
        <v>21.519458333333333</v>
      </c>
      <c r="Q822">
        <f t="shared" si="98"/>
        <v>32.20668220668221</v>
      </c>
      <c r="R822">
        <f t="shared" si="99"/>
        <v>1</v>
      </c>
      <c r="S822">
        <f t="shared" si="100"/>
        <v>32.20668220668221</v>
      </c>
      <c r="T822" t="str">
        <f t="shared" si="101"/>
        <v>CARGA INEFICIENTE</v>
      </c>
      <c r="U822" t="str">
        <f t="shared" si="102"/>
        <v>OK</v>
      </c>
      <c r="V822" t="str">
        <f t="shared" si="103"/>
        <v>OK</v>
      </c>
    </row>
    <row r="823" spans="1:22" x14ac:dyDescent="0.45">
      <c r="A823" t="str">
        <v>SO-50257</v>
      </c>
      <c r="B823" t="str">
        <v>PL-SUR</v>
      </c>
      <c r="C823" t="str">
        <v>CD-CAN</v>
      </c>
      <c r="D823" t="str">
        <v>LAC-1010</v>
      </c>
      <c r="E823">
        <v>3509</v>
      </c>
      <c r="F823" s="1">
        <v>46175</v>
      </c>
      <c r="G823" t="str">
        <v>In Transit</v>
      </c>
      <c r="H823" t="str">
        <v>OK</v>
      </c>
      <c r="I823">
        <v>6.24</v>
      </c>
      <c r="J823">
        <v>146</v>
      </c>
      <c r="K823">
        <v>24</v>
      </c>
      <c r="L823" t="str">
        <v>OK</v>
      </c>
      <c r="M823">
        <v>2</v>
      </c>
      <c r="O823">
        <f t="shared" si="96"/>
        <v>24.034246575342465</v>
      </c>
      <c r="P823">
        <f t="shared" si="97"/>
        <v>91.234000000000009</v>
      </c>
      <c r="Q823">
        <f t="shared" si="98"/>
        <v>72.831050228310502</v>
      </c>
      <c r="R823">
        <f t="shared" si="99"/>
        <v>1</v>
      </c>
      <c r="S823">
        <f t="shared" si="100"/>
        <v>91.234000000000009</v>
      </c>
      <c r="T823" t="str">
        <f t="shared" si="101"/>
        <v>OK</v>
      </c>
      <c r="U823" t="str">
        <f t="shared" si="102"/>
        <v>OK</v>
      </c>
      <c r="V823" t="str">
        <f t="shared" si="103"/>
        <v>OK</v>
      </c>
    </row>
    <row r="824" spans="1:22" x14ac:dyDescent="0.45">
      <c r="A824" t="str">
        <v>SO-50830</v>
      </c>
      <c r="B824" t="str">
        <v>PL-SUR</v>
      </c>
      <c r="C824" t="str">
        <v>CD-GDL</v>
      </c>
      <c r="D824" t="str">
        <v>LAC-1015</v>
      </c>
      <c r="E824">
        <v>1904</v>
      </c>
      <c r="F824" s="1">
        <v>46176</v>
      </c>
      <c r="G824" t="str">
        <v>In Transit</v>
      </c>
      <c r="H824" t="str">
        <v>OK</v>
      </c>
      <c r="I824">
        <v>11.26</v>
      </c>
      <c r="J824">
        <v>129</v>
      </c>
      <c r="K824">
        <v>24</v>
      </c>
      <c r="L824" t="str">
        <v>OK</v>
      </c>
      <c r="M824">
        <v>1</v>
      </c>
      <c r="O824">
        <f t="shared" si="96"/>
        <v>14.75968992248062</v>
      </c>
      <c r="P824">
        <f t="shared" si="97"/>
        <v>89.329333333333338</v>
      </c>
      <c r="Q824">
        <f t="shared" si="98"/>
        <v>44.726333098426117</v>
      </c>
      <c r="R824">
        <f t="shared" si="99"/>
        <v>1</v>
      </c>
      <c r="S824">
        <f t="shared" si="100"/>
        <v>89.329333333333338</v>
      </c>
      <c r="T824" t="str">
        <f t="shared" si="101"/>
        <v>OK</v>
      </c>
      <c r="U824" t="str">
        <f t="shared" si="102"/>
        <v>OK</v>
      </c>
      <c r="V824" t="str">
        <f t="shared" si="103"/>
        <v>OK</v>
      </c>
    </row>
    <row r="825" spans="1:22" x14ac:dyDescent="0.45">
      <c r="A825" t="str">
        <v>SO-50871</v>
      </c>
      <c r="B825" t="str">
        <v>PL-NTE</v>
      </c>
      <c r="C825" t="str">
        <v>CD-HER</v>
      </c>
      <c r="D825" t="str">
        <v>PRO-1012</v>
      </c>
      <c r="E825">
        <v>2830</v>
      </c>
      <c r="F825" s="1">
        <v>46173</v>
      </c>
      <c r="G825" t="str">
        <v>In Transit</v>
      </c>
      <c r="H825" t="str">
        <v>OK</v>
      </c>
      <c r="I825">
        <v>6.87</v>
      </c>
      <c r="J825">
        <v>101</v>
      </c>
      <c r="K825">
        <v>62</v>
      </c>
      <c r="L825" t="str">
        <v>OK</v>
      </c>
      <c r="M825">
        <v>4</v>
      </c>
      <c r="O825">
        <f t="shared" si="96"/>
        <v>28.019801980198018</v>
      </c>
      <c r="P825">
        <f t="shared" si="97"/>
        <v>81.008749999999992</v>
      </c>
      <c r="Q825">
        <f t="shared" si="98"/>
        <v>84.908490849084899</v>
      </c>
      <c r="R825">
        <f t="shared" si="99"/>
        <v>1</v>
      </c>
      <c r="S825">
        <f t="shared" si="100"/>
        <v>84.908490849084899</v>
      </c>
      <c r="T825" t="str">
        <f t="shared" si="101"/>
        <v>OK</v>
      </c>
      <c r="U825" t="str">
        <f t="shared" si="102"/>
        <v>OK</v>
      </c>
      <c r="V825" t="str">
        <f t="shared" si="103"/>
        <v>OK</v>
      </c>
    </row>
    <row r="826" spans="1:22" x14ac:dyDescent="0.45">
      <c r="A826" t="str">
        <v>SO-50443</v>
      </c>
      <c r="B826" t="str">
        <v>PL-NTE</v>
      </c>
      <c r="C826" t="str">
        <v>CD-SAL</v>
      </c>
      <c r="D826" t="str">
        <v>ABA-1009</v>
      </c>
      <c r="E826">
        <v>1300</v>
      </c>
      <c r="F826" s="1">
        <v>46175</v>
      </c>
      <c r="G826" t="str">
        <v>In Transit</v>
      </c>
      <c r="H826" t="str">
        <v>OK</v>
      </c>
      <c r="I826">
        <v>14.79</v>
      </c>
      <c r="J826">
        <v>124</v>
      </c>
      <c r="K826">
        <v>423</v>
      </c>
      <c r="L826" t="str">
        <v>OK</v>
      </c>
      <c r="M826">
        <v>2</v>
      </c>
      <c r="O826">
        <f t="shared" si="96"/>
        <v>10.483870967741936</v>
      </c>
      <c r="P826">
        <f t="shared" si="97"/>
        <v>80.112499999999997</v>
      </c>
      <c r="Q826">
        <f t="shared" si="98"/>
        <v>31.76930596285435</v>
      </c>
      <c r="R826">
        <f t="shared" si="99"/>
        <v>1</v>
      </c>
      <c r="S826">
        <f t="shared" si="100"/>
        <v>80.112499999999997</v>
      </c>
      <c r="T826" t="str">
        <f t="shared" si="101"/>
        <v>OK</v>
      </c>
      <c r="U826" t="str">
        <f t="shared" si="102"/>
        <v>OK</v>
      </c>
      <c r="V826" t="str">
        <f t="shared" si="103"/>
        <v>OK</v>
      </c>
    </row>
    <row r="827" spans="1:22" x14ac:dyDescent="0.45">
      <c r="A827" t="str">
        <v>SO-50764</v>
      </c>
      <c r="B827" t="str">
        <v>PL-NTE</v>
      </c>
      <c r="C827" t="str">
        <v>CD-MTY</v>
      </c>
      <c r="D827" t="str">
        <v>BOT-1000</v>
      </c>
      <c r="E827">
        <v>812</v>
      </c>
      <c r="F827" s="1">
        <v>46176</v>
      </c>
      <c r="G827" t="str">
        <v>In Transit</v>
      </c>
      <c r="H827" t="str">
        <v>OK</v>
      </c>
      <c r="I827">
        <v>3.56</v>
      </c>
      <c r="J827">
        <v>64</v>
      </c>
      <c r="K827">
        <v>92</v>
      </c>
      <c r="L827" t="str">
        <v>OK</v>
      </c>
      <c r="M827">
        <v>1</v>
      </c>
      <c r="O827">
        <f t="shared" si="96"/>
        <v>12.6875</v>
      </c>
      <c r="P827">
        <f t="shared" si="97"/>
        <v>12.044666666666668</v>
      </c>
      <c r="Q827">
        <f t="shared" si="98"/>
        <v>38.446969696969695</v>
      </c>
      <c r="R827">
        <f t="shared" si="99"/>
        <v>1</v>
      </c>
      <c r="S827">
        <f t="shared" si="100"/>
        <v>38.446969696969695</v>
      </c>
      <c r="T827" t="str">
        <f t="shared" si="101"/>
        <v>CARGA INEFICIENTE</v>
      </c>
      <c r="U827" t="str">
        <f t="shared" si="102"/>
        <v>OK</v>
      </c>
      <c r="V827" t="str">
        <f t="shared" si="103"/>
        <v>OK</v>
      </c>
    </row>
    <row r="828" spans="1:22" x14ac:dyDescent="0.45">
      <c r="A828" t="str">
        <v>SO-50796</v>
      </c>
      <c r="B828" t="str">
        <v>PL-NTE</v>
      </c>
      <c r="C828" t="str">
        <v>CD-SAL</v>
      </c>
      <c r="D828" t="str">
        <v>ABA-1019</v>
      </c>
      <c r="E828">
        <v>508</v>
      </c>
      <c r="F828" s="1">
        <v>46175</v>
      </c>
      <c r="G828" t="str">
        <v>In Transit</v>
      </c>
      <c r="H828" t="str">
        <v>OK</v>
      </c>
      <c r="I828">
        <v>14.82</v>
      </c>
      <c r="J828">
        <v>132</v>
      </c>
      <c r="K828">
        <v>373</v>
      </c>
      <c r="L828" t="str">
        <v>OK</v>
      </c>
      <c r="M828">
        <v>2</v>
      </c>
      <c r="O828">
        <f t="shared" si="96"/>
        <v>3.8484848484848486</v>
      </c>
      <c r="P828">
        <f t="shared" si="97"/>
        <v>31.369000000000003</v>
      </c>
      <c r="Q828">
        <f t="shared" si="98"/>
        <v>11.662075298438936</v>
      </c>
      <c r="R828">
        <f t="shared" si="99"/>
        <v>1</v>
      </c>
      <c r="S828">
        <f t="shared" si="100"/>
        <v>31.369000000000003</v>
      </c>
      <c r="T828" t="str">
        <f t="shared" si="101"/>
        <v>CARGA INEFICIENTE</v>
      </c>
      <c r="U828" t="str">
        <f t="shared" si="102"/>
        <v>OK</v>
      </c>
      <c r="V828" t="str">
        <f t="shared" si="103"/>
        <v>OK</v>
      </c>
    </row>
    <row r="829" spans="1:22" x14ac:dyDescent="0.45">
      <c r="A829" t="str">
        <v>SO-50637</v>
      </c>
      <c r="B829" t="str">
        <v>PL-NTE</v>
      </c>
      <c r="C829" t="str">
        <v>CD-MTY</v>
      </c>
      <c r="D829" t="str">
        <v>LAC-1013</v>
      </c>
      <c r="E829">
        <v>763</v>
      </c>
      <c r="F829" s="1">
        <v>46176</v>
      </c>
      <c r="G829" t="str">
        <v>In Transit</v>
      </c>
      <c r="H829" t="str">
        <v>OK</v>
      </c>
      <c r="I829">
        <v>8.32</v>
      </c>
      <c r="J829">
        <v>98</v>
      </c>
      <c r="K829">
        <v>16</v>
      </c>
      <c r="L829" t="str">
        <v>OK</v>
      </c>
      <c r="M829">
        <v>1</v>
      </c>
      <c r="O829">
        <f t="shared" si="96"/>
        <v>7.7857142857142856</v>
      </c>
      <c r="P829">
        <f t="shared" si="97"/>
        <v>26.450666666666667</v>
      </c>
      <c r="Q829">
        <f t="shared" si="98"/>
        <v>23.593073593073594</v>
      </c>
      <c r="R829">
        <f t="shared" si="99"/>
        <v>1</v>
      </c>
      <c r="S829">
        <f t="shared" si="100"/>
        <v>26.450666666666667</v>
      </c>
      <c r="T829" t="str">
        <f t="shared" si="101"/>
        <v>CARGA INEFICIENTE</v>
      </c>
      <c r="U829" t="str">
        <f t="shared" si="102"/>
        <v>OK</v>
      </c>
      <c r="V829" t="str">
        <f t="shared" si="103"/>
        <v>OK</v>
      </c>
    </row>
    <row r="830" spans="1:22" x14ac:dyDescent="0.45">
      <c r="A830" t="str">
        <v>SO-50574</v>
      </c>
      <c r="B830" t="str">
        <v>PL-SUR</v>
      </c>
      <c r="C830" t="str">
        <v>CD-CAN</v>
      </c>
      <c r="D830" t="str">
        <v>BOT-1019</v>
      </c>
      <c r="E830">
        <v>0</v>
      </c>
      <c r="F830" s="1">
        <v>46172</v>
      </c>
      <c r="G830" t="str">
        <v>In Transit</v>
      </c>
      <c r="H830" t="str">
        <v>OK</v>
      </c>
      <c r="I830">
        <v>3.44</v>
      </c>
      <c r="J830">
        <v>85</v>
      </c>
      <c r="K830">
        <v>102</v>
      </c>
      <c r="L830" t="str">
        <v>OK</v>
      </c>
      <c r="M830">
        <v>5</v>
      </c>
      <c r="O830">
        <f t="shared" si="96"/>
        <v>0</v>
      </c>
      <c r="P830">
        <f t="shared" si="97"/>
        <v>0</v>
      </c>
      <c r="Q830">
        <f t="shared" si="98"/>
        <v>0</v>
      </c>
      <c r="R830">
        <f t="shared" si="99"/>
        <v>0</v>
      </c>
      <c r="S830" t="str">
        <f t="shared" si="100"/>
        <v/>
      </c>
      <c r="T830" t="str">
        <f t="shared" si="101"/>
        <v>OK</v>
      </c>
      <c r="U830" t="str">
        <f t="shared" si="102"/>
        <v>OK</v>
      </c>
      <c r="V830" t="str">
        <f t="shared" si="103"/>
        <v>OK</v>
      </c>
    </row>
    <row r="831" spans="1:22" x14ac:dyDescent="0.45">
      <c r="A831" t="str">
        <v>SO-50673</v>
      </c>
      <c r="B831" t="str">
        <v>PL-NTE</v>
      </c>
      <c r="C831" t="str">
        <v>CD-MTY</v>
      </c>
      <c r="D831" t="str">
        <v>ABA-1010</v>
      </c>
      <c r="E831">
        <v>2180</v>
      </c>
      <c r="F831" s="1">
        <v>46176</v>
      </c>
      <c r="G831" t="str">
        <v>In Transit</v>
      </c>
      <c r="H831" t="str">
        <v>OK</v>
      </c>
      <c r="I831">
        <v>8.75</v>
      </c>
      <c r="J831">
        <v>123</v>
      </c>
      <c r="K831">
        <v>341</v>
      </c>
      <c r="L831" t="str">
        <v>OK</v>
      </c>
      <c r="M831">
        <v>1</v>
      </c>
      <c r="O831">
        <f t="shared" si="96"/>
        <v>17.723577235772357</v>
      </c>
      <c r="P831">
        <f t="shared" si="97"/>
        <v>79.479166666666671</v>
      </c>
      <c r="Q831">
        <f t="shared" si="98"/>
        <v>53.707809805370779</v>
      </c>
      <c r="R831">
        <f t="shared" si="99"/>
        <v>1</v>
      </c>
      <c r="S831">
        <f t="shared" si="100"/>
        <v>79.479166666666671</v>
      </c>
      <c r="T831" t="str">
        <f t="shared" si="101"/>
        <v>OK</v>
      </c>
      <c r="U831" t="str">
        <f t="shared" si="102"/>
        <v>OK</v>
      </c>
      <c r="V831" t="str">
        <f t="shared" si="103"/>
        <v>OK</v>
      </c>
    </row>
    <row r="832" spans="1:22" x14ac:dyDescent="0.45">
      <c r="A832" t="str">
        <v>SO-50533</v>
      </c>
      <c r="B832" t="str">
        <v>PL-CEN</v>
      </c>
      <c r="C832" t="str">
        <v>CD-VER</v>
      </c>
      <c r="D832" t="str">
        <v>PRO-1012</v>
      </c>
      <c r="E832">
        <v>1835</v>
      </c>
      <c r="F832" s="1">
        <v>46174</v>
      </c>
      <c r="G832" t="str">
        <v>In Transit</v>
      </c>
      <c r="H832" t="str">
        <v>OK</v>
      </c>
      <c r="I832">
        <v>6.87</v>
      </c>
      <c r="J832">
        <v>101</v>
      </c>
      <c r="K832">
        <v>62</v>
      </c>
      <c r="L832" t="str">
        <v>OK</v>
      </c>
      <c r="M832">
        <v>3</v>
      </c>
      <c r="O832">
        <f t="shared" si="96"/>
        <v>18.168316831683168</v>
      </c>
      <c r="P832">
        <f t="shared" si="97"/>
        <v>52.526875000000004</v>
      </c>
      <c r="Q832">
        <f t="shared" si="98"/>
        <v>55.055505550555054</v>
      </c>
      <c r="R832">
        <f t="shared" si="99"/>
        <v>1</v>
      </c>
      <c r="S832">
        <f t="shared" si="100"/>
        <v>55.055505550555054</v>
      </c>
      <c r="T832" t="str">
        <f t="shared" si="101"/>
        <v>CARGA INEFICIENTE</v>
      </c>
      <c r="U832" t="str">
        <f t="shared" si="102"/>
        <v>OK</v>
      </c>
      <c r="V832" t="str">
        <f t="shared" si="103"/>
        <v>OK</v>
      </c>
    </row>
    <row r="833" spans="1:22" x14ac:dyDescent="0.45">
      <c r="A833" t="str">
        <v>SO-50271</v>
      </c>
      <c r="B833" t="str">
        <v>PL-SUR</v>
      </c>
      <c r="C833" t="str">
        <v>CD-MOR</v>
      </c>
      <c r="D833" t="str">
        <v>BOT-1014</v>
      </c>
      <c r="E833">
        <v>1366</v>
      </c>
      <c r="F833" s="1">
        <v>46176</v>
      </c>
      <c r="G833" t="str">
        <v>In Transit</v>
      </c>
      <c r="H833" t="str">
        <v>OK</v>
      </c>
      <c r="I833">
        <v>3.92</v>
      </c>
      <c r="J833">
        <v>49</v>
      </c>
      <c r="K833">
        <v>98</v>
      </c>
      <c r="L833" t="str">
        <v>OK</v>
      </c>
      <c r="M833">
        <v>1</v>
      </c>
      <c r="O833">
        <f t="shared" si="96"/>
        <v>27.877551020408163</v>
      </c>
      <c r="P833">
        <f t="shared" si="97"/>
        <v>22.311333333333334</v>
      </c>
      <c r="Q833">
        <f t="shared" si="98"/>
        <v>84.477427334570194</v>
      </c>
      <c r="R833">
        <f t="shared" si="99"/>
        <v>1</v>
      </c>
      <c r="S833">
        <f t="shared" si="100"/>
        <v>84.477427334570194</v>
      </c>
      <c r="T833" t="str">
        <f t="shared" si="101"/>
        <v>OK</v>
      </c>
      <c r="U833" t="str">
        <f t="shared" si="102"/>
        <v>OK</v>
      </c>
      <c r="V833" t="str">
        <f t="shared" si="103"/>
        <v>OK</v>
      </c>
    </row>
    <row r="834" spans="1:22" x14ac:dyDescent="0.45">
      <c r="A834" t="str">
        <v>SO-50296</v>
      </c>
      <c r="B834" t="str">
        <v>PL-SUR</v>
      </c>
      <c r="C834" t="str">
        <v>CD-CAN</v>
      </c>
      <c r="D834" t="str">
        <v>BOT-1006</v>
      </c>
      <c r="E834">
        <v>514</v>
      </c>
      <c r="F834" s="1">
        <v>46174</v>
      </c>
      <c r="G834" t="str">
        <v>In Transit</v>
      </c>
      <c r="H834" t="str">
        <v>OK</v>
      </c>
      <c r="I834">
        <v>4.24</v>
      </c>
      <c r="J834">
        <v>41</v>
      </c>
      <c r="K834">
        <v>111</v>
      </c>
      <c r="L834" t="str">
        <v>OK</v>
      </c>
      <c r="M834">
        <v>3</v>
      </c>
      <c r="O834">
        <f t="shared" si="96"/>
        <v>12.536585365853659</v>
      </c>
      <c r="P834">
        <f t="shared" si="97"/>
        <v>9.0806666666666676</v>
      </c>
      <c r="Q834">
        <f t="shared" si="98"/>
        <v>37.98965262379896</v>
      </c>
      <c r="R834">
        <f t="shared" si="99"/>
        <v>1</v>
      </c>
      <c r="S834">
        <f t="shared" si="100"/>
        <v>37.98965262379896</v>
      </c>
      <c r="T834" t="str">
        <f t="shared" si="101"/>
        <v>CARGA INEFICIENTE</v>
      </c>
      <c r="U834" t="str">
        <f t="shared" si="102"/>
        <v>OK</v>
      </c>
      <c r="V834" t="str">
        <f t="shared" si="103"/>
        <v>OK</v>
      </c>
    </row>
    <row r="835" spans="1:22" x14ac:dyDescent="0.45">
      <c r="A835" t="str">
        <v>SO-50308</v>
      </c>
      <c r="B835" t="str">
        <v>PL-CEN</v>
      </c>
      <c r="C835" t="str">
        <v>CD-VER</v>
      </c>
      <c r="D835" t="str">
        <v>ABA-1008</v>
      </c>
      <c r="E835">
        <v>2007</v>
      </c>
      <c r="F835" s="1">
        <v>46174</v>
      </c>
      <c r="G835" t="str">
        <v>Delivered</v>
      </c>
      <c r="H835" t="str">
        <v>OK</v>
      </c>
      <c r="I835">
        <v>10.6</v>
      </c>
      <c r="J835">
        <v>96</v>
      </c>
      <c r="K835">
        <v>445</v>
      </c>
      <c r="L835" t="str">
        <v>OK</v>
      </c>
      <c r="M835">
        <v>3</v>
      </c>
      <c r="O835">
        <f t="shared" ref="O835:O898" si="104">IF(L835="HUERFANO","n/a",IF(ISNUMBER(J835),E835/J835,"n/a"))</f>
        <v>20.90625</v>
      </c>
      <c r="P835">
        <f t="shared" ref="P835:P898" si="105">IF(L835="HUERFANO","n/a",IFERROR(E835*I835/24000*100,""))</f>
        <v>88.642499999999998</v>
      </c>
      <c r="Q835">
        <f t="shared" ref="Q835:Q898" si="106">IF(L835="HUERFANO","n/a",IFERROR(O835/33*100,""))</f>
        <v>63.352272727272727</v>
      </c>
      <c r="R835">
        <f t="shared" ref="R835:R898" si="107">IF(L835="HUERFANO","n/a",IFERROR(MAX(CEILING(P835/100,1),CEILING(Q835/100,1)),""))</f>
        <v>1</v>
      </c>
      <c r="S835">
        <f t="shared" ref="S835:S898" si="108">IF(L835="HUERFANO","n/a",IFERROR(MAX(P835,Q835)/(R835*100)*100,""))</f>
        <v>88.642499999999998</v>
      </c>
      <c r="T835" t="str">
        <f t="shared" ref="T835:T898" si="109">IF(L835="HUERFANO","n/a",IF(S835&lt;75,"CARGA INEFICIENTE","OK"))</f>
        <v>OK</v>
      </c>
      <c r="U835" t="str">
        <f t="shared" ref="U835:U898" si="110">IF(L835="HUERFANO","n/a",IF(AND(LEFT(D835,3)="LAC",(K835-M835)/K835*100&lt;70),"FEFO RIESGO","OK"))</f>
        <v>OK</v>
      </c>
      <c r="V835" t="str">
        <f t="shared" ref="V835:V898" si="111">IF(L835="HUERFANO","n/a",IF(AND(G835="In Transit",M835&gt;5),"FANTASMA","OK"))</f>
        <v>OK</v>
      </c>
    </row>
    <row r="836" spans="1:22" x14ac:dyDescent="0.45">
      <c r="A836" t="str">
        <v>SO-50996</v>
      </c>
      <c r="B836" t="str">
        <v>PL-SUR</v>
      </c>
      <c r="C836" t="str">
        <v>CD-MER</v>
      </c>
      <c r="D836" t="str">
        <v>BEB-1016</v>
      </c>
      <c r="E836">
        <v>832</v>
      </c>
      <c r="F836" s="1">
        <v>46173</v>
      </c>
      <c r="G836" t="str">
        <v>In Transit</v>
      </c>
      <c r="H836" t="str">
        <v>OK</v>
      </c>
      <c r="I836">
        <v>0</v>
      </c>
      <c r="J836">
        <v>98</v>
      </c>
      <c r="K836">
        <v>359</v>
      </c>
      <c r="L836" t="str">
        <v>OK</v>
      </c>
      <c r="M836">
        <v>4</v>
      </c>
      <c r="O836">
        <f t="shared" si="104"/>
        <v>8.4897959183673475</v>
      </c>
      <c r="P836">
        <f t="shared" si="105"/>
        <v>0</v>
      </c>
      <c r="Q836">
        <f t="shared" si="106"/>
        <v>25.726654298082874</v>
      </c>
      <c r="R836">
        <f t="shared" si="107"/>
        <v>1</v>
      </c>
      <c r="S836">
        <f t="shared" si="108"/>
        <v>25.726654298082874</v>
      </c>
      <c r="T836" t="str">
        <f t="shared" si="109"/>
        <v>CARGA INEFICIENTE</v>
      </c>
      <c r="U836" t="str">
        <f t="shared" si="110"/>
        <v>OK</v>
      </c>
      <c r="V836" t="str">
        <f t="shared" si="111"/>
        <v>OK</v>
      </c>
    </row>
    <row r="837" spans="1:22" x14ac:dyDescent="0.45">
      <c r="A837" t="str">
        <v>SO-50623</v>
      </c>
      <c r="B837" t="str">
        <v>PL-NTE</v>
      </c>
      <c r="C837" t="str">
        <v>CD-CHI</v>
      </c>
      <c r="D837" t="str">
        <v>BOT-1009</v>
      </c>
      <c r="E837">
        <v>2316</v>
      </c>
      <c r="F837" s="1">
        <v>46174</v>
      </c>
      <c r="G837" t="str">
        <v>In Transit</v>
      </c>
      <c r="H837" t="str">
        <v>OK</v>
      </c>
      <c r="I837">
        <v>5.25</v>
      </c>
      <c r="J837">
        <v>76</v>
      </c>
      <c r="K837">
        <v>104</v>
      </c>
      <c r="L837" t="str">
        <v>OK</v>
      </c>
      <c r="M837">
        <v>3</v>
      </c>
      <c r="O837">
        <f t="shared" si="104"/>
        <v>30.473684210526315</v>
      </c>
      <c r="P837">
        <f t="shared" si="105"/>
        <v>50.662500000000001</v>
      </c>
      <c r="Q837">
        <f t="shared" si="106"/>
        <v>92.344497607655498</v>
      </c>
      <c r="R837">
        <f t="shared" si="107"/>
        <v>1</v>
      </c>
      <c r="S837">
        <f t="shared" si="108"/>
        <v>92.344497607655498</v>
      </c>
      <c r="T837" t="str">
        <f t="shared" si="109"/>
        <v>OK</v>
      </c>
      <c r="U837" t="str">
        <f t="shared" si="110"/>
        <v>OK</v>
      </c>
      <c r="V837" t="str">
        <f t="shared" si="111"/>
        <v>OK</v>
      </c>
    </row>
    <row r="838" spans="1:22" x14ac:dyDescent="0.45">
      <c r="A838" t="str">
        <v>SO-50699</v>
      </c>
      <c r="B838" t="str">
        <v>PL-SUR</v>
      </c>
      <c r="C838" t="str">
        <v>CD-GDL</v>
      </c>
      <c r="D838" t="str">
        <v>PRO-1011</v>
      </c>
      <c r="E838">
        <v>1740</v>
      </c>
      <c r="F838" s="1">
        <v>46176</v>
      </c>
      <c r="G838" t="str">
        <v>In Transit</v>
      </c>
      <c r="H838" t="str">
        <v>OK</v>
      </c>
      <c r="I838">
        <v>4.3600000000000003</v>
      </c>
      <c r="J838">
        <v>88</v>
      </c>
      <c r="K838">
        <v>108</v>
      </c>
      <c r="L838" t="str">
        <v>OK</v>
      </c>
      <c r="M838">
        <v>1</v>
      </c>
      <c r="O838">
        <f t="shared" si="104"/>
        <v>19.772727272727273</v>
      </c>
      <c r="P838">
        <f t="shared" si="105"/>
        <v>31.610000000000007</v>
      </c>
      <c r="Q838">
        <f t="shared" si="106"/>
        <v>59.917355371900825</v>
      </c>
      <c r="R838">
        <f t="shared" si="107"/>
        <v>1</v>
      </c>
      <c r="S838">
        <f t="shared" si="108"/>
        <v>59.917355371900825</v>
      </c>
      <c r="T838" t="str">
        <f t="shared" si="109"/>
        <v>CARGA INEFICIENTE</v>
      </c>
      <c r="U838" t="str">
        <f t="shared" si="110"/>
        <v>OK</v>
      </c>
      <c r="V838" t="str">
        <f t="shared" si="111"/>
        <v>OK</v>
      </c>
    </row>
    <row r="839" spans="1:22" x14ac:dyDescent="0.45">
      <c r="A839" t="str">
        <v>SO-50316</v>
      </c>
      <c r="B839" t="str">
        <v>PL-CEN</v>
      </c>
      <c r="C839" t="str">
        <v>CD-QRO</v>
      </c>
      <c r="D839" t="str">
        <v>BOT-1019</v>
      </c>
      <c r="E839">
        <v>2695</v>
      </c>
      <c r="F839" s="1">
        <v>46175</v>
      </c>
      <c r="G839" t="str">
        <v>In Transit</v>
      </c>
      <c r="H839" t="str">
        <v>OK</v>
      </c>
      <c r="I839">
        <v>3.44</v>
      </c>
      <c r="J839">
        <v>85</v>
      </c>
      <c r="K839">
        <v>102</v>
      </c>
      <c r="L839" t="str">
        <v>OK</v>
      </c>
      <c r="M839">
        <v>2</v>
      </c>
      <c r="O839">
        <f t="shared" si="104"/>
        <v>31.705882352941178</v>
      </c>
      <c r="P839">
        <f t="shared" si="105"/>
        <v>38.62833333333333</v>
      </c>
      <c r="Q839">
        <f t="shared" si="106"/>
        <v>96.078431372549019</v>
      </c>
      <c r="R839">
        <f t="shared" si="107"/>
        <v>1</v>
      </c>
      <c r="S839">
        <f t="shared" si="108"/>
        <v>96.078431372549019</v>
      </c>
      <c r="T839" t="str">
        <f t="shared" si="109"/>
        <v>OK</v>
      </c>
      <c r="U839" t="str">
        <f t="shared" si="110"/>
        <v>OK</v>
      </c>
      <c r="V839" t="str">
        <f t="shared" si="111"/>
        <v>OK</v>
      </c>
    </row>
    <row r="840" spans="1:22" x14ac:dyDescent="0.45">
      <c r="A840" t="str">
        <v>SO-50498</v>
      </c>
      <c r="B840" t="str">
        <v>PL-CEN</v>
      </c>
      <c r="C840" t="str">
        <v>CD-VER</v>
      </c>
      <c r="D840" t="str">
        <v>BOT-1010</v>
      </c>
      <c r="E840">
        <v>1211</v>
      </c>
      <c r="F840" s="1">
        <v>46176</v>
      </c>
      <c r="G840" t="str">
        <v>In Transit</v>
      </c>
      <c r="H840" t="str">
        <v>OK</v>
      </c>
      <c r="I840">
        <v>5.09</v>
      </c>
      <c r="J840">
        <v>40</v>
      </c>
      <c r="K840">
        <v>90</v>
      </c>
      <c r="L840" t="str">
        <v>OK</v>
      </c>
      <c r="M840">
        <v>1</v>
      </c>
      <c r="O840">
        <f t="shared" si="104"/>
        <v>30.274999999999999</v>
      </c>
      <c r="P840">
        <f t="shared" si="105"/>
        <v>25.683291666666662</v>
      </c>
      <c r="Q840">
        <f t="shared" si="106"/>
        <v>91.742424242424235</v>
      </c>
      <c r="R840">
        <f t="shared" si="107"/>
        <v>1</v>
      </c>
      <c r="S840">
        <f t="shared" si="108"/>
        <v>91.742424242424235</v>
      </c>
      <c r="T840" t="str">
        <f t="shared" si="109"/>
        <v>OK</v>
      </c>
      <c r="U840" t="str">
        <f t="shared" si="110"/>
        <v>OK</v>
      </c>
      <c r="V840" t="str">
        <f t="shared" si="111"/>
        <v>OK</v>
      </c>
    </row>
    <row r="841" spans="1:22" x14ac:dyDescent="0.45">
      <c r="A841" t="str">
        <v>SO-50468</v>
      </c>
      <c r="B841" t="str">
        <v>PL-SUR</v>
      </c>
      <c r="C841" t="str">
        <v>CD-MOR</v>
      </c>
      <c r="D841" t="str">
        <v>ABA-1012</v>
      </c>
      <c r="E841">
        <v>1379</v>
      </c>
      <c r="F841" s="1">
        <v>46175</v>
      </c>
      <c r="G841" t="str">
        <v>In Transit</v>
      </c>
      <c r="H841" t="str">
        <v>OK</v>
      </c>
      <c r="I841">
        <v>15.14</v>
      </c>
      <c r="J841">
        <v>117</v>
      </c>
      <c r="K841">
        <v>484</v>
      </c>
      <c r="L841" t="str">
        <v>OK</v>
      </c>
      <c r="M841">
        <v>2</v>
      </c>
      <c r="O841">
        <f t="shared" si="104"/>
        <v>11.786324786324787</v>
      </c>
      <c r="P841">
        <f t="shared" si="105"/>
        <v>86.991916666666668</v>
      </c>
      <c r="Q841">
        <f t="shared" si="106"/>
        <v>35.716135716135717</v>
      </c>
      <c r="R841">
        <f t="shared" si="107"/>
        <v>1</v>
      </c>
      <c r="S841">
        <f t="shared" si="108"/>
        <v>86.991916666666668</v>
      </c>
      <c r="T841" t="str">
        <f t="shared" si="109"/>
        <v>OK</v>
      </c>
      <c r="U841" t="str">
        <f t="shared" si="110"/>
        <v>OK</v>
      </c>
      <c r="V841" t="str">
        <f t="shared" si="111"/>
        <v>OK</v>
      </c>
    </row>
    <row r="842" spans="1:22" x14ac:dyDescent="0.45">
      <c r="A842" t="str">
        <v>SO-50496</v>
      </c>
      <c r="B842" t="str">
        <v>PL-NTE</v>
      </c>
      <c r="C842" t="str">
        <v>CD-MTY</v>
      </c>
      <c r="D842" t="str">
        <v>LAC-1009</v>
      </c>
      <c r="E842">
        <v>1819</v>
      </c>
      <c r="F842" s="1">
        <v>46176</v>
      </c>
      <c r="G842" t="str">
        <v>In Transit</v>
      </c>
      <c r="H842" t="str">
        <v>OK</v>
      </c>
      <c r="I842">
        <v>11.01</v>
      </c>
      <c r="J842">
        <v>98</v>
      </c>
      <c r="K842">
        <v>16</v>
      </c>
      <c r="L842" t="str">
        <v>OK</v>
      </c>
      <c r="M842">
        <v>1</v>
      </c>
      <c r="O842">
        <f t="shared" si="104"/>
        <v>18.561224489795919</v>
      </c>
      <c r="P842">
        <f t="shared" si="105"/>
        <v>83.446624999999997</v>
      </c>
      <c r="Q842">
        <f t="shared" si="106"/>
        <v>56.246134817563387</v>
      </c>
      <c r="R842">
        <f t="shared" si="107"/>
        <v>1</v>
      </c>
      <c r="S842">
        <f t="shared" si="108"/>
        <v>83.446624999999997</v>
      </c>
      <c r="T842" t="str">
        <f t="shared" si="109"/>
        <v>OK</v>
      </c>
      <c r="U842" t="str">
        <f t="shared" si="110"/>
        <v>OK</v>
      </c>
      <c r="V842" t="str">
        <f t="shared" si="111"/>
        <v>OK</v>
      </c>
    </row>
    <row r="843" spans="1:22" x14ac:dyDescent="0.45">
      <c r="A843" t="str">
        <v>SO-50703</v>
      </c>
      <c r="B843" t="str">
        <v>PL-CEN</v>
      </c>
      <c r="C843" t="str">
        <v>CD-CDMX</v>
      </c>
      <c r="D843" t="str">
        <v>BEB-1013</v>
      </c>
      <c r="E843">
        <v>1119</v>
      </c>
      <c r="F843" s="1">
        <v>46176</v>
      </c>
      <c r="G843" t="str">
        <v>Delivered</v>
      </c>
      <c r="H843" t="str">
        <v>OK</v>
      </c>
      <c r="I843">
        <v>17.28</v>
      </c>
      <c r="J843">
        <v>97</v>
      </c>
      <c r="K843">
        <v>271</v>
      </c>
      <c r="L843" t="str">
        <v>OK</v>
      </c>
      <c r="M843">
        <v>1</v>
      </c>
      <c r="O843">
        <f t="shared" si="104"/>
        <v>11.536082474226804</v>
      </c>
      <c r="P843">
        <f t="shared" si="105"/>
        <v>80.567999999999998</v>
      </c>
      <c r="Q843">
        <f t="shared" si="106"/>
        <v>34.957825679475164</v>
      </c>
      <c r="R843">
        <f t="shared" si="107"/>
        <v>1</v>
      </c>
      <c r="S843">
        <f t="shared" si="108"/>
        <v>80.567999999999998</v>
      </c>
      <c r="T843" t="str">
        <f t="shared" si="109"/>
        <v>OK</v>
      </c>
      <c r="U843" t="str">
        <f t="shared" si="110"/>
        <v>OK</v>
      </c>
      <c r="V843" t="str">
        <f t="shared" si="111"/>
        <v>OK</v>
      </c>
    </row>
    <row r="844" spans="1:22" x14ac:dyDescent="0.45">
      <c r="A844" t="str">
        <v>SO-50649</v>
      </c>
      <c r="B844" t="str">
        <v>PL-CEN</v>
      </c>
      <c r="C844" t="str">
        <v>CD-PUE</v>
      </c>
      <c r="D844" t="str">
        <v>ABA-1009</v>
      </c>
      <c r="E844">
        <v>1363</v>
      </c>
      <c r="F844" s="1">
        <v>46176</v>
      </c>
      <c r="G844" t="str">
        <v>In Transit</v>
      </c>
      <c r="H844" t="str">
        <v>OK</v>
      </c>
      <c r="I844">
        <v>14.79</v>
      </c>
      <c r="J844">
        <v>124</v>
      </c>
      <c r="K844">
        <v>423</v>
      </c>
      <c r="L844" t="str">
        <v>OK</v>
      </c>
      <c r="M844">
        <v>1</v>
      </c>
      <c r="O844">
        <f t="shared" si="104"/>
        <v>10.991935483870968</v>
      </c>
      <c r="P844">
        <f t="shared" si="105"/>
        <v>83.994875000000008</v>
      </c>
      <c r="Q844">
        <f t="shared" si="106"/>
        <v>33.308895405669595</v>
      </c>
      <c r="R844">
        <f t="shared" si="107"/>
        <v>1</v>
      </c>
      <c r="S844">
        <f t="shared" si="108"/>
        <v>83.994875000000008</v>
      </c>
      <c r="T844" t="str">
        <f t="shared" si="109"/>
        <v>OK</v>
      </c>
      <c r="U844" t="str">
        <f t="shared" si="110"/>
        <v>OK</v>
      </c>
      <c r="V844" t="str">
        <f t="shared" si="111"/>
        <v>OK</v>
      </c>
    </row>
    <row r="845" spans="1:22" x14ac:dyDescent="0.45">
      <c r="A845" t="str">
        <v>SO-50021</v>
      </c>
      <c r="B845" t="str">
        <v>PL-NTE</v>
      </c>
      <c r="C845" t="str">
        <v>CD-SAL</v>
      </c>
      <c r="D845" t="str">
        <v>BEB-1004</v>
      </c>
      <c r="E845">
        <v>892</v>
      </c>
      <c r="F845" s="1">
        <v>46176</v>
      </c>
      <c r="G845" t="str">
        <v>Delivered</v>
      </c>
      <c r="H845" t="str">
        <v>OK</v>
      </c>
      <c r="I845">
        <v>21.99</v>
      </c>
      <c r="J845">
        <v>67</v>
      </c>
      <c r="K845">
        <v>213</v>
      </c>
      <c r="L845" t="str">
        <v>OK</v>
      </c>
      <c r="M845">
        <v>1</v>
      </c>
      <c r="O845">
        <f t="shared" si="104"/>
        <v>13.313432835820896</v>
      </c>
      <c r="P845">
        <f t="shared" si="105"/>
        <v>81.729499999999987</v>
      </c>
      <c r="Q845">
        <f t="shared" si="106"/>
        <v>40.343735866123929</v>
      </c>
      <c r="R845">
        <f t="shared" si="107"/>
        <v>1</v>
      </c>
      <c r="S845">
        <f t="shared" si="108"/>
        <v>81.729499999999987</v>
      </c>
      <c r="T845" t="str">
        <f t="shared" si="109"/>
        <v>OK</v>
      </c>
      <c r="U845" t="str">
        <f t="shared" si="110"/>
        <v>OK</v>
      </c>
      <c r="V845" t="str">
        <f t="shared" si="111"/>
        <v>OK</v>
      </c>
    </row>
    <row r="846" spans="1:22" x14ac:dyDescent="0.45">
      <c r="A846" t="str">
        <v>SO-50760</v>
      </c>
      <c r="B846" t="str">
        <v>PL-SUR</v>
      </c>
      <c r="C846" t="str">
        <v>CD-MER</v>
      </c>
      <c r="D846" t="str">
        <v>BEB-1003</v>
      </c>
      <c r="E846">
        <v>401</v>
      </c>
      <c r="F846" s="1">
        <v>46174</v>
      </c>
      <c r="G846" t="str">
        <v>In Transit</v>
      </c>
      <c r="H846" t="str">
        <v>OK</v>
      </c>
      <c r="I846">
        <v>20.5</v>
      </c>
      <c r="J846">
        <v>64</v>
      </c>
      <c r="K846">
        <v>359</v>
      </c>
      <c r="L846" t="str">
        <v>OK</v>
      </c>
      <c r="M846">
        <v>3</v>
      </c>
      <c r="O846">
        <f t="shared" si="104"/>
        <v>6.265625</v>
      </c>
      <c r="P846">
        <f t="shared" si="105"/>
        <v>34.252083333333331</v>
      </c>
      <c r="Q846">
        <f t="shared" si="106"/>
        <v>18.986742424242426</v>
      </c>
      <c r="R846">
        <f t="shared" si="107"/>
        <v>1</v>
      </c>
      <c r="S846">
        <f t="shared" si="108"/>
        <v>34.252083333333331</v>
      </c>
      <c r="T846" t="str">
        <f t="shared" si="109"/>
        <v>CARGA INEFICIENTE</v>
      </c>
      <c r="U846" t="str">
        <f t="shared" si="110"/>
        <v>OK</v>
      </c>
      <c r="V846" t="str">
        <f t="shared" si="111"/>
        <v>OK</v>
      </c>
    </row>
    <row r="847" spans="1:22" x14ac:dyDescent="0.45">
      <c r="A847" t="str">
        <v>SO-50218</v>
      </c>
      <c r="B847" t="str">
        <v>PL-CEN</v>
      </c>
      <c r="C847" t="str">
        <v>CD-QRO</v>
      </c>
      <c r="D847" t="str">
        <v>LAC-1010</v>
      </c>
      <c r="E847">
        <v>3711</v>
      </c>
      <c r="F847" s="1">
        <v>46176</v>
      </c>
      <c r="G847" t="str">
        <v>In Transit</v>
      </c>
      <c r="H847" t="str">
        <v>OK</v>
      </c>
      <c r="I847">
        <v>6.24</v>
      </c>
      <c r="J847">
        <v>146</v>
      </c>
      <c r="K847">
        <v>24</v>
      </c>
      <c r="L847" t="str">
        <v>OK</v>
      </c>
      <c r="M847">
        <v>1</v>
      </c>
      <c r="O847">
        <f t="shared" si="104"/>
        <v>25.417808219178081</v>
      </c>
      <c r="P847">
        <f t="shared" si="105"/>
        <v>96.48599999999999</v>
      </c>
      <c r="Q847">
        <f t="shared" si="106"/>
        <v>77.023661270236616</v>
      </c>
      <c r="R847">
        <f t="shared" si="107"/>
        <v>1</v>
      </c>
      <c r="S847">
        <f t="shared" si="108"/>
        <v>96.48599999999999</v>
      </c>
      <c r="T847" t="str">
        <f t="shared" si="109"/>
        <v>OK</v>
      </c>
      <c r="U847" t="str">
        <f t="shared" si="110"/>
        <v>OK</v>
      </c>
      <c r="V847" t="str">
        <f t="shared" si="111"/>
        <v>OK</v>
      </c>
    </row>
    <row r="848" spans="1:22" x14ac:dyDescent="0.45">
      <c r="A848" t="str">
        <v>SO-50446</v>
      </c>
      <c r="B848" t="str">
        <v>PL-NTE</v>
      </c>
      <c r="C848" t="str">
        <v>CD-CHI</v>
      </c>
      <c r="D848" t="str">
        <v>ABA-1008</v>
      </c>
      <c r="E848">
        <v>1128</v>
      </c>
      <c r="F848" s="1">
        <v>46175</v>
      </c>
      <c r="G848" t="str">
        <v>In Transit</v>
      </c>
      <c r="H848" t="str">
        <v>OK</v>
      </c>
      <c r="I848">
        <v>10.6</v>
      </c>
      <c r="J848">
        <v>96</v>
      </c>
      <c r="K848">
        <v>445</v>
      </c>
      <c r="L848" t="str">
        <v>OK</v>
      </c>
      <c r="M848">
        <v>2</v>
      </c>
      <c r="O848">
        <f t="shared" si="104"/>
        <v>11.75</v>
      </c>
      <c r="P848">
        <f t="shared" si="105"/>
        <v>49.82</v>
      </c>
      <c r="Q848">
        <f t="shared" si="106"/>
        <v>35.606060606060609</v>
      </c>
      <c r="R848">
        <f t="shared" si="107"/>
        <v>1</v>
      </c>
      <c r="S848">
        <f t="shared" si="108"/>
        <v>49.82</v>
      </c>
      <c r="T848" t="str">
        <f t="shared" si="109"/>
        <v>CARGA INEFICIENTE</v>
      </c>
      <c r="U848" t="str">
        <f t="shared" si="110"/>
        <v>OK</v>
      </c>
      <c r="V848" t="str">
        <f t="shared" si="111"/>
        <v>OK</v>
      </c>
    </row>
    <row r="849" spans="1:22" x14ac:dyDescent="0.45">
      <c r="A849" t="str">
        <v>SO-50160</v>
      </c>
      <c r="B849" t="str">
        <v>PL-SUR</v>
      </c>
      <c r="C849" t="str">
        <v>CD-LEO</v>
      </c>
      <c r="D849" t="str">
        <v>BOT-1009</v>
      </c>
      <c r="E849">
        <v>648</v>
      </c>
      <c r="F849" s="1">
        <v>46176</v>
      </c>
      <c r="G849" t="str">
        <v>In Transit</v>
      </c>
      <c r="H849" t="str">
        <v>OK</v>
      </c>
      <c r="I849">
        <v>5.25</v>
      </c>
      <c r="J849">
        <v>76</v>
      </c>
      <c r="K849">
        <v>104</v>
      </c>
      <c r="L849" t="str">
        <v>OK</v>
      </c>
      <c r="M849">
        <v>1</v>
      </c>
      <c r="O849">
        <f t="shared" si="104"/>
        <v>8.526315789473685</v>
      </c>
      <c r="P849">
        <f t="shared" si="105"/>
        <v>14.174999999999999</v>
      </c>
      <c r="Q849">
        <f t="shared" si="106"/>
        <v>25.837320574162682</v>
      </c>
      <c r="R849">
        <f t="shared" si="107"/>
        <v>1</v>
      </c>
      <c r="S849">
        <f t="shared" si="108"/>
        <v>25.837320574162682</v>
      </c>
      <c r="T849" t="str">
        <f t="shared" si="109"/>
        <v>CARGA INEFICIENTE</v>
      </c>
      <c r="U849" t="str">
        <f t="shared" si="110"/>
        <v>OK</v>
      </c>
      <c r="V849" t="str">
        <f t="shared" si="111"/>
        <v>OK</v>
      </c>
    </row>
    <row r="850" spans="1:22" x14ac:dyDescent="0.45">
      <c r="A850" t="str">
        <v>SO-50965</v>
      </c>
      <c r="B850" t="str">
        <v>PL-SUR</v>
      </c>
      <c r="C850" t="str">
        <v>CD-MOR</v>
      </c>
      <c r="D850" t="str">
        <v>BEB-1010</v>
      </c>
      <c r="E850">
        <v>1193</v>
      </c>
      <c r="F850" s="1">
        <v>46175</v>
      </c>
      <c r="G850" t="str">
        <v>In Transit</v>
      </c>
      <c r="H850" t="str">
        <v>OK</v>
      </c>
      <c r="I850">
        <v>0</v>
      </c>
      <c r="J850">
        <v>71</v>
      </c>
      <c r="K850">
        <v>192</v>
      </c>
      <c r="L850" t="str">
        <v>OK</v>
      </c>
      <c r="M850">
        <v>2</v>
      </c>
      <c r="O850">
        <f t="shared" si="104"/>
        <v>16.802816901408452</v>
      </c>
      <c r="P850">
        <f t="shared" si="105"/>
        <v>0</v>
      </c>
      <c r="Q850">
        <f t="shared" si="106"/>
        <v>50.917626973965</v>
      </c>
      <c r="R850">
        <f t="shared" si="107"/>
        <v>1</v>
      </c>
      <c r="S850">
        <f t="shared" si="108"/>
        <v>50.917626973965</v>
      </c>
      <c r="T850" t="str">
        <f t="shared" si="109"/>
        <v>CARGA INEFICIENTE</v>
      </c>
      <c r="U850" t="str">
        <f t="shared" si="110"/>
        <v>OK</v>
      </c>
      <c r="V850" t="str">
        <f t="shared" si="111"/>
        <v>OK</v>
      </c>
    </row>
    <row r="851" spans="1:22" x14ac:dyDescent="0.45">
      <c r="A851" t="str">
        <v>SO-50558</v>
      </c>
      <c r="B851" t="str">
        <v>PL-CEN</v>
      </c>
      <c r="C851" t="str">
        <v>CD-TOL</v>
      </c>
      <c r="D851" t="str">
        <v>PRO-1011</v>
      </c>
      <c r="E851">
        <v>2290</v>
      </c>
      <c r="F851" s="1">
        <v>46176</v>
      </c>
      <c r="G851" t="str">
        <v>In Transit</v>
      </c>
      <c r="H851" t="str">
        <v>OK</v>
      </c>
      <c r="I851">
        <v>4.3600000000000003</v>
      </c>
      <c r="J851">
        <v>88</v>
      </c>
      <c r="K851">
        <v>108</v>
      </c>
      <c r="L851" t="str">
        <v>OK</v>
      </c>
      <c r="M851">
        <v>1</v>
      </c>
      <c r="O851">
        <f t="shared" si="104"/>
        <v>26.022727272727273</v>
      </c>
      <c r="P851">
        <f t="shared" si="105"/>
        <v>41.601666666666674</v>
      </c>
      <c r="Q851">
        <f t="shared" si="106"/>
        <v>78.856749311294777</v>
      </c>
      <c r="R851">
        <f t="shared" si="107"/>
        <v>1</v>
      </c>
      <c r="S851">
        <f t="shared" si="108"/>
        <v>78.856749311294777</v>
      </c>
      <c r="T851" t="str">
        <f t="shared" si="109"/>
        <v>OK</v>
      </c>
      <c r="U851" t="str">
        <f t="shared" si="110"/>
        <v>OK</v>
      </c>
      <c r="V851" t="str">
        <f t="shared" si="111"/>
        <v>OK</v>
      </c>
    </row>
    <row r="852" spans="1:22" x14ac:dyDescent="0.45">
      <c r="A852" t="str">
        <v>SO-50436</v>
      </c>
      <c r="B852" t="str">
        <v>PL-CEN</v>
      </c>
      <c r="C852" t="str">
        <v>CD-VER</v>
      </c>
      <c r="D852" t="str">
        <v>BOT-1014</v>
      </c>
      <c r="E852">
        <v>1488</v>
      </c>
      <c r="F852" s="1">
        <v>46174</v>
      </c>
      <c r="G852" t="str">
        <v>In Transit</v>
      </c>
      <c r="H852" t="str">
        <v>OK</v>
      </c>
      <c r="I852">
        <v>3.92</v>
      </c>
      <c r="J852">
        <v>49</v>
      </c>
      <c r="K852">
        <v>98</v>
      </c>
      <c r="L852" t="str">
        <v>OK</v>
      </c>
      <c r="M852">
        <v>3</v>
      </c>
      <c r="O852">
        <f t="shared" si="104"/>
        <v>30.367346938775512</v>
      </c>
      <c r="P852">
        <f t="shared" si="105"/>
        <v>24.304000000000002</v>
      </c>
      <c r="Q852">
        <f t="shared" si="106"/>
        <v>92.022263450834885</v>
      </c>
      <c r="R852">
        <f t="shared" si="107"/>
        <v>1</v>
      </c>
      <c r="S852">
        <f t="shared" si="108"/>
        <v>92.022263450834885</v>
      </c>
      <c r="T852" t="str">
        <f t="shared" si="109"/>
        <v>OK</v>
      </c>
      <c r="U852" t="str">
        <f t="shared" si="110"/>
        <v>OK</v>
      </c>
      <c r="V852" t="str">
        <f t="shared" si="111"/>
        <v>OK</v>
      </c>
    </row>
    <row r="853" spans="1:22" x14ac:dyDescent="0.45">
      <c r="A853" t="str">
        <v>SO-50406</v>
      </c>
      <c r="B853" t="str">
        <v>PL-CEN</v>
      </c>
      <c r="C853" t="str">
        <v>CD-QRO</v>
      </c>
      <c r="D853" t="str">
        <v>ABA-1006</v>
      </c>
      <c r="E853">
        <v>1862</v>
      </c>
      <c r="F853" s="1">
        <v>46176</v>
      </c>
      <c r="G853" t="str">
        <v>In Transit</v>
      </c>
      <c r="H853" t="str">
        <v>OK</v>
      </c>
      <c r="I853">
        <v>12.39</v>
      </c>
      <c r="J853">
        <v>134</v>
      </c>
      <c r="K853">
        <v>446</v>
      </c>
      <c r="L853" t="str">
        <v>OK</v>
      </c>
      <c r="M853">
        <v>1</v>
      </c>
      <c r="O853">
        <f t="shared" si="104"/>
        <v>13.895522388059701</v>
      </c>
      <c r="P853">
        <f t="shared" si="105"/>
        <v>96.125749999999996</v>
      </c>
      <c r="Q853">
        <f t="shared" si="106"/>
        <v>42.107643600180907</v>
      </c>
      <c r="R853">
        <f t="shared" si="107"/>
        <v>1</v>
      </c>
      <c r="S853">
        <f t="shared" si="108"/>
        <v>96.125749999999996</v>
      </c>
      <c r="T853" t="str">
        <f t="shared" si="109"/>
        <v>OK</v>
      </c>
      <c r="U853" t="str">
        <f t="shared" si="110"/>
        <v>OK</v>
      </c>
      <c r="V853" t="str">
        <f t="shared" si="111"/>
        <v>OK</v>
      </c>
    </row>
    <row r="854" spans="1:22" x14ac:dyDescent="0.45">
      <c r="A854" t="str">
        <v>SO-50367</v>
      </c>
      <c r="B854" t="str">
        <v>PL-SUR</v>
      </c>
      <c r="C854" t="str">
        <v>CD-MOR</v>
      </c>
      <c r="D854" t="str">
        <v>BEB-1019</v>
      </c>
      <c r="E854">
        <v>1570</v>
      </c>
      <c r="F854" s="1">
        <v>46176</v>
      </c>
      <c r="G854" t="str">
        <v>In Transit</v>
      </c>
      <c r="H854" t="str">
        <v>OK</v>
      </c>
      <c r="I854">
        <v>14.35</v>
      </c>
      <c r="J854">
        <v>70</v>
      </c>
      <c r="K854">
        <v>240</v>
      </c>
      <c r="L854" t="str">
        <v>OK</v>
      </c>
      <c r="M854">
        <v>1</v>
      </c>
      <c r="O854">
        <f t="shared" si="104"/>
        <v>22.428571428571427</v>
      </c>
      <c r="P854">
        <f t="shared" si="105"/>
        <v>93.872916666666669</v>
      </c>
      <c r="Q854">
        <f t="shared" si="106"/>
        <v>67.96536796536796</v>
      </c>
      <c r="R854">
        <f t="shared" si="107"/>
        <v>1</v>
      </c>
      <c r="S854">
        <f t="shared" si="108"/>
        <v>93.872916666666669</v>
      </c>
      <c r="T854" t="str">
        <f t="shared" si="109"/>
        <v>OK</v>
      </c>
      <c r="U854" t="str">
        <f t="shared" si="110"/>
        <v>OK</v>
      </c>
      <c r="V854" t="str">
        <f t="shared" si="111"/>
        <v>OK</v>
      </c>
    </row>
    <row r="855" spans="1:22" x14ac:dyDescent="0.45">
      <c r="A855" t="str">
        <v>SO-50550</v>
      </c>
      <c r="B855" t="str">
        <v>PL-CEN</v>
      </c>
      <c r="C855" t="str">
        <v>CD-QRO</v>
      </c>
      <c r="D855" t="str">
        <v>PRO-1007</v>
      </c>
      <c r="E855">
        <v>1614</v>
      </c>
      <c r="F855" s="1">
        <v>46175</v>
      </c>
      <c r="G855" t="str">
        <v>In Transit</v>
      </c>
      <c r="H855" t="str">
        <v>OK</v>
      </c>
      <c r="I855">
        <v>13.13</v>
      </c>
      <c r="J855">
        <v>82</v>
      </c>
      <c r="K855">
        <v>105</v>
      </c>
      <c r="L855" t="str">
        <v>OK</v>
      </c>
      <c r="M855">
        <v>2</v>
      </c>
      <c r="O855">
        <f t="shared" si="104"/>
        <v>19.682926829268293</v>
      </c>
      <c r="P855">
        <f t="shared" si="105"/>
        <v>88.299250000000001</v>
      </c>
      <c r="Q855">
        <f t="shared" si="106"/>
        <v>59.645232815964519</v>
      </c>
      <c r="R855">
        <f t="shared" si="107"/>
        <v>1</v>
      </c>
      <c r="S855">
        <f t="shared" si="108"/>
        <v>88.299250000000001</v>
      </c>
      <c r="T855" t="str">
        <f t="shared" si="109"/>
        <v>OK</v>
      </c>
      <c r="U855" t="str">
        <f t="shared" si="110"/>
        <v>OK</v>
      </c>
      <c r="V855" t="str">
        <f t="shared" si="111"/>
        <v>OK</v>
      </c>
    </row>
    <row r="856" spans="1:22" x14ac:dyDescent="0.45">
      <c r="A856" t="str">
        <v>SO-50868</v>
      </c>
      <c r="B856" t="str">
        <v>PL-CEN</v>
      </c>
      <c r="C856" t="str">
        <v>CD-PUE</v>
      </c>
      <c r="D856" t="str">
        <v>LAC-1016</v>
      </c>
      <c r="E856">
        <v>1994</v>
      </c>
      <c r="F856" s="1">
        <v>46176</v>
      </c>
      <c r="G856" t="str">
        <v>In Transit</v>
      </c>
      <c r="H856" t="str">
        <v>OK</v>
      </c>
      <c r="I856">
        <v>10.9</v>
      </c>
      <c r="J856">
        <v>131</v>
      </c>
      <c r="K856">
        <v>22</v>
      </c>
      <c r="L856" t="str">
        <v>OK</v>
      </c>
      <c r="M856">
        <v>1</v>
      </c>
      <c r="O856">
        <f t="shared" si="104"/>
        <v>15.221374045801527</v>
      </c>
      <c r="P856">
        <f t="shared" si="105"/>
        <v>90.560833333333349</v>
      </c>
      <c r="Q856">
        <f t="shared" si="106"/>
        <v>46.125375896368261</v>
      </c>
      <c r="R856">
        <f t="shared" si="107"/>
        <v>1</v>
      </c>
      <c r="S856">
        <f t="shared" si="108"/>
        <v>90.560833333333349</v>
      </c>
      <c r="T856" t="str">
        <f t="shared" si="109"/>
        <v>OK</v>
      </c>
      <c r="U856" t="str">
        <f t="shared" si="110"/>
        <v>OK</v>
      </c>
      <c r="V856" t="str">
        <f t="shared" si="111"/>
        <v>OK</v>
      </c>
    </row>
    <row r="857" spans="1:22" x14ac:dyDescent="0.45">
      <c r="A857" t="str">
        <v>SO-51003</v>
      </c>
      <c r="B857" t="str">
        <v>PL-SUR</v>
      </c>
      <c r="C857" t="str">
        <v>CD-LEO</v>
      </c>
      <c r="D857" t="str">
        <v>LAC-1004</v>
      </c>
      <c r="E857">
        <v>1962</v>
      </c>
      <c r="F857" s="1">
        <v>46166</v>
      </c>
      <c r="G857" t="str">
        <v>In Transit</v>
      </c>
      <c r="H857" t="str">
        <v>OK</v>
      </c>
      <c r="I857">
        <v>11.45</v>
      </c>
      <c r="J857">
        <v>93</v>
      </c>
      <c r="K857">
        <v>16</v>
      </c>
      <c r="L857" t="str">
        <v>OK</v>
      </c>
      <c r="M857">
        <v>11</v>
      </c>
      <c r="O857">
        <f t="shared" si="104"/>
        <v>21.096774193548388</v>
      </c>
      <c r="P857">
        <f t="shared" si="105"/>
        <v>93.603749999999991</v>
      </c>
      <c r="Q857">
        <f t="shared" si="106"/>
        <v>63.929618768328446</v>
      </c>
      <c r="R857">
        <f t="shared" si="107"/>
        <v>1</v>
      </c>
      <c r="S857">
        <f t="shared" si="108"/>
        <v>93.603749999999991</v>
      </c>
      <c r="T857" t="str">
        <f t="shared" si="109"/>
        <v>OK</v>
      </c>
      <c r="U857" t="str">
        <f t="shared" si="110"/>
        <v>FEFO RIESGO</v>
      </c>
      <c r="V857" t="str">
        <f t="shared" si="111"/>
        <v>FANTASMA</v>
      </c>
    </row>
    <row r="858" spans="1:22" x14ac:dyDescent="0.45">
      <c r="A858" t="str">
        <v>SO-50610</v>
      </c>
      <c r="B858" t="str">
        <v>PL-SUR</v>
      </c>
      <c r="C858" t="str">
        <v>CD-CAN</v>
      </c>
      <c r="D858" t="str">
        <v>BOT-1014</v>
      </c>
      <c r="E858">
        <v>1289</v>
      </c>
      <c r="F858" s="1">
        <v>46176</v>
      </c>
      <c r="G858" t="str">
        <v>In Transit</v>
      </c>
      <c r="H858" t="str">
        <v>OK</v>
      </c>
      <c r="I858">
        <v>3.92</v>
      </c>
      <c r="J858">
        <v>49</v>
      </c>
      <c r="K858">
        <v>98</v>
      </c>
      <c r="L858" t="str">
        <v>OK</v>
      </c>
      <c r="M858">
        <v>1</v>
      </c>
      <c r="O858">
        <f t="shared" si="104"/>
        <v>26.306122448979593</v>
      </c>
      <c r="P858">
        <f t="shared" si="105"/>
        <v>21.053666666666668</v>
      </c>
      <c r="Q858">
        <f t="shared" si="106"/>
        <v>79.715522572665435</v>
      </c>
      <c r="R858">
        <f t="shared" si="107"/>
        <v>1</v>
      </c>
      <c r="S858">
        <f t="shared" si="108"/>
        <v>79.715522572665435</v>
      </c>
      <c r="T858" t="str">
        <f t="shared" si="109"/>
        <v>OK</v>
      </c>
      <c r="U858" t="str">
        <f t="shared" si="110"/>
        <v>OK</v>
      </c>
      <c r="V858" t="str">
        <f t="shared" si="111"/>
        <v>OK</v>
      </c>
    </row>
    <row r="859" spans="1:22" x14ac:dyDescent="0.45">
      <c r="A859" t="str">
        <v>SO-50177</v>
      </c>
      <c r="B859" t="str">
        <v>PL-SUR</v>
      </c>
      <c r="C859" t="str">
        <v>CD-GDL</v>
      </c>
      <c r="D859" t="str">
        <v>ABA-1004</v>
      </c>
      <c r="E859">
        <v>1514</v>
      </c>
      <c r="F859" s="1">
        <v>46176</v>
      </c>
      <c r="G859" t="str">
        <v>In Transit</v>
      </c>
      <c r="H859" t="str">
        <v>OK</v>
      </c>
      <c r="I859">
        <v>12.85</v>
      </c>
      <c r="J859">
        <v>91</v>
      </c>
      <c r="K859">
        <v>297</v>
      </c>
      <c r="L859" t="str">
        <v>OK</v>
      </c>
      <c r="M859">
        <v>1</v>
      </c>
      <c r="O859">
        <f t="shared" si="104"/>
        <v>16.637362637362639</v>
      </c>
      <c r="P859">
        <f t="shared" si="105"/>
        <v>81.06208333333332</v>
      </c>
      <c r="Q859">
        <f t="shared" si="106"/>
        <v>50.416250416250421</v>
      </c>
      <c r="R859">
        <f t="shared" si="107"/>
        <v>1</v>
      </c>
      <c r="S859">
        <f t="shared" si="108"/>
        <v>81.06208333333332</v>
      </c>
      <c r="T859" t="str">
        <f t="shared" si="109"/>
        <v>OK</v>
      </c>
      <c r="U859" t="str">
        <f t="shared" si="110"/>
        <v>OK</v>
      </c>
      <c r="V859" t="str">
        <f t="shared" si="111"/>
        <v>OK</v>
      </c>
    </row>
    <row r="860" spans="1:22" x14ac:dyDescent="0.45">
      <c r="A860" t="str">
        <v>SO-51022</v>
      </c>
      <c r="B860" t="str">
        <v>PL-CEN</v>
      </c>
      <c r="C860" t="str">
        <v>CD-PUE</v>
      </c>
      <c r="D860" t="str">
        <v>LAC-1002</v>
      </c>
      <c r="E860">
        <v>3018</v>
      </c>
      <c r="F860" s="1">
        <v>46162</v>
      </c>
      <c r="G860" t="str">
        <v>In Transit</v>
      </c>
      <c r="H860" t="str">
        <v>OK</v>
      </c>
      <c r="I860">
        <v>7.71</v>
      </c>
      <c r="J860">
        <v>101</v>
      </c>
      <c r="K860">
        <v>23</v>
      </c>
      <c r="L860" t="str">
        <v>OK</v>
      </c>
      <c r="M860">
        <v>15</v>
      </c>
      <c r="O860">
        <f t="shared" si="104"/>
        <v>29.881188118811881</v>
      </c>
      <c r="P860">
        <f t="shared" si="105"/>
        <v>96.953249999999997</v>
      </c>
      <c r="Q860">
        <f t="shared" si="106"/>
        <v>90.54905490549055</v>
      </c>
      <c r="R860">
        <f t="shared" si="107"/>
        <v>1</v>
      </c>
      <c r="S860">
        <f t="shared" si="108"/>
        <v>96.953249999999997</v>
      </c>
      <c r="T860" t="str">
        <f t="shared" si="109"/>
        <v>OK</v>
      </c>
      <c r="U860" t="str">
        <f t="shared" si="110"/>
        <v>FEFO RIESGO</v>
      </c>
      <c r="V860" t="str">
        <f t="shared" si="111"/>
        <v>FANTASMA</v>
      </c>
    </row>
    <row r="861" spans="1:22" x14ac:dyDescent="0.45">
      <c r="A861" t="str">
        <v>SO-50486</v>
      </c>
      <c r="B861" t="str">
        <v>PL-CEN</v>
      </c>
      <c r="C861" t="str">
        <v>CD-VER</v>
      </c>
      <c r="D861" t="str">
        <v>PRO-1011</v>
      </c>
      <c r="E861">
        <v>960</v>
      </c>
      <c r="F861" s="1">
        <v>46174</v>
      </c>
      <c r="G861" t="str">
        <v>In Transit</v>
      </c>
      <c r="H861" t="str">
        <v>OK</v>
      </c>
      <c r="I861">
        <v>4.3600000000000003</v>
      </c>
      <c r="J861">
        <v>88</v>
      </c>
      <c r="K861">
        <v>108</v>
      </c>
      <c r="L861" t="str">
        <v>OK</v>
      </c>
      <c r="M861">
        <v>3</v>
      </c>
      <c r="O861">
        <f t="shared" si="104"/>
        <v>10.909090909090908</v>
      </c>
      <c r="P861">
        <f t="shared" si="105"/>
        <v>17.440000000000001</v>
      </c>
      <c r="Q861">
        <f t="shared" si="106"/>
        <v>33.057851239669418</v>
      </c>
      <c r="R861">
        <f t="shared" si="107"/>
        <v>1</v>
      </c>
      <c r="S861">
        <f t="shared" si="108"/>
        <v>33.057851239669418</v>
      </c>
      <c r="T861" t="str">
        <f t="shared" si="109"/>
        <v>CARGA INEFICIENTE</v>
      </c>
      <c r="U861" t="str">
        <f t="shared" si="110"/>
        <v>OK</v>
      </c>
      <c r="V861" t="str">
        <f t="shared" si="111"/>
        <v>OK</v>
      </c>
    </row>
    <row r="862" spans="1:22" x14ac:dyDescent="0.45">
      <c r="A862" t="str">
        <v>SO-50882</v>
      </c>
      <c r="B862" t="str">
        <v>PL-NTE</v>
      </c>
      <c r="C862" t="str">
        <v>CD-TIJ</v>
      </c>
      <c r="D862" t="str">
        <v>BOT-1005</v>
      </c>
      <c r="E862">
        <v>1794</v>
      </c>
      <c r="F862" s="1">
        <v>46174</v>
      </c>
      <c r="G862" t="str">
        <v>In Transit</v>
      </c>
      <c r="H862" t="str">
        <v>OK</v>
      </c>
      <c r="I862">
        <v>5.49</v>
      </c>
      <c r="J862">
        <v>62</v>
      </c>
      <c r="K862">
        <v>91</v>
      </c>
      <c r="L862" t="str">
        <v>OK</v>
      </c>
      <c r="M862">
        <v>3</v>
      </c>
      <c r="O862">
        <f t="shared" si="104"/>
        <v>28.93548387096774</v>
      </c>
      <c r="P862">
        <f t="shared" si="105"/>
        <v>41.037750000000003</v>
      </c>
      <c r="Q862">
        <f t="shared" si="106"/>
        <v>87.68328445747801</v>
      </c>
      <c r="R862">
        <f t="shared" si="107"/>
        <v>1</v>
      </c>
      <c r="S862">
        <f t="shared" si="108"/>
        <v>87.68328445747801</v>
      </c>
      <c r="T862" t="str">
        <f t="shared" si="109"/>
        <v>OK</v>
      </c>
      <c r="U862" t="str">
        <f t="shared" si="110"/>
        <v>OK</v>
      </c>
      <c r="V862" t="str">
        <f t="shared" si="111"/>
        <v>OK</v>
      </c>
    </row>
    <row r="863" spans="1:22" x14ac:dyDescent="0.45">
      <c r="A863" t="str">
        <v>SO-51102</v>
      </c>
      <c r="B863" t="str">
        <v>PL-NTE</v>
      </c>
      <c r="C863" t="str">
        <v>CD-SAL</v>
      </c>
      <c r="D863" t="str">
        <v>PRO-1009</v>
      </c>
      <c r="E863">
        <v>1677</v>
      </c>
      <c r="F863" s="1">
        <v>46168</v>
      </c>
      <c r="G863" t="str">
        <v>In Transit</v>
      </c>
      <c r="H863" t="str">
        <v>OK</v>
      </c>
      <c r="I863">
        <v>11.96</v>
      </c>
      <c r="J863">
        <v>101</v>
      </c>
      <c r="K863">
        <v>90</v>
      </c>
      <c r="L863" t="str">
        <v>OK</v>
      </c>
      <c r="M863">
        <v>9</v>
      </c>
      <c r="O863">
        <f t="shared" si="104"/>
        <v>16.603960396039604</v>
      </c>
      <c r="P863">
        <f t="shared" si="105"/>
        <v>83.57050000000001</v>
      </c>
      <c r="Q863">
        <f t="shared" si="106"/>
        <v>50.315031503150308</v>
      </c>
      <c r="R863">
        <f t="shared" si="107"/>
        <v>1</v>
      </c>
      <c r="S863">
        <f t="shared" si="108"/>
        <v>83.57050000000001</v>
      </c>
      <c r="T863" t="str">
        <f t="shared" si="109"/>
        <v>OK</v>
      </c>
      <c r="U863" t="str">
        <f t="shared" si="110"/>
        <v>OK</v>
      </c>
      <c r="V863" t="str">
        <f t="shared" si="111"/>
        <v>FANTASMA</v>
      </c>
    </row>
    <row r="864" spans="1:22" x14ac:dyDescent="0.45">
      <c r="A864" t="str">
        <v>SO-50079</v>
      </c>
      <c r="B864" t="str">
        <v>PL-SUR</v>
      </c>
      <c r="C864" t="str">
        <v>CD-MER</v>
      </c>
      <c r="D864" t="str">
        <v>BOT-1008</v>
      </c>
      <c r="E864">
        <v>1788</v>
      </c>
      <c r="F864" s="1">
        <v>46176</v>
      </c>
      <c r="G864" t="str">
        <v>In Transit</v>
      </c>
      <c r="H864" t="str">
        <v>OK</v>
      </c>
      <c r="I864">
        <v>3.48</v>
      </c>
      <c r="J864">
        <v>66</v>
      </c>
      <c r="K864">
        <v>112</v>
      </c>
      <c r="L864" t="str">
        <v>OK</v>
      </c>
      <c r="M864">
        <v>1</v>
      </c>
      <c r="O864">
        <f t="shared" si="104"/>
        <v>27.09090909090909</v>
      </c>
      <c r="P864">
        <f t="shared" si="105"/>
        <v>25.925999999999998</v>
      </c>
      <c r="Q864">
        <f t="shared" si="106"/>
        <v>82.093663911845724</v>
      </c>
      <c r="R864">
        <f t="shared" si="107"/>
        <v>1</v>
      </c>
      <c r="S864">
        <f t="shared" si="108"/>
        <v>82.093663911845724</v>
      </c>
      <c r="T864" t="str">
        <f t="shared" si="109"/>
        <v>OK</v>
      </c>
      <c r="U864" t="str">
        <f t="shared" si="110"/>
        <v>OK</v>
      </c>
      <c r="V864" t="str">
        <f t="shared" si="111"/>
        <v>OK</v>
      </c>
    </row>
    <row r="865" spans="1:22" x14ac:dyDescent="0.45">
      <c r="A865" t="str">
        <v>SO-50100</v>
      </c>
      <c r="B865" t="str">
        <v>PL-CEN</v>
      </c>
      <c r="C865" t="str">
        <v>CD-TOL</v>
      </c>
      <c r="D865" t="str">
        <v>BOT-1005</v>
      </c>
      <c r="E865">
        <v>1932</v>
      </c>
      <c r="F865" s="1">
        <v>46175</v>
      </c>
      <c r="G865" t="str">
        <v>In Transit</v>
      </c>
      <c r="H865" t="str">
        <v>OK</v>
      </c>
      <c r="I865">
        <v>5.49</v>
      </c>
      <c r="J865">
        <v>62</v>
      </c>
      <c r="K865">
        <v>91</v>
      </c>
      <c r="L865" t="str">
        <v>OK</v>
      </c>
      <c r="M865">
        <v>2</v>
      </c>
      <c r="O865">
        <f t="shared" si="104"/>
        <v>31.161290322580644</v>
      </c>
      <c r="P865">
        <f t="shared" si="105"/>
        <v>44.194500000000005</v>
      </c>
      <c r="Q865">
        <f t="shared" si="106"/>
        <v>94.428152492668616</v>
      </c>
      <c r="R865">
        <f t="shared" si="107"/>
        <v>1</v>
      </c>
      <c r="S865">
        <f t="shared" si="108"/>
        <v>94.428152492668616</v>
      </c>
      <c r="T865" t="str">
        <f t="shared" si="109"/>
        <v>OK</v>
      </c>
      <c r="U865" t="str">
        <f t="shared" si="110"/>
        <v>OK</v>
      </c>
      <c r="V865" t="str">
        <f t="shared" si="111"/>
        <v>OK</v>
      </c>
    </row>
    <row r="866" spans="1:22" x14ac:dyDescent="0.45">
      <c r="A866" t="str">
        <v>SO-50324</v>
      </c>
      <c r="B866" t="str">
        <v>PL-NTE</v>
      </c>
      <c r="C866" t="str">
        <v>CD-MTY</v>
      </c>
      <c r="D866" t="str">
        <v>BOT-1022</v>
      </c>
      <c r="E866">
        <v>1076</v>
      </c>
      <c r="F866" s="1">
        <v>46176</v>
      </c>
      <c r="G866" t="str">
        <v>Delivered</v>
      </c>
      <c r="H866" t="str">
        <v>OK</v>
      </c>
      <c r="I866">
        <v>3.48</v>
      </c>
      <c r="J866">
        <v>55</v>
      </c>
      <c r="K866">
        <v>118</v>
      </c>
      <c r="L866" t="str">
        <v>OK</v>
      </c>
      <c r="M866">
        <v>1</v>
      </c>
      <c r="O866">
        <f t="shared" si="104"/>
        <v>19.563636363636363</v>
      </c>
      <c r="P866">
        <f t="shared" si="105"/>
        <v>15.601999999999999</v>
      </c>
      <c r="Q866">
        <f t="shared" si="106"/>
        <v>59.28374655647383</v>
      </c>
      <c r="R866">
        <f t="shared" si="107"/>
        <v>1</v>
      </c>
      <c r="S866">
        <f t="shared" si="108"/>
        <v>59.28374655647383</v>
      </c>
      <c r="T866" t="str">
        <f t="shared" si="109"/>
        <v>CARGA INEFICIENTE</v>
      </c>
      <c r="U866" t="str">
        <f t="shared" si="110"/>
        <v>OK</v>
      </c>
      <c r="V866" t="str">
        <f t="shared" si="111"/>
        <v>OK</v>
      </c>
    </row>
    <row r="867" spans="1:22" x14ac:dyDescent="0.45">
      <c r="A867" t="str">
        <v>SO-50259</v>
      </c>
      <c r="B867" t="str">
        <v>PL-SUR</v>
      </c>
      <c r="C867" t="str">
        <v>CD-CAN</v>
      </c>
      <c r="D867" t="str">
        <v>ABA-1000</v>
      </c>
      <c r="E867">
        <v>1283</v>
      </c>
      <c r="F867" s="1">
        <v>46173</v>
      </c>
      <c r="G867" t="str">
        <v>In Transit</v>
      </c>
      <c r="H867" t="str">
        <v>OK</v>
      </c>
      <c r="I867">
        <v>15.2</v>
      </c>
      <c r="J867">
        <v>135</v>
      </c>
      <c r="K867">
        <v>361</v>
      </c>
      <c r="L867" t="str">
        <v>OK</v>
      </c>
      <c r="M867">
        <v>4</v>
      </c>
      <c r="O867">
        <f t="shared" si="104"/>
        <v>9.5037037037037031</v>
      </c>
      <c r="P867">
        <f t="shared" si="105"/>
        <v>81.256666666666661</v>
      </c>
      <c r="Q867">
        <f t="shared" si="106"/>
        <v>28.799102132435461</v>
      </c>
      <c r="R867">
        <f t="shared" si="107"/>
        <v>1</v>
      </c>
      <c r="S867">
        <f t="shared" si="108"/>
        <v>81.256666666666661</v>
      </c>
      <c r="T867" t="str">
        <f t="shared" si="109"/>
        <v>OK</v>
      </c>
      <c r="U867" t="str">
        <f t="shared" si="110"/>
        <v>OK</v>
      </c>
      <c r="V867" t="str">
        <f t="shared" si="111"/>
        <v>OK</v>
      </c>
    </row>
    <row r="868" spans="1:22" x14ac:dyDescent="0.45">
      <c r="A868" t="str">
        <v>SO-50625</v>
      </c>
      <c r="B868" t="str">
        <v>PL-CEN</v>
      </c>
      <c r="C868" t="str">
        <v>CD-VER</v>
      </c>
      <c r="D868" t="str">
        <v>PRO-1003</v>
      </c>
      <c r="E868">
        <v>1644</v>
      </c>
      <c r="F868" s="1">
        <v>46176</v>
      </c>
      <c r="G868" t="str">
        <v>In Transit</v>
      </c>
      <c r="H868" t="str">
        <v>OK</v>
      </c>
      <c r="I868">
        <v>13.9</v>
      </c>
      <c r="J868">
        <v>69</v>
      </c>
      <c r="K868">
        <v>106</v>
      </c>
      <c r="L868" t="str">
        <v>OK</v>
      </c>
      <c r="M868">
        <v>1</v>
      </c>
      <c r="O868">
        <f t="shared" si="104"/>
        <v>23.826086956521738</v>
      </c>
      <c r="P868">
        <f t="shared" si="105"/>
        <v>95.215000000000003</v>
      </c>
      <c r="Q868">
        <f t="shared" si="106"/>
        <v>72.200263504611328</v>
      </c>
      <c r="R868">
        <f t="shared" si="107"/>
        <v>1</v>
      </c>
      <c r="S868">
        <f t="shared" si="108"/>
        <v>95.215000000000003</v>
      </c>
      <c r="T868" t="str">
        <f t="shared" si="109"/>
        <v>OK</v>
      </c>
      <c r="U868" t="str">
        <f t="shared" si="110"/>
        <v>OK</v>
      </c>
      <c r="V868" t="str">
        <f t="shared" si="111"/>
        <v>OK</v>
      </c>
    </row>
    <row r="869" spans="1:22" x14ac:dyDescent="0.45">
      <c r="A869" t="str">
        <v>SO-50562</v>
      </c>
      <c r="B869" t="str">
        <v>PL-SUR</v>
      </c>
      <c r="C869" t="str">
        <v>CD-LEO</v>
      </c>
      <c r="D869" t="str">
        <v>LAC-1007</v>
      </c>
      <c r="E869">
        <v>2164</v>
      </c>
      <c r="F869" s="1">
        <v>46176</v>
      </c>
      <c r="G869" t="str">
        <v>In Transit</v>
      </c>
      <c r="H869" t="str">
        <v>OK</v>
      </c>
      <c r="I869">
        <v>10.37</v>
      </c>
      <c r="J869">
        <v>100</v>
      </c>
      <c r="K869">
        <v>24</v>
      </c>
      <c r="L869" t="str">
        <v>OK</v>
      </c>
      <c r="M869">
        <v>1</v>
      </c>
      <c r="O869">
        <f t="shared" si="104"/>
        <v>21.64</v>
      </c>
      <c r="P869">
        <f t="shared" si="105"/>
        <v>93.502833333333328</v>
      </c>
      <c r="Q869">
        <f t="shared" si="106"/>
        <v>65.575757575757578</v>
      </c>
      <c r="R869">
        <f t="shared" si="107"/>
        <v>1</v>
      </c>
      <c r="S869">
        <f t="shared" si="108"/>
        <v>93.502833333333328</v>
      </c>
      <c r="T869" t="str">
        <f t="shared" si="109"/>
        <v>OK</v>
      </c>
      <c r="U869" t="str">
        <f t="shared" si="110"/>
        <v>OK</v>
      </c>
      <c r="V869" t="str">
        <f t="shared" si="111"/>
        <v>OK</v>
      </c>
    </row>
    <row r="870" spans="1:22" x14ac:dyDescent="0.45">
      <c r="A870" t="str">
        <v>SO-51072</v>
      </c>
      <c r="B870" t="str">
        <v>PL-NTE</v>
      </c>
      <c r="C870" t="str">
        <v>CD-MTY</v>
      </c>
      <c r="D870" t="str">
        <v>BOT-1023</v>
      </c>
      <c r="E870">
        <v>1171</v>
      </c>
      <c r="F870" s="1">
        <v>46176</v>
      </c>
      <c r="G870" t="str">
        <v>In Transit</v>
      </c>
      <c r="H870" t="str">
        <v>OK</v>
      </c>
      <c r="I870">
        <v>4.29</v>
      </c>
      <c r="J870">
        <v>44</v>
      </c>
      <c r="K870">
        <v>111</v>
      </c>
      <c r="L870" t="str">
        <v>OK</v>
      </c>
      <c r="M870">
        <v>1</v>
      </c>
      <c r="O870">
        <f t="shared" si="104"/>
        <v>26.613636363636363</v>
      </c>
      <c r="P870">
        <f t="shared" si="105"/>
        <v>20.931625</v>
      </c>
      <c r="Q870">
        <f t="shared" si="106"/>
        <v>80.647382920110189</v>
      </c>
      <c r="R870">
        <f t="shared" si="107"/>
        <v>1</v>
      </c>
      <c r="S870">
        <f t="shared" si="108"/>
        <v>80.647382920110189</v>
      </c>
      <c r="T870" t="str">
        <f t="shared" si="109"/>
        <v>OK</v>
      </c>
      <c r="U870" t="str">
        <f t="shared" si="110"/>
        <v>OK</v>
      </c>
      <c r="V870" t="str">
        <f t="shared" si="111"/>
        <v>OK</v>
      </c>
    </row>
    <row r="871" spans="1:22" x14ac:dyDescent="0.45">
      <c r="A871" t="str">
        <v>SO-50402</v>
      </c>
      <c r="B871" t="str">
        <v>PL-NTE</v>
      </c>
      <c r="C871" t="str">
        <v>CD-HER</v>
      </c>
      <c r="D871" t="str">
        <v>LAC-1005</v>
      </c>
      <c r="E871">
        <v>1065</v>
      </c>
      <c r="F871" s="1">
        <v>46173</v>
      </c>
      <c r="G871" t="str">
        <v>In Transit</v>
      </c>
      <c r="H871" t="str">
        <v>OK</v>
      </c>
      <c r="I871">
        <v>8.94</v>
      </c>
      <c r="J871">
        <v>100</v>
      </c>
      <c r="K871">
        <v>17</v>
      </c>
      <c r="L871" t="str">
        <v>OK</v>
      </c>
      <c r="M871">
        <v>4</v>
      </c>
      <c r="O871">
        <f t="shared" si="104"/>
        <v>10.65</v>
      </c>
      <c r="P871">
        <f t="shared" si="105"/>
        <v>39.671250000000001</v>
      </c>
      <c r="Q871">
        <f t="shared" si="106"/>
        <v>32.272727272727273</v>
      </c>
      <c r="R871">
        <f t="shared" si="107"/>
        <v>1</v>
      </c>
      <c r="S871">
        <f t="shared" si="108"/>
        <v>39.671250000000001</v>
      </c>
      <c r="T871" t="str">
        <f t="shared" si="109"/>
        <v>CARGA INEFICIENTE</v>
      </c>
      <c r="U871" t="str">
        <f t="shared" si="110"/>
        <v>OK</v>
      </c>
      <c r="V871" t="str">
        <f t="shared" si="111"/>
        <v>OK</v>
      </c>
    </row>
    <row r="872" spans="1:22" x14ac:dyDescent="0.45">
      <c r="A872" t="str">
        <v>SO-51030</v>
      </c>
      <c r="B872" t="str">
        <v>PL-SUR</v>
      </c>
      <c r="C872" t="str">
        <v>CD-MOR</v>
      </c>
      <c r="D872" t="str">
        <v>LAC-1004</v>
      </c>
      <c r="E872">
        <v>892</v>
      </c>
      <c r="F872" s="1">
        <v>46166</v>
      </c>
      <c r="G872" t="str">
        <v>In Transit</v>
      </c>
      <c r="H872" t="str">
        <v>OK</v>
      </c>
      <c r="I872">
        <v>11.45</v>
      </c>
      <c r="J872">
        <v>93</v>
      </c>
      <c r="K872">
        <v>16</v>
      </c>
      <c r="L872" t="str">
        <v>OK</v>
      </c>
      <c r="M872">
        <v>11</v>
      </c>
      <c r="O872">
        <f t="shared" si="104"/>
        <v>9.591397849462366</v>
      </c>
      <c r="P872">
        <f t="shared" si="105"/>
        <v>42.555833333333332</v>
      </c>
      <c r="Q872">
        <f t="shared" si="106"/>
        <v>29.064841968067778</v>
      </c>
      <c r="R872">
        <f t="shared" si="107"/>
        <v>1</v>
      </c>
      <c r="S872">
        <f t="shared" si="108"/>
        <v>42.555833333333332</v>
      </c>
      <c r="T872" t="str">
        <f t="shared" si="109"/>
        <v>CARGA INEFICIENTE</v>
      </c>
      <c r="U872" t="str">
        <f t="shared" si="110"/>
        <v>FEFO RIESGO</v>
      </c>
      <c r="V872" t="str">
        <f t="shared" si="111"/>
        <v>FANTASMA</v>
      </c>
    </row>
    <row r="873" spans="1:22" x14ac:dyDescent="0.45">
      <c r="A873" t="str">
        <v>SO-51007</v>
      </c>
      <c r="B873" t="str">
        <v>PL-CEN</v>
      </c>
      <c r="C873" t="str">
        <v>CD-TOL</v>
      </c>
      <c r="D873" t="str">
        <v>LAC-1003</v>
      </c>
      <c r="E873">
        <v>2431</v>
      </c>
      <c r="F873" s="1">
        <v>46166</v>
      </c>
      <c r="G873" t="str">
        <v>In Transit</v>
      </c>
      <c r="H873" t="str">
        <v>OK</v>
      </c>
      <c r="I873">
        <v>9.02</v>
      </c>
      <c r="J873">
        <v>114</v>
      </c>
      <c r="K873">
        <v>18</v>
      </c>
      <c r="L873" t="str">
        <v>OK</v>
      </c>
      <c r="M873">
        <v>11</v>
      </c>
      <c r="O873">
        <f t="shared" si="104"/>
        <v>21.32456140350877</v>
      </c>
      <c r="P873">
        <f t="shared" si="105"/>
        <v>91.365083333333331</v>
      </c>
      <c r="Q873">
        <f t="shared" si="106"/>
        <v>64.619883040935662</v>
      </c>
      <c r="R873">
        <f t="shared" si="107"/>
        <v>1</v>
      </c>
      <c r="S873">
        <f t="shared" si="108"/>
        <v>91.365083333333331</v>
      </c>
      <c r="T873" t="str">
        <f t="shared" si="109"/>
        <v>OK</v>
      </c>
      <c r="U873" t="str">
        <f t="shared" si="110"/>
        <v>FEFO RIESGO</v>
      </c>
      <c r="V873" t="str">
        <f t="shared" si="111"/>
        <v>FANTASMA</v>
      </c>
    </row>
    <row r="874" spans="1:22" x14ac:dyDescent="0.45">
      <c r="A874" t="str">
        <v>SO-50221</v>
      </c>
      <c r="B874" t="str">
        <v>PL-SUR</v>
      </c>
      <c r="C874" t="str">
        <v>CD-LEO</v>
      </c>
      <c r="D874" t="str">
        <v>PRO-1010</v>
      </c>
      <c r="E874">
        <v>2295</v>
      </c>
      <c r="F874" s="1">
        <v>46176</v>
      </c>
      <c r="G874" t="str">
        <v>In Transit</v>
      </c>
      <c r="H874" t="str">
        <v>OK</v>
      </c>
      <c r="I874">
        <v>7.76</v>
      </c>
      <c r="J874">
        <v>86</v>
      </c>
      <c r="K874">
        <v>112</v>
      </c>
      <c r="L874" t="str">
        <v>OK</v>
      </c>
      <c r="M874">
        <v>1</v>
      </c>
      <c r="O874">
        <f t="shared" si="104"/>
        <v>26.686046511627907</v>
      </c>
      <c r="P874">
        <f t="shared" si="105"/>
        <v>74.204999999999998</v>
      </c>
      <c r="Q874">
        <f t="shared" si="106"/>
        <v>80.866807610993661</v>
      </c>
      <c r="R874">
        <f t="shared" si="107"/>
        <v>1</v>
      </c>
      <c r="S874">
        <f t="shared" si="108"/>
        <v>80.866807610993661</v>
      </c>
      <c r="T874" t="str">
        <f t="shared" si="109"/>
        <v>OK</v>
      </c>
      <c r="U874" t="str">
        <f t="shared" si="110"/>
        <v>OK</v>
      </c>
      <c r="V874" t="str">
        <f t="shared" si="111"/>
        <v>OK</v>
      </c>
    </row>
    <row r="875" spans="1:22" x14ac:dyDescent="0.45">
      <c r="A875" t="str">
        <v>SO-50447</v>
      </c>
      <c r="B875" t="str">
        <v>PL-NTE</v>
      </c>
      <c r="C875" t="str">
        <v>CD-TIJ</v>
      </c>
      <c r="D875" t="str">
        <v>BEB-1010</v>
      </c>
      <c r="E875">
        <v>849</v>
      </c>
      <c r="F875" s="1">
        <v>46176</v>
      </c>
      <c r="G875" t="str">
        <v>In Transit</v>
      </c>
      <c r="H875" t="str">
        <v>OK</v>
      </c>
      <c r="I875">
        <v>0</v>
      </c>
      <c r="J875">
        <v>71</v>
      </c>
      <c r="K875">
        <v>192</v>
      </c>
      <c r="L875" t="str">
        <v>OK</v>
      </c>
      <c r="M875">
        <v>1</v>
      </c>
      <c r="O875">
        <f t="shared" si="104"/>
        <v>11.95774647887324</v>
      </c>
      <c r="P875">
        <f t="shared" si="105"/>
        <v>0</v>
      </c>
      <c r="Q875">
        <f t="shared" si="106"/>
        <v>36.235595390524971</v>
      </c>
      <c r="R875">
        <f t="shared" si="107"/>
        <v>1</v>
      </c>
      <c r="S875">
        <f t="shared" si="108"/>
        <v>36.235595390524971</v>
      </c>
      <c r="T875" t="str">
        <f t="shared" si="109"/>
        <v>CARGA INEFICIENTE</v>
      </c>
      <c r="U875" t="str">
        <f t="shared" si="110"/>
        <v>OK</v>
      </c>
      <c r="V875" t="str">
        <f t="shared" si="111"/>
        <v>OK</v>
      </c>
    </row>
    <row r="876" spans="1:22" x14ac:dyDescent="0.45">
      <c r="A876" t="str">
        <v>SO-50188</v>
      </c>
      <c r="B876" t="str">
        <v>PL-NTE</v>
      </c>
      <c r="C876" t="str">
        <v>CD-HER</v>
      </c>
      <c r="D876" t="str">
        <v>BOT-1010</v>
      </c>
      <c r="E876">
        <v>790</v>
      </c>
      <c r="F876" s="1">
        <v>46175</v>
      </c>
      <c r="G876" t="str">
        <v>In Transit</v>
      </c>
      <c r="H876" t="str">
        <v>OK</v>
      </c>
      <c r="I876">
        <v>5.09</v>
      </c>
      <c r="J876">
        <v>40</v>
      </c>
      <c r="K876">
        <v>90</v>
      </c>
      <c r="L876" t="str">
        <v>OK</v>
      </c>
      <c r="M876">
        <v>2</v>
      </c>
      <c r="O876">
        <f t="shared" si="104"/>
        <v>19.75</v>
      </c>
      <c r="P876">
        <f t="shared" si="105"/>
        <v>16.754583333333333</v>
      </c>
      <c r="Q876">
        <f t="shared" si="106"/>
        <v>59.848484848484851</v>
      </c>
      <c r="R876">
        <f t="shared" si="107"/>
        <v>1</v>
      </c>
      <c r="S876">
        <f t="shared" si="108"/>
        <v>59.848484848484851</v>
      </c>
      <c r="T876" t="str">
        <f t="shared" si="109"/>
        <v>CARGA INEFICIENTE</v>
      </c>
      <c r="U876" t="str">
        <f t="shared" si="110"/>
        <v>OK</v>
      </c>
      <c r="V876" t="str">
        <f t="shared" si="111"/>
        <v>OK</v>
      </c>
    </row>
    <row r="877" spans="1:22" x14ac:dyDescent="0.45">
      <c r="A877" t="str">
        <v>SO-50458</v>
      </c>
      <c r="B877" t="str">
        <v>PL-NTE</v>
      </c>
      <c r="C877" t="str">
        <v>CD-MTY</v>
      </c>
      <c r="D877" t="str">
        <v>ABA-1014</v>
      </c>
      <c r="E877">
        <v>1176</v>
      </c>
      <c r="F877" s="1">
        <v>46176</v>
      </c>
      <c r="G877" t="str">
        <v>In Transit</v>
      </c>
      <c r="H877" t="str">
        <v>OK</v>
      </c>
      <c r="I877">
        <v>9.56</v>
      </c>
      <c r="J877">
        <v>136</v>
      </c>
      <c r="K877">
        <v>345</v>
      </c>
      <c r="L877" t="str">
        <v>OK</v>
      </c>
      <c r="M877">
        <v>1</v>
      </c>
      <c r="O877">
        <f t="shared" si="104"/>
        <v>8.6470588235294112</v>
      </c>
      <c r="P877">
        <f t="shared" si="105"/>
        <v>46.844000000000008</v>
      </c>
      <c r="Q877">
        <f t="shared" si="106"/>
        <v>26.203208556149733</v>
      </c>
      <c r="R877">
        <f t="shared" si="107"/>
        <v>1</v>
      </c>
      <c r="S877">
        <f t="shared" si="108"/>
        <v>46.844000000000008</v>
      </c>
      <c r="T877" t="str">
        <f t="shared" si="109"/>
        <v>CARGA INEFICIENTE</v>
      </c>
      <c r="U877" t="str">
        <f t="shared" si="110"/>
        <v>OK</v>
      </c>
      <c r="V877" t="str">
        <f t="shared" si="111"/>
        <v>OK</v>
      </c>
    </row>
    <row r="878" spans="1:22" x14ac:dyDescent="0.45">
      <c r="A878" t="str">
        <v>SO-50608</v>
      </c>
      <c r="B878" t="str">
        <v>PL-NTE</v>
      </c>
      <c r="C878" t="str">
        <v>CD-SAL</v>
      </c>
      <c r="D878" t="str">
        <v>BOT-1008</v>
      </c>
      <c r="E878">
        <v>1130</v>
      </c>
      <c r="F878" s="1">
        <v>46175</v>
      </c>
      <c r="G878" t="str">
        <v>In Transit</v>
      </c>
      <c r="H878" t="str">
        <v>OK</v>
      </c>
      <c r="I878">
        <v>3.48</v>
      </c>
      <c r="J878">
        <v>66</v>
      </c>
      <c r="K878">
        <v>112</v>
      </c>
      <c r="L878" t="str">
        <v>OK</v>
      </c>
      <c r="M878">
        <v>2</v>
      </c>
      <c r="O878">
        <f t="shared" si="104"/>
        <v>17.121212121212121</v>
      </c>
      <c r="P878">
        <f t="shared" si="105"/>
        <v>16.384999999999998</v>
      </c>
      <c r="Q878">
        <f t="shared" si="106"/>
        <v>51.882460973370058</v>
      </c>
      <c r="R878">
        <f t="shared" si="107"/>
        <v>1</v>
      </c>
      <c r="S878">
        <f t="shared" si="108"/>
        <v>51.882460973370058</v>
      </c>
      <c r="T878" t="str">
        <f t="shared" si="109"/>
        <v>CARGA INEFICIENTE</v>
      </c>
      <c r="U878" t="str">
        <f t="shared" si="110"/>
        <v>OK</v>
      </c>
      <c r="V878" t="str">
        <f t="shared" si="111"/>
        <v>OK</v>
      </c>
    </row>
    <row r="879" spans="1:22" x14ac:dyDescent="0.45">
      <c r="A879" t="str">
        <v>SO-50206</v>
      </c>
      <c r="B879" t="str">
        <v>PL-NTE</v>
      </c>
      <c r="C879" t="str">
        <v>CD-HER</v>
      </c>
      <c r="D879" t="str">
        <v>LAC-1007</v>
      </c>
      <c r="E879">
        <v>2204</v>
      </c>
      <c r="F879" s="1">
        <v>46176</v>
      </c>
      <c r="G879" t="str">
        <v>In Transit</v>
      </c>
      <c r="H879" t="str">
        <v>OK</v>
      </c>
      <c r="I879">
        <v>10.37</v>
      </c>
      <c r="J879">
        <v>100</v>
      </c>
      <c r="K879">
        <v>24</v>
      </c>
      <c r="L879" t="str">
        <v>OK</v>
      </c>
      <c r="M879">
        <v>1</v>
      </c>
      <c r="O879">
        <f t="shared" si="104"/>
        <v>22.04</v>
      </c>
      <c r="P879">
        <f t="shared" si="105"/>
        <v>95.231166666666667</v>
      </c>
      <c r="Q879">
        <f t="shared" si="106"/>
        <v>66.787878787878782</v>
      </c>
      <c r="R879">
        <f t="shared" si="107"/>
        <v>1</v>
      </c>
      <c r="S879">
        <f t="shared" si="108"/>
        <v>95.231166666666667</v>
      </c>
      <c r="T879" t="str">
        <f t="shared" si="109"/>
        <v>OK</v>
      </c>
      <c r="U879" t="str">
        <f t="shared" si="110"/>
        <v>OK</v>
      </c>
      <c r="V879" t="str">
        <f t="shared" si="111"/>
        <v>OK</v>
      </c>
    </row>
    <row r="880" spans="1:22" x14ac:dyDescent="0.45">
      <c r="A880" t="str">
        <v>SO-50470</v>
      </c>
      <c r="B880" t="str">
        <v>PL-NTE</v>
      </c>
      <c r="C880" t="str">
        <v>CD-MTY</v>
      </c>
      <c r="D880" t="str">
        <v>BOT-1007</v>
      </c>
      <c r="E880">
        <v>2171</v>
      </c>
      <c r="F880" s="1">
        <v>46176</v>
      </c>
      <c r="G880" t="str">
        <v>In Transit</v>
      </c>
      <c r="H880" t="str">
        <v>OK</v>
      </c>
      <c r="I880">
        <v>0</v>
      </c>
      <c r="J880">
        <v>49</v>
      </c>
      <c r="K880">
        <v>104</v>
      </c>
      <c r="L880" t="str">
        <v>OK</v>
      </c>
      <c r="M880">
        <v>1</v>
      </c>
      <c r="O880">
        <f t="shared" si="104"/>
        <v>44.306122448979593</v>
      </c>
      <c r="P880">
        <f t="shared" si="105"/>
        <v>0</v>
      </c>
      <c r="Q880">
        <f t="shared" si="106"/>
        <v>134.26097711811997</v>
      </c>
      <c r="R880">
        <f t="shared" si="107"/>
        <v>2</v>
      </c>
      <c r="S880">
        <f t="shared" si="108"/>
        <v>67.130488559059984</v>
      </c>
      <c r="T880" t="str">
        <f t="shared" si="109"/>
        <v>CARGA INEFICIENTE</v>
      </c>
      <c r="U880" t="str">
        <f t="shared" si="110"/>
        <v>OK</v>
      </c>
      <c r="V880" t="str">
        <f t="shared" si="111"/>
        <v>OK</v>
      </c>
    </row>
    <row r="881" spans="1:22" x14ac:dyDescent="0.45">
      <c r="A881" t="str">
        <v>SO-50854</v>
      </c>
      <c r="B881" t="str">
        <v>PL-NTE</v>
      </c>
      <c r="C881" t="str">
        <v>CD-SAL</v>
      </c>
      <c r="D881" t="str">
        <v>PRO-1011</v>
      </c>
      <c r="E881">
        <v>2302</v>
      </c>
      <c r="F881" s="1">
        <v>46176</v>
      </c>
      <c r="G881" t="str">
        <v>In Transit</v>
      </c>
      <c r="H881" t="str">
        <v>OK</v>
      </c>
      <c r="I881">
        <v>4.3600000000000003</v>
      </c>
      <c r="J881">
        <v>88</v>
      </c>
      <c r="K881">
        <v>108</v>
      </c>
      <c r="L881" t="str">
        <v>OK</v>
      </c>
      <c r="M881">
        <v>1</v>
      </c>
      <c r="O881">
        <f t="shared" si="104"/>
        <v>26.15909090909091</v>
      </c>
      <c r="P881">
        <f t="shared" si="105"/>
        <v>41.81966666666667</v>
      </c>
      <c r="Q881">
        <f t="shared" si="106"/>
        <v>79.269972451790636</v>
      </c>
      <c r="R881">
        <f t="shared" si="107"/>
        <v>1</v>
      </c>
      <c r="S881">
        <f t="shared" si="108"/>
        <v>79.269972451790636</v>
      </c>
      <c r="T881" t="str">
        <f t="shared" si="109"/>
        <v>OK</v>
      </c>
      <c r="U881" t="str">
        <f t="shared" si="110"/>
        <v>OK</v>
      </c>
      <c r="V881" t="str">
        <f t="shared" si="111"/>
        <v>OK</v>
      </c>
    </row>
    <row r="882" spans="1:22" x14ac:dyDescent="0.45">
      <c r="A882" t="str">
        <v>SO-51089</v>
      </c>
      <c r="B882" t="str">
        <v>PL-CEN</v>
      </c>
      <c r="C882" t="str">
        <v>CD-QRO</v>
      </c>
      <c r="D882" t="str">
        <v>BOT-1010</v>
      </c>
      <c r="E882">
        <v>1064</v>
      </c>
      <c r="F882" s="1">
        <v>46174</v>
      </c>
      <c r="G882" t="str">
        <v>In Transit</v>
      </c>
      <c r="H882" t="str">
        <v>OK</v>
      </c>
      <c r="I882">
        <v>5.09</v>
      </c>
      <c r="J882">
        <v>40</v>
      </c>
      <c r="K882">
        <v>90</v>
      </c>
      <c r="L882" t="str">
        <v>OK</v>
      </c>
      <c r="M882">
        <v>3</v>
      </c>
      <c r="O882">
        <f t="shared" si="104"/>
        <v>26.6</v>
      </c>
      <c r="P882">
        <f t="shared" si="105"/>
        <v>22.565666666666669</v>
      </c>
      <c r="Q882">
        <f t="shared" si="106"/>
        <v>80.606060606060609</v>
      </c>
      <c r="R882">
        <f t="shared" si="107"/>
        <v>1</v>
      </c>
      <c r="S882">
        <f t="shared" si="108"/>
        <v>80.606060606060609</v>
      </c>
      <c r="T882" t="str">
        <f t="shared" si="109"/>
        <v>OK</v>
      </c>
      <c r="U882" t="str">
        <f t="shared" si="110"/>
        <v>OK</v>
      </c>
      <c r="V882" t="str">
        <f t="shared" si="111"/>
        <v>OK</v>
      </c>
    </row>
    <row r="883" spans="1:22" x14ac:dyDescent="0.45">
      <c r="A883" t="str">
        <v>SO-50850</v>
      </c>
      <c r="B883" t="str">
        <v>PL-CEN</v>
      </c>
      <c r="C883" t="str">
        <v>CD-VER</v>
      </c>
      <c r="D883" t="str">
        <v>PRO-1000</v>
      </c>
      <c r="E883">
        <v>1140</v>
      </c>
      <c r="F883" s="1">
        <v>46174</v>
      </c>
      <c r="G883" t="str">
        <v>In Transit</v>
      </c>
      <c r="H883" t="str">
        <v>OK</v>
      </c>
      <c r="I883">
        <v>12.51</v>
      </c>
      <c r="J883">
        <v>73</v>
      </c>
      <c r="K883">
        <v>75</v>
      </c>
      <c r="L883" t="str">
        <v>OK</v>
      </c>
      <c r="M883">
        <v>3</v>
      </c>
      <c r="O883">
        <f t="shared" si="104"/>
        <v>15.616438356164384</v>
      </c>
      <c r="P883">
        <f t="shared" si="105"/>
        <v>59.422499999999999</v>
      </c>
      <c r="Q883">
        <f t="shared" si="106"/>
        <v>47.322540473225402</v>
      </c>
      <c r="R883">
        <f t="shared" si="107"/>
        <v>1</v>
      </c>
      <c r="S883">
        <f t="shared" si="108"/>
        <v>59.422499999999999</v>
      </c>
      <c r="T883" t="str">
        <f t="shared" si="109"/>
        <v>CARGA INEFICIENTE</v>
      </c>
      <c r="U883" t="str">
        <f t="shared" si="110"/>
        <v>OK</v>
      </c>
      <c r="V883" t="str">
        <f t="shared" si="111"/>
        <v>OK</v>
      </c>
    </row>
    <row r="884" spans="1:22" x14ac:dyDescent="0.45">
      <c r="A884" t="str">
        <v>SO-50794</v>
      </c>
      <c r="B884" t="str">
        <v>PL-CEN</v>
      </c>
      <c r="C884" t="str">
        <v>CD-VER</v>
      </c>
      <c r="D884" t="str">
        <v>LAC-1009</v>
      </c>
      <c r="E884">
        <v>553</v>
      </c>
      <c r="F884" s="1">
        <v>46174</v>
      </c>
      <c r="G884" t="str">
        <v>In Transit</v>
      </c>
      <c r="H884" t="str">
        <v>OK</v>
      </c>
      <c r="I884">
        <v>11.01</v>
      </c>
      <c r="J884">
        <v>98</v>
      </c>
      <c r="K884">
        <v>16</v>
      </c>
      <c r="L884" t="str">
        <v>OK</v>
      </c>
      <c r="M884">
        <v>3</v>
      </c>
      <c r="O884">
        <f t="shared" si="104"/>
        <v>5.6428571428571432</v>
      </c>
      <c r="P884">
        <f t="shared" si="105"/>
        <v>25.368874999999996</v>
      </c>
      <c r="Q884">
        <f t="shared" si="106"/>
        <v>17.0995670995671</v>
      </c>
      <c r="R884">
        <f t="shared" si="107"/>
        <v>1</v>
      </c>
      <c r="S884">
        <f t="shared" si="108"/>
        <v>25.368874999999996</v>
      </c>
      <c r="T884" t="str">
        <f t="shared" si="109"/>
        <v>CARGA INEFICIENTE</v>
      </c>
      <c r="U884" t="str">
        <f t="shared" si="110"/>
        <v>OK</v>
      </c>
      <c r="V884" t="str">
        <f t="shared" si="111"/>
        <v>OK</v>
      </c>
    </row>
    <row r="885" spans="1:22" x14ac:dyDescent="0.45">
      <c r="A885" t="str">
        <v>SO-50818</v>
      </c>
      <c r="B885" t="str">
        <v>PL-CEN</v>
      </c>
      <c r="C885" t="str">
        <v>CD-VER</v>
      </c>
      <c r="D885" t="str">
        <v>ABA-1007</v>
      </c>
      <c r="E885">
        <v>2279</v>
      </c>
      <c r="F885" s="1">
        <v>46176</v>
      </c>
      <c r="G885" t="str">
        <v>In Transit</v>
      </c>
      <c r="H885" t="str">
        <v>OK</v>
      </c>
      <c r="I885">
        <v>9.7899999999999991</v>
      </c>
      <c r="J885">
        <v>123</v>
      </c>
      <c r="K885">
        <v>334</v>
      </c>
      <c r="L885" t="str">
        <v>OK</v>
      </c>
      <c r="M885">
        <v>1</v>
      </c>
      <c r="O885">
        <f t="shared" si="104"/>
        <v>18.528455284552845</v>
      </c>
      <c r="P885">
        <f t="shared" si="105"/>
        <v>92.964208333333332</v>
      </c>
      <c r="Q885">
        <f t="shared" si="106"/>
        <v>56.14683419561468</v>
      </c>
      <c r="R885">
        <f t="shared" si="107"/>
        <v>1</v>
      </c>
      <c r="S885">
        <f t="shared" si="108"/>
        <v>92.964208333333332</v>
      </c>
      <c r="T885" t="str">
        <f t="shared" si="109"/>
        <v>OK</v>
      </c>
      <c r="U885" t="str">
        <f t="shared" si="110"/>
        <v>OK</v>
      </c>
      <c r="V885" t="str">
        <f t="shared" si="111"/>
        <v>OK</v>
      </c>
    </row>
    <row r="886" spans="1:22" x14ac:dyDescent="0.45">
      <c r="A886" t="str">
        <v>SO-50366</v>
      </c>
      <c r="B886" t="str">
        <v>PL-SUR</v>
      </c>
      <c r="C886" t="str">
        <v>CD-CAN</v>
      </c>
      <c r="D886" t="str">
        <v>LAC-1012</v>
      </c>
      <c r="E886">
        <v>2122</v>
      </c>
      <c r="F886" s="1">
        <v>46173</v>
      </c>
      <c r="G886" t="str">
        <v>In Transit</v>
      </c>
      <c r="H886" t="str">
        <v>OK</v>
      </c>
      <c r="I886">
        <v>9.8699999999999992</v>
      </c>
      <c r="J886">
        <v>88</v>
      </c>
      <c r="K886">
        <v>25</v>
      </c>
      <c r="L886" t="str">
        <v>OK</v>
      </c>
      <c r="M886">
        <v>4</v>
      </c>
      <c r="O886">
        <f t="shared" si="104"/>
        <v>24.113636363636363</v>
      </c>
      <c r="P886">
        <f t="shared" si="105"/>
        <v>87.26724999999999</v>
      </c>
      <c r="Q886">
        <f t="shared" si="106"/>
        <v>73.071625344352626</v>
      </c>
      <c r="R886">
        <f t="shared" si="107"/>
        <v>1</v>
      </c>
      <c r="S886">
        <f t="shared" si="108"/>
        <v>87.26724999999999</v>
      </c>
      <c r="T886" t="str">
        <f t="shared" si="109"/>
        <v>OK</v>
      </c>
      <c r="U886" t="str">
        <f t="shared" si="110"/>
        <v>OK</v>
      </c>
      <c r="V886" t="str">
        <f t="shared" si="111"/>
        <v>OK</v>
      </c>
    </row>
    <row r="887" spans="1:22" x14ac:dyDescent="0.45">
      <c r="A887" t="str">
        <v>SO-50630</v>
      </c>
      <c r="B887" t="str">
        <v>PL-CEN</v>
      </c>
      <c r="C887" t="str">
        <v>CD-VER</v>
      </c>
      <c r="D887" t="str">
        <v>PRO-1003</v>
      </c>
      <c r="E887">
        <v>1401</v>
      </c>
      <c r="F887" s="1">
        <v>46176</v>
      </c>
      <c r="G887" t="str">
        <v>In Transit</v>
      </c>
      <c r="H887" t="str">
        <v>OK</v>
      </c>
      <c r="I887">
        <v>13.9</v>
      </c>
      <c r="J887">
        <v>69</v>
      </c>
      <c r="K887">
        <v>106</v>
      </c>
      <c r="L887" t="str">
        <v>OK</v>
      </c>
      <c r="M887">
        <v>1</v>
      </c>
      <c r="O887">
        <f t="shared" si="104"/>
        <v>20.304347826086957</v>
      </c>
      <c r="P887">
        <f t="shared" si="105"/>
        <v>81.141250000000014</v>
      </c>
      <c r="Q887">
        <f t="shared" si="106"/>
        <v>61.528326745718054</v>
      </c>
      <c r="R887">
        <f t="shared" si="107"/>
        <v>1</v>
      </c>
      <c r="S887">
        <f t="shared" si="108"/>
        <v>81.141250000000014</v>
      </c>
      <c r="T887" t="str">
        <f t="shared" si="109"/>
        <v>OK</v>
      </c>
      <c r="U887" t="str">
        <f t="shared" si="110"/>
        <v>OK</v>
      </c>
      <c r="V887" t="str">
        <f t="shared" si="111"/>
        <v>OK</v>
      </c>
    </row>
    <row r="888" spans="1:22" x14ac:dyDescent="0.45">
      <c r="A888" t="str">
        <v>SO-50902</v>
      </c>
      <c r="B888" t="str">
        <v>PL-SUR</v>
      </c>
      <c r="C888" t="str">
        <v>CD-MOR</v>
      </c>
      <c r="D888" t="str">
        <v>ABA-1017</v>
      </c>
      <c r="E888">
        <v>1861</v>
      </c>
      <c r="F888" s="1">
        <v>46175</v>
      </c>
      <c r="G888" t="str">
        <v>In Transit</v>
      </c>
      <c r="H888" t="str">
        <v>OK</v>
      </c>
      <c r="I888">
        <v>10.96</v>
      </c>
      <c r="J888">
        <v>128</v>
      </c>
      <c r="K888">
        <v>520</v>
      </c>
      <c r="L888" t="str">
        <v>OK</v>
      </c>
      <c r="M888">
        <v>2</v>
      </c>
      <c r="O888">
        <f t="shared" si="104"/>
        <v>14.5390625</v>
      </c>
      <c r="P888">
        <f t="shared" si="105"/>
        <v>84.985666666666674</v>
      </c>
      <c r="Q888">
        <f t="shared" si="106"/>
        <v>44.057765151515149</v>
      </c>
      <c r="R888">
        <f t="shared" si="107"/>
        <v>1</v>
      </c>
      <c r="S888">
        <f t="shared" si="108"/>
        <v>84.985666666666674</v>
      </c>
      <c r="T888" t="str">
        <f t="shared" si="109"/>
        <v>OK</v>
      </c>
      <c r="U888" t="str">
        <f t="shared" si="110"/>
        <v>OK</v>
      </c>
      <c r="V888" t="str">
        <f t="shared" si="111"/>
        <v>OK</v>
      </c>
    </row>
    <row r="889" spans="1:22" x14ac:dyDescent="0.45">
      <c r="A889" t="str">
        <v>SO-50793</v>
      </c>
      <c r="B889" t="str">
        <v>PL-CEN</v>
      </c>
      <c r="C889" t="str">
        <v>CD-QRO</v>
      </c>
      <c r="D889" t="str">
        <v>ABA-1000</v>
      </c>
      <c r="E889">
        <v>1466</v>
      </c>
      <c r="F889" s="1">
        <v>46175</v>
      </c>
      <c r="G889" t="str">
        <v>In Transit</v>
      </c>
      <c r="H889" t="str">
        <v>OK</v>
      </c>
      <c r="I889">
        <v>15.2</v>
      </c>
      <c r="J889">
        <v>135</v>
      </c>
      <c r="K889">
        <v>361</v>
      </c>
      <c r="L889" t="str">
        <v>OK</v>
      </c>
      <c r="M889">
        <v>2</v>
      </c>
      <c r="O889">
        <f t="shared" si="104"/>
        <v>10.859259259259259</v>
      </c>
      <c r="P889">
        <f t="shared" si="105"/>
        <v>92.846666666666664</v>
      </c>
      <c r="Q889">
        <f t="shared" si="106"/>
        <v>32.906846240179568</v>
      </c>
      <c r="R889">
        <f t="shared" si="107"/>
        <v>1</v>
      </c>
      <c r="S889">
        <f t="shared" si="108"/>
        <v>92.846666666666664</v>
      </c>
      <c r="T889" t="str">
        <f t="shared" si="109"/>
        <v>OK</v>
      </c>
      <c r="U889" t="str">
        <f t="shared" si="110"/>
        <v>OK</v>
      </c>
      <c r="V889" t="str">
        <f t="shared" si="111"/>
        <v>OK</v>
      </c>
    </row>
    <row r="890" spans="1:22" x14ac:dyDescent="0.45">
      <c r="A890" t="str">
        <v>SO-50759</v>
      </c>
      <c r="B890" t="str">
        <v>PL-NTE</v>
      </c>
      <c r="C890" t="str">
        <v>CD-SAL</v>
      </c>
      <c r="D890" t="str">
        <v>PRO-1000</v>
      </c>
      <c r="E890">
        <v>1593</v>
      </c>
      <c r="F890" s="1">
        <v>46175</v>
      </c>
      <c r="G890" t="str">
        <v>In Transit</v>
      </c>
      <c r="H890" t="str">
        <v>OK</v>
      </c>
      <c r="I890">
        <v>12.51</v>
      </c>
      <c r="J890">
        <v>73</v>
      </c>
      <c r="K890">
        <v>75</v>
      </c>
      <c r="L890" t="str">
        <v>OK</v>
      </c>
      <c r="M890">
        <v>2</v>
      </c>
      <c r="O890">
        <f t="shared" si="104"/>
        <v>21.82191780821918</v>
      </c>
      <c r="P890">
        <f t="shared" si="105"/>
        <v>83.035124999999994</v>
      </c>
      <c r="Q890">
        <f t="shared" si="106"/>
        <v>66.127023661270243</v>
      </c>
      <c r="R890">
        <f t="shared" si="107"/>
        <v>1</v>
      </c>
      <c r="S890">
        <f t="shared" si="108"/>
        <v>83.035124999999994</v>
      </c>
      <c r="T890" t="str">
        <f t="shared" si="109"/>
        <v>OK</v>
      </c>
      <c r="U890" t="str">
        <f t="shared" si="110"/>
        <v>OK</v>
      </c>
      <c r="V890" t="str">
        <f t="shared" si="111"/>
        <v>OK</v>
      </c>
    </row>
    <row r="891" spans="1:22" x14ac:dyDescent="0.45">
      <c r="A891" t="str">
        <v>SO-50638</v>
      </c>
      <c r="B891" t="str">
        <v>PL-SUR</v>
      </c>
      <c r="C891" t="str">
        <v>CD-CAN</v>
      </c>
      <c r="D891" t="str">
        <v>BOT-1014</v>
      </c>
      <c r="E891">
        <v>1397</v>
      </c>
      <c r="F891" s="1">
        <v>46176</v>
      </c>
      <c r="G891" t="str">
        <v>In Transit</v>
      </c>
      <c r="H891" t="str">
        <v>OK</v>
      </c>
      <c r="I891">
        <v>3.92</v>
      </c>
      <c r="J891">
        <v>49</v>
      </c>
      <c r="K891">
        <v>98</v>
      </c>
      <c r="L891" t="str">
        <v>OK</v>
      </c>
      <c r="M891">
        <v>1</v>
      </c>
      <c r="O891">
        <f t="shared" si="104"/>
        <v>28.510204081632654</v>
      </c>
      <c r="P891">
        <f t="shared" si="105"/>
        <v>22.817666666666668</v>
      </c>
      <c r="Q891">
        <f t="shared" si="106"/>
        <v>86.394557823129261</v>
      </c>
      <c r="R891">
        <f t="shared" si="107"/>
        <v>1</v>
      </c>
      <c r="S891">
        <f t="shared" si="108"/>
        <v>86.394557823129261</v>
      </c>
      <c r="T891" t="str">
        <f t="shared" si="109"/>
        <v>OK</v>
      </c>
      <c r="U891" t="str">
        <f t="shared" si="110"/>
        <v>OK</v>
      </c>
      <c r="V891" t="str">
        <f t="shared" si="111"/>
        <v>OK</v>
      </c>
    </row>
    <row r="892" spans="1:22" x14ac:dyDescent="0.45">
      <c r="A892" t="str">
        <v>SO-50588</v>
      </c>
      <c r="B892" t="str">
        <v>PL-CEN</v>
      </c>
      <c r="C892" t="str">
        <v>CD-CDMX</v>
      </c>
      <c r="D892" t="str">
        <v>BEB-1012</v>
      </c>
      <c r="E892">
        <v>1207</v>
      </c>
      <c r="F892" s="1">
        <v>46176</v>
      </c>
      <c r="G892" t="str">
        <v>In Transit</v>
      </c>
      <c r="H892" t="str">
        <v>OK</v>
      </c>
      <c r="I892">
        <v>15.66</v>
      </c>
      <c r="J892">
        <v>72</v>
      </c>
      <c r="K892">
        <v>306</v>
      </c>
      <c r="L892" t="str">
        <v>OK</v>
      </c>
      <c r="M892">
        <v>1</v>
      </c>
      <c r="O892">
        <f t="shared" si="104"/>
        <v>16.763888888888889</v>
      </c>
      <c r="P892">
        <f t="shared" si="105"/>
        <v>78.756749999999997</v>
      </c>
      <c r="Q892">
        <f t="shared" si="106"/>
        <v>50.799663299663301</v>
      </c>
      <c r="R892">
        <f t="shared" si="107"/>
        <v>1</v>
      </c>
      <c r="S892">
        <f t="shared" si="108"/>
        <v>78.756749999999997</v>
      </c>
      <c r="T892" t="str">
        <f t="shared" si="109"/>
        <v>OK</v>
      </c>
      <c r="U892" t="str">
        <f t="shared" si="110"/>
        <v>OK</v>
      </c>
      <c r="V892" t="str">
        <f t="shared" si="111"/>
        <v>OK</v>
      </c>
    </row>
    <row r="893" spans="1:22" x14ac:dyDescent="0.45">
      <c r="A893" t="str">
        <v>SO-50230</v>
      </c>
      <c r="B893" t="str">
        <v>PL-SUR</v>
      </c>
      <c r="C893" t="str">
        <v>CD-LEO</v>
      </c>
      <c r="D893" t="str">
        <v>BOT-1003</v>
      </c>
      <c r="E893">
        <v>1756</v>
      </c>
      <c r="F893" s="1">
        <v>46175</v>
      </c>
      <c r="G893" t="str">
        <v>In Transit</v>
      </c>
      <c r="H893" t="str">
        <v>OK</v>
      </c>
      <c r="I893">
        <v>5.92</v>
      </c>
      <c r="J893">
        <v>57</v>
      </c>
      <c r="K893">
        <v>92</v>
      </c>
      <c r="L893" t="str">
        <v>OK</v>
      </c>
      <c r="M893">
        <v>2</v>
      </c>
      <c r="O893">
        <f t="shared" si="104"/>
        <v>30.807017543859651</v>
      </c>
      <c r="P893">
        <f t="shared" si="105"/>
        <v>43.314666666666668</v>
      </c>
      <c r="Q893">
        <f t="shared" si="106"/>
        <v>93.354598617756508</v>
      </c>
      <c r="R893">
        <f t="shared" si="107"/>
        <v>1</v>
      </c>
      <c r="S893">
        <f t="shared" si="108"/>
        <v>93.354598617756508</v>
      </c>
      <c r="T893" t="str">
        <f t="shared" si="109"/>
        <v>OK</v>
      </c>
      <c r="U893" t="str">
        <f t="shared" si="110"/>
        <v>OK</v>
      </c>
      <c r="V893" t="str">
        <f t="shared" si="111"/>
        <v>OK</v>
      </c>
    </row>
    <row r="894" spans="1:22" x14ac:dyDescent="0.45">
      <c r="A894" t="str">
        <v>SO-50451</v>
      </c>
      <c r="B894" t="str">
        <v>PL-CEN</v>
      </c>
      <c r="C894" t="str">
        <v>CD-VER</v>
      </c>
      <c r="D894" t="str">
        <v>ABA-1015</v>
      </c>
      <c r="E894">
        <v>1391</v>
      </c>
      <c r="F894" s="1">
        <v>46174</v>
      </c>
      <c r="G894" t="str">
        <v>In Transit</v>
      </c>
      <c r="H894" t="str">
        <v>OK</v>
      </c>
      <c r="I894">
        <v>8.19</v>
      </c>
      <c r="J894">
        <v>82</v>
      </c>
      <c r="K894">
        <v>317</v>
      </c>
      <c r="L894" t="str">
        <v>OK</v>
      </c>
      <c r="M894">
        <v>3</v>
      </c>
      <c r="O894">
        <f t="shared" si="104"/>
        <v>16.963414634146343</v>
      </c>
      <c r="P894">
        <f t="shared" si="105"/>
        <v>47.467874999999999</v>
      </c>
      <c r="Q894">
        <f t="shared" si="106"/>
        <v>51.40428677014043</v>
      </c>
      <c r="R894">
        <f t="shared" si="107"/>
        <v>1</v>
      </c>
      <c r="S894">
        <f t="shared" si="108"/>
        <v>51.40428677014043</v>
      </c>
      <c r="T894" t="str">
        <f t="shared" si="109"/>
        <v>CARGA INEFICIENTE</v>
      </c>
      <c r="U894" t="str">
        <f t="shared" si="110"/>
        <v>OK</v>
      </c>
      <c r="V894" t="str">
        <f t="shared" si="111"/>
        <v>OK</v>
      </c>
    </row>
    <row r="895" spans="1:22" x14ac:dyDescent="0.45">
      <c r="A895" t="str">
        <v>SO-51020</v>
      </c>
      <c r="B895" t="str">
        <v>PL-CEN</v>
      </c>
      <c r="C895" t="str">
        <v>CD-PUE</v>
      </c>
      <c r="D895" t="str">
        <v>LAC-1016</v>
      </c>
      <c r="E895">
        <v>1985</v>
      </c>
      <c r="F895" s="1">
        <v>46160</v>
      </c>
      <c r="G895" t="str">
        <v>In Transit</v>
      </c>
      <c r="H895" t="str">
        <v>OK</v>
      </c>
      <c r="I895">
        <v>10.9</v>
      </c>
      <c r="J895">
        <v>131</v>
      </c>
      <c r="K895">
        <v>22</v>
      </c>
      <c r="L895" t="str">
        <v>OK</v>
      </c>
      <c r="M895">
        <v>17</v>
      </c>
      <c r="O895">
        <f t="shared" si="104"/>
        <v>15.152671755725191</v>
      </c>
      <c r="P895">
        <f t="shared" si="105"/>
        <v>90.152083333333337</v>
      </c>
      <c r="Q895">
        <f t="shared" si="106"/>
        <v>45.917187138561182</v>
      </c>
      <c r="R895">
        <f t="shared" si="107"/>
        <v>1</v>
      </c>
      <c r="S895">
        <f t="shared" si="108"/>
        <v>90.152083333333337</v>
      </c>
      <c r="T895" t="str">
        <f t="shared" si="109"/>
        <v>OK</v>
      </c>
      <c r="U895" t="str">
        <f t="shared" si="110"/>
        <v>FEFO RIESGO</v>
      </c>
      <c r="V895" t="str">
        <f t="shared" si="111"/>
        <v>FANTASMA</v>
      </c>
    </row>
    <row r="896" spans="1:22" x14ac:dyDescent="0.45">
      <c r="A896" t="str">
        <v>SO-50657</v>
      </c>
      <c r="B896" t="str">
        <v>PL-SUR</v>
      </c>
      <c r="C896" t="str">
        <v>CD-LEO</v>
      </c>
      <c r="D896" t="str">
        <v>PRO-1011</v>
      </c>
      <c r="E896">
        <v>2521</v>
      </c>
      <c r="F896" s="1">
        <v>46175</v>
      </c>
      <c r="G896" t="str">
        <v>In Transit</v>
      </c>
      <c r="H896" t="str">
        <v>OK</v>
      </c>
      <c r="I896">
        <v>4.3600000000000003</v>
      </c>
      <c r="J896">
        <v>88</v>
      </c>
      <c r="K896">
        <v>108</v>
      </c>
      <c r="L896" t="str">
        <v>OK</v>
      </c>
      <c r="M896">
        <v>2</v>
      </c>
      <c r="O896">
        <f t="shared" si="104"/>
        <v>28.647727272727273</v>
      </c>
      <c r="P896">
        <f t="shared" si="105"/>
        <v>45.798166666666674</v>
      </c>
      <c r="Q896">
        <f t="shared" si="106"/>
        <v>86.811294765840216</v>
      </c>
      <c r="R896">
        <f t="shared" si="107"/>
        <v>1</v>
      </c>
      <c r="S896">
        <f t="shared" si="108"/>
        <v>86.811294765840216</v>
      </c>
      <c r="T896" t="str">
        <f t="shared" si="109"/>
        <v>OK</v>
      </c>
      <c r="U896" t="str">
        <f t="shared" si="110"/>
        <v>OK</v>
      </c>
      <c r="V896" t="str">
        <f t="shared" si="111"/>
        <v>OK</v>
      </c>
    </row>
    <row r="897" spans="1:22" x14ac:dyDescent="0.45">
      <c r="A897" t="str">
        <v>SO-50513</v>
      </c>
      <c r="B897" t="str">
        <v>PL-NTE</v>
      </c>
      <c r="C897" t="str">
        <v>CD-SAL</v>
      </c>
      <c r="D897" t="str">
        <v>LAC-1014</v>
      </c>
      <c r="E897">
        <v>1206</v>
      </c>
      <c r="F897" s="1">
        <v>46175</v>
      </c>
      <c r="G897" t="str">
        <v>In Transit</v>
      </c>
      <c r="H897" t="str">
        <v>OK</v>
      </c>
      <c r="I897">
        <v>8.0500000000000007</v>
      </c>
      <c r="J897">
        <v>147</v>
      </c>
      <c r="K897">
        <v>28</v>
      </c>
      <c r="L897" t="str">
        <v>OK</v>
      </c>
      <c r="M897">
        <v>2</v>
      </c>
      <c r="O897">
        <f t="shared" si="104"/>
        <v>8.204081632653061</v>
      </c>
      <c r="P897">
        <f t="shared" si="105"/>
        <v>40.451250000000002</v>
      </c>
      <c r="Q897">
        <f t="shared" si="106"/>
        <v>24.860853432282003</v>
      </c>
      <c r="R897">
        <f t="shared" si="107"/>
        <v>1</v>
      </c>
      <c r="S897">
        <f t="shared" si="108"/>
        <v>40.451250000000002</v>
      </c>
      <c r="T897" t="str">
        <f t="shared" si="109"/>
        <v>CARGA INEFICIENTE</v>
      </c>
      <c r="U897" t="str">
        <f t="shared" si="110"/>
        <v>OK</v>
      </c>
      <c r="V897" t="str">
        <f t="shared" si="111"/>
        <v>OK</v>
      </c>
    </row>
    <row r="898" spans="1:22" x14ac:dyDescent="0.45">
      <c r="A898" t="str">
        <v>SO-50778</v>
      </c>
      <c r="B898" t="str">
        <v>PL-CEN</v>
      </c>
      <c r="C898" t="str">
        <v>CD-QRO</v>
      </c>
      <c r="D898" t="str">
        <v>ABA-1018</v>
      </c>
      <c r="E898">
        <v>1822</v>
      </c>
      <c r="F898" s="1">
        <v>46175</v>
      </c>
      <c r="G898" t="str">
        <v>In Transit</v>
      </c>
      <c r="H898" t="str">
        <v>OK</v>
      </c>
      <c r="I898">
        <v>11.43</v>
      </c>
      <c r="J898">
        <v>128</v>
      </c>
      <c r="K898">
        <v>530</v>
      </c>
      <c r="L898" t="str">
        <v>OK</v>
      </c>
      <c r="M898">
        <v>2</v>
      </c>
      <c r="O898">
        <f t="shared" si="104"/>
        <v>14.234375</v>
      </c>
      <c r="P898">
        <f t="shared" si="105"/>
        <v>86.772750000000002</v>
      </c>
      <c r="Q898">
        <f t="shared" si="106"/>
        <v>43.134469696969695</v>
      </c>
      <c r="R898">
        <f t="shared" si="107"/>
        <v>1</v>
      </c>
      <c r="S898">
        <f t="shared" si="108"/>
        <v>86.772750000000002</v>
      </c>
      <c r="T898" t="str">
        <f t="shared" si="109"/>
        <v>OK</v>
      </c>
      <c r="U898" t="str">
        <f t="shared" si="110"/>
        <v>OK</v>
      </c>
      <c r="V898" t="str">
        <f t="shared" si="111"/>
        <v>OK</v>
      </c>
    </row>
    <row r="899" spans="1:22" x14ac:dyDescent="0.45">
      <c r="A899" t="str">
        <v>SO-50369</v>
      </c>
      <c r="B899" t="str">
        <v>PL-SUR</v>
      </c>
      <c r="C899" t="str">
        <v>CD-MOR</v>
      </c>
      <c r="D899" t="str">
        <v>ABA-1002</v>
      </c>
      <c r="E899">
        <v>1410</v>
      </c>
      <c r="F899" s="1">
        <v>46175</v>
      </c>
      <c r="G899" t="str">
        <v>In Transit</v>
      </c>
      <c r="H899" t="str">
        <v>OK</v>
      </c>
      <c r="I899">
        <v>15.1</v>
      </c>
      <c r="J899">
        <v>74</v>
      </c>
      <c r="K899">
        <v>443</v>
      </c>
      <c r="L899" t="str">
        <v>OK</v>
      </c>
      <c r="M899">
        <v>2</v>
      </c>
      <c r="O899">
        <f t="shared" ref="O899:O962" si="112">IF(L899="HUERFANO","n/a",IF(ISNUMBER(J899),E899/J899,"n/a"))</f>
        <v>19.054054054054053</v>
      </c>
      <c r="P899">
        <f t="shared" ref="P899:P962" si="113">IF(L899="HUERFANO","n/a",IFERROR(E899*I899/24000*100,""))</f>
        <v>88.712500000000006</v>
      </c>
      <c r="Q899">
        <f t="shared" ref="Q899:Q962" si="114">IF(L899="HUERFANO","n/a",IFERROR(O899/33*100,""))</f>
        <v>57.739557739557732</v>
      </c>
      <c r="R899">
        <f t="shared" ref="R899:R962" si="115">IF(L899="HUERFANO","n/a",IFERROR(MAX(CEILING(P899/100,1),CEILING(Q899/100,1)),""))</f>
        <v>1</v>
      </c>
      <c r="S899">
        <f t="shared" ref="S899:S962" si="116">IF(L899="HUERFANO","n/a",IFERROR(MAX(P899,Q899)/(R899*100)*100,""))</f>
        <v>88.712500000000006</v>
      </c>
      <c r="T899" t="str">
        <f t="shared" ref="T899:T962" si="117">IF(L899="HUERFANO","n/a",IF(S899&lt;75,"CARGA INEFICIENTE","OK"))</f>
        <v>OK</v>
      </c>
      <c r="U899" t="str">
        <f t="shared" ref="U899:U962" si="118">IF(L899="HUERFANO","n/a",IF(AND(LEFT(D899,3)="LAC",(K899-M899)/K899*100&lt;70),"FEFO RIESGO","OK"))</f>
        <v>OK</v>
      </c>
      <c r="V899" t="str">
        <f t="shared" ref="V899:V962" si="119">IF(L899="HUERFANO","n/a",IF(AND(G899="In Transit",M899&gt;5),"FANTASMA","OK"))</f>
        <v>OK</v>
      </c>
    </row>
    <row r="900" spans="1:22" x14ac:dyDescent="0.45">
      <c r="A900" t="str">
        <v>SO-50714</v>
      </c>
      <c r="B900" t="str">
        <v>PL-NTE</v>
      </c>
      <c r="C900" t="str">
        <v>CD-CHI</v>
      </c>
      <c r="D900" t="str">
        <v>BEB-1005</v>
      </c>
      <c r="E900">
        <v>1396</v>
      </c>
      <c r="F900" s="1">
        <v>46176</v>
      </c>
      <c r="G900" t="str">
        <v>In Transit</v>
      </c>
      <c r="H900" t="str">
        <v>OK</v>
      </c>
      <c r="I900">
        <v>14.2</v>
      </c>
      <c r="J900">
        <v>95</v>
      </c>
      <c r="K900">
        <v>277</v>
      </c>
      <c r="L900" t="str">
        <v>OK</v>
      </c>
      <c r="M900">
        <v>1</v>
      </c>
      <c r="O900">
        <f t="shared" si="112"/>
        <v>14.694736842105263</v>
      </c>
      <c r="P900">
        <f t="shared" si="113"/>
        <v>82.596666666666678</v>
      </c>
      <c r="Q900">
        <f t="shared" si="114"/>
        <v>44.529505582137155</v>
      </c>
      <c r="R900">
        <f t="shared" si="115"/>
        <v>1</v>
      </c>
      <c r="S900">
        <f t="shared" si="116"/>
        <v>82.596666666666678</v>
      </c>
      <c r="T900" t="str">
        <f t="shared" si="117"/>
        <v>OK</v>
      </c>
      <c r="U900" t="str">
        <f t="shared" si="118"/>
        <v>OK</v>
      </c>
      <c r="V900" t="str">
        <f t="shared" si="119"/>
        <v>OK</v>
      </c>
    </row>
    <row r="901" spans="1:22" x14ac:dyDescent="0.45">
      <c r="A901" t="str">
        <v>SO-50287</v>
      </c>
      <c r="B901" t="str">
        <v>PL-NTE</v>
      </c>
      <c r="C901" t="str">
        <v>CD-MTY</v>
      </c>
      <c r="D901" t="str">
        <v>PRO-1013</v>
      </c>
      <c r="E901">
        <v>780</v>
      </c>
      <c r="F901" s="1">
        <v>46176</v>
      </c>
      <c r="G901" t="str">
        <v>In Transit</v>
      </c>
      <c r="H901" t="str">
        <v>OK</v>
      </c>
      <c r="I901">
        <v>4.37</v>
      </c>
      <c r="J901">
        <v>58</v>
      </c>
      <c r="K901">
        <v>92</v>
      </c>
      <c r="L901" t="str">
        <v>OK</v>
      </c>
      <c r="M901">
        <v>1</v>
      </c>
      <c r="O901">
        <f t="shared" si="112"/>
        <v>13.448275862068966</v>
      </c>
      <c r="P901">
        <f t="shared" si="113"/>
        <v>14.202499999999999</v>
      </c>
      <c r="Q901">
        <f t="shared" si="114"/>
        <v>40.752351097178682</v>
      </c>
      <c r="R901">
        <f t="shared" si="115"/>
        <v>1</v>
      </c>
      <c r="S901">
        <f t="shared" si="116"/>
        <v>40.752351097178682</v>
      </c>
      <c r="T901" t="str">
        <f t="shared" si="117"/>
        <v>CARGA INEFICIENTE</v>
      </c>
      <c r="U901" t="str">
        <f t="shared" si="118"/>
        <v>OK</v>
      </c>
      <c r="V901" t="str">
        <f t="shared" si="119"/>
        <v>OK</v>
      </c>
    </row>
    <row r="902" spans="1:22" x14ac:dyDescent="0.45">
      <c r="A902" t="str">
        <v>SO-50962</v>
      </c>
      <c r="B902" t="str">
        <v>PL-NTE</v>
      </c>
      <c r="C902" t="str">
        <v>CD-CHI</v>
      </c>
      <c r="D902" t="str">
        <v>BEB-1007</v>
      </c>
      <c r="E902">
        <v>465</v>
      </c>
      <c r="F902" s="1">
        <v>46175</v>
      </c>
      <c r="G902" t="str">
        <v>In Transit</v>
      </c>
      <c r="H902" t="str">
        <v>OK</v>
      </c>
      <c r="I902">
        <v>13.67</v>
      </c>
      <c r="J902">
        <v>78</v>
      </c>
      <c r="K902">
        <v>247</v>
      </c>
      <c r="L902" t="str">
        <v>OK</v>
      </c>
      <c r="M902">
        <v>2</v>
      </c>
      <c r="O902">
        <f t="shared" si="112"/>
        <v>5.9615384615384617</v>
      </c>
      <c r="P902">
        <f t="shared" si="113"/>
        <v>26.485625000000002</v>
      </c>
      <c r="Q902">
        <f t="shared" si="114"/>
        <v>18.065268065268068</v>
      </c>
      <c r="R902">
        <f t="shared" si="115"/>
        <v>1</v>
      </c>
      <c r="S902">
        <f t="shared" si="116"/>
        <v>26.485625000000002</v>
      </c>
      <c r="T902" t="str">
        <f t="shared" si="117"/>
        <v>CARGA INEFICIENTE</v>
      </c>
      <c r="U902" t="str">
        <f t="shared" si="118"/>
        <v>OK</v>
      </c>
      <c r="V902" t="str">
        <f t="shared" si="119"/>
        <v>OK</v>
      </c>
    </row>
    <row r="903" spans="1:22" x14ac:dyDescent="0.45">
      <c r="A903" t="str">
        <v>SO-50063</v>
      </c>
      <c r="B903" t="str">
        <v>PL-SUR</v>
      </c>
      <c r="C903" t="str">
        <v>CD-LEO</v>
      </c>
      <c r="D903" t="str">
        <v>ABA-1007</v>
      </c>
      <c r="E903">
        <v>2223</v>
      </c>
      <c r="F903" s="1">
        <v>46175</v>
      </c>
      <c r="G903" t="str">
        <v>In Transit</v>
      </c>
      <c r="H903" t="str">
        <v>OK</v>
      </c>
      <c r="I903">
        <v>9.7899999999999991</v>
      </c>
      <c r="J903">
        <v>123</v>
      </c>
      <c r="K903">
        <v>334</v>
      </c>
      <c r="L903" t="str">
        <v>OK</v>
      </c>
      <c r="M903">
        <v>2</v>
      </c>
      <c r="O903">
        <f t="shared" si="112"/>
        <v>18.073170731707318</v>
      </c>
      <c r="P903">
        <f t="shared" si="113"/>
        <v>90.679874999999981</v>
      </c>
      <c r="Q903">
        <f t="shared" si="114"/>
        <v>54.767184035476724</v>
      </c>
      <c r="R903">
        <f t="shared" si="115"/>
        <v>1</v>
      </c>
      <c r="S903">
        <f t="shared" si="116"/>
        <v>90.679874999999981</v>
      </c>
      <c r="T903" t="str">
        <f t="shared" si="117"/>
        <v>OK</v>
      </c>
      <c r="U903" t="str">
        <f t="shared" si="118"/>
        <v>OK</v>
      </c>
      <c r="V903" t="str">
        <f t="shared" si="119"/>
        <v>OK</v>
      </c>
    </row>
    <row r="904" spans="1:22" x14ac:dyDescent="0.45">
      <c r="A904" t="str">
        <v>SO-50092</v>
      </c>
      <c r="B904" t="str">
        <v>PL-CEN</v>
      </c>
      <c r="C904" t="str">
        <v>CD-PUE</v>
      </c>
      <c r="D904" t="str">
        <v>BEB-1016</v>
      </c>
      <c r="E904">
        <v>509</v>
      </c>
      <c r="F904" s="1">
        <v>46176</v>
      </c>
      <c r="G904" t="str">
        <v>In Transit</v>
      </c>
      <c r="H904" t="str">
        <v>OK</v>
      </c>
      <c r="I904">
        <v>0</v>
      </c>
      <c r="J904">
        <v>98</v>
      </c>
      <c r="K904">
        <v>359</v>
      </c>
      <c r="L904" t="str">
        <v>OK</v>
      </c>
      <c r="M904">
        <v>1</v>
      </c>
      <c r="O904">
        <f t="shared" si="112"/>
        <v>5.1938775510204085</v>
      </c>
      <c r="P904">
        <f t="shared" si="113"/>
        <v>0</v>
      </c>
      <c r="Q904">
        <f t="shared" si="114"/>
        <v>15.739022881880027</v>
      </c>
      <c r="R904">
        <f t="shared" si="115"/>
        <v>1</v>
      </c>
      <c r="S904">
        <f t="shared" si="116"/>
        <v>15.739022881880027</v>
      </c>
      <c r="T904" t="str">
        <f t="shared" si="117"/>
        <v>CARGA INEFICIENTE</v>
      </c>
      <c r="U904" t="str">
        <f t="shared" si="118"/>
        <v>OK</v>
      </c>
      <c r="V904" t="str">
        <f t="shared" si="119"/>
        <v>OK</v>
      </c>
    </row>
    <row r="905" spans="1:22" x14ac:dyDescent="0.45">
      <c r="A905" t="str">
        <v>SO-50082</v>
      </c>
      <c r="B905" t="str">
        <v>PL-NTE</v>
      </c>
      <c r="C905" t="str">
        <v>CD-HER</v>
      </c>
      <c r="D905" t="str">
        <v>ABA-1010</v>
      </c>
      <c r="E905">
        <v>2461</v>
      </c>
      <c r="F905" s="1">
        <v>46174</v>
      </c>
      <c r="G905" t="str">
        <v>In Transit</v>
      </c>
      <c r="H905" t="str">
        <v>OK</v>
      </c>
      <c r="I905">
        <v>8.75</v>
      </c>
      <c r="J905">
        <v>123</v>
      </c>
      <c r="K905">
        <v>341</v>
      </c>
      <c r="L905" t="str">
        <v>OK</v>
      </c>
      <c r="M905">
        <v>3</v>
      </c>
      <c r="O905">
        <f t="shared" si="112"/>
        <v>20.008130081300813</v>
      </c>
      <c r="P905">
        <f t="shared" si="113"/>
        <v>89.723958333333329</v>
      </c>
      <c r="Q905">
        <f t="shared" si="114"/>
        <v>60.630697216063069</v>
      </c>
      <c r="R905">
        <f t="shared" si="115"/>
        <v>1</v>
      </c>
      <c r="S905">
        <f t="shared" si="116"/>
        <v>89.723958333333329</v>
      </c>
      <c r="T905" t="str">
        <f t="shared" si="117"/>
        <v>OK</v>
      </c>
      <c r="U905" t="str">
        <f t="shared" si="118"/>
        <v>OK</v>
      </c>
      <c r="V905" t="str">
        <f t="shared" si="119"/>
        <v>OK</v>
      </c>
    </row>
    <row r="906" spans="1:22" x14ac:dyDescent="0.45">
      <c r="A906" t="str">
        <v>SO-50467</v>
      </c>
      <c r="B906" t="str">
        <v>PL-CEN</v>
      </c>
      <c r="C906" t="str">
        <v>CD-PUE</v>
      </c>
      <c r="D906" t="str">
        <v>LAC-1011</v>
      </c>
      <c r="E906">
        <v>1167</v>
      </c>
      <c r="F906" s="1">
        <v>46176</v>
      </c>
      <c r="G906" t="str">
        <v>In Transit</v>
      </c>
      <c r="H906" t="str">
        <v>OK</v>
      </c>
      <c r="I906">
        <v>6.1</v>
      </c>
      <c r="J906">
        <v>137</v>
      </c>
      <c r="K906">
        <v>17</v>
      </c>
      <c r="L906" t="str">
        <v>OK</v>
      </c>
      <c r="M906">
        <v>1</v>
      </c>
      <c r="O906">
        <f t="shared" si="112"/>
        <v>8.5182481751824817</v>
      </c>
      <c r="P906">
        <f t="shared" si="113"/>
        <v>29.661249999999999</v>
      </c>
      <c r="Q906">
        <f t="shared" si="114"/>
        <v>25.812873258128732</v>
      </c>
      <c r="R906">
        <f t="shared" si="115"/>
        <v>1</v>
      </c>
      <c r="S906">
        <f t="shared" si="116"/>
        <v>29.661249999999999</v>
      </c>
      <c r="T906" t="str">
        <f t="shared" si="117"/>
        <v>CARGA INEFICIENTE</v>
      </c>
      <c r="U906" t="str">
        <f t="shared" si="118"/>
        <v>OK</v>
      </c>
      <c r="V906" t="str">
        <f t="shared" si="119"/>
        <v>OK</v>
      </c>
    </row>
    <row r="907" spans="1:22" x14ac:dyDescent="0.45">
      <c r="A907" t="str">
        <v>SO-50104</v>
      </c>
      <c r="B907" t="str">
        <v>PL-SUR</v>
      </c>
      <c r="C907" t="str">
        <v>CD-CAN</v>
      </c>
      <c r="D907" t="str">
        <v>BOT-1009</v>
      </c>
      <c r="E907">
        <v>1390</v>
      </c>
      <c r="F907" s="1">
        <v>46175</v>
      </c>
      <c r="G907" t="str">
        <v>In Transit</v>
      </c>
      <c r="H907" t="str">
        <v>OK</v>
      </c>
      <c r="I907">
        <v>5.25</v>
      </c>
      <c r="J907">
        <v>76</v>
      </c>
      <c r="K907">
        <v>104</v>
      </c>
      <c r="L907" t="str">
        <v>OK</v>
      </c>
      <c r="M907">
        <v>2</v>
      </c>
      <c r="O907">
        <f t="shared" si="112"/>
        <v>18.289473684210527</v>
      </c>
      <c r="P907">
        <f t="shared" si="113"/>
        <v>30.40625</v>
      </c>
      <c r="Q907">
        <f t="shared" si="114"/>
        <v>55.422647527910684</v>
      </c>
      <c r="R907">
        <f t="shared" si="115"/>
        <v>1</v>
      </c>
      <c r="S907">
        <f t="shared" si="116"/>
        <v>55.422647527910684</v>
      </c>
      <c r="T907" t="str">
        <f t="shared" si="117"/>
        <v>CARGA INEFICIENTE</v>
      </c>
      <c r="U907" t="str">
        <f t="shared" si="118"/>
        <v>OK</v>
      </c>
      <c r="V907" t="str">
        <f t="shared" si="119"/>
        <v>OK</v>
      </c>
    </row>
    <row r="908" spans="1:22" x14ac:dyDescent="0.45">
      <c r="A908" t="str">
        <v>SO-50152</v>
      </c>
      <c r="B908" t="str">
        <v>PL-SUR</v>
      </c>
      <c r="C908" t="str">
        <v>CD-MER</v>
      </c>
      <c r="D908" t="str">
        <v>BEB-1020</v>
      </c>
      <c r="E908">
        <v>737</v>
      </c>
      <c r="F908" s="1">
        <v>46174</v>
      </c>
      <c r="G908" t="str">
        <v>In Transit</v>
      </c>
      <c r="H908" t="str">
        <v>OK</v>
      </c>
      <c r="I908">
        <v>16.66</v>
      </c>
      <c r="J908">
        <v>85</v>
      </c>
      <c r="K908">
        <v>333</v>
      </c>
      <c r="L908" t="str">
        <v>OK</v>
      </c>
      <c r="M908">
        <v>3</v>
      </c>
      <c r="O908">
        <f t="shared" si="112"/>
        <v>8.670588235294117</v>
      </c>
      <c r="P908">
        <f t="shared" si="113"/>
        <v>51.160083333333326</v>
      </c>
      <c r="Q908">
        <f t="shared" si="114"/>
        <v>26.274509803921564</v>
      </c>
      <c r="R908">
        <f t="shared" si="115"/>
        <v>1</v>
      </c>
      <c r="S908">
        <f t="shared" si="116"/>
        <v>51.160083333333326</v>
      </c>
      <c r="T908" t="str">
        <f t="shared" si="117"/>
        <v>CARGA INEFICIENTE</v>
      </c>
      <c r="U908" t="str">
        <f t="shared" si="118"/>
        <v>OK</v>
      </c>
      <c r="V908" t="str">
        <f t="shared" si="119"/>
        <v>OK</v>
      </c>
    </row>
    <row r="909" spans="1:22" x14ac:dyDescent="0.45">
      <c r="A909" t="str">
        <v>SO-51041</v>
      </c>
      <c r="B909" t="str">
        <v>PL-NTE</v>
      </c>
      <c r="C909" t="str">
        <v>CD-HER</v>
      </c>
      <c r="D909" t="str">
        <v>LAC-1007</v>
      </c>
      <c r="E909">
        <v>2181</v>
      </c>
      <c r="F909" s="1">
        <v>46175</v>
      </c>
      <c r="G909" t="str">
        <v>In Transit</v>
      </c>
      <c r="H909" t="str">
        <v>OK</v>
      </c>
      <c r="I909">
        <v>10.37</v>
      </c>
      <c r="J909">
        <v>100</v>
      </c>
      <c r="K909">
        <v>24</v>
      </c>
      <c r="L909" t="str">
        <v>OK</v>
      </c>
      <c r="M909">
        <v>2</v>
      </c>
      <c r="O909">
        <f t="shared" si="112"/>
        <v>21.81</v>
      </c>
      <c r="P909">
        <f t="shared" si="113"/>
        <v>94.237374999999986</v>
      </c>
      <c r="Q909">
        <f t="shared" si="114"/>
        <v>66.090909090909093</v>
      </c>
      <c r="R909">
        <f t="shared" si="115"/>
        <v>1</v>
      </c>
      <c r="S909">
        <f t="shared" si="116"/>
        <v>94.237374999999986</v>
      </c>
      <c r="T909" t="str">
        <f t="shared" si="117"/>
        <v>OK</v>
      </c>
      <c r="U909" t="str">
        <f t="shared" si="118"/>
        <v>OK</v>
      </c>
      <c r="V909" t="str">
        <f t="shared" si="119"/>
        <v>OK</v>
      </c>
    </row>
    <row r="910" spans="1:22" x14ac:dyDescent="0.45">
      <c r="A910" t="str">
        <v>SO-50056</v>
      </c>
      <c r="B910" t="str">
        <v>PL-NTE</v>
      </c>
      <c r="C910" t="str">
        <v>CD-HER</v>
      </c>
      <c r="D910" t="str">
        <v>LAC-1005</v>
      </c>
      <c r="E910">
        <v>1563</v>
      </c>
      <c r="F910" s="1">
        <v>46176</v>
      </c>
      <c r="G910" t="str">
        <v>In Transit</v>
      </c>
      <c r="H910" t="str">
        <v>OK</v>
      </c>
      <c r="I910">
        <v>8.94</v>
      </c>
      <c r="J910">
        <v>100</v>
      </c>
      <c r="K910">
        <v>17</v>
      </c>
      <c r="L910" t="str">
        <v>OK</v>
      </c>
      <c r="M910">
        <v>1</v>
      </c>
      <c r="O910">
        <f t="shared" si="112"/>
        <v>15.63</v>
      </c>
      <c r="P910">
        <f t="shared" si="113"/>
        <v>58.221749999999993</v>
      </c>
      <c r="Q910">
        <f t="shared" si="114"/>
        <v>47.36363636363636</v>
      </c>
      <c r="R910">
        <f t="shared" si="115"/>
        <v>1</v>
      </c>
      <c r="S910">
        <f t="shared" si="116"/>
        <v>58.221749999999993</v>
      </c>
      <c r="T910" t="str">
        <f t="shared" si="117"/>
        <v>CARGA INEFICIENTE</v>
      </c>
      <c r="U910" t="str">
        <f t="shared" si="118"/>
        <v>OK</v>
      </c>
      <c r="V910" t="str">
        <f t="shared" si="119"/>
        <v>OK</v>
      </c>
    </row>
    <row r="911" spans="1:22" x14ac:dyDescent="0.45">
      <c r="A911" t="str">
        <v>SO-50073</v>
      </c>
      <c r="B911" t="str">
        <v>PL-CEN</v>
      </c>
      <c r="C911" t="str">
        <v>CD-TOL</v>
      </c>
      <c r="D911" t="str">
        <v>ABA-1003</v>
      </c>
      <c r="E911">
        <v>1407</v>
      </c>
      <c r="F911" s="1">
        <v>46176</v>
      </c>
      <c r="G911" t="str">
        <v>In Transit</v>
      </c>
      <c r="H911" t="str">
        <v>OK</v>
      </c>
      <c r="I911">
        <v>8.67</v>
      </c>
      <c r="J911">
        <v>124</v>
      </c>
      <c r="K911">
        <v>512</v>
      </c>
      <c r="L911" t="str">
        <v>OK</v>
      </c>
      <c r="M911">
        <v>1</v>
      </c>
      <c r="O911">
        <f t="shared" si="112"/>
        <v>11.346774193548388</v>
      </c>
      <c r="P911">
        <f t="shared" si="113"/>
        <v>50.827874999999999</v>
      </c>
      <c r="Q911">
        <f t="shared" si="114"/>
        <v>34.384164222873906</v>
      </c>
      <c r="R911">
        <f t="shared" si="115"/>
        <v>1</v>
      </c>
      <c r="S911">
        <f t="shared" si="116"/>
        <v>50.827874999999999</v>
      </c>
      <c r="T911" t="str">
        <f t="shared" si="117"/>
        <v>CARGA INEFICIENTE</v>
      </c>
      <c r="U911" t="str">
        <f t="shared" si="118"/>
        <v>OK</v>
      </c>
      <c r="V911" t="str">
        <f t="shared" si="119"/>
        <v>OK</v>
      </c>
    </row>
    <row r="912" spans="1:22" x14ac:dyDescent="0.45">
      <c r="A912" t="str">
        <v>SO-50368</v>
      </c>
      <c r="B912" t="str">
        <v>PL-CEN</v>
      </c>
      <c r="C912" t="str">
        <v>CD-PUE</v>
      </c>
      <c r="D912" t="str">
        <v>BOT-1000</v>
      </c>
      <c r="E912">
        <v>1710</v>
      </c>
      <c r="F912" s="1">
        <v>46176</v>
      </c>
      <c r="G912" t="str">
        <v>In Transit</v>
      </c>
      <c r="H912" t="str">
        <v>OK</v>
      </c>
      <c r="I912">
        <v>3.56</v>
      </c>
      <c r="J912">
        <v>64</v>
      </c>
      <c r="K912">
        <v>92</v>
      </c>
      <c r="L912" t="str">
        <v>OK</v>
      </c>
      <c r="M912">
        <v>1</v>
      </c>
      <c r="O912">
        <f t="shared" si="112"/>
        <v>26.71875</v>
      </c>
      <c r="P912">
        <f t="shared" si="113"/>
        <v>25.365000000000006</v>
      </c>
      <c r="Q912">
        <f t="shared" si="114"/>
        <v>80.965909090909093</v>
      </c>
      <c r="R912">
        <f t="shared" si="115"/>
        <v>1</v>
      </c>
      <c r="S912">
        <f t="shared" si="116"/>
        <v>80.965909090909093</v>
      </c>
      <c r="T912" t="str">
        <f t="shared" si="117"/>
        <v>OK</v>
      </c>
      <c r="U912" t="str">
        <f t="shared" si="118"/>
        <v>OK</v>
      </c>
      <c r="V912" t="str">
        <f t="shared" si="119"/>
        <v>OK</v>
      </c>
    </row>
    <row r="913" spans="1:22" x14ac:dyDescent="0.45">
      <c r="A913" t="str">
        <v>SO-50110</v>
      </c>
      <c r="B913" t="str">
        <v>PL-CEN</v>
      </c>
      <c r="C913" t="str">
        <v>CD-TOL</v>
      </c>
      <c r="D913" t="str">
        <v>BEB-1001</v>
      </c>
      <c r="E913">
        <v>1189</v>
      </c>
      <c r="F913" s="1">
        <v>46176</v>
      </c>
      <c r="G913" t="str">
        <v>In Transit</v>
      </c>
      <c r="H913" t="str">
        <v>OK</v>
      </c>
      <c r="I913">
        <v>19.18</v>
      </c>
      <c r="J913">
        <v>95</v>
      </c>
      <c r="K913">
        <v>208</v>
      </c>
      <c r="L913" t="str">
        <v>OK</v>
      </c>
      <c r="M913">
        <v>1</v>
      </c>
      <c r="O913">
        <f t="shared" si="112"/>
        <v>12.51578947368421</v>
      </c>
      <c r="P913">
        <f t="shared" si="113"/>
        <v>95.020916666666665</v>
      </c>
      <c r="Q913">
        <f t="shared" si="114"/>
        <v>37.92663476874003</v>
      </c>
      <c r="R913">
        <f t="shared" si="115"/>
        <v>1</v>
      </c>
      <c r="S913">
        <f t="shared" si="116"/>
        <v>95.020916666666665</v>
      </c>
      <c r="T913" t="str">
        <f t="shared" si="117"/>
        <v>OK</v>
      </c>
      <c r="U913" t="str">
        <f t="shared" si="118"/>
        <v>OK</v>
      </c>
      <c r="V913" t="str">
        <f t="shared" si="119"/>
        <v>OK</v>
      </c>
    </row>
    <row r="914" spans="1:22" x14ac:dyDescent="0.45">
      <c r="A914" t="str">
        <v>SO-50075</v>
      </c>
      <c r="B914" t="str">
        <v>PL-CEN</v>
      </c>
      <c r="C914" t="str">
        <v>CD-TOL</v>
      </c>
      <c r="D914" t="str">
        <v>BEB-1010</v>
      </c>
      <c r="E914">
        <v>1983</v>
      </c>
      <c r="F914" s="1">
        <v>46176</v>
      </c>
      <c r="G914" t="str">
        <v>In Transit</v>
      </c>
      <c r="H914" t="str">
        <v>OK</v>
      </c>
      <c r="I914">
        <v>0</v>
      </c>
      <c r="J914">
        <v>71</v>
      </c>
      <c r="K914">
        <v>192</v>
      </c>
      <c r="L914" t="str">
        <v>OK</v>
      </c>
      <c r="M914">
        <v>1</v>
      </c>
      <c r="O914">
        <f t="shared" si="112"/>
        <v>27.929577464788732</v>
      </c>
      <c r="P914">
        <f t="shared" si="113"/>
        <v>0</v>
      </c>
      <c r="Q914">
        <f t="shared" si="114"/>
        <v>84.635083226632517</v>
      </c>
      <c r="R914">
        <f t="shared" si="115"/>
        <v>1</v>
      </c>
      <c r="S914">
        <f t="shared" si="116"/>
        <v>84.635083226632517</v>
      </c>
      <c r="T914" t="str">
        <f t="shared" si="117"/>
        <v>OK</v>
      </c>
      <c r="U914" t="str">
        <f t="shared" si="118"/>
        <v>OK</v>
      </c>
      <c r="V914" t="str">
        <f t="shared" si="119"/>
        <v>OK</v>
      </c>
    </row>
    <row r="915" spans="1:22" x14ac:dyDescent="0.45">
      <c r="A915" t="str">
        <v>SO-50689</v>
      </c>
      <c r="B915" t="str">
        <v>PL-CEN</v>
      </c>
      <c r="C915" t="str">
        <v>CD-QRO</v>
      </c>
      <c r="D915" t="str">
        <v>BEB-1009</v>
      </c>
      <c r="E915">
        <v>1161</v>
      </c>
      <c r="F915" s="1">
        <v>46176</v>
      </c>
      <c r="G915" t="str">
        <v>In Transit</v>
      </c>
      <c r="H915" t="str">
        <v>OK</v>
      </c>
      <c r="I915">
        <v>18.170000000000002</v>
      </c>
      <c r="J915">
        <v>61</v>
      </c>
      <c r="K915">
        <v>188</v>
      </c>
      <c r="L915" t="str">
        <v>OK</v>
      </c>
      <c r="M915">
        <v>1</v>
      </c>
      <c r="O915">
        <f t="shared" si="112"/>
        <v>19.032786885245901</v>
      </c>
      <c r="P915">
        <f t="shared" si="113"/>
        <v>87.897375000000011</v>
      </c>
      <c r="Q915">
        <f t="shared" si="114"/>
        <v>57.67511177347243</v>
      </c>
      <c r="R915">
        <f t="shared" si="115"/>
        <v>1</v>
      </c>
      <c r="S915">
        <f t="shared" si="116"/>
        <v>87.897375000000011</v>
      </c>
      <c r="T915" t="str">
        <f t="shared" si="117"/>
        <v>OK</v>
      </c>
      <c r="U915" t="str">
        <f t="shared" si="118"/>
        <v>OK</v>
      </c>
      <c r="V915" t="str">
        <f t="shared" si="119"/>
        <v>OK</v>
      </c>
    </row>
    <row r="916" spans="1:22" x14ac:dyDescent="0.45">
      <c r="A916" t="str">
        <v>SO-51088</v>
      </c>
      <c r="B916" t="str">
        <v>PL-SUR</v>
      </c>
      <c r="C916" t="str">
        <v>CD-MER</v>
      </c>
      <c r="D916" t="str">
        <v>ABA-1005</v>
      </c>
      <c r="E916">
        <v>448</v>
      </c>
      <c r="F916" s="1">
        <v>46175</v>
      </c>
      <c r="G916" t="str">
        <v>In Transit</v>
      </c>
      <c r="H916" t="str">
        <v>OK</v>
      </c>
      <c r="I916">
        <v>13.31</v>
      </c>
      <c r="J916">
        <v>89</v>
      </c>
      <c r="K916">
        <v>313</v>
      </c>
      <c r="L916" t="str">
        <v>OK</v>
      </c>
      <c r="M916">
        <v>2</v>
      </c>
      <c r="O916">
        <f t="shared" si="112"/>
        <v>5.0337078651685392</v>
      </c>
      <c r="P916">
        <f t="shared" si="113"/>
        <v>24.845333333333333</v>
      </c>
      <c r="Q916">
        <f t="shared" si="114"/>
        <v>15.253660197480423</v>
      </c>
      <c r="R916">
        <f t="shared" si="115"/>
        <v>1</v>
      </c>
      <c r="S916">
        <f t="shared" si="116"/>
        <v>24.845333333333333</v>
      </c>
      <c r="T916" t="str">
        <f t="shared" si="117"/>
        <v>CARGA INEFICIENTE</v>
      </c>
      <c r="U916" t="str">
        <f t="shared" si="118"/>
        <v>OK</v>
      </c>
      <c r="V916" t="str">
        <f t="shared" si="119"/>
        <v>OK</v>
      </c>
    </row>
    <row r="917" spans="1:22" x14ac:dyDescent="0.45">
      <c r="A917" t="str">
        <v>SO-50394</v>
      </c>
      <c r="B917" t="str">
        <v>PL-SUR</v>
      </c>
      <c r="C917" t="str">
        <v>CD-MOR</v>
      </c>
      <c r="D917" t="str">
        <v>LAC-1006</v>
      </c>
      <c r="E917">
        <v>2020</v>
      </c>
      <c r="F917" s="1">
        <v>46176</v>
      </c>
      <c r="G917" t="str">
        <v>In Transit</v>
      </c>
      <c r="H917" t="str">
        <v>OK</v>
      </c>
      <c r="I917">
        <v>10.029999999999999</v>
      </c>
      <c r="J917">
        <v>126</v>
      </c>
      <c r="K917">
        <v>17</v>
      </c>
      <c r="L917" t="str">
        <v>OK</v>
      </c>
      <c r="M917">
        <v>1</v>
      </c>
      <c r="O917">
        <f t="shared" si="112"/>
        <v>16.031746031746032</v>
      </c>
      <c r="P917">
        <f t="shared" si="113"/>
        <v>84.419166666666655</v>
      </c>
      <c r="Q917">
        <f t="shared" si="114"/>
        <v>48.581048581048577</v>
      </c>
      <c r="R917">
        <f t="shared" si="115"/>
        <v>1</v>
      </c>
      <c r="S917">
        <f t="shared" si="116"/>
        <v>84.419166666666655</v>
      </c>
      <c r="T917" t="str">
        <f t="shared" si="117"/>
        <v>OK</v>
      </c>
      <c r="U917" t="str">
        <f t="shared" si="118"/>
        <v>OK</v>
      </c>
      <c r="V917" t="str">
        <f t="shared" si="119"/>
        <v>OK</v>
      </c>
    </row>
    <row r="918" spans="1:22" x14ac:dyDescent="0.45">
      <c r="A918" t="str">
        <v>SO-50531</v>
      </c>
      <c r="B918" t="str">
        <v>PL-NTE</v>
      </c>
      <c r="C918" t="str">
        <v>CD-MTY</v>
      </c>
      <c r="D918" t="str">
        <v>BOT-1002</v>
      </c>
      <c r="E918">
        <v>2282</v>
      </c>
      <c r="F918" s="1">
        <v>46176</v>
      </c>
      <c r="G918" t="str">
        <v>In Transit</v>
      </c>
      <c r="H918" t="str">
        <v>OK</v>
      </c>
      <c r="I918">
        <v>3.02</v>
      </c>
      <c r="J918">
        <v>84</v>
      </c>
      <c r="K918">
        <v>111</v>
      </c>
      <c r="L918" t="str">
        <v>OK</v>
      </c>
      <c r="M918">
        <v>1</v>
      </c>
      <c r="O918">
        <f t="shared" si="112"/>
        <v>27.166666666666668</v>
      </c>
      <c r="P918">
        <f t="shared" si="113"/>
        <v>28.715166666666669</v>
      </c>
      <c r="Q918">
        <f t="shared" si="114"/>
        <v>82.323232323232332</v>
      </c>
      <c r="R918">
        <f t="shared" si="115"/>
        <v>1</v>
      </c>
      <c r="S918">
        <f t="shared" si="116"/>
        <v>82.323232323232332</v>
      </c>
      <c r="T918" t="str">
        <f t="shared" si="117"/>
        <v>OK</v>
      </c>
      <c r="U918" t="str">
        <f t="shared" si="118"/>
        <v>OK</v>
      </c>
      <c r="V918" t="str">
        <f t="shared" si="119"/>
        <v>OK</v>
      </c>
    </row>
    <row r="919" spans="1:22" x14ac:dyDescent="0.45">
      <c r="A919" t="str">
        <v>SO-50317</v>
      </c>
      <c r="B919" t="str">
        <v>PL-CEN</v>
      </c>
      <c r="C919" t="str">
        <v>CD-CDMX</v>
      </c>
      <c r="D919" t="str">
        <v>XXX-8706</v>
      </c>
      <c r="E919">
        <v>3077</v>
      </c>
      <c r="F919" s="1">
        <v>46176</v>
      </c>
      <c r="G919" t="str">
        <v>In Transit</v>
      </c>
      <c r="H919" t="str">
        <v>OK</v>
      </c>
      <c r="I919">
        <v>0</v>
      </c>
      <c r="J919">
        <v>0</v>
      </c>
      <c r="K919">
        <v>0</v>
      </c>
      <c r="L919" t="str">
        <v>HUERFANO</v>
      </c>
      <c r="M919">
        <v>1</v>
      </c>
      <c r="O919" t="str">
        <f t="shared" si="112"/>
        <v>n/a</v>
      </c>
      <c r="P919" t="str">
        <f t="shared" si="113"/>
        <v>n/a</v>
      </c>
      <c r="Q919" t="str">
        <f t="shared" si="114"/>
        <v>n/a</v>
      </c>
      <c r="R919" t="str">
        <f t="shared" si="115"/>
        <v>n/a</v>
      </c>
      <c r="S919" t="str">
        <f t="shared" si="116"/>
        <v>n/a</v>
      </c>
      <c r="T919" t="str">
        <f t="shared" si="117"/>
        <v>n/a</v>
      </c>
      <c r="U919" t="str">
        <f t="shared" si="118"/>
        <v>n/a</v>
      </c>
      <c r="V919" t="str">
        <f t="shared" si="119"/>
        <v>n/a</v>
      </c>
    </row>
    <row r="920" spans="1:22" x14ac:dyDescent="0.45">
      <c r="A920" t="str">
        <v>SO-50302</v>
      </c>
      <c r="B920" t="str">
        <v>PL-SUR</v>
      </c>
      <c r="C920" t="str">
        <v>CD-LEO</v>
      </c>
      <c r="D920" t="str">
        <v>LAC-1005</v>
      </c>
      <c r="E920">
        <v>1579</v>
      </c>
      <c r="F920" s="1">
        <v>46176</v>
      </c>
      <c r="G920" t="str">
        <v>In Transit</v>
      </c>
      <c r="H920" t="str">
        <v>OK</v>
      </c>
      <c r="I920">
        <v>8.94</v>
      </c>
      <c r="J920">
        <v>100</v>
      </c>
      <c r="K920">
        <v>17</v>
      </c>
      <c r="L920" t="str">
        <v>OK</v>
      </c>
      <c r="M920">
        <v>1</v>
      </c>
      <c r="O920">
        <f t="shared" si="112"/>
        <v>15.79</v>
      </c>
      <c r="P920">
        <f t="shared" si="113"/>
        <v>58.81774999999999</v>
      </c>
      <c r="Q920">
        <f t="shared" si="114"/>
        <v>47.848484848484844</v>
      </c>
      <c r="R920">
        <f t="shared" si="115"/>
        <v>1</v>
      </c>
      <c r="S920">
        <f t="shared" si="116"/>
        <v>58.81774999999999</v>
      </c>
      <c r="T920" t="str">
        <f t="shared" si="117"/>
        <v>CARGA INEFICIENTE</v>
      </c>
      <c r="U920" t="str">
        <f t="shared" si="118"/>
        <v>OK</v>
      </c>
      <c r="V920" t="str">
        <f t="shared" si="119"/>
        <v>OK</v>
      </c>
    </row>
    <row r="921" spans="1:22" x14ac:dyDescent="0.45">
      <c r="A921" t="str">
        <v>SO-50928</v>
      </c>
      <c r="B921" t="str">
        <v>PL-CEN</v>
      </c>
      <c r="C921" t="str">
        <v>CD-VER</v>
      </c>
      <c r="D921" t="str">
        <v>BEB-1019</v>
      </c>
      <c r="E921">
        <v>971</v>
      </c>
      <c r="F921" s="1">
        <v>46174</v>
      </c>
      <c r="G921" t="str">
        <v>In Transit</v>
      </c>
      <c r="H921" t="str">
        <v>OK</v>
      </c>
      <c r="I921">
        <v>14.35</v>
      </c>
      <c r="J921">
        <v>70</v>
      </c>
      <c r="K921">
        <v>240</v>
      </c>
      <c r="L921" t="str">
        <v>OK</v>
      </c>
      <c r="M921">
        <v>3</v>
      </c>
      <c r="O921">
        <f t="shared" si="112"/>
        <v>13.871428571428572</v>
      </c>
      <c r="P921">
        <f t="shared" si="113"/>
        <v>58.057708333333338</v>
      </c>
      <c r="Q921">
        <f t="shared" si="114"/>
        <v>42.034632034632033</v>
      </c>
      <c r="R921">
        <f t="shared" si="115"/>
        <v>1</v>
      </c>
      <c r="S921">
        <f t="shared" si="116"/>
        <v>58.057708333333338</v>
      </c>
      <c r="T921" t="str">
        <f t="shared" si="117"/>
        <v>CARGA INEFICIENTE</v>
      </c>
      <c r="U921" t="str">
        <f t="shared" si="118"/>
        <v>OK</v>
      </c>
      <c r="V921" t="str">
        <f t="shared" si="119"/>
        <v>OK</v>
      </c>
    </row>
    <row r="922" spans="1:22" x14ac:dyDescent="0.45">
      <c r="A922" t="str">
        <v>SO-50772</v>
      </c>
      <c r="B922" t="str">
        <v>PL-CEN</v>
      </c>
      <c r="C922" t="str">
        <v>CD-VER</v>
      </c>
      <c r="D922" t="str">
        <v>BEB-1013</v>
      </c>
      <c r="E922">
        <v>1174</v>
      </c>
      <c r="F922" s="1">
        <v>46174</v>
      </c>
      <c r="G922" t="str">
        <v>In Transit</v>
      </c>
      <c r="H922" t="str">
        <v>OK</v>
      </c>
      <c r="I922">
        <v>17.28</v>
      </c>
      <c r="J922">
        <v>97</v>
      </c>
      <c r="K922">
        <v>271</v>
      </c>
      <c r="L922" t="str">
        <v>OK</v>
      </c>
      <c r="M922">
        <v>3</v>
      </c>
      <c r="O922">
        <f t="shared" si="112"/>
        <v>12.103092783505154</v>
      </c>
      <c r="P922">
        <f t="shared" si="113"/>
        <v>84.528000000000006</v>
      </c>
      <c r="Q922">
        <f t="shared" si="114"/>
        <v>36.676038737894409</v>
      </c>
      <c r="R922">
        <f t="shared" si="115"/>
        <v>1</v>
      </c>
      <c r="S922">
        <f t="shared" si="116"/>
        <v>84.528000000000006</v>
      </c>
      <c r="T922" t="str">
        <f t="shared" si="117"/>
        <v>OK</v>
      </c>
      <c r="U922" t="str">
        <f t="shared" si="118"/>
        <v>OK</v>
      </c>
      <c r="V922" t="str">
        <f t="shared" si="119"/>
        <v>OK</v>
      </c>
    </row>
    <row r="923" spans="1:22" x14ac:dyDescent="0.45">
      <c r="A923" t="str">
        <v>SO-50908</v>
      </c>
      <c r="B923" t="str">
        <v>PL-SUR</v>
      </c>
      <c r="C923" t="str">
        <v>CD-CAN</v>
      </c>
      <c r="D923" t="str">
        <v>LAC-1000</v>
      </c>
      <c r="E923">
        <v>908</v>
      </c>
      <c r="F923" s="1">
        <v>46175</v>
      </c>
      <c r="G923" t="str">
        <v>In Transit</v>
      </c>
      <c r="H923" t="str">
        <v>OK</v>
      </c>
      <c r="I923">
        <v>8.18</v>
      </c>
      <c r="J923">
        <v>90</v>
      </c>
      <c r="K923">
        <v>29</v>
      </c>
      <c r="L923" t="str">
        <v>OK</v>
      </c>
      <c r="M923">
        <v>2</v>
      </c>
      <c r="O923">
        <f t="shared" si="112"/>
        <v>10.088888888888889</v>
      </c>
      <c r="P923">
        <f t="shared" si="113"/>
        <v>30.947666666666667</v>
      </c>
      <c r="Q923">
        <f t="shared" si="114"/>
        <v>30.572390572390574</v>
      </c>
      <c r="R923">
        <f t="shared" si="115"/>
        <v>1</v>
      </c>
      <c r="S923">
        <f t="shared" si="116"/>
        <v>30.947666666666667</v>
      </c>
      <c r="T923" t="str">
        <f t="shared" si="117"/>
        <v>CARGA INEFICIENTE</v>
      </c>
      <c r="U923" t="str">
        <f t="shared" si="118"/>
        <v>OK</v>
      </c>
      <c r="V923" t="str">
        <f t="shared" si="119"/>
        <v>OK</v>
      </c>
    </row>
    <row r="924" spans="1:22" x14ac:dyDescent="0.45">
      <c r="A924" t="str">
        <v>SO-50688</v>
      </c>
      <c r="B924" t="str">
        <v>PL-SUR</v>
      </c>
      <c r="C924" t="str">
        <v>CD-LEO</v>
      </c>
      <c r="D924" t="str">
        <v>BEB-1014</v>
      </c>
      <c r="E924">
        <v>1720</v>
      </c>
      <c r="F924" s="1">
        <v>46176</v>
      </c>
      <c r="G924" t="str">
        <v>In Transit</v>
      </c>
      <c r="H924" t="str">
        <v>OK</v>
      </c>
      <c r="I924">
        <v>12.41</v>
      </c>
      <c r="J924">
        <v>95</v>
      </c>
      <c r="K924">
        <v>227</v>
      </c>
      <c r="L924" t="str">
        <v>OK</v>
      </c>
      <c r="M924">
        <v>1</v>
      </c>
      <c r="O924">
        <f t="shared" si="112"/>
        <v>18.105263157894736</v>
      </c>
      <c r="P924">
        <f t="shared" si="113"/>
        <v>88.938333333333347</v>
      </c>
      <c r="Q924">
        <f t="shared" si="114"/>
        <v>54.864433811802229</v>
      </c>
      <c r="R924">
        <f t="shared" si="115"/>
        <v>1</v>
      </c>
      <c r="S924">
        <f t="shared" si="116"/>
        <v>88.938333333333347</v>
      </c>
      <c r="T924" t="str">
        <f t="shared" si="117"/>
        <v>OK</v>
      </c>
      <c r="U924" t="str">
        <f t="shared" si="118"/>
        <v>OK</v>
      </c>
      <c r="V924" t="str">
        <f t="shared" si="119"/>
        <v>OK</v>
      </c>
    </row>
    <row r="925" spans="1:22" x14ac:dyDescent="0.45">
      <c r="A925" t="str">
        <v>SO-50744</v>
      </c>
      <c r="B925" t="str">
        <v>PL-NTE</v>
      </c>
      <c r="C925" t="str">
        <v>CD-MTY</v>
      </c>
      <c r="D925" t="str">
        <v>BEB-1006</v>
      </c>
      <c r="E925">
        <v>540</v>
      </c>
      <c r="F925" s="1">
        <v>46176</v>
      </c>
      <c r="G925" t="str">
        <v>In Transit</v>
      </c>
      <c r="H925" t="str">
        <v>OK</v>
      </c>
      <c r="I925">
        <v>17.18</v>
      </c>
      <c r="J925">
        <v>81</v>
      </c>
      <c r="K925">
        <v>293</v>
      </c>
      <c r="L925" t="str">
        <v>OK</v>
      </c>
      <c r="M925">
        <v>1</v>
      </c>
      <c r="O925">
        <f t="shared" si="112"/>
        <v>6.666666666666667</v>
      </c>
      <c r="P925">
        <f t="shared" si="113"/>
        <v>38.655000000000001</v>
      </c>
      <c r="Q925">
        <f t="shared" si="114"/>
        <v>20.202020202020201</v>
      </c>
      <c r="R925">
        <f t="shared" si="115"/>
        <v>1</v>
      </c>
      <c r="S925">
        <f t="shared" si="116"/>
        <v>38.655000000000001</v>
      </c>
      <c r="T925" t="str">
        <f t="shared" si="117"/>
        <v>CARGA INEFICIENTE</v>
      </c>
      <c r="U925" t="str">
        <f t="shared" si="118"/>
        <v>OK</v>
      </c>
      <c r="V925" t="str">
        <f t="shared" si="119"/>
        <v>OK</v>
      </c>
    </row>
    <row r="926" spans="1:22" x14ac:dyDescent="0.45">
      <c r="A926" t="str">
        <v>SO-50171</v>
      </c>
      <c r="B926" t="str">
        <v>PL-SUR</v>
      </c>
      <c r="C926" t="str">
        <v>CD-GDL</v>
      </c>
      <c r="D926" t="str">
        <v>BOT-1002</v>
      </c>
      <c r="E926">
        <v>2492</v>
      </c>
      <c r="F926" s="1">
        <v>46176</v>
      </c>
      <c r="G926" t="str">
        <v>In Transit</v>
      </c>
      <c r="H926" t="str">
        <v>OK</v>
      </c>
      <c r="I926">
        <v>3.02</v>
      </c>
      <c r="J926">
        <v>84</v>
      </c>
      <c r="K926">
        <v>111</v>
      </c>
      <c r="L926" t="str">
        <v>OK</v>
      </c>
      <c r="M926">
        <v>1</v>
      </c>
      <c r="O926">
        <f t="shared" si="112"/>
        <v>29.666666666666668</v>
      </c>
      <c r="P926">
        <f t="shared" si="113"/>
        <v>31.357666666666667</v>
      </c>
      <c r="Q926">
        <f t="shared" si="114"/>
        <v>89.898989898989896</v>
      </c>
      <c r="R926">
        <f t="shared" si="115"/>
        <v>1</v>
      </c>
      <c r="S926">
        <f t="shared" si="116"/>
        <v>89.898989898989896</v>
      </c>
      <c r="T926" t="str">
        <f t="shared" si="117"/>
        <v>OK</v>
      </c>
      <c r="U926" t="str">
        <f t="shared" si="118"/>
        <v>OK</v>
      </c>
      <c r="V926" t="str">
        <f t="shared" si="119"/>
        <v>OK</v>
      </c>
    </row>
    <row r="927" spans="1:22" x14ac:dyDescent="0.45">
      <c r="A927" t="str">
        <v>SO-50088</v>
      </c>
      <c r="B927" t="str">
        <v>PL-SUR</v>
      </c>
      <c r="C927" t="str">
        <v>CD-CAN</v>
      </c>
      <c r="D927" t="str">
        <v>BOT-1011</v>
      </c>
      <c r="E927">
        <v>2587</v>
      </c>
      <c r="F927" s="1">
        <v>46176</v>
      </c>
      <c r="G927" t="str">
        <v>In Transit</v>
      </c>
      <c r="H927" t="str">
        <v>OK</v>
      </c>
      <c r="I927">
        <v>3.43</v>
      </c>
      <c r="J927">
        <v>88</v>
      </c>
      <c r="K927">
        <v>109</v>
      </c>
      <c r="L927" t="str">
        <v>OK</v>
      </c>
      <c r="M927">
        <v>1</v>
      </c>
      <c r="O927">
        <f t="shared" si="112"/>
        <v>29.397727272727273</v>
      </c>
      <c r="P927">
        <f t="shared" si="113"/>
        <v>36.972541666666665</v>
      </c>
      <c r="Q927">
        <f t="shared" si="114"/>
        <v>89.084022038567497</v>
      </c>
      <c r="R927">
        <f t="shared" si="115"/>
        <v>1</v>
      </c>
      <c r="S927">
        <f t="shared" si="116"/>
        <v>89.084022038567497</v>
      </c>
      <c r="T927" t="str">
        <f t="shared" si="117"/>
        <v>OK</v>
      </c>
      <c r="U927" t="str">
        <f t="shared" si="118"/>
        <v>OK</v>
      </c>
      <c r="V927" t="str">
        <f t="shared" si="119"/>
        <v>OK</v>
      </c>
    </row>
    <row r="928" spans="1:22" x14ac:dyDescent="0.45">
      <c r="A928" t="str">
        <v>SO-50384</v>
      </c>
      <c r="B928" t="str">
        <v>PL-SUR</v>
      </c>
      <c r="C928" t="str">
        <v>CD-MER</v>
      </c>
      <c r="D928" t="str">
        <v>BOT-1019</v>
      </c>
      <c r="E928">
        <v>2260</v>
      </c>
      <c r="F928" s="1">
        <v>46176</v>
      </c>
      <c r="G928" t="str">
        <v>In Transit</v>
      </c>
      <c r="H928" t="str">
        <v>OK</v>
      </c>
      <c r="I928">
        <v>3.44</v>
      </c>
      <c r="J928">
        <v>85</v>
      </c>
      <c r="K928">
        <v>102</v>
      </c>
      <c r="L928" t="str">
        <v>OK</v>
      </c>
      <c r="M928">
        <v>1</v>
      </c>
      <c r="O928">
        <f t="shared" si="112"/>
        <v>26.588235294117649</v>
      </c>
      <c r="P928">
        <f t="shared" si="113"/>
        <v>32.393333333333331</v>
      </c>
      <c r="Q928">
        <f t="shared" si="114"/>
        <v>80.570409982174695</v>
      </c>
      <c r="R928">
        <f t="shared" si="115"/>
        <v>1</v>
      </c>
      <c r="S928">
        <f t="shared" si="116"/>
        <v>80.570409982174695</v>
      </c>
      <c r="T928" t="str">
        <f t="shared" si="117"/>
        <v>OK</v>
      </c>
      <c r="U928" t="str">
        <f t="shared" si="118"/>
        <v>OK</v>
      </c>
      <c r="V928" t="str">
        <f t="shared" si="119"/>
        <v>OK</v>
      </c>
    </row>
    <row r="929" spans="1:22" x14ac:dyDescent="0.45">
      <c r="A929" t="str">
        <v>SO-50483</v>
      </c>
      <c r="B929" t="str">
        <v>PL-SUR</v>
      </c>
      <c r="C929" t="str">
        <v>CD-MER</v>
      </c>
      <c r="D929" t="str">
        <v>BEB-1018</v>
      </c>
      <c r="E929">
        <v>1150</v>
      </c>
      <c r="F929" s="1">
        <v>46176</v>
      </c>
      <c r="G929" t="str">
        <v>In Transit</v>
      </c>
      <c r="H929" t="str">
        <v>OK</v>
      </c>
      <c r="I929">
        <v>19.170000000000002</v>
      </c>
      <c r="J929">
        <v>119</v>
      </c>
      <c r="K929">
        <v>196</v>
      </c>
      <c r="L929" t="str">
        <v>OK</v>
      </c>
      <c r="M929">
        <v>1</v>
      </c>
      <c r="O929">
        <f t="shared" si="112"/>
        <v>9.6638655462184868</v>
      </c>
      <c r="P929">
        <f t="shared" si="113"/>
        <v>91.856250000000017</v>
      </c>
      <c r="Q929">
        <f t="shared" si="114"/>
        <v>29.284441049146931</v>
      </c>
      <c r="R929">
        <f t="shared" si="115"/>
        <v>1</v>
      </c>
      <c r="S929">
        <f t="shared" si="116"/>
        <v>91.856250000000017</v>
      </c>
      <c r="T929" t="str">
        <f t="shared" si="117"/>
        <v>OK</v>
      </c>
      <c r="U929" t="str">
        <f t="shared" si="118"/>
        <v>OK</v>
      </c>
      <c r="V929" t="str">
        <f t="shared" si="119"/>
        <v>OK</v>
      </c>
    </row>
    <row r="930" spans="1:22" x14ac:dyDescent="0.45">
      <c r="A930" t="str">
        <v>SO-50567</v>
      </c>
      <c r="B930" t="str">
        <v>PL-CEN</v>
      </c>
      <c r="C930" t="str">
        <v>CD-VER</v>
      </c>
      <c r="D930" t="str">
        <v>PRO-1000</v>
      </c>
      <c r="E930">
        <v>833</v>
      </c>
      <c r="F930" s="1">
        <v>46175</v>
      </c>
      <c r="G930" t="str">
        <v>In Transit</v>
      </c>
      <c r="H930" t="str">
        <v>OK</v>
      </c>
      <c r="I930">
        <v>12.51</v>
      </c>
      <c r="J930">
        <v>73</v>
      </c>
      <c r="K930">
        <v>75</v>
      </c>
      <c r="L930" t="str">
        <v>OK</v>
      </c>
      <c r="M930">
        <v>2</v>
      </c>
      <c r="O930">
        <f t="shared" si="112"/>
        <v>11.41095890410959</v>
      </c>
      <c r="P930">
        <f t="shared" si="113"/>
        <v>43.420124999999999</v>
      </c>
      <c r="Q930">
        <f t="shared" si="114"/>
        <v>34.578663345786637</v>
      </c>
      <c r="R930">
        <f t="shared" si="115"/>
        <v>1</v>
      </c>
      <c r="S930">
        <f t="shared" si="116"/>
        <v>43.420124999999999</v>
      </c>
      <c r="T930" t="str">
        <f t="shared" si="117"/>
        <v>CARGA INEFICIENTE</v>
      </c>
      <c r="U930" t="str">
        <f t="shared" si="118"/>
        <v>OK</v>
      </c>
      <c r="V930" t="str">
        <f t="shared" si="119"/>
        <v>OK</v>
      </c>
    </row>
    <row r="931" spans="1:22" x14ac:dyDescent="0.45">
      <c r="A931" t="str">
        <v>SO-50700</v>
      </c>
      <c r="B931" t="str">
        <v>PL-SUR</v>
      </c>
      <c r="C931" t="str">
        <v>CD-GDL</v>
      </c>
      <c r="D931" t="str">
        <v>BOT-1011</v>
      </c>
      <c r="E931">
        <v>2653</v>
      </c>
      <c r="F931" s="1">
        <v>46176</v>
      </c>
      <c r="G931" t="str">
        <v>In Transit</v>
      </c>
      <c r="H931" t="str">
        <v>OK</v>
      </c>
      <c r="I931">
        <v>3.43</v>
      </c>
      <c r="J931">
        <v>88</v>
      </c>
      <c r="K931">
        <v>109</v>
      </c>
      <c r="L931" t="str">
        <v>OK</v>
      </c>
      <c r="M931">
        <v>1</v>
      </c>
      <c r="O931">
        <f t="shared" si="112"/>
        <v>30.147727272727273</v>
      </c>
      <c r="P931">
        <f t="shared" si="113"/>
        <v>37.915791666666671</v>
      </c>
      <c r="Q931">
        <f t="shared" si="114"/>
        <v>91.356749311294777</v>
      </c>
      <c r="R931">
        <f t="shared" si="115"/>
        <v>1</v>
      </c>
      <c r="S931">
        <f t="shared" si="116"/>
        <v>91.356749311294777</v>
      </c>
      <c r="T931" t="str">
        <f t="shared" si="117"/>
        <v>OK</v>
      </c>
      <c r="U931" t="str">
        <f t="shared" si="118"/>
        <v>OK</v>
      </c>
      <c r="V931" t="str">
        <f t="shared" si="119"/>
        <v>OK</v>
      </c>
    </row>
    <row r="932" spans="1:22" x14ac:dyDescent="0.45">
      <c r="A932" t="str">
        <v>SO-50378</v>
      </c>
      <c r="B932" t="str">
        <v>PL-NTE</v>
      </c>
      <c r="C932" t="str">
        <v>CD-TIJ</v>
      </c>
      <c r="D932" t="str">
        <v>LAC-1011</v>
      </c>
      <c r="E932">
        <v>3094</v>
      </c>
      <c r="F932" s="1">
        <v>46176</v>
      </c>
      <c r="G932" t="str">
        <v>In Transit</v>
      </c>
      <c r="H932" t="str">
        <v>OK</v>
      </c>
      <c r="I932">
        <v>6.1</v>
      </c>
      <c r="J932">
        <v>137</v>
      </c>
      <c r="K932">
        <v>17</v>
      </c>
      <c r="L932" t="str">
        <v>OK</v>
      </c>
      <c r="M932">
        <v>1</v>
      </c>
      <c r="O932">
        <f t="shared" si="112"/>
        <v>22.583941605839417</v>
      </c>
      <c r="P932">
        <f t="shared" si="113"/>
        <v>78.639166666666654</v>
      </c>
      <c r="Q932">
        <f t="shared" si="114"/>
        <v>68.436186684361871</v>
      </c>
      <c r="R932">
        <f t="shared" si="115"/>
        <v>1</v>
      </c>
      <c r="S932">
        <f t="shared" si="116"/>
        <v>78.639166666666654</v>
      </c>
      <c r="T932" t="str">
        <f t="shared" si="117"/>
        <v>OK</v>
      </c>
      <c r="U932" t="str">
        <f t="shared" si="118"/>
        <v>OK</v>
      </c>
      <c r="V932" t="str">
        <f t="shared" si="119"/>
        <v>OK</v>
      </c>
    </row>
    <row r="933" spans="1:22" x14ac:dyDescent="0.45">
      <c r="A933" t="str">
        <v>SO-50910</v>
      </c>
      <c r="B933" t="str">
        <v>PL-SUR</v>
      </c>
      <c r="C933" t="str">
        <v>CD-MER</v>
      </c>
      <c r="D933" t="str">
        <v>BEB-1013</v>
      </c>
      <c r="E933">
        <v>1289</v>
      </c>
      <c r="F933" s="1">
        <v>46174</v>
      </c>
      <c r="G933" t="str">
        <v>In Transit</v>
      </c>
      <c r="H933" t="str">
        <v>OK</v>
      </c>
      <c r="I933">
        <v>17.28</v>
      </c>
      <c r="J933">
        <v>97</v>
      </c>
      <c r="K933">
        <v>271</v>
      </c>
      <c r="L933" t="str">
        <v>OK</v>
      </c>
      <c r="M933">
        <v>3</v>
      </c>
      <c r="O933">
        <f t="shared" si="112"/>
        <v>13.288659793814434</v>
      </c>
      <c r="P933">
        <f t="shared" si="113"/>
        <v>92.808000000000007</v>
      </c>
      <c r="Q933">
        <f t="shared" si="114"/>
        <v>40.26866604186192</v>
      </c>
      <c r="R933">
        <f t="shared" si="115"/>
        <v>1</v>
      </c>
      <c r="S933">
        <f t="shared" si="116"/>
        <v>92.808000000000007</v>
      </c>
      <c r="T933" t="str">
        <f t="shared" si="117"/>
        <v>OK</v>
      </c>
      <c r="U933" t="str">
        <f t="shared" si="118"/>
        <v>OK</v>
      </c>
      <c r="V933" t="str">
        <f t="shared" si="119"/>
        <v>OK</v>
      </c>
    </row>
    <row r="934" spans="1:22" x14ac:dyDescent="0.45">
      <c r="A934" t="str">
        <v>SO-50350</v>
      </c>
      <c r="B934" t="str">
        <v>PL-SUR</v>
      </c>
      <c r="C934" t="str">
        <v>CD-MER</v>
      </c>
      <c r="D934" t="str">
        <v>ABA-1016</v>
      </c>
      <c r="E934">
        <v>1326</v>
      </c>
      <c r="F934" s="1">
        <v>46175</v>
      </c>
      <c r="G934" t="str">
        <v>In Transit</v>
      </c>
      <c r="H934" t="str">
        <v>OK</v>
      </c>
      <c r="I934">
        <v>15.52</v>
      </c>
      <c r="J934">
        <v>121</v>
      </c>
      <c r="K934">
        <v>517</v>
      </c>
      <c r="L934" t="str">
        <v>OK</v>
      </c>
      <c r="M934">
        <v>2</v>
      </c>
      <c r="O934">
        <f t="shared" si="112"/>
        <v>10.958677685950413</v>
      </c>
      <c r="P934">
        <f t="shared" si="113"/>
        <v>85.748000000000005</v>
      </c>
      <c r="Q934">
        <f t="shared" si="114"/>
        <v>33.208114199849739</v>
      </c>
      <c r="R934">
        <f t="shared" si="115"/>
        <v>1</v>
      </c>
      <c r="S934">
        <f t="shared" si="116"/>
        <v>85.748000000000005</v>
      </c>
      <c r="T934" t="str">
        <f t="shared" si="117"/>
        <v>OK</v>
      </c>
      <c r="U934" t="str">
        <f t="shared" si="118"/>
        <v>OK</v>
      </c>
      <c r="V934" t="str">
        <f t="shared" si="119"/>
        <v>OK</v>
      </c>
    </row>
    <row r="935" spans="1:22" x14ac:dyDescent="0.45">
      <c r="A935" t="str">
        <v>SO-50790</v>
      </c>
      <c r="B935" t="str">
        <v>PL-SUR</v>
      </c>
      <c r="C935" t="str">
        <v>CD-MOR</v>
      </c>
      <c r="D935" t="str">
        <v>BOT-1019</v>
      </c>
      <c r="E935">
        <v>1140</v>
      </c>
      <c r="F935" s="1">
        <v>46175</v>
      </c>
      <c r="G935" t="str">
        <v>In Transit</v>
      </c>
      <c r="H935" t="str">
        <v>OK</v>
      </c>
      <c r="I935">
        <v>3.44</v>
      </c>
      <c r="J935">
        <v>85</v>
      </c>
      <c r="K935">
        <v>102</v>
      </c>
      <c r="L935" t="str">
        <v>OK</v>
      </c>
      <c r="M935">
        <v>2</v>
      </c>
      <c r="O935">
        <f t="shared" si="112"/>
        <v>13.411764705882353</v>
      </c>
      <c r="P935">
        <f t="shared" si="113"/>
        <v>16.34</v>
      </c>
      <c r="Q935">
        <f t="shared" si="114"/>
        <v>40.641711229946523</v>
      </c>
      <c r="R935">
        <f t="shared" si="115"/>
        <v>1</v>
      </c>
      <c r="S935">
        <f t="shared" si="116"/>
        <v>40.641711229946523</v>
      </c>
      <c r="T935" t="str">
        <f t="shared" si="117"/>
        <v>CARGA INEFICIENTE</v>
      </c>
      <c r="U935" t="str">
        <f t="shared" si="118"/>
        <v>OK</v>
      </c>
      <c r="V935" t="str">
        <f t="shared" si="119"/>
        <v>OK</v>
      </c>
    </row>
    <row r="936" spans="1:22" x14ac:dyDescent="0.45">
      <c r="A936" t="str">
        <v>SO-50382</v>
      </c>
      <c r="B936" t="str">
        <v>PL-CEN</v>
      </c>
      <c r="C936" t="str">
        <v>CD-PUE</v>
      </c>
      <c r="D936" t="str">
        <v>BOT-1021</v>
      </c>
      <c r="E936">
        <v>1485</v>
      </c>
      <c r="F936" s="1">
        <v>46176</v>
      </c>
      <c r="G936" t="str">
        <v>In Transit</v>
      </c>
      <c r="H936" t="str">
        <v>OK</v>
      </c>
      <c r="I936">
        <v>5.04</v>
      </c>
      <c r="J936">
        <v>47</v>
      </c>
      <c r="K936">
        <v>96</v>
      </c>
      <c r="L936" t="str">
        <v>OK</v>
      </c>
      <c r="M936">
        <v>1</v>
      </c>
      <c r="O936">
        <f t="shared" si="112"/>
        <v>31.595744680851062</v>
      </c>
      <c r="P936">
        <f t="shared" si="113"/>
        <v>31.184999999999995</v>
      </c>
      <c r="Q936">
        <f t="shared" si="114"/>
        <v>95.744680851063819</v>
      </c>
      <c r="R936">
        <f t="shared" si="115"/>
        <v>1</v>
      </c>
      <c r="S936">
        <f t="shared" si="116"/>
        <v>95.744680851063819</v>
      </c>
      <c r="T936" t="str">
        <f t="shared" si="117"/>
        <v>OK</v>
      </c>
      <c r="U936" t="str">
        <f t="shared" si="118"/>
        <v>OK</v>
      </c>
      <c r="V936" t="str">
        <f t="shared" si="119"/>
        <v>OK</v>
      </c>
    </row>
    <row r="937" spans="1:22" x14ac:dyDescent="0.45">
      <c r="A937" t="str">
        <v>SO-50806</v>
      </c>
      <c r="B937" t="str">
        <v>PL-CEN</v>
      </c>
      <c r="C937" t="str">
        <v>CD-CDMX</v>
      </c>
      <c r="D937" t="str">
        <v>LAC-1008</v>
      </c>
      <c r="E937">
        <v>2199</v>
      </c>
      <c r="F937" s="1">
        <v>46176</v>
      </c>
      <c r="G937" t="str">
        <v>In Transit</v>
      </c>
      <c r="H937" t="str">
        <v>OK</v>
      </c>
      <c r="I937">
        <v>9.8000000000000007</v>
      </c>
      <c r="J937">
        <v>83</v>
      </c>
      <c r="K937">
        <v>15</v>
      </c>
      <c r="L937" t="str">
        <v>OK</v>
      </c>
      <c r="M937">
        <v>1</v>
      </c>
      <c r="O937">
        <f t="shared" si="112"/>
        <v>26.493975903614459</v>
      </c>
      <c r="P937">
        <f t="shared" si="113"/>
        <v>89.792500000000004</v>
      </c>
      <c r="Q937">
        <f t="shared" si="114"/>
        <v>80.284775465498356</v>
      </c>
      <c r="R937">
        <f t="shared" si="115"/>
        <v>1</v>
      </c>
      <c r="S937">
        <f t="shared" si="116"/>
        <v>89.792500000000004</v>
      </c>
      <c r="T937" t="str">
        <f t="shared" si="117"/>
        <v>OK</v>
      </c>
      <c r="U937" t="str">
        <f t="shared" si="118"/>
        <v>OK</v>
      </c>
      <c r="V937" t="str">
        <f t="shared" si="119"/>
        <v>OK</v>
      </c>
    </row>
    <row r="938" spans="1:22" x14ac:dyDescent="0.45">
      <c r="A938" t="str">
        <v>SO-50327</v>
      </c>
      <c r="B938" t="str">
        <v>PL-SUR</v>
      </c>
      <c r="C938" t="str">
        <v>CD-GDL</v>
      </c>
      <c r="D938" t="str">
        <v>BEB-1005</v>
      </c>
      <c r="E938">
        <v>1566</v>
      </c>
      <c r="F938" s="1">
        <v>46176</v>
      </c>
      <c r="G938" t="str">
        <v>In Transit</v>
      </c>
      <c r="H938" t="str">
        <v>OK</v>
      </c>
      <c r="I938">
        <v>14.2</v>
      </c>
      <c r="J938">
        <v>95</v>
      </c>
      <c r="K938">
        <v>277</v>
      </c>
      <c r="L938" t="str">
        <v>OK</v>
      </c>
      <c r="M938">
        <v>1</v>
      </c>
      <c r="O938">
        <f t="shared" si="112"/>
        <v>16.484210526315788</v>
      </c>
      <c r="P938">
        <f t="shared" si="113"/>
        <v>92.654999999999987</v>
      </c>
      <c r="Q938">
        <f t="shared" si="114"/>
        <v>49.952153110047846</v>
      </c>
      <c r="R938">
        <f t="shared" si="115"/>
        <v>1</v>
      </c>
      <c r="S938">
        <f t="shared" si="116"/>
        <v>92.654999999999987</v>
      </c>
      <c r="T938" t="str">
        <f t="shared" si="117"/>
        <v>OK</v>
      </c>
      <c r="U938" t="str">
        <f t="shared" si="118"/>
        <v>OK</v>
      </c>
      <c r="V938" t="str">
        <f t="shared" si="119"/>
        <v>OK</v>
      </c>
    </row>
    <row r="939" spans="1:22" x14ac:dyDescent="0.45">
      <c r="A939" t="str">
        <v>SO-50620</v>
      </c>
      <c r="B939" t="str">
        <v>PL-SUR</v>
      </c>
      <c r="C939" t="str">
        <v>CD-LEO</v>
      </c>
      <c r="D939" t="str">
        <v>BEB-1007</v>
      </c>
      <c r="E939">
        <v>1609</v>
      </c>
      <c r="F939" s="1">
        <v>46176</v>
      </c>
      <c r="G939" t="str">
        <v>In Transit</v>
      </c>
      <c r="H939" t="str">
        <v>OK</v>
      </c>
      <c r="I939">
        <v>13.67</v>
      </c>
      <c r="J939">
        <v>78</v>
      </c>
      <c r="K939">
        <v>247</v>
      </c>
      <c r="L939" t="str">
        <v>OK</v>
      </c>
      <c r="M939">
        <v>1</v>
      </c>
      <c r="O939">
        <f t="shared" si="112"/>
        <v>20.628205128205128</v>
      </c>
      <c r="P939">
        <f t="shared" si="113"/>
        <v>91.64595833333334</v>
      </c>
      <c r="Q939">
        <f t="shared" si="114"/>
        <v>62.509712509712514</v>
      </c>
      <c r="R939">
        <f t="shared" si="115"/>
        <v>1</v>
      </c>
      <c r="S939">
        <f t="shared" si="116"/>
        <v>91.64595833333334</v>
      </c>
      <c r="T939" t="str">
        <f t="shared" si="117"/>
        <v>OK</v>
      </c>
      <c r="U939" t="str">
        <f t="shared" si="118"/>
        <v>OK</v>
      </c>
      <c r="V939" t="str">
        <f t="shared" si="119"/>
        <v>OK</v>
      </c>
    </row>
    <row r="940" spans="1:22" x14ac:dyDescent="0.45">
      <c r="A940" t="str">
        <v>SO-50224</v>
      </c>
      <c r="B940" t="str">
        <v>PL-CEN</v>
      </c>
      <c r="C940" t="str">
        <v>CD-TOL</v>
      </c>
      <c r="D940" t="str">
        <v>PRO-1000</v>
      </c>
      <c r="E940">
        <v>1827</v>
      </c>
      <c r="F940" s="1">
        <v>46175</v>
      </c>
      <c r="G940" t="str">
        <v>In Transit</v>
      </c>
      <c r="H940" t="str">
        <v>OK</v>
      </c>
      <c r="I940">
        <v>12.51</v>
      </c>
      <c r="J940">
        <v>73</v>
      </c>
      <c r="K940">
        <v>75</v>
      </c>
      <c r="L940" t="str">
        <v>OK</v>
      </c>
      <c r="M940">
        <v>2</v>
      </c>
      <c r="O940">
        <f t="shared" si="112"/>
        <v>25.027397260273972</v>
      </c>
      <c r="P940">
        <f t="shared" si="113"/>
        <v>95.232375000000005</v>
      </c>
      <c r="Q940">
        <f t="shared" si="114"/>
        <v>75.840597758405977</v>
      </c>
      <c r="R940">
        <f t="shared" si="115"/>
        <v>1</v>
      </c>
      <c r="S940">
        <f t="shared" si="116"/>
        <v>95.232375000000005</v>
      </c>
      <c r="T940" t="str">
        <f t="shared" si="117"/>
        <v>OK</v>
      </c>
      <c r="U940" t="str">
        <f t="shared" si="118"/>
        <v>OK</v>
      </c>
      <c r="V940" t="str">
        <f t="shared" si="119"/>
        <v>OK</v>
      </c>
    </row>
    <row r="941" spans="1:22" x14ac:dyDescent="0.45">
      <c r="A941" t="str">
        <v>SO-50349</v>
      </c>
      <c r="B941" t="str">
        <v>PL-CEN</v>
      </c>
      <c r="C941" t="str">
        <v>CD-VER</v>
      </c>
      <c r="D941" t="str">
        <v>PRO-1004</v>
      </c>
      <c r="E941">
        <v>1498</v>
      </c>
      <c r="F941" s="1">
        <v>46176</v>
      </c>
      <c r="G941" t="str">
        <v>In Transit</v>
      </c>
      <c r="H941" t="str">
        <v>OK</v>
      </c>
      <c r="I941">
        <v>12.77</v>
      </c>
      <c r="J941">
        <v>96</v>
      </c>
      <c r="K941">
        <v>122</v>
      </c>
      <c r="L941" t="str">
        <v>OK</v>
      </c>
      <c r="M941">
        <v>1</v>
      </c>
      <c r="O941">
        <f t="shared" si="112"/>
        <v>15.604166666666666</v>
      </c>
      <c r="P941">
        <f t="shared" si="113"/>
        <v>79.706083333333339</v>
      </c>
      <c r="Q941">
        <f t="shared" si="114"/>
        <v>47.285353535353536</v>
      </c>
      <c r="R941">
        <f t="shared" si="115"/>
        <v>1</v>
      </c>
      <c r="S941">
        <f t="shared" si="116"/>
        <v>79.706083333333339</v>
      </c>
      <c r="T941" t="str">
        <f t="shared" si="117"/>
        <v>OK</v>
      </c>
      <c r="U941" t="str">
        <f t="shared" si="118"/>
        <v>OK</v>
      </c>
      <c r="V941" t="str">
        <f t="shared" si="119"/>
        <v>OK</v>
      </c>
    </row>
    <row r="942" spans="1:22" x14ac:dyDescent="0.45">
      <c r="A942" t="str">
        <v>SO-50891</v>
      </c>
      <c r="B942" t="str">
        <v>PL-NTE</v>
      </c>
      <c r="C942" t="str">
        <v>CD-HER</v>
      </c>
      <c r="D942" t="str">
        <v>ABA-1000</v>
      </c>
      <c r="E942">
        <v>636</v>
      </c>
      <c r="F942" s="1">
        <v>46175</v>
      </c>
      <c r="G942" t="str">
        <v>In Transit</v>
      </c>
      <c r="H942" t="str">
        <v>OK</v>
      </c>
      <c r="I942">
        <v>15.2</v>
      </c>
      <c r="J942">
        <v>135</v>
      </c>
      <c r="K942">
        <v>361</v>
      </c>
      <c r="L942" t="str">
        <v>OK</v>
      </c>
      <c r="M942">
        <v>2</v>
      </c>
      <c r="O942">
        <f t="shared" si="112"/>
        <v>4.7111111111111112</v>
      </c>
      <c r="P942">
        <f t="shared" si="113"/>
        <v>40.279999999999994</v>
      </c>
      <c r="Q942">
        <f t="shared" si="114"/>
        <v>14.276094276094275</v>
      </c>
      <c r="R942">
        <f t="shared" si="115"/>
        <v>1</v>
      </c>
      <c r="S942">
        <f t="shared" si="116"/>
        <v>40.279999999999994</v>
      </c>
      <c r="T942" t="str">
        <f t="shared" si="117"/>
        <v>CARGA INEFICIENTE</v>
      </c>
      <c r="U942" t="str">
        <f t="shared" si="118"/>
        <v>OK</v>
      </c>
      <c r="V942" t="str">
        <f t="shared" si="119"/>
        <v>OK</v>
      </c>
    </row>
    <row r="943" spans="1:22" x14ac:dyDescent="0.45">
      <c r="A943" t="str">
        <v>SO-50589</v>
      </c>
      <c r="B943" t="str">
        <v>PL-SUR</v>
      </c>
      <c r="C943" t="str">
        <v>CD-MER</v>
      </c>
      <c r="D943" t="str">
        <v>LAC-1010</v>
      </c>
      <c r="E943">
        <v>1495</v>
      </c>
      <c r="F943" s="1">
        <v>46174</v>
      </c>
      <c r="G943" t="str">
        <v>Delivered</v>
      </c>
      <c r="H943" t="str">
        <v>OK</v>
      </c>
      <c r="I943">
        <v>6.24</v>
      </c>
      <c r="J943">
        <v>146</v>
      </c>
      <c r="K943">
        <v>24</v>
      </c>
      <c r="L943" t="str">
        <v>OK</v>
      </c>
      <c r="M943">
        <v>3</v>
      </c>
      <c r="O943">
        <f t="shared" si="112"/>
        <v>10.239726027397261</v>
      </c>
      <c r="P943">
        <f t="shared" si="113"/>
        <v>38.870000000000005</v>
      </c>
      <c r="Q943">
        <f t="shared" si="114"/>
        <v>31.029472810294727</v>
      </c>
      <c r="R943">
        <f t="shared" si="115"/>
        <v>1</v>
      </c>
      <c r="S943">
        <f t="shared" si="116"/>
        <v>38.870000000000005</v>
      </c>
      <c r="T943" t="str">
        <f t="shared" si="117"/>
        <v>CARGA INEFICIENTE</v>
      </c>
      <c r="U943" t="str">
        <f t="shared" si="118"/>
        <v>OK</v>
      </c>
      <c r="V943" t="str">
        <f t="shared" si="119"/>
        <v>OK</v>
      </c>
    </row>
    <row r="944" spans="1:22" x14ac:dyDescent="0.45">
      <c r="A944" t="str">
        <v>SO-50471</v>
      </c>
      <c r="B944" t="str">
        <v>PL-NTE</v>
      </c>
      <c r="C944" t="str">
        <v>CD-TIJ</v>
      </c>
      <c r="D944" t="str">
        <v>PRO-1006</v>
      </c>
      <c r="E944">
        <v>1836</v>
      </c>
      <c r="F944" s="1">
        <v>46175</v>
      </c>
      <c r="G944" t="str">
        <v>In Transit</v>
      </c>
      <c r="H944" t="str">
        <v>OK</v>
      </c>
      <c r="I944">
        <v>12.09</v>
      </c>
      <c r="J944">
        <v>80</v>
      </c>
      <c r="K944">
        <v>138</v>
      </c>
      <c r="L944" t="str">
        <v>OK</v>
      </c>
      <c r="M944">
        <v>2</v>
      </c>
      <c r="O944">
        <f t="shared" si="112"/>
        <v>22.95</v>
      </c>
      <c r="P944">
        <f t="shared" si="113"/>
        <v>92.488500000000002</v>
      </c>
      <c r="Q944">
        <f t="shared" si="114"/>
        <v>69.545454545454547</v>
      </c>
      <c r="R944">
        <f t="shared" si="115"/>
        <v>1</v>
      </c>
      <c r="S944">
        <f t="shared" si="116"/>
        <v>92.488500000000002</v>
      </c>
      <c r="T944" t="str">
        <f t="shared" si="117"/>
        <v>OK</v>
      </c>
      <c r="U944" t="str">
        <f t="shared" si="118"/>
        <v>OK</v>
      </c>
      <c r="V944" t="str">
        <f t="shared" si="119"/>
        <v>OK</v>
      </c>
    </row>
    <row r="945" spans="1:22" x14ac:dyDescent="0.45">
      <c r="A945" t="str">
        <v>SO-50208</v>
      </c>
      <c r="B945" t="str">
        <v>PL-SUR</v>
      </c>
      <c r="C945" t="str">
        <v>CD-GDL</v>
      </c>
      <c r="D945" t="str">
        <v>PRO-1011</v>
      </c>
      <c r="E945">
        <v>2533</v>
      </c>
      <c r="F945" s="1">
        <v>46176</v>
      </c>
      <c r="G945" t="str">
        <v>In Transit</v>
      </c>
      <c r="H945" t="str">
        <v>OK</v>
      </c>
      <c r="I945">
        <v>4.3600000000000003</v>
      </c>
      <c r="J945">
        <v>88</v>
      </c>
      <c r="K945">
        <v>108</v>
      </c>
      <c r="L945" t="str">
        <v>OK</v>
      </c>
      <c r="M945">
        <v>1</v>
      </c>
      <c r="O945">
        <f t="shared" si="112"/>
        <v>28.78409090909091</v>
      </c>
      <c r="P945">
        <f t="shared" si="113"/>
        <v>46.01616666666667</v>
      </c>
      <c r="Q945">
        <f t="shared" si="114"/>
        <v>87.224517906336104</v>
      </c>
      <c r="R945">
        <f t="shared" si="115"/>
        <v>1</v>
      </c>
      <c r="S945">
        <f t="shared" si="116"/>
        <v>87.224517906336104</v>
      </c>
      <c r="T945" t="str">
        <f t="shared" si="117"/>
        <v>OK</v>
      </c>
      <c r="U945" t="str">
        <f t="shared" si="118"/>
        <v>OK</v>
      </c>
      <c r="V945" t="str">
        <f t="shared" si="119"/>
        <v>OK</v>
      </c>
    </row>
    <row r="946" spans="1:22" x14ac:dyDescent="0.45">
      <c r="A946" t="str">
        <v>SO-50119</v>
      </c>
      <c r="B946" t="str">
        <v>PL-NTE</v>
      </c>
      <c r="C946" t="str">
        <v>CD-HER</v>
      </c>
      <c r="D946" t="str">
        <v>PRO-1007</v>
      </c>
      <c r="E946">
        <v>1647</v>
      </c>
      <c r="F946" s="1">
        <v>46176</v>
      </c>
      <c r="G946" t="str">
        <v>In Transit</v>
      </c>
      <c r="H946" t="str">
        <v>OK</v>
      </c>
      <c r="I946">
        <v>13.13</v>
      </c>
      <c r="J946">
        <v>82</v>
      </c>
      <c r="K946">
        <v>105</v>
      </c>
      <c r="L946" t="str">
        <v>OK</v>
      </c>
      <c r="M946">
        <v>1</v>
      </c>
      <c r="O946">
        <f t="shared" si="112"/>
        <v>20.085365853658537</v>
      </c>
      <c r="P946">
        <f t="shared" si="113"/>
        <v>90.104624999999999</v>
      </c>
      <c r="Q946">
        <f t="shared" si="114"/>
        <v>60.864745011086477</v>
      </c>
      <c r="R946">
        <f t="shared" si="115"/>
        <v>1</v>
      </c>
      <c r="S946">
        <f t="shared" si="116"/>
        <v>90.104624999999999</v>
      </c>
      <c r="T946" t="str">
        <f t="shared" si="117"/>
        <v>OK</v>
      </c>
      <c r="U946" t="str">
        <f t="shared" si="118"/>
        <v>OK</v>
      </c>
      <c r="V946" t="str">
        <f t="shared" si="119"/>
        <v>OK</v>
      </c>
    </row>
    <row r="947" spans="1:22" x14ac:dyDescent="0.45">
      <c r="A947" t="str">
        <v>SO-51015</v>
      </c>
      <c r="B947" t="str">
        <v>PL-NTE</v>
      </c>
      <c r="C947" t="str">
        <v>CD-SAL</v>
      </c>
      <c r="D947" t="str">
        <v>LAC-1007</v>
      </c>
      <c r="E947">
        <v>1016</v>
      </c>
      <c r="F947" s="1">
        <v>46161</v>
      </c>
      <c r="G947" t="str">
        <v>In Transit</v>
      </c>
      <c r="H947" t="str">
        <v>OK</v>
      </c>
      <c r="I947">
        <v>10.37</v>
      </c>
      <c r="J947">
        <v>100</v>
      </c>
      <c r="K947">
        <v>24</v>
      </c>
      <c r="L947" t="str">
        <v>OK</v>
      </c>
      <c r="M947">
        <v>16</v>
      </c>
      <c r="O947">
        <f t="shared" si="112"/>
        <v>10.16</v>
      </c>
      <c r="P947">
        <f t="shared" si="113"/>
        <v>43.899666666666661</v>
      </c>
      <c r="Q947">
        <f t="shared" si="114"/>
        <v>30.787878787878785</v>
      </c>
      <c r="R947">
        <f t="shared" si="115"/>
        <v>1</v>
      </c>
      <c r="S947">
        <f t="shared" si="116"/>
        <v>43.899666666666661</v>
      </c>
      <c r="T947" t="str">
        <f t="shared" si="117"/>
        <v>CARGA INEFICIENTE</v>
      </c>
      <c r="U947" t="str">
        <f t="shared" si="118"/>
        <v>FEFO RIESGO</v>
      </c>
      <c r="V947" t="str">
        <f t="shared" si="119"/>
        <v>FANTASMA</v>
      </c>
    </row>
    <row r="948" spans="1:22" x14ac:dyDescent="0.45">
      <c r="A948" t="str">
        <v>SO-50949</v>
      </c>
      <c r="B948" t="str">
        <v>PL-NTE</v>
      </c>
      <c r="C948" t="str">
        <v>CD-MTY</v>
      </c>
      <c r="D948" t="str">
        <v>BEB-1007</v>
      </c>
      <c r="E948">
        <v>1614</v>
      </c>
      <c r="F948" s="1">
        <v>46176</v>
      </c>
      <c r="G948" t="str">
        <v>In Transit</v>
      </c>
      <c r="H948" t="str">
        <v>OK</v>
      </c>
      <c r="I948">
        <v>13.67</v>
      </c>
      <c r="J948">
        <v>78</v>
      </c>
      <c r="K948">
        <v>247</v>
      </c>
      <c r="L948" t="str">
        <v>OK</v>
      </c>
      <c r="M948">
        <v>1</v>
      </c>
      <c r="O948">
        <f t="shared" si="112"/>
        <v>20.692307692307693</v>
      </c>
      <c r="P948">
        <f t="shared" si="113"/>
        <v>91.930750000000003</v>
      </c>
      <c r="Q948">
        <f t="shared" si="114"/>
        <v>62.703962703962709</v>
      </c>
      <c r="R948">
        <f t="shared" si="115"/>
        <v>1</v>
      </c>
      <c r="S948">
        <f t="shared" si="116"/>
        <v>91.930750000000003</v>
      </c>
      <c r="T948" t="str">
        <f t="shared" si="117"/>
        <v>OK</v>
      </c>
      <c r="U948" t="str">
        <f t="shared" si="118"/>
        <v>OK</v>
      </c>
      <c r="V948" t="str">
        <f t="shared" si="119"/>
        <v>OK</v>
      </c>
    </row>
    <row r="949" spans="1:22" x14ac:dyDescent="0.45">
      <c r="A949" t="str">
        <v>SO-50009</v>
      </c>
      <c r="B949" t="str">
        <v>PL-CEN</v>
      </c>
      <c r="C949" t="str">
        <v>CD-PUE</v>
      </c>
      <c r="D949" t="str">
        <v>PRO-1001</v>
      </c>
      <c r="E949">
        <v>2370</v>
      </c>
      <c r="F949" s="1">
        <v>46176</v>
      </c>
      <c r="G949" t="str">
        <v>In Transit</v>
      </c>
      <c r="H949" t="str">
        <v>OK</v>
      </c>
      <c r="I949">
        <v>9.57</v>
      </c>
      <c r="J949">
        <v>92</v>
      </c>
      <c r="K949">
        <v>122</v>
      </c>
      <c r="L949" t="str">
        <v>OK</v>
      </c>
      <c r="M949">
        <v>1</v>
      </c>
      <c r="O949">
        <f t="shared" si="112"/>
        <v>25.760869565217391</v>
      </c>
      <c r="P949">
        <f t="shared" si="113"/>
        <v>94.503750000000011</v>
      </c>
      <c r="Q949">
        <f t="shared" si="114"/>
        <v>78.06324110671936</v>
      </c>
      <c r="R949">
        <f t="shared" si="115"/>
        <v>1</v>
      </c>
      <c r="S949">
        <f t="shared" si="116"/>
        <v>94.503750000000011</v>
      </c>
      <c r="T949" t="str">
        <f t="shared" si="117"/>
        <v>OK</v>
      </c>
      <c r="U949" t="str">
        <f t="shared" si="118"/>
        <v>OK</v>
      </c>
      <c r="V949" t="str">
        <f t="shared" si="119"/>
        <v>OK</v>
      </c>
    </row>
    <row r="950" spans="1:22" x14ac:dyDescent="0.45">
      <c r="A950" t="str">
        <v>SO-50039</v>
      </c>
      <c r="B950" t="str">
        <v>PL-NTE</v>
      </c>
      <c r="C950" t="str">
        <v>CD-SAL</v>
      </c>
      <c r="D950" t="str">
        <v>BEB-1007</v>
      </c>
      <c r="E950">
        <v>914</v>
      </c>
      <c r="F950" s="1">
        <v>46175</v>
      </c>
      <c r="G950" t="str">
        <v>In Transit</v>
      </c>
      <c r="H950" t="str">
        <v>OK</v>
      </c>
      <c r="I950">
        <v>13.67</v>
      </c>
      <c r="J950">
        <v>78</v>
      </c>
      <c r="K950">
        <v>247</v>
      </c>
      <c r="L950" t="str">
        <v>OK</v>
      </c>
      <c r="M950">
        <v>2</v>
      </c>
      <c r="O950">
        <f t="shared" si="112"/>
        <v>11.717948717948717</v>
      </c>
      <c r="P950">
        <f t="shared" si="113"/>
        <v>52.059916666666659</v>
      </c>
      <c r="Q950">
        <f t="shared" si="114"/>
        <v>35.508935508935508</v>
      </c>
      <c r="R950">
        <f t="shared" si="115"/>
        <v>1</v>
      </c>
      <c r="S950">
        <f t="shared" si="116"/>
        <v>52.059916666666659</v>
      </c>
      <c r="T950" t="str">
        <f t="shared" si="117"/>
        <v>CARGA INEFICIENTE</v>
      </c>
      <c r="U950" t="str">
        <f t="shared" si="118"/>
        <v>OK</v>
      </c>
      <c r="V950" t="str">
        <f t="shared" si="119"/>
        <v>OK</v>
      </c>
    </row>
    <row r="951" spans="1:22" x14ac:dyDescent="0.45">
      <c r="A951" t="str">
        <v>SO-50253</v>
      </c>
      <c r="B951" t="str">
        <v>PL-SUR</v>
      </c>
      <c r="C951" t="str">
        <v>CD-LEO</v>
      </c>
      <c r="D951" t="str">
        <v>LAC-1013</v>
      </c>
      <c r="E951">
        <v>2461</v>
      </c>
      <c r="F951" s="1">
        <v>46176</v>
      </c>
      <c r="G951" t="str">
        <v>In Transit</v>
      </c>
      <c r="H951" t="str">
        <v>OK</v>
      </c>
      <c r="I951">
        <v>8.32</v>
      </c>
      <c r="J951">
        <v>98</v>
      </c>
      <c r="K951">
        <v>16</v>
      </c>
      <c r="L951" t="str">
        <v>OK</v>
      </c>
      <c r="M951">
        <v>1</v>
      </c>
      <c r="O951">
        <f t="shared" si="112"/>
        <v>25.112244897959183</v>
      </c>
      <c r="P951">
        <f t="shared" si="113"/>
        <v>85.314666666666668</v>
      </c>
      <c r="Q951">
        <f t="shared" si="114"/>
        <v>76.097711811997527</v>
      </c>
      <c r="R951">
        <f t="shared" si="115"/>
        <v>1</v>
      </c>
      <c r="S951">
        <f t="shared" si="116"/>
        <v>85.314666666666668</v>
      </c>
      <c r="T951" t="str">
        <f t="shared" si="117"/>
        <v>OK</v>
      </c>
      <c r="U951" t="str">
        <f t="shared" si="118"/>
        <v>OK</v>
      </c>
      <c r="V951" t="str">
        <f t="shared" si="119"/>
        <v>OK</v>
      </c>
    </row>
    <row r="952" spans="1:22" x14ac:dyDescent="0.45">
      <c r="A952" t="str">
        <v>SO-50785</v>
      </c>
      <c r="B952" t="str">
        <v>PL-CEN</v>
      </c>
      <c r="C952" t="str">
        <v>CD-CDMX</v>
      </c>
      <c r="D952" t="str">
        <v>ABA-1013</v>
      </c>
      <c r="E952">
        <v>415</v>
      </c>
      <c r="F952" s="1">
        <v>46176</v>
      </c>
      <c r="G952" t="str">
        <v>In Transit</v>
      </c>
      <c r="H952" t="str">
        <v>OK</v>
      </c>
      <c r="I952">
        <v>12.02</v>
      </c>
      <c r="J952">
        <v>75</v>
      </c>
      <c r="K952">
        <v>402</v>
      </c>
      <c r="L952" t="str">
        <v>OK</v>
      </c>
      <c r="M952">
        <v>1</v>
      </c>
      <c r="O952">
        <f t="shared" si="112"/>
        <v>5.5333333333333332</v>
      </c>
      <c r="P952">
        <f t="shared" si="113"/>
        <v>20.784583333333334</v>
      </c>
      <c r="Q952">
        <f t="shared" si="114"/>
        <v>16.767676767676768</v>
      </c>
      <c r="R952">
        <f t="shared" si="115"/>
        <v>1</v>
      </c>
      <c r="S952">
        <f t="shared" si="116"/>
        <v>20.784583333333334</v>
      </c>
      <c r="T952" t="str">
        <f t="shared" si="117"/>
        <v>CARGA INEFICIENTE</v>
      </c>
      <c r="U952" t="str">
        <f t="shared" si="118"/>
        <v>OK</v>
      </c>
      <c r="V952" t="str">
        <f t="shared" si="119"/>
        <v>OK</v>
      </c>
    </row>
    <row r="953" spans="1:22" x14ac:dyDescent="0.45">
      <c r="A953" t="str">
        <v>SO-50106</v>
      </c>
      <c r="B953" t="str">
        <v>PL-NTE</v>
      </c>
      <c r="C953" t="str">
        <v>CD-CHI</v>
      </c>
      <c r="D953" t="str">
        <v>LAC-1010</v>
      </c>
      <c r="E953">
        <v>1192</v>
      </c>
      <c r="F953" s="1">
        <v>46176</v>
      </c>
      <c r="G953" t="str">
        <v>In Transit</v>
      </c>
      <c r="H953" t="str">
        <v>OK</v>
      </c>
      <c r="I953">
        <v>6.24</v>
      </c>
      <c r="J953">
        <v>146</v>
      </c>
      <c r="K953">
        <v>24</v>
      </c>
      <c r="L953" t="str">
        <v>OK</v>
      </c>
      <c r="M953">
        <v>1</v>
      </c>
      <c r="O953">
        <f t="shared" si="112"/>
        <v>8.1643835616438363</v>
      </c>
      <c r="P953">
        <f t="shared" si="113"/>
        <v>30.991999999999997</v>
      </c>
      <c r="Q953">
        <f t="shared" si="114"/>
        <v>24.740556247405564</v>
      </c>
      <c r="R953">
        <f t="shared" si="115"/>
        <v>1</v>
      </c>
      <c r="S953">
        <f t="shared" si="116"/>
        <v>30.991999999999997</v>
      </c>
      <c r="T953" t="str">
        <f t="shared" si="117"/>
        <v>CARGA INEFICIENTE</v>
      </c>
      <c r="U953" t="str">
        <f t="shared" si="118"/>
        <v>OK</v>
      </c>
      <c r="V953" t="str">
        <f t="shared" si="119"/>
        <v>OK</v>
      </c>
    </row>
    <row r="954" spans="1:22" x14ac:dyDescent="0.45">
      <c r="A954" t="str">
        <v>SO-50856</v>
      </c>
      <c r="B954" t="str">
        <v>PL-CEN</v>
      </c>
      <c r="C954" t="str">
        <v>CD-PUE</v>
      </c>
      <c r="D954" t="str">
        <v>LAC-1007</v>
      </c>
      <c r="E954">
        <v>1935</v>
      </c>
      <c r="F954" s="1">
        <v>46176</v>
      </c>
      <c r="G954" t="str">
        <v>In Transit</v>
      </c>
      <c r="H954" t="str">
        <v>OK</v>
      </c>
      <c r="I954">
        <v>10.37</v>
      </c>
      <c r="J954">
        <v>100</v>
      </c>
      <c r="K954">
        <v>24</v>
      </c>
      <c r="L954" t="str">
        <v>OK</v>
      </c>
      <c r="M954">
        <v>1</v>
      </c>
      <c r="O954">
        <f t="shared" si="112"/>
        <v>19.350000000000001</v>
      </c>
      <c r="P954">
        <f t="shared" si="113"/>
        <v>83.608124999999987</v>
      </c>
      <c r="Q954">
        <f t="shared" si="114"/>
        <v>58.63636363636364</v>
      </c>
      <c r="R954">
        <f t="shared" si="115"/>
        <v>1</v>
      </c>
      <c r="S954">
        <f t="shared" si="116"/>
        <v>83.608124999999987</v>
      </c>
      <c r="T954" t="str">
        <f t="shared" si="117"/>
        <v>OK</v>
      </c>
      <c r="U954" t="str">
        <f t="shared" si="118"/>
        <v>OK</v>
      </c>
      <c r="V954" t="str">
        <f t="shared" si="119"/>
        <v>OK</v>
      </c>
    </row>
    <row r="955" spans="1:22" x14ac:dyDescent="0.45">
      <c r="A955" t="str">
        <v>SO-50747</v>
      </c>
      <c r="B955" t="str">
        <v>PL-SUR</v>
      </c>
      <c r="C955" t="str">
        <v>CD-LEO</v>
      </c>
      <c r="D955" t="str">
        <v>ABA-1008</v>
      </c>
      <c r="E955">
        <v>2077</v>
      </c>
      <c r="F955" s="1">
        <v>46175</v>
      </c>
      <c r="G955" t="str">
        <v>In Transit</v>
      </c>
      <c r="H955" t="str">
        <v>OK</v>
      </c>
      <c r="I955">
        <v>10.6</v>
      </c>
      <c r="J955">
        <v>96</v>
      </c>
      <c r="K955">
        <v>445</v>
      </c>
      <c r="L955" t="str">
        <v>OK</v>
      </c>
      <c r="M955">
        <v>2</v>
      </c>
      <c r="O955">
        <f t="shared" si="112"/>
        <v>21.635416666666668</v>
      </c>
      <c r="P955">
        <f t="shared" si="113"/>
        <v>91.734166666666667</v>
      </c>
      <c r="Q955">
        <f t="shared" si="114"/>
        <v>65.561868686868678</v>
      </c>
      <c r="R955">
        <f t="shared" si="115"/>
        <v>1</v>
      </c>
      <c r="S955">
        <f t="shared" si="116"/>
        <v>91.734166666666667</v>
      </c>
      <c r="T955" t="str">
        <f t="shared" si="117"/>
        <v>OK</v>
      </c>
      <c r="U955" t="str">
        <f t="shared" si="118"/>
        <v>OK</v>
      </c>
      <c r="V955" t="str">
        <f t="shared" si="119"/>
        <v>OK</v>
      </c>
    </row>
    <row r="956" spans="1:22" x14ac:dyDescent="0.45">
      <c r="A956" t="str">
        <v>SO-50499</v>
      </c>
      <c r="B956" t="str">
        <v>PL-NTE</v>
      </c>
      <c r="C956" t="str">
        <v>CD-MTY</v>
      </c>
      <c r="D956" t="str">
        <v>BEB-1011</v>
      </c>
      <c r="E956">
        <v>371</v>
      </c>
      <c r="F956" s="1">
        <v>46176</v>
      </c>
      <c r="G956" t="str">
        <v>In Transit</v>
      </c>
      <c r="H956" t="str">
        <v>OK</v>
      </c>
      <c r="I956">
        <v>23.39</v>
      </c>
      <c r="J956">
        <v>79</v>
      </c>
      <c r="K956">
        <v>329</v>
      </c>
      <c r="L956" t="str">
        <v>OK</v>
      </c>
      <c r="M956">
        <v>1</v>
      </c>
      <c r="O956">
        <f t="shared" si="112"/>
        <v>4.6962025316455698</v>
      </c>
      <c r="P956">
        <f t="shared" si="113"/>
        <v>36.157041666666665</v>
      </c>
      <c r="Q956">
        <f t="shared" si="114"/>
        <v>14.230916762562332</v>
      </c>
      <c r="R956">
        <f t="shared" si="115"/>
        <v>1</v>
      </c>
      <c r="S956">
        <f t="shared" si="116"/>
        <v>36.157041666666665</v>
      </c>
      <c r="T956" t="str">
        <f t="shared" si="117"/>
        <v>CARGA INEFICIENTE</v>
      </c>
      <c r="U956" t="str">
        <f t="shared" si="118"/>
        <v>OK</v>
      </c>
      <c r="V956" t="str">
        <f t="shared" si="119"/>
        <v>OK</v>
      </c>
    </row>
    <row r="957" spans="1:22" x14ac:dyDescent="0.45">
      <c r="A957" t="str">
        <v>SO-50228</v>
      </c>
      <c r="B957" t="str">
        <v>PL-NTE</v>
      </c>
      <c r="C957" t="str">
        <v>CD-HER</v>
      </c>
      <c r="D957" t="str">
        <v>PRO-1002</v>
      </c>
      <c r="E957">
        <v>2066</v>
      </c>
      <c r="F957" s="1">
        <v>46173</v>
      </c>
      <c r="G957" t="str">
        <v>In Transit</v>
      </c>
      <c r="H957" t="str">
        <v>OK</v>
      </c>
      <c r="I957">
        <v>9.6999999999999993</v>
      </c>
      <c r="J957">
        <v>98</v>
      </c>
      <c r="K957">
        <v>115</v>
      </c>
      <c r="L957" t="str">
        <v>OK</v>
      </c>
      <c r="M957">
        <v>4</v>
      </c>
      <c r="O957">
        <f t="shared" si="112"/>
        <v>21.081632653061224</v>
      </c>
      <c r="P957">
        <f t="shared" si="113"/>
        <v>83.500833333333318</v>
      </c>
      <c r="Q957">
        <f t="shared" si="114"/>
        <v>63.883735312306733</v>
      </c>
      <c r="R957">
        <f t="shared" si="115"/>
        <v>1</v>
      </c>
      <c r="S957">
        <f t="shared" si="116"/>
        <v>83.500833333333318</v>
      </c>
      <c r="T957" t="str">
        <f t="shared" si="117"/>
        <v>OK</v>
      </c>
      <c r="U957" t="str">
        <f t="shared" si="118"/>
        <v>OK</v>
      </c>
      <c r="V957" t="str">
        <f t="shared" si="119"/>
        <v>OK</v>
      </c>
    </row>
    <row r="958" spans="1:22" x14ac:dyDescent="0.45">
      <c r="A958" t="str">
        <v>SO-50724</v>
      </c>
      <c r="B958" t="str">
        <v>PL-SUR</v>
      </c>
      <c r="C958" t="str">
        <v>CD-MOR</v>
      </c>
      <c r="D958" t="str">
        <v>PRO-1009</v>
      </c>
      <c r="E958">
        <v>1831</v>
      </c>
      <c r="F958" s="1">
        <v>46176</v>
      </c>
      <c r="G958" t="str">
        <v>In Transit</v>
      </c>
      <c r="H958" t="str">
        <v>OK</v>
      </c>
      <c r="I958">
        <v>11.96</v>
      </c>
      <c r="J958">
        <v>101</v>
      </c>
      <c r="K958">
        <v>90</v>
      </c>
      <c r="L958" t="str">
        <v>OK</v>
      </c>
      <c r="M958">
        <v>1</v>
      </c>
      <c r="O958">
        <f t="shared" si="112"/>
        <v>18.128712871287128</v>
      </c>
      <c r="P958">
        <f t="shared" si="113"/>
        <v>91.244833333333347</v>
      </c>
      <c r="Q958">
        <f t="shared" si="114"/>
        <v>54.935493549354931</v>
      </c>
      <c r="R958">
        <f t="shared" si="115"/>
        <v>1</v>
      </c>
      <c r="S958">
        <f t="shared" si="116"/>
        <v>91.244833333333347</v>
      </c>
      <c r="T958" t="str">
        <f t="shared" si="117"/>
        <v>OK</v>
      </c>
      <c r="U958" t="str">
        <f t="shared" si="118"/>
        <v>OK</v>
      </c>
      <c r="V958" t="str">
        <f t="shared" si="119"/>
        <v>OK</v>
      </c>
    </row>
    <row r="959" spans="1:22" x14ac:dyDescent="0.45">
      <c r="A959" t="str">
        <v>SO-50166</v>
      </c>
      <c r="B959" t="str">
        <v>PL-NTE</v>
      </c>
      <c r="C959" t="str">
        <v>CD-HER</v>
      </c>
      <c r="D959" t="str">
        <v>BOT-1003</v>
      </c>
      <c r="E959">
        <v>1680</v>
      </c>
      <c r="F959" s="1">
        <v>46175</v>
      </c>
      <c r="G959" t="str">
        <v>In Transit</v>
      </c>
      <c r="H959" t="str">
        <v>OK</v>
      </c>
      <c r="I959">
        <v>5.92</v>
      </c>
      <c r="J959">
        <v>57</v>
      </c>
      <c r="K959">
        <v>92</v>
      </c>
      <c r="L959" t="str">
        <v>OK</v>
      </c>
      <c r="M959">
        <v>2</v>
      </c>
      <c r="O959">
        <f t="shared" si="112"/>
        <v>29.473684210526315</v>
      </c>
      <c r="P959">
        <f t="shared" si="113"/>
        <v>41.44</v>
      </c>
      <c r="Q959">
        <f t="shared" si="114"/>
        <v>89.314194577352467</v>
      </c>
      <c r="R959">
        <f t="shared" si="115"/>
        <v>1</v>
      </c>
      <c r="S959">
        <f t="shared" si="116"/>
        <v>89.314194577352467</v>
      </c>
      <c r="T959" t="str">
        <f t="shared" si="117"/>
        <v>OK</v>
      </c>
      <c r="U959" t="str">
        <f t="shared" si="118"/>
        <v>OK</v>
      </c>
      <c r="V959" t="str">
        <f t="shared" si="119"/>
        <v>OK</v>
      </c>
    </row>
    <row r="960" spans="1:22" x14ac:dyDescent="0.45">
      <c r="A960" t="str">
        <v>SO-50935</v>
      </c>
      <c r="B960" t="str">
        <v>PL-CEN</v>
      </c>
      <c r="C960" t="str">
        <v>CD-VER</v>
      </c>
      <c r="D960" t="str">
        <v>LAC-1011</v>
      </c>
      <c r="E960">
        <v>1804</v>
      </c>
      <c r="F960" s="1">
        <v>46176</v>
      </c>
      <c r="G960" t="str">
        <v>In Transit</v>
      </c>
      <c r="H960" t="str">
        <v>OK</v>
      </c>
      <c r="I960">
        <v>6.1</v>
      </c>
      <c r="J960">
        <v>137</v>
      </c>
      <c r="K960">
        <v>17</v>
      </c>
      <c r="L960" t="str">
        <v>OK</v>
      </c>
      <c r="M960">
        <v>1</v>
      </c>
      <c r="O960">
        <f t="shared" si="112"/>
        <v>13.167883211678832</v>
      </c>
      <c r="P960">
        <f t="shared" si="113"/>
        <v>45.851666666666659</v>
      </c>
      <c r="Q960">
        <f t="shared" si="114"/>
        <v>39.902676399026767</v>
      </c>
      <c r="R960">
        <f t="shared" si="115"/>
        <v>1</v>
      </c>
      <c r="S960">
        <f t="shared" si="116"/>
        <v>45.851666666666659</v>
      </c>
      <c r="T960" t="str">
        <f t="shared" si="117"/>
        <v>CARGA INEFICIENTE</v>
      </c>
      <c r="U960" t="str">
        <f t="shared" si="118"/>
        <v>OK</v>
      </c>
      <c r="V960" t="str">
        <f t="shared" si="119"/>
        <v>OK</v>
      </c>
    </row>
    <row r="961" spans="1:22" x14ac:dyDescent="0.45">
      <c r="A961" t="str">
        <v>SO-51049</v>
      </c>
      <c r="B961" t="str">
        <v>PL-NTE</v>
      </c>
      <c r="C961" t="str">
        <v>CD-CHI</v>
      </c>
      <c r="D961" t="str">
        <v>BOT-1015</v>
      </c>
      <c r="E961">
        <v>944</v>
      </c>
      <c r="F961" s="1">
        <v>46175</v>
      </c>
      <c r="G961" t="str">
        <v>In Transit</v>
      </c>
      <c r="H961" t="str">
        <v>OK</v>
      </c>
      <c r="I961">
        <v>3.64</v>
      </c>
      <c r="J961">
        <v>62</v>
      </c>
      <c r="K961">
        <v>114</v>
      </c>
      <c r="L961" t="str">
        <v>OK</v>
      </c>
      <c r="M961">
        <v>2</v>
      </c>
      <c r="O961">
        <f t="shared" si="112"/>
        <v>15.225806451612904</v>
      </c>
      <c r="P961">
        <f t="shared" si="113"/>
        <v>14.317333333333334</v>
      </c>
      <c r="Q961">
        <f t="shared" si="114"/>
        <v>46.138807429130011</v>
      </c>
      <c r="R961">
        <f t="shared" si="115"/>
        <v>1</v>
      </c>
      <c r="S961">
        <f t="shared" si="116"/>
        <v>46.138807429130011</v>
      </c>
      <c r="T961" t="str">
        <f t="shared" si="117"/>
        <v>CARGA INEFICIENTE</v>
      </c>
      <c r="U961" t="str">
        <f t="shared" si="118"/>
        <v>OK</v>
      </c>
      <c r="V961" t="str">
        <f t="shared" si="119"/>
        <v>OK</v>
      </c>
    </row>
    <row r="962" spans="1:22" x14ac:dyDescent="0.45">
      <c r="A962" t="str">
        <v>SO-50142</v>
      </c>
      <c r="B962" t="str">
        <v>PL-NTE</v>
      </c>
      <c r="C962" t="str">
        <v>CD-TIJ</v>
      </c>
      <c r="D962" t="str">
        <v>LAC-1000</v>
      </c>
      <c r="E962">
        <v>1342</v>
      </c>
      <c r="F962" s="1">
        <v>46176</v>
      </c>
      <c r="G962" t="str">
        <v>In Transit</v>
      </c>
      <c r="H962" t="str">
        <v>OK</v>
      </c>
      <c r="I962">
        <v>8.18</v>
      </c>
      <c r="J962">
        <v>90</v>
      </c>
      <c r="K962">
        <v>29</v>
      </c>
      <c r="L962" t="str">
        <v>OK</v>
      </c>
      <c r="M962">
        <v>1</v>
      </c>
      <c r="O962">
        <f t="shared" si="112"/>
        <v>14.911111111111111</v>
      </c>
      <c r="P962">
        <f t="shared" si="113"/>
        <v>45.73983333333333</v>
      </c>
      <c r="Q962">
        <f t="shared" si="114"/>
        <v>45.185185185185183</v>
      </c>
      <c r="R962">
        <f t="shared" si="115"/>
        <v>1</v>
      </c>
      <c r="S962">
        <f t="shared" si="116"/>
        <v>45.73983333333333</v>
      </c>
      <c r="T962" t="str">
        <f t="shared" si="117"/>
        <v>CARGA INEFICIENTE</v>
      </c>
      <c r="U962" t="str">
        <f t="shared" si="118"/>
        <v>OK</v>
      </c>
      <c r="V962" t="str">
        <f t="shared" si="119"/>
        <v>OK</v>
      </c>
    </row>
    <row r="963" spans="1:22" x14ac:dyDescent="0.45">
      <c r="A963" t="str">
        <v>SO-50727</v>
      </c>
      <c r="B963" t="str">
        <v>PL-SUR</v>
      </c>
      <c r="C963" t="str">
        <v>CD-MER</v>
      </c>
      <c r="D963" t="str">
        <v>LAC-1016</v>
      </c>
      <c r="E963">
        <v>491</v>
      </c>
      <c r="F963" s="1">
        <v>46173</v>
      </c>
      <c r="G963" t="str">
        <v>In Transit</v>
      </c>
      <c r="H963" t="str">
        <v>OK</v>
      </c>
      <c r="I963">
        <v>10.9</v>
      </c>
      <c r="J963">
        <v>131</v>
      </c>
      <c r="K963">
        <v>22</v>
      </c>
      <c r="L963" t="str">
        <v>OK</v>
      </c>
      <c r="M963">
        <v>4</v>
      </c>
      <c r="O963">
        <f t="shared" ref="O963:O1026" si="120">IF(L963="HUERFANO","n/a",IF(ISNUMBER(J963),E963/J963,"n/a"))</f>
        <v>3.7480916030534353</v>
      </c>
      <c r="P963">
        <f t="shared" ref="P963:P1026" si="121">IF(L963="HUERFANO","n/a",IFERROR(E963*I963/24000*100,""))</f>
        <v>22.299583333333338</v>
      </c>
      <c r="Q963">
        <f t="shared" ref="Q963:Q1026" si="122">IF(L963="HUERFANO","n/a",IFERROR(O963/33*100,""))</f>
        <v>11.357853342586168</v>
      </c>
      <c r="R963">
        <f t="shared" ref="R963:R1026" si="123">IF(L963="HUERFANO","n/a",IFERROR(MAX(CEILING(P963/100,1),CEILING(Q963/100,1)),""))</f>
        <v>1</v>
      </c>
      <c r="S963">
        <f t="shared" ref="S963:S1026" si="124">IF(L963="HUERFANO","n/a",IFERROR(MAX(P963,Q963)/(R963*100)*100,""))</f>
        <v>22.299583333333338</v>
      </c>
      <c r="T963" t="str">
        <f t="shared" ref="T963:T1026" si="125">IF(L963="HUERFANO","n/a",IF(S963&lt;75,"CARGA INEFICIENTE","OK"))</f>
        <v>CARGA INEFICIENTE</v>
      </c>
      <c r="U963" t="str">
        <f t="shared" ref="U963:U1026" si="126">IF(L963="HUERFANO","n/a",IF(AND(LEFT(D963,3)="LAC",(K963-M963)/K963*100&lt;70),"FEFO RIESGO","OK"))</f>
        <v>OK</v>
      </c>
      <c r="V963" t="str">
        <f t="shared" ref="V963:V1026" si="127">IF(L963="HUERFANO","n/a",IF(AND(G963="In Transit",M963&gt;5),"FANTASMA","OK"))</f>
        <v>OK</v>
      </c>
    </row>
    <row r="964" spans="1:22" x14ac:dyDescent="0.45">
      <c r="A964" t="str">
        <v>SO-50282</v>
      </c>
      <c r="B964" t="str">
        <v>PL-CEN</v>
      </c>
      <c r="C964" t="str">
        <v>CD-QRO</v>
      </c>
      <c r="D964" t="str">
        <v>LAC-1007</v>
      </c>
      <c r="E964">
        <v>1173</v>
      </c>
      <c r="F964" s="1">
        <v>46175</v>
      </c>
      <c r="G964" t="str">
        <v>In Transit</v>
      </c>
      <c r="H964" t="str">
        <v>OK</v>
      </c>
      <c r="I964">
        <v>10.37</v>
      </c>
      <c r="J964">
        <v>100</v>
      </c>
      <c r="K964">
        <v>24</v>
      </c>
      <c r="L964" t="str">
        <v>OK</v>
      </c>
      <c r="M964">
        <v>2</v>
      </c>
      <c r="O964">
        <f t="shared" si="120"/>
        <v>11.73</v>
      </c>
      <c r="P964">
        <f t="shared" si="121"/>
        <v>50.683374999999998</v>
      </c>
      <c r="Q964">
        <f t="shared" si="122"/>
        <v>35.545454545454547</v>
      </c>
      <c r="R964">
        <f t="shared" si="123"/>
        <v>1</v>
      </c>
      <c r="S964">
        <f t="shared" si="124"/>
        <v>50.683374999999998</v>
      </c>
      <c r="T964" t="str">
        <f t="shared" si="125"/>
        <v>CARGA INEFICIENTE</v>
      </c>
      <c r="U964" t="str">
        <f t="shared" si="126"/>
        <v>OK</v>
      </c>
      <c r="V964" t="str">
        <f t="shared" si="127"/>
        <v>OK</v>
      </c>
    </row>
    <row r="965" spans="1:22" x14ac:dyDescent="0.45">
      <c r="A965" t="str">
        <v>SO-50007</v>
      </c>
      <c r="B965" t="str">
        <v>PL-SUR</v>
      </c>
      <c r="C965" t="str">
        <v>CD-MOR</v>
      </c>
      <c r="D965" t="str">
        <v>BOT-1003</v>
      </c>
      <c r="E965">
        <v>1523</v>
      </c>
      <c r="F965" s="1">
        <v>46175</v>
      </c>
      <c r="G965" t="str">
        <v>In Transit</v>
      </c>
      <c r="H965" t="str">
        <v>OK</v>
      </c>
      <c r="I965">
        <v>5.92</v>
      </c>
      <c r="J965">
        <v>57</v>
      </c>
      <c r="K965">
        <v>92</v>
      </c>
      <c r="L965" t="str">
        <v>OK</v>
      </c>
      <c r="M965">
        <v>2</v>
      </c>
      <c r="O965">
        <f t="shared" si="120"/>
        <v>26.719298245614034</v>
      </c>
      <c r="P965">
        <f t="shared" si="121"/>
        <v>37.56733333333333</v>
      </c>
      <c r="Q965">
        <f t="shared" si="122"/>
        <v>80.967570441254651</v>
      </c>
      <c r="R965">
        <f t="shared" si="123"/>
        <v>1</v>
      </c>
      <c r="S965">
        <f t="shared" si="124"/>
        <v>80.967570441254651</v>
      </c>
      <c r="T965" t="str">
        <f t="shared" si="125"/>
        <v>OK</v>
      </c>
      <c r="U965" t="str">
        <f t="shared" si="126"/>
        <v>OK</v>
      </c>
      <c r="V965" t="str">
        <f t="shared" si="127"/>
        <v>OK</v>
      </c>
    </row>
    <row r="966" spans="1:22" x14ac:dyDescent="0.45">
      <c r="A966" t="str">
        <v>SO-50510</v>
      </c>
      <c r="B966" t="str">
        <v>PL-NTE</v>
      </c>
      <c r="C966" t="str">
        <v>CD-CHI</v>
      </c>
      <c r="D966" t="str">
        <v>ABA-1010</v>
      </c>
      <c r="E966">
        <v>2289</v>
      </c>
      <c r="F966" s="1">
        <v>46175</v>
      </c>
      <c r="G966" t="str">
        <v>In Transit</v>
      </c>
      <c r="H966" t="str">
        <v>OK</v>
      </c>
      <c r="I966">
        <v>8.75</v>
      </c>
      <c r="J966">
        <v>123</v>
      </c>
      <c r="K966">
        <v>341</v>
      </c>
      <c r="L966" t="str">
        <v>OK</v>
      </c>
      <c r="M966">
        <v>2</v>
      </c>
      <c r="O966">
        <f t="shared" si="120"/>
        <v>18.609756097560975</v>
      </c>
      <c r="P966">
        <f t="shared" si="121"/>
        <v>83.453125</v>
      </c>
      <c r="Q966">
        <f t="shared" si="122"/>
        <v>56.393200295639325</v>
      </c>
      <c r="R966">
        <f t="shared" si="123"/>
        <v>1</v>
      </c>
      <c r="S966">
        <f t="shared" si="124"/>
        <v>83.453125</v>
      </c>
      <c r="T966" t="str">
        <f t="shared" si="125"/>
        <v>OK</v>
      </c>
      <c r="U966" t="str">
        <f t="shared" si="126"/>
        <v>OK</v>
      </c>
      <c r="V966" t="str">
        <f t="shared" si="127"/>
        <v>OK</v>
      </c>
    </row>
    <row r="967" spans="1:22" x14ac:dyDescent="0.45">
      <c r="A967" t="str">
        <v>SO-50331</v>
      </c>
      <c r="B967" t="str">
        <v>PL-CEN</v>
      </c>
      <c r="C967" t="str">
        <v>CD-VER</v>
      </c>
      <c r="D967" t="str">
        <v>BEB-1019</v>
      </c>
      <c r="E967">
        <v>664</v>
      </c>
      <c r="F967" s="1">
        <v>46174</v>
      </c>
      <c r="G967" t="str">
        <v>In Transit</v>
      </c>
      <c r="H967" t="str">
        <v>OK</v>
      </c>
      <c r="I967">
        <v>14.35</v>
      </c>
      <c r="J967">
        <v>70</v>
      </c>
      <c r="K967">
        <v>240</v>
      </c>
      <c r="L967" t="str">
        <v>OK</v>
      </c>
      <c r="M967">
        <v>3</v>
      </c>
      <c r="O967">
        <f t="shared" si="120"/>
        <v>9.4857142857142858</v>
      </c>
      <c r="P967">
        <f t="shared" si="121"/>
        <v>39.701666666666661</v>
      </c>
      <c r="Q967">
        <f t="shared" si="122"/>
        <v>28.744588744588746</v>
      </c>
      <c r="R967">
        <f t="shared" si="123"/>
        <v>1</v>
      </c>
      <c r="S967">
        <f t="shared" si="124"/>
        <v>39.701666666666661</v>
      </c>
      <c r="T967" t="str">
        <f t="shared" si="125"/>
        <v>CARGA INEFICIENTE</v>
      </c>
      <c r="U967" t="str">
        <f t="shared" si="126"/>
        <v>OK</v>
      </c>
      <c r="V967" t="str">
        <f t="shared" si="127"/>
        <v>OK</v>
      </c>
    </row>
    <row r="968" spans="1:22" x14ac:dyDescent="0.45">
      <c r="A968" t="str">
        <v>SO-50963</v>
      </c>
      <c r="B968" t="str">
        <v>PL-CEN</v>
      </c>
      <c r="C968" t="str">
        <v>CD-QRO</v>
      </c>
      <c r="D968" t="str">
        <v>BEB-1013</v>
      </c>
      <c r="E968">
        <v>1320</v>
      </c>
      <c r="F968" s="1">
        <v>46176</v>
      </c>
      <c r="G968" t="str">
        <v>In Transit</v>
      </c>
      <c r="H968" t="str">
        <v>OK</v>
      </c>
      <c r="I968">
        <v>17.28</v>
      </c>
      <c r="J968">
        <v>97</v>
      </c>
      <c r="K968">
        <v>271</v>
      </c>
      <c r="L968" t="str">
        <v>OK</v>
      </c>
      <c r="M968">
        <v>1</v>
      </c>
      <c r="O968">
        <f t="shared" si="120"/>
        <v>13.608247422680412</v>
      </c>
      <c r="P968">
        <f t="shared" si="121"/>
        <v>95.04000000000002</v>
      </c>
      <c r="Q968">
        <f t="shared" si="122"/>
        <v>41.237113402061851</v>
      </c>
      <c r="R968">
        <f t="shared" si="123"/>
        <v>1</v>
      </c>
      <c r="S968">
        <f t="shared" si="124"/>
        <v>95.04000000000002</v>
      </c>
      <c r="T968" t="str">
        <f t="shared" si="125"/>
        <v>OK</v>
      </c>
      <c r="U968" t="str">
        <f t="shared" si="126"/>
        <v>OK</v>
      </c>
      <c r="V968" t="str">
        <f t="shared" si="127"/>
        <v>OK</v>
      </c>
    </row>
    <row r="969" spans="1:22" x14ac:dyDescent="0.45">
      <c r="A969" t="str">
        <v>SO-51078</v>
      </c>
      <c r="B969" t="str">
        <v>PL-SUR</v>
      </c>
      <c r="C969" t="str">
        <v>CD-GDL</v>
      </c>
      <c r="D969" t="str">
        <v>BOT-1001</v>
      </c>
      <c r="E969">
        <v>929</v>
      </c>
      <c r="F969" s="1">
        <v>46174</v>
      </c>
      <c r="G969" t="str">
        <v>In Transit</v>
      </c>
      <c r="H969" t="str">
        <v>OK</v>
      </c>
      <c r="I969">
        <v>6.95</v>
      </c>
      <c r="J969">
        <v>66</v>
      </c>
      <c r="K969">
        <v>95</v>
      </c>
      <c r="L969" t="str">
        <v>OK</v>
      </c>
      <c r="M969">
        <v>3</v>
      </c>
      <c r="O969">
        <f t="shared" si="120"/>
        <v>14.075757575757576</v>
      </c>
      <c r="P969">
        <f t="shared" si="121"/>
        <v>26.902291666666667</v>
      </c>
      <c r="Q969">
        <f t="shared" si="122"/>
        <v>42.653810835629017</v>
      </c>
      <c r="R969">
        <f t="shared" si="123"/>
        <v>1</v>
      </c>
      <c r="S969">
        <f t="shared" si="124"/>
        <v>42.653810835629017</v>
      </c>
      <c r="T969" t="str">
        <f t="shared" si="125"/>
        <v>CARGA INEFICIENTE</v>
      </c>
      <c r="U969" t="str">
        <f t="shared" si="126"/>
        <v>OK</v>
      </c>
      <c r="V969" t="str">
        <f t="shared" si="127"/>
        <v>OK</v>
      </c>
    </row>
    <row r="970" spans="1:22" x14ac:dyDescent="0.45">
      <c r="A970" t="str">
        <v>SO-50800</v>
      </c>
      <c r="B970" t="str">
        <v>PL-CEN</v>
      </c>
      <c r="C970" t="str">
        <v>CD-PUE</v>
      </c>
      <c r="D970" t="str">
        <v>LAC-1011</v>
      </c>
      <c r="E970">
        <v>3116</v>
      </c>
      <c r="F970" s="1">
        <v>46176</v>
      </c>
      <c r="G970" t="str">
        <v>In Transit</v>
      </c>
      <c r="H970" t="str">
        <v>OK</v>
      </c>
      <c r="I970">
        <v>6.1</v>
      </c>
      <c r="J970">
        <v>137</v>
      </c>
      <c r="K970">
        <v>17</v>
      </c>
      <c r="L970" t="str">
        <v>OK</v>
      </c>
      <c r="M970">
        <v>1</v>
      </c>
      <c r="O970">
        <f t="shared" si="120"/>
        <v>22.744525547445257</v>
      </c>
      <c r="P970">
        <f t="shared" si="121"/>
        <v>79.198333333333323</v>
      </c>
      <c r="Q970">
        <f t="shared" si="122"/>
        <v>68.922804689228045</v>
      </c>
      <c r="R970">
        <f t="shared" si="123"/>
        <v>1</v>
      </c>
      <c r="S970">
        <f t="shared" si="124"/>
        <v>79.198333333333323</v>
      </c>
      <c r="T970" t="str">
        <f t="shared" si="125"/>
        <v>OK</v>
      </c>
      <c r="U970" t="str">
        <f t="shared" si="126"/>
        <v>OK</v>
      </c>
      <c r="V970" t="str">
        <f t="shared" si="127"/>
        <v>OK</v>
      </c>
    </row>
    <row r="971" spans="1:22" x14ac:dyDescent="0.45">
      <c r="A971" t="str">
        <v>SO-50506</v>
      </c>
      <c r="B971" t="str">
        <v>PL-SUR</v>
      </c>
      <c r="C971" t="str">
        <v>CD-LEO</v>
      </c>
      <c r="D971" t="str">
        <v>PRO-1012</v>
      </c>
      <c r="E971">
        <v>2716</v>
      </c>
      <c r="F971" s="1">
        <v>46175</v>
      </c>
      <c r="G971" t="str">
        <v>In Transit</v>
      </c>
      <c r="H971" t="str">
        <v>OK</v>
      </c>
      <c r="I971">
        <v>6.87</v>
      </c>
      <c r="J971">
        <v>101</v>
      </c>
      <c r="K971">
        <v>62</v>
      </c>
      <c r="L971" t="str">
        <v>OK</v>
      </c>
      <c r="M971">
        <v>2</v>
      </c>
      <c r="O971">
        <f t="shared" si="120"/>
        <v>26.89108910891089</v>
      </c>
      <c r="P971">
        <f t="shared" si="121"/>
        <v>77.745500000000007</v>
      </c>
      <c r="Q971">
        <f t="shared" si="122"/>
        <v>81.488148814881484</v>
      </c>
      <c r="R971">
        <f t="shared" si="123"/>
        <v>1</v>
      </c>
      <c r="S971">
        <f t="shared" si="124"/>
        <v>81.488148814881484</v>
      </c>
      <c r="T971" t="str">
        <f t="shared" si="125"/>
        <v>OK</v>
      </c>
      <c r="U971" t="str">
        <f t="shared" si="126"/>
        <v>OK</v>
      </c>
      <c r="V971" t="str">
        <f t="shared" si="127"/>
        <v>OK</v>
      </c>
    </row>
    <row r="972" spans="1:22" x14ac:dyDescent="0.45">
      <c r="A972" t="str">
        <v>SO-50502</v>
      </c>
      <c r="B972" t="str">
        <v>PL-CEN</v>
      </c>
      <c r="C972" t="str">
        <v>CD-VER</v>
      </c>
      <c r="D972" t="str">
        <v>BEB-1002</v>
      </c>
      <c r="E972">
        <v>1010</v>
      </c>
      <c r="F972" s="1">
        <v>46174</v>
      </c>
      <c r="G972" t="str">
        <v>In Transit</v>
      </c>
      <c r="H972" t="str">
        <v>OK</v>
      </c>
      <c r="I972">
        <v>0</v>
      </c>
      <c r="J972">
        <v>69</v>
      </c>
      <c r="K972">
        <v>291</v>
      </c>
      <c r="L972" t="str">
        <v>OK</v>
      </c>
      <c r="M972">
        <v>3</v>
      </c>
      <c r="O972">
        <f t="shared" si="120"/>
        <v>14.637681159420289</v>
      </c>
      <c r="P972">
        <f t="shared" si="121"/>
        <v>0</v>
      </c>
      <c r="Q972">
        <f t="shared" si="122"/>
        <v>44.356609574000878</v>
      </c>
      <c r="R972">
        <f t="shared" si="123"/>
        <v>1</v>
      </c>
      <c r="S972">
        <f t="shared" si="124"/>
        <v>44.356609574000878</v>
      </c>
      <c r="T972" t="str">
        <f t="shared" si="125"/>
        <v>CARGA INEFICIENTE</v>
      </c>
      <c r="U972" t="str">
        <f t="shared" si="126"/>
        <v>OK</v>
      </c>
      <c r="V972" t="str">
        <f t="shared" si="127"/>
        <v>OK</v>
      </c>
    </row>
    <row r="973" spans="1:22" x14ac:dyDescent="0.45">
      <c r="A973" t="str">
        <v>SO-50939</v>
      </c>
      <c r="B973" t="str">
        <v>PL-SUR</v>
      </c>
      <c r="C973" t="str">
        <v>CD-MER</v>
      </c>
      <c r="D973" t="str">
        <v>ABA-1016</v>
      </c>
      <c r="E973">
        <v>1375</v>
      </c>
      <c r="F973" s="1">
        <v>46176</v>
      </c>
      <c r="G973" t="str">
        <v>In Transit</v>
      </c>
      <c r="H973" t="str">
        <v>OK</v>
      </c>
      <c r="I973">
        <v>15.52</v>
      </c>
      <c r="J973">
        <v>121</v>
      </c>
      <c r="K973">
        <v>517</v>
      </c>
      <c r="L973" t="str">
        <v>OK</v>
      </c>
      <c r="M973">
        <v>1</v>
      </c>
      <c r="O973">
        <f t="shared" si="120"/>
        <v>11.363636363636363</v>
      </c>
      <c r="P973">
        <f t="shared" si="121"/>
        <v>88.916666666666671</v>
      </c>
      <c r="Q973">
        <f t="shared" si="122"/>
        <v>34.435261707988978</v>
      </c>
      <c r="R973">
        <f t="shared" si="123"/>
        <v>1</v>
      </c>
      <c r="S973">
        <f t="shared" si="124"/>
        <v>88.916666666666671</v>
      </c>
      <c r="T973" t="str">
        <f t="shared" si="125"/>
        <v>OK</v>
      </c>
      <c r="U973" t="str">
        <f t="shared" si="126"/>
        <v>OK</v>
      </c>
      <c r="V973" t="str">
        <f t="shared" si="127"/>
        <v>OK</v>
      </c>
    </row>
    <row r="974" spans="1:22" x14ac:dyDescent="0.45">
      <c r="A974" t="str">
        <v>SO-50493</v>
      </c>
      <c r="B974" t="str">
        <v>PL-CEN</v>
      </c>
      <c r="C974" t="str">
        <v>CD-TOL</v>
      </c>
      <c r="D974" t="str">
        <v>ABA-1005</v>
      </c>
      <c r="E974">
        <v>1689</v>
      </c>
      <c r="F974" s="1">
        <v>46176</v>
      </c>
      <c r="G974" t="str">
        <v>In Transit</v>
      </c>
      <c r="H974" t="str">
        <v>OK</v>
      </c>
      <c r="I974">
        <v>13.31</v>
      </c>
      <c r="J974">
        <v>89</v>
      </c>
      <c r="K974">
        <v>313</v>
      </c>
      <c r="L974" t="str">
        <v>OK</v>
      </c>
      <c r="M974">
        <v>1</v>
      </c>
      <c r="O974">
        <f t="shared" si="120"/>
        <v>18.977528089887642</v>
      </c>
      <c r="P974">
        <f t="shared" si="121"/>
        <v>93.669124999999994</v>
      </c>
      <c r="Q974">
        <f t="shared" si="122"/>
        <v>57.507660878447396</v>
      </c>
      <c r="R974">
        <f t="shared" si="123"/>
        <v>1</v>
      </c>
      <c r="S974">
        <f t="shared" si="124"/>
        <v>93.669124999999994</v>
      </c>
      <c r="T974" t="str">
        <f t="shared" si="125"/>
        <v>OK</v>
      </c>
      <c r="U974" t="str">
        <f t="shared" si="126"/>
        <v>OK</v>
      </c>
      <c r="V974" t="str">
        <f t="shared" si="127"/>
        <v>OK</v>
      </c>
    </row>
    <row r="975" spans="1:22" x14ac:dyDescent="0.45">
      <c r="A975" t="str">
        <v>SO-50804</v>
      </c>
      <c r="B975" t="str">
        <v>PL-CEN</v>
      </c>
      <c r="C975" t="str">
        <v>CD-PUE</v>
      </c>
      <c r="D975" t="str">
        <v>LAC-1007</v>
      </c>
      <c r="E975">
        <v>1948</v>
      </c>
      <c r="F975" s="1">
        <v>46176</v>
      </c>
      <c r="G975" t="str">
        <v>In Transit</v>
      </c>
      <c r="H975" t="str">
        <v>OK</v>
      </c>
      <c r="I975">
        <v>10.37</v>
      </c>
      <c r="J975">
        <v>100</v>
      </c>
      <c r="K975">
        <v>24</v>
      </c>
      <c r="L975" t="str">
        <v>OK</v>
      </c>
      <c r="M975">
        <v>1</v>
      </c>
      <c r="O975">
        <f t="shared" si="120"/>
        <v>19.48</v>
      </c>
      <c r="P975">
        <f t="shared" si="121"/>
        <v>84.169833333333315</v>
      </c>
      <c r="Q975">
        <f t="shared" si="122"/>
        <v>59.030303030303031</v>
      </c>
      <c r="R975">
        <f t="shared" si="123"/>
        <v>1</v>
      </c>
      <c r="S975">
        <f t="shared" si="124"/>
        <v>84.169833333333315</v>
      </c>
      <c r="T975" t="str">
        <f t="shared" si="125"/>
        <v>OK</v>
      </c>
      <c r="U975" t="str">
        <f t="shared" si="126"/>
        <v>OK</v>
      </c>
      <c r="V975" t="str">
        <f t="shared" si="127"/>
        <v>OK</v>
      </c>
    </row>
    <row r="976" spans="1:22" x14ac:dyDescent="0.45">
      <c r="A976" t="str">
        <v>SO-50001</v>
      </c>
      <c r="B976" t="str">
        <v>PL-CEN</v>
      </c>
      <c r="C976" t="str">
        <v>CD-QRO</v>
      </c>
      <c r="D976" t="str">
        <v>ABA-1006</v>
      </c>
      <c r="E976">
        <v>711</v>
      </c>
      <c r="F976" s="1">
        <v>46175</v>
      </c>
      <c r="G976" t="str">
        <v>In Transit</v>
      </c>
      <c r="H976" t="str">
        <v>OK</v>
      </c>
      <c r="I976">
        <v>12.39</v>
      </c>
      <c r="J976">
        <v>134</v>
      </c>
      <c r="K976">
        <v>446</v>
      </c>
      <c r="L976" t="str">
        <v>OK</v>
      </c>
      <c r="M976">
        <v>2</v>
      </c>
      <c r="O976">
        <f t="shared" si="120"/>
        <v>5.3059701492537314</v>
      </c>
      <c r="P976">
        <f t="shared" si="121"/>
        <v>36.705375000000004</v>
      </c>
      <c r="Q976">
        <f t="shared" si="122"/>
        <v>16.078697421981005</v>
      </c>
      <c r="R976">
        <f t="shared" si="123"/>
        <v>1</v>
      </c>
      <c r="S976">
        <f t="shared" si="124"/>
        <v>36.705375000000004</v>
      </c>
      <c r="T976" t="str">
        <f t="shared" si="125"/>
        <v>CARGA INEFICIENTE</v>
      </c>
      <c r="U976" t="str">
        <f t="shared" si="126"/>
        <v>OK</v>
      </c>
      <c r="V976" t="str">
        <f t="shared" si="127"/>
        <v>OK</v>
      </c>
    </row>
    <row r="977" spans="1:22" x14ac:dyDescent="0.45">
      <c r="A977" t="str">
        <v>SO-50154</v>
      </c>
      <c r="B977" t="str">
        <v>PL-SUR</v>
      </c>
      <c r="C977" t="str">
        <v>CD-CAN</v>
      </c>
      <c r="D977" t="str">
        <v>LAC-1006</v>
      </c>
      <c r="E977">
        <v>2103</v>
      </c>
      <c r="F977" s="1">
        <v>46175</v>
      </c>
      <c r="G977" t="str">
        <v>In Transit</v>
      </c>
      <c r="H977" t="str">
        <v>OK</v>
      </c>
      <c r="I977">
        <v>10.029999999999999</v>
      </c>
      <c r="J977">
        <v>126</v>
      </c>
      <c r="K977">
        <v>17</v>
      </c>
      <c r="L977" t="str">
        <v>OK</v>
      </c>
      <c r="M977">
        <v>2</v>
      </c>
      <c r="O977">
        <f t="shared" si="120"/>
        <v>16.69047619047619</v>
      </c>
      <c r="P977">
        <f t="shared" si="121"/>
        <v>87.887875000000008</v>
      </c>
      <c r="Q977">
        <f t="shared" si="122"/>
        <v>50.577200577200578</v>
      </c>
      <c r="R977">
        <f t="shared" si="123"/>
        <v>1</v>
      </c>
      <c r="S977">
        <f t="shared" si="124"/>
        <v>87.887875000000008</v>
      </c>
      <c r="T977" t="str">
        <f t="shared" si="125"/>
        <v>OK</v>
      </c>
      <c r="U977" t="str">
        <f t="shared" si="126"/>
        <v>OK</v>
      </c>
      <c r="V977" t="str">
        <f t="shared" si="127"/>
        <v>OK</v>
      </c>
    </row>
    <row r="978" spans="1:22" x14ac:dyDescent="0.45">
      <c r="A978" t="str">
        <v>SO-50940</v>
      </c>
      <c r="B978" t="str">
        <v>PL-CEN</v>
      </c>
      <c r="C978" t="str">
        <v>CD-CDMX</v>
      </c>
      <c r="D978" t="str">
        <v>BEB-1019</v>
      </c>
      <c r="E978">
        <v>1331</v>
      </c>
      <c r="F978" s="1">
        <v>46176</v>
      </c>
      <c r="G978" t="str">
        <v>In Transit</v>
      </c>
      <c r="H978" t="str">
        <v>OK</v>
      </c>
      <c r="I978">
        <v>14.35</v>
      </c>
      <c r="J978">
        <v>70</v>
      </c>
      <c r="K978">
        <v>240</v>
      </c>
      <c r="L978" t="str">
        <v>OK</v>
      </c>
      <c r="M978">
        <v>1</v>
      </c>
      <c r="O978">
        <f t="shared" si="120"/>
        <v>19.014285714285716</v>
      </c>
      <c r="P978">
        <f t="shared" si="121"/>
        <v>79.582708333333329</v>
      </c>
      <c r="Q978">
        <f t="shared" si="122"/>
        <v>57.619047619047628</v>
      </c>
      <c r="R978">
        <f t="shared" si="123"/>
        <v>1</v>
      </c>
      <c r="S978">
        <f t="shared" si="124"/>
        <v>79.582708333333329</v>
      </c>
      <c r="T978" t="str">
        <f t="shared" si="125"/>
        <v>OK</v>
      </c>
      <c r="U978" t="str">
        <f t="shared" si="126"/>
        <v>OK</v>
      </c>
      <c r="V978" t="str">
        <f t="shared" si="127"/>
        <v>OK</v>
      </c>
    </row>
    <row r="979" spans="1:22" x14ac:dyDescent="0.45">
      <c r="A979" t="str">
        <v>SO-50359</v>
      </c>
      <c r="B979" t="str">
        <v>PL-CEN</v>
      </c>
      <c r="C979" t="str">
        <v>CD-CDMX</v>
      </c>
      <c r="D979" t="str">
        <v>BEB-1008</v>
      </c>
      <c r="E979">
        <v>1097</v>
      </c>
      <c r="F979" s="1">
        <v>46176</v>
      </c>
      <c r="G979" t="str">
        <v>Delivered</v>
      </c>
      <c r="H979" t="str">
        <v>OK</v>
      </c>
      <c r="I979">
        <v>17.47</v>
      </c>
      <c r="J979">
        <v>65</v>
      </c>
      <c r="K979">
        <v>216</v>
      </c>
      <c r="L979" t="str">
        <v>OK</v>
      </c>
      <c r="M979">
        <v>1</v>
      </c>
      <c r="O979">
        <f t="shared" si="120"/>
        <v>16.876923076923077</v>
      </c>
      <c r="P979">
        <f t="shared" si="121"/>
        <v>79.852458333333331</v>
      </c>
      <c r="Q979">
        <f t="shared" si="122"/>
        <v>51.142191142191137</v>
      </c>
      <c r="R979">
        <f t="shared" si="123"/>
        <v>1</v>
      </c>
      <c r="S979">
        <f t="shared" si="124"/>
        <v>79.852458333333331</v>
      </c>
      <c r="T979" t="str">
        <f t="shared" si="125"/>
        <v>OK</v>
      </c>
      <c r="U979" t="str">
        <f t="shared" si="126"/>
        <v>OK</v>
      </c>
      <c r="V979" t="str">
        <f t="shared" si="127"/>
        <v>OK</v>
      </c>
    </row>
    <row r="980" spans="1:22" x14ac:dyDescent="0.45">
      <c r="A980" t="str">
        <v>SO-50258</v>
      </c>
      <c r="B980" t="str">
        <v>PL-CEN</v>
      </c>
      <c r="C980" t="str">
        <v>CD-VER</v>
      </c>
      <c r="D980" t="str">
        <v>PRO-1008</v>
      </c>
      <c r="E980">
        <v>1121</v>
      </c>
      <c r="F980" s="1">
        <v>46174</v>
      </c>
      <c r="G980" t="str">
        <v>In Transit</v>
      </c>
      <c r="H980" t="str">
        <v>OK</v>
      </c>
      <c r="I980">
        <v>11.98</v>
      </c>
      <c r="J980">
        <v>86</v>
      </c>
      <c r="K980">
        <v>123</v>
      </c>
      <c r="L980" t="str">
        <v>OK</v>
      </c>
      <c r="M980">
        <v>3</v>
      </c>
      <c r="O980">
        <f t="shared" si="120"/>
        <v>13.034883720930232</v>
      </c>
      <c r="P980">
        <f t="shared" si="121"/>
        <v>55.956583333333334</v>
      </c>
      <c r="Q980">
        <f t="shared" si="122"/>
        <v>39.49964763918252</v>
      </c>
      <c r="R980">
        <f t="shared" si="123"/>
        <v>1</v>
      </c>
      <c r="S980">
        <f t="shared" si="124"/>
        <v>55.956583333333334</v>
      </c>
      <c r="T980" t="str">
        <f t="shared" si="125"/>
        <v>CARGA INEFICIENTE</v>
      </c>
      <c r="U980" t="str">
        <f t="shared" si="126"/>
        <v>OK</v>
      </c>
      <c r="V980" t="str">
        <f t="shared" si="127"/>
        <v>OK</v>
      </c>
    </row>
    <row r="981" spans="1:22" x14ac:dyDescent="0.45">
      <c r="A981" t="str">
        <v>SO-51035</v>
      </c>
      <c r="B981" t="str">
        <v>PL-NTE</v>
      </c>
      <c r="C981" t="str">
        <v>CD-HER</v>
      </c>
      <c r="D981" t="str">
        <v>LAC-1004</v>
      </c>
      <c r="E981">
        <v>914</v>
      </c>
      <c r="F981" s="1">
        <v>46168</v>
      </c>
      <c r="G981" t="str">
        <v>In Transit</v>
      </c>
      <c r="H981" t="str">
        <v>OK</v>
      </c>
      <c r="I981">
        <v>11.45</v>
      </c>
      <c r="J981">
        <v>93</v>
      </c>
      <c r="K981">
        <v>16</v>
      </c>
      <c r="L981" t="str">
        <v>OK</v>
      </c>
      <c r="M981">
        <v>9</v>
      </c>
      <c r="O981">
        <f t="shared" si="120"/>
        <v>9.827956989247312</v>
      </c>
      <c r="P981">
        <f t="shared" si="121"/>
        <v>43.605416666666663</v>
      </c>
      <c r="Q981">
        <f t="shared" si="122"/>
        <v>29.781687846203976</v>
      </c>
      <c r="R981">
        <f t="shared" si="123"/>
        <v>1</v>
      </c>
      <c r="S981">
        <f t="shared" si="124"/>
        <v>43.605416666666663</v>
      </c>
      <c r="T981" t="str">
        <f t="shared" si="125"/>
        <v>CARGA INEFICIENTE</v>
      </c>
      <c r="U981" t="str">
        <f t="shared" si="126"/>
        <v>FEFO RIESGO</v>
      </c>
      <c r="V981" t="str">
        <f t="shared" si="127"/>
        <v>FANTASMA</v>
      </c>
    </row>
    <row r="982" spans="1:22" x14ac:dyDescent="0.45">
      <c r="A982" t="str">
        <v>SO-50585</v>
      </c>
      <c r="B982" t="str">
        <v>PL-NTE</v>
      </c>
      <c r="C982" t="str">
        <v>CD-CHI</v>
      </c>
      <c r="D982" t="str">
        <v>LAC-1017</v>
      </c>
      <c r="E982">
        <v>3029</v>
      </c>
      <c r="F982" s="1">
        <v>46176</v>
      </c>
      <c r="G982" t="str">
        <v>In Transit</v>
      </c>
      <c r="H982" t="str">
        <v>OK</v>
      </c>
      <c r="I982">
        <v>7.45</v>
      </c>
      <c r="J982">
        <v>147</v>
      </c>
      <c r="K982">
        <v>28</v>
      </c>
      <c r="L982" t="str">
        <v>OK</v>
      </c>
      <c r="M982">
        <v>1</v>
      </c>
      <c r="O982">
        <f t="shared" si="120"/>
        <v>20.605442176870749</v>
      </c>
      <c r="P982">
        <f t="shared" si="121"/>
        <v>94.025208333333339</v>
      </c>
      <c r="Q982">
        <f t="shared" si="122"/>
        <v>62.440733869305298</v>
      </c>
      <c r="R982">
        <f t="shared" si="123"/>
        <v>1</v>
      </c>
      <c r="S982">
        <f t="shared" si="124"/>
        <v>94.025208333333339</v>
      </c>
      <c r="T982" t="str">
        <f t="shared" si="125"/>
        <v>OK</v>
      </c>
      <c r="U982" t="str">
        <f t="shared" si="126"/>
        <v>OK</v>
      </c>
      <c r="V982" t="str">
        <f t="shared" si="127"/>
        <v>OK</v>
      </c>
    </row>
    <row r="983" spans="1:22" x14ac:dyDescent="0.45">
      <c r="A983" t="str">
        <v>SO-51009</v>
      </c>
      <c r="B983" t="str">
        <v>PL-SUR</v>
      </c>
      <c r="C983" t="str">
        <v>CD-MER</v>
      </c>
      <c r="D983" t="str">
        <v>LAC-1003</v>
      </c>
      <c r="E983">
        <v>2190</v>
      </c>
      <c r="F983" s="1">
        <v>46163</v>
      </c>
      <c r="G983" t="str">
        <v>In Transit</v>
      </c>
      <c r="H983" t="str">
        <v>OK</v>
      </c>
      <c r="I983">
        <v>9.02</v>
      </c>
      <c r="J983">
        <v>114</v>
      </c>
      <c r="K983">
        <v>18</v>
      </c>
      <c r="L983" t="str">
        <v>OK</v>
      </c>
      <c r="M983">
        <v>14</v>
      </c>
      <c r="O983">
        <f t="shared" si="120"/>
        <v>19.210526315789473</v>
      </c>
      <c r="P983">
        <f t="shared" si="121"/>
        <v>82.307500000000005</v>
      </c>
      <c r="Q983">
        <f t="shared" si="122"/>
        <v>58.21371610845295</v>
      </c>
      <c r="R983">
        <f t="shared" si="123"/>
        <v>1</v>
      </c>
      <c r="S983">
        <f t="shared" si="124"/>
        <v>82.307500000000005</v>
      </c>
      <c r="T983" t="str">
        <f t="shared" si="125"/>
        <v>OK</v>
      </c>
      <c r="U983" t="str">
        <f t="shared" si="126"/>
        <v>FEFO RIESGO</v>
      </c>
      <c r="V983" t="str">
        <f t="shared" si="127"/>
        <v>FANTASMA</v>
      </c>
    </row>
    <row r="984" spans="1:22" x14ac:dyDescent="0.45">
      <c r="A984" t="str">
        <v>SO-50651</v>
      </c>
      <c r="B984" t="str">
        <v>PL-NTE</v>
      </c>
      <c r="C984" t="str">
        <v>CD-TIJ</v>
      </c>
      <c r="D984" t="str">
        <v>PRO-1005</v>
      </c>
      <c r="E984">
        <v>1727</v>
      </c>
      <c r="F984" s="1">
        <v>46172</v>
      </c>
      <c r="G984" t="str">
        <v>In Transit</v>
      </c>
      <c r="H984" t="str">
        <v>OK</v>
      </c>
      <c r="I984">
        <v>11.02</v>
      </c>
      <c r="J984">
        <v>69</v>
      </c>
      <c r="K984">
        <v>86</v>
      </c>
      <c r="L984" t="str">
        <v>OK</v>
      </c>
      <c r="M984">
        <v>5</v>
      </c>
      <c r="O984">
        <f t="shared" si="120"/>
        <v>25.028985507246375</v>
      </c>
      <c r="P984">
        <f t="shared" si="121"/>
        <v>79.298083333333338</v>
      </c>
      <c r="Q984">
        <f t="shared" si="122"/>
        <v>75.845410628019323</v>
      </c>
      <c r="R984">
        <f t="shared" si="123"/>
        <v>1</v>
      </c>
      <c r="S984">
        <f t="shared" si="124"/>
        <v>79.298083333333338</v>
      </c>
      <c r="T984" t="str">
        <f t="shared" si="125"/>
        <v>OK</v>
      </c>
      <c r="U984" t="str">
        <f t="shared" si="126"/>
        <v>OK</v>
      </c>
      <c r="V984" t="str">
        <f t="shared" si="127"/>
        <v>OK</v>
      </c>
    </row>
    <row r="985" spans="1:22" x14ac:dyDescent="0.45">
      <c r="A985" t="str">
        <v>SO-51062</v>
      </c>
      <c r="B985" t="str">
        <v>PL-CEN</v>
      </c>
      <c r="C985" t="str">
        <v>CD-PUE</v>
      </c>
      <c r="D985" t="str">
        <v>LAC-1001</v>
      </c>
      <c r="E985">
        <v>2602</v>
      </c>
      <c r="F985" s="1">
        <v>46174</v>
      </c>
      <c r="G985" t="str">
        <v>In Transit</v>
      </c>
      <c r="H985" t="str">
        <v>OK</v>
      </c>
      <c r="I985">
        <v>7.51</v>
      </c>
      <c r="J985">
        <v>83</v>
      </c>
      <c r="K985">
        <v>18</v>
      </c>
      <c r="L985" t="str">
        <v>OK</v>
      </c>
      <c r="M985">
        <v>3</v>
      </c>
      <c r="O985">
        <f t="shared" si="120"/>
        <v>31.349397590361445</v>
      </c>
      <c r="P985">
        <f t="shared" si="121"/>
        <v>81.42091666666667</v>
      </c>
      <c r="Q985">
        <f t="shared" si="122"/>
        <v>94.998174516246806</v>
      </c>
      <c r="R985">
        <f t="shared" si="123"/>
        <v>1</v>
      </c>
      <c r="S985">
        <f t="shared" si="124"/>
        <v>94.998174516246806</v>
      </c>
      <c r="T985" t="str">
        <f t="shared" si="125"/>
        <v>OK</v>
      </c>
      <c r="U985" t="str">
        <f t="shared" si="126"/>
        <v>OK</v>
      </c>
      <c r="V985" t="str">
        <f t="shared" si="127"/>
        <v>OK</v>
      </c>
    </row>
    <row r="986" spans="1:22" x14ac:dyDescent="0.45">
      <c r="A986" t="str">
        <v>SO-50011</v>
      </c>
      <c r="B986" t="str">
        <v>PL-CEN</v>
      </c>
      <c r="C986" t="str">
        <v>CD-QRO</v>
      </c>
      <c r="D986" t="str">
        <v>ABA-1002</v>
      </c>
      <c r="E986">
        <v>1250</v>
      </c>
      <c r="F986" s="1">
        <v>46175</v>
      </c>
      <c r="G986" t="str">
        <v>In Transit</v>
      </c>
      <c r="H986" t="str">
        <v>OK</v>
      </c>
      <c r="I986">
        <v>15.1</v>
      </c>
      <c r="J986">
        <v>74</v>
      </c>
      <c r="K986">
        <v>443</v>
      </c>
      <c r="L986" t="str">
        <v>OK</v>
      </c>
      <c r="M986">
        <v>2</v>
      </c>
      <c r="O986">
        <f t="shared" si="120"/>
        <v>16.891891891891891</v>
      </c>
      <c r="P986">
        <f t="shared" si="121"/>
        <v>78.645833333333343</v>
      </c>
      <c r="Q986">
        <f t="shared" si="122"/>
        <v>51.187551187551186</v>
      </c>
      <c r="R986">
        <f t="shared" si="123"/>
        <v>1</v>
      </c>
      <c r="S986">
        <f t="shared" si="124"/>
        <v>78.645833333333343</v>
      </c>
      <c r="T986" t="str">
        <f t="shared" si="125"/>
        <v>OK</v>
      </c>
      <c r="U986" t="str">
        <f t="shared" si="126"/>
        <v>OK</v>
      </c>
      <c r="V986" t="str">
        <f t="shared" si="127"/>
        <v>OK</v>
      </c>
    </row>
    <row r="987" spans="1:22" x14ac:dyDescent="0.45">
      <c r="A987" t="str">
        <v>SO-50605</v>
      </c>
      <c r="B987" t="str">
        <v>PL-SUR</v>
      </c>
      <c r="C987" t="str">
        <v>CD-CAN</v>
      </c>
      <c r="D987" t="str">
        <v>PRO-1013</v>
      </c>
      <c r="E987">
        <v>1598</v>
      </c>
      <c r="F987" s="1">
        <v>46175</v>
      </c>
      <c r="G987" t="str">
        <v>In Transit</v>
      </c>
      <c r="H987" t="str">
        <v>OK</v>
      </c>
      <c r="I987">
        <v>4.37</v>
      </c>
      <c r="J987">
        <v>58</v>
      </c>
      <c r="K987">
        <v>92</v>
      </c>
      <c r="L987" t="str">
        <v>OK</v>
      </c>
      <c r="M987">
        <v>2</v>
      </c>
      <c r="O987">
        <f t="shared" si="120"/>
        <v>27.551724137931036</v>
      </c>
      <c r="P987">
        <f t="shared" si="121"/>
        <v>29.096916666666665</v>
      </c>
      <c r="Q987">
        <f t="shared" si="122"/>
        <v>83.49007314524556</v>
      </c>
      <c r="R987">
        <f t="shared" si="123"/>
        <v>1</v>
      </c>
      <c r="S987">
        <f t="shared" si="124"/>
        <v>83.49007314524556</v>
      </c>
      <c r="T987" t="str">
        <f t="shared" si="125"/>
        <v>OK</v>
      </c>
      <c r="U987" t="str">
        <f t="shared" si="126"/>
        <v>OK</v>
      </c>
      <c r="V987" t="str">
        <f t="shared" si="127"/>
        <v>OK</v>
      </c>
    </row>
    <row r="988" spans="1:22" x14ac:dyDescent="0.45">
      <c r="A988" t="str">
        <v>SO-50537</v>
      </c>
      <c r="B988" t="str">
        <v>PL-NTE</v>
      </c>
      <c r="C988" t="str">
        <v>CD-TIJ</v>
      </c>
      <c r="D988" t="str">
        <v>ABA-1006</v>
      </c>
      <c r="E988">
        <v>1543</v>
      </c>
      <c r="F988" s="1">
        <v>46175</v>
      </c>
      <c r="G988" t="str">
        <v>In Transit</v>
      </c>
      <c r="H988" t="str">
        <v>OK</v>
      </c>
      <c r="I988">
        <v>12.39</v>
      </c>
      <c r="J988">
        <v>134</v>
      </c>
      <c r="K988">
        <v>446</v>
      </c>
      <c r="L988" t="str">
        <v>OK</v>
      </c>
      <c r="M988">
        <v>2</v>
      </c>
      <c r="O988">
        <f t="shared" si="120"/>
        <v>11.514925373134329</v>
      </c>
      <c r="P988">
        <f t="shared" si="121"/>
        <v>79.657375000000002</v>
      </c>
      <c r="Q988">
        <f t="shared" si="122"/>
        <v>34.893713251922208</v>
      </c>
      <c r="R988">
        <f t="shared" si="123"/>
        <v>1</v>
      </c>
      <c r="S988">
        <f t="shared" si="124"/>
        <v>79.657375000000002</v>
      </c>
      <c r="T988" t="str">
        <f t="shared" si="125"/>
        <v>OK</v>
      </c>
      <c r="U988" t="str">
        <f t="shared" si="126"/>
        <v>OK</v>
      </c>
      <c r="V988" t="str">
        <f t="shared" si="127"/>
        <v>OK</v>
      </c>
    </row>
    <row r="989" spans="1:22" x14ac:dyDescent="0.45">
      <c r="A989" t="str">
        <v>SO-50045</v>
      </c>
      <c r="B989" t="str">
        <v>PL-CEN</v>
      </c>
      <c r="C989" t="str">
        <v>CD-PUE</v>
      </c>
      <c r="D989" t="str">
        <v>BOT-1001</v>
      </c>
      <c r="E989">
        <v>816</v>
      </c>
      <c r="F989" s="1">
        <v>46176</v>
      </c>
      <c r="G989" t="str">
        <v>In Transit</v>
      </c>
      <c r="H989" t="str">
        <v>OK</v>
      </c>
      <c r="I989">
        <v>6.95</v>
      </c>
      <c r="J989">
        <v>66</v>
      </c>
      <c r="K989">
        <v>95</v>
      </c>
      <c r="L989" t="str">
        <v>OK</v>
      </c>
      <c r="M989">
        <v>1</v>
      </c>
      <c r="O989">
        <f t="shared" si="120"/>
        <v>12.363636363636363</v>
      </c>
      <c r="P989">
        <f t="shared" si="121"/>
        <v>23.63</v>
      </c>
      <c r="Q989">
        <f t="shared" si="122"/>
        <v>37.465564738292009</v>
      </c>
      <c r="R989">
        <f t="shared" si="123"/>
        <v>1</v>
      </c>
      <c r="S989">
        <f t="shared" si="124"/>
        <v>37.465564738292009</v>
      </c>
      <c r="T989" t="str">
        <f t="shared" si="125"/>
        <v>CARGA INEFICIENTE</v>
      </c>
      <c r="U989" t="str">
        <f t="shared" si="126"/>
        <v>OK</v>
      </c>
      <c r="V989" t="str">
        <f t="shared" si="127"/>
        <v>OK</v>
      </c>
    </row>
    <row r="990" spans="1:22" x14ac:dyDescent="0.45">
      <c r="A990" t="str">
        <v>SO-50894</v>
      </c>
      <c r="B990" t="str">
        <v>PL-NTE</v>
      </c>
      <c r="C990" t="str">
        <v>CD-SAL</v>
      </c>
      <c r="D990" t="str">
        <v>LAC-1004</v>
      </c>
      <c r="E990">
        <v>537</v>
      </c>
      <c r="F990" s="1">
        <v>46176</v>
      </c>
      <c r="G990" t="str">
        <v>In Transit</v>
      </c>
      <c r="H990" t="str">
        <v>OK</v>
      </c>
      <c r="I990">
        <v>11.45</v>
      </c>
      <c r="J990">
        <v>93</v>
      </c>
      <c r="K990">
        <v>16</v>
      </c>
      <c r="L990" t="str">
        <v>OK</v>
      </c>
      <c r="M990">
        <v>1</v>
      </c>
      <c r="O990">
        <f t="shared" si="120"/>
        <v>5.774193548387097</v>
      </c>
      <c r="P990">
        <f t="shared" si="121"/>
        <v>25.619374999999998</v>
      </c>
      <c r="Q990">
        <f t="shared" si="122"/>
        <v>17.497556207233629</v>
      </c>
      <c r="R990">
        <f t="shared" si="123"/>
        <v>1</v>
      </c>
      <c r="S990">
        <f t="shared" si="124"/>
        <v>25.619374999999998</v>
      </c>
      <c r="T990" t="str">
        <f t="shared" si="125"/>
        <v>CARGA INEFICIENTE</v>
      </c>
      <c r="U990" t="str">
        <f t="shared" si="126"/>
        <v>OK</v>
      </c>
      <c r="V990" t="str">
        <f t="shared" si="127"/>
        <v>OK</v>
      </c>
    </row>
    <row r="991" spans="1:22" x14ac:dyDescent="0.45">
      <c r="A991" t="str">
        <v>SO-50835</v>
      </c>
      <c r="B991" t="str">
        <v>PL-CEN</v>
      </c>
      <c r="C991" t="str">
        <v>CD-VER</v>
      </c>
      <c r="D991" t="str">
        <v>BOT-1006</v>
      </c>
      <c r="E991">
        <v>1297</v>
      </c>
      <c r="F991" s="1">
        <v>46175</v>
      </c>
      <c r="G991" t="str">
        <v>In Transit</v>
      </c>
      <c r="H991" t="str">
        <v>OK</v>
      </c>
      <c r="I991">
        <v>4.24</v>
      </c>
      <c r="J991">
        <v>41</v>
      </c>
      <c r="K991">
        <v>111</v>
      </c>
      <c r="L991" t="str">
        <v>OK</v>
      </c>
      <c r="M991">
        <v>2</v>
      </c>
      <c r="O991">
        <f t="shared" si="120"/>
        <v>31.634146341463413</v>
      </c>
      <c r="P991">
        <f t="shared" si="121"/>
        <v>22.913666666666668</v>
      </c>
      <c r="Q991">
        <f t="shared" si="122"/>
        <v>95.861049519586103</v>
      </c>
      <c r="R991">
        <f t="shared" si="123"/>
        <v>1</v>
      </c>
      <c r="S991">
        <f t="shared" si="124"/>
        <v>95.861049519586103</v>
      </c>
      <c r="T991" t="str">
        <f t="shared" si="125"/>
        <v>OK</v>
      </c>
      <c r="U991" t="str">
        <f t="shared" si="126"/>
        <v>OK</v>
      </c>
      <c r="V991" t="str">
        <f t="shared" si="127"/>
        <v>OK</v>
      </c>
    </row>
    <row r="992" spans="1:22" x14ac:dyDescent="0.45">
      <c r="A992" t="str">
        <v>SO-50631</v>
      </c>
      <c r="B992" t="str">
        <v>PL-NTE</v>
      </c>
      <c r="C992" t="str">
        <v>CD-HER</v>
      </c>
      <c r="D992" t="str">
        <v>LAC-1017</v>
      </c>
      <c r="E992">
        <v>3066</v>
      </c>
      <c r="F992" s="1">
        <v>46173</v>
      </c>
      <c r="G992" t="str">
        <v>In Transit</v>
      </c>
      <c r="H992" t="str">
        <v>OK</v>
      </c>
      <c r="I992">
        <v>7.45</v>
      </c>
      <c r="J992">
        <v>147</v>
      </c>
      <c r="K992">
        <v>28</v>
      </c>
      <c r="L992" t="str">
        <v>OK</v>
      </c>
      <c r="M992">
        <v>4</v>
      </c>
      <c r="O992">
        <f t="shared" si="120"/>
        <v>20.857142857142858</v>
      </c>
      <c r="P992">
        <f t="shared" si="121"/>
        <v>95.173749999999998</v>
      </c>
      <c r="Q992">
        <f t="shared" si="122"/>
        <v>63.203463203463208</v>
      </c>
      <c r="R992">
        <f t="shared" si="123"/>
        <v>1</v>
      </c>
      <c r="S992">
        <f t="shared" si="124"/>
        <v>95.173749999999998</v>
      </c>
      <c r="T992" t="str">
        <f t="shared" si="125"/>
        <v>OK</v>
      </c>
      <c r="U992" t="str">
        <f t="shared" si="126"/>
        <v>OK</v>
      </c>
      <c r="V992" t="str">
        <f t="shared" si="127"/>
        <v>OK</v>
      </c>
    </row>
    <row r="993" spans="1:22" x14ac:dyDescent="0.45">
      <c r="A993" t="str">
        <v>SO-50242</v>
      </c>
      <c r="B993" t="str">
        <v>PL-SUR</v>
      </c>
      <c r="C993" t="str">
        <v>CD-MOR</v>
      </c>
      <c r="D993" t="str">
        <v>BEB-1000</v>
      </c>
      <c r="E993">
        <v>626</v>
      </c>
      <c r="F993" s="1">
        <v>46175</v>
      </c>
      <c r="G993" t="str">
        <v>In Transit</v>
      </c>
      <c r="H993" t="str">
        <v>OK</v>
      </c>
      <c r="I993">
        <v>16.489999999999998</v>
      </c>
      <c r="J993">
        <v>102</v>
      </c>
      <c r="K993">
        <v>315</v>
      </c>
      <c r="L993" t="str">
        <v>OK</v>
      </c>
      <c r="M993">
        <v>2</v>
      </c>
      <c r="O993">
        <f t="shared" si="120"/>
        <v>6.1372549019607847</v>
      </c>
      <c r="P993">
        <f t="shared" si="121"/>
        <v>43.011416666666662</v>
      </c>
      <c r="Q993">
        <f t="shared" si="122"/>
        <v>18.597742127153893</v>
      </c>
      <c r="R993">
        <f t="shared" si="123"/>
        <v>1</v>
      </c>
      <c r="S993">
        <f t="shared" si="124"/>
        <v>43.011416666666662</v>
      </c>
      <c r="T993" t="str">
        <f t="shared" si="125"/>
        <v>CARGA INEFICIENTE</v>
      </c>
      <c r="U993" t="str">
        <f t="shared" si="126"/>
        <v>OK</v>
      </c>
      <c r="V993" t="str">
        <f t="shared" si="127"/>
        <v>OK</v>
      </c>
    </row>
    <row r="994" spans="1:22" x14ac:dyDescent="0.45">
      <c r="A994" t="str">
        <v>SO-50786</v>
      </c>
      <c r="B994" t="str">
        <v>PL-NTE</v>
      </c>
      <c r="C994" t="str">
        <v>CD-CHI</v>
      </c>
      <c r="D994" t="str">
        <v>BEB-1008</v>
      </c>
      <c r="E994">
        <v>1318</v>
      </c>
      <c r="F994" s="1">
        <v>46176</v>
      </c>
      <c r="G994" t="str">
        <v>In Transit</v>
      </c>
      <c r="H994" t="str">
        <v>OK</v>
      </c>
      <c r="I994">
        <v>17.47</v>
      </c>
      <c r="J994">
        <v>65</v>
      </c>
      <c r="K994">
        <v>216</v>
      </c>
      <c r="L994" t="str">
        <v>OK</v>
      </c>
      <c r="M994">
        <v>1</v>
      </c>
      <c r="O994">
        <f t="shared" si="120"/>
        <v>20.276923076923076</v>
      </c>
      <c r="P994">
        <f t="shared" si="121"/>
        <v>95.939416666666659</v>
      </c>
      <c r="Q994">
        <f t="shared" si="122"/>
        <v>61.445221445221442</v>
      </c>
      <c r="R994">
        <f t="shared" si="123"/>
        <v>1</v>
      </c>
      <c r="S994">
        <f t="shared" si="124"/>
        <v>95.939416666666659</v>
      </c>
      <c r="T994" t="str">
        <f t="shared" si="125"/>
        <v>OK</v>
      </c>
      <c r="U994" t="str">
        <f t="shared" si="126"/>
        <v>OK</v>
      </c>
      <c r="V994" t="str">
        <f t="shared" si="127"/>
        <v>OK</v>
      </c>
    </row>
    <row r="995" spans="1:22" x14ac:dyDescent="0.45">
      <c r="A995" t="str">
        <v>SO-51091</v>
      </c>
      <c r="B995" t="str">
        <v>PL-CEN</v>
      </c>
      <c r="C995" t="str">
        <v>CD-PUE</v>
      </c>
      <c r="D995" t="str">
        <v>BOT-1014</v>
      </c>
      <c r="E995">
        <v>1513</v>
      </c>
      <c r="F995" s="1">
        <v>46169</v>
      </c>
      <c r="G995" t="str">
        <v>In Transit</v>
      </c>
      <c r="H995" t="str">
        <v>OK</v>
      </c>
      <c r="I995">
        <v>3.92</v>
      </c>
      <c r="J995">
        <v>49</v>
      </c>
      <c r="K995">
        <v>98</v>
      </c>
      <c r="L995" t="str">
        <v>OK</v>
      </c>
      <c r="M995">
        <v>8</v>
      </c>
      <c r="O995">
        <f t="shared" si="120"/>
        <v>30.877551020408163</v>
      </c>
      <c r="P995">
        <f t="shared" si="121"/>
        <v>24.712333333333333</v>
      </c>
      <c r="Q995">
        <f t="shared" si="122"/>
        <v>93.568336425479288</v>
      </c>
      <c r="R995">
        <f t="shared" si="123"/>
        <v>1</v>
      </c>
      <c r="S995">
        <f t="shared" si="124"/>
        <v>93.568336425479288</v>
      </c>
      <c r="T995" t="str">
        <f t="shared" si="125"/>
        <v>OK</v>
      </c>
      <c r="U995" t="str">
        <f t="shared" si="126"/>
        <v>OK</v>
      </c>
      <c r="V995" t="str">
        <f t="shared" si="127"/>
        <v>FANTASMA</v>
      </c>
    </row>
    <row r="996" spans="1:22" x14ac:dyDescent="0.45">
      <c r="A996" t="str">
        <v>SO-51080</v>
      </c>
      <c r="B996" t="str">
        <v>PL-NTE</v>
      </c>
      <c r="C996" t="str">
        <v>CD-SAL</v>
      </c>
      <c r="D996" t="str">
        <v>PRO-1007</v>
      </c>
      <c r="E996">
        <v>413</v>
      </c>
      <c r="F996" s="1">
        <v>46175</v>
      </c>
      <c r="G996" t="str">
        <v>In Transit</v>
      </c>
      <c r="H996" t="str">
        <v>OK</v>
      </c>
      <c r="I996">
        <v>13.13</v>
      </c>
      <c r="J996">
        <v>82</v>
      </c>
      <c r="K996">
        <v>105</v>
      </c>
      <c r="L996" t="str">
        <v>OK</v>
      </c>
      <c r="M996">
        <v>2</v>
      </c>
      <c r="O996">
        <f t="shared" si="120"/>
        <v>5.0365853658536581</v>
      </c>
      <c r="P996">
        <f t="shared" si="121"/>
        <v>22.594541666666668</v>
      </c>
      <c r="Q996">
        <f t="shared" si="122"/>
        <v>15.262379896526237</v>
      </c>
      <c r="R996">
        <f t="shared" si="123"/>
        <v>1</v>
      </c>
      <c r="S996">
        <f t="shared" si="124"/>
        <v>22.594541666666668</v>
      </c>
      <c r="T996" t="str">
        <f t="shared" si="125"/>
        <v>CARGA INEFICIENTE</v>
      </c>
      <c r="U996" t="str">
        <f t="shared" si="126"/>
        <v>OK</v>
      </c>
      <c r="V996" t="str">
        <f t="shared" si="127"/>
        <v>OK</v>
      </c>
    </row>
    <row r="997" spans="1:22" x14ac:dyDescent="0.45">
      <c r="A997" t="str">
        <v>SO-50532</v>
      </c>
      <c r="B997" t="str">
        <v>PL-CEN</v>
      </c>
      <c r="C997" t="str">
        <v>CD-TOL</v>
      </c>
      <c r="D997" t="str">
        <v>LAC-1000</v>
      </c>
      <c r="E997">
        <v>2568</v>
      </c>
      <c r="F997" s="1">
        <v>46175</v>
      </c>
      <c r="G997" t="str">
        <v>In Transit</v>
      </c>
      <c r="H997" t="str">
        <v>OK</v>
      </c>
      <c r="I997">
        <v>8.18</v>
      </c>
      <c r="J997">
        <v>90</v>
      </c>
      <c r="K997">
        <v>29</v>
      </c>
      <c r="L997" t="str">
        <v>OK</v>
      </c>
      <c r="M997">
        <v>2</v>
      </c>
      <c r="O997">
        <f t="shared" si="120"/>
        <v>28.533333333333335</v>
      </c>
      <c r="P997">
        <f t="shared" si="121"/>
        <v>87.525999999999996</v>
      </c>
      <c r="Q997">
        <f t="shared" si="122"/>
        <v>86.464646464646464</v>
      </c>
      <c r="R997">
        <f t="shared" si="123"/>
        <v>1</v>
      </c>
      <c r="S997">
        <f t="shared" si="124"/>
        <v>87.525999999999996</v>
      </c>
      <c r="T997" t="str">
        <f t="shared" si="125"/>
        <v>OK</v>
      </c>
      <c r="U997" t="str">
        <f t="shared" si="126"/>
        <v>OK</v>
      </c>
      <c r="V997" t="str">
        <f t="shared" si="127"/>
        <v>OK</v>
      </c>
    </row>
    <row r="998" spans="1:22" x14ac:dyDescent="0.45">
      <c r="A998" t="str">
        <v>SO-50130</v>
      </c>
      <c r="B998" t="str">
        <v>PL-NTE</v>
      </c>
      <c r="C998" t="str">
        <v>CD-TIJ</v>
      </c>
      <c r="D998" t="str">
        <v>BEB-1020</v>
      </c>
      <c r="E998">
        <v>535</v>
      </c>
      <c r="F998" s="1">
        <v>46174</v>
      </c>
      <c r="G998" t="str">
        <v>In Transit</v>
      </c>
      <c r="H998" t="str">
        <v>OK</v>
      </c>
      <c r="I998">
        <v>16.66</v>
      </c>
      <c r="J998">
        <v>85</v>
      </c>
      <c r="K998">
        <v>333</v>
      </c>
      <c r="L998" t="str">
        <v>OK</v>
      </c>
      <c r="M998">
        <v>3</v>
      </c>
      <c r="O998">
        <f t="shared" si="120"/>
        <v>6.2941176470588234</v>
      </c>
      <c r="P998">
        <f t="shared" si="121"/>
        <v>37.137916666666669</v>
      </c>
      <c r="Q998">
        <f t="shared" si="122"/>
        <v>19.073083778966133</v>
      </c>
      <c r="R998">
        <f t="shared" si="123"/>
        <v>1</v>
      </c>
      <c r="S998">
        <f t="shared" si="124"/>
        <v>37.137916666666669</v>
      </c>
      <c r="T998" t="str">
        <f t="shared" si="125"/>
        <v>CARGA INEFICIENTE</v>
      </c>
      <c r="U998" t="str">
        <f t="shared" si="126"/>
        <v>OK</v>
      </c>
      <c r="V998" t="str">
        <f t="shared" si="127"/>
        <v>OK</v>
      </c>
    </row>
    <row r="999" spans="1:22" x14ac:dyDescent="0.45">
      <c r="A999" t="str">
        <v>SO-50808</v>
      </c>
      <c r="B999" t="str">
        <v>PL-NTE</v>
      </c>
      <c r="C999" t="str">
        <v>CD-TIJ</v>
      </c>
      <c r="D999" t="str">
        <v>LAC-1001</v>
      </c>
      <c r="E999">
        <v>2145</v>
      </c>
      <c r="F999" s="1">
        <v>46175</v>
      </c>
      <c r="G999" t="str">
        <v>Delivered</v>
      </c>
      <c r="H999" t="str">
        <v>OK</v>
      </c>
      <c r="I999">
        <v>7.51</v>
      </c>
      <c r="J999">
        <v>83</v>
      </c>
      <c r="K999">
        <v>18</v>
      </c>
      <c r="L999" t="str">
        <v>OK</v>
      </c>
      <c r="M999">
        <v>2</v>
      </c>
      <c r="O999">
        <f t="shared" si="120"/>
        <v>25.843373493975903</v>
      </c>
      <c r="P999">
        <f t="shared" si="121"/>
        <v>67.120625000000004</v>
      </c>
      <c r="Q999">
        <f t="shared" si="122"/>
        <v>78.313253012048193</v>
      </c>
      <c r="R999">
        <f t="shared" si="123"/>
        <v>1</v>
      </c>
      <c r="S999">
        <f t="shared" si="124"/>
        <v>78.313253012048193</v>
      </c>
      <c r="T999" t="str">
        <f t="shared" si="125"/>
        <v>OK</v>
      </c>
      <c r="U999" t="str">
        <f t="shared" si="126"/>
        <v>OK</v>
      </c>
      <c r="V999" t="str">
        <f t="shared" si="127"/>
        <v>OK</v>
      </c>
    </row>
    <row r="1000" spans="1:22" x14ac:dyDescent="0.45">
      <c r="A1000" t="str">
        <v>SO-50233</v>
      </c>
      <c r="B1000" t="str">
        <v>PL-CEN</v>
      </c>
      <c r="C1000" t="str">
        <v>CD-QRO</v>
      </c>
      <c r="D1000" t="str">
        <v>ABA-1014</v>
      </c>
      <c r="E1000">
        <v>2129</v>
      </c>
      <c r="F1000" s="1">
        <v>46176</v>
      </c>
      <c r="G1000" t="str">
        <v>In Transit</v>
      </c>
      <c r="H1000" t="str">
        <v>OK</v>
      </c>
      <c r="I1000">
        <v>9.56</v>
      </c>
      <c r="J1000">
        <v>136</v>
      </c>
      <c r="K1000">
        <v>345</v>
      </c>
      <c r="L1000" t="str">
        <v>OK</v>
      </c>
      <c r="M1000">
        <v>1</v>
      </c>
      <c r="O1000">
        <f t="shared" si="120"/>
        <v>15.654411764705882</v>
      </c>
      <c r="P1000">
        <f t="shared" si="121"/>
        <v>84.805166666666679</v>
      </c>
      <c r="Q1000">
        <f t="shared" si="122"/>
        <v>47.437611408199643</v>
      </c>
      <c r="R1000">
        <f t="shared" si="123"/>
        <v>1</v>
      </c>
      <c r="S1000">
        <f t="shared" si="124"/>
        <v>84.805166666666679</v>
      </c>
      <c r="T1000" t="str">
        <f t="shared" si="125"/>
        <v>OK</v>
      </c>
      <c r="U1000" t="str">
        <f t="shared" si="126"/>
        <v>OK</v>
      </c>
      <c r="V1000" t="str">
        <f t="shared" si="127"/>
        <v>OK</v>
      </c>
    </row>
    <row r="1001" spans="1:22" x14ac:dyDescent="0.45">
      <c r="A1001" t="str">
        <v>SO-50989</v>
      </c>
      <c r="B1001" t="str">
        <v>PL-NTE</v>
      </c>
      <c r="C1001" t="str">
        <v>CD-TIJ</v>
      </c>
      <c r="D1001" t="str">
        <v>ABA-1019</v>
      </c>
      <c r="E1001">
        <v>1561</v>
      </c>
      <c r="F1001" s="1">
        <v>46175</v>
      </c>
      <c r="G1001" t="str">
        <v>Delivered</v>
      </c>
      <c r="H1001" t="str">
        <v>OK</v>
      </c>
      <c r="I1001">
        <v>14.82</v>
      </c>
      <c r="J1001">
        <v>132</v>
      </c>
      <c r="K1001">
        <v>373</v>
      </c>
      <c r="L1001" t="str">
        <v>OK</v>
      </c>
      <c r="M1001">
        <v>2</v>
      </c>
      <c r="O1001">
        <f t="shared" si="120"/>
        <v>11.825757575757576</v>
      </c>
      <c r="P1001">
        <f t="shared" si="121"/>
        <v>96.391750000000002</v>
      </c>
      <c r="Q1001">
        <f t="shared" si="122"/>
        <v>35.835629017447204</v>
      </c>
      <c r="R1001">
        <f t="shared" si="123"/>
        <v>1</v>
      </c>
      <c r="S1001">
        <f t="shared" si="124"/>
        <v>96.391750000000002</v>
      </c>
      <c r="T1001" t="str">
        <f t="shared" si="125"/>
        <v>OK</v>
      </c>
      <c r="U1001" t="str">
        <f t="shared" si="126"/>
        <v>OK</v>
      </c>
      <c r="V1001" t="str">
        <f t="shared" si="127"/>
        <v>OK</v>
      </c>
    </row>
    <row r="1002" spans="1:22" x14ac:dyDescent="0.45">
      <c r="A1002" t="str">
        <v>SO-50791</v>
      </c>
      <c r="B1002" t="str">
        <v>PL-CEN</v>
      </c>
      <c r="C1002" t="str">
        <v>CD-PUE</v>
      </c>
      <c r="D1002" t="str">
        <v>ABA-1012</v>
      </c>
      <c r="E1002">
        <v>1457</v>
      </c>
      <c r="F1002" s="1">
        <v>46176</v>
      </c>
      <c r="G1002" t="str">
        <v>In Transit</v>
      </c>
      <c r="H1002" t="str">
        <v>OK</v>
      </c>
      <c r="I1002">
        <v>15.14</v>
      </c>
      <c r="J1002">
        <v>117</v>
      </c>
      <c r="K1002">
        <v>484</v>
      </c>
      <c r="L1002" t="str">
        <v>OK</v>
      </c>
      <c r="M1002">
        <v>1</v>
      </c>
      <c r="O1002">
        <f t="shared" si="120"/>
        <v>12.452991452991453</v>
      </c>
      <c r="P1002">
        <f t="shared" si="121"/>
        <v>91.912416666666658</v>
      </c>
      <c r="Q1002">
        <f t="shared" si="122"/>
        <v>37.736337736337738</v>
      </c>
      <c r="R1002">
        <f t="shared" si="123"/>
        <v>1</v>
      </c>
      <c r="S1002">
        <f t="shared" si="124"/>
        <v>91.912416666666658</v>
      </c>
      <c r="T1002" t="str">
        <f t="shared" si="125"/>
        <v>OK</v>
      </c>
      <c r="U1002" t="str">
        <f t="shared" si="126"/>
        <v>OK</v>
      </c>
      <c r="V1002" t="str">
        <f t="shared" si="127"/>
        <v>OK</v>
      </c>
    </row>
    <row r="1003" spans="1:22" x14ac:dyDescent="0.45">
      <c r="A1003" t="str">
        <v>SO-50250</v>
      </c>
      <c r="B1003" t="str">
        <v>PL-NTE</v>
      </c>
      <c r="C1003" t="str">
        <v>CD-MTY</v>
      </c>
      <c r="D1003" t="str">
        <v>ABA-1007</v>
      </c>
      <c r="E1003">
        <v>2168</v>
      </c>
      <c r="F1003" s="1">
        <v>46176</v>
      </c>
      <c r="G1003" t="str">
        <v>In Transit</v>
      </c>
      <c r="H1003" t="str">
        <v>OK</v>
      </c>
      <c r="I1003">
        <v>9.7899999999999991</v>
      </c>
      <c r="J1003">
        <v>123</v>
      </c>
      <c r="K1003">
        <v>334</v>
      </c>
      <c r="L1003" t="str">
        <v>OK</v>
      </c>
      <c r="M1003">
        <v>1</v>
      </c>
      <c r="O1003">
        <f t="shared" si="120"/>
        <v>17.626016260162601</v>
      </c>
      <c r="P1003">
        <f t="shared" si="121"/>
        <v>88.436333333333323</v>
      </c>
      <c r="Q1003">
        <f t="shared" si="122"/>
        <v>53.412170485341214</v>
      </c>
      <c r="R1003">
        <f t="shared" si="123"/>
        <v>1</v>
      </c>
      <c r="S1003">
        <f t="shared" si="124"/>
        <v>88.436333333333323</v>
      </c>
      <c r="T1003" t="str">
        <f t="shared" si="125"/>
        <v>OK</v>
      </c>
      <c r="U1003" t="str">
        <f t="shared" si="126"/>
        <v>OK</v>
      </c>
      <c r="V1003" t="str">
        <f t="shared" si="127"/>
        <v>OK</v>
      </c>
    </row>
    <row r="1004" spans="1:22" x14ac:dyDescent="0.45">
      <c r="A1004" t="str">
        <v>SO-50071</v>
      </c>
      <c r="B1004" t="str">
        <v>PL-NTE</v>
      </c>
      <c r="C1004" t="str">
        <v>CD-MTY</v>
      </c>
      <c r="D1004" t="str">
        <v>BEB-1006</v>
      </c>
      <c r="E1004">
        <v>467</v>
      </c>
      <c r="F1004" s="1">
        <v>46176</v>
      </c>
      <c r="G1004" t="str">
        <v>In Transit</v>
      </c>
      <c r="H1004" t="str">
        <v>OK</v>
      </c>
      <c r="I1004">
        <v>17.18</v>
      </c>
      <c r="J1004">
        <v>81</v>
      </c>
      <c r="K1004">
        <v>293</v>
      </c>
      <c r="L1004" t="str">
        <v>OK</v>
      </c>
      <c r="M1004">
        <v>1</v>
      </c>
      <c r="O1004">
        <f t="shared" si="120"/>
        <v>5.7654320987654319</v>
      </c>
      <c r="P1004">
        <f t="shared" si="121"/>
        <v>33.429416666666668</v>
      </c>
      <c r="Q1004">
        <f t="shared" si="122"/>
        <v>17.471006359895249</v>
      </c>
      <c r="R1004">
        <f t="shared" si="123"/>
        <v>1</v>
      </c>
      <c r="S1004">
        <f t="shared" si="124"/>
        <v>33.429416666666668</v>
      </c>
      <c r="T1004" t="str">
        <f t="shared" si="125"/>
        <v>CARGA INEFICIENTE</v>
      </c>
      <c r="U1004" t="str">
        <f t="shared" si="126"/>
        <v>OK</v>
      </c>
      <c r="V1004" t="str">
        <f t="shared" si="127"/>
        <v>OK</v>
      </c>
    </row>
    <row r="1005" spans="1:22" x14ac:dyDescent="0.45">
      <c r="A1005" t="str">
        <v>SO-51068</v>
      </c>
      <c r="B1005" t="str">
        <v>PL-SUR</v>
      </c>
      <c r="C1005" t="str">
        <v>CD-GDL</v>
      </c>
      <c r="D1005" t="str">
        <v>BEB-1013</v>
      </c>
      <c r="E1005">
        <v>1143</v>
      </c>
      <c r="F1005" s="1">
        <v>46176</v>
      </c>
      <c r="G1005" t="str">
        <v>In Transit</v>
      </c>
      <c r="H1005" t="str">
        <v>OK</v>
      </c>
      <c r="I1005">
        <v>17.28</v>
      </c>
      <c r="J1005">
        <v>97</v>
      </c>
      <c r="K1005">
        <v>271</v>
      </c>
      <c r="L1005" t="str">
        <v>OK</v>
      </c>
      <c r="M1005">
        <v>1</v>
      </c>
      <c r="O1005">
        <f t="shared" si="120"/>
        <v>11.783505154639176</v>
      </c>
      <c r="P1005">
        <f t="shared" si="121"/>
        <v>82.296000000000006</v>
      </c>
      <c r="Q1005">
        <f t="shared" si="122"/>
        <v>35.707591377694477</v>
      </c>
      <c r="R1005">
        <f t="shared" si="123"/>
        <v>1</v>
      </c>
      <c r="S1005">
        <f t="shared" si="124"/>
        <v>82.296000000000006</v>
      </c>
      <c r="T1005" t="str">
        <f t="shared" si="125"/>
        <v>OK</v>
      </c>
      <c r="U1005" t="str">
        <f t="shared" si="126"/>
        <v>OK</v>
      </c>
      <c r="V1005" t="str">
        <f t="shared" si="127"/>
        <v>OK</v>
      </c>
    </row>
    <row r="1006" spans="1:22" x14ac:dyDescent="0.45">
      <c r="A1006" t="str">
        <v>SO-50176</v>
      </c>
      <c r="B1006" t="str">
        <v>PL-CEN</v>
      </c>
      <c r="C1006" t="str">
        <v>CD-TOL</v>
      </c>
      <c r="D1006" t="str">
        <v>LAC-1005</v>
      </c>
      <c r="E1006">
        <v>2400</v>
      </c>
      <c r="F1006" s="1">
        <v>46175</v>
      </c>
      <c r="G1006" t="str">
        <v>In Transit</v>
      </c>
      <c r="H1006" t="str">
        <v>OK</v>
      </c>
      <c r="I1006">
        <v>8.94</v>
      </c>
      <c r="J1006">
        <v>100</v>
      </c>
      <c r="K1006">
        <v>17</v>
      </c>
      <c r="L1006" t="str">
        <v>OK</v>
      </c>
      <c r="M1006">
        <v>2</v>
      </c>
      <c r="O1006">
        <f t="shared" si="120"/>
        <v>24</v>
      </c>
      <c r="P1006">
        <f t="shared" si="121"/>
        <v>89.4</v>
      </c>
      <c r="Q1006">
        <f t="shared" si="122"/>
        <v>72.727272727272734</v>
      </c>
      <c r="R1006">
        <f t="shared" si="123"/>
        <v>1</v>
      </c>
      <c r="S1006">
        <f t="shared" si="124"/>
        <v>89.4</v>
      </c>
      <c r="T1006" t="str">
        <f t="shared" si="125"/>
        <v>OK</v>
      </c>
      <c r="U1006" t="str">
        <f t="shared" si="126"/>
        <v>OK</v>
      </c>
      <c r="V1006" t="str">
        <f t="shared" si="127"/>
        <v>OK</v>
      </c>
    </row>
    <row r="1007" spans="1:22" x14ac:dyDescent="0.45">
      <c r="A1007" t="str">
        <v>SO-50708</v>
      </c>
      <c r="B1007" t="str">
        <v>PL-NTE</v>
      </c>
      <c r="C1007" t="str">
        <v>CD-HER</v>
      </c>
      <c r="D1007" t="str">
        <v>ABA-1018</v>
      </c>
      <c r="E1007">
        <v>680</v>
      </c>
      <c r="F1007" s="1">
        <v>46176</v>
      </c>
      <c r="G1007" t="str">
        <v>In Transit</v>
      </c>
      <c r="H1007" t="str">
        <v>OK</v>
      </c>
      <c r="I1007">
        <v>11.43</v>
      </c>
      <c r="J1007">
        <v>128</v>
      </c>
      <c r="K1007">
        <v>530</v>
      </c>
      <c r="L1007" t="str">
        <v>OK</v>
      </c>
      <c r="M1007">
        <v>1</v>
      </c>
      <c r="O1007">
        <f t="shared" si="120"/>
        <v>5.3125</v>
      </c>
      <c r="P1007">
        <f t="shared" si="121"/>
        <v>32.384999999999998</v>
      </c>
      <c r="Q1007">
        <f t="shared" si="122"/>
        <v>16.098484848484848</v>
      </c>
      <c r="R1007">
        <f t="shared" si="123"/>
        <v>1</v>
      </c>
      <c r="S1007">
        <f t="shared" si="124"/>
        <v>32.384999999999998</v>
      </c>
      <c r="T1007" t="str">
        <f t="shared" si="125"/>
        <v>CARGA INEFICIENTE</v>
      </c>
      <c r="U1007" t="str">
        <f t="shared" si="126"/>
        <v>OK</v>
      </c>
      <c r="V1007" t="str">
        <f t="shared" si="127"/>
        <v>OK</v>
      </c>
    </row>
    <row r="1008" spans="1:22" x14ac:dyDescent="0.45">
      <c r="A1008" t="str">
        <v>SO-50010</v>
      </c>
      <c r="B1008" t="str">
        <v>PL-SUR</v>
      </c>
      <c r="C1008" t="str">
        <v>CD-GDL</v>
      </c>
      <c r="D1008" t="str">
        <v>LAC-1001</v>
      </c>
      <c r="E1008">
        <v>2211</v>
      </c>
      <c r="F1008" s="1">
        <v>46176</v>
      </c>
      <c r="G1008" t="str">
        <v>In Transit</v>
      </c>
      <c r="H1008" t="str">
        <v>OK</v>
      </c>
      <c r="I1008">
        <v>7.51</v>
      </c>
      <c r="J1008">
        <v>83</v>
      </c>
      <c r="K1008">
        <v>18</v>
      </c>
      <c r="L1008" t="str">
        <v>OK</v>
      </c>
      <c r="M1008">
        <v>1</v>
      </c>
      <c r="O1008">
        <f t="shared" si="120"/>
        <v>26.638554216867469</v>
      </c>
      <c r="P1008">
        <f t="shared" si="121"/>
        <v>69.18587500000001</v>
      </c>
      <c r="Q1008">
        <f t="shared" si="122"/>
        <v>80.722891566265048</v>
      </c>
      <c r="R1008">
        <f t="shared" si="123"/>
        <v>1</v>
      </c>
      <c r="S1008">
        <f t="shared" si="124"/>
        <v>80.722891566265048</v>
      </c>
      <c r="T1008" t="str">
        <f t="shared" si="125"/>
        <v>OK</v>
      </c>
      <c r="U1008" t="str">
        <f t="shared" si="126"/>
        <v>OK</v>
      </c>
      <c r="V1008" t="str">
        <f t="shared" si="127"/>
        <v>OK</v>
      </c>
    </row>
    <row r="1009" spans="1:22" x14ac:dyDescent="0.45">
      <c r="A1009" t="str">
        <v>SO-50020</v>
      </c>
      <c r="B1009" t="str">
        <v>PL-NTE</v>
      </c>
      <c r="C1009" t="str">
        <v>CD-MTY</v>
      </c>
      <c r="D1009" t="str">
        <v>BOT-1007</v>
      </c>
      <c r="E1009">
        <v>909</v>
      </c>
      <c r="F1009" s="1">
        <v>46176</v>
      </c>
      <c r="G1009" t="str">
        <v>In Transit</v>
      </c>
      <c r="H1009" t="str">
        <v>OK</v>
      </c>
      <c r="I1009">
        <v>0</v>
      </c>
      <c r="J1009">
        <v>49</v>
      </c>
      <c r="K1009">
        <v>104</v>
      </c>
      <c r="L1009" t="str">
        <v>OK</v>
      </c>
      <c r="M1009">
        <v>1</v>
      </c>
      <c r="O1009">
        <f t="shared" si="120"/>
        <v>18.551020408163264</v>
      </c>
      <c r="P1009">
        <f t="shared" si="121"/>
        <v>0</v>
      </c>
      <c r="Q1009">
        <f t="shared" si="122"/>
        <v>56.215213358070493</v>
      </c>
      <c r="R1009">
        <f t="shared" si="123"/>
        <v>1</v>
      </c>
      <c r="S1009">
        <f t="shared" si="124"/>
        <v>56.215213358070493</v>
      </c>
      <c r="T1009" t="str">
        <f t="shared" si="125"/>
        <v>CARGA INEFICIENTE</v>
      </c>
      <c r="U1009" t="str">
        <f t="shared" si="126"/>
        <v>OK</v>
      </c>
      <c r="V1009" t="str">
        <f t="shared" si="127"/>
        <v>OK</v>
      </c>
    </row>
    <row r="1010" spans="1:22" x14ac:dyDescent="0.45">
      <c r="A1010" t="str">
        <v>SO-50577</v>
      </c>
      <c r="B1010" t="str">
        <v>PL-CEN</v>
      </c>
      <c r="C1010" t="str">
        <v>CD-VER</v>
      </c>
      <c r="D1010" t="str">
        <v>LAC-1003</v>
      </c>
      <c r="E1010">
        <v>2171</v>
      </c>
      <c r="F1010" s="1">
        <v>46175</v>
      </c>
      <c r="G1010" t="str">
        <v>In Transit</v>
      </c>
      <c r="H1010" t="str">
        <v>OK</v>
      </c>
      <c r="I1010">
        <v>9.02</v>
      </c>
      <c r="J1010">
        <v>114</v>
      </c>
      <c r="K1010">
        <v>18</v>
      </c>
      <c r="L1010" t="str">
        <v>OK</v>
      </c>
      <c r="M1010">
        <v>2</v>
      </c>
      <c r="O1010">
        <f t="shared" si="120"/>
        <v>19.043859649122808</v>
      </c>
      <c r="P1010">
        <f t="shared" si="121"/>
        <v>81.593416666666656</v>
      </c>
      <c r="Q1010">
        <f t="shared" si="122"/>
        <v>57.708665603402451</v>
      </c>
      <c r="R1010">
        <f t="shared" si="123"/>
        <v>1</v>
      </c>
      <c r="S1010">
        <f t="shared" si="124"/>
        <v>81.593416666666656</v>
      </c>
      <c r="T1010" t="str">
        <f t="shared" si="125"/>
        <v>OK</v>
      </c>
      <c r="U1010" t="str">
        <f t="shared" si="126"/>
        <v>OK</v>
      </c>
      <c r="V1010" t="str">
        <f t="shared" si="127"/>
        <v>OK</v>
      </c>
    </row>
    <row r="1011" spans="1:22" x14ac:dyDescent="0.45">
      <c r="A1011" t="str">
        <v>SO-50423</v>
      </c>
      <c r="B1011" t="str">
        <v>PL-CEN</v>
      </c>
      <c r="C1011" t="str">
        <v>CD-VER</v>
      </c>
      <c r="D1011" t="str">
        <v>BOT-1014</v>
      </c>
      <c r="E1011">
        <v>573</v>
      </c>
      <c r="F1011" s="1">
        <v>46176</v>
      </c>
      <c r="G1011" t="str">
        <v>In Transit</v>
      </c>
      <c r="H1011" t="str">
        <v>OK</v>
      </c>
      <c r="I1011">
        <v>3.92</v>
      </c>
      <c r="J1011">
        <v>49</v>
      </c>
      <c r="K1011">
        <v>98</v>
      </c>
      <c r="L1011" t="str">
        <v>OK</v>
      </c>
      <c r="M1011">
        <v>1</v>
      </c>
      <c r="O1011">
        <f t="shared" si="120"/>
        <v>11.693877551020408</v>
      </c>
      <c r="P1011">
        <f t="shared" si="121"/>
        <v>9.359</v>
      </c>
      <c r="Q1011">
        <f t="shared" si="122"/>
        <v>35.435992578849721</v>
      </c>
      <c r="R1011">
        <f t="shared" si="123"/>
        <v>1</v>
      </c>
      <c r="S1011">
        <f t="shared" si="124"/>
        <v>35.435992578849721</v>
      </c>
      <c r="T1011" t="str">
        <f t="shared" si="125"/>
        <v>CARGA INEFICIENTE</v>
      </c>
      <c r="U1011" t="str">
        <f t="shared" si="126"/>
        <v>OK</v>
      </c>
      <c r="V1011" t="str">
        <f t="shared" si="127"/>
        <v>OK</v>
      </c>
    </row>
    <row r="1012" spans="1:22" x14ac:dyDescent="0.45">
      <c r="A1012" t="str">
        <v>SO-50292</v>
      </c>
      <c r="B1012" t="str">
        <v>PL-SUR</v>
      </c>
      <c r="C1012" t="str">
        <v>CD-MER</v>
      </c>
      <c r="D1012" t="str">
        <v>LAC-1007</v>
      </c>
      <c r="E1012">
        <v>2052</v>
      </c>
      <c r="F1012" s="1">
        <v>46175</v>
      </c>
      <c r="G1012" t="str">
        <v>In Transit</v>
      </c>
      <c r="H1012" t="str">
        <v>OK</v>
      </c>
      <c r="I1012">
        <v>10.37</v>
      </c>
      <c r="J1012">
        <v>100</v>
      </c>
      <c r="K1012">
        <v>24</v>
      </c>
      <c r="L1012" t="str">
        <v>OK</v>
      </c>
      <c r="M1012">
        <v>2</v>
      </c>
      <c r="O1012">
        <f t="shared" si="120"/>
        <v>20.52</v>
      </c>
      <c r="P1012">
        <f t="shared" si="121"/>
        <v>88.663499999999999</v>
      </c>
      <c r="Q1012">
        <f t="shared" si="122"/>
        <v>62.18181818181818</v>
      </c>
      <c r="R1012">
        <f t="shared" si="123"/>
        <v>1</v>
      </c>
      <c r="S1012">
        <f t="shared" si="124"/>
        <v>88.663499999999999</v>
      </c>
      <c r="T1012" t="str">
        <f t="shared" si="125"/>
        <v>OK</v>
      </c>
      <c r="U1012" t="str">
        <f t="shared" si="126"/>
        <v>OK</v>
      </c>
      <c r="V1012" t="str">
        <f t="shared" si="127"/>
        <v>OK</v>
      </c>
    </row>
    <row r="1013" spans="1:22" x14ac:dyDescent="0.45">
      <c r="A1013" t="str">
        <v>SO-50655</v>
      </c>
      <c r="B1013" t="str">
        <v>PL-NTE</v>
      </c>
      <c r="C1013" t="str">
        <v>CD-MTY</v>
      </c>
      <c r="D1013" t="str">
        <v>ABA-1008</v>
      </c>
      <c r="E1013">
        <v>2068</v>
      </c>
      <c r="F1013" s="1">
        <v>46176</v>
      </c>
      <c r="G1013" t="str">
        <v>In Transit</v>
      </c>
      <c r="H1013" t="str">
        <v>OK</v>
      </c>
      <c r="I1013">
        <v>10.6</v>
      </c>
      <c r="J1013">
        <v>96</v>
      </c>
      <c r="K1013">
        <v>445</v>
      </c>
      <c r="L1013" t="str">
        <v>OK</v>
      </c>
      <c r="M1013">
        <v>1</v>
      </c>
      <c r="O1013">
        <f t="shared" si="120"/>
        <v>21.541666666666668</v>
      </c>
      <c r="P1013">
        <f t="shared" si="121"/>
        <v>91.336666666666673</v>
      </c>
      <c r="Q1013">
        <f t="shared" si="122"/>
        <v>65.277777777777786</v>
      </c>
      <c r="R1013">
        <f t="shared" si="123"/>
        <v>1</v>
      </c>
      <c r="S1013">
        <f t="shared" si="124"/>
        <v>91.336666666666673</v>
      </c>
      <c r="T1013" t="str">
        <f t="shared" si="125"/>
        <v>OK</v>
      </c>
      <c r="U1013" t="str">
        <f t="shared" si="126"/>
        <v>OK</v>
      </c>
      <c r="V1013" t="str">
        <f t="shared" si="127"/>
        <v>OK</v>
      </c>
    </row>
    <row r="1014" spans="1:22" x14ac:dyDescent="0.45">
      <c r="A1014" t="str">
        <v>SO-50227</v>
      </c>
      <c r="B1014" t="str">
        <v>PL-SUR</v>
      </c>
      <c r="C1014" t="str">
        <v>CD-MER</v>
      </c>
      <c r="D1014" t="str">
        <v>PRO-1012</v>
      </c>
      <c r="E1014">
        <v>3135</v>
      </c>
      <c r="F1014" s="1">
        <v>46173</v>
      </c>
      <c r="G1014" t="str">
        <v>In Transit</v>
      </c>
      <c r="H1014" t="str">
        <v>OK</v>
      </c>
      <c r="I1014">
        <v>6.87</v>
      </c>
      <c r="J1014">
        <v>101</v>
      </c>
      <c r="K1014">
        <v>62</v>
      </c>
      <c r="L1014" t="str">
        <v>OK</v>
      </c>
      <c r="M1014">
        <v>4</v>
      </c>
      <c r="O1014">
        <f t="shared" si="120"/>
        <v>31.03960396039604</v>
      </c>
      <c r="P1014">
        <f t="shared" si="121"/>
        <v>89.739374999999995</v>
      </c>
      <c r="Q1014">
        <f t="shared" si="122"/>
        <v>94.059405940594047</v>
      </c>
      <c r="R1014">
        <f t="shared" si="123"/>
        <v>1</v>
      </c>
      <c r="S1014">
        <f t="shared" si="124"/>
        <v>94.059405940594047</v>
      </c>
      <c r="T1014" t="str">
        <f t="shared" si="125"/>
        <v>OK</v>
      </c>
      <c r="U1014" t="str">
        <f t="shared" si="126"/>
        <v>OK</v>
      </c>
      <c r="V1014" t="str">
        <f t="shared" si="127"/>
        <v>OK</v>
      </c>
    </row>
    <row r="1015" spans="1:22" x14ac:dyDescent="0.45">
      <c r="A1015" t="str">
        <v>SO-50994</v>
      </c>
      <c r="B1015" t="str">
        <v>PL-CEN</v>
      </c>
      <c r="C1015" t="str">
        <v>CD-TOL</v>
      </c>
      <c r="D1015" t="str">
        <v>LAC-1002</v>
      </c>
      <c r="E1015">
        <v>1063</v>
      </c>
      <c r="F1015" s="1">
        <v>46176</v>
      </c>
      <c r="G1015" t="str">
        <v>In Transit</v>
      </c>
      <c r="H1015" t="str">
        <v>OK</v>
      </c>
      <c r="I1015">
        <v>7.71</v>
      </c>
      <c r="J1015">
        <v>101</v>
      </c>
      <c r="K1015">
        <v>23</v>
      </c>
      <c r="L1015" t="str">
        <v>OK</v>
      </c>
      <c r="M1015">
        <v>1</v>
      </c>
      <c r="O1015">
        <f t="shared" si="120"/>
        <v>10.524752475247524</v>
      </c>
      <c r="P1015">
        <f t="shared" si="121"/>
        <v>34.148875000000004</v>
      </c>
      <c r="Q1015">
        <f t="shared" si="122"/>
        <v>31.893189318931892</v>
      </c>
      <c r="R1015">
        <f t="shared" si="123"/>
        <v>1</v>
      </c>
      <c r="S1015">
        <f t="shared" si="124"/>
        <v>34.148875000000004</v>
      </c>
      <c r="T1015" t="str">
        <f t="shared" si="125"/>
        <v>CARGA INEFICIENTE</v>
      </c>
      <c r="U1015" t="str">
        <f t="shared" si="126"/>
        <v>OK</v>
      </c>
      <c r="V1015" t="str">
        <f t="shared" si="127"/>
        <v>OK</v>
      </c>
    </row>
    <row r="1016" spans="1:22" x14ac:dyDescent="0.45">
      <c r="A1016" t="str">
        <v>SO-50617</v>
      </c>
      <c r="B1016" t="str">
        <v>PL-SUR</v>
      </c>
      <c r="C1016" t="str">
        <v>CD-MOR</v>
      </c>
      <c r="D1016" t="str">
        <v>BOT-1016</v>
      </c>
      <c r="E1016">
        <v>1290</v>
      </c>
      <c r="F1016" s="1">
        <v>46175</v>
      </c>
      <c r="G1016" t="str">
        <v>In Transit</v>
      </c>
      <c r="H1016" t="str">
        <v>OK</v>
      </c>
      <c r="I1016">
        <v>5.53</v>
      </c>
      <c r="J1016">
        <v>42</v>
      </c>
      <c r="K1016">
        <v>114</v>
      </c>
      <c r="L1016" t="str">
        <v>OK</v>
      </c>
      <c r="M1016">
        <v>2</v>
      </c>
      <c r="O1016">
        <f t="shared" si="120"/>
        <v>30.714285714285715</v>
      </c>
      <c r="P1016">
        <f t="shared" si="121"/>
        <v>29.723750000000003</v>
      </c>
      <c r="Q1016">
        <f t="shared" si="122"/>
        <v>93.073593073593074</v>
      </c>
      <c r="R1016">
        <f t="shared" si="123"/>
        <v>1</v>
      </c>
      <c r="S1016">
        <f t="shared" si="124"/>
        <v>93.073593073593074</v>
      </c>
      <c r="T1016" t="str">
        <f t="shared" si="125"/>
        <v>OK</v>
      </c>
      <c r="U1016" t="str">
        <f t="shared" si="126"/>
        <v>OK</v>
      </c>
      <c r="V1016" t="str">
        <f t="shared" si="127"/>
        <v>OK</v>
      </c>
    </row>
    <row r="1017" spans="1:22" x14ac:dyDescent="0.45">
      <c r="A1017" t="str">
        <v>SO-51067</v>
      </c>
      <c r="B1017" t="str">
        <v>PL-SUR</v>
      </c>
      <c r="C1017" t="str">
        <v>CD-MOR</v>
      </c>
      <c r="D1017" t="str">
        <v>PRO-1000</v>
      </c>
      <c r="E1017">
        <v>1042</v>
      </c>
      <c r="F1017" s="1">
        <v>46176</v>
      </c>
      <c r="G1017" t="str">
        <v>In Transit</v>
      </c>
      <c r="H1017" t="str">
        <v>OK</v>
      </c>
      <c r="I1017">
        <v>12.51</v>
      </c>
      <c r="J1017">
        <v>73</v>
      </c>
      <c r="K1017">
        <v>75</v>
      </c>
      <c r="L1017" t="str">
        <v>OK</v>
      </c>
      <c r="M1017">
        <v>1</v>
      </c>
      <c r="O1017">
        <f t="shared" si="120"/>
        <v>14.273972602739725</v>
      </c>
      <c r="P1017">
        <f t="shared" si="121"/>
        <v>54.314249999999994</v>
      </c>
      <c r="Q1017">
        <f t="shared" si="122"/>
        <v>43.254462432544621</v>
      </c>
      <c r="R1017">
        <f t="shared" si="123"/>
        <v>1</v>
      </c>
      <c r="S1017">
        <f t="shared" si="124"/>
        <v>54.314249999999994</v>
      </c>
      <c r="T1017" t="str">
        <f t="shared" si="125"/>
        <v>CARGA INEFICIENTE</v>
      </c>
      <c r="U1017" t="str">
        <f t="shared" si="126"/>
        <v>OK</v>
      </c>
      <c r="V1017" t="str">
        <f t="shared" si="127"/>
        <v>OK</v>
      </c>
    </row>
    <row r="1018" spans="1:22" x14ac:dyDescent="0.45">
      <c r="A1018" t="str">
        <v>SO-50524</v>
      </c>
      <c r="B1018" t="str">
        <v>PL-CEN</v>
      </c>
      <c r="C1018" t="str">
        <v>CD-CDMX</v>
      </c>
      <c r="D1018" t="str">
        <v>BOT-1010</v>
      </c>
      <c r="E1018">
        <v>696</v>
      </c>
      <c r="F1018" s="1">
        <v>46176</v>
      </c>
      <c r="G1018" t="str">
        <v>In Transit</v>
      </c>
      <c r="H1018" t="str">
        <v>OK</v>
      </c>
      <c r="I1018">
        <v>5.09</v>
      </c>
      <c r="J1018">
        <v>40</v>
      </c>
      <c r="K1018">
        <v>90</v>
      </c>
      <c r="L1018" t="str">
        <v>OK</v>
      </c>
      <c r="M1018">
        <v>1</v>
      </c>
      <c r="O1018">
        <f t="shared" si="120"/>
        <v>17.399999999999999</v>
      </c>
      <c r="P1018">
        <f t="shared" si="121"/>
        <v>14.760999999999999</v>
      </c>
      <c r="Q1018">
        <f t="shared" si="122"/>
        <v>52.72727272727272</v>
      </c>
      <c r="R1018">
        <f t="shared" si="123"/>
        <v>1</v>
      </c>
      <c r="S1018">
        <f t="shared" si="124"/>
        <v>52.72727272727272</v>
      </c>
      <c r="T1018" t="str">
        <f t="shared" si="125"/>
        <v>CARGA INEFICIENTE</v>
      </c>
      <c r="U1018" t="str">
        <f t="shared" si="126"/>
        <v>OK</v>
      </c>
      <c r="V1018" t="str">
        <f t="shared" si="127"/>
        <v>OK</v>
      </c>
    </row>
    <row r="1019" spans="1:22" x14ac:dyDescent="0.45">
      <c r="A1019" t="str">
        <v>SO-50383</v>
      </c>
      <c r="B1019" t="str">
        <v>PL-NTE</v>
      </c>
      <c r="C1019" t="str">
        <v>CD-MTY</v>
      </c>
      <c r="D1019" t="str">
        <v>LAC-1017</v>
      </c>
      <c r="E1019">
        <v>2635</v>
      </c>
      <c r="F1019" s="1">
        <v>46176</v>
      </c>
      <c r="G1019" t="str">
        <v>In Transit</v>
      </c>
      <c r="H1019" t="str">
        <v>OK</v>
      </c>
      <c r="I1019">
        <v>7.45</v>
      </c>
      <c r="J1019">
        <v>147</v>
      </c>
      <c r="K1019">
        <v>28</v>
      </c>
      <c r="L1019" t="str">
        <v>OK</v>
      </c>
      <c r="M1019">
        <v>1</v>
      </c>
      <c r="O1019">
        <f t="shared" si="120"/>
        <v>17.92517006802721</v>
      </c>
      <c r="P1019">
        <f t="shared" si="121"/>
        <v>81.794791666666669</v>
      </c>
      <c r="Q1019">
        <f t="shared" si="122"/>
        <v>54.318697175840036</v>
      </c>
      <c r="R1019">
        <f t="shared" si="123"/>
        <v>1</v>
      </c>
      <c r="S1019">
        <f t="shared" si="124"/>
        <v>81.794791666666669</v>
      </c>
      <c r="T1019" t="str">
        <f t="shared" si="125"/>
        <v>OK</v>
      </c>
      <c r="U1019" t="str">
        <f t="shared" si="126"/>
        <v>OK</v>
      </c>
      <c r="V1019" t="str">
        <f t="shared" si="127"/>
        <v>OK</v>
      </c>
    </row>
    <row r="1020" spans="1:22" x14ac:dyDescent="0.45">
      <c r="A1020" t="str">
        <v>SO-50704</v>
      </c>
      <c r="B1020" t="str">
        <v>PL-SUR</v>
      </c>
      <c r="C1020" t="str">
        <v>CD-GDL</v>
      </c>
      <c r="D1020" t="str">
        <v>BOT-1007</v>
      </c>
      <c r="E1020">
        <v>2538</v>
      </c>
      <c r="F1020" s="1">
        <v>46176</v>
      </c>
      <c r="G1020" t="str">
        <v>In Transit</v>
      </c>
      <c r="H1020" t="str">
        <v>OK</v>
      </c>
      <c r="I1020">
        <v>0</v>
      </c>
      <c r="J1020">
        <v>49</v>
      </c>
      <c r="K1020">
        <v>104</v>
      </c>
      <c r="L1020" t="str">
        <v>OK</v>
      </c>
      <c r="M1020">
        <v>1</v>
      </c>
      <c r="O1020">
        <f t="shared" si="120"/>
        <v>51.795918367346935</v>
      </c>
      <c r="P1020">
        <f t="shared" si="121"/>
        <v>0</v>
      </c>
      <c r="Q1020">
        <f t="shared" si="122"/>
        <v>156.95732838589979</v>
      </c>
      <c r="R1020">
        <f t="shared" si="123"/>
        <v>2</v>
      </c>
      <c r="S1020">
        <f t="shared" si="124"/>
        <v>78.478664192949893</v>
      </c>
      <c r="T1020" t="str">
        <f t="shared" si="125"/>
        <v>OK</v>
      </c>
      <c r="U1020" t="str">
        <f t="shared" si="126"/>
        <v>OK</v>
      </c>
      <c r="V1020" t="str">
        <f t="shared" si="127"/>
        <v>OK</v>
      </c>
    </row>
    <row r="1021" spans="1:22" x14ac:dyDescent="0.45">
      <c r="A1021" t="str">
        <v>SO-50725</v>
      </c>
      <c r="B1021" t="str">
        <v>PL-NTE</v>
      </c>
      <c r="C1021" t="str">
        <v>CD-CHI</v>
      </c>
      <c r="D1021" t="str">
        <v>LAC-1007</v>
      </c>
      <c r="E1021">
        <v>561</v>
      </c>
      <c r="F1021" s="1">
        <v>46176</v>
      </c>
      <c r="G1021" t="str">
        <v>In Transit</v>
      </c>
      <c r="H1021" t="str">
        <v>OK</v>
      </c>
      <c r="I1021">
        <v>10.37</v>
      </c>
      <c r="J1021">
        <v>100</v>
      </c>
      <c r="K1021">
        <v>24</v>
      </c>
      <c r="L1021" t="str">
        <v>OK</v>
      </c>
      <c r="M1021">
        <v>1</v>
      </c>
      <c r="O1021">
        <f t="shared" si="120"/>
        <v>5.61</v>
      </c>
      <c r="P1021">
        <f t="shared" si="121"/>
        <v>24.239874999999998</v>
      </c>
      <c r="Q1021">
        <f t="shared" si="122"/>
        <v>17</v>
      </c>
      <c r="R1021">
        <f t="shared" si="123"/>
        <v>1</v>
      </c>
      <c r="S1021">
        <f t="shared" si="124"/>
        <v>24.239874999999998</v>
      </c>
      <c r="T1021" t="str">
        <f t="shared" si="125"/>
        <v>CARGA INEFICIENTE</v>
      </c>
      <c r="U1021" t="str">
        <f t="shared" si="126"/>
        <v>OK</v>
      </c>
      <c r="V1021" t="str">
        <f t="shared" si="127"/>
        <v>OK</v>
      </c>
    </row>
    <row r="1022" spans="1:22" x14ac:dyDescent="0.45">
      <c r="A1022" t="str">
        <v>SO-50094</v>
      </c>
      <c r="B1022" t="str">
        <v>PL-NTE</v>
      </c>
      <c r="C1022" t="str">
        <v>CD-TIJ</v>
      </c>
      <c r="D1022" t="str">
        <v>LAC-1012</v>
      </c>
      <c r="E1022">
        <v>2055</v>
      </c>
      <c r="F1022" s="1">
        <v>46173</v>
      </c>
      <c r="G1022" t="str">
        <v>In Transit</v>
      </c>
      <c r="H1022" t="str">
        <v>OK</v>
      </c>
      <c r="I1022">
        <v>9.8699999999999992</v>
      </c>
      <c r="J1022">
        <v>88</v>
      </c>
      <c r="K1022">
        <v>25</v>
      </c>
      <c r="L1022" t="str">
        <v>OK</v>
      </c>
      <c r="M1022">
        <v>4</v>
      </c>
      <c r="O1022">
        <f t="shared" si="120"/>
        <v>23.352272727272727</v>
      </c>
      <c r="P1022">
        <f t="shared" si="121"/>
        <v>84.511874999999989</v>
      </c>
      <c r="Q1022">
        <f t="shared" si="122"/>
        <v>70.764462809917347</v>
      </c>
      <c r="R1022">
        <f t="shared" si="123"/>
        <v>1</v>
      </c>
      <c r="S1022">
        <f t="shared" si="124"/>
        <v>84.511874999999989</v>
      </c>
      <c r="T1022" t="str">
        <f t="shared" si="125"/>
        <v>OK</v>
      </c>
      <c r="U1022" t="str">
        <f t="shared" si="126"/>
        <v>OK</v>
      </c>
      <c r="V1022" t="str">
        <f t="shared" si="127"/>
        <v>OK</v>
      </c>
    </row>
    <row r="1023" spans="1:22" x14ac:dyDescent="0.45">
      <c r="A1023" t="str">
        <v>SO-50613</v>
      </c>
      <c r="B1023" t="str">
        <v>PL-NTE</v>
      </c>
      <c r="C1023" t="str">
        <v>CD-SAL</v>
      </c>
      <c r="D1023" t="str">
        <v>PRO-1013</v>
      </c>
      <c r="E1023">
        <v>1588</v>
      </c>
      <c r="F1023" s="1">
        <v>46175</v>
      </c>
      <c r="G1023" t="str">
        <v>In Transit</v>
      </c>
      <c r="H1023" t="str">
        <v>OK</v>
      </c>
      <c r="I1023">
        <v>4.37</v>
      </c>
      <c r="J1023">
        <v>58</v>
      </c>
      <c r="K1023">
        <v>92</v>
      </c>
      <c r="L1023" t="str">
        <v>OK</v>
      </c>
      <c r="M1023">
        <v>2</v>
      </c>
      <c r="O1023">
        <f t="shared" si="120"/>
        <v>27.379310344827587</v>
      </c>
      <c r="P1023">
        <f t="shared" si="121"/>
        <v>28.914833333333334</v>
      </c>
      <c r="Q1023">
        <f t="shared" si="122"/>
        <v>82.96760710553815</v>
      </c>
      <c r="R1023">
        <f t="shared" si="123"/>
        <v>1</v>
      </c>
      <c r="S1023">
        <f t="shared" si="124"/>
        <v>82.96760710553815</v>
      </c>
      <c r="T1023" t="str">
        <f t="shared" si="125"/>
        <v>OK</v>
      </c>
      <c r="U1023" t="str">
        <f t="shared" si="126"/>
        <v>OK</v>
      </c>
      <c r="V1023" t="str">
        <f t="shared" si="127"/>
        <v>OK</v>
      </c>
    </row>
    <row r="1024" spans="1:22" x14ac:dyDescent="0.45">
      <c r="A1024" t="str">
        <v>SO-50461</v>
      </c>
      <c r="B1024" t="str">
        <v>PL-SUR</v>
      </c>
      <c r="C1024" t="str">
        <v>CD-GDL</v>
      </c>
      <c r="D1024" t="str">
        <v>BOT-1005</v>
      </c>
      <c r="E1024">
        <v>640</v>
      </c>
      <c r="F1024" s="1">
        <v>46176</v>
      </c>
      <c r="G1024" t="str">
        <v>In Transit</v>
      </c>
      <c r="H1024" t="str">
        <v>OK</v>
      </c>
      <c r="I1024">
        <v>5.49</v>
      </c>
      <c r="J1024">
        <v>62</v>
      </c>
      <c r="K1024">
        <v>91</v>
      </c>
      <c r="L1024" t="str">
        <v>OK</v>
      </c>
      <c r="M1024">
        <v>1</v>
      </c>
      <c r="O1024">
        <f t="shared" si="120"/>
        <v>10.32258064516129</v>
      </c>
      <c r="P1024">
        <f t="shared" si="121"/>
        <v>14.64</v>
      </c>
      <c r="Q1024">
        <f t="shared" si="122"/>
        <v>31.280547409579668</v>
      </c>
      <c r="R1024">
        <f t="shared" si="123"/>
        <v>1</v>
      </c>
      <c r="S1024">
        <f t="shared" si="124"/>
        <v>31.280547409579668</v>
      </c>
      <c r="T1024" t="str">
        <f t="shared" si="125"/>
        <v>CARGA INEFICIENTE</v>
      </c>
      <c r="U1024" t="str">
        <f t="shared" si="126"/>
        <v>OK</v>
      </c>
      <c r="V1024" t="str">
        <f t="shared" si="127"/>
        <v>OK</v>
      </c>
    </row>
    <row r="1025" spans="1:22" x14ac:dyDescent="0.45">
      <c r="A1025" t="str">
        <v>SO-50696</v>
      </c>
      <c r="B1025" t="str">
        <v>PL-NTE</v>
      </c>
      <c r="C1025" t="str">
        <v>CD-MTY</v>
      </c>
      <c r="D1025" t="str">
        <v>BOT-1011</v>
      </c>
      <c r="E1025">
        <v>2743</v>
      </c>
      <c r="F1025" s="1">
        <v>46176</v>
      </c>
      <c r="G1025" t="str">
        <v>In Transit</v>
      </c>
      <c r="H1025" t="str">
        <v>OK</v>
      </c>
      <c r="I1025">
        <v>3.43</v>
      </c>
      <c r="J1025">
        <v>88</v>
      </c>
      <c r="K1025">
        <v>109</v>
      </c>
      <c r="L1025" t="str">
        <v>OK</v>
      </c>
      <c r="M1025">
        <v>1</v>
      </c>
      <c r="O1025">
        <f t="shared" si="120"/>
        <v>31.170454545454547</v>
      </c>
      <c r="P1025">
        <f t="shared" si="121"/>
        <v>39.202041666666666</v>
      </c>
      <c r="Q1025">
        <f t="shared" si="122"/>
        <v>94.455922865013775</v>
      </c>
      <c r="R1025">
        <f t="shared" si="123"/>
        <v>1</v>
      </c>
      <c r="S1025">
        <f t="shared" si="124"/>
        <v>94.455922865013775</v>
      </c>
      <c r="T1025" t="str">
        <f t="shared" si="125"/>
        <v>OK</v>
      </c>
      <c r="U1025" t="str">
        <f t="shared" si="126"/>
        <v>OK</v>
      </c>
      <c r="V1025" t="str">
        <f t="shared" si="127"/>
        <v>OK</v>
      </c>
    </row>
    <row r="1026" spans="1:22" x14ac:dyDescent="0.45">
      <c r="A1026" t="str">
        <v>SO-50248</v>
      </c>
      <c r="B1026" t="str">
        <v>PL-SUR</v>
      </c>
      <c r="C1026" t="str">
        <v>CD-LEO</v>
      </c>
      <c r="D1026" t="str">
        <v>PRO-1005</v>
      </c>
      <c r="E1026">
        <v>1979</v>
      </c>
      <c r="F1026" s="1">
        <v>46176</v>
      </c>
      <c r="G1026" t="str">
        <v>In Transit</v>
      </c>
      <c r="H1026" t="str">
        <v>OK</v>
      </c>
      <c r="I1026">
        <v>11.02</v>
      </c>
      <c r="J1026">
        <v>69</v>
      </c>
      <c r="K1026">
        <v>86</v>
      </c>
      <c r="L1026" t="str">
        <v>OK</v>
      </c>
      <c r="M1026">
        <v>1</v>
      </c>
      <c r="O1026">
        <f t="shared" si="120"/>
        <v>28.681159420289855</v>
      </c>
      <c r="P1026">
        <f t="shared" si="121"/>
        <v>90.869083333333322</v>
      </c>
      <c r="Q1026">
        <f t="shared" si="122"/>
        <v>86.912604303908665</v>
      </c>
      <c r="R1026">
        <f t="shared" si="123"/>
        <v>1</v>
      </c>
      <c r="S1026">
        <f t="shared" si="124"/>
        <v>90.869083333333322</v>
      </c>
      <c r="T1026" t="str">
        <f t="shared" si="125"/>
        <v>OK</v>
      </c>
      <c r="U1026" t="str">
        <f t="shared" si="126"/>
        <v>OK</v>
      </c>
      <c r="V1026" t="str">
        <f t="shared" si="127"/>
        <v>OK</v>
      </c>
    </row>
    <row r="1027" spans="1:22" x14ac:dyDescent="0.45">
      <c r="A1027" t="str">
        <v>SO-50743</v>
      </c>
      <c r="B1027" t="str">
        <v>PL-SUR</v>
      </c>
      <c r="C1027" t="str">
        <v>CD-GDL</v>
      </c>
      <c r="D1027" t="str">
        <v>ABA-1012</v>
      </c>
      <c r="E1027">
        <v>899</v>
      </c>
      <c r="F1027" s="1">
        <v>46176</v>
      </c>
      <c r="G1027" t="str">
        <v>In Transit</v>
      </c>
      <c r="H1027" t="str">
        <v>OK</v>
      </c>
      <c r="I1027">
        <v>15.14</v>
      </c>
      <c r="J1027">
        <v>117</v>
      </c>
      <c r="K1027">
        <v>484</v>
      </c>
      <c r="L1027" t="str">
        <v>OK</v>
      </c>
      <c r="M1027">
        <v>1</v>
      </c>
      <c r="O1027">
        <f t="shared" ref="O1027:O1090" si="128">IF(L1027="HUERFANO","n/a",IF(ISNUMBER(J1027),E1027/J1027,"n/a"))</f>
        <v>7.683760683760684</v>
      </c>
      <c r="P1027">
        <f t="shared" ref="P1027:P1090" si="129">IF(L1027="HUERFANO","n/a",IFERROR(E1027*I1027/24000*100,""))</f>
        <v>56.711916666666674</v>
      </c>
      <c r="Q1027">
        <f t="shared" ref="Q1027:Q1090" si="130">IF(L1027="HUERFANO","n/a",IFERROR(O1027/33*100,""))</f>
        <v>23.284123284123286</v>
      </c>
      <c r="R1027">
        <f t="shared" ref="R1027:R1090" si="131">IF(L1027="HUERFANO","n/a",IFERROR(MAX(CEILING(P1027/100,1),CEILING(Q1027/100,1)),""))</f>
        <v>1</v>
      </c>
      <c r="S1027">
        <f t="shared" ref="S1027:S1090" si="132">IF(L1027="HUERFANO","n/a",IFERROR(MAX(P1027,Q1027)/(R1027*100)*100,""))</f>
        <v>56.711916666666674</v>
      </c>
      <c r="T1027" t="str">
        <f t="shared" ref="T1027:T1090" si="133">IF(L1027="HUERFANO","n/a",IF(S1027&lt;75,"CARGA INEFICIENTE","OK"))</f>
        <v>CARGA INEFICIENTE</v>
      </c>
      <c r="U1027" t="str">
        <f t="shared" ref="U1027:U1090" si="134">IF(L1027="HUERFANO","n/a",IF(AND(LEFT(D1027,3)="LAC",(K1027-M1027)/K1027*100&lt;70),"FEFO RIESGO","OK"))</f>
        <v>OK</v>
      </c>
      <c r="V1027" t="str">
        <f t="shared" ref="V1027:V1090" si="135">IF(L1027="HUERFANO","n/a",IF(AND(G1027="In Transit",M1027&gt;5),"FANTASMA","OK"))</f>
        <v>OK</v>
      </c>
    </row>
    <row r="1028" spans="1:22" x14ac:dyDescent="0.45">
      <c r="A1028" t="str">
        <v>SO-50678</v>
      </c>
      <c r="B1028" t="str">
        <v>PL-CEN</v>
      </c>
      <c r="C1028" t="str">
        <v>CD-PUE</v>
      </c>
      <c r="D1028" t="str">
        <v>BOT-1000</v>
      </c>
      <c r="E1028">
        <v>1910</v>
      </c>
      <c r="F1028" s="1">
        <v>46176</v>
      </c>
      <c r="G1028" t="str">
        <v>In Transit</v>
      </c>
      <c r="H1028" t="str">
        <v>OK</v>
      </c>
      <c r="I1028">
        <v>3.56</v>
      </c>
      <c r="J1028">
        <v>64</v>
      </c>
      <c r="K1028">
        <v>92</v>
      </c>
      <c r="L1028" t="str">
        <v>OK</v>
      </c>
      <c r="M1028">
        <v>1</v>
      </c>
      <c r="O1028">
        <f t="shared" si="128"/>
        <v>29.84375</v>
      </c>
      <c r="P1028">
        <f t="shared" si="129"/>
        <v>28.331666666666667</v>
      </c>
      <c r="Q1028">
        <f t="shared" si="130"/>
        <v>90.435606060606062</v>
      </c>
      <c r="R1028">
        <f t="shared" si="131"/>
        <v>1</v>
      </c>
      <c r="S1028">
        <f t="shared" si="132"/>
        <v>90.435606060606062</v>
      </c>
      <c r="T1028" t="str">
        <f t="shared" si="133"/>
        <v>OK</v>
      </c>
      <c r="U1028" t="str">
        <f t="shared" si="134"/>
        <v>OK</v>
      </c>
      <c r="V1028" t="str">
        <f t="shared" si="135"/>
        <v>OK</v>
      </c>
    </row>
    <row r="1029" spans="1:22" x14ac:dyDescent="0.45">
      <c r="A1029" t="str">
        <v>SO-50278</v>
      </c>
      <c r="B1029" t="str">
        <v>PL-NTE</v>
      </c>
      <c r="C1029" t="str">
        <v>CD-CHI</v>
      </c>
      <c r="D1029" t="str">
        <v>PRO-1006</v>
      </c>
      <c r="E1029">
        <v>1809</v>
      </c>
      <c r="F1029" s="1">
        <v>46174</v>
      </c>
      <c r="G1029" t="str">
        <v>Delivered</v>
      </c>
      <c r="H1029" t="str">
        <v>OK</v>
      </c>
      <c r="I1029">
        <v>12.09</v>
      </c>
      <c r="J1029">
        <v>80</v>
      </c>
      <c r="K1029">
        <v>138</v>
      </c>
      <c r="L1029" t="str">
        <v>OK</v>
      </c>
      <c r="M1029">
        <v>3</v>
      </c>
      <c r="O1029">
        <f t="shared" si="128"/>
        <v>22.612500000000001</v>
      </c>
      <c r="P1029">
        <f t="shared" si="129"/>
        <v>91.128375000000005</v>
      </c>
      <c r="Q1029">
        <f t="shared" si="130"/>
        <v>68.52272727272728</v>
      </c>
      <c r="R1029">
        <f t="shared" si="131"/>
        <v>1</v>
      </c>
      <c r="S1029">
        <f t="shared" si="132"/>
        <v>91.128375000000005</v>
      </c>
      <c r="T1029" t="str">
        <f t="shared" si="133"/>
        <v>OK</v>
      </c>
      <c r="U1029" t="str">
        <f t="shared" si="134"/>
        <v>OK</v>
      </c>
      <c r="V1029" t="str">
        <f t="shared" si="135"/>
        <v>OK</v>
      </c>
    </row>
    <row r="1030" spans="1:22" x14ac:dyDescent="0.45">
      <c r="A1030" t="str">
        <v>SO-50581</v>
      </c>
      <c r="B1030" t="str">
        <v>PL-CEN</v>
      </c>
      <c r="C1030" t="str">
        <v>CD-QRO</v>
      </c>
      <c r="D1030" t="str">
        <v>PRO-1006</v>
      </c>
      <c r="E1030">
        <v>1902</v>
      </c>
      <c r="F1030" s="1">
        <v>46176</v>
      </c>
      <c r="G1030" t="str">
        <v>In Transit</v>
      </c>
      <c r="H1030" t="str">
        <v>OK</v>
      </c>
      <c r="I1030">
        <v>12.09</v>
      </c>
      <c r="J1030">
        <v>80</v>
      </c>
      <c r="K1030">
        <v>138</v>
      </c>
      <c r="L1030" t="str">
        <v>OK</v>
      </c>
      <c r="M1030">
        <v>1</v>
      </c>
      <c r="O1030">
        <f t="shared" si="128"/>
        <v>23.774999999999999</v>
      </c>
      <c r="P1030">
        <f t="shared" si="129"/>
        <v>95.813250000000011</v>
      </c>
      <c r="Q1030">
        <f t="shared" si="130"/>
        <v>72.045454545454547</v>
      </c>
      <c r="R1030">
        <f t="shared" si="131"/>
        <v>1</v>
      </c>
      <c r="S1030">
        <f t="shared" si="132"/>
        <v>95.813250000000011</v>
      </c>
      <c r="T1030" t="str">
        <f t="shared" si="133"/>
        <v>OK</v>
      </c>
      <c r="U1030" t="str">
        <f t="shared" si="134"/>
        <v>OK</v>
      </c>
      <c r="V1030" t="str">
        <f t="shared" si="135"/>
        <v>OK</v>
      </c>
    </row>
    <row r="1031" spans="1:22" x14ac:dyDescent="0.45">
      <c r="A1031" t="str">
        <v>SO-50454</v>
      </c>
      <c r="B1031" t="str">
        <v>PL-CEN</v>
      </c>
      <c r="C1031" t="str">
        <v>CD-QRO</v>
      </c>
      <c r="D1031" t="str">
        <v>LAC-1010</v>
      </c>
      <c r="E1031">
        <v>1361</v>
      </c>
      <c r="F1031" s="1">
        <v>46175</v>
      </c>
      <c r="G1031" t="str">
        <v>In Transit</v>
      </c>
      <c r="H1031" t="str">
        <v>OK</v>
      </c>
      <c r="I1031">
        <v>6.24</v>
      </c>
      <c r="J1031">
        <v>146</v>
      </c>
      <c r="K1031">
        <v>24</v>
      </c>
      <c r="L1031" t="str">
        <v>OK</v>
      </c>
      <c r="M1031">
        <v>2</v>
      </c>
      <c r="O1031">
        <f t="shared" si="128"/>
        <v>9.3219178082191778</v>
      </c>
      <c r="P1031">
        <f t="shared" si="129"/>
        <v>35.385999999999996</v>
      </c>
      <c r="Q1031">
        <f t="shared" si="130"/>
        <v>28.248235782482357</v>
      </c>
      <c r="R1031">
        <f t="shared" si="131"/>
        <v>1</v>
      </c>
      <c r="S1031">
        <f t="shared" si="132"/>
        <v>35.385999999999996</v>
      </c>
      <c r="T1031" t="str">
        <f t="shared" si="133"/>
        <v>CARGA INEFICIENTE</v>
      </c>
      <c r="U1031" t="str">
        <f t="shared" si="134"/>
        <v>OK</v>
      </c>
      <c r="V1031" t="str">
        <f t="shared" si="135"/>
        <v>OK</v>
      </c>
    </row>
    <row r="1032" spans="1:22" x14ac:dyDescent="0.45">
      <c r="A1032" t="str">
        <v>SO-50185</v>
      </c>
      <c r="B1032" t="str">
        <v>PL-CEN</v>
      </c>
      <c r="C1032" t="str">
        <v>CD-PUE</v>
      </c>
      <c r="D1032" t="str">
        <v>ABA-1013</v>
      </c>
      <c r="E1032">
        <v>1637</v>
      </c>
      <c r="F1032" s="1">
        <v>46176</v>
      </c>
      <c r="G1032" t="str">
        <v>In Transit</v>
      </c>
      <c r="H1032" t="str">
        <v>OK</v>
      </c>
      <c r="I1032">
        <v>12.02</v>
      </c>
      <c r="J1032">
        <v>75</v>
      </c>
      <c r="K1032">
        <v>402</v>
      </c>
      <c r="L1032" t="str">
        <v>OK</v>
      </c>
      <c r="M1032">
        <v>1</v>
      </c>
      <c r="O1032">
        <f t="shared" si="128"/>
        <v>21.826666666666668</v>
      </c>
      <c r="P1032">
        <f t="shared" si="129"/>
        <v>81.986416666666656</v>
      </c>
      <c r="Q1032">
        <f t="shared" si="130"/>
        <v>66.141414141414145</v>
      </c>
      <c r="R1032">
        <f t="shared" si="131"/>
        <v>1</v>
      </c>
      <c r="S1032">
        <f t="shared" si="132"/>
        <v>81.986416666666656</v>
      </c>
      <c r="T1032" t="str">
        <f t="shared" si="133"/>
        <v>OK</v>
      </c>
      <c r="U1032" t="str">
        <f t="shared" si="134"/>
        <v>OK</v>
      </c>
      <c r="V1032" t="str">
        <f t="shared" si="135"/>
        <v>OK</v>
      </c>
    </row>
    <row r="1033" spans="1:22" x14ac:dyDescent="0.45">
      <c r="A1033" t="str">
        <v>SO-50761</v>
      </c>
      <c r="B1033" t="str">
        <v>PL-NTE</v>
      </c>
      <c r="C1033" t="str">
        <v>CD-CHI</v>
      </c>
      <c r="D1033" t="str">
        <v>BEB-1001</v>
      </c>
      <c r="E1033">
        <v>396</v>
      </c>
      <c r="F1033" s="1">
        <v>46174</v>
      </c>
      <c r="G1033" t="str">
        <v>In Transit</v>
      </c>
      <c r="H1033" t="str">
        <v>OK</v>
      </c>
      <c r="I1033">
        <v>19.18</v>
      </c>
      <c r="J1033">
        <v>95</v>
      </c>
      <c r="K1033">
        <v>208</v>
      </c>
      <c r="L1033" t="str">
        <v>OK</v>
      </c>
      <c r="M1033">
        <v>3</v>
      </c>
      <c r="O1033">
        <f t="shared" si="128"/>
        <v>4.1684210526315786</v>
      </c>
      <c r="P1033">
        <f t="shared" si="129"/>
        <v>31.646999999999998</v>
      </c>
      <c r="Q1033">
        <f t="shared" si="130"/>
        <v>12.631578947368419</v>
      </c>
      <c r="R1033">
        <f t="shared" si="131"/>
        <v>1</v>
      </c>
      <c r="S1033">
        <f t="shared" si="132"/>
        <v>31.646999999999998</v>
      </c>
      <c r="T1033" t="str">
        <f t="shared" si="133"/>
        <v>CARGA INEFICIENTE</v>
      </c>
      <c r="U1033" t="str">
        <f t="shared" si="134"/>
        <v>OK</v>
      </c>
      <c r="V1033" t="str">
        <f t="shared" si="135"/>
        <v>OK</v>
      </c>
    </row>
    <row r="1034" spans="1:22" x14ac:dyDescent="0.45">
      <c r="A1034" t="str">
        <v>SO-50290</v>
      </c>
      <c r="B1034" t="str">
        <v>PL-CEN</v>
      </c>
      <c r="C1034" t="str">
        <v>CD-CDMX</v>
      </c>
      <c r="D1034" t="str">
        <v>XXX-8909</v>
      </c>
      <c r="E1034">
        <v>1721</v>
      </c>
      <c r="F1034" s="1">
        <v>46176</v>
      </c>
      <c r="G1034" t="str">
        <v>In Transit</v>
      </c>
      <c r="H1034" t="str">
        <v>OK</v>
      </c>
      <c r="I1034">
        <v>0</v>
      </c>
      <c r="J1034">
        <v>0</v>
      </c>
      <c r="K1034">
        <v>0</v>
      </c>
      <c r="L1034" t="str">
        <v>HUERFANO</v>
      </c>
      <c r="M1034">
        <v>1</v>
      </c>
      <c r="O1034" t="str">
        <f t="shared" si="128"/>
        <v>n/a</v>
      </c>
      <c r="P1034" t="str">
        <f t="shared" si="129"/>
        <v>n/a</v>
      </c>
      <c r="Q1034" t="str">
        <f t="shared" si="130"/>
        <v>n/a</v>
      </c>
      <c r="R1034" t="str">
        <f t="shared" si="131"/>
        <v>n/a</v>
      </c>
      <c r="S1034" t="str">
        <f t="shared" si="132"/>
        <v>n/a</v>
      </c>
      <c r="T1034" t="str">
        <f t="shared" si="133"/>
        <v>n/a</v>
      </c>
      <c r="U1034" t="str">
        <f t="shared" si="134"/>
        <v>n/a</v>
      </c>
      <c r="V1034" t="str">
        <f t="shared" si="135"/>
        <v>n/a</v>
      </c>
    </row>
    <row r="1035" spans="1:22" x14ac:dyDescent="0.45">
      <c r="A1035" t="str">
        <v>SO-50180</v>
      </c>
      <c r="B1035" t="str">
        <v>PL-NTE</v>
      </c>
      <c r="C1035" t="str">
        <v>CD-CHI</v>
      </c>
      <c r="D1035" t="str">
        <v>ABA-1010</v>
      </c>
      <c r="E1035">
        <v>558</v>
      </c>
      <c r="F1035" s="1">
        <v>46176</v>
      </c>
      <c r="G1035" t="str">
        <v>In Transit</v>
      </c>
      <c r="H1035" t="str">
        <v>OK</v>
      </c>
      <c r="I1035">
        <v>8.75</v>
      </c>
      <c r="J1035">
        <v>123</v>
      </c>
      <c r="K1035">
        <v>341</v>
      </c>
      <c r="L1035" t="str">
        <v>OK</v>
      </c>
      <c r="M1035">
        <v>1</v>
      </c>
      <c r="O1035">
        <f t="shared" si="128"/>
        <v>4.5365853658536581</v>
      </c>
      <c r="P1035">
        <f t="shared" si="129"/>
        <v>20.34375</v>
      </c>
      <c r="Q1035">
        <f t="shared" si="130"/>
        <v>13.747228381374722</v>
      </c>
      <c r="R1035">
        <f t="shared" si="131"/>
        <v>1</v>
      </c>
      <c r="S1035">
        <f t="shared" si="132"/>
        <v>20.34375</v>
      </c>
      <c r="T1035" t="str">
        <f t="shared" si="133"/>
        <v>CARGA INEFICIENTE</v>
      </c>
      <c r="U1035" t="str">
        <f t="shared" si="134"/>
        <v>OK</v>
      </c>
      <c r="V1035" t="str">
        <f t="shared" si="135"/>
        <v>OK</v>
      </c>
    </row>
    <row r="1036" spans="1:22" x14ac:dyDescent="0.45">
      <c r="A1036" t="str">
        <v>SO-50064</v>
      </c>
      <c r="B1036" t="str">
        <v>PL-SUR</v>
      </c>
      <c r="C1036" t="str">
        <v>CD-GDL</v>
      </c>
      <c r="D1036" t="str">
        <v>PRO-1007</v>
      </c>
      <c r="E1036">
        <v>585</v>
      </c>
      <c r="F1036" s="1">
        <v>46176</v>
      </c>
      <c r="G1036" t="str">
        <v>In Transit</v>
      </c>
      <c r="H1036" t="str">
        <v>OK</v>
      </c>
      <c r="I1036">
        <v>13.13</v>
      </c>
      <c r="J1036">
        <v>82</v>
      </c>
      <c r="K1036">
        <v>105</v>
      </c>
      <c r="L1036" t="str">
        <v>OK</v>
      </c>
      <c r="M1036">
        <v>1</v>
      </c>
      <c r="O1036">
        <f t="shared" si="128"/>
        <v>7.1341463414634143</v>
      </c>
      <c r="P1036">
        <f t="shared" si="129"/>
        <v>32.004375000000003</v>
      </c>
      <c r="Q1036">
        <f t="shared" si="130"/>
        <v>21.618625277161861</v>
      </c>
      <c r="R1036">
        <f t="shared" si="131"/>
        <v>1</v>
      </c>
      <c r="S1036">
        <f t="shared" si="132"/>
        <v>32.004375000000003</v>
      </c>
      <c r="T1036" t="str">
        <f t="shared" si="133"/>
        <v>CARGA INEFICIENTE</v>
      </c>
      <c r="U1036" t="str">
        <f t="shared" si="134"/>
        <v>OK</v>
      </c>
      <c r="V1036" t="str">
        <f t="shared" si="135"/>
        <v>OK</v>
      </c>
    </row>
    <row r="1037" spans="1:22" x14ac:dyDescent="0.45">
      <c r="A1037" t="str">
        <v>SO-50097</v>
      </c>
      <c r="B1037" t="str">
        <v>PL-NTE</v>
      </c>
      <c r="C1037" t="str">
        <v>CD-MTY</v>
      </c>
      <c r="D1037" t="str">
        <v>LAC-1012</v>
      </c>
      <c r="E1037">
        <v>1926</v>
      </c>
      <c r="F1037" s="1">
        <v>46176</v>
      </c>
      <c r="G1037" t="str">
        <v>In Transit</v>
      </c>
      <c r="H1037" t="str">
        <v>OK</v>
      </c>
      <c r="I1037">
        <v>9.8699999999999992</v>
      </c>
      <c r="J1037">
        <v>88</v>
      </c>
      <c r="K1037">
        <v>25</v>
      </c>
      <c r="L1037" t="str">
        <v>OK</v>
      </c>
      <c r="M1037">
        <v>1</v>
      </c>
      <c r="O1037">
        <f t="shared" si="128"/>
        <v>21.886363636363637</v>
      </c>
      <c r="P1037">
        <f t="shared" si="129"/>
        <v>79.20675</v>
      </c>
      <c r="Q1037">
        <f t="shared" si="130"/>
        <v>66.322314049586765</v>
      </c>
      <c r="R1037">
        <f t="shared" si="131"/>
        <v>1</v>
      </c>
      <c r="S1037">
        <f t="shared" si="132"/>
        <v>79.20675</v>
      </c>
      <c r="T1037" t="str">
        <f t="shared" si="133"/>
        <v>OK</v>
      </c>
      <c r="U1037" t="str">
        <f t="shared" si="134"/>
        <v>OK</v>
      </c>
      <c r="V1037" t="str">
        <f t="shared" si="135"/>
        <v>OK</v>
      </c>
    </row>
    <row r="1038" spans="1:22" x14ac:dyDescent="0.45">
      <c r="A1038" t="str">
        <v>SO-50730</v>
      </c>
      <c r="B1038" t="str">
        <v>PL-SUR</v>
      </c>
      <c r="C1038" t="str">
        <v>CD-MOR</v>
      </c>
      <c r="D1038" t="str">
        <v>LAC-1001</v>
      </c>
      <c r="E1038">
        <v>1025</v>
      </c>
      <c r="F1038" s="1">
        <v>46175</v>
      </c>
      <c r="G1038" t="str">
        <v>In Transit</v>
      </c>
      <c r="H1038" t="str">
        <v>OK</v>
      </c>
      <c r="I1038">
        <v>7.51</v>
      </c>
      <c r="J1038">
        <v>83</v>
      </c>
      <c r="K1038">
        <v>18</v>
      </c>
      <c r="L1038" t="str">
        <v>OK</v>
      </c>
      <c r="M1038">
        <v>2</v>
      </c>
      <c r="O1038">
        <f t="shared" si="128"/>
        <v>12.349397590361447</v>
      </c>
      <c r="P1038">
        <f t="shared" si="129"/>
        <v>32.073958333333337</v>
      </c>
      <c r="Q1038">
        <f t="shared" si="130"/>
        <v>37.422416940489235</v>
      </c>
      <c r="R1038">
        <f t="shared" si="131"/>
        <v>1</v>
      </c>
      <c r="S1038">
        <f t="shared" si="132"/>
        <v>37.422416940489235</v>
      </c>
      <c r="T1038" t="str">
        <f t="shared" si="133"/>
        <v>CARGA INEFICIENTE</v>
      </c>
      <c r="U1038" t="str">
        <f t="shared" si="134"/>
        <v>OK</v>
      </c>
      <c r="V1038" t="str">
        <f t="shared" si="135"/>
        <v>OK</v>
      </c>
    </row>
    <row r="1039" spans="1:22" x14ac:dyDescent="0.45">
      <c r="A1039" t="str">
        <v>SO-50915</v>
      </c>
      <c r="B1039" t="str">
        <v>PL-SUR</v>
      </c>
      <c r="C1039" t="str">
        <v>CD-MOR</v>
      </c>
      <c r="D1039" t="str">
        <v>BOT-1021</v>
      </c>
      <c r="E1039">
        <v>1329</v>
      </c>
      <c r="F1039" s="1">
        <v>46175</v>
      </c>
      <c r="G1039" t="str">
        <v>In Transit</v>
      </c>
      <c r="H1039" t="str">
        <v>OK</v>
      </c>
      <c r="I1039">
        <v>5.04</v>
      </c>
      <c r="J1039">
        <v>47</v>
      </c>
      <c r="K1039">
        <v>96</v>
      </c>
      <c r="L1039" t="str">
        <v>OK</v>
      </c>
      <c r="M1039">
        <v>2</v>
      </c>
      <c r="O1039">
        <f t="shared" si="128"/>
        <v>28.276595744680851</v>
      </c>
      <c r="P1039">
        <f t="shared" si="129"/>
        <v>27.908999999999999</v>
      </c>
      <c r="Q1039">
        <f t="shared" si="130"/>
        <v>85.686653771760163</v>
      </c>
      <c r="R1039">
        <f t="shared" si="131"/>
        <v>1</v>
      </c>
      <c r="S1039">
        <f t="shared" si="132"/>
        <v>85.686653771760163</v>
      </c>
      <c r="T1039" t="str">
        <f t="shared" si="133"/>
        <v>OK</v>
      </c>
      <c r="U1039" t="str">
        <f t="shared" si="134"/>
        <v>OK</v>
      </c>
      <c r="V1039" t="str">
        <f t="shared" si="135"/>
        <v>OK</v>
      </c>
    </row>
    <row r="1040" spans="1:22" x14ac:dyDescent="0.45">
      <c r="A1040" t="str">
        <v>SO-50434</v>
      </c>
      <c r="B1040" t="str">
        <v>PL-CEN</v>
      </c>
      <c r="C1040" t="str">
        <v>CD-QRO</v>
      </c>
      <c r="D1040" t="str">
        <v>BEB-1013</v>
      </c>
      <c r="E1040">
        <v>624</v>
      </c>
      <c r="F1040" s="1">
        <v>46175</v>
      </c>
      <c r="G1040" t="str">
        <v>In Transit</v>
      </c>
      <c r="H1040" t="str">
        <v>OK</v>
      </c>
      <c r="I1040">
        <v>17.28</v>
      </c>
      <c r="J1040">
        <v>97</v>
      </c>
      <c r="K1040">
        <v>271</v>
      </c>
      <c r="L1040" t="str">
        <v>OK</v>
      </c>
      <c r="M1040">
        <v>2</v>
      </c>
      <c r="O1040">
        <f t="shared" si="128"/>
        <v>6.4329896907216497</v>
      </c>
      <c r="P1040">
        <f t="shared" si="129"/>
        <v>44.928000000000004</v>
      </c>
      <c r="Q1040">
        <f t="shared" si="130"/>
        <v>19.49390815370197</v>
      </c>
      <c r="R1040">
        <f t="shared" si="131"/>
        <v>1</v>
      </c>
      <c r="S1040">
        <f t="shared" si="132"/>
        <v>44.928000000000004</v>
      </c>
      <c r="T1040" t="str">
        <f t="shared" si="133"/>
        <v>CARGA INEFICIENTE</v>
      </c>
      <c r="U1040" t="str">
        <f t="shared" si="134"/>
        <v>OK</v>
      </c>
      <c r="V1040" t="str">
        <f t="shared" si="135"/>
        <v>OK</v>
      </c>
    </row>
    <row r="1041" spans="1:22" x14ac:dyDescent="0.45">
      <c r="A1041" t="str">
        <v>SO-50575</v>
      </c>
      <c r="B1041" t="str">
        <v>PL-SUR</v>
      </c>
      <c r="C1041" t="str">
        <v>CD-MER</v>
      </c>
      <c r="D1041" t="str">
        <v>BOT-1002</v>
      </c>
      <c r="E1041">
        <v>930</v>
      </c>
      <c r="F1041" s="1">
        <v>46175</v>
      </c>
      <c r="G1041" t="str">
        <v>In Transit</v>
      </c>
      <c r="H1041" t="str">
        <v>OK</v>
      </c>
      <c r="I1041">
        <v>3.02</v>
      </c>
      <c r="J1041">
        <v>84</v>
      </c>
      <c r="K1041">
        <v>111</v>
      </c>
      <c r="L1041" t="str">
        <v>OK</v>
      </c>
      <c r="M1041">
        <v>2</v>
      </c>
      <c r="O1041">
        <f t="shared" si="128"/>
        <v>11.071428571428571</v>
      </c>
      <c r="P1041">
        <f t="shared" si="129"/>
        <v>11.702499999999999</v>
      </c>
      <c r="Q1041">
        <f t="shared" si="130"/>
        <v>33.549783549783555</v>
      </c>
      <c r="R1041">
        <f t="shared" si="131"/>
        <v>1</v>
      </c>
      <c r="S1041">
        <f t="shared" si="132"/>
        <v>33.549783549783555</v>
      </c>
      <c r="T1041" t="str">
        <f t="shared" si="133"/>
        <v>CARGA INEFICIENTE</v>
      </c>
      <c r="U1041" t="str">
        <f t="shared" si="134"/>
        <v>OK</v>
      </c>
      <c r="V1041" t="str">
        <f t="shared" si="135"/>
        <v>OK</v>
      </c>
    </row>
    <row r="1042" spans="1:22" x14ac:dyDescent="0.45">
      <c r="A1042" t="str">
        <v>SO-50998</v>
      </c>
      <c r="B1042" t="str">
        <v>PL-SUR</v>
      </c>
      <c r="C1042" t="str">
        <v>CD-MER</v>
      </c>
      <c r="D1042" t="str">
        <v>PRO-1010</v>
      </c>
      <c r="E1042">
        <v>700</v>
      </c>
      <c r="F1042" s="1">
        <v>46173</v>
      </c>
      <c r="G1042" t="str">
        <v>In Transit</v>
      </c>
      <c r="H1042" t="str">
        <v>OK</v>
      </c>
      <c r="I1042">
        <v>7.76</v>
      </c>
      <c r="J1042">
        <v>86</v>
      </c>
      <c r="K1042">
        <v>112</v>
      </c>
      <c r="L1042" t="str">
        <v>OK</v>
      </c>
      <c r="M1042">
        <v>4</v>
      </c>
      <c r="O1042">
        <f t="shared" si="128"/>
        <v>8.1395348837209305</v>
      </c>
      <c r="P1042">
        <f t="shared" si="129"/>
        <v>22.633333333333333</v>
      </c>
      <c r="Q1042">
        <f t="shared" si="130"/>
        <v>24.665257223396758</v>
      </c>
      <c r="R1042">
        <f t="shared" si="131"/>
        <v>1</v>
      </c>
      <c r="S1042">
        <f t="shared" si="132"/>
        <v>24.665257223396758</v>
      </c>
      <c r="T1042" t="str">
        <f t="shared" si="133"/>
        <v>CARGA INEFICIENTE</v>
      </c>
      <c r="U1042" t="str">
        <f t="shared" si="134"/>
        <v>OK</v>
      </c>
      <c r="V1042" t="str">
        <f t="shared" si="135"/>
        <v>OK</v>
      </c>
    </row>
    <row r="1043" spans="1:22" x14ac:dyDescent="0.45">
      <c r="A1043" t="str">
        <v>SO-50070</v>
      </c>
      <c r="B1043" t="str">
        <v>PL-SUR</v>
      </c>
      <c r="C1043" t="str">
        <v>CD-MOR</v>
      </c>
      <c r="D1043" t="str">
        <v>BOT-1018</v>
      </c>
      <c r="E1043">
        <v>586</v>
      </c>
      <c r="F1043" s="1">
        <v>46176</v>
      </c>
      <c r="G1043" t="str">
        <v>In Transit</v>
      </c>
      <c r="H1043" t="str">
        <v>OK</v>
      </c>
      <c r="I1043">
        <v>6.23</v>
      </c>
      <c r="J1043">
        <v>78</v>
      </c>
      <c r="K1043">
        <v>99</v>
      </c>
      <c r="L1043" t="str">
        <v>OK</v>
      </c>
      <c r="M1043">
        <v>1</v>
      </c>
      <c r="O1043">
        <f t="shared" si="128"/>
        <v>7.5128205128205128</v>
      </c>
      <c r="P1043">
        <f t="shared" si="129"/>
        <v>15.211583333333333</v>
      </c>
      <c r="Q1043">
        <f t="shared" si="130"/>
        <v>22.766122766122766</v>
      </c>
      <c r="R1043">
        <f t="shared" si="131"/>
        <v>1</v>
      </c>
      <c r="S1043">
        <f t="shared" si="132"/>
        <v>22.766122766122766</v>
      </c>
      <c r="T1043" t="str">
        <f t="shared" si="133"/>
        <v>CARGA INEFICIENTE</v>
      </c>
      <c r="U1043" t="str">
        <f t="shared" si="134"/>
        <v>OK</v>
      </c>
      <c r="V1043" t="str">
        <f t="shared" si="135"/>
        <v>OK</v>
      </c>
    </row>
    <row r="1044" spans="1:22" x14ac:dyDescent="0.45">
      <c r="A1044" t="str">
        <v>SO-50191</v>
      </c>
      <c r="B1044" t="str">
        <v>PL-CEN</v>
      </c>
      <c r="C1044" t="str">
        <v>CD-TOL</v>
      </c>
      <c r="D1044" t="str">
        <v>ABA-1004</v>
      </c>
      <c r="E1044">
        <v>1545</v>
      </c>
      <c r="F1044" s="1">
        <v>46175</v>
      </c>
      <c r="G1044" t="str">
        <v>In Transit</v>
      </c>
      <c r="H1044" t="str">
        <v>OK</v>
      </c>
      <c r="I1044">
        <v>12.85</v>
      </c>
      <c r="J1044">
        <v>91</v>
      </c>
      <c r="K1044">
        <v>297</v>
      </c>
      <c r="L1044" t="str">
        <v>OK</v>
      </c>
      <c r="M1044">
        <v>2</v>
      </c>
      <c r="O1044">
        <f t="shared" si="128"/>
        <v>16.978021978021978</v>
      </c>
      <c r="P1044">
        <f t="shared" si="129"/>
        <v>82.721874999999997</v>
      </c>
      <c r="Q1044">
        <f t="shared" si="130"/>
        <v>51.448551448551449</v>
      </c>
      <c r="R1044">
        <f t="shared" si="131"/>
        <v>1</v>
      </c>
      <c r="S1044">
        <f t="shared" si="132"/>
        <v>82.721874999999997</v>
      </c>
      <c r="T1044" t="str">
        <f t="shared" si="133"/>
        <v>OK</v>
      </c>
      <c r="U1044" t="str">
        <f t="shared" si="134"/>
        <v>OK</v>
      </c>
      <c r="V1044" t="str">
        <f t="shared" si="135"/>
        <v>OK</v>
      </c>
    </row>
    <row r="1045" spans="1:22" x14ac:dyDescent="0.45">
      <c r="A1045" t="str">
        <v>SO-50839</v>
      </c>
      <c r="B1045" t="str">
        <v>PL-CEN</v>
      </c>
      <c r="C1045" t="str">
        <v>CD-VER</v>
      </c>
      <c r="D1045" t="str">
        <v>PRO-1002</v>
      </c>
      <c r="E1045">
        <v>2170</v>
      </c>
      <c r="F1045" s="1">
        <v>46174</v>
      </c>
      <c r="G1045" t="str">
        <v>In Transit</v>
      </c>
      <c r="H1045" t="str">
        <v>OK</v>
      </c>
      <c r="I1045">
        <v>9.6999999999999993</v>
      </c>
      <c r="J1045">
        <v>98</v>
      </c>
      <c r="K1045">
        <v>115</v>
      </c>
      <c r="L1045" t="str">
        <v>OK</v>
      </c>
      <c r="M1045">
        <v>3</v>
      </c>
      <c r="O1045">
        <f t="shared" si="128"/>
        <v>22.142857142857142</v>
      </c>
      <c r="P1045">
        <f t="shared" si="129"/>
        <v>87.704166666666666</v>
      </c>
      <c r="Q1045">
        <f t="shared" si="130"/>
        <v>67.099567099567111</v>
      </c>
      <c r="R1045">
        <f t="shared" si="131"/>
        <v>1</v>
      </c>
      <c r="S1045">
        <f t="shared" si="132"/>
        <v>87.704166666666666</v>
      </c>
      <c r="T1045" t="str">
        <f t="shared" si="133"/>
        <v>OK</v>
      </c>
      <c r="U1045" t="str">
        <f t="shared" si="134"/>
        <v>OK</v>
      </c>
      <c r="V1045" t="str">
        <f t="shared" si="135"/>
        <v>OK</v>
      </c>
    </row>
    <row r="1046" spans="1:22" x14ac:dyDescent="0.45">
      <c r="A1046" t="str">
        <v>SO-50967</v>
      </c>
      <c r="B1046" t="str">
        <v>PL-NTE</v>
      </c>
      <c r="C1046" t="str">
        <v>CD-CHI</v>
      </c>
      <c r="D1046" t="str">
        <v>BEB-1005</v>
      </c>
      <c r="E1046">
        <v>1429</v>
      </c>
      <c r="F1046" s="1">
        <v>46174</v>
      </c>
      <c r="G1046" t="str">
        <v>In Transit</v>
      </c>
      <c r="H1046" t="str">
        <v>OK</v>
      </c>
      <c r="I1046">
        <v>14.2</v>
      </c>
      <c r="J1046">
        <v>95</v>
      </c>
      <c r="K1046">
        <v>277</v>
      </c>
      <c r="L1046" t="str">
        <v>OK</v>
      </c>
      <c r="M1046">
        <v>3</v>
      </c>
      <c r="O1046">
        <f t="shared" si="128"/>
        <v>15.042105263157895</v>
      </c>
      <c r="P1046">
        <f t="shared" si="129"/>
        <v>84.549166666666665</v>
      </c>
      <c r="Q1046">
        <f t="shared" si="130"/>
        <v>45.582137161084532</v>
      </c>
      <c r="R1046">
        <f t="shared" si="131"/>
        <v>1</v>
      </c>
      <c r="S1046">
        <f t="shared" si="132"/>
        <v>84.549166666666665</v>
      </c>
      <c r="T1046" t="str">
        <f t="shared" si="133"/>
        <v>OK</v>
      </c>
      <c r="U1046" t="str">
        <f t="shared" si="134"/>
        <v>OK</v>
      </c>
      <c r="V1046" t="str">
        <f t="shared" si="135"/>
        <v>OK</v>
      </c>
    </row>
    <row r="1047" spans="1:22" x14ac:dyDescent="0.45">
      <c r="A1047" t="str">
        <v>SO-50518</v>
      </c>
      <c r="B1047" t="str">
        <v>PL-CEN</v>
      </c>
      <c r="C1047" t="str">
        <v>CD-CDMX</v>
      </c>
      <c r="D1047" t="str">
        <v>LAC-1006</v>
      </c>
      <c r="E1047">
        <v>2224</v>
      </c>
      <c r="F1047" s="1">
        <v>46176</v>
      </c>
      <c r="G1047" t="str">
        <v>In Transit</v>
      </c>
      <c r="H1047" t="str">
        <v>OK</v>
      </c>
      <c r="I1047">
        <v>10.029999999999999</v>
      </c>
      <c r="J1047">
        <v>126</v>
      </c>
      <c r="K1047">
        <v>17</v>
      </c>
      <c r="L1047" t="str">
        <v>OK</v>
      </c>
      <c r="M1047">
        <v>1</v>
      </c>
      <c r="O1047">
        <f t="shared" si="128"/>
        <v>17.650793650793652</v>
      </c>
      <c r="P1047">
        <f t="shared" si="129"/>
        <v>92.944666666666649</v>
      </c>
      <c r="Q1047">
        <f t="shared" si="130"/>
        <v>53.487253487253497</v>
      </c>
      <c r="R1047">
        <f t="shared" si="131"/>
        <v>1</v>
      </c>
      <c r="S1047">
        <f t="shared" si="132"/>
        <v>92.944666666666649</v>
      </c>
      <c r="T1047" t="str">
        <f t="shared" si="133"/>
        <v>OK</v>
      </c>
      <c r="U1047" t="str">
        <f t="shared" si="134"/>
        <v>OK</v>
      </c>
      <c r="V1047" t="str">
        <f t="shared" si="135"/>
        <v>OK</v>
      </c>
    </row>
    <row r="1048" spans="1:22" x14ac:dyDescent="0.45">
      <c r="A1048" t="str">
        <v>SO-50619</v>
      </c>
      <c r="B1048" t="str">
        <v>PL-NTE</v>
      </c>
      <c r="C1048" t="str">
        <v>CD-MTY</v>
      </c>
      <c r="D1048" t="str">
        <v>BOT-1019</v>
      </c>
      <c r="E1048">
        <v>1174</v>
      </c>
      <c r="F1048" s="1">
        <v>46176</v>
      </c>
      <c r="G1048" t="str">
        <v>In Transit</v>
      </c>
      <c r="H1048" t="str">
        <v>OK</v>
      </c>
      <c r="I1048">
        <v>3.44</v>
      </c>
      <c r="J1048">
        <v>85</v>
      </c>
      <c r="K1048">
        <v>102</v>
      </c>
      <c r="L1048" t="str">
        <v>OK</v>
      </c>
      <c r="M1048">
        <v>1</v>
      </c>
      <c r="O1048">
        <f t="shared" si="128"/>
        <v>13.811764705882354</v>
      </c>
      <c r="P1048">
        <f t="shared" si="129"/>
        <v>16.827333333333332</v>
      </c>
      <c r="Q1048">
        <f t="shared" si="130"/>
        <v>41.853832442067741</v>
      </c>
      <c r="R1048">
        <f t="shared" si="131"/>
        <v>1</v>
      </c>
      <c r="S1048">
        <f t="shared" si="132"/>
        <v>41.853832442067741</v>
      </c>
      <c r="T1048" t="str">
        <f t="shared" si="133"/>
        <v>CARGA INEFICIENTE</v>
      </c>
      <c r="U1048" t="str">
        <f t="shared" si="134"/>
        <v>OK</v>
      </c>
      <c r="V1048" t="str">
        <f t="shared" si="135"/>
        <v>OK</v>
      </c>
    </row>
    <row r="1049" spans="1:22" x14ac:dyDescent="0.45">
      <c r="A1049" t="str">
        <v>SO-50235</v>
      </c>
      <c r="B1049" t="str">
        <v>PL-NTE</v>
      </c>
      <c r="C1049" t="str">
        <v>CD-SAL</v>
      </c>
      <c r="D1049" t="str">
        <v>LAC-1012</v>
      </c>
      <c r="E1049">
        <v>2093</v>
      </c>
      <c r="F1049" s="1">
        <v>46175</v>
      </c>
      <c r="G1049" t="str">
        <v>In Transit</v>
      </c>
      <c r="H1049" t="str">
        <v>OK</v>
      </c>
      <c r="I1049">
        <v>9.8699999999999992</v>
      </c>
      <c r="J1049">
        <v>88</v>
      </c>
      <c r="K1049">
        <v>25</v>
      </c>
      <c r="L1049" t="str">
        <v>OK</v>
      </c>
      <c r="M1049">
        <v>2</v>
      </c>
      <c r="O1049">
        <f t="shared" si="128"/>
        <v>23.78409090909091</v>
      </c>
      <c r="P1049">
        <f t="shared" si="129"/>
        <v>86.074624999999997</v>
      </c>
      <c r="Q1049">
        <f t="shared" si="130"/>
        <v>72.073002754820934</v>
      </c>
      <c r="R1049">
        <f t="shared" si="131"/>
        <v>1</v>
      </c>
      <c r="S1049">
        <f t="shared" si="132"/>
        <v>86.074624999999997</v>
      </c>
      <c r="T1049" t="str">
        <f t="shared" si="133"/>
        <v>OK</v>
      </c>
      <c r="U1049" t="str">
        <f t="shared" si="134"/>
        <v>OK</v>
      </c>
      <c r="V1049" t="str">
        <f t="shared" si="135"/>
        <v>OK</v>
      </c>
    </row>
    <row r="1050" spans="1:22" x14ac:dyDescent="0.45">
      <c r="A1050" t="str">
        <v>SO-50409</v>
      </c>
      <c r="B1050" t="str">
        <v>PL-CEN</v>
      </c>
      <c r="C1050" t="str">
        <v>CD-TOL</v>
      </c>
      <c r="D1050" t="str">
        <v>BOT-1020</v>
      </c>
      <c r="E1050">
        <v>2078</v>
      </c>
      <c r="F1050" s="1">
        <v>46176</v>
      </c>
      <c r="G1050" t="str">
        <v>In Transit</v>
      </c>
      <c r="H1050" t="str">
        <v>OK</v>
      </c>
      <c r="I1050">
        <v>6.27</v>
      </c>
      <c r="J1050">
        <v>67</v>
      </c>
      <c r="K1050">
        <v>90</v>
      </c>
      <c r="L1050" t="str">
        <v>OK</v>
      </c>
      <c r="M1050">
        <v>1</v>
      </c>
      <c r="O1050">
        <f t="shared" si="128"/>
        <v>31.014925373134329</v>
      </c>
      <c r="P1050">
        <f t="shared" si="129"/>
        <v>54.287750000000003</v>
      </c>
      <c r="Q1050">
        <f t="shared" si="130"/>
        <v>93.984622342831301</v>
      </c>
      <c r="R1050">
        <f t="shared" si="131"/>
        <v>1</v>
      </c>
      <c r="S1050">
        <f t="shared" si="132"/>
        <v>93.984622342831301</v>
      </c>
      <c r="T1050" t="str">
        <f t="shared" si="133"/>
        <v>OK</v>
      </c>
      <c r="U1050" t="str">
        <f t="shared" si="134"/>
        <v>OK</v>
      </c>
      <c r="V1050" t="str">
        <f t="shared" si="135"/>
        <v>OK</v>
      </c>
    </row>
    <row r="1051" spans="1:22" x14ac:dyDescent="0.45">
      <c r="A1051" t="str">
        <v>SO-50463</v>
      </c>
      <c r="B1051" t="str">
        <v>PL-NTE</v>
      </c>
      <c r="C1051" t="str">
        <v>CD-SAL</v>
      </c>
      <c r="D1051" t="str">
        <v>BEB-1020</v>
      </c>
      <c r="E1051">
        <v>1237</v>
      </c>
      <c r="F1051" s="1">
        <v>46176</v>
      </c>
      <c r="G1051" t="str">
        <v>In Transit</v>
      </c>
      <c r="H1051" t="str">
        <v>OK</v>
      </c>
      <c r="I1051">
        <v>16.66</v>
      </c>
      <c r="J1051">
        <v>85</v>
      </c>
      <c r="K1051">
        <v>333</v>
      </c>
      <c r="L1051" t="str">
        <v>OK</v>
      </c>
      <c r="M1051">
        <v>1</v>
      </c>
      <c r="O1051">
        <f t="shared" si="128"/>
        <v>14.552941176470588</v>
      </c>
      <c r="P1051">
        <f t="shared" si="129"/>
        <v>85.868416666666675</v>
      </c>
      <c r="Q1051">
        <f t="shared" si="130"/>
        <v>44.099821746880572</v>
      </c>
      <c r="R1051">
        <f t="shared" si="131"/>
        <v>1</v>
      </c>
      <c r="S1051">
        <f t="shared" si="132"/>
        <v>85.868416666666675</v>
      </c>
      <c r="T1051" t="str">
        <f t="shared" si="133"/>
        <v>OK</v>
      </c>
      <c r="U1051" t="str">
        <f t="shared" si="134"/>
        <v>OK</v>
      </c>
      <c r="V1051" t="str">
        <f t="shared" si="135"/>
        <v>OK</v>
      </c>
    </row>
    <row r="1052" spans="1:22" x14ac:dyDescent="0.45">
      <c r="A1052" t="str">
        <v>SO-50601</v>
      </c>
      <c r="B1052" t="str">
        <v>PL-SUR</v>
      </c>
      <c r="C1052" t="str">
        <v>CD-MER</v>
      </c>
      <c r="D1052" t="str">
        <v>PRO-1002</v>
      </c>
      <c r="E1052">
        <v>1468</v>
      </c>
      <c r="F1052" s="1">
        <v>46176</v>
      </c>
      <c r="G1052" t="str">
        <v>In Transit</v>
      </c>
      <c r="H1052" t="str">
        <v>OK</v>
      </c>
      <c r="I1052">
        <v>9.6999999999999993</v>
      </c>
      <c r="J1052">
        <v>98</v>
      </c>
      <c r="K1052">
        <v>115</v>
      </c>
      <c r="L1052" t="str">
        <v>OK</v>
      </c>
      <c r="M1052">
        <v>1</v>
      </c>
      <c r="O1052">
        <f t="shared" si="128"/>
        <v>14.979591836734693</v>
      </c>
      <c r="P1052">
        <f t="shared" si="129"/>
        <v>59.331666666666663</v>
      </c>
      <c r="Q1052">
        <f t="shared" si="130"/>
        <v>45.392702535559678</v>
      </c>
      <c r="R1052">
        <f t="shared" si="131"/>
        <v>1</v>
      </c>
      <c r="S1052">
        <f t="shared" si="132"/>
        <v>59.331666666666663</v>
      </c>
      <c r="T1052" t="str">
        <f t="shared" si="133"/>
        <v>CARGA INEFICIENTE</v>
      </c>
      <c r="U1052" t="str">
        <f t="shared" si="134"/>
        <v>OK</v>
      </c>
      <c r="V1052" t="str">
        <f t="shared" si="135"/>
        <v>OK</v>
      </c>
    </row>
    <row r="1053" spans="1:22" x14ac:dyDescent="0.45">
      <c r="A1053" t="str">
        <v>SO-50858</v>
      </c>
      <c r="B1053" t="str">
        <v>PL-NTE</v>
      </c>
      <c r="C1053" t="str">
        <v>CD-CHI</v>
      </c>
      <c r="D1053" t="str">
        <v>LAC-1001</v>
      </c>
      <c r="E1053">
        <v>2572</v>
      </c>
      <c r="F1053" s="1">
        <v>46174</v>
      </c>
      <c r="G1053" t="str">
        <v>In Transit</v>
      </c>
      <c r="H1053" t="str">
        <v>OK</v>
      </c>
      <c r="I1053">
        <v>7.51</v>
      </c>
      <c r="J1053">
        <v>83</v>
      </c>
      <c r="K1053">
        <v>18</v>
      </c>
      <c r="L1053" t="str">
        <v>OK</v>
      </c>
      <c r="M1053">
        <v>3</v>
      </c>
      <c r="O1053">
        <f t="shared" si="128"/>
        <v>30.987951807228917</v>
      </c>
      <c r="P1053">
        <f t="shared" si="129"/>
        <v>80.482166666666672</v>
      </c>
      <c r="Q1053">
        <f t="shared" si="130"/>
        <v>93.902884264330055</v>
      </c>
      <c r="R1053">
        <f t="shared" si="131"/>
        <v>1</v>
      </c>
      <c r="S1053">
        <f t="shared" si="132"/>
        <v>93.902884264330055</v>
      </c>
      <c r="T1053" t="str">
        <f t="shared" si="133"/>
        <v>OK</v>
      </c>
      <c r="U1053" t="str">
        <f t="shared" si="134"/>
        <v>OK</v>
      </c>
      <c r="V1053" t="str">
        <f t="shared" si="135"/>
        <v>OK</v>
      </c>
    </row>
    <row r="1054" spans="1:22" x14ac:dyDescent="0.45">
      <c r="A1054" t="str">
        <v>SO-51000</v>
      </c>
      <c r="B1054" t="str">
        <v>PL-NTE</v>
      </c>
      <c r="C1054" t="str">
        <v>CD-SAL</v>
      </c>
      <c r="D1054" t="str">
        <v>ABA-1018</v>
      </c>
      <c r="E1054">
        <v>692</v>
      </c>
      <c r="F1054" s="1">
        <v>46176</v>
      </c>
      <c r="G1054" t="str">
        <v>In Transit</v>
      </c>
      <c r="H1054" t="str">
        <v>OK</v>
      </c>
      <c r="I1054">
        <v>11.43</v>
      </c>
      <c r="J1054">
        <v>128</v>
      </c>
      <c r="K1054">
        <v>530</v>
      </c>
      <c r="L1054" t="str">
        <v>OK</v>
      </c>
      <c r="M1054">
        <v>1</v>
      </c>
      <c r="O1054">
        <f t="shared" si="128"/>
        <v>5.40625</v>
      </c>
      <c r="P1054">
        <f t="shared" si="129"/>
        <v>32.956499999999998</v>
      </c>
      <c r="Q1054">
        <f t="shared" si="130"/>
        <v>16.382575757575758</v>
      </c>
      <c r="R1054">
        <f t="shared" si="131"/>
        <v>1</v>
      </c>
      <c r="S1054">
        <f t="shared" si="132"/>
        <v>32.956499999999998</v>
      </c>
      <c r="T1054" t="str">
        <f t="shared" si="133"/>
        <v>CARGA INEFICIENTE</v>
      </c>
      <c r="U1054" t="str">
        <f t="shared" si="134"/>
        <v>OK</v>
      </c>
      <c r="V1054" t="str">
        <f t="shared" si="135"/>
        <v>OK</v>
      </c>
    </row>
    <row r="1055" spans="1:22" x14ac:dyDescent="0.45">
      <c r="A1055" t="str">
        <v>SO-50157</v>
      </c>
      <c r="B1055" t="str">
        <v>PL-SUR</v>
      </c>
      <c r="C1055" t="str">
        <v>CD-LEO</v>
      </c>
      <c r="D1055" t="str">
        <v>LAC-1006</v>
      </c>
      <c r="E1055">
        <v>2293</v>
      </c>
      <c r="F1055" s="1">
        <v>46176</v>
      </c>
      <c r="G1055" t="str">
        <v>In Transit</v>
      </c>
      <c r="H1055" t="str">
        <v>OK</v>
      </c>
      <c r="I1055">
        <v>10.029999999999999</v>
      </c>
      <c r="J1055">
        <v>126</v>
      </c>
      <c r="K1055">
        <v>17</v>
      </c>
      <c r="L1055" t="str">
        <v>OK</v>
      </c>
      <c r="M1055">
        <v>1</v>
      </c>
      <c r="O1055">
        <f t="shared" si="128"/>
        <v>18.198412698412699</v>
      </c>
      <c r="P1055">
        <f t="shared" si="129"/>
        <v>95.828291666666658</v>
      </c>
      <c r="Q1055">
        <f t="shared" si="130"/>
        <v>55.146705146705152</v>
      </c>
      <c r="R1055">
        <f t="shared" si="131"/>
        <v>1</v>
      </c>
      <c r="S1055">
        <f t="shared" si="132"/>
        <v>95.828291666666658</v>
      </c>
      <c r="T1055" t="str">
        <f t="shared" si="133"/>
        <v>OK</v>
      </c>
      <c r="U1055" t="str">
        <f t="shared" si="134"/>
        <v>OK</v>
      </c>
      <c r="V1055" t="str">
        <f t="shared" si="135"/>
        <v>OK</v>
      </c>
    </row>
    <row r="1056" spans="1:22" x14ac:dyDescent="0.45">
      <c r="A1056" t="str">
        <v>SO-50445</v>
      </c>
      <c r="B1056" t="str">
        <v>PL-NTE</v>
      </c>
      <c r="C1056" t="str">
        <v>CD-MTY</v>
      </c>
      <c r="D1056" t="str">
        <v>BEB-1019</v>
      </c>
      <c r="E1056">
        <v>1442</v>
      </c>
      <c r="F1056" s="1">
        <v>46176</v>
      </c>
      <c r="G1056" t="str">
        <v>In Transit</v>
      </c>
      <c r="H1056" t="str">
        <v>OK</v>
      </c>
      <c r="I1056">
        <v>14.35</v>
      </c>
      <c r="J1056">
        <v>70</v>
      </c>
      <c r="K1056">
        <v>240</v>
      </c>
      <c r="L1056" t="str">
        <v>OK</v>
      </c>
      <c r="M1056">
        <v>1</v>
      </c>
      <c r="O1056">
        <f t="shared" si="128"/>
        <v>20.6</v>
      </c>
      <c r="P1056">
        <f t="shared" si="129"/>
        <v>86.219583333333333</v>
      </c>
      <c r="Q1056">
        <f t="shared" si="130"/>
        <v>62.424242424242429</v>
      </c>
      <c r="R1056">
        <f t="shared" si="131"/>
        <v>1</v>
      </c>
      <c r="S1056">
        <f t="shared" si="132"/>
        <v>86.219583333333333</v>
      </c>
      <c r="T1056" t="str">
        <f t="shared" si="133"/>
        <v>OK</v>
      </c>
      <c r="U1056" t="str">
        <f t="shared" si="134"/>
        <v>OK</v>
      </c>
      <c r="V1056" t="str">
        <f t="shared" si="135"/>
        <v>OK</v>
      </c>
    </row>
    <row r="1057" spans="1:22" x14ac:dyDescent="0.45">
      <c r="A1057" t="str">
        <v>SO-50391</v>
      </c>
      <c r="B1057" t="str">
        <v>PL-CEN</v>
      </c>
      <c r="C1057" t="str">
        <v>CD-TOL</v>
      </c>
      <c r="D1057" t="str">
        <v>BEB-1001</v>
      </c>
      <c r="E1057">
        <v>1190</v>
      </c>
      <c r="F1057" s="1">
        <v>46176</v>
      </c>
      <c r="G1057" t="str">
        <v>In Transit</v>
      </c>
      <c r="H1057" t="str">
        <v>OK</v>
      </c>
      <c r="I1057">
        <v>19.18</v>
      </c>
      <c r="J1057">
        <v>95</v>
      </c>
      <c r="K1057">
        <v>208</v>
      </c>
      <c r="L1057" t="str">
        <v>OK</v>
      </c>
      <c r="M1057">
        <v>1</v>
      </c>
      <c r="O1057">
        <f t="shared" si="128"/>
        <v>12.526315789473685</v>
      </c>
      <c r="P1057">
        <f t="shared" si="129"/>
        <v>95.100833333333341</v>
      </c>
      <c r="Q1057">
        <f t="shared" si="130"/>
        <v>37.958532695374799</v>
      </c>
      <c r="R1057">
        <f t="shared" si="131"/>
        <v>1</v>
      </c>
      <c r="S1057">
        <f t="shared" si="132"/>
        <v>95.100833333333341</v>
      </c>
      <c r="T1057" t="str">
        <f t="shared" si="133"/>
        <v>OK</v>
      </c>
      <c r="U1057" t="str">
        <f t="shared" si="134"/>
        <v>OK</v>
      </c>
      <c r="V1057" t="str">
        <f t="shared" si="135"/>
        <v>OK</v>
      </c>
    </row>
    <row r="1058" spans="1:22" x14ac:dyDescent="0.45">
      <c r="A1058" t="str">
        <v>SO-50964</v>
      </c>
      <c r="B1058" t="str">
        <v>PL-SUR</v>
      </c>
      <c r="C1058" t="str">
        <v>CD-LEO</v>
      </c>
      <c r="D1058" t="str">
        <v>BOT-1021</v>
      </c>
      <c r="E1058">
        <v>1253</v>
      </c>
      <c r="F1058" s="1">
        <v>46176</v>
      </c>
      <c r="G1058" t="str">
        <v>In Transit</v>
      </c>
      <c r="H1058" t="str">
        <v>OK</v>
      </c>
      <c r="I1058">
        <v>5.04</v>
      </c>
      <c r="J1058">
        <v>47</v>
      </c>
      <c r="K1058">
        <v>96</v>
      </c>
      <c r="L1058" t="str">
        <v>OK</v>
      </c>
      <c r="M1058">
        <v>1</v>
      </c>
      <c r="O1058">
        <f t="shared" si="128"/>
        <v>26.659574468085108</v>
      </c>
      <c r="P1058">
        <f t="shared" si="129"/>
        <v>26.312999999999999</v>
      </c>
      <c r="Q1058">
        <f t="shared" si="130"/>
        <v>80.786589297227593</v>
      </c>
      <c r="R1058">
        <f t="shared" si="131"/>
        <v>1</v>
      </c>
      <c r="S1058">
        <f t="shared" si="132"/>
        <v>80.786589297227593</v>
      </c>
      <c r="T1058" t="str">
        <f t="shared" si="133"/>
        <v>OK</v>
      </c>
      <c r="U1058" t="str">
        <f t="shared" si="134"/>
        <v>OK</v>
      </c>
      <c r="V1058" t="str">
        <f t="shared" si="135"/>
        <v>OK</v>
      </c>
    </row>
    <row r="1059" spans="1:22" x14ac:dyDescent="0.45">
      <c r="A1059" t="str">
        <v>SO-50414</v>
      </c>
      <c r="B1059" t="str">
        <v>PL-SUR</v>
      </c>
      <c r="C1059" t="str">
        <v>CD-MOR</v>
      </c>
      <c r="D1059" t="str">
        <v>BOT-1002</v>
      </c>
      <c r="E1059">
        <v>2685</v>
      </c>
      <c r="F1059" s="1">
        <v>46175</v>
      </c>
      <c r="G1059" t="str">
        <v>In Transit</v>
      </c>
      <c r="H1059" t="str">
        <v>OK</v>
      </c>
      <c r="I1059">
        <v>3.02</v>
      </c>
      <c r="J1059">
        <v>84</v>
      </c>
      <c r="K1059">
        <v>111</v>
      </c>
      <c r="L1059" t="str">
        <v>OK</v>
      </c>
      <c r="M1059">
        <v>2</v>
      </c>
      <c r="O1059">
        <f t="shared" si="128"/>
        <v>31.964285714285715</v>
      </c>
      <c r="P1059">
        <f t="shared" si="129"/>
        <v>33.786250000000003</v>
      </c>
      <c r="Q1059">
        <f t="shared" si="130"/>
        <v>96.861471861471856</v>
      </c>
      <c r="R1059">
        <f t="shared" si="131"/>
        <v>1</v>
      </c>
      <c r="S1059">
        <f t="shared" si="132"/>
        <v>96.861471861471856</v>
      </c>
      <c r="T1059" t="str">
        <f t="shared" si="133"/>
        <v>OK</v>
      </c>
      <c r="U1059" t="str">
        <f t="shared" si="134"/>
        <v>OK</v>
      </c>
      <c r="V1059" t="str">
        <f t="shared" si="135"/>
        <v>OK</v>
      </c>
    </row>
    <row r="1060" spans="1:22" x14ac:dyDescent="0.45">
      <c r="A1060" t="str">
        <v>SO-50396</v>
      </c>
      <c r="B1060" t="str">
        <v>PL-SUR</v>
      </c>
      <c r="C1060" t="str">
        <v>CD-LEO</v>
      </c>
      <c r="D1060" t="str">
        <v>BOT-1008</v>
      </c>
      <c r="E1060">
        <v>1894</v>
      </c>
      <c r="F1060" s="1">
        <v>46176</v>
      </c>
      <c r="G1060" t="str">
        <v>In Transit</v>
      </c>
      <c r="H1060" t="str">
        <v>OK</v>
      </c>
      <c r="I1060">
        <v>3.48</v>
      </c>
      <c r="J1060">
        <v>66</v>
      </c>
      <c r="K1060">
        <v>112</v>
      </c>
      <c r="L1060" t="str">
        <v>OK</v>
      </c>
      <c r="M1060">
        <v>1</v>
      </c>
      <c r="O1060">
        <f t="shared" si="128"/>
        <v>28.696969696969695</v>
      </c>
      <c r="P1060">
        <f t="shared" si="129"/>
        <v>27.462999999999997</v>
      </c>
      <c r="Q1060">
        <f t="shared" si="130"/>
        <v>86.960514233241497</v>
      </c>
      <c r="R1060">
        <f t="shared" si="131"/>
        <v>1</v>
      </c>
      <c r="S1060">
        <f t="shared" si="132"/>
        <v>86.960514233241497</v>
      </c>
      <c r="T1060" t="str">
        <f t="shared" si="133"/>
        <v>OK</v>
      </c>
      <c r="U1060" t="str">
        <f t="shared" si="134"/>
        <v>OK</v>
      </c>
      <c r="V1060" t="str">
        <f t="shared" si="135"/>
        <v>OK</v>
      </c>
    </row>
    <row r="1061" spans="1:22" x14ac:dyDescent="0.45">
      <c r="A1061" t="str">
        <v>SO-50628</v>
      </c>
      <c r="B1061" t="str">
        <v>PL-NTE</v>
      </c>
      <c r="C1061" t="str">
        <v>CD-SAL</v>
      </c>
      <c r="D1061" t="str">
        <v>ABA-1014</v>
      </c>
      <c r="E1061">
        <v>645</v>
      </c>
      <c r="F1061" s="1">
        <v>46175</v>
      </c>
      <c r="G1061" t="str">
        <v>In Transit</v>
      </c>
      <c r="H1061" t="str">
        <v>OK</v>
      </c>
      <c r="I1061">
        <v>9.56</v>
      </c>
      <c r="J1061">
        <v>136</v>
      </c>
      <c r="K1061">
        <v>345</v>
      </c>
      <c r="L1061" t="str">
        <v>OK</v>
      </c>
      <c r="M1061">
        <v>2</v>
      </c>
      <c r="O1061">
        <f t="shared" si="128"/>
        <v>4.742647058823529</v>
      </c>
      <c r="P1061">
        <f t="shared" si="129"/>
        <v>25.692500000000003</v>
      </c>
      <c r="Q1061">
        <f t="shared" si="130"/>
        <v>14.371657754010695</v>
      </c>
      <c r="R1061">
        <f t="shared" si="131"/>
        <v>1</v>
      </c>
      <c r="S1061">
        <f t="shared" si="132"/>
        <v>25.692500000000003</v>
      </c>
      <c r="T1061" t="str">
        <f t="shared" si="133"/>
        <v>CARGA INEFICIENTE</v>
      </c>
      <c r="U1061" t="str">
        <f t="shared" si="134"/>
        <v>OK</v>
      </c>
      <c r="V1061" t="str">
        <f t="shared" si="135"/>
        <v>OK</v>
      </c>
    </row>
    <row r="1062" spans="1:22" x14ac:dyDescent="0.45">
      <c r="A1062" t="str">
        <v>SO-50821</v>
      </c>
      <c r="B1062" t="str">
        <v>PL-CEN</v>
      </c>
      <c r="C1062" t="str">
        <v>CD-PUE</v>
      </c>
      <c r="D1062" t="str">
        <v>BOT-1023</v>
      </c>
      <c r="E1062">
        <v>1308</v>
      </c>
      <c r="F1062" s="1">
        <v>46176</v>
      </c>
      <c r="G1062" t="str">
        <v>In Transit</v>
      </c>
      <c r="H1062" t="str">
        <v>OK</v>
      </c>
      <c r="I1062">
        <v>4.29</v>
      </c>
      <c r="J1062">
        <v>44</v>
      </c>
      <c r="K1062">
        <v>111</v>
      </c>
      <c r="L1062" t="str">
        <v>OK</v>
      </c>
      <c r="M1062">
        <v>1</v>
      </c>
      <c r="O1062">
        <f t="shared" si="128"/>
        <v>29.727272727272727</v>
      </c>
      <c r="P1062">
        <f t="shared" si="129"/>
        <v>23.380499999999998</v>
      </c>
      <c r="Q1062">
        <f t="shared" si="130"/>
        <v>90.082644628099175</v>
      </c>
      <c r="R1062">
        <f t="shared" si="131"/>
        <v>1</v>
      </c>
      <c r="S1062">
        <f t="shared" si="132"/>
        <v>90.082644628099175</v>
      </c>
      <c r="T1062" t="str">
        <f t="shared" si="133"/>
        <v>OK</v>
      </c>
      <c r="U1062" t="str">
        <f t="shared" si="134"/>
        <v>OK</v>
      </c>
      <c r="V1062" t="str">
        <f t="shared" si="135"/>
        <v>OK</v>
      </c>
    </row>
    <row r="1063" spans="1:22" x14ac:dyDescent="0.45">
      <c r="A1063" t="str">
        <v>SO-50054</v>
      </c>
      <c r="B1063" t="str">
        <v>PL-NTE</v>
      </c>
      <c r="C1063" t="str">
        <v>CD-CHI</v>
      </c>
      <c r="D1063" t="str">
        <v>LAC-1006</v>
      </c>
      <c r="E1063">
        <v>1997</v>
      </c>
      <c r="F1063" s="1">
        <v>46176</v>
      </c>
      <c r="G1063" t="str">
        <v>In Transit</v>
      </c>
      <c r="H1063" t="str">
        <v>OK</v>
      </c>
      <c r="I1063">
        <v>10.029999999999999</v>
      </c>
      <c r="J1063">
        <v>126</v>
      </c>
      <c r="K1063">
        <v>17</v>
      </c>
      <c r="L1063" t="str">
        <v>OK</v>
      </c>
      <c r="M1063">
        <v>1</v>
      </c>
      <c r="O1063">
        <f t="shared" si="128"/>
        <v>15.84920634920635</v>
      </c>
      <c r="P1063">
        <f t="shared" si="129"/>
        <v>83.457958333333337</v>
      </c>
      <c r="Q1063">
        <f t="shared" si="130"/>
        <v>48.027898027898033</v>
      </c>
      <c r="R1063">
        <f t="shared" si="131"/>
        <v>1</v>
      </c>
      <c r="S1063">
        <f t="shared" si="132"/>
        <v>83.457958333333337</v>
      </c>
      <c r="T1063" t="str">
        <f t="shared" si="133"/>
        <v>OK</v>
      </c>
      <c r="U1063" t="str">
        <f t="shared" si="134"/>
        <v>OK</v>
      </c>
      <c r="V1063" t="str">
        <f t="shared" si="135"/>
        <v>OK</v>
      </c>
    </row>
    <row r="1064" spans="1:22" x14ac:dyDescent="0.45">
      <c r="A1064" t="str">
        <v>SO-50621</v>
      </c>
      <c r="B1064" t="str">
        <v>PL-NTE</v>
      </c>
      <c r="C1064" t="str">
        <v>CD-TIJ</v>
      </c>
      <c r="D1064" t="str">
        <v>BOT-1023</v>
      </c>
      <c r="E1064">
        <v>1315</v>
      </c>
      <c r="F1064" s="1">
        <v>46176</v>
      </c>
      <c r="G1064" t="str">
        <v>In Transit</v>
      </c>
      <c r="H1064" t="str">
        <v>OK</v>
      </c>
      <c r="I1064">
        <v>4.29</v>
      </c>
      <c r="J1064">
        <v>44</v>
      </c>
      <c r="K1064">
        <v>111</v>
      </c>
      <c r="L1064" t="str">
        <v>OK</v>
      </c>
      <c r="M1064">
        <v>1</v>
      </c>
      <c r="O1064">
        <f t="shared" si="128"/>
        <v>29.886363636363637</v>
      </c>
      <c r="P1064">
        <f t="shared" si="129"/>
        <v>23.505625000000002</v>
      </c>
      <c r="Q1064">
        <f t="shared" si="130"/>
        <v>90.564738292011015</v>
      </c>
      <c r="R1064">
        <f t="shared" si="131"/>
        <v>1</v>
      </c>
      <c r="S1064">
        <f t="shared" si="132"/>
        <v>90.564738292011015</v>
      </c>
      <c r="T1064" t="str">
        <f t="shared" si="133"/>
        <v>OK</v>
      </c>
      <c r="U1064" t="str">
        <f t="shared" si="134"/>
        <v>OK</v>
      </c>
      <c r="V1064" t="str">
        <f t="shared" si="135"/>
        <v>OK</v>
      </c>
    </row>
    <row r="1065" spans="1:22" x14ac:dyDescent="0.45">
      <c r="A1065" t="str">
        <v>SO-50662</v>
      </c>
      <c r="B1065" t="str">
        <v>PL-CEN</v>
      </c>
      <c r="C1065" t="str">
        <v>CD-VER</v>
      </c>
      <c r="D1065" t="str">
        <v>BOT-1023</v>
      </c>
      <c r="E1065">
        <v>294</v>
      </c>
      <c r="F1065" s="1">
        <v>46174</v>
      </c>
      <c r="G1065" t="str">
        <v>In Transit</v>
      </c>
      <c r="H1065" t="str">
        <v>OK</v>
      </c>
      <c r="I1065">
        <v>4.29</v>
      </c>
      <c r="J1065">
        <v>44</v>
      </c>
      <c r="K1065">
        <v>111</v>
      </c>
      <c r="L1065" t="str">
        <v>OK</v>
      </c>
      <c r="M1065">
        <v>3</v>
      </c>
      <c r="O1065">
        <f t="shared" si="128"/>
        <v>6.6818181818181817</v>
      </c>
      <c r="P1065">
        <f t="shared" si="129"/>
        <v>5.2552500000000002</v>
      </c>
      <c r="Q1065">
        <f t="shared" si="130"/>
        <v>20.24793388429752</v>
      </c>
      <c r="R1065">
        <f t="shared" si="131"/>
        <v>1</v>
      </c>
      <c r="S1065">
        <f t="shared" si="132"/>
        <v>20.24793388429752</v>
      </c>
      <c r="T1065" t="str">
        <f t="shared" si="133"/>
        <v>CARGA INEFICIENTE</v>
      </c>
      <c r="U1065" t="str">
        <f t="shared" si="134"/>
        <v>OK</v>
      </c>
      <c r="V1065" t="str">
        <f t="shared" si="135"/>
        <v>OK</v>
      </c>
    </row>
    <row r="1066" spans="1:22" x14ac:dyDescent="0.45">
      <c r="A1066" t="str">
        <v>SO-50322</v>
      </c>
      <c r="B1066" t="str">
        <v>PL-CEN</v>
      </c>
      <c r="C1066" t="str">
        <v>CD-QRO</v>
      </c>
      <c r="D1066" t="str">
        <v>BEB-1002</v>
      </c>
      <c r="E1066">
        <v>1490</v>
      </c>
      <c r="F1066" s="1">
        <v>46175</v>
      </c>
      <c r="G1066" t="str">
        <v>In Transit</v>
      </c>
      <c r="H1066" t="str">
        <v>OK</v>
      </c>
      <c r="I1066">
        <v>0</v>
      </c>
      <c r="J1066">
        <v>69</v>
      </c>
      <c r="K1066">
        <v>291</v>
      </c>
      <c r="L1066" t="str">
        <v>OK</v>
      </c>
      <c r="M1066">
        <v>2</v>
      </c>
      <c r="O1066">
        <f t="shared" si="128"/>
        <v>21.594202898550726</v>
      </c>
      <c r="P1066">
        <f t="shared" si="129"/>
        <v>0</v>
      </c>
      <c r="Q1066">
        <f t="shared" si="130"/>
        <v>65.436978480456744</v>
      </c>
      <c r="R1066">
        <f t="shared" si="131"/>
        <v>1</v>
      </c>
      <c r="S1066">
        <f t="shared" si="132"/>
        <v>65.436978480456744</v>
      </c>
      <c r="T1066" t="str">
        <f t="shared" si="133"/>
        <v>CARGA INEFICIENTE</v>
      </c>
      <c r="U1066" t="str">
        <f t="shared" si="134"/>
        <v>OK</v>
      </c>
      <c r="V1066" t="str">
        <f t="shared" si="135"/>
        <v>OK</v>
      </c>
    </row>
    <row r="1067" spans="1:22" x14ac:dyDescent="0.45">
      <c r="A1067" t="str">
        <v>SO-51095</v>
      </c>
      <c r="B1067" t="str">
        <v>PL-NTE</v>
      </c>
      <c r="C1067" t="str">
        <v>CD-SAL</v>
      </c>
      <c r="D1067" t="str">
        <v>LAC-1001</v>
      </c>
      <c r="E1067">
        <v>2448</v>
      </c>
      <c r="F1067" s="1">
        <v>46169</v>
      </c>
      <c r="G1067" t="str">
        <v>Delivered</v>
      </c>
      <c r="H1067" t="str">
        <v>OK</v>
      </c>
      <c r="I1067">
        <v>7.51</v>
      </c>
      <c r="J1067">
        <v>83</v>
      </c>
      <c r="K1067">
        <v>18</v>
      </c>
      <c r="L1067" t="str">
        <v>OK</v>
      </c>
      <c r="M1067">
        <v>8</v>
      </c>
      <c r="O1067">
        <f t="shared" si="128"/>
        <v>29.493975903614459</v>
      </c>
      <c r="P1067">
        <f t="shared" si="129"/>
        <v>76.602000000000004</v>
      </c>
      <c r="Q1067">
        <f t="shared" si="130"/>
        <v>89.37568455640745</v>
      </c>
      <c r="R1067">
        <f t="shared" si="131"/>
        <v>1</v>
      </c>
      <c r="S1067">
        <f t="shared" si="132"/>
        <v>89.37568455640745</v>
      </c>
      <c r="T1067" t="str">
        <f t="shared" si="133"/>
        <v>OK</v>
      </c>
      <c r="U1067" t="str">
        <f t="shared" si="134"/>
        <v>FEFO RIESGO</v>
      </c>
      <c r="V1067" t="str">
        <f t="shared" si="135"/>
        <v>OK</v>
      </c>
    </row>
    <row r="1068" spans="1:22" x14ac:dyDescent="0.45">
      <c r="A1068" t="str">
        <v>SO-50956</v>
      </c>
      <c r="B1068" t="str">
        <v>PL-CEN</v>
      </c>
      <c r="C1068" t="str">
        <v>CD-TOL</v>
      </c>
      <c r="D1068" t="str">
        <v>PRO-1010</v>
      </c>
      <c r="E1068">
        <v>1080</v>
      </c>
      <c r="F1068" s="1">
        <v>46175</v>
      </c>
      <c r="G1068" t="str">
        <v>In Transit</v>
      </c>
      <c r="H1068" t="str">
        <v>OK</v>
      </c>
      <c r="I1068">
        <v>7.76</v>
      </c>
      <c r="J1068">
        <v>86</v>
      </c>
      <c r="K1068">
        <v>112</v>
      </c>
      <c r="L1068" t="str">
        <v>OK</v>
      </c>
      <c r="M1068">
        <v>2</v>
      </c>
      <c r="O1068">
        <f t="shared" si="128"/>
        <v>12.55813953488372</v>
      </c>
      <c r="P1068">
        <f t="shared" si="129"/>
        <v>34.919999999999995</v>
      </c>
      <c r="Q1068">
        <f t="shared" si="130"/>
        <v>38.054968287526428</v>
      </c>
      <c r="R1068">
        <f t="shared" si="131"/>
        <v>1</v>
      </c>
      <c r="S1068">
        <f t="shared" si="132"/>
        <v>38.054968287526428</v>
      </c>
      <c r="T1068" t="str">
        <f t="shared" si="133"/>
        <v>CARGA INEFICIENTE</v>
      </c>
      <c r="U1068" t="str">
        <f t="shared" si="134"/>
        <v>OK</v>
      </c>
      <c r="V1068" t="str">
        <f t="shared" si="135"/>
        <v>OK</v>
      </c>
    </row>
    <row r="1069" spans="1:22" x14ac:dyDescent="0.45">
      <c r="A1069" t="str">
        <v>SO-50827</v>
      </c>
      <c r="B1069" t="str">
        <v>PL-CEN</v>
      </c>
      <c r="C1069" t="str">
        <v>CD-CDMX</v>
      </c>
      <c r="D1069" t="str">
        <v>BEB-1013</v>
      </c>
      <c r="E1069">
        <v>564</v>
      </c>
      <c r="F1069" s="1">
        <v>46176</v>
      </c>
      <c r="G1069" t="str">
        <v>In Transit</v>
      </c>
      <c r="H1069" t="str">
        <v>OK</v>
      </c>
      <c r="I1069">
        <v>17.28</v>
      </c>
      <c r="J1069">
        <v>97</v>
      </c>
      <c r="K1069">
        <v>271</v>
      </c>
      <c r="L1069" t="str">
        <v>OK</v>
      </c>
      <c r="M1069">
        <v>1</v>
      </c>
      <c r="O1069">
        <f t="shared" si="128"/>
        <v>5.8144329896907214</v>
      </c>
      <c r="P1069">
        <f t="shared" si="129"/>
        <v>40.607999999999997</v>
      </c>
      <c r="Q1069">
        <f t="shared" si="130"/>
        <v>17.619493908153704</v>
      </c>
      <c r="R1069">
        <f t="shared" si="131"/>
        <v>1</v>
      </c>
      <c r="S1069">
        <f t="shared" si="132"/>
        <v>40.607999999999997</v>
      </c>
      <c r="T1069" t="str">
        <f t="shared" si="133"/>
        <v>CARGA INEFICIENTE</v>
      </c>
      <c r="U1069" t="str">
        <f t="shared" si="134"/>
        <v>OK</v>
      </c>
      <c r="V1069" t="str">
        <f t="shared" si="135"/>
        <v>OK</v>
      </c>
    </row>
    <row r="1070" spans="1:22" x14ac:dyDescent="0.45">
      <c r="A1070" t="str">
        <v>SO-50728</v>
      </c>
      <c r="B1070" t="str">
        <v>PL-CEN</v>
      </c>
      <c r="C1070" t="str">
        <v>CD-VER</v>
      </c>
      <c r="D1070" t="str">
        <v>LAC-1006</v>
      </c>
      <c r="E1070">
        <v>2168</v>
      </c>
      <c r="F1070" s="1">
        <v>46174</v>
      </c>
      <c r="G1070" t="str">
        <v>In Transit</v>
      </c>
      <c r="H1070" t="str">
        <v>OK</v>
      </c>
      <c r="I1070">
        <v>10.029999999999999</v>
      </c>
      <c r="J1070">
        <v>126</v>
      </c>
      <c r="K1070">
        <v>17</v>
      </c>
      <c r="L1070" t="str">
        <v>OK</v>
      </c>
      <c r="M1070">
        <v>3</v>
      </c>
      <c r="O1070">
        <f t="shared" si="128"/>
        <v>17.206349206349206</v>
      </c>
      <c r="P1070">
        <f t="shared" si="129"/>
        <v>90.604333333333315</v>
      </c>
      <c r="Q1070">
        <f t="shared" si="130"/>
        <v>52.14045214045214</v>
      </c>
      <c r="R1070">
        <f t="shared" si="131"/>
        <v>1</v>
      </c>
      <c r="S1070">
        <f t="shared" si="132"/>
        <v>90.604333333333315</v>
      </c>
      <c r="T1070" t="str">
        <f t="shared" si="133"/>
        <v>OK</v>
      </c>
      <c r="U1070" t="str">
        <f t="shared" si="134"/>
        <v>OK</v>
      </c>
      <c r="V1070" t="str">
        <f t="shared" si="135"/>
        <v>OK</v>
      </c>
    </row>
    <row r="1071" spans="1:22" x14ac:dyDescent="0.45">
      <c r="A1071" t="str">
        <v>SO-50432</v>
      </c>
      <c r="B1071" t="str">
        <v>PL-SUR</v>
      </c>
      <c r="C1071" t="str">
        <v>CD-MOR</v>
      </c>
      <c r="D1071" t="str">
        <v>BEB-1016</v>
      </c>
      <c r="E1071">
        <v>757</v>
      </c>
      <c r="F1071" s="1">
        <v>46175</v>
      </c>
      <c r="G1071" t="str">
        <v>In Transit</v>
      </c>
      <c r="H1071" t="str">
        <v>OK</v>
      </c>
      <c r="I1071">
        <v>0</v>
      </c>
      <c r="J1071">
        <v>98</v>
      </c>
      <c r="K1071">
        <v>359</v>
      </c>
      <c r="L1071" t="str">
        <v>OK</v>
      </c>
      <c r="M1071">
        <v>2</v>
      </c>
      <c r="O1071">
        <f t="shared" si="128"/>
        <v>7.7244897959183669</v>
      </c>
      <c r="P1071">
        <f t="shared" si="129"/>
        <v>0</v>
      </c>
      <c r="Q1071">
        <f t="shared" si="130"/>
        <v>23.407544836116266</v>
      </c>
      <c r="R1071">
        <f t="shared" si="131"/>
        <v>1</v>
      </c>
      <c r="S1071">
        <f t="shared" si="132"/>
        <v>23.407544836116266</v>
      </c>
      <c r="T1071" t="str">
        <f t="shared" si="133"/>
        <v>CARGA INEFICIENTE</v>
      </c>
      <c r="U1071" t="str">
        <f t="shared" si="134"/>
        <v>OK</v>
      </c>
      <c r="V1071" t="str">
        <f t="shared" si="135"/>
        <v>OK</v>
      </c>
    </row>
    <row r="1072" spans="1:22" x14ac:dyDescent="0.45">
      <c r="A1072" t="str">
        <v>SO-50766</v>
      </c>
      <c r="B1072" t="str">
        <v>PL-NTE</v>
      </c>
      <c r="C1072" t="str">
        <v>CD-CHI</v>
      </c>
      <c r="D1072" t="str">
        <v>PRO-1010</v>
      </c>
      <c r="E1072">
        <v>2721</v>
      </c>
      <c r="F1072" s="1">
        <v>46174</v>
      </c>
      <c r="G1072" t="str">
        <v>In Transit</v>
      </c>
      <c r="H1072" t="str">
        <v>OK</v>
      </c>
      <c r="I1072">
        <v>7.76</v>
      </c>
      <c r="J1072">
        <v>86</v>
      </c>
      <c r="K1072">
        <v>112</v>
      </c>
      <c r="L1072" t="str">
        <v>OK</v>
      </c>
      <c r="M1072">
        <v>3</v>
      </c>
      <c r="O1072">
        <f t="shared" si="128"/>
        <v>31.63953488372093</v>
      </c>
      <c r="P1072">
        <f t="shared" si="129"/>
        <v>87.978999999999999</v>
      </c>
      <c r="Q1072">
        <f t="shared" si="130"/>
        <v>95.877378435517969</v>
      </c>
      <c r="R1072">
        <f t="shared" si="131"/>
        <v>1</v>
      </c>
      <c r="S1072">
        <f t="shared" si="132"/>
        <v>95.877378435517969</v>
      </c>
      <c r="T1072" t="str">
        <f t="shared" si="133"/>
        <v>OK</v>
      </c>
      <c r="U1072" t="str">
        <f t="shared" si="134"/>
        <v>OK</v>
      </c>
      <c r="V1072" t="str">
        <f t="shared" si="135"/>
        <v>OK</v>
      </c>
    </row>
    <row r="1073" spans="1:22" x14ac:dyDescent="0.45">
      <c r="A1073" t="str">
        <v>SO-50360</v>
      </c>
      <c r="B1073" t="str">
        <v>PL-CEN</v>
      </c>
      <c r="C1073" t="str">
        <v>CD-TOL</v>
      </c>
      <c r="D1073" t="str">
        <v>ABA-1018</v>
      </c>
      <c r="E1073">
        <v>1676</v>
      </c>
      <c r="F1073" s="1">
        <v>46175</v>
      </c>
      <c r="G1073" t="str">
        <v>In Transit</v>
      </c>
      <c r="H1073" t="str">
        <v>OK</v>
      </c>
      <c r="I1073">
        <v>11.43</v>
      </c>
      <c r="J1073">
        <v>128</v>
      </c>
      <c r="K1073">
        <v>530</v>
      </c>
      <c r="L1073" t="str">
        <v>OK</v>
      </c>
      <c r="M1073">
        <v>2</v>
      </c>
      <c r="O1073">
        <f t="shared" si="128"/>
        <v>13.09375</v>
      </c>
      <c r="P1073">
        <f t="shared" si="129"/>
        <v>79.819500000000005</v>
      </c>
      <c r="Q1073">
        <f t="shared" si="130"/>
        <v>39.678030303030305</v>
      </c>
      <c r="R1073">
        <f t="shared" si="131"/>
        <v>1</v>
      </c>
      <c r="S1073">
        <f t="shared" si="132"/>
        <v>79.819500000000005</v>
      </c>
      <c r="T1073" t="str">
        <f t="shared" si="133"/>
        <v>OK</v>
      </c>
      <c r="U1073" t="str">
        <f t="shared" si="134"/>
        <v>OK</v>
      </c>
      <c r="V1073" t="str">
        <f t="shared" si="135"/>
        <v>OK</v>
      </c>
    </row>
    <row r="1074" spans="1:22" x14ac:dyDescent="0.45">
      <c r="A1074" t="str">
        <v>SO-50972</v>
      </c>
      <c r="B1074" t="str">
        <v>PL-CEN</v>
      </c>
      <c r="C1074" t="str">
        <v>CD-CDMX</v>
      </c>
      <c r="D1074" t="str">
        <v>LAC-1001</v>
      </c>
      <c r="E1074">
        <v>871</v>
      </c>
      <c r="F1074" s="1">
        <v>46176</v>
      </c>
      <c r="G1074" t="str">
        <v>In Transit</v>
      </c>
      <c r="H1074" t="str">
        <v>OK</v>
      </c>
      <c r="I1074">
        <v>7.51</v>
      </c>
      <c r="J1074">
        <v>83</v>
      </c>
      <c r="K1074">
        <v>18</v>
      </c>
      <c r="L1074" t="str">
        <v>OK</v>
      </c>
      <c r="M1074">
        <v>1</v>
      </c>
      <c r="O1074">
        <f t="shared" si="128"/>
        <v>10.493975903614459</v>
      </c>
      <c r="P1074">
        <f t="shared" si="129"/>
        <v>27.255041666666667</v>
      </c>
      <c r="Q1074">
        <f t="shared" si="130"/>
        <v>31.799926980649872</v>
      </c>
      <c r="R1074">
        <f t="shared" si="131"/>
        <v>1</v>
      </c>
      <c r="S1074">
        <f t="shared" si="132"/>
        <v>31.799926980649872</v>
      </c>
      <c r="T1074" t="str">
        <f t="shared" si="133"/>
        <v>CARGA INEFICIENTE</v>
      </c>
      <c r="U1074" t="str">
        <f t="shared" si="134"/>
        <v>OK</v>
      </c>
      <c r="V1074" t="str">
        <f t="shared" si="135"/>
        <v>OK</v>
      </c>
    </row>
    <row r="1075" spans="1:22" x14ac:dyDescent="0.45">
      <c r="A1075" t="str">
        <v>SO-50398</v>
      </c>
      <c r="B1075" t="str">
        <v>PL-SUR</v>
      </c>
      <c r="C1075" t="str">
        <v>CD-GDL</v>
      </c>
      <c r="D1075" t="str">
        <v>PRO-1007</v>
      </c>
      <c r="E1075">
        <v>1453</v>
      </c>
      <c r="F1075" s="1">
        <v>46176</v>
      </c>
      <c r="G1075" t="str">
        <v>In Transit</v>
      </c>
      <c r="H1075" t="str">
        <v>OK</v>
      </c>
      <c r="I1075">
        <v>13.13</v>
      </c>
      <c r="J1075">
        <v>82</v>
      </c>
      <c r="K1075">
        <v>105</v>
      </c>
      <c r="L1075" t="str">
        <v>OK</v>
      </c>
      <c r="M1075">
        <v>1</v>
      </c>
      <c r="O1075">
        <f t="shared" si="128"/>
        <v>17.719512195121951</v>
      </c>
      <c r="P1075">
        <f t="shared" si="129"/>
        <v>79.491208333333333</v>
      </c>
      <c r="Q1075">
        <f t="shared" si="130"/>
        <v>53.695491500369549</v>
      </c>
      <c r="R1075">
        <f t="shared" si="131"/>
        <v>1</v>
      </c>
      <c r="S1075">
        <f t="shared" si="132"/>
        <v>79.491208333333333</v>
      </c>
      <c r="T1075" t="str">
        <f t="shared" si="133"/>
        <v>OK</v>
      </c>
      <c r="U1075" t="str">
        <f t="shared" si="134"/>
        <v>OK</v>
      </c>
      <c r="V1075" t="str">
        <f t="shared" si="135"/>
        <v>OK</v>
      </c>
    </row>
    <row r="1076" spans="1:22" x14ac:dyDescent="0.45">
      <c r="A1076" t="str">
        <v>SO-50652</v>
      </c>
      <c r="B1076" t="str">
        <v>PL-NTE</v>
      </c>
      <c r="C1076" t="str">
        <v>CD-TIJ</v>
      </c>
      <c r="D1076" t="str">
        <v>BEB-1002</v>
      </c>
      <c r="E1076">
        <v>1792</v>
      </c>
      <c r="F1076" s="1">
        <v>46175</v>
      </c>
      <c r="G1076" t="str">
        <v>In Transit</v>
      </c>
      <c r="H1076" t="str">
        <v>OK</v>
      </c>
      <c r="I1076">
        <v>0</v>
      </c>
      <c r="J1076">
        <v>69</v>
      </c>
      <c r="K1076">
        <v>291</v>
      </c>
      <c r="L1076" t="str">
        <v>OK</v>
      </c>
      <c r="M1076">
        <v>2</v>
      </c>
      <c r="O1076">
        <f t="shared" si="128"/>
        <v>25.971014492753625</v>
      </c>
      <c r="P1076">
        <f t="shared" si="129"/>
        <v>0</v>
      </c>
      <c r="Q1076">
        <f t="shared" si="130"/>
        <v>78.700043917435224</v>
      </c>
      <c r="R1076">
        <f t="shared" si="131"/>
        <v>1</v>
      </c>
      <c r="S1076">
        <f t="shared" si="132"/>
        <v>78.700043917435224</v>
      </c>
      <c r="T1076" t="str">
        <f t="shared" si="133"/>
        <v>OK</v>
      </c>
      <c r="U1076" t="str">
        <f t="shared" si="134"/>
        <v>OK</v>
      </c>
      <c r="V1076" t="str">
        <f t="shared" si="135"/>
        <v>OK</v>
      </c>
    </row>
    <row r="1077" spans="1:22" x14ac:dyDescent="0.45">
      <c r="A1077" t="str">
        <v>SO-50280</v>
      </c>
      <c r="B1077" t="str">
        <v>PL-CEN</v>
      </c>
      <c r="C1077" t="str">
        <v>CD-PUE</v>
      </c>
      <c r="D1077" t="str">
        <v>LAC-1006</v>
      </c>
      <c r="E1077">
        <v>1984</v>
      </c>
      <c r="F1077" s="1">
        <v>46176</v>
      </c>
      <c r="G1077" t="str">
        <v>In Transit</v>
      </c>
      <c r="H1077" t="str">
        <v>OK</v>
      </c>
      <c r="I1077">
        <v>10.029999999999999</v>
      </c>
      <c r="J1077">
        <v>126</v>
      </c>
      <c r="K1077">
        <v>17</v>
      </c>
      <c r="L1077" t="str">
        <v>OK</v>
      </c>
      <c r="M1077">
        <v>1</v>
      </c>
      <c r="O1077">
        <f t="shared" si="128"/>
        <v>15.746031746031745</v>
      </c>
      <c r="P1077">
        <f t="shared" si="129"/>
        <v>82.914666666666676</v>
      </c>
      <c r="Q1077">
        <f t="shared" si="130"/>
        <v>47.715247715247713</v>
      </c>
      <c r="R1077">
        <f t="shared" si="131"/>
        <v>1</v>
      </c>
      <c r="S1077">
        <f t="shared" si="132"/>
        <v>82.914666666666676</v>
      </c>
      <c r="T1077" t="str">
        <f t="shared" si="133"/>
        <v>OK</v>
      </c>
      <c r="U1077" t="str">
        <f t="shared" si="134"/>
        <v>OK</v>
      </c>
      <c r="V1077" t="str">
        <f t="shared" si="135"/>
        <v>OK</v>
      </c>
    </row>
    <row r="1078" spans="1:22" x14ac:dyDescent="0.45">
      <c r="A1078" t="str">
        <v>SO-50536</v>
      </c>
      <c r="B1078" t="str">
        <v>PL-NTE</v>
      </c>
      <c r="C1078" t="str">
        <v>CD-MTY</v>
      </c>
      <c r="D1078" t="str">
        <v>BOT-1004</v>
      </c>
      <c r="E1078">
        <v>1844</v>
      </c>
      <c r="F1078" s="1">
        <v>46176</v>
      </c>
      <c r="G1078" t="str">
        <v>In Transit</v>
      </c>
      <c r="H1078" t="str">
        <v>OK</v>
      </c>
      <c r="I1078">
        <v>4.43</v>
      </c>
      <c r="J1078">
        <v>63</v>
      </c>
      <c r="K1078">
        <v>115</v>
      </c>
      <c r="L1078" t="str">
        <v>OK</v>
      </c>
      <c r="M1078">
        <v>1</v>
      </c>
      <c r="O1078">
        <f t="shared" si="128"/>
        <v>29.269841269841269</v>
      </c>
      <c r="P1078">
        <f t="shared" si="129"/>
        <v>34.037166666666664</v>
      </c>
      <c r="Q1078">
        <f t="shared" si="130"/>
        <v>88.6964886964887</v>
      </c>
      <c r="R1078">
        <f t="shared" si="131"/>
        <v>1</v>
      </c>
      <c r="S1078">
        <f t="shared" si="132"/>
        <v>88.6964886964887</v>
      </c>
      <c r="T1078" t="str">
        <f t="shared" si="133"/>
        <v>OK</v>
      </c>
      <c r="U1078" t="str">
        <f t="shared" si="134"/>
        <v>OK</v>
      </c>
      <c r="V1078" t="str">
        <f t="shared" si="135"/>
        <v>OK</v>
      </c>
    </row>
    <row r="1079" spans="1:22" x14ac:dyDescent="0.45">
      <c r="A1079" t="str">
        <v>SO-50872</v>
      </c>
      <c r="B1079" t="str">
        <v>PL-CEN</v>
      </c>
      <c r="C1079" t="str">
        <v>CD-TOL</v>
      </c>
      <c r="D1079" t="str">
        <v>BEB-1014</v>
      </c>
      <c r="E1079">
        <v>1553</v>
      </c>
      <c r="F1079" s="1">
        <v>46175</v>
      </c>
      <c r="G1079" t="str">
        <v>In Transit</v>
      </c>
      <c r="H1079" t="str">
        <v>OK</v>
      </c>
      <c r="I1079">
        <v>12.41</v>
      </c>
      <c r="J1079">
        <v>95</v>
      </c>
      <c r="K1079">
        <v>227</v>
      </c>
      <c r="L1079" t="str">
        <v>OK</v>
      </c>
      <c r="M1079">
        <v>2</v>
      </c>
      <c r="O1079">
        <f t="shared" si="128"/>
        <v>16.347368421052632</v>
      </c>
      <c r="P1079">
        <f t="shared" si="129"/>
        <v>80.303041666666658</v>
      </c>
      <c r="Q1079">
        <f t="shared" si="130"/>
        <v>49.537480063795854</v>
      </c>
      <c r="R1079">
        <f t="shared" si="131"/>
        <v>1</v>
      </c>
      <c r="S1079">
        <f t="shared" si="132"/>
        <v>80.303041666666658</v>
      </c>
      <c r="T1079" t="str">
        <f t="shared" si="133"/>
        <v>OK</v>
      </c>
      <c r="U1079" t="str">
        <f t="shared" si="134"/>
        <v>OK</v>
      </c>
      <c r="V1079" t="str">
        <f t="shared" si="135"/>
        <v>OK</v>
      </c>
    </row>
    <row r="1080" spans="1:22" x14ac:dyDescent="0.45">
      <c r="A1080" t="str">
        <v>SO-51032</v>
      </c>
      <c r="B1080" t="str">
        <v>PL-CEN</v>
      </c>
      <c r="C1080" t="str">
        <v>CD-QRO</v>
      </c>
      <c r="D1080" t="str">
        <v>LAC-1000</v>
      </c>
      <c r="E1080">
        <v>2839</v>
      </c>
      <c r="F1080" s="1">
        <v>46159</v>
      </c>
      <c r="G1080" t="str">
        <v>In Transit</v>
      </c>
      <c r="H1080" t="str">
        <v>OK</v>
      </c>
      <c r="I1080">
        <v>8.18</v>
      </c>
      <c r="J1080">
        <v>90</v>
      </c>
      <c r="K1080">
        <v>29</v>
      </c>
      <c r="L1080" t="str">
        <v>OK</v>
      </c>
      <c r="M1080">
        <v>18</v>
      </c>
      <c r="O1080">
        <f t="shared" si="128"/>
        <v>31.544444444444444</v>
      </c>
      <c r="P1080">
        <f t="shared" si="129"/>
        <v>96.762583333333325</v>
      </c>
      <c r="Q1080">
        <f t="shared" si="130"/>
        <v>95.589225589225592</v>
      </c>
      <c r="R1080">
        <f t="shared" si="131"/>
        <v>1</v>
      </c>
      <c r="S1080">
        <f t="shared" si="132"/>
        <v>96.762583333333325</v>
      </c>
      <c r="T1080" t="str">
        <f t="shared" si="133"/>
        <v>OK</v>
      </c>
      <c r="U1080" t="str">
        <f t="shared" si="134"/>
        <v>FEFO RIESGO</v>
      </c>
      <c r="V1080" t="str">
        <f t="shared" si="135"/>
        <v>FANTASMA</v>
      </c>
    </row>
    <row r="1081" spans="1:22" x14ac:dyDescent="0.45">
      <c r="A1081" t="str">
        <v>SO-50988</v>
      </c>
      <c r="B1081" t="str">
        <v>PL-NTE</v>
      </c>
      <c r="C1081" t="str">
        <v>CD-CHI</v>
      </c>
      <c r="D1081" t="str">
        <v>BOT-1022</v>
      </c>
      <c r="E1081">
        <v>649</v>
      </c>
      <c r="F1081" s="1">
        <v>46175</v>
      </c>
      <c r="G1081" t="str">
        <v>In Transit</v>
      </c>
      <c r="H1081" t="str">
        <v>OK</v>
      </c>
      <c r="I1081">
        <v>3.48</v>
      </c>
      <c r="J1081">
        <v>55</v>
      </c>
      <c r="K1081">
        <v>118</v>
      </c>
      <c r="L1081" t="str">
        <v>OK</v>
      </c>
      <c r="M1081">
        <v>2</v>
      </c>
      <c r="O1081">
        <f t="shared" si="128"/>
        <v>11.8</v>
      </c>
      <c r="P1081">
        <f t="shared" si="129"/>
        <v>9.410499999999999</v>
      </c>
      <c r="Q1081">
        <f t="shared" si="130"/>
        <v>35.757575757575758</v>
      </c>
      <c r="R1081">
        <f t="shared" si="131"/>
        <v>1</v>
      </c>
      <c r="S1081">
        <f t="shared" si="132"/>
        <v>35.757575757575758</v>
      </c>
      <c r="T1081" t="str">
        <f t="shared" si="133"/>
        <v>CARGA INEFICIENTE</v>
      </c>
      <c r="U1081" t="str">
        <f t="shared" si="134"/>
        <v>OK</v>
      </c>
      <c r="V1081" t="str">
        <f t="shared" si="135"/>
        <v>OK</v>
      </c>
    </row>
    <row r="1082" spans="1:22" x14ac:dyDescent="0.45">
      <c r="A1082" t="str">
        <v>SO-50788</v>
      </c>
      <c r="B1082" t="str">
        <v>PL-CEN</v>
      </c>
      <c r="C1082" t="str">
        <v>CD-VER</v>
      </c>
      <c r="D1082" t="str">
        <v>ABA-1017</v>
      </c>
      <c r="E1082">
        <v>2045</v>
      </c>
      <c r="F1082" s="1">
        <v>46175</v>
      </c>
      <c r="G1082" t="str">
        <v>In Transit</v>
      </c>
      <c r="H1082" t="str">
        <v>OK</v>
      </c>
      <c r="I1082">
        <v>10.96</v>
      </c>
      <c r="J1082">
        <v>128</v>
      </c>
      <c r="K1082">
        <v>520</v>
      </c>
      <c r="L1082" t="str">
        <v>OK</v>
      </c>
      <c r="M1082">
        <v>2</v>
      </c>
      <c r="O1082">
        <f t="shared" si="128"/>
        <v>15.9765625</v>
      </c>
      <c r="P1082">
        <f t="shared" si="129"/>
        <v>93.388333333333335</v>
      </c>
      <c r="Q1082">
        <f t="shared" si="130"/>
        <v>48.413825757575758</v>
      </c>
      <c r="R1082">
        <f t="shared" si="131"/>
        <v>1</v>
      </c>
      <c r="S1082">
        <f t="shared" si="132"/>
        <v>93.388333333333335</v>
      </c>
      <c r="T1082" t="str">
        <f t="shared" si="133"/>
        <v>OK</v>
      </c>
      <c r="U1082" t="str">
        <f t="shared" si="134"/>
        <v>OK</v>
      </c>
      <c r="V1082" t="str">
        <f t="shared" si="135"/>
        <v>OK</v>
      </c>
    </row>
    <row r="1083" spans="1:22" x14ac:dyDescent="0.45">
      <c r="A1083" t="str">
        <v>SO-50916</v>
      </c>
      <c r="B1083" t="str">
        <v>PL-NTE</v>
      </c>
      <c r="C1083" t="str">
        <v>CD-HER</v>
      </c>
      <c r="D1083" t="str">
        <v>BOT-1020</v>
      </c>
      <c r="E1083">
        <v>963</v>
      </c>
      <c r="F1083" s="1">
        <v>46175</v>
      </c>
      <c r="G1083" t="str">
        <v>In Transit</v>
      </c>
      <c r="H1083" t="str">
        <v>OK</v>
      </c>
      <c r="I1083">
        <v>6.27</v>
      </c>
      <c r="J1083">
        <v>67</v>
      </c>
      <c r="K1083">
        <v>90</v>
      </c>
      <c r="L1083" t="str">
        <v>OK</v>
      </c>
      <c r="M1083">
        <v>2</v>
      </c>
      <c r="O1083">
        <f t="shared" si="128"/>
        <v>14.373134328358208</v>
      </c>
      <c r="P1083">
        <f t="shared" si="129"/>
        <v>25.158374999999999</v>
      </c>
      <c r="Q1083">
        <f t="shared" si="130"/>
        <v>43.554952510176385</v>
      </c>
      <c r="R1083">
        <f t="shared" si="131"/>
        <v>1</v>
      </c>
      <c r="S1083">
        <f t="shared" si="132"/>
        <v>43.554952510176385</v>
      </c>
      <c r="T1083" t="str">
        <f t="shared" si="133"/>
        <v>CARGA INEFICIENTE</v>
      </c>
      <c r="U1083" t="str">
        <f t="shared" si="134"/>
        <v>OK</v>
      </c>
      <c r="V1083" t="str">
        <f t="shared" si="135"/>
        <v>OK</v>
      </c>
    </row>
    <row r="1084" spans="1:22" x14ac:dyDescent="0.45">
      <c r="A1084" t="str">
        <v>SO-50723</v>
      </c>
      <c r="B1084" t="str">
        <v>PL-CEN</v>
      </c>
      <c r="C1084" t="str">
        <v>CD-PUE</v>
      </c>
      <c r="D1084" t="str">
        <v>ABA-1011</v>
      </c>
      <c r="E1084">
        <v>1989</v>
      </c>
      <c r="F1084" s="1">
        <v>46176</v>
      </c>
      <c r="G1084" t="str">
        <v>In Transit</v>
      </c>
      <c r="H1084" t="str">
        <v>OK</v>
      </c>
      <c r="I1084">
        <v>9.9499999999999993</v>
      </c>
      <c r="J1084">
        <v>106</v>
      </c>
      <c r="K1084">
        <v>376</v>
      </c>
      <c r="L1084" t="str">
        <v>OK</v>
      </c>
      <c r="M1084">
        <v>1</v>
      </c>
      <c r="O1084">
        <f t="shared" si="128"/>
        <v>18.764150943396228</v>
      </c>
      <c r="P1084">
        <f t="shared" si="129"/>
        <v>82.460624999999993</v>
      </c>
      <c r="Q1084">
        <f t="shared" si="130"/>
        <v>56.861063464837059</v>
      </c>
      <c r="R1084">
        <f t="shared" si="131"/>
        <v>1</v>
      </c>
      <c r="S1084">
        <f t="shared" si="132"/>
        <v>82.460624999999993</v>
      </c>
      <c r="T1084" t="str">
        <f t="shared" si="133"/>
        <v>OK</v>
      </c>
      <c r="U1084" t="str">
        <f t="shared" si="134"/>
        <v>OK</v>
      </c>
      <c r="V1084" t="str">
        <f t="shared" si="135"/>
        <v>OK</v>
      </c>
    </row>
    <row r="1085" spans="1:22" x14ac:dyDescent="0.45">
      <c r="A1085" t="str">
        <v>SO-50542</v>
      </c>
      <c r="B1085" t="str">
        <v>PL-CEN</v>
      </c>
      <c r="C1085" t="str">
        <v>CD-VER</v>
      </c>
      <c r="D1085" t="str">
        <v>BOT-1008</v>
      </c>
      <c r="E1085">
        <v>662</v>
      </c>
      <c r="F1085" s="1">
        <v>46174</v>
      </c>
      <c r="G1085" t="str">
        <v>In Transit</v>
      </c>
      <c r="H1085" t="str">
        <v>OK</v>
      </c>
      <c r="I1085">
        <v>3.48</v>
      </c>
      <c r="J1085">
        <v>66</v>
      </c>
      <c r="K1085">
        <v>112</v>
      </c>
      <c r="L1085" t="str">
        <v>OK</v>
      </c>
      <c r="M1085">
        <v>3</v>
      </c>
      <c r="O1085">
        <f t="shared" si="128"/>
        <v>10.030303030303031</v>
      </c>
      <c r="P1085">
        <f t="shared" si="129"/>
        <v>9.5989999999999984</v>
      </c>
      <c r="Q1085">
        <f t="shared" si="130"/>
        <v>30.39485766758494</v>
      </c>
      <c r="R1085">
        <f t="shared" si="131"/>
        <v>1</v>
      </c>
      <c r="S1085">
        <f t="shared" si="132"/>
        <v>30.39485766758494</v>
      </c>
      <c r="T1085" t="str">
        <f t="shared" si="133"/>
        <v>CARGA INEFICIENTE</v>
      </c>
      <c r="U1085" t="str">
        <f t="shared" si="134"/>
        <v>OK</v>
      </c>
      <c r="V1085" t="str">
        <f t="shared" si="135"/>
        <v>OK</v>
      </c>
    </row>
    <row r="1086" spans="1:22" x14ac:dyDescent="0.45">
      <c r="A1086" t="str">
        <v>SO-50675</v>
      </c>
      <c r="B1086" t="str">
        <v>PL-NTE</v>
      </c>
      <c r="C1086" t="str">
        <v>CD-CHI</v>
      </c>
      <c r="D1086" t="str">
        <v>BEB-1011</v>
      </c>
      <c r="E1086">
        <v>924</v>
      </c>
      <c r="F1086" s="1">
        <v>46175</v>
      </c>
      <c r="G1086" t="str">
        <v>In Transit</v>
      </c>
      <c r="H1086" t="str">
        <v>OK</v>
      </c>
      <c r="I1086">
        <v>23.39</v>
      </c>
      <c r="J1086">
        <v>79</v>
      </c>
      <c r="K1086">
        <v>329</v>
      </c>
      <c r="L1086" t="str">
        <v>OK</v>
      </c>
      <c r="M1086">
        <v>2</v>
      </c>
      <c r="O1086">
        <f t="shared" si="128"/>
        <v>11.69620253164557</v>
      </c>
      <c r="P1086">
        <f t="shared" si="129"/>
        <v>90.051500000000004</v>
      </c>
      <c r="Q1086">
        <f t="shared" si="130"/>
        <v>35.443037974683541</v>
      </c>
      <c r="R1086">
        <f t="shared" si="131"/>
        <v>1</v>
      </c>
      <c r="S1086">
        <f t="shared" si="132"/>
        <v>90.051500000000004</v>
      </c>
      <c r="T1086" t="str">
        <f t="shared" si="133"/>
        <v>OK</v>
      </c>
      <c r="U1086" t="str">
        <f t="shared" si="134"/>
        <v>OK</v>
      </c>
      <c r="V1086" t="str">
        <f t="shared" si="135"/>
        <v>OK</v>
      </c>
    </row>
    <row r="1087" spans="1:22" x14ac:dyDescent="0.45">
      <c r="A1087" t="str">
        <v>SO-50597</v>
      </c>
      <c r="B1087" t="str">
        <v>PL-CEN</v>
      </c>
      <c r="C1087" t="str">
        <v>CD-CDMX</v>
      </c>
      <c r="D1087" t="str">
        <v>ABA-1015</v>
      </c>
      <c r="E1087">
        <v>769</v>
      </c>
      <c r="F1087" s="1">
        <v>46176</v>
      </c>
      <c r="G1087" t="str">
        <v>In Transit</v>
      </c>
      <c r="H1087" t="str">
        <v>OK</v>
      </c>
      <c r="I1087">
        <v>8.19</v>
      </c>
      <c r="J1087">
        <v>82</v>
      </c>
      <c r="K1087">
        <v>317</v>
      </c>
      <c r="L1087" t="str">
        <v>OK</v>
      </c>
      <c r="M1087">
        <v>1</v>
      </c>
      <c r="O1087">
        <f t="shared" si="128"/>
        <v>9.3780487804878057</v>
      </c>
      <c r="P1087">
        <f t="shared" si="129"/>
        <v>26.242124999999998</v>
      </c>
      <c r="Q1087">
        <f t="shared" si="130"/>
        <v>28.418329637841833</v>
      </c>
      <c r="R1087">
        <f t="shared" si="131"/>
        <v>1</v>
      </c>
      <c r="S1087">
        <f t="shared" si="132"/>
        <v>28.418329637841833</v>
      </c>
      <c r="T1087" t="str">
        <f t="shared" si="133"/>
        <v>CARGA INEFICIENTE</v>
      </c>
      <c r="U1087" t="str">
        <f t="shared" si="134"/>
        <v>OK</v>
      </c>
      <c r="V1087" t="str">
        <f t="shared" si="135"/>
        <v>OK</v>
      </c>
    </row>
    <row r="1088" spans="1:22" x14ac:dyDescent="0.45">
      <c r="A1088" t="str">
        <v>SO-50540</v>
      </c>
      <c r="B1088" t="str">
        <v>PL-CEN</v>
      </c>
      <c r="C1088" t="str">
        <v>CD-QRO</v>
      </c>
      <c r="D1088" t="str">
        <v>BEB-1015</v>
      </c>
      <c r="E1088">
        <v>630</v>
      </c>
      <c r="F1088" s="1">
        <v>46175</v>
      </c>
      <c r="G1088" t="str">
        <v>In Transit</v>
      </c>
      <c r="H1088" t="str">
        <v>OK</v>
      </c>
      <c r="I1088">
        <v>19.95</v>
      </c>
      <c r="J1088">
        <v>78</v>
      </c>
      <c r="K1088">
        <v>276</v>
      </c>
      <c r="L1088" t="str">
        <v>OK</v>
      </c>
      <c r="M1088">
        <v>2</v>
      </c>
      <c r="O1088">
        <f t="shared" si="128"/>
        <v>8.0769230769230766</v>
      </c>
      <c r="P1088">
        <f t="shared" si="129"/>
        <v>52.368749999999999</v>
      </c>
      <c r="Q1088">
        <f t="shared" si="130"/>
        <v>24.475524475524473</v>
      </c>
      <c r="R1088">
        <f t="shared" si="131"/>
        <v>1</v>
      </c>
      <c r="S1088">
        <f t="shared" si="132"/>
        <v>52.368749999999999</v>
      </c>
      <c r="T1088" t="str">
        <f t="shared" si="133"/>
        <v>CARGA INEFICIENTE</v>
      </c>
      <c r="U1088" t="str">
        <f t="shared" si="134"/>
        <v>OK</v>
      </c>
      <c r="V1088" t="str">
        <f t="shared" si="135"/>
        <v>OK</v>
      </c>
    </row>
    <row r="1089" spans="1:22" x14ac:dyDescent="0.45">
      <c r="A1089" t="str">
        <v>SO-50681</v>
      </c>
      <c r="B1089" t="str">
        <v>PL-SUR</v>
      </c>
      <c r="C1089" t="str">
        <v>CD-CAN</v>
      </c>
      <c r="D1089" t="str">
        <v>LAC-1000</v>
      </c>
      <c r="E1089">
        <v>2516</v>
      </c>
      <c r="F1089" s="1">
        <v>46175</v>
      </c>
      <c r="G1089" t="str">
        <v>In Transit</v>
      </c>
      <c r="H1089" t="str">
        <v>OK</v>
      </c>
      <c r="I1089">
        <v>8.18</v>
      </c>
      <c r="J1089">
        <v>90</v>
      </c>
      <c r="K1089">
        <v>29</v>
      </c>
      <c r="L1089" t="str">
        <v>OK</v>
      </c>
      <c r="M1089">
        <v>2</v>
      </c>
      <c r="O1089">
        <f t="shared" si="128"/>
        <v>27.955555555555556</v>
      </c>
      <c r="P1089">
        <f t="shared" si="129"/>
        <v>85.753666666666675</v>
      </c>
      <c r="Q1089">
        <f t="shared" si="130"/>
        <v>84.71380471380472</v>
      </c>
      <c r="R1089">
        <f t="shared" si="131"/>
        <v>1</v>
      </c>
      <c r="S1089">
        <f t="shared" si="132"/>
        <v>85.753666666666675</v>
      </c>
      <c r="T1089" t="str">
        <f t="shared" si="133"/>
        <v>OK</v>
      </c>
      <c r="U1089" t="str">
        <f t="shared" si="134"/>
        <v>OK</v>
      </c>
      <c r="V1089" t="str">
        <f t="shared" si="135"/>
        <v>OK</v>
      </c>
    </row>
    <row r="1090" spans="1:22" x14ac:dyDescent="0.45">
      <c r="A1090" t="str">
        <v>SO-51033</v>
      </c>
      <c r="B1090" t="str">
        <v>PL-SUR</v>
      </c>
      <c r="C1090" t="str">
        <v>CD-CAN</v>
      </c>
      <c r="D1090" t="str">
        <v>LAC-1002</v>
      </c>
      <c r="E1090">
        <v>1434</v>
      </c>
      <c r="F1090" s="1">
        <v>46164</v>
      </c>
      <c r="G1090" t="str">
        <v>In Transit</v>
      </c>
      <c r="H1090" t="str">
        <v>OK</v>
      </c>
      <c r="I1090">
        <v>7.71</v>
      </c>
      <c r="J1090">
        <v>101</v>
      </c>
      <c r="K1090">
        <v>23</v>
      </c>
      <c r="L1090" t="str">
        <v>OK</v>
      </c>
      <c r="M1090">
        <v>13</v>
      </c>
      <c r="O1090">
        <f t="shared" si="128"/>
        <v>14.198019801980198</v>
      </c>
      <c r="P1090">
        <f t="shared" si="129"/>
        <v>46.067250000000001</v>
      </c>
      <c r="Q1090">
        <f t="shared" si="130"/>
        <v>43.024302430243026</v>
      </c>
      <c r="R1090">
        <f t="shared" si="131"/>
        <v>1</v>
      </c>
      <c r="S1090">
        <f t="shared" si="132"/>
        <v>46.067250000000001</v>
      </c>
      <c r="T1090" t="str">
        <f t="shared" si="133"/>
        <v>CARGA INEFICIENTE</v>
      </c>
      <c r="U1090" t="str">
        <f t="shared" si="134"/>
        <v>FEFO RIESGO</v>
      </c>
      <c r="V1090" t="str">
        <f t="shared" si="135"/>
        <v>FANTASMA</v>
      </c>
    </row>
    <row r="1091" spans="1:22" x14ac:dyDescent="0.45">
      <c r="A1091" t="str">
        <v>SO-50938</v>
      </c>
      <c r="B1091" t="str">
        <v>PL-CEN</v>
      </c>
      <c r="C1091" t="str">
        <v>CD-VER</v>
      </c>
      <c r="D1091" t="str">
        <v>BOT-1019</v>
      </c>
      <c r="E1091">
        <v>2717</v>
      </c>
      <c r="F1091" s="1">
        <v>46175</v>
      </c>
      <c r="G1091" t="str">
        <v>In Transit</v>
      </c>
      <c r="H1091" t="str">
        <v>OK</v>
      </c>
      <c r="I1091">
        <v>3.44</v>
      </c>
      <c r="J1091">
        <v>85</v>
      </c>
      <c r="K1091">
        <v>102</v>
      </c>
      <c r="L1091" t="str">
        <v>OK</v>
      </c>
      <c r="M1091">
        <v>2</v>
      </c>
      <c r="O1091">
        <f t="shared" ref="O1091:O1106" si="136">IF(L1091="HUERFANO","n/a",IF(ISNUMBER(J1091),E1091/J1091,"n/a"))</f>
        <v>31.964705882352941</v>
      </c>
      <c r="P1091">
        <f t="shared" ref="P1091:P1106" si="137">IF(L1091="HUERFANO","n/a",IFERROR(E1091*I1091/24000*100,""))</f>
        <v>38.943666666666665</v>
      </c>
      <c r="Q1091">
        <f t="shared" ref="Q1091:Q1106" si="138">IF(L1091="HUERFANO","n/a",IFERROR(O1091/33*100,""))</f>
        <v>96.862745098039213</v>
      </c>
      <c r="R1091">
        <f t="shared" ref="R1091:R1106" si="139">IF(L1091="HUERFANO","n/a",IFERROR(MAX(CEILING(P1091/100,1),CEILING(Q1091/100,1)),""))</f>
        <v>1</v>
      </c>
      <c r="S1091">
        <f t="shared" ref="S1091:S1106" si="140">IF(L1091="HUERFANO","n/a",IFERROR(MAX(P1091,Q1091)/(R1091*100)*100,""))</f>
        <v>96.862745098039213</v>
      </c>
      <c r="T1091" t="str">
        <f t="shared" ref="T1091:T1106" si="141">IF(L1091="HUERFANO","n/a",IF(S1091&lt;75,"CARGA INEFICIENTE","OK"))</f>
        <v>OK</v>
      </c>
      <c r="U1091" t="str">
        <f t="shared" ref="U1091:U1106" si="142">IF(L1091="HUERFANO","n/a",IF(AND(LEFT(D1091,3)="LAC",(K1091-M1091)/K1091*100&lt;70),"FEFO RIESGO","OK"))</f>
        <v>OK</v>
      </c>
      <c r="V1091" t="str">
        <f t="shared" ref="V1091:V1106" si="143">IF(L1091="HUERFANO","n/a",IF(AND(G1091="In Transit",M1091&gt;5),"FANTASMA","OK"))</f>
        <v>OK</v>
      </c>
    </row>
    <row r="1092" spans="1:22" x14ac:dyDescent="0.45">
      <c r="A1092" t="str">
        <v>SO-50936</v>
      </c>
      <c r="B1092" t="str">
        <v>PL-SUR</v>
      </c>
      <c r="C1092" t="str">
        <v>CD-GDL</v>
      </c>
      <c r="D1092" t="str">
        <v>ABA-1008</v>
      </c>
      <c r="E1092">
        <v>1957</v>
      </c>
      <c r="F1092" s="1">
        <v>46176</v>
      </c>
      <c r="G1092" t="str">
        <v>In Transit</v>
      </c>
      <c r="H1092" t="str">
        <v>OK</v>
      </c>
      <c r="I1092">
        <v>10.6</v>
      </c>
      <c r="J1092">
        <v>96</v>
      </c>
      <c r="K1092">
        <v>445</v>
      </c>
      <c r="L1092" t="str">
        <v>OK</v>
      </c>
      <c r="M1092">
        <v>1</v>
      </c>
      <c r="O1092">
        <f t="shared" si="136"/>
        <v>20.385416666666668</v>
      </c>
      <c r="P1092">
        <f t="shared" si="137"/>
        <v>86.43416666666667</v>
      </c>
      <c r="Q1092">
        <f t="shared" si="138"/>
        <v>61.773989898989903</v>
      </c>
      <c r="R1092">
        <f t="shared" si="139"/>
        <v>1</v>
      </c>
      <c r="S1092">
        <f t="shared" si="140"/>
        <v>86.43416666666667</v>
      </c>
      <c r="T1092" t="str">
        <f t="shared" si="141"/>
        <v>OK</v>
      </c>
      <c r="U1092" t="str">
        <f t="shared" si="142"/>
        <v>OK</v>
      </c>
      <c r="V1092" t="str">
        <f t="shared" si="143"/>
        <v>OK</v>
      </c>
    </row>
    <row r="1093" spans="1:22" x14ac:dyDescent="0.45">
      <c r="A1093" t="str">
        <v>SO-51019</v>
      </c>
      <c r="B1093" t="str">
        <v>PL-CEN</v>
      </c>
      <c r="C1093" t="str">
        <v>CD-PUE</v>
      </c>
      <c r="D1093" t="str">
        <v>LAC-1001</v>
      </c>
      <c r="E1093">
        <v>2201</v>
      </c>
      <c r="F1093" s="1">
        <v>46163</v>
      </c>
      <c r="G1093" t="str">
        <v>In Transit</v>
      </c>
      <c r="H1093" t="str">
        <v>OK</v>
      </c>
      <c r="I1093">
        <v>7.51</v>
      </c>
      <c r="J1093">
        <v>83</v>
      </c>
      <c r="K1093">
        <v>18</v>
      </c>
      <c r="L1093" t="str">
        <v>OK</v>
      </c>
      <c r="M1093">
        <v>14</v>
      </c>
      <c r="O1093">
        <f t="shared" si="136"/>
        <v>26.518072289156628</v>
      </c>
      <c r="P1093">
        <f t="shared" si="137"/>
        <v>68.87295833333333</v>
      </c>
      <c r="Q1093">
        <f t="shared" si="138"/>
        <v>80.35779481562615</v>
      </c>
      <c r="R1093">
        <f t="shared" si="139"/>
        <v>1</v>
      </c>
      <c r="S1093">
        <f t="shared" si="140"/>
        <v>80.35779481562615</v>
      </c>
      <c r="T1093" t="str">
        <f t="shared" si="141"/>
        <v>OK</v>
      </c>
      <c r="U1093" t="str">
        <f t="shared" si="142"/>
        <v>FEFO RIESGO</v>
      </c>
      <c r="V1093" t="str">
        <f t="shared" si="143"/>
        <v>FANTASMA</v>
      </c>
    </row>
    <row r="1094" spans="1:22" x14ac:dyDescent="0.45">
      <c r="A1094" t="str">
        <v>SO-50473</v>
      </c>
      <c r="B1094" t="str">
        <v>PL-SUR</v>
      </c>
      <c r="C1094" t="str">
        <v>CD-MER</v>
      </c>
      <c r="D1094" t="str">
        <v>LAC-1012</v>
      </c>
      <c r="E1094">
        <v>2138</v>
      </c>
      <c r="F1094" s="1">
        <v>46174</v>
      </c>
      <c r="G1094" t="str">
        <v>In Transit</v>
      </c>
      <c r="H1094" t="str">
        <v>OK</v>
      </c>
      <c r="I1094">
        <v>9.8699999999999992</v>
      </c>
      <c r="J1094">
        <v>88</v>
      </c>
      <c r="K1094">
        <v>25</v>
      </c>
      <c r="L1094" t="str">
        <v>OK</v>
      </c>
      <c r="M1094">
        <v>3</v>
      </c>
      <c r="O1094">
        <f t="shared" si="136"/>
        <v>24.295454545454547</v>
      </c>
      <c r="P1094">
        <f t="shared" si="137"/>
        <v>87.925249999999991</v>
      </c>
      <c r="Q1094">
        <f t="shared" si="138"/>
        <v>73.622589531680447</v>
      </c>
      <c r="R1094">
        <f t="shared" si="139"/>
        <v>1</v>
      </c>
      <c r="S1094">
        <f t="shared" si="140"/>
        <v>87.925249999999991</v>
      </c>
      <c r="T1094" t="str">
        <f t="shared" si="141"/>
        <v>OK</v>
      </c>
      <c r="U1094" t="str">
        <f t="shared" si="142"/>
        <v>OK</v>
      </c>
      <c r="V1094" t="str">
        <f t="shared" si="143"/>
        <v>OK</v>
      </c>
    </row>
    <row r="1095" spans="1:22" x14ac:dyDescent="0.45">
      <c r="A1095" t="str">
        <v>SO-50765</v>
      </c>
      <c r="B1095" t="str">
        <v>PL-NTE</v>
      </c>
      <c r="C1095" t="str">
        <v>CD-TIJ</v>
      </c>
      <c r="D1095" t="str">
        <v>BEB-1006</v>
      </c>
      <c r="E1095">
        <v>327</v>
      </c>
      <c r="F1095" s="1">
        <v>46176</v>
      </c>
      <c r="G1095" t="str">
        <v>In Transit</v>
      </c>
      <c r="H1095" t="str">
        <v>OK</v>
      </c>
      <c r="I1095">
        <v>17.18</v>
      </c>
      <c r="J1095">
        <v>81</v>
      </c>
      <c r="K1095">
        <v>293</v>
      </c>
      <c r="L1095" t="str">
        <v>OK</v>
      </c>
      <c r="M1095">
        <v>1</v>
      </c>
      <c r="O1095">
        <f t="shared" si="136"/>
        <v>4.0370370370370372</v>
      </c>
      <c r="P1095">
        <f t="shared" si="137"/>
        <v>23.40775</v>
      </c>
      <c r="Q1095">
        <f t="shared" si="138"/>
        <v>12.233445566778901</v>
      </c>
      <c r="R1095">
        <f t="shared" si="139"/>
        <v>1</v>
      </c>
      <c r="S1095">
        <f t="shared" si="140"/>
        <v>23.40775</v>
      </c>
      <c r="T1095" t="str">
        <f t="shared" si="141"/>
        <v>CARGA INEFICIENTE</v>
      </c>
      <c r="U1095" t="str">
        <f t="shared" si="142"/>
        <v>OK</v>
      </c>
      <c r="V1095" t="str">
        <f t="shared" si="143"/>
        <v>OK</v>
      </c>
    </row>
    <row r="1096" spans="1:22" x14ac:dyDescent="0.45">
      <c r="A1096" t="str">
        <v>SO-50990</v>
      </c>
      <c r="B1096" t="str">
        <v>PL-SUR</v>
      </c>
      <c r="C1096" t="str">
        <v>CD-MOR</v>
      </c>
      <c r="D1096" t="str">
        <v>PRO-1000</v>
      </c>
      <c r="E1096">
        <v>1586</v>
      </c>
      <c r="F1096" s="1">
        <v>46175</v>
      </c>
      <c r="G1096" t="str">
        <v>In Transit</v>
      </c>
      <c r="H1096" t="str">
        <v>OK</v>
      </c>
      <c r="I1096">
        <v>12.51</v>
      </c>
      <c r="J1096">
        <v>73</v>
      </c>
      <c r="K1096">
        <v>75</v>
      </c>
      <c r="L1096" t="str">
        <v>OK</v>
      </c>
      <c r="M1096">
        <v>2</v>
      </c>
      <c r="O1096">
        <f t="shared" si="136"/>
        <v>21.726027397260275</v>
      </c>
      <c r="P1096">
        <f t="shared" si="137"/>
        <v>82.670249999999996</v>
      </c>
      <c r="Q1096">
        <f t="shared" si="138"/>
        <v>65.836446658364466</v>
      </c>
      <c r="R1096">
        <f t="shared" si="139"/>
        <v>1</v>
      </c>
      <c r="S1096">
        <f t="shared" si="140"/>
        <v>82.670249999999996</v>
      </c>
      <c r="T1096" t="str">
        <f t="shared" si="141"/>
        <v>OK</v>
      </c>
      <c r="U1096" t="str">
        <f t="shared" si="142"/>
        <v>OK</v>
      </c>
      <c r="V1096" t="str">
        <f t="shared" si="143"/>
        <v>OK</v>
      </c>
    </row>
    <row r="1097" spans="1:22" x14ac:dyDescent="0.45">
      <c r="A1097" t="str">
        <v>SO-50485</v>
      </c>
      <c r="B1097" t="str">
        <v>PL-NTE</v>
      </c>
      <c r="C1097" t="str">
        <v>CD-CHI</v>
      </c>
      <c r="D1097" t="str">
        <v>BOT-1017</v>
      </c>
      <c r="E1097">
        <v>558</v>
      </c>
      <c r="F1097" s="1">
        <v>46176</v>
      </c>
      <c r="G1097" t="str">
        <v>Delivered</v>
      </c>
      <c r="H1097" t="str">
        <v>OK</v>
      </c>
      <c r="I1097">
        <v>3.75</v>
      </c>
      <c r="J1097">
        <v>41</v>
      </c>
      <c r="K1097">
        <v>106</v>
      </c>
      <c r="L1097" t="str">
        <v>OK</v>
      </c>
      <c r="M1097">
        <v>1</v>
      </c>
      <c r="O1097">
        <f t="shared" si="136"/>
        <v>13.609756097560975</v>
      </c>
      <c r="P1097">
        <f t="shared" si="137"/>
        <v>8.71875</v>
      </c>
      <c r="Q1097">
        <f t="shared" si="138"/>
        <v>41.241685144124169</v>
      </c>
      <c r="R1097">
        <f t="shared" si="139"/>
        <v>1</v>
      </c>
      <c r="S1097">
        <f t="shared" si="140"/>
        <v>41.241685144124169</v>
      </c>
      <c r="T1097" t="str">
        <f t="shared" si="141"/>
        <v>CARGA INEFICIENTE</v>
      </c>
      <c r="U1097" t="str">
        <f t="shared" si="142"/>
        <v>OK</v>
      </c>
      <c r="V1097" t="str">
        <f t="shared" si="143"/>
        <v>OK</v>
      </c>
    </row>
    <row r="1098" spans="1:22" x14ac:dyDescent="0.45">
      <c r="A1098" t="str">
        <v>SO-50480</v>
      </c>
      <c r="B1098" t="str">
        <v>PL-CEN</v>
      </c>
      <c r="C1098" t="str">
        <v>CD-TOL</v>
      </c>
      <c r="D1098" t="str">
        <v>BOT-1006</v>
      </c>
      <c r="E1098">
        <v>507</v>
      </c>
      <c r="F1098" s="1">
        <v>46176</v>
      </c>
      <c r="G1098" t="str">
        <v>In Transit</v>
      </c>
      <c r="H1098" t="str">
        <v>OK</v>
      </c>
      <c r="I1098">
        <v>4.24</v>
      </c>
      <c r="J1098">
        <v>41</v>
      </c>
      <c r="K1098">
        <v>111</v>
      </c>
      <c r="L1098" t="str">
        <v>OK</v>
      </c>
      <c r="M1098">
        <v>1</v>
      </c>
      <c r="O1098">
        <f t="shared" si="136"/>
        <v>12.365853658536585</v>
      </c>
      <c r="P1098">
        <f t="shared" si="137"/>
        <v>8.9570000000000007</v>
      </c>
      <c r="Q1098">
        <f t="shared" si="138"/>
        <v>37.472283813747225</v>
      </c>
      <c r="R1098">
        <f t="shared" si="139"/>
        <v>1</v>
      </c>
      <c r="S1098">
        <f t="shared" si="140"/>
        <v>37.472283813747225</v>
      </c>
      <c r="T1098" t="str">
        <f t="shared" si="141"/>
        <v>CARGA INEFICIENTE</v>
      </c>
      <c r="U1098" t="str">
        <f t="shared" si="142"/>
        <v>OK</v>
      </c>
      <c r="V1098" t="str">
        <f t="shared" si="143"/>
        <v>OK</v>
      </c>
    </row>
    <row r="1099" spans="1:22" x14ac:dyDescent="0.45">
      <c r="A1099" t="str">
        <v>SO-50905</v>
      </c>
      <c r="B1099" t="str">
        <v>PL-NTE</v>
      </c>
      <c r="C1099" t="str">
        <v>CD-MTY</v>
      </c>
      <c r="D1099" t="str">
        <v>BOT-1019</v>
      </c>
      <c r="E1099">
        <v>2301</v>
      </c>
      <c r="F1099" s="1">
        <v>46176</v>
      </c>
      <c r="G1099" t="str">
        <v>In Transit</v>
      </c>
      <c r="H1099" t="str">
        <v>OK</v>
      </c>
      <c r="I1099">
        <v>3.44</v>
      </c>
      <c r="J1099">
        <v>85</v>
      </c>
      <c r="K1099">
        <v>102</v>
      </c>
      <c r="L1099" t="str">
        <v>OK</v>
      </c>
      <c r="M1099">
        <v>1</v>
      </c>
      <c r="O1099">
        <f t="shared" si="136"/>
        <v>27.070588235294117</v>
      </c>
      <c r="P1099">
        <f t="shared" si="137"/>
        <v>32.981000000000002</v>
      </c>
      <c r="Q1099">
        <f t="shared" si="138"/>
        <v>82.032085561497325</v>
      </c>
      <c r="R1099">
        <f t="shared" si="139"/>
        <v>1</v>
      </c>
      <c r="S1099">
        <f t="shared" si="140"/>
        <v>82.032085561497325</v>
      </c>
      <c r="T1099" t="str">
        <f t="shared" si="141"/>
        <v>OK</v>
      </c>
      <c r="U1099" t="str">
        <f t="shared" si="142"/>
        <v>OK</v>
      </c>
      <c r="V1099" t="str">
        <f t="shared" si="143"/>
        <v>OK</v>
      </c>
    </row>
    <row r="1100" spans="1:22" x14ac:dyDescent="0.45">
      <c r="A1100" t="str">
        <v>SO-50492</v>
      </c>
      <c r="B1100" t="str">
        <v>PL-CEN</v>
      </c>
      <c r="C1100" t="str">
        <v>CD-PUE</v>
      </c>
      <c r="D1100" t="str">
        <v>BOT-1012</v>
      </c>
      <c r="E1100">
        <v>1831</v>
      </c>
      <c r="F1100" s="1">
        <v>46176</v>
      </c>
      <c r="G1100" t="str">
        <v>In Transit</v>
      </c>
      <c r="H1100" t="str">
        <v>OK</v>
      </c>
      <c r="I1100">
        <v>4.26</v>
      </c>
      <c r="J1100">
        <v>68</v>
      </c>
      <c r="K1100">
        <v>117</v>
      </c>
      <c r="L1100" t="str">
        <v>OK</v>
      </c>
      <c r="M1100">
        <v>1</v>
      </c>
      <c r="O1100">
        <f t="shared" si="136"/>
        <v>26.926470588235293</v>
      </c>
      <c r="P1100">
        <f t="shared" si="137"/>
        <v>32.500249999999994</v>
      </c>
      <c r="Q1100">
        <f t="shared" si="138"/>
        <v>81.595365418894829</v>
      </c>
      <c r="R1100">
        <f t="shared" si="139"/>
        <v>1</v>
      </c>
      <c r="S1100">
        <f t="shared" si="140"/>
        <v>81.595365418894829</v>
      </c>
      <c r="T1100" t="str">
        <f t="shared" si="141"/>
        <v>OK</v>
      </c>
      <c r="U1100" t="str">
        <f t="shared" si="142"/>
        <v>OK</v>
      </c>
      <c r="V1100" t="str">
        <f t="shared" si="143"/>
        <v>OK</v>
      </c>
    </row>
    <row r="1101" spans="1:22" x14ac:dyDescent="0.45">
      <c r="A1101" t="str">
        <v>SO-50503</v>
      </c>
      <c r="B1101" t="str">
        <v>PL-SUR</v>
      </c>
      <c r="C1101" t="str">
        <v>CD-LEO</v>
      </c>
      <c r="D1101" t="str">
        <v>PRO-1002</v>
      </c>
      <c r="E1101">
        <v>2062</v>
      </c>
      <c r="F1101" s="1">
        <v>46175</v>
      </c>
      <c r="G1101" t="str">
        <v>In Transit</v>
      </c>
      <c r="H1101" t="str">
        <v>OK</v>
      </c>
      <c r="I1101">
        <v>9.6999999999999993</v>
      </c>
      <c r="J1101">
        <v>98</v>
      </c>
      <c r="K1101">
        <v>115</v>
      </c>
      <c r="L1101" t="str">
        <v>OK</v>
      </c>
      <c r="M1101">
        <v>2</v>
      </c>
      <c r="O1101">
        <f t="shared" si="136"/>
        <v>21.040816326530614</v>
      </c>
      <c r="P1101">
        <f t="shared" si="137"/>
        <v>83.339166666666657</v>
      </c>
      <c r="Q1101">
        <f t="shared" si="138"/>
        <v>63.76004947433519</v>
      </c>
      <c r="R1101">
        <f t="shared" si="139"/>
        <v>1</v>
      </c>
      <c r="S1101">
        <f t="shared" si="140"/>
        <v>83.339166666666657</v>
      </c>
      <c r="T1101" t="str">
        <f t="shared" si="141"/>
        <v>OK</v>
      </c>
      <c r="U1101" t="str">
        <f t="shared" si="142"/>
        <v>OK</v>
      </c>
      <c r="V1101" t="str">
        <f t="shared" si="143"/>
        <v>OK</v>
      </c>
    </row>
    <row r="1102" spans="1:22" x14ac:dyDescent="0.45">
      <c r="A1102" t="str">
        <v>SO-50357</v>
      </c>
      <c r="B1102" t="str">
        <v>PL-CEN</v>
      </c>
      <c r="C1102" t="str">
        <v>CD-CDMX</v>
      </c>
      <c r="D1102" t="str">
        <v>ABA-1004</v>
      </c>
      <c r="E1102">
        <v>1723</v>
      </c>
      <c r="F1102" s="1">
        <v>46176</v>
      </c>
      <c r="G1102" t="str">
        <v>In Transit</v>
      </c>
      <c r="H1102" t="str">
        <v>OK</v>
      </c>
      <c r="I1102">
        <v>12.85</v>
      </c>
      <c r="J1102">
        <v>91</v>
      </c>
      <c r="K1102">
        <v>297</v>
      </c>
      <c r="L1102" t="str">
        <v>OK</v>
      </c>
      <c r="M1102">
        <v>1</v>
      </c>
      <c r="O1102">
        <f t="shared" si="136"/>
        <v>18.934065934065934</v>
      </c>
      <c r="P1102">
        <f t="shared" si="137"/>
        <v>92.252291666666665</v>
      </c>
      <c r="Q1102">
        <f t="shared" si="138"/>
        <v>57.375957375957377</v>
      </c>
      <c r="R1102">
        <f t="shared" si="139"/>
        <v>1</v>
      </c>
      <c r="S1102">
        <f t="shared" si="140"/>
        <v>92.252291666666665</v>
      </c>
      <c r="T1102" t="str">
        <f t="shared" si="141"/>
        <v>OK</v>
      </c>
      <c r="U1102" t="str">
        <f t="shared" si="142"/>
        <v>OK</v>
      </c>
      <c r="V1102" t="str">
        <f t="shared" si="143"/>
        <v>OK</v>
      </c>
    </row>
    <row r="1103" spans="1:22" x14ac:dyDescent="0.45">
      <c r="A1103" t="str">
        <v>SO-50961</v>
      </c>
      <c r="B1103" t="str">
        <v>PL-CEN</v>
      </c>
      <c r="C1103" t="str">
        <v>CD-QRO</v>
      </c>
      <c r="D1103" t="str">
        <v>ABA-1000</v>
      </c>
      <c r="E1103">
        <v>1527</v>
      </c>
      <c r="F1103" s="1">
        <v>46176</v>
      </c>
      <c r="G1103" t="str">
        <v>In Transit</v>
      </c>
      <c r="H1103" t="str">
        <v>OK</v>
      </c>
      <c r="I1103">
        <v>15.2</v>
      </c>
      <c r="J1103">
        <v>135</v>
      </c>
      <c r="K1103">
        <v>361</v>
      </c>
      <c r="L1103" t="str">
        <v>OK</v>
      </c>
      <c r="M1103">
        <v>1</v>
      </c>
      <c r="O1103">
        <f t="shared" si="136"/>
        <v>11.311111111111112</v>
      </c>
      <c r="P1103">
        <f t="shared" si="137"/>
        <v>96.71</v>
      </c>
      <c r="Q1103">
        <f t="shared" si="138"/>
        <v>34.276094276094277</v>
      </c>
      <c r="R1103">
        <f t="shared" si="139"/>
        <v>1</v>
      </c>
      <c r="S1103">
        <f t="shared" si="140"/>
        <v>96.71</v>
      </c>
      <c r="T1103" t="str">
        <f t="shared" si="141"/>
        <v>OK</v>
      </c>
      <c r="U1103" t="str">
        <f t="shared" si="142"/>
        <v>OK</v>
      </c>
      <c r="V1103" t="str">
        <f t="shared" si="143"/>
        <v>OK</v>
      </c>
    </row>
    <row r="1104" spans="1:22" x14ac:dyDescent="0.45">
      <c r="A1104" t="str">
        <v>SO-50813</v>
      </c>
      <c r="B1104" t="str">
        <v>PL-NTE</v>
      </c>
      <c r="C1104" t="str">
        <v>CD-SAL</v>
      </c>
      <c r="D1104" t="str">
        <v>LAC-1009</v>
      </c>
      <c r="E1104">
        <v>668</v>
      </c>
      <c r="F1104" s="1">
        <v>46176</v>
      </c>
      <c r="G1104" t="str">
        <v>In Transit</v>
      </c>
      <c r="H1104" t="str">
        <v>OK</v>
      </c>
      <c r="I1104">
        <v>11.01</v>
      </c>
      <c r="J1104">
        <v>98</v>
      </c>
      <c r="K1104">
        <v>16</v>
      </c>
      <c r="L1104" t="str">
        <v>OK</v>
      </c>
      <c r="M1104">
        <v>1</v>
      </c>
      <c r="O1104">
        <f t="shared" si="136"/>
        <v>6.8163265306122449</v>
      </c>
      <c r="P1104">
        <f t="shared" si="137"/>
        <v>30.644500000000001</v>
      </c>
      <c r="Q1104">
        <f t="shared" si="138"/>
        <v>20.655534941249226</v>
      </c>
      <c r="R1104">
        <f t="shared" si="139"/>
        <v>1</v>
      </c>
      <c r="S1104">
        <f t="shared" si="140"/>
        <v>30.644500000000001</v>
      </c>
      <c r="T1104" t="str">
        <f t="shared" si="141"/>
        <v>CARGA INEFICIENTE</v>
      </c>
      <c r="U1104" t="str">
        <f t="shared" si="142"/>
        <v>OK</v>
      </c>
      <c r="V1104" t="str">
        <f t="shared" si="143"/>
        <v>OK</v>
      </c>
    </row>
    <row r="1105" spans="1:22" x14ac:dyDescent="0.45">
      <c r="A1105" t="str">
        <v>SO-50133</v>
      </c>
      <c r="B1105" t="str">
        <v>PL-CEN</v>
      </c>
      <c r="C1105" t="str">
        <v>CD-PUE</v>
      </c>
      <c r="D1105" t="str">
        <v>ABA-1007</v>
      </c>
      <c r="E1105">
        <v>611</v>
      </c>
      <c r="F1105" s="1">
        <v>46176</v>
      </c>
      <c r="G1105" t="str">
        <v>In Transit</v>
      </c>
      <c r="H1105" t="str">
        <v>OK</v>
      </c>
      <c r="I1105">
        <v>9.7899999999999991</v>
      </c>
      <c r="J1105">
        <v>123</v>
      </c>
      <c r="K1105">
        <v>334</v>
      </c>
      <c r="L1105" t="str">
        <v>OK</v>
      </c>
      <c r="M1105">
        <v>1</v>
      </c>
      <c r="O1105">
        <f t="shared" si="136"/>
        <v>4.9674796747967482</v>
      </c>
      <c r="P1105">
        <f t="shared" si="137"/>
        <v>24.92370833333333</v>
      </c>
      <c r="Q1105">
        <f t="shared" si="138"/>
        <v>15.052968711505299</v>
      </c>
      <c r="R1105">
        <f t="shared" si="139"/>
        <v>1</v>
      </c>
      <c r="S1105">
        <f t="shared" si="140"/>
        <v>24.92370833333333</v>
      </c>
      <c r="T1105" t="str">
        <f t="shared" si="141"/>
        <v>CARGA INEFICIENTE</v>
      </c>
      <c r="U1105" t="str">
        <f t="shared" si="142"/>
        <v>OK</v>
      </c>
      <c r="V1105" t="str">
        <f t="shared" si="143"/>
        <v>OK</v>
      </c>
    </row>
    <row r="1106" spans="1:22" x14ac:dyDescent="0.45">
      <c r="A1106" t="str">
        <v>SO-50886</v>
      </c>
      <c r="B1106" t="str">
        <v>PL-NTE</v>
      </c>
      <c r="C1106" t="str">
        <v>CD-SAL</v>
      </c>
      <c r="D1106" t="str">
        <v>BEB-1000</v>
      </c>
      <c r="E1106">
        <v>1170</v>
      </c>
      <c r="F1106" s="1">
        <v>46176</v>
      </c>
      <c r="G1106" t="str">
        <v>In Transit</v>
      </c>
      <c r="H1106" t="str">
        <v>OK</v>
      </c>
      <c r="I1106">
        <v>16.489999999999998</v>
      </c>
      <c r="J1106">
        <v>102</v>
      </c>
      <c r="K1106">
        <v>315</v>
      </c>
      <c r="L1106" t="str">
        <v>OK</v>
      </c>
      <c r="M1106">
        <v>1</v>
      </c>
      <c r="O1106">
        <f t="shared" si="136"/>
        <v>11.470588235294118</v>
      </c>
      <c r="P1106">
        <f t="shared" si="137"/>
        <v>80.388750000000002</v>
      </c>
      <c r="Q1106">
        <f t="shared" si="138"/>
        <v>34.759358288770052</v>
      </c>
      <c r="R1106">
        <f t="shared" si="139"/>
        <v>1</v>
      </c>
      <c r="S1106">
        <f t="shared" si="140"/>
        <v>80.388750000000002</v>
      </c>
      <c r="T1106" t="str">
        <f t="shared" si="141"/>
        <v>OK</v>
      </c>
      <c r="U1106" t="str">
        <f t="shared" si="142"/>
        <v>OK</v>
      </c>
      <c r="V1106" t="str">
        <f t="shared" si="143"/>
        <v>OK</v>
      </c>
    </row>
  </sheetData>
  <autoFilter ref="A1:V1106" xr:uid="{64B5FD78-FDDE-4703-9B36-72E0071A7391}"/>
  <conditionalFormatting sqref="T2:T1106">
    <cfRule type="cellIs" dxfId="1" priority="1" operator="equal">
      <formula>"OK"</formula>
    </cfRule>
    <cfRule type="cellIs" dxfId="0" priority="2" operator="equal">
      <formula>"CARGA INEFICIENTE"</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5F751-1E7F-4AC5-BC54-F31225E5A2AF}">
  <dimension ref="A1:B6"/>
  <sheetViews>
    <sheetView workbookViewId="0">
      <selection activeCell="J12" sqref="J12"/>
    </sheetView>
  </sheetViews>
  <sheetFormatPr defaultRowHeight="14.25" x14ac:dyDescent="0.45"/>
  <cols>
    <col min="1" max="1" width="26.3984375" bestFit="1" customWidth="1"/>
  </cols>
  <sheetData>
    <row r="1" spans="1:2" x14ac:dyDescent="0.45">
      <c r="A1" t="s">
        <v>1364</v>
      </c>
      <c r="B1" t="s">
        <v>1365</v>
      </c>
    </row>
    <row r="2" spans="1:2" x14ac:dyDescent="0.45">
      <c r="A2" t="s">
        <v>1374</v>
      </c>
      <c r="B2">
        <f>COUNTIF(Analisis_Transito!T:T, "CARGA INEFICIENTE")</f>
        <v>361</v>
      </c>
    </row>
    <row r="3" spans="1:2" x14ac:dyDescent="0.45">
      <c r="A3" t="s">
        <v>1375</v>
      </c>
      <c r="B3">
        <f>COUNTIF(Analisis_Transito!U:U, "FEFO RIESGO")</f>
        <v>45</v>
      </c>
    </row>
    <row r="4" spans="1:2" x14ac:dyDescent="0.45">
      <c r="A4" t="s">
        <v>1376</v>
      </c>
      <c r="B4">
        <f>COUNTIF(Analisis_Transito!V:V, "FANTASMA")</f>
        <v>51</v>
      </c>
    </row>
    <row r="5" spans="1:2" x14ac:dyDescent="0.45">
      <c r="A5" t="s">
        <v>1377</v>
      </c>
      <c r="B5">
        <f>COUNTIF(Analisis_Transito!L:L, "HUERFANO")</f>
        <v>12</v>
      </c>
    </row>
    <row r="6" spans="1:2" x14ac:dyDescent="0.45">
      <c r="A6" t="s">
        <v>1378</v>
      </c>
      <c r="B6">
        <f>SUMIF(Fair_Share!N:N, "ESCASEZ", Fair_Share!O:O)</f>
        <v>22717.599999999999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CB29A-5570-4ED7-9ADD-4414C3948ECC}">
  <dimension ref="A1:O1501"/>
  <sheetViews>
    <sheetView zoomScale="57" workbookViewId="0">
      <selection activeCell="O23" sqref="O23"/>
    </sheetView>
  </sheetViews>
  <sheetFormatPr defaultRowHeight="14.25" x14ac:dyDescent="0.45"/>
  <cols>
    <col min="1" max="1" width="8.53125" bestFit="1" customWidth="1"/>
    <col min="2" max="2" width="11.3984375" bestFit="1" customWidth="1"/>
    <col min="3" max="3" width="16.9296875" bestFit="1" customWidth="1"/>
    <col min="4" max="4" width="17.73046875" bestFit="1" customWidth="1"/>
    <col min="5" max="6" width="15.9296875" bestFit="1" customWidth="1"/>
    <col min="7" max="7" width="17.6640625" bestFit="1" customWidth="1"/>
    <col min="8" max="8" width="11.53125" bestFit="1" customWidth="1"/>
    <col min="10" max="10" width="18.3984375" bestFit="1" customWidth="1"/>
    <col min="11" max="11" width="13.9296875" bestFit="1" customWidth="1"/>
    <col min="12" max="12" width="14.265625" bestFit="1" customWidth="1"/>
    <col min="13" max="13" width="19.9296875" bestFit="1" customWidth="1"/>
    <col min="14" max="14" width="16.6640625" bestFit="1" customWidth="1"/>
  </cols>
  <sheetData>
    <row r="1" spans="1:15" x14ac:dyDescent="0.45">
      <c r="A1" t="str" cm="1">
        <f t="array" ref="A1:H1501">Inventory_Clean[#All]</f>
        <v>DC</v>
      </c>
      <c r="B1" t="str">
        <v>Item_Code</v>
      </c>
      <c r="C1" t="str">
        <v>Current_Inventory</v>
      </c>
      <c r="D1" t="str">
        <v>Avg_Daily_Demand</v>
      </c>
      <c r="E1" t="str">
        <v>Demand_StdDev</v>
      </c>
      <c r="F1" t="str">
        <v>Lead_Time_Days</v>
      </c>
      <c r="G1" t="str">
        <v>Lead_Time_StdDev</v>
      </c>
      <c r="H1" t="str">
        <v>Inv_Quality</v>
      </c>
      <c r="J1" t="s">
        <v>1368</v>
      </c>
      <c r="K1" t="s">
        <v>1369</v>
      </c>
      <c r="L1" t="s">
        <v>1370</v>
      </c>
      <c r="M1" t="s">
        <v>1371</v>
      </c>
      <c r="N1" t="s">
        <v>1372</v>
      </c>
      <c r="O1" t="s">
        <v>1373</v>
      </c>
    </row>
    <row r="2" spans="1:15" x14ac:dyDescent="0.45">
      <c r="A2" t="str">
        <v>CD-TOL</v>
      </c>
      <c r="B2" t="str">
        <v>PRO-1014</v>
      </c>
      <c r="C2">
        <v>2862</v>
      </c>
      <c r="D2">
        <v>395</v>
      </c>
      <c r="E2">
        <v>268.5</v>
      </c>
      <c r="F2">
        <v>2</v>
      </c>
      <c r="G2">
        <v>0.5</v>
      </c>
      <c r="H2" t="str">
        <v>OK</v>
      </c>
      <c r="J2">
        <f>SUMIF($B$2:$B$1501, B2, $D$2:$D$1501)</f>
        <v>5634.0999999999995</v>
      </c>
      <c r="K2">
        <f>SUMIF(Supply_Clean[Item_Code], B2, Supply_Clean[Available_Supply])</f>
        <v>16301</v>
      </c>
      <c r="L2">
        <f>IFERROR(MIN(1, K2/J2), "")</f>
        <v>1</v>
      </c>
      <c r="M2">
        <f>IFERROR(D2*L2, "")</f>
        <v>395</v>
      </c>
      <c r="N2" t="str">
        <f>IF(L2&lt;1, "ESCASEZ", "SUFICIENTE")</f>
        <v>SUFICIENTE</v>
      </c>
      <c r="O2">
        <f>IF(N2="ESCASEZ", D2-M2, 0)</f>
        <v>0</v>
      </c>
    </row>
    <row r="3" spans="1:15" x14ac:dyDescent="0.45">
      <c r="A3" t="str">
        <v>CD-CDMX</v>
      </c>
      <c r="B3" t="str">
        <v>BOT-1006</v>
      </c>
      <c r="C3">
        <v>3657</v>
      </c>
      <c r="D3">
        <v>408.6</v>
      </c>
      <c r="E3">
        <v>117.3</v>
      </c>
      <c r="F3">
        <v>0.7</v>
      </c>
      <c r="G3">
        <v>0.2</v>
      </c>
      <c r="H3" t="str">
        <v>OK</v>
      </c>
      <c r="J3">
        <f t="shared" ref="J3:J66" si="0">SUMIF($B$2:$B$1501, B3, $D$2:$D$1501)</f>
        <v>7732.6000000000013</v>
      </c>
      <c r="K3">
        <f>SUMIF(Supply_Clean[Item_Code], B3, Supply_Clean[Available_Supply])</f>
        <v>16401</v>
      </c>
      <c r="L3">
        <f t="shared" ref="L3:L66" si="1">IFERROR(MIN(1, K3/J3), "")</f>
        <v>1</v>
      </c>
      <c r="M3">
        <f t="shared" ref="M3:M66" si="2">IFERROR(D3*L3, "")</f>
        <v>408.6</v>
      </c>
      <c r="N3" t="str">
        <f t="shared" ref="N3:N66" si="3">IF(L3&lt;1, "ESCASEZ", "SUFICIENTE")</f>
        <v>SUFICIENTE</v>
      </c>
      <c r="O3">
        <f t="shared" ref="O3:O66" si="4">IF(N3="ESCASEZ", D3-M3, 0)</f>
        <v>0</v>
      </c>
    </row>
    <row r="4" spans="1:15" x14ac:dyDescent="0.45">
      <c r="A4" t="str">
        <v>CD-VER</v>
      </c>
      <c r="B4" t="str">
        <v>BEB-1011</v>
      </c>
      <c r="C4">
        <v>4182</v>
      </c>
      <c r="D4">
        <v>0</v>
      </c>
      <c r="E4">
        <v>63.7</v>
      </c>
      <c r="F4">
        <v>5</v>
      </c>
      <c r="G4">
        <v>0.9</v>
      </c>
      <c r="H4" t="str">
        <v>OK</v>
      </c>
      <c r="J4">
        <f t="shared" si="0"/>
        <v>5454.4999999999991</v>
      </c>
      <c r="K4">
        <f>SUMIF(Supply_Clean[Item_Code], B4, Supply_Clean[Available_Supply])</f>
        <v>13720</v>
      </c>
      <c r="L4">
        <f t="shared" si="1"/>
        <v>1</v>
      </c>
      <c r="M4">
        <f t="shared" si="2"/>
        <v>0</v>
      </c>
      <c r="N4" t="str">
        <f t="shared" si="3"/>
        <v>SUFICIENTE</v>
      </c>
      <c r="O4">
        <f t="shared" si="4"/>
        <v>0</v>
      </c>
    </row>
    <row r="5" spans="1:15" x14ac:dyDescent="0.45">
      <c r="A5" t="str">
        <v>CD-TOL</v>
      </c>
      <c r="B5" t="str">
        <v>ABA-1007</v>
      </c>
      <c r="C5">
        <v>8913</v>
      </c>
      <c r="D5">
        <v>553.79999999999995</v>
      </c>
      <c r="E5">
        <v>67.5</v>
      </c>
      <c r="F5">
        <v>1.7</v>
      </c>
      <c r="G5">
        <v>0.5</v>
      </c>
      <c r="H5" t="str">
        <v>OK</v>
      </c>
      <c r="J5">
        <f t="shared" si="0"/>
        <v>4867.3</v>
      </c>
      <c r="K5">
        <f>SUMIF(Supply_Clean[Item_Code], B5, Supply_Clean[Available_Supply])</f>
        <v>13182</v>
      </c>
      <c r="L5">
        <f t="shared" si="1"/>
        <v>1</v>
      </c>
      <c r="M5">
        <f t="shared" si="2"/>
        <v>553.79999999999995</v>
      </c>
      <c r="N5" t="str">
        <f t="shared" si="3"/>
        <v>SUFICIENTE</v>
      </c>
      <c r="O5">
        <f t="shared" si="4"/>
        <v>0</v>
      </c>
    </row>
    <row r="6" spans="1:15" x14ac:dyDescent="0.45">
      <c r="A6" t="str">
        <v>CD-CDMX</v>
      </c>
      <c r="B6" t="str">
        <v>BEB-1000</v>
      </c>
      <c r="C6">
        <v>6474</v>
      </c>
      <c r="D6">
        <v>366.7</v>
      </c>
      <c r="E6">
        <v>43.8</v>
      </c>
      <c r="F6">
        <v>0.7</v>
      </c>
      <c r="G6">
        <v>0.2</v>
      </c>
      <c r="H6" t="str">
        <v>OK</v>
      </c>
      <c r="J6">
        <f t="shared" si="0"/>
        <v>4843.5</v>
      </c>
      <c r="K6">
        <f>SUMIF(Supply_Clean[Item_Code], B6, Supply_Clean[Available_Supply])</f>
        <v>14592</v>
      </c>
      <c r="L6">
        <f t="shared" si="1"/>
        <v>1</v>
      </c>
      <c r="M6">
        <f t="shared" si="2"/>
        <v>366.7</v>
      </c>
      <c r="N6" t="str">
        <f t="shared" si="3"/>
        <v>SUFICIENTE</v>
      </c>
      <c r="O6">
        <f t="shared" si="4"/>
        <v>0</v>
      </c>
    </row>
    <row r="7" spans="1:15" x14ac:dyDescent="0.45">
      <c r="A7" t="str">
        <v>CD-CDMX</v>
      </c>
      <c r="B7" t="str">
        <v>BOT-1013</v>
      </c>
      <c r="C7">
        <v>7599</v>
      </c>
      <c r="D7">
        <v>454.2</v>
      </c>
      <c r="E7">
        <v>93.4</v>
      </c>
      <c r="F7">
        <v>1.1000000000000001</v>
      </c>
      <c r="G7">
        <v>0.2</v>
      </c>
      <c r="H7" t="str">
        <v>OK</v>
      </c>
      <c r="J7">
        <f t="shared" si="0"/>
        <v>8336.1999999999989</v>
      </c>
      <c r="K7">
        <f>SUMIF(Supply_Clean[Item_Code], B7, Supply_Clean[Available_Supply])</f>
        <v>20545</v>
      </c>
      <c r="L7">
        <f t="shared" si="1"/>
        <v>1</v>
      </c>
      <c r="M7">
        <f t="shared" si="2"/>
        <v>454.2</v>
      </c>
      <c r="N7" t="str">
        <f t="shared" si="3"/>
        <v>SUFICIENTE</v>
      </c>
      <c r="O7">
        <f t="shared" si="4"/>
        <v>0</v>
      </c>
    </row>
    <row r="8" spans="1:15" x14ac:dyDescent="0.45">
      <c r="A8" t="str">
        <v>CD-VER</v>
      </c>
      <c r="B8" t="str">
        <v>BOT-1010</v>
      </c>
      <c r="C8">
        <v>6848</v>
      </c>
      <c r="D8">
        <v>784.3</v>
      </c>
      <c r="E8">
        <v>122.2</v>
      </c>
      <c r="F8">
        <v>3.1</v>
      </c>
      <c r="G8">
        <v>0.9</v>
      </c>
      <c r="H8" t="str">
        <v>OK</v>
      </c>
      <c r="J8">
        <f t="shared" si="0"/>
        <v>7108.7000000000007</v>
      </c>
      <c r="K8">
        <f>SUMIF(Supply_Clean[Item_Code], B8, Supply_Clean[Available_Supply])</f>
        <v>21582</v>
      </c>
      <c r="L8">
        <f t="shared" si="1"/>
        <v>1</v>
      </c>
      <c r="M8">
        <f t="shared" si="2"/>
        <v>784.3</v>
      </c>
      <c r="N8" t="str">
        <f t="shared" si="3"/>
        <v>SUFICIENTE</v>
      </c>
      <c r="O8">
        <f t="shared" si="4"/>
        <v>0</v>
      </c>
    </row>
    <row r="9" spans="1:15" x14ac:dyDescent="0.45">
      <c r="A9" t="str">
        <v>CD-CHI</v>
      </c>
      <c r="B9" t="str">
        <v>LAC-1006</v>
      </c>
      <c r="C9">
        <v>1444</v>
      </c>
      <c r="D9">
        <v>209.7</v>
      </c>
      <c r="E9">
        <v>56.1</v>
      </c>
      <c r="F9">
        <v>3.1</v>
      </c>
      <c r="G9">
        <v>1</v>
      </c>
      <c r="H9" t="str">
        <v>OK</v>
      </c>
      <c r="J9">
        <f t="shared" si="0"/>
        <v>4338.7</v>
      </c>
      <c r="K9">
        <f>SUMIF(Supply_Clean[Item_Code], B9, Supply_Clean[Available_Supply])</f>
        <v>10670</v>
      </c>
      <c r="L9">
        <f t="shared" si="1"/>
        <v>1</v>
      </c>
      <c r="M9">
        <f t="shared" si="2"/>
        <v>209.7</v>
      </c>
      <c r="N9" t="str">
        <f t="shared" si="3"/>
        <v>SUFICIENTE</v>
      </c>
      <c r="O9">
        <f t="shared" si="4"/>
        <v>0</v>
      </c>
    </row>
    <row r="10" spans="1:15" x14ac:dyDescent="0.45">
      <c r="A10" t="str">
        <v>CD-VER</v>
      </c>
      <c r="B10" t="str">
        <v>BOT-1012</v>
      </c>
      <c r="C10">
        <v>16574</v>
      </c>
      <c r="D10">
        <v>948.9</v>
      </c>
      <c r="E10">
        <v>207.4</v>
      </c>
      <c r="F10">
        <v>0.9</v>
      </c>
      <c r="G10">
        <v>0.9</v>
      </c>
      <c r="H10" t="str">
        <v>OK</v>
      </c>
      <c r="J10">
        <f t="shared" si="0"/>
        <v>9259.4</v>
      </c>
      <c r="K10">
        <f>SUMIF(Supply_Clean[Item_Code], B10, Supply_Clean[Available_Supply])</f>
        <v>13943</v>
      </c>
      <c r="L10">
        <f t="shared" si="1"/>
        <v>1</v>
      </c>
      <c r="M10">
        <f t="shared" si="2"/>
        <v>948.9</v>
      </c>
      <c r="N10" t="str">
        <f t="shared" si="3"/>
        <v>SUFICIENTE</v>
      </c>
      <c r="O10">
        <f t="shared" si="4"/>
        <v>0</v>
      </c>
    </row>
    <row r="11" spans="1:15" x14ac:dyDescent="0.45">
      <c r="A11" t="str">
        <v>CD-PUE</v>
      </c>
      <c r="B11" t="str">
        <v>ABA-1007</v>
      </c>
      <c r="C11">
        <v>1422</v>
      </c>
      <c r="D11">
        <v>289.89999999999998</v>
      </c>
      <c r="E11">
        <v>31.2</v>
      </c>
      <c r="F11">
        <v>0.5</v>
      </c>
      <c r="G11">
        <v>0.3</v>
      </c>
      <c r="H11" t="str">
        <v>OK</v>
      </c>
      <c r="J11">
        <f t="shared" si="0"/>
        <v>4867.3</v>
      </c>
      <c r="K11">
        <f>SUMIF(Supply_Clean[Item_Code], B11, Supply_Clean[Available_Supply])</f>
        <v>13182</v>
      </c>
      <c r="L11">
        <f t="shared" si="1"/>
        <v>1</v>
      </c>
      <c r="M11">
        <f t="shared" si="2"/>
        <v>289.89999999999998</v>
      </c>
      <c r="N11" t="str">
        <f t="shared" si="3"/>
        <v>SUFICIENTE</v>
      </c>
      <c r="O11">
        <f t="shared" si="4"/>
        <v>0</v>
      </c>
    </row>
    <row r="12" spans="1:15" x14ac:dyDescent="0.45">
      <c r="A12" t="str">
        <v>CD-CHI</v>
      </c>
      <c r="B12" t="str">
        <v>PRO-1001</v>
      </c>
      <c r="C12">
        <v>8663</v>
      </c>
      <c r="D12">
        <v>495.2</v>
      </c>
      <c r="E12">
        <v>204.3</v>
      </c>
      <c r="F12">
        <v>2.1</v>
      </c>
      <c r="G12">
        <v>1</v>
      </c>
      <c r="H12" t="str">
        <v>OK</v>
      </c>
      <c r="J12">
        <f t="shared" si="0"/>
        <v>6433.2999999999993</v>
      </c>
      <c r="K12">
        <f>SUMIF(Supply_Clean[Item_Code], B12, Supply_Clean[Available_Supply])</f>
        <v>10011</v>
      </c>
      <c r="L12">
        <f t="shared" si="1"/>
        <v>1</v>
      </c>
      <c r="M12">
        <f t="shared" si="2"/>
        <v>495.2</v>
      </c>
      <c r="N12" t="str">
        <f t="shared" si="3"/>
        <v>SUFICIENTE</v>
      </c>
      <c r="O12">
        <f t="shared" si="4"/>
        <v>0</v>
      </c>
    </row>
    <row r="13" spans="1:15" x14ac:dyDescent="0.45">
      <c r="A13" t="str">
        <v>CD-TIJ</v>
      </c>
      <c r="B13" t="str">
        <v>BOT-1016</v>
      </c>
      <c r="C13">
        <v>580</v>
      </c>
      <c r="D13">
        <v>800.5</v>
      </c>
      <c r="E13">
        <v>236.1</v>
      </c>
      <c r="F13">
        <v>3.4</v>
      </c>
      <c r="G13">
        <v>1.5</v>
      </c>
      <c r="H13" t="str">
        <v>OK</v>
      </c>
      <c r="J13">
        <f t="shared" si="0"/>
        <v>9923.6999999999989</v>
      </c>
      <c r="K13">
        <f>SUMIF(Supply_Clean[Item_Code], B13, Supply_Clean[Available_Supply])</f>
        <v>18995</v>
      </c>
      <c r="L13">
        <f t="shared" si="1"/>
        <v>1</v>
      </c>
      <c r="M13">
        <f t="shared" si="2"/>
        <v>800.5</v>
      </c>
      <c r="N13" t="str">
        <f t="shared" si="3"/>
        <v>SUFICIENTE</v>
      </c>
      <c r="O13">
        <f t="shared" si="4"/>
        <v>0</v>
      </c>
    </row>
    <row r="14" spans="1:15" x14ac:dyDescent="0.45">
      <c r="A14" t="str">
        <v>CD-PUE</v>
      </c>
      <c r="B14" t="str">
        <v>BOT-1001</v>
      </c>
      <c r="C14">
        <v>4706</v>
      </c>
      <c r="D14">
        <v>1097.7</v>
      </c>
      <c r="E14">
        <v>258.7</v>
      </c>
      <c r="F14">
        <v>0.9</v>
      </c>
      <c r="G14">
        <v>0.3</v>
      </c>
      <c r="H14" t="str">
        <v>OK</v>
      </c>
      <c r="J14">
        <f t="shared" si="0"/>
        <v>8375.9</v>
      </c>
      <c r="K14">
        <f>SUMIF(Supply_Clean[Item_Code], B14, Supply_Clean[Available_Supply])</f>
        <v>20393</v>
      </c>
      <c r="L14">
        <f t="shared" si="1"/>
        <v>1</v>
      </c>
      <c r="M14">
        <f t="shared" si="2"/>
        <v>1097.7</v>
      </c>
      <c r="N14" t="str">
        <f t="shared" si="3"/>
        <v>SUFICIENTE</v>
      </c>
      <c r="O14">
        <f t="shared" si="4"/>
        <v>0</v>
      </c>
    </row>
    <row r="15" spans="1:15" x14ac:dyDescent="0.45">
      <c r="A15" t="str">
        <v>CD-PUE</v>
      </c>
      <c r="B15" t="str">
        <v>BOT-1010</v>
      </c>
      <c r="C15">
        <v>1583</v>
      </c>
      <c r="D15">
        <v>833.9</v>
      </c>
      <c r="E15">
        <v>188.9</v>
      </c>
      <c r="F15">
        <v>0.8</v>
      </c>
      <c r="G15">
        <v>0.3</v>
      </c>
      <c r="H15" t="str">
        <v>OK</v>
      </c>
      <c r="J15">
        <f t="shared" si="0"/>
        <v>7108.7000000000007</v>
      </c>
      <c r="K15">
        <f>SUMIF(Supply_Clean[Item_Code], B15, Supply_Clean[Available_Supply])</f>
        <v>21582</v>
      </c>
      <c r="L15">
        <f t="shared" si="1"/>
        <v>1</v>
      </c>
      <c r="M15">
        <f t="shared" si="2"/>
        <v>833.9</v>
      </c>
      <c r="N15" t="str">
        <f t="shared" si="3"/>
        <v>SUFICIENTE</v>
      </c>
      <c r="O15">
        <f t="shared" si="4"/>
        <v>0</v>
      </c>
    </row>
    <row r="16" spans="1:15" x14ac:dyDescent="0.45">
      <c r="A16" t="str">
        <v>CD-QRO</v>
      </c>
      <c r="B16" t="str">
        <v>BEB-1015</v>
      </c>
      <c r="C16">
        <v>1077</v>
      </c>
      <c r="D16">
        <v>325.89999999999998</v>
      </c>
      <c r="E16">
        <v>33</v>
      </c>
      <c r="F16">
        <v>1.2</v>
      </c>
      <c r="G16">
        <v>0.4</v>
      </c>
      <c r="H16" t="str">
        <v>OK</v>
      </c>
      <c r="J16">
        <f t="shared" si="0"/>
        <v>5073.0999999999995</v>
      </c>
      <c r="K16">
        <f>SUMIF(Supply_Clean[Item_Code], B16, Supply_Clean[Available_Supply])</f>
        <v>14801</v>
      </c>
      <c r="L16">
        <f t="shared" si="1"/>
        <v>1</v>
      </c>
      <c r="M16">
        <f t="shared" si="2"/>
        <v>325.89999999999998</v>
      </c>
      <c r="N16" t="str">
        <f t="shared" si="3"/>
        <v>SUFICIENTE</v>
      </c>
      <c r="O16">
        <f t="shared" si="4"/>
        <v>0</v>
      </c>
    </row>
    <row r="17" spans="1:15" x14ac:dyDescent="0.45">
      <c r="A17" t="str">
        <v>CD-CAN</v>
      </c>
      <c r="B17" t="str">
        <v>BOT-1003</v>
      </c>
      <c r="C17">
        <v>9404</v>
      </c>
      <c r="D17">
        <v>577.9</v>
      </c>
      <c r="E17">
        <v>168.2</v>
      </c>
      <c r="F17">
        <v>2.8</v>
      </c>
      <c r="G17">
        <v>1.6</v>
      </c>
      <c r="H17" t="str">
        <v>OK</v>
      </c>
      <c r="J17">
        <f t="shared" si="0"/>
        <v>8902.7999999999993</v>
      </c>
      <c r="K17">
        <f>SUMIF(Supply_Clean[Item_Code], B17, Supply_Clean[Available_Supply])</f>
        <v>24326</v>
      </c>
      <c r="L17">
        <f t="shared" si="1"/>
        <v>1</v>
      </c>
      <c r="M17">
        <f t="shared" si="2"/>
        <v>577.9</v>
      </c>
      <c r="N17" t="str">
        <f t="shared" si="3"/>
        <v>SUFICIENTE</v>
      </c>
      <c r="O17">
        <f t="shared" si="4"/>
        <v>0</v>
      </c>
    </row>
    <row r="18" spans="1:15" x14ac:dyDescent="0.45">
      <c r="A18" t="str">
        <v>CD-MTY</v>
      </c>
      <c r="B18" t="str">
        <v>BOT-1007</v>
      </c>
      <c r="C18">
        <v>4575</v>
      </c>
      <c r="D18">
        <v>403.7</v>
      </c>
      <c r="E18">
        <v>105.7</v>
      </c>
      <c r="F18">
        <v>1</v>
      </c>
      <c r="G18">
        <v>0.3</v>
      </c>
      <c r="H18" t="str">
        <v>OK</v>
      </c>
      <c r="J18">
        <f t="shared" si="0"/>
        <v>7508.1</v>
      </c>
      <c r="K18">
        <f>SUMIF(Supply_Clean[Item_Code], B18, Supply_Clean[Available_Supply])</f>
        <v>16668</v>
      </c>
      <c r="L18">
        <f t="shared" si="1"/>
        <v>1</v>
      </c>
      <c r="M18">
        <f t="shared" si="2"/>
        <v>403.7</v>
      </c>
      <c r="N18" t="str">
        <f t="shared" si="3"/>
        <v>SUFICIENTE</v>
      </c>
      <c r="O18">
        <f t="shared" si="4"/>
        <v>0</v>
      </c>
    </row>
    <row r="19" spans="1:15" x14ac:dyDescent="0.45">
      <c r="A19" t="str">
        <v>CD-QRO</v>
      </c>
      <c r="B19" t="str">
        <v>BOT-1003</v>
      </c>
      <c r="C19">
        <v>1722</v>
      </c>
      <c r="D19">
        <v>861.2</v>
      </c>
      <c r="E19">
        <v>144.5</v>
      </c>
      <c r="F19">
        <v>2.1</v>
      </c>
      <c r="G19">
        <v>0.4</v>
      </c>
      <c r="H19" t="str">
        <v>OK</v>
      </c>
      <c r="J19">
        <f t="shared" si="0"/>
        <v>8902.7999999999993</v>
      </c>
      <c r="K19">
        <f>SUMIF(Supply_Clean[Item_Code], B19, Supply_Clean[Available_Supply])</f>
        <v>24326</v>
      </c>
      <c r="L19">
        <f t="shared" si="1"/>
        <v>1</v>
      </c>
      <c r="M19">
        <f t="shared" si="2"/>
        <v>861.2</v>
      </c>
      <c r="N19" t="str">
        <f t="shared" si="3"/>
        <v>SUFICIENTE</v>
      </c>
      <c r="O19">
        <f t="shared" si="4"/>
        <v>0</v>
      </c>
    </row>
    <row r="20" spans="1:15" x14ac:dyDescent="0.45">
      <c r="A20" t="str">
        <v>CD-HER</v>
      </c>
      <c r="B20" t="str">
        <v>BOT-1022</v>
      </c>
      <c r="C20">
        <v>4566</v>
      </c>
      <c r="D20">
        <v>281.10000000000002</v>
      </c>
      <c r="E20">
        <v>65.8</v>
      </c>
      <c r="F20">
        <v>6.2</v>
      </c>
      <c r="G20">
        <v>1.2</v>
      </c>
      <c r="H20" t="str">
        <v>OK</v>
      </c>
      <c r="J20">
        <f t="shared" si="0"/>
        <v>9197.7000000000007</v>
      </c>
      <c r="K20">
        <f>SUMIF(Supply_Clean[Item_Code], B20, Supply_Clean[Available_Supply])</f>
        <v>23862</v>
      </c>
      <c r="L20">
        <f t="shared" si="1"/>
        <v>1</v>
      </c>
      <c r="M20">
        <f t="shared" si="2"/>
        <v>281.10000000000002</v>
      </c>
      <c r="N20" t="str">
        <f t="shared" si="3"/>
        <v>SUFICIENTE</v>
      </c>
      <c r="O20">
        <f t="shared" si="4"/>
        <v>0</v>
      </c>
    </row>
    <row r="21" spans="1:15" x14ac:dyDescent="0.45">
      <c r="A21" t="str">
        <v>CD-TIJ</v>
      </c>
      <c r="B21" t="str">
        <v>BEB-1007</v>
      </c>
      <c r="C21">
        <v>968</v>
      </c>
      <c r="D21">
        <v>367.9</v>
      </c>
      <c r="E21">
        <v>51.3</v>
      </c>
      <c r="F21">
        <v>6.3</v>
      </c>
      <c r="G21">
        <v>1.5</v>
      </c>
      <c r="H21" t="str">
        <v>OK</v>
      </c>
      <c r="J21">
        <f t="shared" si="0"/>
        <v>5039.5</v>
      </c>
      <c r="K21">
        <f>SUMIF(Supply_Clean[Item_Code], B21, Supply_Clean[Available_Supply])</f>
        <v>12912</v>
      </c>
      <c r="L21">
        <f t="shared" si="1"/>
        <v>1</v>
      </c>
      <c r="M21">
        <f t="shared" si="2"/>
        <v>367.9</v>
      </c>
      <c r="N21" t="str">
        <f t="shared" si="3"/>
        <v>SUFICIENTE</v>
      </c>
      <c r="O21">
        <f t="shared" si="4"/>
        <v>0</v>
      </c>
    </row>
    <row r="22" spans="1:15" x14ac:dyDescent="0.45">
      <c r="A22" t="str">
        <v>CD-LEO</v>
      </c>
      <c r="B22" t="str">
        <v>ABA-1009</v>
      </c>
      <c r="C22">
        <v>6020</v>
      </c>
      <c r="D22">
        <v>583.20000000000005</v>
      </c>
      <c r="E22">
        <v>85.2</v>
      </c>
      <c r="F22">
        <v>1.8</v>
      </c>
      <c r="G22">
        <v>0.6</v>
      </c>
      <c r="H22" t="str">
        <v>OK</v>
      </c>
      <c r="J22">
        <f t="shared" si="0"/>
        <v>5016.1000000000004</v>
      </c>
      <c r="K22">
        <f>SUMIF(Supply_Clean[Item_Code], B22, Supply_Clean[Available_Supply])</f>
        <v>13458</v>
      </c>
      <c r="L22">
        <f t="shared" si="1"/>
        <v>1</v>
      </c>
      <c r="M22">
        <f t="shared" si="2"/>
        <v>583.20000000000005</v>
      </c>
      <c r="N22" t="str">
        <f t="shared" si="3"/>
        <v>SUFICIENTE</v>
      </c>
      <c r="O22">
        <f t="shared" si="4"/>
        <v>0</v>
      </c>
    </row>
    <row r="23" spans="1:15" x14ac:dyDescent="0.45">
      <c r="A23" t="str">
        <v>CD-TOL</v>
      </c>
      <c r="B23" t="str">
        <v>BEB-1010</v>
      </c>
      <c r="C23">
        <v>2037</v>
      </c>
      <c r="D23">
        <v>356.5</v>
      </c>
      <c r="E23">
        <v>50.9</v>
      </c>
      <c r="F23">
        <v>2.6</v>
      </c>
      <c r="G23">
        <v>0.5</v>
      </c>
      <c r="H23" t="str">
        <v>OK</v>
      </c>
      <c r="J23">
        <f t="shared" si="0"/>
        <v>4470.2999999999993</v>
      </c>
      <c r="K23">
        <f>SUMIF(Supply_Clean[Item_Code], B23, Supply_Clean[Available_Supply])</f>
        <v>3237</v>
      </c>
      <c r="L23">
        <f t="shared" si="1"/>
        <v>0.7241124756727737</v>
      </c>
      <c r="M23">
        <f t="shared" si="2"/>
        <v>258.14609757734382</v>
      </c>
      <c r="N23" t="str">
        <f t="shared" si="3"/>
        <v>ESCASEZ</v>
      </c>
      <c r="O23">
        <f t="shared" si="4"/>
        <v>98.353902422656176</v>
      </c>
    </row>
    <row r="24" spans="1:15" x14ac:dyDescent="0.45">
      <c r="A24" t="str">
        <v>CD-HER</v>
      </c>
      <c r="B24" t="str">
        <v>PRO-1014</v>
      </c>
      <c r="C24">
        <v>735</v>
      </c>
      <c r="D24">
        <v>280.39999999999998</v>
      </c>
      <c r="E24">
        <v>154.69999999999999</v>
      </c>
      <c r="F24">
        <v>3.9</v>
      </c>
      <c r="G24">
        <v>1.2</v>
      </c>
      <c r="H24" t="str">
        <v>OK</v>
      </c>
      <c r="J24">
        <f t="shared" si="0"/>
        <v>5634.0999999999995</v>
      </c>
      <c r="K24">
        <f>SUMIF(Supply_Clean[Item_Code], B24, Supply_Clean[Available_Supply])</f>
        <v>16301</v>
      </c>
      <c r="L24">
        <f t="shared" si="1"/>
        <v>1</v>
      </c>
      <c r="M24">
        <f t="shared" si="2"/>
        <v>280.39999999999998</v>
      </c>
      <c r="N24" t="str">
        <f t="shared" si="3"/>
        <v>SUFICIENTE</v>
      </c>
      <c r="O24">
        <f t="shared" si="4"/>
        <v>0</v>
      </c>
    </row>
    <row r="25" spans="1:15" x14ac:dyDescent="0.45">
      <c r="A25" t="str">
        <v>CD-PUE</v>
      </c>
      <c r="B25" t="str">
        <v>LAC-1003</v>
      </c>
      <c r="C25">
        <v>1408</v>
      </c>
      <c r="D25">
        <v>188.5</v>
      </c>
      <c r="E25">
        <v>54.1</v>
      </c>
      <c r="F25">
        <v>1.2</v>
      </c>
      <c r="G25">
        <v>0.3</v>
      </c>
      <c r="H25" t="str">
        <v>OK</v>
      </c>
      <c r="J25">
        <f t="shared" si="0"/>
        <v>3701.4999999999995</v>
      </c>
      <c r="K25">
        <f>SUMIF(Supply_Clean[Item_Code], B25, Supply_Clean[Available_Supply])</f>
        <v>7244</v>
      </c>
      <c r="L25">
        <f t="shared" si="1"/>
        <v>1</v>
      </c>
      <c r="M25">
        <f t="shared" si="2"/>
        <v>188.5</v>
      </c>
      <c r="N25" t="str">
        <f t="shared" si="3"/>
        <v>SUFICIENTE</v>
      </c>
      <c r="O25">
        <f t="shared" si="4"/>
        <v>0</v>
      </c>
    </row>
    <row r="26" spans="1:15" x14ac:dyDescent="0.45">
      <c r="A26" t="str">
        <v>CD-MTY</v>
      </c>
      <c r="B26" t="str">
        <v>BOT-1019</v>
      </c>
      <c r="C26">
        <v>5022</v>
      </c>
      <c r="D26">
        <v>787.9</v>
      </c>
      <c r="E26">
        <v>167.2</v>
      </c>
      <c r="F26">
        <v>1</v>
      </c>
      <c r="G26">
        <v>0.3</v>
      </c>
      <c r="H26" t="str">
        <v>OK</v>
      </c>
      <c r="J26">
        <f t="shared" si="0"/>
        <v>9278.2999999999993</v>
      </c>
      <c r="K26">
        <f>SUMIF(Supply_Clean[Item_Code], B26, Supply_Clean[Available_Supply])</f>
        <v>4509</v>
      </c>
      <c r="L26">
        <f t="shared" si="1"/>
        <v>0.48597264585107192</v>
      </c>
      <c r="M26">
        <f t="shared" si="2"/>
        <v>382.89784766605953</v>
      </c>
      <c r="N26" t="str">
        <f t="shared" si="3"/>
        <v>ESCASEZ</v>
      </c>
      <c r="O26">
        <f t="shared" si="4"/>
        <v>405.00215233394044</v>
      </c>
    </row>
    <row r="27" spans="1:15" x14ac:dyDescent="0.45">
      <c r="A27" t="str">
        <v>CD-CHI</v>
      </c>
      <c r="B27" t="str">
        <v>ABA-1008</v>
      </c>
      <c r="C27">
        <v>7498</v>
      </c>
      <c r="D27">
        <v>483.5</v>
      </c>
      <c r="E27">
        <v>42.4</v>
      </c>
      <c r="F27">
        <v>1</v>
      </c>
      <c r="G27">
        <v>1</v>
      </c>
      <c r="H27" t="str">
        <v>OK</v>
      </c>
      <c r="J27">
        <f t="shared" si="0"/>
        <v>4717.2000000000007</v>
      </c>
      <c r="K27">
        <f>SUMIF(Supply_Clean[Item_Code], B27, Supply_Clean[Available_Supply])</f>
        <v>9747</v>
      </c>
      <c r="L27">
        <f t="shared" si="1"/>
        <v>1</v>
      </c>
      <c r="M27">
        <f t="shared" si="2"/>
        <v>483.5</v>
      </c>
      <c r="N27" t="str">
        <f t="shared" si="3"/>
        <v>SUFICIENTE</v>
      </c>
      <c r="O27">
        <f t="shared" si="4"/>
        <v>0</v>
      </c>
    </row>
    <row r="28" spans="1:15" x14ac:dyDescent="0.45">
      <c r="A28" t="str">
        <v>CD-CAN</v>
      </c>
      <c r="B28" t="str">
        <v>BEB-1002</v>
      </c>
      <c r="C28">
        <v>5143</v>
      </c>
      <c r="D28">
        <v>408.3</v>
      </c>
      <c r="E28">
        <v>47.8</v>
      </c>
      <c r="F28">
        <v>3.6</v>
      </c>
      <c r="G28">
        <v>1.6</v>
      </c>
      <c r="H28" t="str">
        <v>OK</v>
      </c>
      <c r="J28">
        <f t="shared" si="0"/>
        <v>6246.8</v>
      </c>
      <c r="K28">
        <f>SUMIF(Supply_Clean[Item_Code], B28, Supply_Clean[Available_Supply])</f>
        <v>13052</v>
      </c>
      <c r="L28">
        <f t="shared" si="1"/>
        <v>1</v>
      </c>
      <c r="M28">
        <f t="shared" si="2"/>
        <v>408.3</v>
      </c>
      <c r="N28" t="str">
        <f t="shared" si="3"/>
        <v>SUFICIENTE</v>
      </c>
      <c r="O28">
        <f t="shared" si="4"/>
        <v>0</v>
      </c>
    </row>
    <row r="29" spans="1:15" x14ac:dyDescent="0.45">
      <c r="A29" t="str">
        <v>CD-PUE</v>
      </c>
      <c r="B29" t="str">
        <v>LAC-1011</v>
      </c>
      <c r="C29">
        <v>3572</v>
      </c>
      <c r="D29">
        <v>210</v>
      </c>
      <c r="E29">
        <v>64.900000000000006</v>
      </c>
      <c r="F29">
        <v>1.6</v>
      </c>
      <c r="G29">
        <v>0.3</v>
      </c>
      <c r="H29" t="str">
        <v>OK</v>
      </c>
      <c r="J29">
        <f t="shared" si="0"/>
        <v>4165</v>
      </c>
      <c r="K29">
        <f>SUMIF(Supply_Clean[Item_Code], B29, Supply_Clean[Available_Supply])</f>
        <v>2719</v>
      </c>
      <c r="L29">
        <f t="shared" si="1"/>
        <v>0.65282112845138052</v>
      </c>
      <c r="M29">
        <f t="shared" si="2"/>
        <v>137.0924369747899</v>
      </c>
      <c r="N29" t="str">
        <f t="shared" si="3"/>
        <v>ESCASEZ</v>
      </c>
      <c r="O29">
        <f t="shared" si="4"/>
        <v>72.907563025210095</v>
      </c>
    </row>
    <row r="30" spans="1:15" x14ac:dyDescent="0.45">
      <c r="A30" t="str">
        <v>CD-LEO</v>
      </c>
      <c r="B30" t="str">
        <v>BEB-1004</v>
      </c>
      <c r="C30">
        <v>3264</v>
      </c>
      <c r="D30">
        <v>486.1</v>
      </c>
      <c r="E30">
        <v>80.8</v>
      </c>
      <c r="F30">
        <v>2.7</v>
      </c>
      <c r="G30">
        <v>0.6</v>
      </c>
      <c r="H30" t="str">
        <v>OK</v>
      </c>
      <c r="J30">
        <f t="shared" si="0"/>
        <v>5324.2</v>
      </c>
      <c r="K30">
        <f>SUMIF(Supply_Clean[Item_Code], B30, Supply_Clean[Available_Supply])</f>
        <v>15672</v>
      </c>
      <c r="L30">
        <f t="shared" si="1"/>
        <v>1</v>
      </c>
      <c r="M30">
        <f t="shared" si="2"/>
        <v>486.1</v>
      </c>
      <c r="N30" t="str">
        <f t="shared" si="3"/>
        <v>SUFICIENTE</v>
      </c>
      <c r="O30">
        <f t="shared" si="4"/>
        <v>0</v>
      </c>
    </row>
    <row r="31" spans="1:15" x14ac:dyDescent="0.45">
      <c r="A31" t="str">
        <v>CD-LEO</v>
      </c>
      <c r="B31" t="str">
        <v>BEB-1003</v>
      </c>
      <c r="C31">
        <v>6366</v>
      </c>
      <c r="D31">
        <v>428.7</v>
      </c>
      <c r="E31">
        <v>71.900000000000006</v>
      </c>
      <c r="F31">
        <v>0.8</v>
      </c>
      <c r="G31">
        <v>0.6</v>
      </c>
      <c r="H31" t="str">
        <v>OK</v>
      </c>
      <c r="J31">
        <f t="shared" si="0"/>
        <v>5232</v>
      </c>
      <c r="K31">
        <f>SUMIF(Supply_Clean[Item_Code], B31, Supply_Clean[Available_Supply])</f>
        <v>16426</v>
      </c>
      <c r="L31">
        <f t="shared" si="1"/>
        <v>1</v>
      </c>
      <c r="M31">
        <f t="shared" si="2"/>
        <v>428.7</v>
      </c>
      <c r="N31" t="str">
        <f t="shared" si="3"/>
        <v>SUFICIENTE</v>
      </c>
      <c r="O31">
        <f t="shared" si="4"/>
        <v>0</v>
      </c>
    </row>
    <row r="32" spans="1:15" x14ac:dyDescent="0.45">
      <c r="A32" t="str">
        <v>CD-CDMX</v>
      </c>
      <c r="B32" t="str">
        <v>BOT-1015</v>
      </c>
      <c r="C32">
        <v>4488</v>
      </c>
      <c r="D32">
        <v>751.3</v>
      </c>
      <c r="E32">
        <v>183.7</v>
      </c>
      <c r="F32">
        <v>0.9</v>
      </c>
      <c r="G32">
        <v>0.2</v>
      </c>
      <c r="H32" t="str">
        <v>OK</v>
      </c>
      <c r="J32">
        <f t="shared" si="0"/>
        <v>8666.4</v>
      </c>
      <c r="K32">
        <f>SUMIF(Supply_Clean[Item_Code], B32, Supply_Clean[Available_Supply])</f>
        <v>5719</v>
      </c>
      <c r="L32">
        <f t="shared" si="1"/>
        <v>0.65990492015138935</v>
      </c>
      <c r="M32">
        <f t="shared" si="2"/>
        <v>495.7865665097388</v>
      </c>
      <c r="N32" t="str">
        <f t="shared" si="3"/>
        <v>ESCASEZ</v>
      </c>
      <c r="O32">
        <f t="shared" si="4"/>
        <v>255.51343349026115</v>
      </c>
    </row>
    <row r="33" spans="1:15" x14ac:dyDescent="0.45">
      <c r="A33" t="str">
        <v>CD-MOR</v>
      </c>
      <c r="B33" t="str">
        <v>PRO-1015</v>
      </c>
      <c r="C33">
        <v>1096</v>
      </c>
      <c r="D33">
        <v>364.1</v>
      </c>
      <c r="E33">
        <v>172.5</v>
      </c>
      <c r="F33">
        <v>2.2000000000000002</v>
      </c>
      <c r="G33">
        <v>0.5</v>
      </c>
      <c r="H33" t="str">
        <v>OK</v>
      </c>
      <c r="J33">
        <f t="shared" si="0"/>
        <v>5021.5</v>
      </c>
      <c r="K33">
        <f>SUMIF(Supply_Clean[Item_Code], B33, Supply_Clean[Available_Supply])</f>
        <v>15970</v>
      </c>
      <c r="L33">
        <f t="shared" si="1"/>
        <v>1</v>
      </c>
      <c r="M33">
        <f t="shared" si="2"/>
        <v>364.1</v>
      </c>
      <c r="N33" t="str">
        <f t="shared" si="3"/>
        <v>SUFICIENTE</v>
      </c>
      <c r="O33">
        <f t="shared" si="4"/>
        <v>0</v>
      </c>
    </row>
    <row r="34" spans="1:15" x14ac:dyDescent="0.45">
      <c r="A34" t="str">
        <v>CD-QRO</v>
      </c>
      <c r="B34" t="str">
        <v>BOT-1005</v>
      </c>
      <c r="C34">
        <v>3055</v>
      </c>
      <c r="D34">
        <v>909.1</v>
      </c>
      <c r="E34">
        <v>206.5</v>
      </c>
      <c r="F34">
        <v>1.9</v>
      </c>
      <c r="G34">
        <v>0.4</v>
      </c>
      <c r="H34" t="str">
        <v>OK</v>
      </c>
      <c r="J34">
        <f t="shared" si="0"/>
        <v>8620.3000000000011</v>
      </c>
      <c r="K34">
        <f>SUMIF(Supply_Clean[Item_Code], B34, Supply_Clean[Available_Supply])</f>
        <v>23903</v>
      </c>
      <c r="L34">
        <f t="shared" si="1"/>
        <v>1</v>
      </c>
      <c r="M34">
        <f t="shared" si="2"/>
        <v>909.1</v>
      </c>
      <c r="N34" t="str">
        <f t="shared" si="3"/>
        <v>SUFICIENTE</v>
      </c>
      <c r="O34">
        <f t="shared" si="4"/>
        <v>0</v>
      </c>
    </row>
    <row r="35" spans="1:15" x14ac:dyDescent="0.45">
      <c r="A35" t="str">
        <v>CD-CAN</v>
      </c>
      <c r="B35" t="str">
        <v>BEB-1004</v>
      </c>
      <c r="C35">
        <v>1168</v>
      </c>
      <c r="D35">
        <v>343.4</v>
      </c>
      <c r="E35">
        <v>43.3</v>
      </c>
      <c r="F35">
        <v>5.7</v>
      </c>
      <c r="G35">
        <v>1.6</v>
      </c>
      <c r="H35" t="str">
        <v>OK</v>
      </c>
      <c r="J35">
        <f t="shared" si="0"/>
        <v>5324.2</v>
      </c>
      <c r="K35">
        <f>SUMIF(Supply_Clean[Item_Code], B35, Supply_Clean[Available_Supply])</f>
        <v>15672</v>
      </c>
      <c r="L35">
        <f t="shared" si="1"/>
        <v>1</v>
      </c>
      <c r="M35">
        <f t="shared" si="2"/>
        <v>343.4</v>
      </c>
      <c r="N35" t="str">
        <f t="shared" si="3"/>
        <v>SUFICIENTE</v>
      </c>
      <c r="O35">
        <f t="shared" si="4"/>
        <v>0</v>
      </c>
    </row>
    <row r="36" spans="1:15" x14ac:dyDescent="0.45">
      <c r="A36" t="str">
        <v>CD-CDMX</v>
      </c>
      <c r="B36" t="str">
        <v>BEB-1007</v>
      </c>
      <c r="C36">
        <v>2143</v>
      </c>
      <c r="D36">
        <v>308.10000000000002</v>
      </c>
      <c r="E36">
        <v>35.700000000000003</v>
      </c>
      <c r="F36">
        <v>1.3</v>
      </c>
      <c r="G36">
        <v>0.2</v>
      </c>
      <c r="H36" t="str">
        <v>OK</v>
      </c>
      <c r="J36">
        <f t="shared" si="0"/>
        <v>5039.5</v>
      </c>
      <c r="K36">
        <f>SUMIF(Supply_Clean[Item_Code], B36, Supply_Clean[Available_Supply])</f>
        <v>12912</v>
      </c>
      <c r="L36">
        <f t="shared" si="1"/>
        <v>1</v>
      </c>
      <c r="M36">
        <f t="shared" si="2"/>
        <v>308.10000000000002</v>
      </c>
      <c r="N36" t="str">
        <f t="shared" si="3"/>
        <v>SUFICIENTE</v>
      </c>
      <c r="O36">
        <f t="shared" si="4"/>
        <v>0</v>
      </c>
    </row>
    <row r="37" spans="1:15" x14ac:dyDescent="0.45">
      <c r="A37" t="str">
        <v>CD-QRO</v>
      </c>
      <c r="B37" t="str">
        <v>ABA-1004</v>
      </c>
      <c r="C37">
        <v>1575</v>
      </c>
      <c r="D37">
        <v>188.3</v>
      </c>
      <c r="E37">
        <v>17.7</v>
      </c>
      <c r="F37">
        <v>1.8</v>
      </c>
      <c r="G37">
        <v>0.4</v>
      </c>
      <c r="H37" t="str">
        <v>OK</v>
      </c>
      <c r="J37">
        <f t="shared" si="0"/>
        <v>5236.7</v>
      </c>
      <c r="K37">
        <f>SUMIF(Supply_Clean[Item_Code], B37, Supply_Clean[Available_Supply])</f>
        <v>10879</v>
      </c>
      <c r="L37">
        <f t="shared" si="1"/>
        <v>1</v>
      </c>
      <c r="M37">
        <f t="shared" si="2"/>
        <v>188.3</v>
      </c>
      <c r="N37" t="str">
        <f t="shared" si="3"/>
        <v>SUFICIENTE</v>
      </c>
      <c r="O37">
        <f t="shared" si="4"/>
        <v>0</v>
      </c>
    </row>
    <row r="38" spans="1:15" x14ac:dyDescent="0.45">
      <c r="A38" t="str">
        <v>CD-SAL</v>
      </c>
      <c r="B38" t="str">
        <v>LAC-1000</v>
      </c>
      <c r="C38">
        <v>0</v>
      </c>
      <c r="D38">
        <v>334.9</v>
      </c>
      <c r="E38">
        <v>99.2</v>
      </c>
      <c r="F38">
        <v>1.7</v>
      </c>
      <c r="G38">
        <v>0.5</v>
      </c>
      <c r="H38">
        <v>0</v>
      </c>
      <c r="J38">
        <f t="shared" si="0"/>
        <v>4987.8</v>
      </c>
      <c r="K38">
        <f>SUMIF(Supply_Clean[Item_Code], B38, Supply_Clean[Available_Supply])</f>
        <v>12568</v>
      </c>
      <c r="L38">
        <f t="shared" si="1"/>
        <v>1</v>
      </c>
      <c r="M38">
        <f t="shared" si="2"/>
        <v>334.9</v>
      </c>
      <c r="N38" t="str">
        <f t="shared" si="3"/>
        <v>SUFICIENTE</v>
      </c>
      <c r="O38">
        <f t="shared" si="4"/>
        <v>0</v>
      </c>
    </row>
    <row r="39" spans="1:15" x14ac:dyDescent="0.45">
      <c r="A39" t="str">
        <v>CD-MTY</v>
      </c>
      <c r="B39" t="str">
        <v>BOT-1003</v>
      </c>
      <c r="C39">
        <v>9638</v>
      </c>
      <c r="D39">
        <v>541.9</v>
      </c>
      <c r="E39">
        <v>88.2</v>
      </c>
      <c r="F39">
        <v>1.1000000000000001</v>
      </c>
      <c r="G39">
        <v>0.3</v>
      </c>
      <c r="H39" t="str">
        <v>OK</v>
      </c>
      <c r="J39">
        <f t="shared" si="0"/>
        <v>8902.7999999999993</v>
      </c>
      <c r="K39">
        <f>SUMIF(Supply_Clean[Item_Code], B39, Supply_Clean[Available_Supply])</f>
        <v>24326</v>
      </c>
      <c r="L39">
        <f t="shared" si="1"/>
        <v>1</v>
      </c>
      <c r="M39">
        <f t="shared" si="2"/>
        <v>541.9</v>
      </c>
      <c r="N39" t="str">
        <f t="shared" si="3"/>
        <v>SUFICIENTE</v>
      </c>
      <c r="O39">
        <f t="shared" si="4"/>
        <v>0</v>
      </c>
    </row>
    <row r="40" spans="1:15" x14ac:dyDescent="0.45">
      <c r="A40" t="str">
        <v>CD-CHI</v>
      </c>
      <c r="B40" t="str">
        <v>LAC-1010</v>
      </c>
      <c r="C40">
        <v>4103</v>
      </c>
      <c r="D40">
        <v>485.8</v>
      </c>
      <c r="E40">
        <v>198.2</v>
      </c>
      <c r="F40">
        <v>2.5</v>
      </c>
      <c r="G40">
        <v>1</v>
      </c>
      <c r="H40" t="str">
        <v>OK</v>
      </c>
      <c r="J40">
        <f t="shared" si="0"/>
        <v>4321.7</v>
      </c>
      <c r="K40">
        <f>SUMIF(Supply_Clean[Item_Code], B40, Supply_Clean[Available_Supply])</f>
        <v>11567</v>
      </c>
      <c r="L40">
        <f t="shared" si="1"/>
        <v>1</v>
      </c>
      <c r="M40">
        <f t="shared" si="2"/>
        <v>485.8</v>
      </c>
      <c r="N40" t="str">
        <f t="shared" si="3"/>
        <v>SUFICIENTE</v>
      </c>
      <c r="O40">
        <f t="shared" si="4"/>
        <v>0</v>
      </c>
    </row>
    <row r="41" spans="1:15" x14ac:dyDescent="0.45">
      <c r="A41" t="str">
        <v>CD-MOR</v>
      </c>
      <c r="B41" t="str">
        <v>BEB-1002</v>
      </c>
      <c r="C41">
        <v>2497</v>
      </c>
      <c r="D41">
        <v>162.4</v>
      </c>
      <c r="E41">
        <v>19.3</v>
      </c>
      <c r="F41">
        <v>1.7</v>
      </c>
      <c r="G41">
        <v>0.5</v>
      </c>
      <c r="H41" t="str">
        <v>OK</v>
      </c>
      <c r="J41">
        <f t="shared" si="0"/>
        <v>6246.8</v>
      </c>
      <c r="K41">
        <f>SUMIF(Supply_Clean[Item_Code], B41, Supply_Clean[Available_Supply])</f>
        <v>13052</v>
      </c>
      <c r="L41">
        <f t="shared" si="1"/>
        <v>1</v>
      </c>
      <c r="M41">
        <f t="shared" si="2"/>
        <v>162.4</v>
      </c>
      <c r="N41" t="str">
        <f t="shared" si="3"/>
        <v>SUFICIENTE</v>
      </c>
      <c r="O41">
        <f t="shared" si="4"/>
        <v>0</v>
      </c>
    </row>
    <row r="42" spans="1:15" x14ac:dyDescent="0.45">
      <c r="A42" t="str">
        <v>CD-CDMX</v>
      </c>
      <c r="B42" t="str">
        <v>LAC-1008</v>
      </c>
      <c r="C42">
        <v>2440</v>
      </c>
      <c r="D42">
        <v>275.39999999999998</v>
      </c>
      <c r="E42">
        <v>102.8</v>
      </c>
      <c r="F42">
        <v>0.6</v>
      </c>
      <c r="G42">
        <v>0.2</v>
      </c>
      <c r="H42" t="str">
        <v>OK</v>
      </c>
      <c r="J42">
        <f t="shared" si="0"/>
        <v>4499.0999999999995</v>
      </c>
      <c r="K42">
        <f>SUMIF(Supply_Clean[Item_Code], B42, Supply_Clean[Available_Supply])</f>
        <v>9543</v>
      </c>
      <c r="L42">
        <f t="shared" si="1"/>
        <v>1</v>
      </c>
      <c r="M42">
        <f t="shared" si="2"/>
        <v>275.39999999999998</v>
      </c>
      <c r="N42" t="str">
        <f t="shared" si="3"/>
        <v>SUFICIENTE</v>
      </c>
      <c r="O42">
        <f t="shared" si="4"/>
        <v>0</v>
      </c>
    </row>
    <row r="43" spans="1:15" x14ac:dyDescent="0.45">
      <c r="A43" t="str">
        <v>CD-QRO</v>
      </c>
      <c r="B43" t="str">
        <v>BOT-1014</v>
      </c>
      <c r="C43">
        <v>1048</v>
      </c>
      <c r="D43">
        <v>360.1</v>
      </c>
      <c r="E43">
        <v>85.6</v>
      </c>
      <c r="F43">
        <v>1.7</v>
      </c>
      <c r="G43">
        <v>0.4</v>
      </c>
      <c r="H43" t="str">
        <v>OK</v>
      </c>
      <c r="J43">
        <f t="shared" si="0"/>
        <v>8056.4000000000005</v>
      </c>
      <c r="K43">
        <f>SUMIF(Supply_Clean[Item_Code], B43, Supply_Clean[Available_Supply])</f>
        <v>14373</v>
      </c>
      <c r="L43">
        <f t="shared" si="1"/>
        <v>1</v>
      </c>
      <c r="M43">
        <f t="shared" si="2"/>
        <v>360.1</v>
      </c>
      <c r="N43" t="str">
        <f t="shared" si="3"/>
        <v>SUFICIENTE</v>
      </c>
      <c r="O43">
        <f t="shared" si="4"/>
        <v>0</v>
      </c>
    </row>
    <row r="44" spans="1:15" x14ac:dyDescent="0.45">
      <c r="A44" t="str">
        <v>CD-GDL</v>
      </c>
      <c r="B44" t="str">
        <v>PRO-1000</v>
      </c>
      <c r="C44">
        <v>3885</v>
      </c>
      <c r="D44">
        <v>394.7</v>
      </c>
      <c r="E44">
        <v>258.3</v>
      </c>
      <c r="F44">
        <v>0.5</v>
      </c>
      <c r="G44">
        <v>0.2</v>
      </c>
      <c r="H44" t="str">
        <v>OK</v>
      </c>
      <c r="J44">
        <f t="shared" si="0"/>
        <v>5872.7</v>
      </c>
      <c r="K44">
        <f>SUMIF(Supply_Clean[Item_Code], B44, Supply_Clean[Available_Supply])</f>
        <v>2915</v>
      </c>
      <c r="L44">
        <f t="shared" si="1"/>
        <v>0.49636453420062326</v>
      </c>
      <c r="M44">
        <f t="shared" si="2"/>
        <v>195.91508164898599</v>
      </c>
      <c r="N44" t="str">
        <f t="shared" si="3"/>
        <v>ESCASEZ</v>
      </c>
      <c r="O44">
        <f t="shared" si="4"/>
        <v>198.784918351014</v>
      </c>
    </row>
    <row r="45" spans="1:15" x14ac:dyDescent="0.45">
      <c r="A45" t="str">
        <v>CD-QRO</v>
      </c>
      <c r="B45" t="str">
        <v>LAC-1008</v>
      </c>
      <c r="C45">
        <v>2600</v>
      </c>
      <c r="D45">
        <v>152.69999999999999</v>
      </c>
      <c r="E45">
        <v>51.4</v>
      </c>
      <c r="F45">
        <v>1.7</v>
      </c>
      <c r="G45">
        <v>0.4</v>
      </c>
      <c r="H45" t="str">
        <v>OK</v>
      </c>
      <c r="J45">
        <f t="shared" si="0"/>
        <v>4499.0999999999995</v>
      </c>
      <c r="K45">
        <f>SUMIF(Supply_Clean[Item_Code], B45, Supply_Clean[Available_Supply])</f>
        <v>9543</v>
      </c>
      <c r="L45">
        <f t="shared" si="1"/>
        <v>1</v>
      </c>
      <c r="M45">
        <f t="shared" si="2"/>
        <v>152.69999999999999</v>
      </c>
      <c r="N45" t="str">
        <f t="shared" si="3"/>
        <v>SUFICIENTE</v>
      </c>
      <c r="O45">
        <f t="shared" si="4"/>
        <v>0</v>
      </c>
    </row>
    <row r="46" spans="1:15" x14ac:dyDescent="0.45">
      <c r="A46" t="str">
        <v>CD-CHI</v>
      </c>
      <c r="B46" t="str">
        <v>BOT-1010</v>
      </c>
      <c r="C46">
        <v>5685</v>
      </c>
      <c r="D46">
        <v>352.1</v>
      </c>
      <c r="E46">
        <v>103.1</v>
      </c>
      <c r="F46">
        <v>4.2</v>
      </c>
      <c r="G46">
        <v>1</v>
      </c>
      <c r="H46" t="str">
        <v>OK</v>
      </c>
      <c r="J46">
        <f t="shared" si="0"/>
        <v>7108.7000000000007</v>
      </c>
      <c r="K46">
        <f>SUMIF(Supply_Clean[Item_Code], B46, Supply_Clean[Available_Supply])</f>
        <v>21582</v>
      </c>
      <c r="L46">
        <f t="shared" si="1"/>
        <v>1</v>
      </c>
      <c r="M46">
        <f t="shared" si="2"/>
        <v>352.1</v>
      </c>
      <c r="N46" t="str">
        <f t="shared" si="3"/>
        <v>SUFICIENTE</v>
      </c>
      <c r="O46">
        <f t="shared" si="4"/>
        <v>0</v>
      </c>
    </row>
    <row r="47" spans="1:15" x14ac:dyDescent="0.45">
      <c r="A47" t="str">
        <v>CD-MER</v>
      </c>
      <c r="B47" t="str">
        <v>BOT-1016</v>
      </c>
      <c r="C47">
        <v>2068</v>
      </c>
      <c r="D47">
        <v>378.2</v>
      </c>
      <c r="E47">
        <v>89.2</v>
      </c>
      <c r="F47">
        <v>1.8</v>
      </c>
      <c r="G47">
        <v>1.3</v>
      </c>
      <c r="H47" t="str">
        <v>OK</v>
      </c>
      <c r="J47">
        <f t="shared" si="0"/>
        <v>9923.6999999999989</v>
      </c>
      <c r="K47">
        <f>SUMIF(Supply_Clean[Item_Code], B47, Supply_Clean[Available_Supply])</f>
        <v>18995</v>
      </c>
      <c r="L47">
        <f t="shared" si="1"/>
        <v>1</v>
      </c>
      <c r="M47">
        <f t="shared" si="2"/>
        <v>378.2</v>
      </c>
      <c r="N47" t="str">
        <f t="shared" si="3"/>
        <v>SUFICIENTE</v>
      </c>
      <c r="O47">
        <f t="shared" si="4"/>
        <v>0</v>
      </c>
    </row>
    <row r="48" spans="1:15" x14ac:dyDescent="0.45">
      <c r="A48" t="str">
        <v>CD-SAL</v>
      </c>
      <c r="B48" t="str">
        <v>BOT-1009</v>
      </c>
      <c r="C48">
        <v>10536</v>
      </c>
      <c r="D48">
        <v>627</v>
      </c>
      <c r="E48">
        <v>160.4</v>
      </c>
      <c r="F48">
        <v>2</v>
      </c>
      <c r="G48">
        <v>0.5</v>
      </c>
      <c r="H48" t="str">
        <v>OK</v>
      </c>
      <c r="J48">
        <f t="shared" si="0"/>
        <v>8135.5</v>
      </c>
      <c r="K48">
        <f>SUMIF(Supply_Clean[Item_Code], B48, Supply_Clean[Available_Supply])</f>
        <v>17475</v>
      </c>
      <c r="L48">
        <f t="shared" si="1"/>
        <v>1</v>
      </c>
      <c r="M48">
        <f t="shared" si="2"/>
        <v>627</v>
      </c>
      <c r="N48" t="str">
        <f t="shared" si="3"/>
        <v>SUFICIENTE</v>
      </c>
      <c r="O48">
        <f t="shared" si="4"/>
        <v>0</v>
      </c>
    </row>
    <row r="49" spans="1:15" x14ac:dyDescent="0.45">
      <c r="A49" t="str">
        <v>CD-CAN</v>
      </c>
      <c r="B49" t="str">
        <v>ABA-1006</v>
      </c>
      <c r="C49">
        <v>6643</v>
      </c>
      <c r="D49">
        <v>463.7</v>
      </c>
      <c r="E49">
        <v>43.5</v>
      </c>
      <c r="F49">
        <v>7.7</v>
      </c>
      <c r="G49">
        <v>1.6</v>
      </c>
      <c r="H49" t="str">
        <v>OK</v>
      </c>
      <c r="J49">
        <f t="shared" si="0"/>
        <v>4882.1000000000004</v>
      </c>
      <c r="K49">
        <f>SUMIF(Supply_Clean[Item_Code], B49, Supply_Clean[Available_Supply])</f>
        <v>15586</v>
      </c>
      <c r="L49">
        <f t="shared" si="1"/>
        <v>1</v>
      </c>
      <c r="M49">
        <f t="shared" si="2"/>
        <v>463.7</v>
      </c>
      <c r="N49" t="str">
        <f t="shared" si="3"/>
        <v>SUFICIENTE</v>
      </c>
      <c r="O49">
        <f t="shared" si="4"/>
        <v>0</v>
      </c>
    </row>
    <row r="50" spans="1:15" x14ac:dyDescent="0.45">
      <c r="A50" t="str">
        <v>CD-MTY</v>
      </c>
      <c r="B50" t="str">
        <v>LAC-1000</v>
      </c>
      <c r="C50">
        <v>3134</v>
      </c>
      <c r="D50">
        <v>370.7</v>
      </c>
      <c r="E50">
        <v>133.6</v>
      </c>
      <c r="F50">
        <v>1.3</v>
      </c>
      <c r="G50">
        <v>0.3</v>
      </c>
      <c r="H50" t="str">
        <v>OK</v>
      </c>
      <c r="J50">
        <f t="shared" si="0"/>
        <v>4987.8</v>
      </c>
      <c r="K50">
        <f>SUMIF(Supply_Clean[Item_Code], B50, Supply_Clean[Available_Supply])</f>
        <v>12568</v>
      </c>
      <c r="L50">
        <f t="shared" si="1"/>
        <v>1</v>
      </c>
      <c r="M50">
        <f t="shared" si="2"/>
        <v>370.7</v>
      </c>
      <c r="N50" t="str">
        <f t="shared" si="3"/>
        <v>SUFICIENTE</v>
      </c>
      <c r="O50">
        <f t="shared" si="4"/>
        <v>0</v>
      </c>
    </row>
    <row r="51" spans="1:15" x14ac:dyDescent="0.45">
      <c r="A51" t="str">
        <v>CD-VER</v>
      </c>
      <c r="B51" t="str">
        <v>PRO-1011</v>
      </c>
      <c r="C51">
        <v>850</v>
      </c>
      <c r="D51">
        <v>632</v>
      </c>
      <c r="E51">
        <v>425.7</v>
      </c>
      <c r="F51">
        <v>4.2</v>
      </c>
      <c r="G51">
        <v>0.9</v>
      </c>
      <c r="H51" t="str">
        <v>OK</v>
      </c>
      <c r="J51">
        <f t="shared" si="0"/>
        <v>5674.6999999999989</v>
      </c>
      <c r="K51">
        <f>SUMIF(Supply_Clean[Item_Code], B51, Supply_Clean[Available_Supply])</f>
        <v>14178</v>
      </c>
      <c r="L51">
        <f t="shared" si="1"/>
        <v>1</v>
      </c>
      <c r="M51">
        <f t="shared" si="2"/>
        <v>632</v>
      </c>
      <c r="N51" t="str">
        <f t="shared" si="3"/>
        <v>SUFICIENTE</v>
      </c>
      <c r="O51">
        <f t="shared" si="4"/>
        <v>0</v>
      </c>
    </row>
    <row r="52" spans="1:15" x14ac:dyDescent="0.45">
      <c r="A52" t="str">
        <v>CD-LEO</v>
      </c>
      <c r="B52" t="str">
        <v>ABA-1011</v>
      </c>
      <c r="C52">
        <v>1658</v>
      </c>
      <c r="D52">
        <v>185.9</v>
      </c>
      <c r="E52">
        <v>19.600000000000001</v>
      </c>
      <c r="F52">
        <v>2.1</v>
      </c>
      <c r="G52">
        <v>0.6</v>
      </c>
      <c r="H52" t="str">
        <v>OK</v>
      </c>
      <c r="J52">
        <f t="shared" si="0"/>
        <v>4892.0999999999995</v>
      </c>
      <c r="K52">
        <f>SUMIF(Supply_Clean[Item_Code], B52, Supply_Clean[Available_Supply])</f>
        <v>9079</v>
      </c>
      <c r="L52">
        <f t="shared" si="1"/>
        <v>1</v>
      </c>
      <c r="M52">
        <f t="shared" si="2"/>
        <v>185.9</v>
      </c>
      <c r="N52" t="str">
        <f t="shared" si="3"/>
        <v>SUFICIENTE</v>
      </c>
      <c r="O52">
        <f t="shared" si="4"/>
        <v>0</v>
      </c>
    </row>
    <row r="53" spans="1:15" x14ac:dyDescent="0.45">
      <c r="A53" t="str">
        <v>CD-PUE</v>
      </c>
      <c r="B53" t="str">
        <v>ABA-1001</v>
      </c>
      <c r="C53">
        <v>1340</v>
      </c>
      <c r="D53">
        <v>531.6</v>
      </c>
      <c r="E53">
        <v>62.3</v>
      </c>
      <c r="F53">
        <v>0.9</v>
      </c>
      <c r="G53">
        <v>0.3</v>
      </c>
      <c r="H53" t="str">
        <v>OK</v>
      </c>
      <c r="J53">
        <f t="shared" si="0"/>
        <v>4698.6999999999989</v>
      </c>
      <c r="K53">
        <f>SUMIF(Supply_Clean[Item_Code], B53, Supply_Clean[Available_Supply])</f>
        <v>8775</v>
      </c>
      <c r="L53">
        <f t="shared" si="1"/>
        <v>1</v>
      </c>
      <c r="M53">
        <f t="shared" si="2"/>
        <v>531.6</v>
      </c>
      <c r="N53" t="str">
        <f t="shared" si="3"/>
        <v>SUFICIENTE</v>
      </c>
      <c r="O53">
        <f t="shared" si="4"/>
        <v>0</v>
      </c>
    </row>
    <row r="54" spans="1:15" x14ac:dyDescent="0.45">
      <c r="A54" t="str">
        <v>CD-CAN</v>
      </c>
      <c r="B54" t="str">
        <v>ABA-1007</v>
      </c>
      <c r="C54">
        <v>3786</v>
      </c>
      <c r="D54">
        <v>300.2</v>
      </c>
      <c r="E54">
        <v>44.5</v>
      </c>
      <c r="F54">
        <v>4.9000000000000004</v>
      </c>
      <c r="G54">
        <v>1.6</v>
      </c>
      <c r="H54" t="str">
        <v>OK</v>
      </c>
      <c r="J54">
        <f t="shared" si="0"/>
        <v>4867.3</v>
      </c>
      <c r="K54">
        <f>SUMIF(Supply_Clean[Item_Code], B54, Supply_Clean[Available_Supply])</f>
        <v>13182</v>
      </c>
      <c r="L54">
        <f t="shared" si="1"/>
        <v>1</v>
      </c>
      <c r="M54">
        <f t="shared" si="2"/>
        <v>300.2</v>
      </c>
      <c r="N54" t="str">
        <f t="shared" si="3"/>
        <v>SUFICIENTE</v>
      </c>
      <c r="O54">
        <f t="shared" si="4"/>
        <v>0</v>
      </c>
    </row>
    <row r="55" spans="1:15" x14ac:dyDescent="0.45">
      <c r="A55" t="str">
        <v>CD-TIJ</v>
      </c>
      <c r="B55" t="str">
        <v>LAC-1006</v>
      </c>
      <c r="C55">
        <v>1644</v>
      </c>
      <c r="D55">
        <v>159.9</v>
      </c>
      <c r="E55">
        <v>40.5</v>
      </c>
      <c r="F55">
        <v>6.5</v>
      </c>
      <c r="G55">
        <v>1.5</v>
      </c>
      <c r="H55" t="str">
        <v>OK</v>
      </c>
      <c r="J55">
        <f t="shared" si="0"/>
        <v>4338.7</v>
      </c>
      <c r="K55">
        <f>SUMIF(Supply_Clean[Item_Code], B55, Supply_Clean[Available_Supply])</f>
        <v>10670</v>
      </c>
      <c r="L55">
        <f t="shared" si="1"/>
        <v>1</v>
      </c>
      <c r="M55">
        <f t="shared" si="2"/>
        <v>159.9</v>
      </c>
      <c r="N55" t="str">
        <f t="shared" si="3"/>
        <v>SUFICIENTE</v>
      </c>
      <c r="O55">
        <f t="shared" si="4"/>
        <v>0</v>
      </c>
    </row>
    <row r="56" spans="1:15" x14ac:dyDescent="0.45">
      <c r="A56" t="str">
        <v>CD-QRO</v>
      </c>
      <c r="B56" t="str">
        <v>LAC-1010</v>
      </c>
      <c r="C56">
        <v>5387</v>
      </c>
      <c r="D56">
        <v>315.89999999999998</v>
      </c>
      <c r="E56">
        <v>131.30000000000001</v>
      </c>
      <c r="F56">
        <v>1.7</v>
      </c>
      <c r="G56">
        <v>0.4</v>
      </c>
      <c r="H56" t="str">
        <v>OK</v>
      </c>
      <c r="J56">
        <f t="shared" si="0"/>
        <v>4321.7</v>
      </c>
      <c r="K56">
        <f>SUMIF(Supply_Clean[Item_Code], B56, Supply_Clean[Available_Supply])</f>
        <v>11567</v>
      </c>
      <c r="L56">
        <f t="shared" si="1"/>
        <v>1</v>
      </c>
      <c r="M56">
        <f t="shared" si="2"/>
        <v>315.89999999999998</v>
      </c>
      <c r="N56" t="str">
        <f t="shared" si="3"/>
        <v>SUFICIENTE</v>
      </c>
      <c r="O56">
        <f t="shared" si="4"/>
        <v>0</v>
      </c>
    </row>
    <row r="57" spans="1:15" x14ac:dyDescent="0.45">
      <c r="A57" t="str">
        <v>CD-GDL</v>
      </c>
      <c r="B57" t="str">
        <v>BEB-1021</v>
      </c>
      <c r="C57">
        <v>0</v>
      </c>
      <c r="D57">
        <v>414.7</v>
      </c>
      <c r="E57">
        <v>49.3</v>
      </c>
      <c r="F57">
        <v>1.1000000000000001</v>
      </c>
      <c r="G57">
        <v>0.2</v>
      </c>
      <c r="H57">
        <v>0</v>
      </c>
      <c r="J57">
        <f t="shared" si="0"/>
        <v>5254.7999999999993</v>
      </c>
      <c r="K57">
        <f>SUMIF(Supply_Clean[Item_Code], B57, Supply_Clean[Available_Supply])</f>
        <v>13235</v>
      </c>
      <c r="L57">
        <f t="shared" si="1"/>
        <v>1</v>
      </c>
      <c r="M57">
        <f t="shared" si="2"/>
        <v>414.7</v>
      </c>
      <c r="N57" t="str">
        <f t="shared" si="3"/>
        <v>SUFICIENTE</v>
      </c>
      <c r="O57">
        <f t="shared" si="4"/>
        <v>0</v>
      </c>
    </row>
    <row r="58" spans="1:15" x14ac:dyDescent="0.45">
      <c r="A58" t="str">
        <v>CD-MER</v>
      </c>
      <c r="B58" t="str">
        <v>BEB-1020</v>
      </c>
      <c r="C58">
        <v>3654</v>
      </c>
      <c r="D58">
        <v>468.4</v>
      </c>
      <c r="E58">
        <v>83.8</v>
      </c>
      <c r="F58">
        <v>1.5</v>
      </c>
      <c r="G58">
        <v>1.3</v>
      </c>
      <c r="H58" t="str">
        <v>OK</v>
      </c>
      <c r="J58">
        <f t="shared" si="0"/>
        <v>6114.4000000000005</v>
      </c>
      <c r="K58">
        <f>SUMIF(Supply_Clean[Item_Code], B58, Supply_Clean[Available_Supply])</f>
        <v>16621</v>
      </c>
      <c r="L58">
        <f t="shared" si="1"/>
        <v>1</v>
      </c>
      <c r="M58">
        <f t="shared" si="2"/>
        <v>468.4</v>
      </c>
      <c r="N58" t="str">
        <f t="shared" si="3"/>
        <v>SUFICIENTE</v>
      </c>
      <c r="O58">
        <f t="shared" si="4"/>
        <v>0</v>
      </c>
    </row>
    <row r="59" spans="1:15" x14ac:dyDescent="0.45">
      <c r="A59" t="str">
        <v>CD-MER</v>
      </c>
      <c r="B59" t="str">
        <v>PRO-1000</v>
      </c>
      <c r="C59">
        <v>2172</v>
      </c>
      <c r="D59">
        <v>170.9</v>
      </c>
      <c r="E59">
        <v>106.9</v>
      </c>
      <c r="F59">
        <v>5.0999999999999996</v>
      </c>
      <c r="G59">
        <v>1.3</v>
      </c>
      <c r="H59" t="str">
        <v>OK</v>
      </c>
      <c r="J59">
        <f t="shared" si="0"/>
        <v>5872.7</v>
      </c>
      <c r="K59">
        <f>SUMIF(Supply_Clean[Item_Code], B59, Supply_Clean[Available_Supply])</f>
        <v>2915</v>
      </c>
      <c r="L59">
        <f t="shared" si="1"/>
        <v>0.49636453420062326</v>
      </c>
      <c r="M59">
        <f t="shared" si="2"/>
        <v>84.828698894886514</v>
      </c>
      <c r="N59" t="str">
        <f t="shared" si="3"/>
        <v>ESCASEZ</v>
      </c>
      <c r="O59">
        <f t="shared" si="4"/>
        <v>86.071301105113491</v>
      </c>
    </row>
    <row r="60" spans="1:15" x14ac:dyDescent="0.45">
      <c r="A60" t="str">
        <v>CD-HER</v>
      </c>
      <c r="B60" t="str">
        <v>BEB-1009</v>
      </c>
      <c r="C60">
        <v>2699</v>
      </c>
      <c r="D60">
        <v>196</v>
      </c>
      <c r="E60">
        <v>31.3</v>
      </c>
      <c r="F60">
        <v>2.9</v>
      </c>
      <c r="G60">
        <v>1.2</v>
      </c>
      <c r="H60" t="str">
        <v>OK</v>
      </c>
      <c r="J60">
        <f t="shared" si="0"/>
        <v>6226.9000000000005</v>
      </c>
      <c r="K60">
        <f>SUMIF(Supply_Clean[Item_Code], B60, Supply_Clean[Available_Supply])</f>
        <v>10475</v>
      </c>
      <c r="L60">
        <f t="shared" si="1"/>
        <v>1</v>
      </c>
      <c r="M60">
        <f t="shared" si="2"/>
        <v>196</v>
      </c>
      <c r="N60" t="str">
        <f t="shared" si="3"/>
        <v>SUFICIENTE</v>
      </c>
      <c r="O60">
        <f t="shared" si="4"/>
        <v>0</v>
      </c>
    </row>
    <row r="61" spans="1:15" x14ac:dyDescent="0.45">
      <c r="A61" t="str">
        <v>CD-CDMX</v>
      </c>
      <c r="B61" t="str">
        <v>ABA-1001</v>
      </c>
      <c r="C61">
        <v>1154</v>
      </c>
      <c r="D61">
        <v>362.4</v>
      </c>
      <c r="E61">
        <v>45.4</v>
      </c>
      <c r="F61">
        <v>1.2</v>
      </c>
      <c r="G61">
        <v>0.2</v>
      </c>
      <c r="H61" t="str">
        <v>OK</v>
      </c>
      <c r="J61">
        <f t="shared" si="0"/>
        <v>4698.6999999999989</v>
      </c>
      <c r="K61">
        <f>SUMIF(Supply_Clean[Item_Code], B61, Supply_Clean[Available_Supply])</f>
        <v>8775</v>
      </c>
      <c r="L61">
        <f t="shared" si="1"/>
        <v>1</v>
      </c>
      <c r="M61">
        <f t="shared" si="2"/>
        <v>362.4</v>
      </c>
      <c r="N61" t="str">
        <f t="shared" si="3"/>
        <v>SUFICIENTE</v>
      </c>
      <c r="O61">
        <f t="shared" si="4"/>
        <v>0</v>
      </c>
    </row>
    <row r="62" spans="1:15" x14ac:dyDescent="0.45">
      <c r="A62" t="str">
        <v>CD-QRO</v>
      </c>
      <c r="B62" t="str">
        <v>BEB-1017</v>
      </c>
      <c r="C62">
        <v>0</v>
      </c>
      <c r="D62">
        <v>349.7</v>
      </c>
      <c r="E62">
        <v>68.7</v>
      </c>
      <c r="F62">
        <v>1.1000000000000001</v>
      </c>
      <c r="G62">
        <v>0.4</v>
      </c>
      <c r="H62">
        <v>0</v>
      </c>
      <c r="J62">
        <f t="shared" si="0"/>
        <v>6231.7000000000007</v>
      </c>
      <c r="K62">
        <f>SUMIF(Supply_Clean[Item_Code], B62, Supply_Clean[Available_Supply])</f>
        <v>18257</v>
      </c>
      <c r="L62">
        <f t="shared" si="1"/>
        <v>1</v>
      </c>
      <c r="M62">
        <f t="shared" si="2"/>
        <v>349.7</v>
      </c>
      <c r="N62" t="str">
        <f t="shared" si="3"/>
        <v>SUFICIENTE</v>
      </c>
      <c r="O62">
        <f t="shared" si="4"/>
        <v>0</v>
      </c>
    </row>
    <row r="63" spans="1:15" x14ac:dyDescent="0.45">
      <c r="A63" t="str">
        <v>CD-TIJ</v>
      </c>
      <c r="B63" t="str">
        <v>ABA-1007</v>
      </c>
      <c r="C63">
        <v>0</v>
      </c>
      <c r="D63">
        <v>336.6</v>
      </c>
      <c r="E63">
        <v>38.200000000000003</v>
      </c>
      <c r="F63">
        <v>5.9</v>
      </c>
      <c r="G63">
        <v>1.5</v>
      </c>
      <c r="H63">
        <v>0</v>
      </c>
      <c r="J63">
        <f t="shared" si="0"/>
        <v>4867.3</v>
      </c>
      <c r="K63">
        <f>SUMIF(Supply_Clean[Item_Code], B63, Supply_Clean[Available_Supply])</f>
        <v>13182</v>
      </c>
      <c r="L63">
        <f t="shared" si="1"/>
        <v>1</v>
      </c>
      <c r="M63">
        <f t="shared" si="2"/>
        <v>336.6</v>
      </c>
      <c r="N63" t="str">
        <f t="shared" si="3"/>
        <v>SUFICIENTE</v>
      </c>
      <c r="O63">
        <f t="shared" si="4"/>
        <v>0</v>
      </c>
    </row>
    <row r="64" spans="1:15" x14ac:dyDescent="0.45">
      <c r="A64" t="str">
        <v>CD-MER</v>
      </c>
      <c r="B64" t="str">
        <v>LAC-1001</v>
      </c>
      <c r="C64">
        <v>2390</v>
      </c>
      <c r="D64">
        <v>265.8</v>
      </c>
      <c r="E64">
        <v>95</v>
      </c>
      <c r="F64">
        <v>6.3</v>
      </c>
      <c r="G64">
        <v>1.3</v>
      </c>
      <c r="H64" t="str">
        <v>OK</v>
      </c>
      <c r="J64">
        <f t="shared" si="0"/>
        <v>3660.9999999999991</v>
      </c>
      <c r="K64">
        <f>SUMIF(Supply_Clean[Item_Code], B64, Supply_Clean[Available_Supply])</f>
        <v>9945</v>
      </c>
      <c r="L64">
        <f t="shared" si="1"/>
        <v>1</v>
      </c>
      <c r="M64">
        <f t="shared" si="2"/>
        <v>265.8</v>
      </c>
      <c r="N64" t="str">
        <f t="shared" si="3"/>
        <v>SUFICIENTE</v>
      </c>
      <c r="O64">
        <f t="shared" si="4"/>
        <v>0</v>
      </c>
    </row>
    <row r="65" spans="1:15" x14ac:dyDescent="0.45">
      <c r="A65" t="str">
        <v>CD-CAN</v>
      </c>
      <c r="B65" t="str">
        <v>LAC-1010</v>
      </c>
      <c r="C65">
        <v>1363</v>
      </c>
      <c r="D65">
        <v>363.8</v>
      </c>
      <c r="E65">
        <v>116.7</v>
      </c>
      <c r="F65">
        <v>2.9</v>
      </c>
      <c r="G65">
        <v>1.6</v>
      </c>
      <c r="H65" t="str">
        <v>OK</v>
      </c>
      <c r="J65">
        <f t="shared" si="0"/>
        <v>4321.7</v>
      </c>
      <c r="K65">
        <f>SUMIF(Supply_Clean[Item_Code], B65, Supply_Clean[Available_Supply])</f>
        <v>11567</v>
      </c>
      <c r="L65">
        <f t="shared" si="1"/>
        <v>1</v>
      </c>
      <c r="M65">
        <f t="shared" si="2"/>
        <v>363.8</v>
      </c>
      <c r="N65" t="str">
        <f t="shared" si="3"/>
        <v>SUFICIENTE</v>
      </c>
      <c r="O65">
        <f t="shared" si="4"/>
        <v>0</v>
      </c>
    </row>
    <row r="66" spans="1:15" x14ac:dyDescent="0.45">
      <c r="A66" t="str">
        <v>CD-LEO</v>
      </c>
      <c r="B66" t="str">
        <v>BEB-1009</v>
      </c>
      <c r="C66">
        <v>3354</v>
      </c>
      <c r="D66">
        <v>379.3</v>
      </c>
      <c r="E66">
        <v>69.3</v>
      </c>
      <c r="F66">
        <v>1.8</v>
      </c>
      <c r="G66">
        <v>0.6</v>
      </c>
      <c r="H66" t="str">
        <v>OK</v>
      </c>
      <c r="J66">
        <f t="shared" si="0"/>
        <v>6226.9000000000005</v>
      </c>
      <c r="K66">
        <f>SUMIF(Supply_Clean[Item_Code], B66, Supply_Clean[Available_Supply])</f>
        <v>10475</v>
      </c>
      <c r="L66">
        <f t="shared" si="1"/>
        <v>1</v>
      </c>
      <c r="M66">
        <f t="shared" si="2"/>
        <v>379.3</v>
      </c>
      <c r="N66" t="str">
        <f t="shared" si="3"/>
        <v>SUFICIENTE</v>
      </c>
      <c r="O66">
        <f t="shared" si="4"/>
        <v>0</v>
      </c>
    </row>
    <row r="67" spans="1:15" x14ac:dyDescent="0.45">
      <c r="A67" t="str">
        <v>CD-HER</v>
      </c>
      <c r="B67" t="str">
        <v>BEB-1015</v>
      </c>
      <c r="C67">
        <v>448</v>
      </c>
      <c r="D67">
        <v>324.3</v>
      </c>
      <c r="E67">
        <v>47.3</v>
      </c>
      <c r="F67">
        <v>3.8</v>
      </c>
      <c r="G67">
        <v>1.2</v>
      </c>
      <c r="H67" t="str">
        <v>OK</v>
      </c>
      <c r="J67">
        <f t="shared" ref="J67:J130" si="5">SUMIF($B$2:$B$1501, B67, $D$2:$D$1501)</f>
        <v>5073.0999999999995</v>
      </c>
      <c r="K67">
        <f>SUMIF(Supply_Clean[Item_Code], B67, Supply_Clean[Available_Supply])</f>
        <v>14801</v>
      </c>
      <c r="L67">
        <f t="shared" ref="L67:L130" si="6">IFERROR(MIN(1, K67/J67), "")</f>
        <v>1</v>
      </c>
      <c r="M67">
        <f t="shared" ref="M67:M130" si="7">IFERROR(D67*L67, "")</f>
        <v>324.3</v>
      </c>
      <c r="N67" t="str">
        <f t="shared" ref="N67:N130" si="8">IF(L67&lt;1, "ESCASEZ", "SUFICIENTE")</f>
        <v>SUFICIENTE</v>
      </c>
      <c r="O67">
        <f t="shared" ref="O67:O130" si="9">IF(N67="ESCASEZ", D67-M67, 0)</f>
        <v>0</v>
      </c>
    </row>
    <row r="68" spans="1:15" x14ac:dyDescent="0.45">
      <c r="A68" t="str">
        <v>CD-TOL</v>
      </c>
      <c r="B68" t="str">
        <v>PRO-1007</v>
      </c>
      <c r="C68">
        <v>1903</v>
      </c>
      <c r="D68">
        <v>0</v>
      </c>
      <c r="E68">
        <v>319.60000000000002</v>
      </c>
      <c r="F68">
        <v>2</v>
      </c>
      <c r="G68">
        <v>0.5</v>
      </c>
      <c r="H68" t="str">
        <v>OK</v>
      </c>
      <c r="J68">
        <f t="shared" si="5"/>
        <v>5354.8</v>
      </c>
      <c r="K68">
        <f>SUMIF(Supply_Clean[Item_Code], B68, Supply_Clean[Available_Supply])</f>
        <v>10360</v>
      </c>
      <c r="L68">
        <f t="shared" si="6"/>
        <v>1</v>
      </c>
      <c r="M68">
        <f t="shared" si="7"/>
        <v>0</v>
      </c>
      <c r="N68" t="str">
        <f t="shared" si="8"/>
        <v>SUFICIENTE</v>
      </c>
      <c r="O68">
        <f t="shared" si="9"/>
        <v>0</v>
      </c>
    </row>
    <row r="69" spans="1:15" x14ac:dyDescent="0.45">
      <c r="A69" t="str">
        <v>CD-MOR</v>
      </c>
      <c r="B69" t="str">
        <v>LAC-1014</v>
      </c>
      <c r="C69">
        <v>736</v>
      </c>
      <c r="D69">
        <v>255.2</v>
      </c>
      <c r="E69">
        <v>112.2</v>
      </c>
      <c r="F69">
        <v>2.4</v>
      </c>
      <c r="G69">
        <v>0.5</v>
      </c>
      <c r="H69" t="str">
        <v>OK</v>
      </c>
      <c r="J69">
        <f t="shared" si="5"/>
        <v>4121.5</v>
      </c>
      <c r="K69">
        <f>SUMIF(Supply_Clean[Item_Code], B69, Supply_Clean[Available_Supply])</f>
        <v>8260</v>
      </c>
      <c r="L69">
        <f t="shared" si="6"/>
        <v>1</v>
      </c>
      <c r="M69">
        <f t="shared" si="7"/>
        <v>255.2</v>
      </c>
      <c r="N69" t="str">
        <f t="shared" si="8"/>
        <v>SUFICIENTE</v>
      </c>
      <c r="O69">
        <f t="shared" si="9"/>
        <v>0</v>
      </c>
    </row>
    <row r="70" spans="1:15" x14ac:dyDescent="0.45">
      <c r="A70" t="str">
        <v>CD-HER</v>
      </c>
      <c r="B70" t="str">
        <v>ABA-1006</v>
      </c>
      <c r="C70">
        <v>343</v>
      </c>
      <c r="D70">
        <v>257.89999999999998</v>
      </c>
      <c r="E70">
        <v>22.5</v>
      </c>
      <c r="F70">
        <v>3.7</v>
      </c>
      <c r="G70">
        <v>1.2</v>
      </c>
      <c r="H70" t="str">
        <v>OK</v>
      </c>
      <c r="J70">
        <f t="shared" si="5"/>
        <v>4882.1000000000004</v>
      </c>
      <c r="K70">
        <f>SUMIF(Supply_Clean[Item_Code], B70, Supply_Clean[Available_Supply])</f>
        <v>15586</v>
      </c>
      <c r="L70">
        <f t="shared" si="6"/>
        <v>1</v>
      </c>
      <c r="M70">
        <f t="shared" si="7"/>
        <v>257.89999999999998</v>
      </c>
      <c r="N70" t="str">
        <f t="shared" si="8"/>
        <v>SUFICIENTE</v>
      </c>
      <c r="O70">
        <f t="shared" si="9"/>
        <v>0</v>
      </c>
    </row>
    <row r="71" spans="1:15" x14ac:dyDescent="0.45">
      <c r="A71" t="str">
        <v>CD-QRO</v>
      </c>
      <c r="B71" t="str">
        <v>ABA-1011</v>
      </c>
      <c r="C71">
        <v>2361</v>
      </c>
      <c r="D71">
        <v>551.6</v>
      </c>
      <c r="E71">
        <v>80.8</v>
      </c>
      <c r="F71">
        <v>2</v>
      </c>
      <c r="G71">
        <v>0.4</v>
      </c>
      <c r="H71" t="str">
        <v>OK</v>
      </c>
      <c r="J71">
        <f t="shared" si="5"/>
        <v>4892.0999999999995</v>
      </c>
      <c r="K71">
        <f>SUMIF(Supply_Clean[Item_Code], B71, Supply_Clean[Available_Supply])</f>
        <v>9079</v>
      </c>
      <c r="L71">
        <f t="shared" si="6"/>
        <v>1</v>
      </c>
      <c r="M71">
        <f t="shared" si="7"/>
        <v>551.6</v>
      </c>
      <c r="N71" t="str">
        <f t="shared" si="8"/>
        <v>SUFICIENTE</v>
      </c>
      <c r="O71">
        <f t="shared" si="9"/>
        <v>0</v>
      </c>
    </row>
    <row r="72" spans="1:15" x14ac:dyDescent="0.45">
      <c r="A72" t="str">
        <v>CD-CHI</v>
      </c>
      <c r="B72" t="str">
        <v>ABA-1013</v>
      </c>
      <c r="C72">
        <v>5718</v>
      </c>
      <c r="D72">
        <v>483.7</v>
      </c>
      <c r="E72">
        <v>60.3</v>
      </c>
      <c r="F72">
        <v>3.9</v>
      </c>
      <c r="G72">
        <v>1</v>
      </c>
      <c r="H72" t="str">
        <v>OK</v>
      </c>
      <c r="J72">
        <f t="shared" si="5"/>
        <v>4213.8999999999996</v>
      </c>
      <c r="K72">
        <f>SUMIF(Supply_Clean[Item_Code], B72, Supply_Clean[Available_Supply])</f>
        <v>2568</v>
      </c>
      <c r="L72">
        <f t="shared" si="6"/>
        <v>0.60941170886826934</v>
      </c>
      <c r="M72">
        <f t="shared" si="7"/>
        <v>294.77244357958187</v>
      </c>
      <c r="N72" t="str">
        <f t="shared" si="8"/>
        <v>ESCASEZ</v>
      </c>
      <c r="O72">
        <f t="shared" si="9"/>
        <v>188.92755642041811</v>
      </c>
    </row>
    <row r="73" spans="1:15" x14ac:dyDescent="0.45">
      <c r="A73" t="str">
        <v>CD-MOR</v>
      </c>
      <c r="B73" t="str">
        <v>BEB-1016</v>
      </c>
      <c r="C73">
        <v>2292</v>
      </c>
      <c r="D73">
        <v>478.5</v>
      </c>
      <c r="E73">
        <v>75.5</v>
      </c>
      <c r="F73">
        <v>2.1</v>
      </c>
      <c r="G73">
        <v>0.5</v>
      </c>
      <c r="H73" t="str">
        <v>OK</v>
      </c>
      <c r="J73">
        <f t="shared" si="5"/>
        <v>5569.2000000000007</v>
      </c>
      <c r="K73">
        <f>SUMIF(Supply_Clean[Item_Code], B73, Supply_Clean[Available_Supply])</f>
        <v>14537</v>
      </c>
      <c r="L73">
        <f t="shared" si="6"/>
        <v>1</v>
      </c>
      <c r="M73">
        <f t="shared" si="7"/>
        <v>478.5</v>
      </c>
      <c r="N73" t="str">
        <f t="shared" si="8"/>
        <v>SUFICIENTE</v>
      </c>
      <c r="O73">
        <f t="shared" si="9"/>
        <v>0</v>
      </c>
    </row>
    <row r="74" spans="1:15" x14ac:dyDescent="0.45">
      <c r="A74" t="str">
        <v>CD-TIJ</v>
      </c>
      <c r="B74" t="str">
        <v>BEB-1016</v>
      </c>
      <c r="C74">
        <v>0</v>
      </c>
      <c r="D74">
        <v>565.9</v>
      </c>
      <c r="E74">
        <v>57.7</v>
      </c>
      <c r="F74">
        <v>7.9</v>
      </c>
      <c r="G74">
        <v>1.5</v>
      </c>
      <c r="H74">
        <v>0</v>
      </c>
      <c r="J74">
        <f t="shared" si="5"/>
        <v>5569.2000000000007</v>
      </c>
      <c r="K74">
        <f>SUMIF(Supply_Clean[Item_Code], B74, Supply_Clean[Available_Supply])</f>
        <v>14537</v>
      </c>
      <c r="L74">
        <f t="shared" si="6"/>
        <v>1</v>
      </c>
      <c r="M74">
        <f t="shared" si="7"/>
        <v>565.9</v>
      </c>
      <c r="N74" t="str">
        <f t="shared" si="8"/>
        <v>SUFICIENTE</v>
      </c>
      <c r="O74">
        <f t="shared" si="9"/>
        <v>0</v>
      </c>
    </row>
    <row r="75" spans="1:15" x14ac:dyDescent="0.45">
      <c r="A75" t="str">
        <v>CD-MOR</v>
      </c>
      <c r="B75" t="str">
        <v>PRO-1007</v>
      </c>
      <c r="C75">
        <v>2826</v>
      </c>
      <c r="D75">
        <v>271.89999999999998</v>
      </c>
      <c r="E75">
        <v>163.1</v>
      </c>
      <c r="F75">
        <v>2.9</v>
      </c>
      <c r="G75">
        <v>0.5</v>
      </c>
      <c r="H75" t="str">
        <v>OK</v>
      </c>
      <c r="J75">
        <f t="shared" si="5"/>
        <v>5354.8</v>
      </c>
      <c r="K75">
        <f>SUMIF(Supply_Clean[Item_Code], B75, Supply_Clean[Available_Supply])</f>
        <v>10360</v>
      </c>
      <c r="L75">
        <f t="shared" si="6"/>
        <v>1</v>
      </c>
      <c r="M75">
        <f t="shared" si="7"/>
        <v>271.89999999999998</v>
      </c>
      <c r="N75" t="str">
        <f t="shared" si="8"/>
        <v>SUFICIENTE</v>
      </c>
      <c r="O75">
        <f t="shared" si="9"/>
        <v>0</v>
      </c>
    </row>
    <row r="76" spans="1:15" x14ac:dyDescent="0.45">
      <c r="A76" t="str">
        <v>CD-CHI</v>
      </c>
      <c r="B76" t="str">
        <v>BEB-1011</v>
      </c>
      <c r="C76">
        <v>4046</v>
      </c>
      <c r="D76">
        <v>444.7</v>
      </c>
      <c r="E76">
        <v>74.400000000000006</v>
      </c>
      <c r="F76">
        <v>3.6</v>
      </c>
      <c r="G76">
        <v>1</v>
      </c>
      <c r="H76" t="str">
        <v>OK</v>
      </c>
      <c r="J76">
        <f t="shared" si="5"/>
        <v>5454.4999999999991</v>
      </c>
      <c r="K76">
        <f>SUMIF(Supply_Clean[Item_Code], B76, Supply_Clean[Available_Supply])</f>
        <v>13720</v>
      </c>
      <c r="L76">
        <f t="shared" si="6"/>
        <v>1</v>
      </c>
      <c r="M76">
        <f t="shared" si="7"/>
        <v>444.7</v>
      </c>
      <c r="N76" t="str">
        <f t="shared" si="8"/>
        <v>SUFICIENTE</v>
      </c>
      <c r="O76">
        <f t="shared" si="9"/>
        <v>0</v>
      </c>
    </row>
    <row r="77" spans="1:15" x14ac:dyDescent="0.45">
      <c r="A77" t="str">
        <v>CD-HER</v>
      </c>
      <c r="B77" t="str">
        <v>BOT-1010</v>
      </c>
      <c r="C77">
        <v>351</v>
      </c>
      <c r="D77">
        <v>359.9</v>
      </c>
      <c r="E77">
        <v>62.9</v>
      </c>
      <c r="F77">
        <v>5.4</v>
      </c>
      <c r="G77">
        <v>1.2</v>
      </c>
      <c r="H77" t="str">
        <v>OK</v>
      </c>
      <c r="J77">
        <f t="shared" si="5"/>
        <v>7108.7000000000007</v>
      </c>
      <c r="K77">
        <f>SUMIF(Supply_Clean[Item_Code], B77, Supply_Clean[Available_Supply])</f>
        <v>21582</v>
      </c>
      <c r="L77">
        <f t="shared" si="6"/>
        <v>1</v>
      </c>
      <c r="M77">
        <f t="shared" si="7"/>
        <v>359.9</v>
      </c>
      <c r="N77" t="str">
        <f t="shared" si="8"/>
        <v>SUFICIENTE</v>
      </c>
      <c r="O77">
        <f t="shared" si="9"/>
        <v>0</v>
      </c>
    </row>
    <row r="78" spans="1:15" x14ac:dyDescent="0.45">
      <c r="A78" t="str">
        <v>CD-MTY</v>
      </c>
      <c r="B78" t="str">
        <v>BOT-1015</v>
      </c>
      <c r="C78">
        <v>856</v>
      </c>
      <c r="D78">
        <v>566.9</v>
      </c>
      <c r="E78">
        <v>162.5</v>
      </c>
      <c r="F78">
        <v>1.1000000000000001</v>
      </c>
      <c r="G78">
        <v>0.3</v>
      </c>
      <c r="H78" t="str">
        <v>OK</v>
      </c>
      <c r="J78">
        <f t="shared" si="5"/>
        <v>8666.4</v>
      </c>
      <c r="K78">
        <f>SUMIF(Supply_Clean[Item_Code], B78, Supply_Clean[Available_Supply])</f>
        <v>5719</v>
      </c>
      <c r="L78">
        <f t="shared" si="6"/>
        <v>0.65990492015138935</v>
      </c>
      <c r="M78">
        <f t="shared" si="7"/>
        <v>374.10009923382262</v>
      </c>
      <c r="N78" t="str">
        <f t="shared" si="8"/>
        <v>ESCASEZ</v>
      </c>
      <c r="O78">
        <f t="shared" si="9"/>
        <v>192.79990076617736</v>
      </c>
    </row>
    <row r="79" spans="1:15" x14ac:dyDescent="0.45">
      <c r="A79" t="str">
        <v>CD-QRO</v>
      </c>
      <c r="B79" t="str">
        <v>PRO-1005</v>
      </c>
      <c r="C79">
        <v>1158</v>
      </c>
      <c r="D79">
        <v>105.1</v>
      </c>
      <c r="E79">
        <v>66.599999999999994</v>
      </c>
      <c r="F79">
        <v>2.1</v>
      </c>
      <c r="G79">
        <v>0.4</v>
      </c>
      <c r="H79" t="str">
        <v>OK</v>
      </c>
      <c r="J79">
        <f t="shared" si="5"/>
        <v>4399.3</v>
      </c>
      <c r="K79">
        <f>SUMIF(Supply_Clean[Item_Code], B79, Supply_Clean[Available_Supply])</f>
        <v>8407</v>
      </c>
      <c r="L79">
        <f t="shared" si="6"/>
        <v>1</v>
      </c>
      <c r="M79">
        <f t="shared" si="7"/>
        <v>105.1</v>
      </c>
      <c r="N79" t="str">
        <f t="shared" si="8"/>
        <v>SUFICIENTE</v>
      </c>
      <c r="O79">
        <f t="shared" si="9"/>
        <v>0</v>
      </c>
    </row>
    <row r="80" spans="1:15" x14ac:dyDescent="0.45">
      <c r="A80" t="str">
        <v>CD-LEO</v>
      </c>
      <c r="B80" t="str">
        <v>PRO-1008</v>
      </c>
      <c r="C80">
        <v>1441</v>
      </c>
      <c r="D80">
        <v>509.2</v>
      </c>
      <c r="E80">
        <v>299.8</v>
      </c>
      <c r="F80">
        <v>2.6</v>
      </c>
      <c r="G80">
        <v>0.6</v>
      </c>
      <c r="H80" t="str">
        <v>OK</v>
      </c>
      <c r="J80">
        <f t="shared" si="5"/>
        <v>5551.5999999999995</v>
      </c>
      <c r="K80">
        <f>SUMIF(Supply_Clean[Item_Code], B80, Supply_Clean[Available_Supply])</f>
        <v>9738</v>
      </c>
      <c r="L80">
        <f t="shared" si="6"/>
        <v>1</v>
      </c>
      <c r="M80">
        <f t="shared" si="7"/>
        <v>509.2</v>
      </c>
      <c r="N80" t="str">
        <f t="shared" si="8"/>
        <v>SUFICIENTE</v>
      </c>
      <c r="O80">
        <f t="shared" si="9"/>
        <v>0</v>
      </c>
    </row>
    <row r="81" spans="1:15" x14ac:dyDescent="0.45">
      <c r="A81" t="str">
        <v>CD-CDMX</v>
      </c>
      <c r="B81" t="str">
        <v>ABA-1015</v>
      </c>
      <c r="C81">
        <v>999999</v>
      </c>
      <c r="D81">
        <v>269.3</v>
      </c>
      <c r="E81">
        <v>25.7</v>
      </c>
      <c r="F81">
        <v>1.2</v>
      </c>
      <c r="G81">
        <v>0.2</v>
      </c>
      <c r="H81" t="str">
        <v>ATIPICO</v>
      </c>
      <c r="J81">
        <f t="shared" si="5"/>
        <v>3986.4999999999991</v>
      </c>
      <c r="K81">
        <f>SUMIF(Supply_Clean[Item_Code], B81, Supply_Clean[Available_Supply])</f>
        <v>7969</v>
      </c>
      <c r="L81">
        <f t="shared" si="6"/>
        <v>1</v>
      </c>
      <c r="M81">
        <f t="shared" si="7"/>
        <v>269.3</v>
      </c>
      <c r="N81" t="str">
        <f t="shared" si="8"/>
        <v>SUFICIENTE</v>
      </c>
      <c r="O81">
        <f t="shared" si="9"/>
        <v>0</v>
      </c>
    </row>
    <row r="82" spans="1:15" x14ac:dyDescent="0.45">
      <c r="A82" t="str">
        <v>CD-CHI</v>
      </c>
      <c r="B82" t="str">
        <v>ABA-1014</v>
      </c>
      <c r="C82">
        <v>0</v>
      </c>
      <c r="D82">
        <v>203.6</v>
      </c>
      <c r="E82">
        <v>18.399999999999999</v>
      </c>
      <c r="F82">
        <v>3.1</v>
      </c>
      <c r="G82">
        <v>1</v>
      </c>
      <c r="H82">
        <v>0</v>
      </c>
      <c r="J82">
        <f t="shared" si="5"/>
        <v>4779.0000000000009</v>
      </c>
      <c r="K82">
        <f>SUMIF(Supply_Clean[Item_Code], B82, Supply_Clean[Available_Supply])</f>
        <v>14629</v>
      </c>
      <c r="L82">
        <f t="shared" si="6"/>
        <v>1</v>
      </c>
      <c r="M82">
        <f t="shared" si="7"/>
        <v>203.6</v>
      </c>
      <c r="N82" t="str">
        <f t="shared" si="8"/>
        <v>SUFICIENTE</v>
      </c>
      <c r="O82">
        <f t="shared" si="9"/>
        <v>0</v>
      </c>
    </row>
    <row r="83" spans="1:15" x14ac:dyDescent="0.45">
      <c r="A83" t="str">
        <v>CD-CHI</v>
      </c>
      <c r="B83" t="str">
        <v>BOT-1020</v>
      </c>
      <c r="C83">
        <v>3824</v>
      </c>
      <c r="D83">
        <v>371.1</v>
      </c>
      <c r="E83">
        <v>68.3</v>
      </c>
      <c r="F83">
        <v>2.4</v>
      </c>
      <c r="G83">
        <v>1</v>
      </c>
      <c r="H83" t="str">
        <v>OK</v>
      </c>
      <c r="J83">
        <f t="shared" si="5"/>
        <v>7693.4</v>
      </c>
      <c r="K83">
        <f>SUMIF(Supply_Clean[Item_Code], B83, Supply_Clean[Available_Supply])</f>
        <v>20558</v>
      </c>
      <c r="L83">
        <f t="shared" si="6"/>
        <v>1</v>
      </c>
      <c r="M83">
        <f t="shared" si="7"/>
        <v>371.1</v>
      </c>
      <c r="N83" t="str">
        <f t="shared" si="8"/>
        <v>SUFICIENTE</v>
      </c>
      <c r="O83">
        <f t="shared" si="9"/>
        <v>0</v>
      </c>
    </row>
    <row r="84" spans="1:15" x14ac:dyDescent="0.45">
      <c r="A84" t="str">
        <v>CD-CAN</v>
      </c>
      <c r="B84" t="str">
        <v>LAC-1003</v>
      </c>
      <c r="C84">
        <v>1484</v>
      </c>
      <c r="D84">
        <v>0</v>
      </c>
      <c r="E84">
        <v>46.7</v>
      </c>
      <c r="F84">
        <v>3.6</v>
      </c>
      <c r="G84">
        <v>1.6</v>
      </c>
      <c r="H84" t="str">
        <v>OK</v>
      </c>
      <c r="J84">
        <f t="shared" si="5"/>
        <v>3701.4999999999995</v>
      </c>
      <c r="K84">
        <f>SUMIF(Supply_Clean[Item_Code], B84, Supply_Clean[Available_Supply])</f>
        <v>7244</v>
      </c>
      <c r="L84">
        <f t="shared" si="6"/>
        <v>1</v>
      </c>
      <c r="M84">
        <f t="shared" si="7"/>
        <v>0</v>
      </c>
      <c r="N84" t="str">
        <f t="shared" si="8"/>
        <v>SUFICIENTE</v>
      </c>
      <c r="O84">
        <f t="shared" si="9"/>
        <v>0</v>
      </c>
    </row>
    <row r="85" spans="1:15" x14ac:dyDescent="0.45">
      <c r="A85" t="str">
        <v>CD-QRO</v>
      </c>
      <c r="B85" t="str">
        <v>LAC-1005</v>
      </c>
      <c r="C85">
        <v>1801</v>
      </c>
      <c r="D85">
        <v>156.30000000000001</v>
      </c>
      <c r="E85">
        <v>56.3</v>
      </c>
      <c r="F85">
        <v>1.9</v>
      </c>
      <c r="G85">
        <v>0.4</v>
      </c>
      <c r="H85" t="str">
        <v>OK</v>
      </c>
      <c r="J85">
        <f t="shared" si="5"/>
        <v>3868.9</v>
      </c>
      <c r="K85">
        <f>SUMIF(Supply_Clean[Item_Code], B85, Supply_Clean[Available_Supply])</f>
        <v>9953</v>
      </c>
      <c r="L85">
        <f t="shared" si="6"/>
        <v>1</v>
      </c>
      <c r="M85">
        <f t="shared" si="7"/>
        <v>156.30000000000001</v>
      </c>
      <c r="N85" t="str">
        <f t="shared" si="8"/>
        <v>SUFICIENTE</v>
      </c>
      <c r="O85">
        <f t="shared" si="9"/>
        <v>0</v>
      </c>
    </row>
    <row r="86" spans="1:15" x14ac:dyDescent="0.45">
      <c r="A86" t="str">
        <v>CD-QRO</v>
      </c>
      <c r="B86" t="str">
        <v>LAC-1009</v>
      </c>
      <c r="C86">
        <v>1300</v>
      </c>
      <c r="D86">
        <v>396.1</v>
      </c>
      <c r="E86">
        <v>164.7</v>
      </c>
      <c r="F86">
        <v>2.1</v>
      </c>
      <c r="G86">
        <v>0.4</v>
      </c>
      <c r="H86" t="str">
        <v>OK</v>
      </c>
      <c r="J86">
        <f t="shared" si="5"/>
        <v>4163.3999999999996</v>
      </c>
      <c r="K86">
        <f>SUMIF(Supply_Clean[Item_Code], B86, Supply_Clean[Available_Supply])</f>
        <v>6523</v>
      </c>
      <c r="L86">
        <f t="shared" si="6"/>
        <v>1</v>
      </c>
      <c r="M86">
        <f t="shared" si="7"/>
        <v>396.1</v>
      </c>
      <c r="N86" t="str">
        <f t="shared" si="8"/>
        <v>SUFICIENTE</v>
      </c>
      <c r="O86">
        <f t="shared" si="9"/>
        <v>0</v>
      </c>
    </row>
    <row r="87" spans="1:15" x14ac:dyDescent="0.45">
      <c r="A87" t="str">
        <v>CD-MER</v>
      </c>
      <c r="B87" t="str">
        <v>BOT-1006</v>
      </c>
      <c r="C87">
        <v>5113</v>
      </c>
      <c r="D87">
        <v>360.9</v>
      </c>
      <c r="E87">
        <v>81</v>
      </c>
      <c r="F87">
        <v>2.4</v>
      </c>
      <c r="G87">
        <v>1.3</v>
      </c>
      <c r="H87" t="str">
        <v>OK</v>
      </c>
      <c r="J87">
        <f t="shared" si="5"/>
        <v>7732.6000000000013</v>
      </c>
      <c r="K87">
        <f>SUMIF(Supply_Clean[Item_Code], B87, Supply_Clean[Available_Supply])</f>
        <v>16401</v>
      </c>
      <c r="L87">
        <f t="shared" si="6"/>
        <v>1</v>
      </c>
      <c r="M87">
        <f t="shared" si="7"/>
        <v>360.9</v>
      </c>
      <c r="N87" t="str">
        <f t="shared" si="8"/>
        <v>SUFICIENTE</v>
      </c>
      <c r="O87">
        <f t="shared" si="9"/>
        <v>0</v>
      </c>
    </row>
    <row r="88" spans="1:15" x14ac:dyDescent="0.45">
      <c r="A88" t="str">
        <v>CD-MTY</v>
      </c>
      <c r="B88" t="str">
        <v>LAC-1014</v>
      </c>
      <c r="C88">
        <v>1441</v>
      </c>
      <c r="D88">
        <v>137.1</v>
      </c>
      <c r="E88">
        <v>53.8</v>
      </c>
      <c r="F88">
        <v>1</v>
      </c>
      <c r="G88">
        <v>0.3</v>
      </c>
      <c r="H88" t="str">
        <v>OK</v>
      </c>
      <c r="J88">
        <f t="shared" si="5"/>
        <v>4121.5</v>
      </c>
      <c r="K88">
        <f>SUMIF(Supply_Clean[Item_Code], B88, Supply_Clean[Available_Supply])</f>
        <v>8260</v>
      </c>
      <c r="L88">
        <f t="shared" si="6"/>
        <v>1</v>
      </c>
      <c r="M88">
        <f t="shared" si="7"/>
        <v>137.1</v>
      </c>
      <c r="N88" t="str">
        <f t="shared" si="8"/>
        <v>SUFICIENTE</v>
      </c>
      <c r="O88">
        <f t="shared" si="9"/>
        <v>0</v>
      </c>
    </row>
    <row r="89" spans="1:15" x14ac:dyDescent="0.45">
      <c r="A89" t="str">
        <v>CD-MER</v>
      </c>
      <c r="B89" t="str">
        <v>BOT-1019</v>
      </c>
      <c r="C89">
        <v>5245</v>
      </c>
      <c r="D89">
        <v>390.7</v>
      </c>
      <c r="E89">
        <v>63.6</v>
      </c>
      <c r="F89">
        <v>5.7</v>
      </c>
      <c r="G89">
        <v>1.3</v>
      </c>
      <c r="H89" t="str">
        <v>OK</v>
      </c>
      <c r="J89">
        <f t="shared" si="5"/>
        <v>9278.2999999999993</v>
      </c>
      <c r="K89">
        <f>SUMIF(Supply_Clean[Item_Code], B89, Supply_Clean[Available_Supply])</f>
        <v>4509</v>
      </c>
      <c r="L89">
        <f t="shared" si="6"/>
        <v>0.48597264585107192</v>
      </c>
      <c r="M89">
        <f t="shared" si="7"/>
        <v>189.8695127340138</v>
      </c>
      <c r="N89" t="str">
        <f t="shared" si="8"/>
        <v>ESCASEZ</v>
      </c>
      <c r="O89">
        <f t="shared" si="9"/>
        <v>200.83048726598619</v>
      </c>
    </row>
    <row r="90" spans="1:15" x14ac:dyDescent="0.45">
      <c r="A90" t="str">
        <v>CD-LEO</v>
      </c>
      <c r="B90" t="str">
        <v>BOT-1013</v>
      </c>
      <c r="C90">
        <v>15116</v>
      </c>
      <c r="D90">
        <v>913.7</v>
      </c>
      <c r="E90">
        <v>146.9</v>
      </c>
      <c r="F90">
        <v>1.1000000000000001</v>
      </c>
      <c r="G90">
        <v>0.6</v>
      </c>
      <c r="H90" t="str">
        <v>OK</v>
      </c>
      <c r="J90">
        <f t="shared" si="5"/>
        <v>8336.1999999999989</v>
      </c>
      <c r="K90">
        <f>SUMIF(Supply_Clean[Item_Code], B90, Supply_Clean[Available_Supply])</f>
        <v>20545</v>
      </c>
      <c r="L90">
        <f t="shared" si="6"/>
        <v>1</v>
      </c>
      <c r="M90">
        <f t="shared" si="7"/>
        <v>913.7</v>
      </c>
      <c r="N90" t="str">
        <f t="shared" si="8"/>
        <v>SUFICIENTE</v>
      </c>
      <c r="O90">
        <f t="shared" si="9"/>
        <v>0</v>
      </c>
    </row>
    <row r="91" spans="1:15" x14ac:dyDescent="0.45">
      <c r="A91" t="str">
        <v>CD-TOL</v>
      </c>
      <c r="B91" t="str">
        <v>BEB-1008</v>
      </c>
      <c r="C91">
        <v>2432</v>
      </c>
      <c r="D91">
        <v>594.5</v>
      </c>
      <c r="E91">
        <v>100.6</v>
      </c>
      <c r="F91">
        <v>2</v>
      </c>
      <c r="G91">
        <v>0.5</v>
      </c>
      <c r="H91" t="str">
        <v>OK</v>
      </c>
      <c r="J91">
        <f t="shared" si="5"/>
        <v>6156.9999999999991</v>
      </c>
      <c r="K91">
        <f>SUMIF(Supply_Clean[Item_Code], B91, Supply_Clean[Available_Supply])</f>
        <v>18019</v>
      </c>
      <c r="L91">
        <f t="shared" si="6"/>
        <v>1</v>
      </c>
      <c r="M91">
        <f t="shared" si="7"/>
        <v>594.5</v>
      </c>
      <c r="N91" t="str">
        <f t="shared" si="8"/>
        <v>SUFICIENTE</v>
      </c>
      <c r="O91">
        <f t="shared" si="9"/>
        <v>0</v>
      </c>
    </row>
    <row r="92" spans="1:15" x14ac:dyDescent="0.45">
      <c r="A92" t="str">
        <v>CD-CDMX</v>
      </c>
      <c r="B92" t="str">
        <v>ABA-1011</v>
      </c>
      <c r="C92">
        <v>2084</v>
      </c>
      <c r="D92">
        <v>236.9</v>
      </c>
      <c r="E92">
        <v>22.5</v>
      </c>
      <c r="F92">
        <v>1.2</v>
      </c>
      <c r="G92">
        <v>0.2</v>
      </c>
      <c r="H92" t="str">
        <v>OK</v>
      </c>
      <c r="J92">
        <f t="shared" si="5"/>
        <v>4892.0999999999995</v>
      </c>
      <c r="K92">
        <f>SUMIF(Supply_Clean[Item_Code], B92, Supply_Clean[Available_Supply])</f>
        <v>9079</v>
      </c>
      <c r="L92">
        <f t="shared" si="6"/>
        <v>1</v>
      </c>
      <c r="M92">
        <f t="shared" si="7"/>
        <v>236.9</v>
      </c>
      <c r="N92" t="str">
        <f t="shared" si="8"/>
        <v>SUFICIENTE</v>
      </c>
      <c r="O92">
        <f t="shared" si="9"/>
        <v>0</v>
      </c>
    </row>
    <row r="93" spans="1:15" x14ac:dyDescent="0.45">
      <c r="A93" t="str">
        <v>CD-VER</v>
      </c>
      <c r="B93" t="str">
        <v>LAC-1015</v>
      </c>
      <c r="C93">
        <v>2263</v>
      </c>
      <c r="D93">
        <v>199.8</v>
      </c>
      <c r="E93">
        <v>84.6</v>
      </c>
      <c r="F93">
        <v>3.4</v>
      </c>
      <c r="G93">
        <v>0.9</v>
      </c>
      <c r="H93" t="str">
        <v>OK</v>
      </c>
      <c r="J93">
        <f t="shared" si="5"/>
        <v>3982.7000000000007</v>
      </c>
      <c r="K93">
        <f>SUMIF(Supply_Clean[Item_Code], B93, Supply_Clean[Available_Supply])</f>
        <v>8604</v>
      </c>
      <c r="L93">
        <f t="shared" si="6"/>
        <v>1</v>
      </c>
      <c r="M93">
        <f t="shared" si="7"/>
        <v>199.8</v>
      </c>
      <c r="N93" t="str">
        <f t="shared" si="8"/>
        <v>SUFICIENTE</v>
      </c>
      <c r="O93">
        <f t="shared" si="9"/>
        <v>0</v>
      </c>
    </row>
    <row r="94" spans="1:15" x14ac:dyDescent="0.45">
      <c r="A94" t="str">
        <v>CD-MOR</v>
      </c>
      <c r="B94" t="str">
        <v>BOT-1023</v>
      </c>
      <c r="C94">
        <v>3238</v>
      </c>
      <c r="D94">
        <v>268.60000000000002</v>
      </c>
      <c r="E94">
        <v>58.8</v>
      </c>
      <c r="F94">
        <v>2.5</v>
      </c>
      <c r="G94">
        <v>0.5</v>
      </c>
      <c r="H94" t="str">
        <v>OK</v>
      </c>
      <c r="J94">
        <f t="shared" si="5"/>
        <v>8227.6</v>
      </c>
      <c r="K94">
        <f>SUMIF(Supply_Clean[Item_Code], B94, Supply_Clean[Available_Supply])</f>
        <v>23663</v>
      </c>
      <c r="L94">
        <f t="shared" si="6"/>
        <v>1</v>
      </c>
      <c r="M94">
        <f t="shared" si="7"/>
        <v>268.60000000000002</v>
      </c>
      <c r="N94" t="str">
        <f t="shared" si="8"/>
        <v>SUFICIENTE</v>
      </c>
      <c r="O94">
        <f t="shared" si="9"/>
        <v>0</v>
      </c>
    </row>
    <row r="95" spans="1:15" x14ac:dyDescent="0.45">
      <c r="A95" t="str">
        <v>CD-TIJ</v>
      </c>
      <c r="B95" t="str">
        <v>LAC-1013</v>
      </c>
      <c r="C95">
        <v>1712</v>
      </c>
      <c r="D95">
        <v>393.6</v>
      </c>
      <c r="E95">
        <v>143.9</v>
      </c>
      <c r="F95">
        <v>4.0999999999999996</v>
      </c>
      <c r="G95">
        <v>1.5</v>
      </c>
      <c r="H95" t="str">
        <v>OK</v>
      </c>
      <c r="J95">
        <f t="shared" si="5"/>
        <v>3650.7</v>
      </c>
      <c r="K95">
        <f>SUMIF(Supply_Clean[Item_Code], B95, Supply_Clean[Available_Supply])</f>
        <v>12026</v>
      </c>
      <c r="L95">
        <f t="shared" si="6"/>
        <v>1</v>
      </c>
      <c r="M95">
        <f t="shared" si="7"/>
        <v>393.6</v>
      </c>
      <c r="N95" t="str">
        <f t="shared" si="8"/>
        <v>SUFICIENTE</v>
      </c>
      <c r="O95">
        <f t="shared" si="9"/>
        <v>0</v>
      </c>
    </row>
    <row r="96" spans="1:15" x14ac:dyDescent="0.45">
      <c r="A96" t="str">
        <v>CD-CDMX</v>
      </c>
      <c r="B96" t="str">
        <v>BOT-1010</v>
      </c>
      <c r="C96">
        <v>1085</v>
      </c>
      <c r="D96">
        <v>329.2</v>
      </c>
      <c r="E96">
        <v>85.6</v>
      </c>
      <c r="F96">
        <v>1.3</v>
      </c>
      <c r="G96">
        <v>0.2</v>
      </c>
      <c r="H96" t="str">
        <v>OK</v>
      </c>
      <c r="J96">
        <f t="shared" si="5"/>
        <v>7108.7000000000007</v>
      </c>
      <c r="K96">
        <f>SUMIF(Supply_Clean[Item_Code], B96, Supply_Clean[Available_Supply])</f>
        <v>21582</v>
      </c>
      <c r="L96">
        <f t="shared" si="6"/>
        <v>1</v>
      </c>
      <c r="M96">
        <f t="shared" si="7"/>
        <v>329.2</v>
      </c>
      <c r="N96" t="str">
        <f t="shared" si="8"/>
        <v>SUFICIENTE</v>
      </c>
      <c r="O96">
        <f t="shared" si="9"/>
        <v>0</v>
      </c>
    </row>
    <row r="97" spans="1:15" x14ac:dyDescent="0.45">
      <c r="A97" t="str">
        <v>CD-CDMX</v>
      </c>
      <c r="B97" t="str">
        <v>BEB-1012</v>
      </c>
      <c r="C97">
        <v>1946</v>
      </c>
      <c r="D97">
        <v>266</v>
      </c>
      <c r="E97">
        <v>34.200000000000003</v>
      </c>
      <c r="F97">
        <v>1.4</v>
      </c>
      <c r="G97">
        <v>0.2</v>
      </c>
      <c r="H97" t="str">
        <v>OK</v>
      </c>
      <c r="J97">
        <f t="shared" si="5"/>
        <v>5740.7</v>
      </c>
      <c r="K97">
        <f>SUMIF(Supply_Clean[Item_Code], B97, Supply_Clean[Available_Supply])</f>
        <v>12491</v>
      </c>
      <c r="L97">
        <f t="shared" si="6"/>
        <v>1</v>
      </c>
      <c r="M97">
        <f t="shared" si="7"/>
        <v>266</v>
      </c>
      <c r="N97" t="str">
        <f t="shared" si="8"/>
        <v>SUFICIENTE</v>
      </c>
      <c r="O97">
        <f t="shared" si="9"/>
        <v>0</v>
      </c>
    </row>
    <row r="98" spans="1:15" x14ac:dyDescent="0.45">
      <c r="A98" t="str">
        <v>CD-MTY</v>
      </c>
      <c r="B98" t="str">
        <v>ABA-1017</v>
      </c>
      <c r="C98">
        <v>6883</v>
      </c>
      <c r="D98">
        <v>419.9</v>
      </c>
      <c r="E98">
        <v>40.4</v>
      </c>
      <c r="F98">
        <v>0.5</v>
      </c>
      <c r="G98">
        <v>0.3</v>
      </c>
      <c r="H98" t="str">
        <v>OK</v>
      </c>
      <c r="J98">
        <f t="shared" si="5"/>
        <v>4720.2</v>
      </c>
      <c r="K98">
        <f>SUMIF(Supply_Clean[Item_Code], B98, Supply_Clean[Available_Supply])</f>
        <v>13946</v>
      </c>
      <c r="L98">
        <f t="shared" si="6"/>
        <v>1</v>
      </c>
      <c r="M98">
        <f t="shared" si="7"/>
        <v>419.9</v>
      </c>
      <c r="N98" t="str">
        <f t="shared" si="8"/>
        <v>SUFICIENTE</v>
      </c>
      <c r="O98">
        <f t="shared" si="9"/>
        <v>0</v>
      </c>
    </row>
    <row r="99" spans="1:15" x14ac:dyDescent="0.45">
      <c r="A99" t="str">
        <v>CD-CAN</v>
      </c>
      <c r="B99" t="str">
        <v>LAC-1009</v>
      </c>
      <c r="C99">
        <v>1166</v>
      </c>
      <c r="D99">
        <v>206.7</v>
      </c>
      <c r="E99">
        <v>85.8</v>
      </c>
      <c r="F99">
        <v>5.7</v>
      </c>
      <c r="G99">
        <v>1.6</v>
      </c>
      <c r="H99" t="str">
        <v>OK</v>
      </c>
      <c r="J99">
        <f t="shared" si="5"/>
        <v>4163.3999999999996</v>
      </c>
      <c r="K99">
        <f>SUMIF(Supply_Clean[Item_Code], B99, Supply_Clean[Available_Supply])</f>
        <v>6523</v>
      </c>
      <c r="L99">
        <f t="shared" si="6"/>
        <v>1</v>
      </c>
      <c r="M99">
        <f t="shared" si="7"/>
        <v>206.7</v>
      </c>
      <c r="N99" t="str">
        <f t="shared" si="8"/>
        <v>SUFICIENTE</v>
      </c>
      <c r="O99">
        <f t="shared" si="9"/>
        <v>0</v>
      </c>
    </row>
    <row r="100" spans="1:15" x14ac:dyDescent="0.45">
      <c r="A100" t="str">
        <v>CD-CHI</v>
      </c>
      <c r="B100" t="str">
        <v>BOT-1015</v>
      </c>
      <c r="C100">
        <v>3996</v>
      </c>
      <c r="D100">
        <v>325.7</v>
      </c>
      <c r="E100">
        <v>50</v>
      </c>
      <c r="F100">
        <v>2.2999999999999998</v>
      </c>
      <c r="G100">
        <v>1</v>
      </c>
      <c r="H100" t="str">
        <v>OK</v>
      </c>
      <c r="J100">
        <f t="shared" si="5"/>
        <v>8666.4</v>
      </c>
      <c r="K100">
        <f>SUMIF(Supply_Clean[Item_Code], B100, Supply_Clean[Available_Supply])</f>
        <v>5719</v>
      </c>
      <c r="L100">
        <f t="shared" si="6"/>
        <v>0.65990492015138935</v>
      </c>
      <c r="M100">
        <f t="shared" si="7"/>
        <v>214.9310324933075</v>
      </c>
      <c r="N100" t="str">
        <f t="shared" si="8"/>
        <v>ESCASEZ</v>
      </c>
      <c r="O100">
        <f t="shared" si="9"/>
        <v>110.76896750669249</v>
      </c>
    </row>
    <row r="101" spans="1:15" x14ac:dyDescent="0.45">
      <c r="A101" t="str">
        <v>CD-PUE</v>
      </c>
      <c r="B101" t="str">
        <v>PRO-1002</v>
      </c>
      <c r="C101">
        <v>652</v>
      </c>
      <c r="D101">
        <v>113.7</v>
      </c>
      <c r="E101">
        <v>68.099999999999994</v>
      </c>
      <c r="F101">
        <v>0.7</v>
      </c>
      <c r="G101">
        <v>0.3</v>
      </c>
      <c r="H101" t="str">
        <v>OK</v>
      </c>
      <c r="J101">
        <f t="shared" si="5"/>
        <v>6123.6999999999989</v>
      </c>
      <c r="K101">
        <f>SUMIF(Supply_Clean[Item_Code], B101, Supply_Clean[Available_Supply])</f>
        <v>17616</v>
      </c>
      <c r="L101">
        <f t="shared" si="6"/>
        <v>1</v>
      </c>
      <c r="M101">
        <f t="shared" si="7"/>
        <v>113.7</v>
      </c>
      <c r="N101" t="str">
        <f t="shared" si="8"/>
        <v>SUFICIENTE</v>
      </c>
      <c r="O101">
        <f t="shared" si="9"/>
        <v>0</v>
      </c>
    </row>
    <row r="102" spans="1:15" x14ac:dyDescent="0.45">
      <c r="A102" t="str">
        <v>CD-CAN</v>
      </c>
      <c r="B102" t="str">
        <v>ABA-1014</v>
      </c>
      <c r="C102">
        <v>5270</v>
      </c>
      <c r="D102">
        <v>347.2</v>
      </c>
      <c r="E102">
        <v>35.6</v>
      </c>
      <c r="F102">
        <v>5.4</v>
      </c>
      <c r="G102">
        <v>1.6</v>
      </c>
      <c r="H102" t="str">
        <v>OK</v>
      </c>
      <c r="J102">
        <f t="shared" si="5"/>
        <v>4779.0000000000009</v>
      </c>
      <c r="K102">
        <f>SUMIF(Supply_Clean[Item_Code], B102, Supply_Clean[Available_Supply])</f>
        <v>14629</v>
      </c>
      <c r="L102">
        <f t="shared" si="6"/>
        <v>1</v>
      </c>
      <c r="M102">
        <f t="shared" si="7"/>
        <v>347.2</v>
      </c>
      <c r="N102" t="str">
        <f t="shared" si="8"/>
        <v>SUFICIENTE</v>
      </c>
      <c r="O102">
        <f t="shared" si="9"/>
        <v>0</v>
      </c>
    </row>
    <row r="103" spans="1:15" x14ac:dyDescent="0.45">
      <c r="A103" t="str">
        <v>CD-CHI</v>
      </c>
      <c r="B103" t="str">
        <v>BOT-1008</v>
      </c>
      <c r="C103">
        <v>2533</v>
      </c>
      <c r="D103">
        <v>415</v>
      </c>
      <c r="E103">
        <v>106.4</v>
      </c>
      <c r="F103">
        <v>3.2</v>
      </c>
      <c r="G103">
        <v>1</v>
      </c>
      <c r="H103" t="str">
        <v>OK</v>
      </c>
      <c r="J103">
        <f t="shared" si="5"/>
        <v>7758.6</v>
      </c>
      <c r="K103">
        <f>SUMIF(Supply_Clean[Item_Code], B103, Supply_Clean[Available_Supply])</f>
        <v>25288</v>
      </c>
      <c r="L103">
        <f t="shared" si="6"/>
        <v>1</v>
      </c>
      <c r="M103">
        <f t="shared" si="7"/>
        <v>415</v>
      </c>
      <c r="N103" t="str">
        <f t="shared" si="8"/>
        <v>SUFICIENTE</v>
      </c>
      <c r="O103">
        <f t="shared" si="9"/>
        <v>0</v>
      </c>
    </row>
    <row r="104" spans="1:15" x14ac:dyDescent="0.45">
      <c r="A104" t="str">
        <v>CD-SAL</v>
      </c>
      <c r="B104" t="str">
        <v>ABA-1008</v>
      </c>
      <c r="C104">
        <v>3084</v>
      </c>
      <c r="D104">
        <v>390.6</v>
      </c>
      <c r="E104">
        <v>37.1</v>
      </c>
      <c r="F104">
        <v>2</v>
      </c>
      <c r="G104">
        <v>0.5</v>
      </c>
      <c r="H104" t="str">
        <v>OK</v>
      </c>
      <c r="J104">
        <f t="shared" si="5"/>
        <v>4717.2000000000007</v>
      </c>
      <c r="K104">
        <f>SUMIF(Supply_Clean[Item_Code], B104, Supply_Clean[Available_Supply])</f>
        <v>9747</v>
      </c>
      <c r="L104">
        <f t="shared" si="6"/>
        <v>1</v>
      </c>
      <c r="M104">
        <f t="shared" si="7"/>
        <v>390.6</v>
      </c>
      <c r="N104" t="str">
        <f t="shared" si="8"/>
        <v>SUFICIENTE</v>
      </c>
      <c r="O104">
        <f t="shared" si="9"/>
        <v>0</v>
      </c>
    </row>
    <row r="105" spans="1:15" x14ac:dyDescent="0.45">
      <c r="A105" t="str">
        <v>CD-CHI</v>
      </c>
      <c r="B105" t="str">
        <v>ABA-1019</v>
      </c>
      <c r="C105">
        <v>3780</v>
      </c>
      <c r="D105">
        <v>264.2</v>
      </c>
      <c r="E105">
        <v>26.6</v>
      </c>
      <c r="F105">
        <v>3.9</v>
      </c>
      <c r="G105">
        <v>1</v>
      </c>
      <c r="H105" t="str">
        <v>OK</v>
      </c>
      <c r="J105">
        <f t="shared" si="5"/>
        <v>4484.9000000000005</v>
      </c>
      <c r="K105">
        <f>SUMIF(Supply_Clean[Item_Code], B105, Supply_Clean[Available_Supply])</f>
        <v>12013</v>
      </c>
      <c r="L105">
        <f t="shared" si="6"/>
        <v>1</v>
      </c>
      <c r="M105">
        <f t="shared" si="7"/>
        <v>264.2</v>
      </c>
      <c r="N105" t="str">
        <f t="shared" si="8"/>
        <v>SUFICIENTE</v>
      </c>
      <c r="O105">
        <f t="shared" si="9"/>
        <v>0</v>
      </c>
    </row>
    <row r="106" spans="1:15" x14ac:dyDescent="0.45">
      <c r="A106" t="str">
        <v>CD-MOR</v>
      </c>
      <c r="B106" t="str">
        <v>PRO-1008</v>
      </c>
      <c r="C106">
        <v>4015</v>
      </c>
      <c r="D106">
        <v>436.6</v>
      </c>
      <c r="E106">
        <v>293.39999999999998</v>
      </c>
      <c r="F106">
        <v>1.6</v>
      </c>
      <c r="G106">
        <v>0.5</v>
      </c>
      <c r="H106" t="str">
        <v>OK</v>
      </c>
      <c r="J106">
        <f t="shared" si="5"/>
        <v>5551.5999999999995</v>
      </c>
      <c r="K106">
        <f>SUMIF(Supply_Clean[Item_Code], B106, Supply_Clean[Available_Supply])</f>
        <v>9738</v>
      </c>
      <c r="L106">
        <f t="shared" si="6"/>
        <v>1</v>
      </c>
      <c r="M106">
        <f t="shared" si="7"/>
        <v>436.6</v>
      </c>
      <c r="N106" t="str">
        <f t="shared" si="8"/>
        <v>SUFICIENTE</v>
      </c>
      <c r="O106">
        <f t="shared" si="9"/>
        <v>0</v>
      </c>
    </row>
    <row r="107" spans="1:15" x14ac:dyDescent="0.45">
      <c r="A107" t="str">
        <v>CD-SAL</v>
      </c>
      <c r="B107" t="str">
        <v>BEB-1010</v>
      </c>
      <c r="C107">
        <v>6260</v>
      </c>
      <c r="D107">
        <v>384.5</v>
      </c>
      <c r="E107">
        <v>49.7</v>
      </c>
      <c r="F107">
        <v>1.2</v>
      </c>
      <c r="G107">
        <v>0.5</v>
      </c>
      <c r="H107" t="str">
        <v>OK</v>
      </c>
      <c r="J107">
        <f t="shared" si="5"/>
        <v>4470.2999999999993</v>
      </c>
      <c r="K107">
        <f>SUMIF(Supply_Clean[Item_Code], B107, Supply_Clean[Available_Supply])</f>
        <v>3237</v>
      </c>
      <c r="L107">
        <f t="shared" si="6"/>
        <v>0.7241124756727737</v>
      </c>
      <c r="M107">
        <f t="shared" si="7"/>
        <v>278.42124689618151</v>
      </c>
      <c r="N107" t="str">
        <f t="shared" si="8"/>
        <v>ESCASEZ</v>
      </c>
      <c r="O107">
        <f t="shared" si="9"/>
        <v>106.07875310381849</v>
      </c>
    </row>
    <row r="108" spans="1:15" x14ac:dyDescent="0.45">
      <c r="A108" t="str">
        <v>CD-SAL</v>
      </c>
      <c r="B108" t="str">
        <v>BEB-1019</v>
      </c>
      <c r="C108">
        <v>3651</v>
      </c>
      <c r="D108">
        <v>315.89999999999998</v>
      </c>
      <c r="E108">
        <v>59.2</v>
      </c>
      <c r="F108">
        <v>2.2999999999999998</v>
      </c>
      <c r="G108">
        <v>0.5</v>
      </c>
      <c r="H108" t="str">
        <v>OK</v>
      </c>
      <c r="J108">
        <f t="shared" si="5"/>
        <v>5453.6</v>
      </c>
      <c r="K108">
        <f>SUMIF(Supply_Clean[Item_Code], B108, Supply_Clean[Available_Supply])</f>
        <v>15099</v>
      </c>
      <c r="L108">
        <f t="shared" si="6"/>
        <v>1</v>
      </c>
      <c r="M108">
        <f t="shared" si="7"/>
        <v>315.89999999999998</v>
      </c>
      <c r="N108" t="str">
        <f t="shared" si="8"/>
        <v>SUFICIENTE</v>
      </c>
      <c r="O108">
        <f t="shared" si="9"/>
        <v>0</v>
      </c>
    </row>
    <row r="109" spans="1:15" x14ac:dyDescent="0.45">
      <c r="A109" t="str">
        <v>CD-VER</v>
      </c>
      <c r="B109" t="str">
        <v>BEB-1003</v>
      </c>
      <c r="C109">
        <v>1461</v>
      </c>
      <c r="D109">
        <v>374.1</v>
      </c>
      <c r="E109">
        <v>59</v>
      </c>
      <c r="F109">
        <v>2.5</v>
      </c>
      <c r="G109">
        <v>0.9</v>
      </c>
      <c r="H109" t="str">
        <v>OK</v>
      </c>
      <c r="J109">
        <f t="shared" si="5"/>
        <v>5232</v>
      </c>
      <c r="K109">
        <f>SUMIF(Supply_Clean[Item_Code], B109, Supply_Clean[Available_Supply])</f>
        <v>16426</v>
      </c>
      <c r="L109">
        <f t="shared" si="6"/>
        <v>1</v>
      </c>
      <c r="M109">
        <f t="shared" si="7"/>
        <v>374.1</v>
      </c>
      <c r="N109" t="str">
        <f t="shared" si="8"/>
        <v>SUFICIENTE</v>
      </c>
      <c r="O109">
        <f t="shared" si="9"/>
        <v>0</v>
      </c>
    </row>
    <row r="110" spans="1:15" x14ac:dyDescent="0.45">
      <c r="A110" t="str">
        <v>CD-TIJ</v>
      </c>
      <c r="B110" t="str">
        <v>PRO-1010</v>
      </c>
      <c r="C110">
        <v>5035</v>
      </c>
      <c r="D110">
        <v>400.4</v>
      </c>
      <c r="E110">
        <v>257.10000000000002</v>
      </c>
      <c r="F110">
        <v>7.2</v>
      </c>
      <c r="G110">
        <v>1.5</v>
      </c>
      <c r="H110" t="str">
        <v>OK</v>
      </c>
      <c r="J110">
        <f t="shared" si="5"/>
        <v>6996.1000000000013</v>
      </c>
      <c r="K110">
        <f>SUMIF(Supply_Clean[Item_Code], B110, Supply_Clean[Available_Supply])</f>
        <v>18475</v>
      </c>
      <c r="L110">
        <f t="shared" si="6"/>
        <v>1</v>
      </c>
      <c r="M110">
        <f t="shared" si="7"/>
        <v>400.4</v>
      </c>
      <c r="N110" t="str">
        <f t="shared" si="8"/>
        <v>SUFICIENTE</v>
      </c>
      <c r="O110">
        <f t="shared" si="9"/>
        <v>0</v>
      </c>
    </row>
    <row r="111" spans="1:15" x14ac:dyDescent="0.45">
      <c r="A111" t="str">
        <v>CD-TOL</v>
      </c>
      <c r="B111" t="str">
        <v>BOT-1016</v>
      </c>
      <c r="C111">
        <v>8315</v>
      </c>
      <c r="D111">
        <v>560.4</v>
      </c>
      <c r="E111">
        <v>87.1</v>
      </c>
      <c r="F111">
        <v>1.9</v>
      </c>
      <c r="G111">
        <v>0.5</v>
      </c>
      <c r="H111" t="str">
        <v>OK</v>
      </c>
      <c r="J111">
        <f t="shared" si="5"/>
        <v>9923.6999999999989</v>
      </c>
      <c r="K111">
        <f>SUMIF(Supply_Clean[Item_Code], B111, Supply_Clean[Available_Supply])</f>
        <v>18995</v>
      </c>
      <c r="L111">
        <f t="shared" si="6"/>
        <v>1</v>
      </c>
      <c r="M111">
        <f t="shared" si="7"/>
        <v>560.4</v>
      </c>
      <c r="N111" t="str">
        <f t="shared" si="8"/>
        <v>SUFICIENTE</v>
      </c>
      <c r="O111">
        <f t="shared" si="9"/>
        <v>0</v>
      </c>
    </row>
    <row r="112" spans="1:15" x14ac:dyDescent="0.45">
      <c r="A112" t="str">
        <v>CD-CAN</v>
      </c>
      <c r="B112" t="str">
        <v>BOT-1005</v>
      </c>
      <c r="C112">
        <v>5248</v>
      </c>
      <c r="D112">
        <v>323.89999999999998</v>
      </c>
      <c r="E112">
        <v>75.3</v>
      </c>
      <c r="F112">
        <v>3.1</v>
      </c>
      <c r="G112">
        <v>1.6</v>
      </c>
      <c r="H112" t="str">
        <v>OK</v>
      </c>
      <c r="J112">
        <f t="shared" si="5"/>
        <v>8620.3000000000011</v>
      </c>
      <c r="K112">
        <f>SUMIF(Supply_Clean[Item_Code], B112, Supply_Clean[Available_Supply])</f>
        <v>23903</v>
      </c>
      <c r="L112">
        <f t="shared" si="6"/>
        <v>1</v>
      </c>
      <c r="M112">
        <f t="shared" si="7"/>
        <v>323.89999999999998</v>
      </c>
      <c r="N112" t="str">
        <f t="shared" si="8"/>
        <v>SUFICIENTE</v>
      </c>
      <c r="O112">
        <f t="shared" si="9"/>
        <v>0</v>
      </c>
    </row>
    <row r="113" spans="1:15" x14ac:dyDescent="0.45">
      <c r="A113" t="str">
        <v>CD-CDMX</v>
      </c>
      <c r="B113" t="str">
        <v>ABA-1010</v>
      </c>
      <c r="C113">
        <v>1589</v>
      </c>
      <c r="D113">
        <v>303.60000000000002</v>
      </c>
      <c r="E113">
        <v>34.4</v>
      </c>
      <c r="F113">
        <v>0.8</v>
      </c>
      <c r="G113">
        <v>0.2</v>
      </c>
      <c r="H113" t="str">
        <v>OK</v>
      </c>
      <c r="J113">
        <f t="shared" si="5"/>
        <v>4871.7</v>
      </c>
      <c r="K113">
        <f>SUMIF(Supply_Clean[Item_Code], B113, Supply_Clean[Available_Supply])</f>
        <v>9875</v>
      </c>
      <c r="L113">
        <f t="shared" si="6"/>
        <v>1</v>
      </c>
      <c r="M113">
        <f t="shared" si="7"/>
        <v>303.60000000000002</v>
      </c>
      <c r="N113" t="str">
        <f t="shared" si="8"/>
        <v>SUFICIENTE</v>
      </c>
      <c r="O113">
        <f t="shared" si="9"/>
        <v>0</v>
      </c>
    </row>
    <row r="114" spans="1:15" x14ac:dyDescent="0.45">
      <c r="A114" t="str">
        <v>CD-MTY</v>
      </c>
      <c r="B114" t="str">
        <v>BOT-1021</v>
      </c>
      <c r="C114">
        <v>0</v>
      </c>
      <c r="D114">
        <v>687</v>
      </c>
      <c r="E114">
        <v>149.5</v>
      </c>
      <c r="F114">
        <v>1.1000000000000001</v>
      </c>
      <c r="G114">
        <v>0.3</v>
      </c>
      <c r="H114">
        <v>0</v>
      </c>
      <c r="J114">
        <f t="shared" si="5"/>
        <v>6783.3</v>
      </c>
      <c r="K114">
        <f>SUMIF(Supply_Clean[Item_Code], B114, Supply_Clean[Available_Supply])</f>
        <v>13475</v>
      </c>
      <c r="L114">
        <f t="shared" si="6"/>
        <v>1</v>
      </c>
      <c r="M114">
        <f t="shared" si="7"/>
        <v>687</v>
      </c>
      <c r="N114" t="str">
        <f t="shared" si="8"/>
        <v>SUFICIENTE</v>
      </c>
      <c r="O114">
        <f t="shared" si="9"/>
        <v>0</v>
      </c>
    </row>
    <row r="115" spans="1:15" x14ac:dyDescent="0.45">
      <c r="A115" t="str">
        <v>CD-MTY</v>
      </c>
      <c r="B115" t="str">
        <v>PRO-1010</v>
      </c>
      <c r="C115">
        <v>6970</v>
      </c>
      <c r="D115">
        <v>831.4</v>
      </c>
      <c r="E115">
        <v>363.7</v>
      </c>
      <c r="F115">
        <v>1.8</v>
      </c>
      <c r="G115">
        <v>0.3</v>
      </c>
      <c r="H115" t="str">
        <v>OK</v>
      </c>
      <c r="J115">
        <f t="shared" si="5"/>
        <v>6996.1000000000013</v>
      </c>
      <c r="K115">
        <f>SUMIF(Supply_Clean[Item_Code], B115, Supply_Clean[Available_Supply])</f>
        <v>18475</v>
      </c>
      <c r="L115">
        <f t="shared" si="6"/>
        <v>1</v>
      </c>
      <c r="M115">
        <f t="shared" si="7"/>
        <v>831.4</v>
      </c>
      <c r="N115" t="str">
        <f t="shared" si="8"/>
        <v>SUFICIENTE</v>
      </c>
      <c r="O115">
        <f t="shared" si="9"/>
        <v>0</v>
      </c>
    </row>
    <row r="116" spans="1:15" x14ac:dyDescent="0.45">
      <c r="A116" t="str">
        <v>CD-CAN</v>
      </c>
      <c r="B116" t="str">
        <v>ABA-1011</v>
      </c>
      <c r="C116">
        <v>1368</v>
      </c>
      <c r="D116">
        <v>453.5</v>
      </c>
      <c r="E116">
        <v>57.9</v>
      </c>
      <c r="F116">
        <v>3.9</v>
      </c>
      <c r="G116">
        <v>1.6</v>
      </c>
      <c r="H116" t="str">
        <v>OK</v>
      </c>
      <c r="J116">
        <f t="shared" si="5"/>
        <v>4892.0999999999995</v>
      </c>
      <c r="K116">
        <f>SUMIF(Supply_Clean[Item_Code], B116, Supply_Clean[Available_Supply])</f>
        <v>9079</v>
      </c>
      <c r="L116">
        <f t="shared" si="6"/>
        <v>1</v>
      </c>
      <c r="M116">
        <f t="shared" si="7"/>
        <v>453.5</v>
      </c>
      <c r="N116" t="str">
        <f t="shared" si="8"/>
        <v>SUFICIENTE</v>
      </c>
      <c r="O116">
        <f t="shared" si="9"/>
        <v>0</v>
      </c>
    </row>
    <row r="117" spans="1:15" x14ac:dyDescent="0.45">
      <c r="A117" t="str">
        <v>CD-MTY</v>
      </c>
      <c r="B117" t="str">
        <v>BOT-1001</v>
      </c>
      <c r="C117">
        <v>2696</v>
      </c>
      <c r="D117">
        <v>696.3</v>
      </c>
      <c r="E117">
        <v>141.1</v>
      </c>
      <c r="F117">
        <v>1</v>
      </c>
      <c r="G117">
        <v>0.3</v>
      </c>
      <c r="H117" t="str">
        <v>OK</v>
      </c>
      <c r="J117">
        <f t="shared" si="5"/>
        <v>8375.9</v>
      </c>
      <c r="K117">
        <f>SUMIF(Supply_Clean[Item_Code], B117, Supply_Clean[Available_Supply])</f>
        <v>20393</v>
      </c>
      <c r="L117">
        <f t="shared" si="6"/>
        <v>1</v>
      </c>
      <c r="M117">
        <f t="shared" si="7"/>
        <v>696.3</v>
      </c>
      <c r="N117" t="str">
        <f t="shared" si="8"/>
        <v>SUFICIENTE</v>
      </c>
      <c r="O117">
        <f t="shared" si="9"/>
        <v>0</v>
      </c>
    </row>
    <row r="118" spans="1:15" x14ac:dyDescent="0.45">
      <c r="A118" t="str">
        <v>CD-QRO</v>
      </c>
      <c r="B118" t="str">
        <v>PRO-1013</v>
      </c>
      <c r="C118">
        <v>3357</v>
      </c>
      <c r="D118">
        <v>686.2</v>
      </c>
      <c r="E118">
        <v>392.3</v>
      </c>
      <c r="F118">
        <v>2.2000000000000002</v>
      </c>
      <c r="G118">
        <v>0.4</v>
      </c>
      <c r="H118" t="str">
        <v>OK</v>
      </c>
      <c r="J118">
        <f t="shared" si="5"/>
        <v>7113.8</v>
      </c>
      <c r="K118">
        <f>SUMIF(Supply_Clean[Item_Code], B118, Supply_Clean[Available_Supply])</f>
        <v>15134</v>
      </c>
      <c r="L118">
        <f t="shared" si="6"/>
        <v>1</v>
      </c>
      <c r="M118">
        <f t="shared" si="7"/>
        <v>686.2</v>
      </c>
      <c r="N118" t="str">
        <f t="shared" si="8"/>
        <v>SUFICIENTE</v>
      </c>
      <c r="O118">
        <f t="shared" si="9"/>
        <v>0</v>
      </c>
    </row>
    <row r="119" spans="1:15" x14ac:dyDescent="0.45">
      <c r="A119" t="str">
        <v>CD-MOR</v>
      </c>
      <c r="B119" t="str">
        <v>BEB-1015</v>
      </c>
      <c r="C119">
        <v>4639</v>
      </c>
      <c r="D119">
        <v>261</v>
      </c>
      <c r="E119">
        <v>29.3</v>
      </c>
      <c r="F119">
        <v>2.2999999999999998</v>
      </c>
      <c r="G119">
        <v>0.5</v>
      </c>
      <c r="H119" t="str">
        <v>OK</v>
      </c>
      <c r="J119">
        <f t="shared" si="5"/>
        <v>5073.0999999999995</v>
      </c>
      <c r="K119">
        <f>SUMIF(Supply_Clean[Item_Code], B119, Supply_Clean[Available_Supply])</f>
        <v>14801</v>
      </c>
      <c r="L119">
        <f t="shared" si="6"/>
        <v>1</v>
      </c>
      <c r="M119">
        <f t="shared" si="7"/>
        <v>261</v>
      </c>
      <c r="N119" t="str">
        <f t="shared" si="8"/>
        <v>SUFICIENTE</v>
      </c>
      <c r="O119">
        <f t="shared" si="9"/>
        <v>0</v>
      </c>
    </row>
    <row r="120" spans="1:15" x14ac:dyDescent="0.45">
      <c r="A120" t="str">
        <v>CD-TIJ</v>
      </c>
      <c r="B120" t="str">
        <v>LAC-1014</v>
      </c>
      <c r="C120">
        <v>3200</v>
      </c>
      <c r="D120">
        <v>425.4</v>
      </c>
      <c r="E120">
        <v>139.4</v>
      </c>
      <c r="F120">
        <v>3.2</v>
      </c>
      <c r="G120">
        <v>1.5</v>
      </c>
      <c r="H120" t="str">
        <v>OK</v>
      </c>
      <c r="J120">
        <f t="shared" si="5"/>
        <v>4121.5</v>
      </c>
      <c r="K120">
        <f>SUMIF(Supply_Clean[Item_Code], B120, Supply_Clean[Available_Supply])</f>
        <v>8260</v>
      </c>
      <c r="L120">
        <f t="shared" si="6"/>
        <v>1</v>
      </c>
      <c r="M120">
        <f t="shared" si="7"/>
        <v>425.4</v>
      </c>
      <c r="N120" t="str">
        <f t="shared" si="8"/>
        <v>SUFICIENTE</v>
      </c>
      <c r="O120">
        <f t="shared" si="9"/>
        <v>0</v>
      </c>
    </row>
    <row r="121" spans="1:15" x14ac:dyDescent="0.45">
      <c r="A121" t="str">
        <v>CD-LEO</v>
      </c>
      <c r="B121" t="str">
        <v>BOT-1015</v>
      </c>
      <c r="C121">
        <v>999999</v>
      </c>
      <c r="D121">
        <v>824.6</v>
      </c>
      <c r="E121">
        <v>185.9</v>
      </c>
      <c r="F121">
        <v>1.1000000000000001</v>
      </c>
      <c r="G121">
        <v>0.6</v>
      </c>
      <c r="H121" t="str">
        <v>ATIPICO</v>
      </c>
      <c r="J121">
        <f t="shared" si="5"/>
        <v>8666.4</v>
      </c>
      <c r="K121">
        <f>SUMIF(Supply_Clean[Item_Code], B121, Supply_Clean[Available_Supply])</f>
        <v>5719</v>
      </c>
      <c r="L121">
        <f t="shared" si="6"/>
        <v>0.65990492015138935</v>
      </c>
      <c r="M121">
        <f t="shared" si="7"/>
        <v>544.15759715683566</v>
      </c>
      <c r="N121" t="str">
        <f t="shared" si="8"/>
        <v>ESCASEZ</v>
      </c>
      <c r="O121">
        <f t="shared" si="9"/>
        <v>280.44240284316436</v>
      </c>
    </row>
    <row r="122" spans="1:15" x14ac:dyDescent="0.45">
      <c r="A122" t="str">
        <v>CD-MOR</v>
      </c>
      <c r="B122" t="str">
        <v>BEB-1003</v>
      </c>
      <c r="C122">
        <v>1835</v>
      </c>
      <c r="D122">
        <v>230.7</v>
      </c>
      <c r="E122">
        <v>28.8</v>
      </c>
      <c r="F122">
        <v>2.2000000000000002</v>
      </c>
      <c r="G122">
        <v>0.5</v>
      </c>
      <c r="H122" t="str">
        <v>OK</v>
      </c>
      <c r="J122">
        <f t="shared" si="5"/>
        <v>5232</v>
      </c>
      <c r="K122">
        <f>SUMIF(Supply_Clean[Item_Code], B122, Supply_Clean[Available_Supply])</f>
        <v>16426</v>
      </c>
      <c r="L122">
        <f t="shared" si="6"/>
        <v>1</v>
      </c>
      <c r="M122">
        <f t="shared" si="7"/>
        <v>230.7</v>
      </c>
      <c r="N122" t="str">
        <f t="shared" si="8"/>
        <v>SUFICIENTE</v>
      </c>
      <c r="O122">
        <f t="shared" si="9"/>
        <v>0</v>
      </c>
    </row>
    <row r="123" spans="1:15" x14ac:dyDescent="0.45">
      <c r="A123" t="str">
        <v>CD-CDMX</v>
      </c>
      <c r="B123" t="str">
        <v>BOT-1019</v>
      </c>
      <c r="C123">
        <v>4422</v>
      </c>
      <c r="D123">
        <v>717.5</v>
      </c>
      <c r="E123">
        <v>178.1</v>
      </c>
      <c r="F123">
        <v>1</v>
      </c>
      <c r="G123">
        <v>0.2</v>
      </c>
      <c r="H123" t="str">
        <v>OK</v>
      </c>
      <c r="J123">
        <f t="shared" si="5"/>
        <v>9278.2999999999993</v>
      </c>
      <c r="K123">
        <f>SUMIF(Supply_Clean[Item_Code], B123, Supply_Clean[Available_Supply])</f>
        <v>4509</v>
      </c>
      <c r="L123">
        <f t="shared" si="6"/>
        <v>0.48597264585107192</v>
      </c>
      <c r="M123">
        <f t="shared" si="7"/>
        <v>348.68537339814412</v>
      </c>
      <c r="N123" t="str">
        <f t="shared" si="8"/>
        <v>ESCASEZ</v>
      </c>
      <c r="O123">
        <f t="shared" si="9"/>
        <v>368.81462660185588</v>
      </c>
    </row>
    <row r="124" spans="1:15" x14ac:dyDescent="0.45">
      <c r="A124" t="str">
        <v>CD-LEO</v>
      </c>
      <c r="B124" t="str">
        <v>LAC-1008</v>
      </c>
      <c r="C124">
        <v>5639</v>
      </c>
      <c r="D124">
        <v>459.5</v>
      </c>
      <c r="E124">
        <v>163.69999999999999</v>
      </c>
      <c r="F124">
        <v>2.2999999999999998</v>
      </c>
      <c r="G124">
        <v>0.6</v>
      </c>
      <c r="H124" t="str">
        <v>OK</v>
      </c>
      <c r="J124">
        <f t="shared" si="5"/>
        <v>4499.0999999999995</v>
      </c>
      <c r="K124">
        <f>SUMIF(Supply_Clean[Item_Code], B124, Supply_Clean[Available_Supply])</f>
        <v>9543</v>
      </c>
      <c r="L124">
        <f t="shared" si="6"/>
        <v>1</v>
      </c>
      <c r="M124">
        <f t="shared" si="7"/>
        <v>459.5</v>
      </c>
      <c r="N124" t="str">
        <f t="shared" si="8"/>
        <v>SUFICIENTE</v>
      </c>
      <c r="O124">
        <f t="shared" si="9"/>
        <v>0</v>
      </c>
    </row>
    <row r="125" spans="1:15" x14ac:dyDescent="0.45">
      <c r="A125" t="str">
        <v>CD-CDMX</v>
      </c>
      <c r="B125" t="str">
        <v>BOT-1011</v>
      </c>
      <c r="C125">
        <v>15892</v>
      </c>
      <c r="D125">
        <v>1047.8</v>
      </c>
      <c r="E125">
        <v>283.7</v>
      </c>
      <c r="F125">
        <v>1.2</v>
      </c>
      <c r="G125">
        <v>0.2</v>
      </c>
      <c r="H125" t="str">
        <v>OK</v>
      </c>
      <c r="J125">
        <f t="shared" si="5"/>
        <v>9886.2999999999993</v>
      </c>
      <c r="K125">
        <f>SUMIF(Supply_Clean[Item_Code], B125, Supply_Clean[Available_Supply])</f>
        <v>19886</v>
      </c>
      <c r="L125">
        <f t="shared" si="6"/>
        <v>1</v>
      </c>
      <c r="M125">
        <f t="shared" si="7"/>
        <v>1047.8</v>
      </c>
      <c r="N125" t="str">
        <f t="shared" si="8"/>
        <v>SUFICIENTE</v>
      </c>
      <c r="O125">
        <f t="shared" si="9"/>
        <v>0</v>
      </c>
    </row>
    <row r="126" spans="1:15" x14ac:dyDescent="0.45">
      <c r="A126" t="str">
        <v>CD-VER</v>
      </c>
      <c r="B126" t="str">
        <v>BEB-1001</v>
      </c>
      <c r="C126">
        <v>3444</v>
      </c>
      <c r="D126">
        <v>595.29999999999995</v>
      </c>
      <c r="E126">
        <v>96.1</v>
      </c>
      <c r="F126">
        <v>4.5</v>
      </c>
      <c r="G126">
        <v>0.9</v>
      </c>
      <c r="H126" t="str">
        <v>OK</v>
      </c>
      <c r="J126">
        <f t="shared" si="5"/>
        <v>6941.9</v>
      </c>
      <c r="K126">
        <f>SUMIF(Supply_Clean[Item_Code], B126, Supply_Clean[Available_Supply])</f>
        <v>11725</v>
      </c>
      <c r="L126">
        <f t="shared" si="6"/>
        <v>1</v>
      </c>
      <c r="M126">
        <f t="shared" si="7"/>
        <v>595.29999999999995</v>
      </c>
      <c r="N126" t="str">
        <f t="shared" si="8"/>
        <v>SUFICIENTE</v>
      </c>
      <c r="O126">
        <f t="shared" si="9"/>
        <v>0</v>
      </c>
    </row>
    <row r="127" spans="1:15" x14ac:dyDescent="0.45">
      <c r="A127" t="str">
        <v>CD-HER</v>
      </c>
      <c r="B127" t="str">
        <v>ABA-1015</v>
      </c>
      <c r="C127">
        <v>3223</v>
      </c>
      <c r="D127">
        <v>387.7</v>
      </c>
      <c r="E127">
        <v>38.5</v>
      </c>
      <c r="F127">
        <v>5.3</v>
      </c>
      <c r="G127">
        <v>1.2</v>
      </c>
      <c r="H127" t="str">
        <v>OK</v>
      </c>
      <c r="J127">
        <f t="shared" si="5"/>
        <v>3986.4999999999991</v>
      </c>
      <c r="K127">
        <f>SUMIF(Supply_Clean[Item_Code], B127, Supply_Clean[Available_Supply])</f>
        <v>7969</v>
      </c>
      <c r="L127">
        <f t="shared" si="6"/>
        <v>1</v>
      </c>
      <c r="M127">
        <f t="shared" si="7"/>
        <v>387.7</v>
      </c>
      <c r="N127" t="str">
        <f t="shared" si="8"/>
        <v>SUFICIENTE</v>
      </c>
      <c r="O127">
        <f t="shared" si="9"/>
        <v>0</v>
      </c>
    </row>
    <row r="128" spans="1:15" x14ac:dyDescent="0.45">
      <c r="A128" t="str">
        <v>CD-MER</v>
      </c>
      <c r="B128" t="str">
        <v>LAC-1010</v>
      </c>
      <c r="C128">
        <v>3186</v>
      </c>
      <c r="D128">
        <v>207.9</v>
      </c>
      <c r="E128">
        <v>60.8</v>
      </c>
      <c r="F128">
        <v>4.7</v>
      </c>
      <c r="G128">
        <v>1.3</v>
      </c>
      <c r="H128" t="str">
        <v>OK</v>
      </c>
      <c r="J128">
        <f t="shared" si="5"/>
        <v>4321.7</v>
      </c>
      <c r="K128">
        <f>SUMIF(Supply_Clean[Item_Code], B128, Supply_Clean[Available_Supply])</f>
        <v>11567</v>
      </c>
      <c r="L128">
        <f t="shared" si="6"/>
        <v>1</v>
      </c>
      <c r="M128">
        <f t="shared" si="7"/>
        <v>207.9</v>
      </c>
      <c r="N128" t="str">
        <f t="shared" si="8"/>
        <v>SUFICIENTE</v>
      </c>
      <c r="O128">
        <f t="shared" si="9"/>
        <v>0</v>
      </c>
    </row>
    <row r="129" spans="1:15" x14ac:dyDescent="0.45">
      <c r="A129" t="str">
        <v>CD-PUE</v>
      </c>
      <c r="B129" t="str">
        <v>BEB-1001</v>
      </c>
      <c r="C129">
        <v>3654</v>
      </c>
      <c r="D129">
        <v>679.3</v>
      </c>
      <c r="E129">
        <v>112.7</v>
      </c>
      <c r="F129">
        <v>1</v>
      </c>
      <c r="G129">
        <v>0.3</v>
      </c>
      <c r="H129" t="str">
        <v>OK</v>
      </c>
      <c r="J129">
        <f t="shared" si="5"/>
        <v>6941.9</v>
      </c>
      <c r="K129">
        <f>SUMIF(Supply_Clean[Item_Code], B129, Supply_Clean[Available_Supply])</f>
        <v>11725</v>
      </c>
      <c r="L129">
        <f t="shared" si="6"/>
        <v>1</v>
      </c>
      <c r="M129">
        <f t="shared" si="7"/>
        <v>679.3</v>
      </c>
      <c r="N129" t="str">
        <f t="shared" si="8"/>
        <v>SUFICIENTE</v>
      </c>
      <c r="O129">
        <f t="shared" si="9"/>
        <v>0</v>
      </c>
    </row>
    <row r="130" spans="1:15" x14ac:dyDescent="0.45">
      <c r="A130" t="str">
        <v>CD-VER</v>
      </c>
      <c r="B130" t="str">
        <v>PRO-1013</v>
      </c>
      <c r="C130">
        <v>4283</v>
      </c>
      <c r="D130">
        <v>349.5</v>
      </c>
      <c r="E130">
        <v>237.2</v>
      </c>
      <c r="F130">
        <v>4.7</v>
      </c>
      <c r="G130">
        <v>0.9</v>
      </c>
      <c r="H130" t="str">
        <v>OK</v>
      </c>
      <c r="J130">
        <f t="shared" si="5"/>
        <v>7113.8</v>
      </c>
      <c r="K130">
        <f>SUMIF(Supply_Clean[Item_Code], B130, Supply_Clean[Available_Supply])</f>
        <v>15134</v>
      </c>
      <c r="L130">
        <f t="shared" si="6"/>
        <v>1</v>
      </c>
      <c r="M130">
        <f t="shared" si="7"/>
        <v>349.5</v>
      </c>
      <c r="N130" t="str">
        <f t="shared" si="8"/>
        <v>SUFICIENTE</v>
      </c>
      <c r="O130">
        <f t="shared" si="9"/>
        <v>0</v>
      </c>
    </row>
    <row r="131" spans="1:15" x14ac:dyDescent="0.45">
      <c r="A131" t="str">
        <v>CD-PUE</v>
      </c>
      <c r="B131" t="str">
        <v>PRO-1000</v>
      </c>
      <c r="C131">
        <v>2540</v>
      </c>
      <c r="D131">
        <v>292.3</v>
      </c>
      <c r="E131">
        <v>153.5</v>
      </c>
      <c r="F131">
        <v>0.9</v>
      </c>
      <c r="G131">
        <v>0.3</v>
      </c>
      <c r="H131" t="str">
        <v>OK</v>
      </c>
      <c r="J131">
        <f t="shared" ref="J131:J194" si="10">SUMIF($B$2:$B$1501, B131, $D$2:$D$1501)</f>
        <v>5872.7</v>
      </c>
      <c r="K131">
        <f>SUMIF(Supply_Clean[Item_Code], B131, Supply_Clean[Available_Supply])</f>
        <v>2915</v>
      </c>
      <c r="L131">
        <f t="shared" ref="L131:L194" si="11">IFERROR(MIN(1, K131/J131), "")</f>
        <v>0.49636453420062326</v>
      </c>
      <c r="M131">
        <f t="shared" ref="M131:M194" si="12">IFERROR(D131*L131, "")</f>
        <v>145.08735334684218</v>
      </c>
      <c r="N131" t="str">
        <f t="shared" ref="N131:N194" si="13">IF(L131&lt;1, "ESCASEZ", "SUFICIENTE")</f>
        <v>ESCASEZ</v>
      </c>
      <c r="O131">
        <f t="shared" ref="O131:O194" si="14">IF(N131="ESCASEZ", D131-M131, 0)</f>
        <v>147.21264665315783</v>
      </c>
    </row>
    <row r="132" spans="1:15" x14ac:dyDescent="0.45">
      <c r="A132" t="str">
        <v>CD-TOL</v>
      </c>
      <c r="B132" t="str">
        <v>ABA-1002</v>
      </c>
      <c r="C132">
        <v>5250</v>
      </c>
      <c r="D132">
        <v>316.8</v>
      </c>
      <c r="E132">
        <v>33.9</v>
      </c>
      <c r="F132">
        <v>1.7</v>
      </c>
      <c r="G132">
        <v>0.5</v>
      </c>
      <c r="H132" t="str">
        <v>OK</v>
      </c>
      <c r="J132">
        <f t="shared" si="10"/>
        <v>4525.7</v>
      </c>
      <c r="K132">
        <f>SUMIF(Supply_Clean[Item_Code], B132, Supply_Clean[Available_Supply])</f>
        <v>8581</v>
      </c>
      <c r="L132">
        <f t="shared" si="11"/>
        <v>1</v>
      </c>
      <c r="M132">
        <f t="shared" si="12"/>
        <v>316.8</v>
      </c>
      <c r="N132" t="str">
        <f t="shared" si="13"/>
        <v>SUFICIENTE</v>
      </c>
      <c r="O132">
        <f t="shared" si="14"/>
        <v>0</v>
      </c>
    </row>
    <row r="133" spans="1:15" x14ac:dyDescent="0.45">
      <c r="A133" t="str">
        <v>CD-GDL</v>
      </c>
      <c r="B133" t="str">
        <v>ABA-1005</v>
      </c>
      <c r="C133">
        <v>9128</v>
      </c>
      <c r="D133">
        <v>529.6</v>
      </c>
      <c r="E133">
        <v>53.1</v>
      </c>
      <c r="F133">
        <v>1.1000000000000001</v>
      </c>
      <c r="G133">
        <v>0.2</v>
      </c>
      <c r="H133" t="str">
        <v>OK</v>
      </c>
      <c r="J133">
        <f t="shared" si="10"/>
        <v>5173.5999999999995</v>
      </c>
      <c r="K133">
        <f>SUMIF(Supply_Clean[Item_Code], B133, Supply_Clean[Available_Supply])</f>
        <v>15028</v>
      </c>
      <c r="L133">
        <f t="shared" si="11"/>
        <v>1</v>
      </c>
      <c r="M133">
        <f t="shared" si="12"/>
        <v>529.6</v>
      </c>
      <c r="N133" t="str">
        <f t="shared" si="13"/>
        <v>SUFICIENTE</v>
      </c>
      <c r="O133">
        <f t="shared" si="14"/>
        <v>0</v>
      </c>
    </row>
    <row r="134" spans="1:15" x14ac:dyDescent="0.45">
      <c r="A134" t="str">
        <v>CD-GDL</v>
      </c>
      <c r="B134" t="str">
        <v>BOT-1019</v>
      </c>
      <c r="C134">
        <v>1239</v>
      </c>
      <c r="D134">
        <v>779.6</v>
      </c>
      <c r="E134">
        <v>199.8</v>
      </c>
      <c r="F134">
        <v>1</v>
      </c>
      <c r="G134">
        <v>0.2</v>
      </c>
      <c r="H134" t="str">
        <v>OK</v>
      </c>
      <c r="J134">
        <f t="shared" si="10"/>
        <v>9278.2999999999993</v>
      </c>
      <c r="K134">
        <f>SUMIF(Supply_Clean[Item_Code], B134, Supply_Clean[Available_Supply])</f>
        <v>4509</v>
      </c>
      <c r="L134">
        <f t="shared" si="11"/>
        <v>0.48597264585107192</v>
      </c>
      <c r="M134">
        <f t="shared" si="12"/>
        <v>378.86427470549569</v>
      </c>
      <c r="N134" t="str">
        <f t="shared" si="13"/>
        <v>ESCASEZ</v>
      </c>
      <c r="O134">
        <f t="shared" si="14"/>
        <v>400.73572529450433</v>
      </c>
    </row>
    <row r="135" spans="1:15" x14ac:dyDescent="0.45">
      <c r="A135" t="str">
        <v>CD-TIJ</v>
      </c>
      <c r="B135" t="str">
        <v>BOT-1014</v>
      </c>
      <c r="C135">
        <v>5726</v>
      </c>
      <c r="D135">
        <v>698.1</v>
      </c>
      <c r="E135">
        <v>144.19999999999999</v>
      </c>
      <c r="F135">
        <v>4.9000000000000004</v>
      </c>
      <c r="G135">
        <v>1.5</v>
      </c>
      <c r="H135" t="str">
        <v>OK</v>
      </c>
      <c r="J135">
        <f t="shared" si="10"/>
        <v>8056.4000000000005</v>
      </c>
      <c r="K135">
        <f>SUMIF(Supply_Clean[Item_Code], B135, Supply_Clean[Available_Supply])</f>
        <v>14373</v>
      </c>
      <c r="L135">
        <f t="shared" si="11"/>
        <v>1</v>
      </c>
      <c r="M135">
        <f t="shared" si="12"/>
        <v>698.1</v>
      </c>
      <c r="N135" t="str">
        <f t="shared" si="13"/>
        <v>SUFICIENTE</v>
      </c>
      <c r="O135">
        <f t="shared" si="14"/>
        <v>0</v>
      </c>
    </row>
    <row r="136" spans="1:15" x14ac:dyDescent="0.45">
      <c r="A136" t="str">
        <v>CD-MER</v>
      </c>
      <c r="B136" t="str">
        <v>ABA-1002</v>
      </c>
      <c r="C136">
        <v>5541</v>
      </c>
      <c r="D136">
        <v>370.2</v>
      </c>
      <c r="E136">
        <v>34.5</v>
      </c>
      <c r="F136">
        <v>8.1999999999999993</v>
      </c>
      <c r="G136">
        <v>1.3</v>
      </c>
      <c r="H136" t="str">
        <v>OK</v>
      </c>
      <c r="J136">
        <f t="shared" si="10"/>
        <v>4525.7</v>
      </c>
      <c r="K136">
        <f>SUMIF(Supply_Clean[Item_Code], B136, Supply_Clean[Available_Supply])</f>
        <v>8581</v>
      </c>
      <c r="L136">
        <f t="shared" si="11"/>
        <v>1</v>
      </c>
      <c r="M136">
        <f t="shared" si="12"/>
        <v>370.2</v>
      </c>
      <c r="N136" t="str">
        <f t="shared" si="13"/>
        <v>SUFICIENTE</v>
      </c>
      <c r="O136">
        <f t="shared" si="14"/>
        <v>0</v>
      </c>
    </row>
    <row r="137" spans="1:15" x14ac:dyDescent="0.45">
      <c r="A137" t="str">
        <v>CD-CAN</v>
      </c>
      <c r="B137" t="str">
        <v>PRO-1000</v>
      </c>
      <c r="C137">
        <v>1595</v>
      </c>
      <c r="D137">
        <v>94</v>
      </c>
      <c r="E137">
        <v>37.799999999999997</v>
      </c>
      <c r="F137">
        <v>4.3</v>
      </c>
      <c r="G137">
        <v>1.6</v>
      </c>
      <c r="H137" t="str">
        <v>OK</v>
      </c>
      <c r="J137">
        <f t="shared" si="10"/>
        <v>5872.7</v>
      </c>
      <c r="K137">
        <f>SUMIF(Supply_Clean[Item_Code], B137, Supply_Clean[Available_Supply])</f>
        <v>2915</v>
      </c>
      <c r="L137">
        <f t="shared" si="11"/>
        <v>0.49636453420062326</v>
      </c>
      <c r="M137">
        <f t="shared" si="12"/>
        <v>46.658266214858585</v>
      </c>
      <c r="N137" t="str">
        <f t="shared" si="13"/>
        <v>ESCASEZ</v>
      </c>
      <c r="O137">
        <f t="shared" si="14"/>
        <v>47.341733785141415</v>
      </c>
    </row>
    <row r="138" spans="1:15" x14ac:dyDescent="0.45">
      <c r="A138" t="str">
        <v>CD-CDMX</v>
      </c>
      <c r="B138" t="str">
        <v>ABA-1017</v>
      </c>
      <c r="C138">
        <v>2078</v>
      </c>
      <c r="D138">
        <v>233.1</v>
      </c>
      <c r="E138">
        <v>24.7</v>
      </c>
      <c r="F138">
        <v>1.2</v>
      </c>
      <c r="G138">
        <v>0.2</v>
      </c>
      <c r="H138" t="str">
        <v>OK</v>
      </c>
      <c r="J138">
        <f t="shared" si="10"/>
        <v>4720.2</v>
      </c>
      <c r="K138">
        <f>SUMIF(Supply_Clean[Item_Code], B138, Supply_Clean[Available_Supply])</f>
        <v>13946</v>
      </c>
      <c r="L138">
        <f t="shared" si="11"/>
        <v>1</v>
      </c>
      <c r="M138">
        <f t="shared" si="12"/>
        <v>233.1</v>
      </c>
      <c r="N138" t="str">
        <f t="shared" si="13"/>
        <v>SUFICIENTE</v>
      </c>
      <c r="O138">
        <f t="shared" si="14"/>
        <v>0</v>
      </c>
    </row>
    <row r="139" spans="1:15" x14ac:dyDescent="0.45">
      <c r="A139" t="str">
        <v>CD-CDMX</v>
      </c>
      <c r="B139" t="str">
        <v>BOT-1012</v>
      </c>
      <c r="C139">
        <v>12184</v>
      </c>
      <c r="D139">
        <v>882.5</v>
      </c>
      <c r="E139">
        <v>158.9</v>
      </c>
      <c r="F139">
        <v>1.3</v>
      </c>
      <c r="G139">
        <v>0.2</v>
      </c>
      <c r="H139" t="str">
        <v>OK</v>
      </c>
      <c r="J139">
        <f t="shared" si="10"/>
        <v>9259.4</v>
      </c>
      <c r="K139">
        <f>SUMIF(Supply_Clean[Item_Code], B139, Supply_Clean[Available_Supply])</f>
        <v>13943</v>
      </c>
      <c r="L139">
        <f t="shared" si="11"/>
        <v>1</v>
      </c>
      <c r="M139">
        <f t="shared" si="12"/>
        <v>882.5</v>
      </c>
      <c r="N139" t="str">
        <f t="shared" si="13"/>
        <v>SUFICIENTE</v>
      </c>
      <c r="O139">
        <f t="shared" si="14"/>
        <v>0</v>
      </c>
    </row>
    <row r="140" spans="1:15" x14ac:dyDescent="0.45">
      <c r="A140" t="str">
        <v>CD-PUE</v>
      </c>
      <c r="B140" t="str">
        <v>PRO-1001</v>
      </c>
      <c r="C140">
        <v>5692</v>
      </c>
      <c r="D140">
        <v>686.7</v>
      </c>
      <c r="E140">
        <v>292</v>
      </c>
      <c r="F140">
        <v>0.9</v>
      </c>
      <c r="G140">
        <v>0.3</v>
      </c>
      <c r="H140" t="str">
        <v>OK</v>
      </c>
      <c r="J140">
        <f t="shared" si="10"/>
        <v>6433.2999999999993</v>
      </c>
      <c r="K140">
        <f>SUMIF(Supply_Clean[Item_Code], B140, Supply_Clean[Available_Supply])</f>
        <v>10011</v>
      </c>
      <c r="L140">
        <f t="shared" si="11"/>
        <v>1</v>
      </c>
      <c r="M140">
        <f t="shared" si="12"/>
        <v>686.7</v>
      </c>
      <c r="N140" t="str">
        <f t="shared" si="13"/>
        <v>SUFICIENTE</v>
      </c>
      <c r="O140">
        <f t="shared" si="14"/>
        <v>0</v>
      </c>
    </row>
    <row r="141" spans="1:15" x14ac:dyDescent="0.45">
      <c r="A141" t="str">
        <v>CD-PUE</v>
      </c>
      <c r="B141" t="str">
        <v>BOT-1013</v>
      </c>
      <c r="C141">
        <v>3101</v>
      </c>
      <c r="D141">
        <v>374.9</v>
      </c>
      <c r="E141">
        <v>101.3</v>
      </c>
      <c r="F141">
        <v>0.7</v>
      </c>
      <c r="G141">
        <v>0.3</v>
      </c>
      <c r="H141" t="str">
        <v>OK</v>
      </c>
      <c r="J141">
        <f t="shared" si="10"/>
        <v>8336.1999999999989</v>
      </c>
      <c r="K141">
        <f>SUMIF(Supply_Clean[Item_Code], B141, Supply_Clean[Available_Supply])</f>
        <v>20545</v>
      </c>
      <c r="L141">
        <f t="shared" si="11"/>
        <v>1</v>
      </c>
      <c r="M141">
        <f t="shared" si="12"/>
        <v>374.9</v>
      </c>
      <c r="N141" t="str">
        <f t="shared" si="13"/>
        <v>SUFICIENTE</v>
      </c>
      <c r="O141">
        <f t="shared" si="14"/>
        <v>0</v>
      </c>
    </row>
    <row r="142" spans="1:15" x14ac:dyDescent="0.45">
      <c r="A142" t="str">
        <v>CD-TIJ</v>
      </c>
      <c r="B142" t="str">
        <v>BEB-1006</v>
      </c>
      <c r="C142">
        <v>4512</v>
      </c>
      <c r="D142">
        <v>406.2</v>
      </c>
      <c r="E142">
        <v>60.5</v>
      </c>
      <c r="F142">
        <v>5.4</v>
      </c>
      <c r="G142">
        <v>1.5</v>
      </c>
      <c r="H142" t="str">
        <v>OK</v>
      </c>
      <c r="J142">
        <f t="shared" si="10"/>
        <v>5154.2000000000016</v>
      </c>
      <c r="K142">
        <f>SUMIF(Supply_Clean[Item_Code], B142, Supply_Clean[Available_Supply])</f>
        <v>12324</v>
      </c>
      <c r="L142">
        <f t="shared" si="11"/>
        <v>1</v>
      </c>
      <c r="M142">
        <f t="shared" si="12"/>
        <v>406.2</v>
      </c>
      <c r="N142" t="str">
        <f t="shared" si="13"/>
        <v>SUFICIENTE</v>
      </c>
      <c r="O142">
        <f t="shared" si="14"/>
        <v>0</v>
      </c>
    </row>
    <row r="143" spans="1:15" x14ac:dyDescent="0.45">
      <c r="A143" t="str">
        <v>CD-TIJ</v>
      </c>
      <c r="B143" t="str">
        <v>BOT-1017</v>
      </c>
      <c r="C143">
        <v>6484</v>
      </c>
      <c r="D143">
        <v>835.6</v>
      </c>
      <c r="E143">
        <v>131.4</v>
      </c>
      <c r="F143">
        <v>6.6</v>
      </c>
      <c r="G143">
        <v>1.5</v>
      </c>
      <c r="H143" t="str">
        <v>OK</v>
      </c>
      <c r="J143">
        <f t="shared" si="10"/>
        <v>10291.300000000001</v>
      </c>
      <c r="K143">
        <f>SUMIF(Supply_Clean[Item_Code], B143, Supply_Clean[Available_Supply])</f>
        <v>5486</v>
      </c>
      <c r="L143">
        <f t="shared" si="11"/>
        <v>0.53307162360440363</v>
      </c>
      <c r="M143">
        <f t="shared" si="12"/>
        <v>445.43464868383967</v>
      </c>
      <c r="N143" t="str">
        <f t="shared" si="13"/>
        <v>ESCASEZ</v>
      </c>
      <c r="O143">
        <f t="shared" si="14"/>
        <v>390.16535131616035</v>
      </c>
    </row>
    <row r="144" spans="1:15" x14ac:dyDescent="0.45">
      <c r="A144" t="str">
        <v>CD-CDMX</v>
      </c>
      <c r="B144" t="str">
        <v>BOT-1020</v>
      </c>
      <c r="C144">
        <v>5075</v>
      </c>
      <c r="D144">
        <v>315.10000000000002</v>
      </c>
      <c r="E144">
        <v>50.6</v>
      </c>
      <c r="F144">
        <v>1.1000000000000001</v>
      </c>
      <c r="G144">
        <v>0.2</v>
      </c>
      <c r="H144" t="str">
        <v>OK</v>
      </c>
      <c r="J144">
        <f t="shared" si="10"/>
        <v>7693.4</v>
      </c>
      <c r="K144">
        <f>SUMIF(Supply_Clean[Item_Code], B144, Supply_Clean[Available_Supply])</f>
        <v>20558</v>
      </c>
      <c r="L144">
        <f t="shared" si="11"/>
        <v>1</v>
      </c>
      <c r="M144">
        <f t="shared" si="12"/>
        <v>315.10000000000002</v>
      </c>
      <c r="N144" t="str">
        <f t="shared" si="13"/>
        <v>SUFICIENTE</v>
      </c>
      <c r="O144">
        <f t="shared" si="14"/>
        <v>0</v>
      </c>
    </row>
    <row r="145" spans="1:15" x14ac:dyDescent="0.45">
      <c r="A145" t="str">
        <v>CD-PUE</v>
      </c>
      <c r="B145" t="str">
        <v>ABA-1018</v>
      </c>
      <c r="C145">
        <v>1395</v>
      </c>
      <c r="D145">
        <v>355.5</v>
      </c>
      <c r="E145">
        <v>43.5</v>
      </c>
      <c r="F145">
        <v>1.4</v>
      </c>
      <c r="G145">
        <v>0.3</v>
      </c>
      <c r="H145" t="str">
        <v>OK</v>
      </c>
      <c r="J145">
        <f t="shared" si="10"/>
        <v>4478</v>
      </c>
      <c r="K145">
        <f>SUMIF(Supply_Clean[Item_Code], B145, Supply_Clean[Available_Supply])</f>
        <v>6884</v>
      </c>
      <c r="L145">
        <f t="shared" si="11"/>
        <v>1</v>
      </c>
      <c r="M145">
        <f t="shared" si="12"/>
        <v>355.5</v>
      </c>
      <c r="N145" t="str">
        <f t="shared" si="13"/>
        <v>SUFICIENTE</v>
      </c>
      <c r="O145">
        <f t="shared" si="14"/>
        <v>0</v>
      </c>
    </row>
    <row r="146" spans="1:15" x14ac:dyDescent="0.45">
      <c r="A146" t="str">
        <v>CD-TOL</v>
      </c>
      <c r="B146" t="str">
        <v>ABA-1011</v>
      </c>
      <c r="C146">
        <v>2170</v>
      </c>
      <c r="D146">
        <v>277.89999999999998</v>
      </c>
      <c r="E146">
        <v>38.700000000000003</v>
      </c>
      <c r="F146">
        <v>2.2000000000000002</v>
      </c>
      <c r="G146">
        <v>0.5</v>
      </c>
      <c r="H146" t="str">
        <v>OK</v>
      </c>
      <c r="J146">
        <f t="shared" si="10"/>
        <v>4892.0999999999995</v>
      </c>
      <c r="K146">
        <f>SUMIF(Supply_Clean[Item_Code], B146, Supply_Clean[Available_Supply])</f>
        <v>9079</v>
      </c>
      <c r="L146">
        <f t="shared" si="11"/>
        <v>1</v>
      </c>
      <c r="M146">
        <f t="shared" si="12"/>
        <v>277.89999999999998</v>
      </c>
      <c r="N146" t="str">
        <f t="shared" si="13"/>
        <v>SUFICIENTE</v>
      </c>
      <c r="O146">
        <f t="shared" si="14"/>
        <v>0</v>
      </c>
    </row>
    <row r="147" spans="1:15" x14ac:dyDescent="0.45">
      <c r="A147" t="str">
        <v>CD-TOL</v>
      </c>
      <c r="B147" t="str">
        <v>BOT-1002</v>
      </c>
      <c r="C147">
        <v>2986</v>
      </c>
      <c r="D147">
        <v>785.7</v>
      </c>
      <c r="E147">
        <v>160.6</v>
      </c>
      <c r="F147">
        <v>2.2000000000000002</v>
      </c>
      <c r="G147">
        <v>0.5</v>
      </c>
      <c r="H147" t="str">
        <v>OK</v>
      </c>
      <c r="J147">
        <f t="shared" si="10"/>
        <v>8527</v>
      </c>
      <c r="K147">
        <f>SUMIF(Supply_Clean[Item_Code], B147, Supply_Clean[Available_Supply])</f>
        <v>25048</v>
      </c>
      <c r="L147">
        <f t="shared" si="11"/>
        <v>1</v>
      </c>
      <c r="M147">
        <f t="shared" si="12"/>
        <v>785.7</v>
      </c>
      <c r="N147" t="str">
        <f t="shared" si="13"/>
        <v>SUFICIENTE</v>
      </c>
      <c r="O147">
        <f t="shared" si="14"/>
        <v>0</v>
      </c>
    </row>
    <row r="148" spans="1:15" x14ac:dyDescent="0.45">
      <c r="A148" t="str">
        <v>CD-MTY</v>
      </c>
      <c r="B148" t="str">
        <v>ABA-1008</v>
      </c>
      <c r="C148">
        <v>3188</v>
      </c>
      <c r="D148">
        <v>270.89999999999998</v>
      </c>
      <c r="E148">
        <v>31.3</v>
      </c>
      <c r="F148">
        <v>0.9</v>
      </c>
      <c r="G148">
        <v>0.3</v>
      </c>
      <c r="H148" t="str">
        <v>OK</v>
      </c>
      <c r="J148">
        <f t="shared" si="10"/>
        <v>4717.2000000000007</v>
      </c>
      <c r="K148">
        <f>SUMIF(Supply_Clean[Item_Code], B148, Supply_Clean[Available_Supply])</f>
        <v>9747</v>
      </c>
      <c r="L148">
        <f t="shared" si="11"/>
        <v>1</v>
      </c>
      <c r="M148">
        <f t="shared" si="12"/>
        <v>270.89999999999998</v>
      </c>
      <c r="N148" t="str">
        <f t="shared" si="13"/>
        <v>SUFICIENTE</v>
      </c>
      <c r="O148">
        <f t="shared" si="14"/>
        <v>0</v>
      </c>
    </row>
    <row r="149" spans="1:15" x14ac:dyDescent="0.45">
      <c r="A149" t="str">
        <v>CD-HER</v>
      </c>
      <c r="B149" t="str">
        <v>BOT-1003</v>
      </c>
      <c r="C149">
        <v>5634</v>
      </c>
      <c r="D149">
        <v>742.2</v>
      </c>
      <c r="E149">
        <v>179.1</v>
      </c>
      <c r="F149">
        <v>4.7</v>
      </c>
      <c r="G149">
        <v>1.2</v>
      </c>
      <c r="H149" t="str">
        <v>OK</v>
      </c>
      <c r="J149">
        <f t="shared" si="10"/>
        <v>8902.7999999999993</v>
      </c>
      <c r="K149">
        <f>SUMIF(Supply_Clean[Item_Code], B149, Supply_Clean[Available_Supply])</f>
        <v>24326</v>
      </c>
      <c r="L149">
        <f t="shared" si="11"/>
        <v>1</v>
      </c>
      <c r="M149">
        <f t="shared" si="12"/>
        <v>742.2</v>
      </c>
      <c r="N149" t="str">
        <f t="shared" si="13"/>
        <v>SUFICIENTE</v>
      </c>
      <c r="O149">
        <f t="shared" si="14"/>
        <v>0</v>
      </c>
    </row>
    <row r="150" spans="1:15" x14ac:dyDescent="0.45">
      <c r="A150" t="str">
        <v>CD-HER</v>
      </c>
      <c r="B150" t="str">
        <v>BOT-1001</v>
      </c>
      <c r="C150">
        <v>3885</v>
      </c>
      <c r="D150">
        <v>630.5</v>
      </c>
      <c r="E150">
        <v>134.19999999999999</v>
      </c>
      <c r="F150">
        <v>4.0999999999999996</v>
      </c>
      <c r="G150">
        <v>1.2</v>
      </c>
      <c r="H150" t="str">
        <v>OK</v>
      </c>
      <c r="J150">
        <f t="shared" si="10"/>
        <v>8375.9</v>
      </c>
      <c r="K150">
        <f>SUMIF(Supply_Clean[Item_Code], B150, Supply_Clean[Available_Supply])</f>
        <v>20393</v>
      </c>
      <c r="L150">
        <f t="shared" si="11"/>
        <v>1</v>
      </c>
      <c r="M150">
        <f t="shared" si="12"/>
        <v>630.5</v>
      </c>
      <c r="N150" t="str">
        <f t="shared" si="13"/>
        <v>SUFICIENTE</v>
      </c>
      <c r="O150">
        <f t="shared" si="14"/>
        <v>0</v>
      </c>
    </row>
    <row r="151" spans="1:15" x14ac:dyDescent="0.45">
      <c r="A151" t="str">
        <v>CD-HER</v>
      </c>
      <c r="B151" t="str">
        <v>BEB-1018</v>
      </c>
      <c r="C151">
        <v>3259</v>
      </c>
      <c r="D151">
        <v>547.70000000000005</v>
      </c>
      <c r="E151">
        <v>107.2</v>
      </c>
      <c r="F151">
        <v>2.8</v>
      </c>
      <c r="G151">
        <v>1.2</v>
      </c>
      <c r="H151" t="str">
        <v>OK</v>
      </c>
      <c r="J151">
        <f t="shared" si="10"/>
        <v>5898.0999999999995</v>
      </c>
      <c r="K151">
        <f>SUMIF(Supply_Clean[Item_Code], B151, Supply_Clean[Available_Supply])</f>
        <v>11472</v>
      </c>
      <c r="L151">
        <f t="shared" si="11"/>
        <v>1</v>
      </c>
      <c r="M151">
        <f t="shared" si="12"/>
        <v>547.70000000000005</v>
      </c>
      <c r="N151" t="str">
        <f t="shared" si="13"/>
        <v>SUFICIENTE</v>
      </c>
      <c r="O151">
        <f t="shared" si="14"/>
        <v>0</v>
      </c>
    </row>
    <row r="152" spans="1:15" x14ac:dyDescent="0.45">
      <c r="A152" t="str">
        <v>CD-SAL</v>
      </c>
      <c r="B152" t="str">
        <v>BOT-1014</v>
      </c>
      <c r="C152">
        <v>3623</v>
      </c>
      <c r="D152">
        <v>301.60000000000002</v>
      </c>
      <c r="E152">
        <v>69.599999999999994</v>
      </c>
      <c r="F152">
        <v>1.7</v>
      </c>
      <c r="G152">
        <v>0.5</v>
      </c>
      <c r="H152" t="str">
        <v>OK</v>
      </c>
      <c r="J152">
        <f t="shared" si="10"/>
        <v>8056.4000000000005</v>
      </c>
      <c r="K152">
        <f>SUMIF(Supply_Clean[Item_Code], B152, Supply_Clean[Available_Supply])</f>
        <v>14373</v>
      </c>
      <c r="L152">
        <f t="shared" si="11"/>
        <v>1</v>
      </c>
      <c r="M152">
        <f t="shared" si="12"/>
        <v>301.60000000000002</v>
      </c>
      <c r="N152" t="str">
        <f t="shared" si="13"/>
        <v>SUFICIENTE</v>
      </c>
      <c r="O152">
        <f t="shared" si="14"/>
        <v>0</v>
      </c>
    </row>
    <row r="153" spans="1:15" x14ac:dyDescent="0.45">
      <c r="A153" t="str">
        <v>CD-TOL</v>
      </c>
      <c r="B153" t="str">
        <v>BOT-1019</v>
      </c>
      <c r="C153">
        <v>625</v>
      </c>
      <c r="D153">
        <v>762.3</v>
      </c>
      <c r="E153">
        <v>200.6</v>
      </c>
      <c r="F153">
        <v>2.8</v>
      </c>
      <c r="G153">
        <v>0.5</v>
      </c>
      <c r="H153" t="str">
        <v>OK</v>
      </c>
      <c r="J153">
        <f t="shared" si="10"/>
        <v>9278.2999999999993</v>
      </c>
      <c r="K153">
        <f>SUMIF(Supply_Clean[Item_Code], B153, Supply_Clean[Available_Supply])</f>
        <v>4509</v>
      </c>
      <c r="L153">
        <f t="shared" si="11"/>
        <v>0.48597264585107192</v>
      </c>
      <c r="M153">
        <f t="shared" si="12"/>
        <v>370.4569479322721</v>
      </c>
      <c r="N153" t="str">
        <f t="shared" si="13"/>
        <v>ESCASEZ</v>
      </c>
      <c r="O153">
        <f t="shared" si="14"/>
        <v>391.84305206772785</v>
      </c>
    </row>
    <row r="154" spans="1:15" x14ac:dyDescent="0.45">
      <c r="A154" t="str">
        <v>CD-TIJ</v>
      </c>
      <c r="B154" t="str">
        <v>ABA-1001</v>
      </c>
      <c r="C154">
        <v>829</v>
      </c>
      <c r="D154">
        <v>155.1</v>
      </c>
      <c r="E154">
        <v>17.2</v>
      </c>
      <c r="F154">
        <v>2.2000000000000002</v>
      </c>
      <c r="G154">
        <v>1.5</v>
      </c>
      <c r="H154" t="str">
        <v>OK</v>
      </c>
      <c r="J154">
        <f t="shared" si="10"/>
        <v>4698.6999999999989</v>
      </c>
      <c r="K154">
        <f>SUMIF(Supply_Clean[Item_Code], B154, Supply_Clean[Available_Supply])</f>
        <v>8775</v>
      </c>
      <c r="L154">
        <f t="shared" si="11"/>
        <v>1</v>
      </c>
      <c r="M154">
        <f t="shared" si="12"/>
        <v>155.1</v>
      </c>
      <c r="N154" t="str">
        <f t="shared" si="13"/>
        <v>SUFICIENTE</v>
      </c>
      <c r="O154">
        <f t="shared" si="14"/>
        <v>0</v>
      </c>
    </row>
    <row r="155" spans="1:15" x14ac:dyDescent="0.45">
      <c r="A155" t="str">
        <v>CD-CDMX</v>
      </c>
      <c r="B155" t="str">
        <v>BOT-1017</v>
      </c>
      <c r="C155">
        <v>1635</v>
      </c>
      <c r="D155">
        <v>695.8</v>
      </c>
      <c r="E155">
        <v>150.69999999999999</v>
      </c>
      <c r="F155">
        <v>1</v>
      </c>
      <c r="G155">
        <v>0.2</v>
      </c>
      <c r="H155" t="str">
        <v>OK</v>
      </c>
      <c r="J155">
        <f t="shared" si="10"/>
        <v>10291.300000000001</v>
      </c>
      <c r="K155">
        <f>SUMIF(Supply_Clean[Item_Code], B155, Supply_Clean[Available_Supply])</f>
        <v>5486</v>
      </c>
      <c r="L155">
        <f t="shared" si="11"/>
        <v>0.53307162360440363</v>
      </c>
      <c r="M155">
        <f t="shared" si="12"/>
        <v>370.91123570394404</v>
      </c>
      <c r="N155" t="str">
        <f t="shared" si="13"/>
        <v>ESCASEZ</v>
      </c>
      <c r="O155">
        <f t="shared" si="14"/>
        <v>324.88876429605591</v>
      </c>
    </row>
    <row r="156" spans="1:15" x14ac:dyDescent="0.45">
      <c r="A156" t="str">
        <v>CD-LEO</v>
      </c>
      <c r="B156" t="str">
        <v>PRO-1011</v>
      </c>
      <c r="C156">
        <v>8096</v>
      </c>
      <c r="D156">
        <v>807.8</v>
      </c>
      <c r="E156">
        <v>374.1</v>
      </c>
      <c r="F156">
        <v>2.1</v>
      </c>
      <c r="G156">
        <v>0.6</v>
      </c>
      <c r="H156" t="str">
        <v>OK</v>
      </c>
      <c r="J156">
        <f t="shared" si="10"/>
        <v>5674.6999999999989</v>
      </c>
      <c r="K156">
        <f>SUMIF(Supply_Clean[Item_Code], B156, Supply_Clean[Available_Supply])</f>
        <v>14178</v>
      </c>
      <c r="L156">
        <f t="shared" si="11"/>
        <v>1</v>
      </c>
      <c r="M156">
        <f t="shared" si="12"/>
        <v>807.8</v>
      </c>
      <c r="N156" t="str">
        <f t="shared" si="13"/>
        <v>SUFICIENTE</v>
      </c>
      <c r="O156">
        <f t="shared" si="14"/>
        <v>0</v>
      </c>
    </row>
    <row r="157" spans="1:15" x14ac:dyDescent="0.45">
      <c r="A157" t="str">
        <v>CD-HER</v>
      </c>
      <c r="B157" t="str">
        <v>BOT-1002</v>
      </c>
      <c r="C157">
        <v>10512</v>
      </c>
      <c r="D157">
        <v>951.8</v>
      </c>
      <c r="E157">
        <v>179.4</v>
      </c>
      <c r="F157">
        <v>2.7</v>
      </c>
      <c r="G157">
        <v>1.2</v>
      </c>
      <c r="H157" t="str">
        <v>OK</v>
      </c>
      <c r="J157">
        <f t="shared" si="10"/>
        <v>8527</v>
      </c>
      <c r="K157">
        <f>SUMIF(Supply_Clean[Item_Code], B157, Supply_Clean[Available_Supply])</f>
        <v>25048</v>
      </c>
      <c r="L157">
        <f t="shared" si="11"/>
        <v>1</v>
      </c>
      <c r="M157">
        <f t="shared" si="12"/>
        <v>951.8</v>
      </c>
      <c r="N157" t="str">
        <f t="shared" si="13"/>
        <v>SUFICIENTE</v>
      </c>
      <c r="O157">
        <f t="shared" si="14"/>
        <v>0</v>
      </c>
    </row>
    <row r="158" spans="1:15" x14ac:dyDescent="0.45">
      <c r="A158" t="str">
        <v>CD-HER</v>
      </c>
      <c r="B158" t="str">
        <v>ABA-1018</v>
      </c>
      <c r="C158">
        <v>3639</v>
      </c>
      <c r="D158">
        <v>280.3</v>
      </c>
      <c r="E158">
        <v>27.5</v>
      </c>
      <c r="F158">
        <v>4.2</v>
      </c>
      <c r="G158">
        <v>1.2</v>
      </c>
      <c r="H158" t="str">
        <v>OK</v>
      </c>
      <c r="J158">
        <f t="shared" si="10"/>
        <v>4478</v>
      </c>
      <c r="K158">
        <f>SUMIF(Supply_Clean[Item_Code], B158, Supply_Clean[Available_Supply])</f>
        <v>6884</v>
      </c>
      <c r="L158">
        <f t="shared" si="11"/>
        <v>1</v>
      </c>
      <c r="M158">
        <f t="shared" si="12"/>
        <v>280.3</v>
      </c>
      <c r="N158" t="str">
        <f t="shared" si="13"/>
        <v>SUFICIENTE</v>
      </c>
      <c r="O158">
        <f t="shared" si="14"/>
        <v>0</v>
      </c>
    </row>
    <row r="159" spans="1:15" x14ac:dyDescent="0.45">
      <c r="A159" t="str">
        <v>CD-CHI</v>
      </c>
      <c r="B159" t="str">
        <v>BOT-1002</v>
      </c>
      <c r="C159">
        <v>8919</v>
      </c>
      <c r="D159">
        <v>661.2</v>
      </c>
      <c r="E159">
        <v>159.5</v>
      </c>
      <c r="F159">
        <v>3.7</v>
      </c>
      <c r="G159">
        <v>1</v>
      </c>
      <c r="H159" t="str">
        <v>OK</v>
      </c>
      <c r="J159">
        <f t="shared" si="10"/>
        <v>8527</v>
      </c>
      <c r="K159">
        <f>SUMIF(Supply_Clean[Item_Code], B159, Supply_Clean[Available_Supply])</f>
        <v>25048</v>
      </c>
      <c r="L159">
        <f t="shared" si="11"/>
        <v>1</v>
      </c>
      <c r="M159">
        <f t="shared" si="12"/>
        <v>661.2</v>
      </c>
      <c r="N159" t="str">
        <f t="shared" si="13"/>
        <v>SUFICIENTE</v>
      </c>
      <c r="O159">
        <f t="shared" si="14"/>
        <v>0</v>
      </c>
    </row>
    <row r="160" spans="1:15" x14ac:dyDescent="0.45">
      <c r="A160" t="str">
        <v>CD-QRO</v>
      </c>
      <c r="B160" t="str">
        <v>BOT-1007</v>
      </c>
      <c r="C160">
        <v>6595</v>
      </c>
      <c r="D160">
        <v>370.6</v>
      </c>
      <c r="E160">
        <v>65.400000000000006</v>
      </c>
      <c r="F160">
        <v>1.8</v>
      </c>
      <c r="G160">
        <v>0.4</v>
      </c>
      <c r="H160" t="str">
        <v>OK</v>
      </c>
      <c r="J160">
        <f t="shared" si="10"/>
        <v>7508.1</v>
      </c>
      <c r="K160">
        <f>SUMIF(Supply_Clean[Item_Code], B160, Supply_Clean[Available_Supply])</f>
        <v>16668</v>
      </c>
      <c r="L160">
        <f t="shared" si="11"/>
        <v>1</v>
      </c>
      <c r="M160">
        <f t="shared" si="12"/>
        <v>370.6</v>
      </c>
      <c r="N160" t="str">
        <f t="shared" si="13"/>
        <v>SUFICIENTE</v>
      </c>
      <c r="O160">
        <f t="shared" si="14"/>
        <v>0</v>
      </c>
    </row>
    <row r="161" spans="1:15" x14ac:dyDescent="0.45">
      <c r="A161" t="str">
        <v>CD-MER</v>
      </c>
      <c r="B161" t="str">
        <v>BEB-1007</v>
      </c>
      <c r="C161">
        <v>695</v>
      </c>
      <c r="D161">
        <v>252.7</v>
      </c>
      <c r="E161">
        <v>32.5</v>
      </c>
      <c r="F161">
        <v>3.7</v>
      </c>
      <c r="G161">
        <v>1.3</v>
      </c>
      <c r="H161" t="str">
        <v>OK</v>
      </c>
      <c r="J161">
        <f t="shared" si="10"/>
        <v>5039.5</v>
      </c>
      <c r="K161">
        <f>SUMIF(Supply_Clean[Item_Code], B161, Supply_Clean[Available_Supply])</f>
        <v>12912</v>
      </c>
      <c r="L161">
        <f t="shared" si="11"/>
        <v>1</v>
      </c>
      <c r="M161">
        <f t="shared" si="12"/>
        <v>252.7</v>
      </c>
      <c r="N161" t="str">
        <f t="shared" si="13"/>
        <v>SUFICIENTE</v>
      </c>
      <c r="O161">
        <f t="shared" si="14"/>
        <v>0</v>
      </c>
    </row>
    <row r="162" spans="1:15" x14ac:dyDescent="0.45">
      <c r="A162" t="str">
        <v>CD-MOR</v>
      </c>
      <c r="B162" t="str">
        <v>BOT-1019</v>
      </c>
      <c r="C162">
        <v>7777</v>
      </c>
      <c r="D162">
        <v>608.70000000000005</v>
      </c>
      <c r="E162">
        <v>177.6</v>
      </c>
      <c r="F162">
        <v>2.1</v>
      </c>
      <c r="G162">
        <v>0.5</v>
      </c>
      <c r="H162" t="str">
        <v>OK</v>
      </c>
      <c r="J162">
        <f t="shared" si="10"/>
        <v>9278.2999999999993</v>
      </c>
      <c r="K162">
        <f>SUMIF(Supply_Clean[Item_Code], B162, Supply_Clean[Available_Supply])</f>
        <v>4509</v>
      </c>
      <c r="L162">
        <f t="shared" si="11"/>
        <v>0.48597264585107192</v>
      </c>
      <c r="M162">
        <f t="shared" si="12"/>
        <v>295.81154952954751</v>
      </c>
      <c r="N162" t="str">
        <f t="shared" si="13"/>
        <v>ESCASEZ</v>
      </c>
      <c r="O162">
        <f t="shared" si="14"/>
        <v>312.88845047045254</v>
      </c>
    </row>
    <row r="163" spans="1:15" x14ac:dyDescent="0.45">
      <c r="A163" t="str">
        <v>CD-MER</v>
      </c>
      <c r="B163" t="str">
        <v>BOT-1001</v>
      </c>
      <c r="C163">
        <v>3842</v>
      </c>
      <c r="D163">
        <v>278.2</v>
      </c>
      <c r="E163">
        <v>50.7</v>
      </c>
      <c r="F163">
        <v>7.7</v>
      </c>
      <c r="G163">
        <v>1.3</v>
      </c>
      <c r="H163" t="str">
        <v>OK</v>
      </c>
      <c r="J163">
        <f t="shared" si="10"/>
        <v>8375.9</v>
      </c>
      <c r="K163">
        <f>SUMIF(Supply_Clean[Item_Code], B163, Supply_Clean[Available_Supply])</f>
        <v>20393</v>
      </c>
      <c r="L163">
        <f t="shared" si="11"/>
        <v>1</v>
      </c>
      <c r="M163">
        <f t="shared" si="12"/>
        <v>278.2</v>
      </c>
      <c r="N163" t="str">
        <f t="shared" si="13"/>
        <v>SUFICIENTE</v>
      </c>
      <c r="O163">
        <f t="shared" si="14"/>
        <v>0</v>
      </c>
    </row>
    <row r="164" spans="1:15" x14ac:dyDescent="0.45">
      <c r="A164" t="str">
        <v>CD-PUE</v>
      </c>
      <c r="B164" t="str">
        <v>PRO-1011</v>
      </c>
      <c r="C164">
        <v>350</v>
      </c>
      <c r="D164">
        <v>124.1</v>
      </c>
      <c r="E164">
        <v>77.7</v>
      </c>
      <c r="F164">
        <v>0.8</v>
      </c>
      <c r="G164">
        <v>0.3</v>
      </c>
      <c r="H164" t="str">
        <v>OK</v>
      </c>
      <c r="J164">
        <f t="shared" si="10"/>
        <v>5674.6999999999989</v>
      </c>
      <c r="K164">
        <f>SUMIF(Supply_Clean[Item_Code], B164, Supply_Clean[Available_Supply])</f>
        <v>14178</v>
      </c>
      <c r="L164">
        <f t="shared" si="11"/>
        <v>1</v>
      </c>
      <c r="M164">
        <f t="shared" si="12"/>
        <v>124.1</v>
      </c>
      <c r="N164" t="str">
        <f t="shared" si="13"/>
        <v>SUFICIENTE</v>
      </c>
      <c r="O164">
        <f t="shared" si="14"/>
        <v>0</v>
      </c>
    </row>
    <row r="165" spans="1:15" x14ac:dyDescent="0.45">
      <c r="A165" t="str">
        <v>CD-QRO</v>
      </c>
      <c r="B165" t="str">
        <v>BEB-1021</v>
      </c>
      <c r="C165">
        <v>9794</v>
      </c>
      <c r="D165">
        <v>571.6</v>
      </c>
      <c r="E165">
        <v>96</v>
      </c>
      <c r="F165">
        <v>2.1</v>
      </c>
      <c r="G165">
        <v>0.4</v>
      </c>
      <c r="H165" t="str">
        <v>OK</v>
      </c>
      <c r="J165">
        <f t="shared" si="10"/>
        <v>5254.7999999999993</v>
      </c>
      <c r="K165">
        <f>SUMIF(Supply_Clean[Item_Code], B165, Supply_Clean[Available_Supply])</f>
        <v>13235</v>
      </c>
      <c r="L165">
        <f t="shared" si="11"/>
        <v>1</v>
      </c>
      <c r="M165">
        <f t="shared" si="12"/>
        <v>571.6</v>
      </c>
      <c r="N165" t="str">
        <f t="shared" si="13"/>
        <v>SUFICIENTE</v>
      </c>
      <c r="O165">
        <f t="shared" si="14"/>
        <v>0</v>
      </c>
    </row>
    <row r="166" spans="1:15" x14ac:dyDescent="0.45">
      <c r="A166" t="str">
        <v>CD-MTY</v>
      </c>
      <c r="B166" t="str">
        <v>BOT-1023</v>
      </c>
      <c r="C166">
        <v>5828</v>
      </c>
      <c r="D166">
        <v>406</v>
      </c>
      <c r="E166">
        <v>92.6</v>
      </c>
      <c r="F166">
        <v>1.5</v>
      </c>
      <c r="G166">
        <v>0.3</v>
      </c>
      <c r="H166" t="str">
        <v>OK</v>
      </c>
      <c r="J166">
        <f t="shared" si="10"/>
        <v>8227.6</v>
      </c>
      <c r="K166">
        <f>SUMIF(Supply_Clean[Item_Code], B166, Supply_Clean[Available_Supply])</f>
        <v>23663</v>
      </c>
      <c r="L166">
        <f t="shared" si="11"/>
        <v>1</v>
      </c>
      <c r="M166">
        <f t="shared" si="12"/>
        <v>406</v>
      </c>
      <c r="N166" t="str">
        <f t="shared" si="13"/>
        <v>SUFICIENTE</v>
      </c>
      <c r="O166">
        <f t="shared" si="14"/>
        <v>0</v>
      </c>
    </row>
    <row r="167" spans="1:15" x14ac:dyDescent="0.45">
      <c r="A167" t="str">
        <v>CD-MER</v>
      </c>
      <c r="B167" t="str">
        <v>ABA-1007</v>
      </c>
      <c r="C167">
        <v>1783</v>
      </c>
      <c r="D167">
        <v>139.30000000000001</v>
      </c>
      <c r="E167">
        <v>16.399999999999999</v>
      </c>
      <c r="F167">
        <v>5.6</v>
      </c>
      <c r="G167">
        <v>1.3</v>
      </c>
      <c r="H167" t="str">
        <v>OK</v>
      </c>
      <c r="J167">
        <f t="shared" si="10"/>
        <v>4867.3</v>
      </c>
      <c r="K167">
        <f>SUMIF(Supply_Clean[Item_Code], B167, Supply_Clean[Available_Supply])</f>
        <v>13182</v>
      </c>
      <c r="L167">
        <f t="shared" si="11"/>
        <v>1</v>
      </c>
      <c r="M167">
        <f t="shared" si="12"/>
        <v>139.30000000000001</v>
      </c>
      <c r="N167" t="str">
        <f t="shared" si="13"/>
        <v>SUFICIENTE</v>
      </c>
      <c r="O167">
        <f t="shared" si="14"/>
        <v>0</v>
      </c>
    </row>
    <row r="168" spans="1:15" x14ac:dyDescent="0.45">
      <c r="A168" t="str">
        <v>CD-MTY</v>
      </c>
      <c r="B168" t="str">
        <v>ABA-1009</v>
      </c>
      <c r="C168">
        <v>2769</v>
      </c>
      <c r="D168">
        <v>285.60000000000002</v>
      </c>
      <c r="E168">
        <v>25.9</v>
      </c>
      <c r="F168">
        <v>0.9</v>
      </c>
      <c r="G168">
        <v>0.3</v>
      </c>
      <c r="H168" t="str">
        <v>OK</v>
      </c>
      <c r="J168">
        <f t="shared" si="10"/>
        <v>5016.1000000000004</v>
      </c>
      <c r="K168">
        <f>SUMIF(Supply_Clean[Item_Code], B168, Supply_Clean[Available_Supply])</f>
        <v>13458</v>
      </c>
      <c r="L168">
        <f t="shared" si="11"/>
        <v>1</v>
      </c>
      <c r="M168">
        <f t="shared" si="12"/>
        <v>285.60000000000002</v>
      </c>
      <c r="N168" t="str">
        <f t="shared" si="13"/>
        <v>SUFICIENTE</v>
      </c>
      <c r="O168">
        <f t="shared" si="14"/>
        <v>0</v>
      </c>
    </row>
    <row r="169" spans="1:15" x14ac:dyDescent="0.45">
      <c r="A169" t="str">
        <v>CD-HER</v>
      </c>
      <c r="B169" t="str">
        <v>ABA-1011</v>
      </c>
      <c r="C169">
        <v>331</v>
      </c>
      <c r="D169">
        <v>128.1</v>
      </c>
      <c r="E169">
        <v>12.2</v>
      </c>
      <c r="F169">
        <v>3.2</v>
      </c>
      <c r="G169">
        <v>1.2</v>
      </c>
      <c r="H169" t="str">
        <v>OK</v>
      </c>
      <c r="J169">
        <f t="shared" si="10"/>
        <v>4892.0999999999995</v>
      </c>
      <c r="K169">
        <f>SUMIF(Supply_Clean[Item_Code], B169, Supply_Clean[Available_Supply])</f>
        <v>9079</v>
      </c>
      <c r="L169">
        <f t="shared" si="11"/>
        <v>1</v>
      </c>
      <c r="M169">
        <f t="shared" si="12"/>
        <v>128.1</v>
      </c>
      <c r="N169" t="str">
        <f t="shared" si="13"/>
        <v>SUFICIENTE</v>
      </c>
      <c r="O169">
        <f t="shared" si="14"/>
        <v>0</v>
      </c>
    </row>
    <row r="170" spans="1:15" x14ac:dyDescent="0.45">
      <c r="A170" t="str">
        <v>CD-MOR</v>
      </c>
      <c r="B170" t="str">
        <v>ABA-1004</v>
      </c>
      <c r="C170">
        <v>328</v>
      </c>
      <c r="D170">
        <v>234.3</v>
      </c>
      <c r="E170">
        <v>20.100000000000001</v>
      </c>
      <c r="F170">
        <v>2.2999999999999998</v>
      </c>
      <c r="G170">
        <v>0.5</v>
      </c>
      <c r="H170" t="str">
        <v>OK</v>
      </c>
      <c r="J170">
        <f t="shared" si="10"/>
        <v>5236.7</v>
      </c>
      <c r="K170">
        <f>SUMIF(Supply_Clean[Item_Code], B170, Supply_Clean[Available_Supply])</f>
        <v>10879</v>
      </c>
      <c r="L170">
        <f t="shared" si="11"/>
        <v>1</v>
      </c>
      <c r="M170">
        <f t="shared" si="12"/>
        <v>234.3</v>
      </c>
      <c r="N170" t="str">
        <f t="shared" si="13"/>
        <v>SUFICIENTE</v>
      </c>
      <c r="O170">
        <f t="shared" si="14"/>
        <v>0</v>
      </c>
    </row>
    <row r="171" spans="1:15" x14ac:dyDescent="0.45">
      <c r="A171" t="str">
        <v>CD-HER</v>
      </c>
      <c r="B171" t="str">
        <v>LAC-1005</v>
      </c>
      <c r="C171">
        <v>983</v>
      </c>
      <c r="D171">
        <v>315.8</v>
      </c>
      <c r="E171">
        <v>122.3</v>
      </c>
      <c r="F171">
        <v>4.2</v>
      </c>
      <c r="G171">
        <v>1.2</v>
      </c>
      <c r="H171" t="str">
        <v>OK</v>
      </c>
      <c r="J171">
        <f t="shared" si="10"/>
        <v>3868.9</v>
      </c>
      <c r="K171">
        <f>SUMIF(Supply_Clean[Item_Code], B171, Supply_Clean[Available_Supply])</f>
        <v>9953</v>
      </c>
      <c r="L171">
        <f t="shared" si="11"/>
        <v>1</v>
      </c>
      <c r="M171">
        <f t="shared" si="12"/>
        <v>315.8</v>
      </c>
      <c r="N171" t="str">
        <f t="shared" si="13"/>
        <v>SUFICIENTE</v>
      </c>
      <c r="O171">
        <f t="shared" si="14"/>
        <v>0</v>
      </c>
    </row>
    <row r="172" spans="1:15" x14ac:dyDescent="0.45">
      <c r="A172" t="str">
        <v>CD-MTY</v>
      </c>
      <c r="B172" t="str">
        <v>PRO-1015</v>
      </c>
      <c r="C172">
        <v>6105</v>
      </c>
      <c r="D172">
        <v>483.9</v>
      </c>
      <c r="E172">
        <v>195.5</v>
      </c>
      <c r="F172">
        <v>1</v>
      </c>
      <c r="G172">
        <v>0.3</v>
      </c>
      <c r="H172" t="str">
        <v>OK</v>
      </c>
      <c r="J172">
        <f t="shared" si="10"/>
        <v>5021.5</v>
      </c>
      <c r="K172">
        <f>SUMIF(Supply_Clean[Item_Code], B172, Supply_Clean[Available_Supply])</f>
        <v>15970</v>
      </c>
      <c r="L172">
        <f t="shared" si="11"/>
        <v>1</v>
      </c>
      <c r="M172">
        <f t="shared" si="12"/>
        <v>483.9</v>
      </c>
      <c r="N172" t="str">
        <f t="shared" si="13"/>
        <v>SUFICIENTE</v>
      </c>
      <c r="O172">
        <f t="shared" si="14"/>
        <v>0</v>
      </c>
    </row>
    <row r="173" spans="1:15" x14ac:dyDescent="0.45">
      <c r="A173" t="str">
        <v>CD-MOR</v>
      </c>
      <c r="B173" t="str">
        <v>BOT-1011</v>
      </c>
      <c r="C173">
        <v>1896</v>
      </c>
      <c r="D173">
        <v>768.1</v>
      </c>
      <c r="E173">
        <v>189.8</v>
      </c>
      <c r="F173">
        <v>1.5</v>
      </c>
      <c r="G173">
        <v>0.5</v>
      </c>
      <c r="H173" t="str">
        <v>OK</v>
      </c>
      <c r="J173">
        <f t="shared" si="10"/>
        <v>9886.2999999999993</v>
      </c>
      <c r="K173">
        <f>SUMIF(Supply_Clean[Item_Code], B173, Supply_Clean[Available_Supply])</f>
        <v>19886</v>
      </c>
      <c r="L173">
        <f t="shared" si="11"/>
        <v>1</v>
      </c>
      <c r="M173">
        <f t="shared" si="12"/>
        <v>768.1</v>
      </c>
      <c r="N173" t="str">
        <f t="shared" si="13"/>
        <v>SUFICIENTE</v>
      </c>
      <c r="O173">
        <f t="shared" si="14"/>
        <v>0</v>
      </c>
    </row>
    <row r="174" spans="1:15" x14ac:dyDescent="0.45">
      <c r="A174" t="str">
        <v>CD-TOL</v>
      </c>
      <c r="B174" t="str">
        <v>BOT-1012</v>
      </c>
      <c r="C174">
        <v>744</v>
      </c>
      <c r="D174">
        <v>371.6</v>
      </c>
      <c r="E174">
        <v>67.099999999999994</v>
      </c>
      <c r="F174">
        <v>1.3</v>
      </c>
      <c r="G174">
        <v>0.5</v>
      </c>
      <c r="H174" t="str">
        <v>OK</v>
      </c>
      <c r="J174">
        <f t="shared" si="10"/>
        <v>9259.4</v>
      </c>
      <c r="K174">
        <f>SUMIF(Supply_Clean[Item_Code], B174, Supply_Clean[Available_Supply])</f>
        <v>13943</v>
      </c>
      <c r="L174">
        <f t="shared" si="11"/>
        <v>1</v>
      </c>
      <c r="M174">
        <f t="shared" si="12"/>
        <v>371.6</v>
      </c>
      <c r="N174" t="str">
        <f t="shared" si="13"/>
        <v>SUFICIENTE</v>
      </c>
      <c r="O174">
        <f t="shared" si="14"/>
        <v>0</v>
      </c>
    </row>
    <row r="175" spans="1:15" x14ac:dyDescent="0.45">
      <c r="A175" t="str">
        <v>CD-VER</v>
      </c>
      <c r="B175" t="str">
        <v>BEB-1012</v>
      </c>
      <c r="C175">
        <v>557</v>
      </c>
      <c r="D175">
        <v>170.2</v>
      </c>
      <c r="E175">
        <v>33.4</v>
      </c>
      <c r="F175">
        <v>4.2</v>
      </c>
      <c r="G175">
        <v>0.9</v>
      </c>
      <c r="H175" t="str">
        <v>OK</v>
      </c>
      <c r="J175">
        <f t="shared" si="10"/>
        <v>5740.7</v>
      </c>
      <c r="K175">
        <f>SUMIF(Supply_Clean[Item_Code], B175, Supply_Clean[Available_Supply])</f>
        <v>12491</v>
      </c>
      <c r="L175">
        <f t="shared" si="11"/>
        <v>1</v>
      </c>
      <c r="M175">
        <f t="shared" si="12"/>
        <v>170.2</v>
      </c>
      <c r="N175" t="str">
        <f t="shared" si="13"/>
        <v>SUFICIENTE</v>
      </c>
      <c r="O175">
        <f t="shared" si="14"/>
        <v>0</v>
      </c>
    </row>
    <row r="176" spans="1:15" x14ac:dyDescent="0.45">
      <c r="A176" t="str">
        <v>CD-CHI</v>
      </c>
      <c r="B176" t="str">
        <v>BEB-1001</v>
      </c>
      <c r="C176">
        <v>1695</v>
      </c>
      <c r="D176">
        <v>414.2</v>
      </c>
      <c r="E176">
        <v>73.5</v>
      </c>
      <c r="F176">
        <v>2.9</v>
      </c>
      <c r="G176">
        <v>1</v>
      </c>
      <c r="H176" t="str">
        <v>OK</v>
      </c>
      <c r="J176">
        <f t="shared" si="10"/>
        <v>6941.9</v>
      </c>
      <c r="K176">
        <f>SUMIF(Supply_Clean[Item_Code], B176, Supply_Clean[Available_Supply])</f>
        <v>11725</v>
      </c>
      <c r="L176">
        <f t="shared" si="11"/>
        <v>1</v>
      </c>
      <c r="M176">
        <f t="shared" si="12"/>
        <v>414.2</v>
      </c>
      <c r="N176" t="str">
        <f t="shared" si="13"/>
        <v>SUFICIENTE</v>
      </c>
      <c r="O176">
        <f t="shared" si="14"/>
        <v>0</v>
      </c>
    </row>
    <row r="177" spans="1:15" x14ac:dyDescent="0.45">
      <c r="A177" t="str">
        <v>CD-SAL</v>
      </c>
      <c r="B177" t="str">
        <v>BOT-1007</v>
      </c>
      <c r="C177">
        <v>11769</v>
      </c>
      <c r="D177">
        <v>938.5</v>
      </c>
      <c r="E177">
        <v>254.3</v>
      </c>
      <c r="F177">
        <v>1.9</v>
      </c>
      <c r="G177">
        <v>0.5</v>
      </c>
      <c r="H177" t="str">
        <v>OK</v>
      </c>
      <c r="J177">
        <f t="shared" si="10"/>
        <v>7508.1</v>
      </c>
      <c r="K177">
        <f>SUMIF(Supply_Clean[Item_Code], B177, Supply_Clean[Available_Supply])</f>
        <v>16668</v>
      </c>
      <c r="L177">
        <f t="shared" si="11"/>
        <v>1</v>
      </c>
      <c r="M177">
        <f t="shared" si="12"/>
        <v>938.5</v>
      </c>
      <c r="N177" t="str">
        <f t="shared" si="13"/>
        <v>SUFICIENTE</v>
      </c>
      <c r="O177">
        <f t="shared" si="14"/>
        <v>0</v>
      </c>
    </row>
    <row r="178" spans="1:15" x14ac:dyDescent="0.45">
      <c r="A178" t="str">
        <v>CD-CAN</v>
      </c>
      <c r="B178" t="str">
        <v>BOT-1022</v>
      </c>
      <c r="C178">
        <v>11266</v>
      </c>
      <c r="D178">
        <v>683.1</v>
      </c>
      <c r="E178">
        <v>203.2</v>
      </c>
      <c r="F178">
        <v>3.3</v>
      </c>
      <c r="G178">
        <v>1.6</v>
      </c>
      <c r="H178" t="str">
        <v>OK</v>
      </c>
      <c r="J178">
        <f t="shared" si="10"/>
        <v>9197.7000000000007</v>
      </c>
      <c r="K178">
        <f>SUMIF(Supply_Clean[Item_Code], B178, Supply_Clean[Available_Supply])</f>
        <v>23862</v>
      </c>
      <c r="L178">
        <f t="shared" si="11"/>
        <v>1</v>
      </c>
      <c r="M178">
        <f t="shared" si="12"/>
        <v>683.1</v>
      </c>
      <c r="N178" t="str">
        <f t="shared" si="13"/>
        <v>SUFICIENTE</v>
      </c>
      <c r="O178">
        <f t="shared" si="14"/>
        <v>0</v>
      </c>
    </row>
    <row r="179" spans="1:15" x14ac:dyDescent="0.45">
      <c r="A179" t="str">
        <v>CD-PUE</v>
      </c>
      <c r="B179" t="str">
        <v>LAC-1013</v>
      </c>
      <c r="C179">
        <v>1126</v>
      </c>
      <c r="D179">
        <v>120.8</v>
      </c>
      <c r="E179">
        <v>46.9</v>
      </c>
      <c r="F179">
        <v>1.1000000000000001</v>
      </c>
      <c r="G179">
        <v>0.3</v>
      </c>
      <c r="H179" t="str">
        <v>OK</v>
      </c>
      <c r="J179">
        <f t="shared" si="10"/>
        <v>3650.7</v>
      </c>
      <c r="K179">
        <f>SUMIF(Supply_Clean[Item_Code], B179, Supply_Clean[Available_Supply])</f>
        <v>12026</v>
      </c>
      <c r="L179">
        <f t="shared" si="11"/>
        <v>1</v>
      </c>
      <c r="M179">
        <f t="shared" si="12"/>
        <v>120.8</v>
      </c>
      <c r="N179" t="str">
        <f t="shared" si="13"/>
        <v>SUFICIENTE</v>
      </c>
      <c r="O179">
        <f t="shared" si="14"/>
        <v>0</v>
      </c>
    </row>
    <row r="180" spans="1:15" x14ac:dyDescent="0.45">
      <c r="A180" t="str">
        <v>CD-CAN</v>
      </c>
      <c r="B180" t="str">
        <v>BOT-1023</v>
      </c>
      <c r="C180">
        <v>6821</v>
      </c>
      <c r="D180">
        <v>483.1</v>
      </c>
      <c r="E180">
        <v>139.30000000000001</v>
      </c>
      <c r="F180">
        <v>5.7</v>
      </c>
      <c r="G180">
        <v>1.6</v>
      </c>
      <c r="H180" t="str">
        <v>OK</v>
      </c>
      <c r="J180">
        <f t="shared" si="10"/>
        <v>8227.6</v>
      </c>
      <c r="K180">
        <f>SUMIF(Supply_Clean[Item_Code], B180, Supply_Clean[Available_Supply])</f>
        <v>23663</v>
      </c>
      <c r="L180">
        <f t="shared" si="11"/>
        <v>1</v>
      </c>
      <c r="M180">
        <f t="shared" si="12"/>
        <v>483.1</v>
      </c>
      <c r="N180" t="str">
        <f t="shared" si="13"/>
        <v>SUFICIENTE</v>
      </c>
      <c r="O180">
        <f t="shared" si="14"/>
        <v>0</v>
      </c>
    </row>
    <row r="181" spans="1:15" x14ac:dyDescent="0.45">
      <c r="A181" t="str">
        <v>CD-GDL</v>
      </c>
      <c r="B181" t="str">
        <v>BOT-1006</v>
      </c>
      <c r="C181">
        <v>14363</v>
      </c>
      <c r="D181">
        <v>991.2</v>
      </c>
      <c r="E181">
        <v>184.9</v>
      </c>
      <c r="F181">
        <v>1</v>
      </c>
      <c r="G181">
        <v>0.2</v>
      </c>
      <c r="H181" t="str">
        <v>OK</v>
      </c>
      <c r="J181">
        <f t="shared" si="10"/>
        <v>7732.6000000000013</v>
      </c>
      <c r="K181">
        <f>SUMIF(Supply_Clean[Item_Code], B181, Supply_Clean[Available_Supply])</f>
        <v>16401</v>
      </c>
      <c r="L181">
        <f t="shared" si="11"/>
        <v>1</v>
      </c>
      <c r="M181">
        <f t="shared" si="12"/>
        <v>991.2</v>
      </c>
      <c r="N181" t="str">
        <f t="shared" si="13"/>
        <v>SUFICIENTE</v>
      </c>
      <c r="O181">
        <f t="shared" si="14"/>
        <v>0</v>
      </c>
    </row>
    <row r="182" spans="1:15" x14ac:dyDescent="0.45">
      <c r="A182" t="str">
        <v>CD-TOL</v>
      </c>
      <c r="B182" t="str">
        <v>ABA-1000</v>
      </c>
      <c r="C182">
        <v>3116</v>
      </c>
      <c r="D182">
        <v>240.8</v>
      </c>
      <c r="E182">
        <v>32.799999999999997</v>
      </c>
      <c r="F182">
        <v>1.8</v>
      </c>
      <c r="G182">
        <v>0.5</v>
      </c>
      <c r="H182" t="str">
        <v>OK</v>
      </c>
      <c r="J182">
        <f t="shared" si="10"/>
        <v>4722.2</v>
      </c>
      <c r="K182">
        <f>SUMIF(Supply_Clean[Item_Code], B182, Supply_Clean[Available_Supply])</f>
        <v>10731</v>
      </c>
      <c r="L182">
        <f t="shared" si="11"/>
        <v>1</v>
      </c>
      <c r="M182">
        <f t="shared" si="12"/>
        <v>240.8</v>
      </c>
      <c r="N182" t="str">
        <f t="shared" si="13"/>
        <v>SUFICIENTE</v>
      </c>
      <c r="O182">
        <f t="shared" si="14"/>
        <v>0</v>
      </c>
    </row>
    <row r="183" spans="1:15" x14ac:dyDescent="0.45">
      <c r="A183" t="str">
        <v>CD-SAL</v>
      </c>
      <c r="B183" t="str">
        <v>ABA-1010</v>
      </c>
      <c r="C183">
        <v>6418</v>
      </c>
      <c r="D183">
        <v>534</v>
      </c>
      <c r="E183">
        <v>71.5</v>
      </c>
      <c r="F183">
        <v>2.2000000000000002</v>
      </c>
      <c r="G183">
        <v>0.5</v>
      </c>
      <c r="H183" t="str">
        <v>OK</v>
      </c>
      <c r="J183">
        <f t="shared" si="10"/>
        <v>4871.7</v>
      </c>
      <c r="K183">
        <f>SUMIF(Supply_Clean[Item_Code], B183, Supply_Clean[Available_Supply])</f>
        <v>9875</v>
      </c>
      <c r="L183">
        <f t="shared" si="11"/>
        <v>1</v>
      </c>
      <c r="M183">
        <f t="shared" si="12"/>
        <v>534</v>
      </c>
      <c r="N183" t="str">
        <f t="shared" si="13"/>
        <v>SUFICIENTE</v>
      </c>
      <c r="O183">
        <f t="shared" si="14"/>
        <v>0</v>
      </c>
    </row>
    <row r="184" spans="1:15" x14ac:dyDescent="0.45">
      <c r="A184" t="str">
        <v>CD-HER</v>
      </c>
      <c r="B184" t="str">
        <v>LAC-1004</v>
      </c>
      <c r="C184">
        <v>1238</v>
      </c>
      <c r="D184">
        <v>308.10000000000002</v>
      </c>
      <c r="E184">
        <v>106.1</v>
      </c>
      <c r="F184">
        <v>4</v>
      </c>
      <c r="G184">
        <v>1.2</v>
      </c>
      <c r="H184" t="str">
        <v>OK</v>
      </c>
      <c r="J184">
        <f t="shared" si="10"/>
        <v>4211.5</v>
      </c>
      <c r="K184">
        <f>SUMIF(Supply_Clean[Item_Code], B184, Supply_Clean[Available_Supply])</f>
        <v>11968</v>
      </c>
      <c r="L184">
        <f t="shared" si="11"/>
        <v>1</v>
      </c>
      <c r="M184">
        <f t="shared" si="12"/>
        <v>308.10000000000002</v>
      </c>
      <c r="N184" t="str">
        <f t="shared" si="13"/>
        <v>SUFICIENTE</v>
      </c>
      <c r="O184">
        <f t="shared" si="14"/>
        <v>0</v>
      </c>
    </row>
    <row r="185" spans="1:15" x14ac:dyDescent="0.45">
      <c r="A185" t="str">
        <v>CD-PUE</v>
      </c>
      <c r="B185" t="str">
        <v>BEB-1007</v>
      </c>
      <c r="C185">
        <v>1018</v>
      </c>
      <c r="D185">
        <v>233.8</v>
      </c>
      <c r="E185">
        <v>27.3</v>
      </c>
      <c r="F185">
        <v>0.8</v>
      </c>
      <c r="G185">
        <v>0.3</v>
      </c>
      <c r="H185" t="str">
        <v>OK</v>
      </c>
      <c r="J185">
        <f t="shared" si="10"/>
        <v>5039.5</v>
      </c>
      <c r="K185">
        <f>SUMIF(Supply_Clean[Item_Code], B185, Supply_Clean[Available_Supply])</f>
        <v>12912</v>
      </c>
      <c r="L185">
        <f t="shared" si="11"/>
        <v>1</v>
      </c>
      <c r="M185">
        <f t="shared" si="12"/>
        <v>233.8</v>
      </c>
      <c r="N185" t="str">
        <f t="shared" si="13"/>
        <v>SUFICIENTE</v>
      </c>
      <c r="O185">
        <f t="shared" si="14"/>
        <v>0</v>
      </c>
    </row>
    <row r="186" spans="1:15" x14ac:dyDescent="0.45">
      <c r="A186" t="str">
        <v>CD-CDMX</v>
      </c>
      <c r="B186" t="str">
        <v>LAC-1002</v>
      </c>
      <c r="C186">
        <v>3535</v>
      </c>
      <c r="D186">
        <v>253</v>
      </c>
      <c r="E186">
        <v>97.5</v>
      </c>
      <c r="F186">
        <v>1</v>
      </c>
      <c r="G186">
        <v>0.2</v>
      </c>
      <c r="H186" t="str">
        <v>OK</v>
      </c>
      <c r="J186">
        <f t="shared" si="10"/>
        <v>4442.1000000000004</v>
      </c>
      <c r="K186">
        <f>SUMIF(Supply_Clean[Item_Code], B186, Supply_Clean[Available_Supply])</f>
        <v>7796</v>
      </c>
      <c r="L186">
        <f t="shared" si="11"/>
        <v>1</v>
      </c>
      <c r="M186">
        <f t="shared" si="12"/>
        <v>253</v>
      </c>
      <c r="N186" t="str">
        <f t="shared" si="13"/>
        <v>SUFICIENTE</v>
      </c>
      <c r="O186">
        <f t="shared" si="14"/>
        <v>0</v>
      </c>
    </row>
    <row r="187" spans="1:15" x14ac:dyDescent="0.45">
      <c r="A187" t="str">
        <v>CD-PUE</v>
      </c>
      <c r="B187" t="str">
        <v>ABA-1000</v>
      </c>
      <c r="C187">
        <v>1609</v>
      </c>
      <c r="D187">
        <v>412.9</v>
      </c>
      <c r="E187">
        <v>46.3</v>
      </c>
      <c r="F187">
        <v>1.1000000000000001</v>
      </c>
      <c r="G187">
        <v>0.3</v>
      </c>
      <c r="H187" t="str">
        <v>OK</v>
      </c>
      <c r="J187">
        <f t="shared" si="10"/>
        <v>4722.2</v>
      </c>
      <c r="K187">
        <f>SUMIF(Supply_Clean[Item_Code], B187, Supply_Clean[Available_Supply])</f>
        <v>10731</v>
      </c>
      <c r="L187">
        <f t="shared" si="11"/>
        <v>1</v>
      </c>
      <c r="M187">
        <f t="shared" si="12"/>
        <v>412.9</v>
      </c>
      <c r="N187" t="str">
        <f t="shared" si="13"/>
        <v>SUFICIENTE</v>
      </c>
      <c r="O187">
        <f t="shared" si="14"/>
        <v>0</v>
      </c>
    </row>
    <row r="188" spans="1:15" x14ac:dyDescent="0.45">
      <c r="A188" t="str">
        <v>CD-SAL</v>
      </c>
      <c r="B188" t="str">
        <v>BOT-1018</v>
      </c>
      <c r="C188">
        <v>8734</v>
      </c>
      <c r="D188">
        <v>632.9</v>
      </c>
      <c r="E188">
        <v>177.9</v>
      </c>
      <c r="F188">
        <v>1.2</v>
      </c>
      <c r="G188">
        <v>0.5</v>
      </c>
      <c r="H188" t="str">
        <v>OK</v>
      </c>
      <c r="J188">
        <f t="shared" si="10"/>
        <v>8014.5000000000009</v>
      </c>
      <c r="K188">
        <f>SUMIF(Supply_Clean[Item_Code], B188, Supply_Clean[Available_Supply])</f>
        <v>15093</v>
      </c>
      <c r="L188">
        <f t="shared" si="11"/>
        <v>1</v>
      </c>
      <c r="M188">
        <f t="shared" si="12"/>
        <v>632.9</v>
      </c>
      <c r="N188" t="str">
        <f t="shared" si="13"/>
        <v>SUFICIENTE</v>
      </c>
      <c r="O188">
        <f t="shared" si="14"/>
        <v>0</v>
      </c>
    </row>
    <row r="189" spans="1:15" x14ac:dyDescent="0.45">
      <c r="A189" t="str">
        <v>CD-MOR</v>
      </c>
      <c r="B189" t="str">
        <v>BOT-1000</v>
      </c>
      <c r="C189">
        <v>11699</v>
      </c>
      <c r="D189">
        <v>664.9</v>
      </c>
      <c r="E189">
        <v>111.8</v>
      </c>
      <c r="F189">
        <v>1.9</v>
      </c>
      <c r="G189">
        <v>0.5</v>
      </c>
      <c r="H189" t="str">
        <v>OK</v>
      </c>
      <c r="J189">
        <f t="shared" si="10"/>
        <v>8310.6</v>
      </c>
      <c r="K189">
        <f>SUMIF(Supply_Clean[Item_Code], B189, Supply_Clean[Available_Supply])</f>
        <v>21762</v>
      </c>
      <c r="L189">
        <f t="shared" si="11"/>
        <v>1</v>
      </c>
      <c r="M189">
        <f t="shared" si="12"/>
        <v>664.9</v>
      </c>
      <c r="N189" t="str">
        <f t="shared" si="13"/>
        <v>SUFICIENTE</v>
      </c>
      <c r="O189">
        <f t="shared" si="14"/>
        <v>0</v>
      </c>
    </row>
    <row r="190" spans="1:15" x14ac:dyDescent="0.45">
      <c r="A190" t="str">
        <v>CD-CAN</v>
      </c>
      <c r="B190" t="str">
        <v>ABA-1003</v>
      </c>
      <c r="C190">
        <v>2200</v>
      </c>
      <c r="D190">
        <v>242</v>
      </c>
      <c r="E190">
        <v>34</v>
      </c>
      <c r="F190">
        <v>5.2</v>
      </c>
      <c r="G190">
        <v>1.6</v>
      </c>
      <c r="H190" t="str">
        <v>OK</v>
      </c>
      <c r="J190">
        <f t="shared" si="10"/>
        <v>4709.8000000000011</v>
      </c>
      <c r="K190">
        <f>SUMIF(Supply_Clean[Item_Code], B190, Supply_Clean[Available_Supply])</f>
        <v>11700</v>
      </c>
      <c r="L190">
        <f t="shared" si="11"/>
        <v>1</v>
      </c>
      <c r="M190">
        <f t="shared" si="12"/>
        <v>242</v>
      </c>
      <c r="N190" t="str">
        <f t="shared" si="13"/>
        <v>SUFICIENTE</v>
      </c>
      <c r="O190">
        <f t="shared" si="14"/>
        <v>0</v>
      </c>
    </row>
    <row r="191" spans="1:15" x14ac:dyDescent="0.45">
      <c r="A191" t="str">
        <v>CD-LEO</v>
      </c>
      <c r="B191" t="str">
        <v>BOT-1023</v>
      </c>
      <c r="C191">
        <v>1660</v>
      </c>
      <c r="D191">
        <v>348.6</v>
      </c>
      <c r="E191">
        <v>67.599999999999994</v>
      </c>
      <c r="F191">
        <v>1.7</v>
      </c>
      <c r="G191">
        <v>0.6</v>
      </c>
      <c r="H191" t="str">
        <v>OK</v>
      </c>
      <c r="J191">
        <f t="shared" si="10"/>
        <v>8227.6</v>
      </c>
      <c r="K191">
        <f>SUMIF(Supply_Clean[Item_Code], B191, Supply_Clean[Available_Supply])</f>
        <v>23663</v>
      </c>
      <c r="L191">
        <f t="shared" si="11"/>
        <v>1</v>
      </c>
      <c r="M191">
        <f t="shared" si="12"/>
        <v>348.6</v>
      </c>
      <c r="N191" t="str">
        <f t="shared" si="13"/>
        <v>SUFICIENTE</v>
      </c>
      <c r="O191">
        <f t="shared" si="14"/>
        <v>0</v>
      </c>
    </row>
    <row r="192" spans="1:15" x14ac:dyDescent="0.45">
      <c r="A192" t="str">
        <v>CD-MOR</v>
      </c>
      <c r="B192" t="str">
        <v>ABA-1003</v>
      </c>
      <c r="C192">
        <v>961</v>
      </c>
      <c r="D192">
        <v>293.2</v>
      </c>
      <c r="E192">
        <v>27.6</v>
      </c>
      <c r="F192">
        <v>1.5</v>
      </c>
      <c r="G192">
        <v>0.5</v>
      </c>
      <c r="H192" t="str">
        <v>OK</v>
      </c>
      <c r="J192">
        <f t="shared" si="10"/>
        <v>4709.8000000000011</v>
      </c>
      <c r="K192">
        <f>SUMIF(Supply_Clean[Item_Code], B192, Supply_Clean[Available_Supply])</f>
        <v>11700</v>
      </c>
      <c r="L192">
        <f t="shared" si="11"/>
        <v>1</v>
      </c>
      <c r="M192">
        <f t="shared" si="12"/>
        <v>293.2</v>
      </c>
      <c r="N192" t="str">
        <f t="shared" si="13"/>
        <v>SUFICIENTE</v>
      </c>
      <c r="O192">
        <f t="shared" si="14"/>
        <v>0</v>
      </c>
    </row>
    <row r="193" spans="1:15" x14ac:dyDescent="0.45">
      <c r="A193" t="str">
        <v>CD-SAL</v>
      </c>
      <c r="B193" t="str">
        <v>PRO-1014</v>
      </c>
      <c r="C193">
        <v>4153</v>
      </c>
      <c r="D193">
        <v>420.5</v>
      </c>
      <c r="E193">
        <v>258.5</v>
      </c>
      <c r="F193">
        <v>2.2000000000000002</v>
      </c>
      <c r="G193">
        <v>0.5</v>
      </c>
      <c r="H193" t="str">
        <v>OK</v>
      </c>
      <c r="J193">
        <f t="shared" si="10"/>
        <v>5634.0999999999995</v>
      </c>
      <c r="K193">
        <f>SUMIF(Supply_Clean[Item_Code], B193, Supply_Clean[Available_Supply])</f>
        <v>16301</v>
      </c>
      <c r="L193">
        <f t="shared" si="11"/>
        <v>1</v>
      </c>
      <c r="M193">
        <f t="shared" si="12"/>
        <v>420.5</v>
      </c>
      <c r="N193" t="str">
        <f t="shared" si="13"/>
        <v>SUFICIENTE</v>
      </c>
      <c r="O193">
        <f t="shared" si="14"/>
        <v>0</v>
      </c>
    </row>
    <row r="194" spans="1:15" x14ac:dyDescent="0.45">
      <c r="A194" t="str">
        <v>CD-GDL</v>
      </c>
      <c r="B194" t="str">
        <v>ABA-1000</v>
      </c>
      <c r="C194">
        <v>470</v>
      </c>
      <c r="D194">
        <v>222.8</v>
      </c>
      <c r="E194">
        <v>24.2</v>
      </c>
      <c r="F194">
        <v>0.7</v>
      </c>
      <c r="G194">
        <v>0.2</v>
      </c>
      <c r="H194" t="str">
        <v>OK</v>
      </c>
      <c r="J194">
        <f t="shared" si="10"/>
        <v>4722.2</v>
      </c>
      <c r="K194">
        <f>SUMIF(Supply_Clean[Item_Code], B194, Supply_Clean[Available_Supply])</f>
        <v>10731</v>
      </c>
      <c r="L194">
        <f t="shared" si="11"/>
        <v>1</v>
      </c>
      <c r="M194">
        <f t="shared" si="12"/>
        <v>222.8</v>
      </c>
      <c r="N194" t="str">
        <f t="shared" si="13"/>
        <v>SUFICIENTE</v>
      </c>
      <c r="O194">
        <f t="shared" si="14"/>
        <v>0</v>
      </c>
    </row>
    <row r="195" spans="1:15" x14ac:dyDescent="0.45">
      <c r="A195" t="str">
        <v>CD-CHI</v>
      </c>
      <c r="B195" t="str">
        <v>PRO-1008</v>
      </c>
      <c r="C195">
        <v>7377</v>
      </c>
      <c r="D195">
        <v>688.2</v>
      </c>
      <c r="E195">
        <v>435.6</v>
      </c>
      <c r="F195">
        <v>2</v>
      </c>
      <c r="G195">
        <v>1</v>
      </c>
      <c r="H195" t="str">
        <v>OK</v>
      </c>
      <c r="J195">
        <f t="shared" ref="J195:J258" si="15">SUMIF($B$2:$B$1501, B195, $D$2:$D$1501)</f>
        <v>5551.5999999999995</v>
      </c>
      <c r="K195">
        <f>SUMIF(Supply_Clean[Item_Code], B195, Supply_Clean[Available_Supply])</f>
        <v>9738</v>
      </c>
      <c r="L195">
        <f t="shared" ref="L195:L258" si="16">IFERROR(MIN(1, K195/J195), "")</f>
        <v>1</v>
      </c>
      <c r="M195">
        <f t="shared" ref="M195:M258" si="17">IFERROR(D195*L195, "")</f>
        <v>688.2</v>
      </c>
      <c r="N195" t="str">
        <f t="shared" ref="N195:N258" si="18">IF(L195&lt;1, "ESCASEZ", "SUFICIENTE")</f>
        <v>SUFICIENTE</v>
      </c>
      <c r="O195">
        <f t="shared" ref="O195:O258" si="19">IF(N195="ESCASEZ", D195-M195, 0)</f>
        <v>0</v>
      </c>
    </row>
    <row r="196" spans="1:15" x14ac:dyDescent="0.45">
      <c r="A196" t="str">
        <v>CD-MTY</v>
      </c>
      <c r="B196" t="str">
        <v>BEB-1021</v>
      </c>
      <c r="C196">
        <v>3996</v>
      </c>
      <c r="D196">
        <v>284.7</v>
      </c>
      <c r="E196">
        <v>47.6</v>
      </c>
      <c r="F196">
        <v>1.3</v>
      </c>
      <c r="G196">
        <v>0.3</v>
      </c>
      <c r="H196" t="str">
        <v>OK</v>
      </c>
      <c r="J196">
        <f t="shared" si="15"/>
        <v>5254.7999999999993</v>
      </c>
      <c r="K196">
        <f>SUMIF(Supply_Clean[Item_Code], B196, Supply_Clean[Available_Supply])</f>
        <v>13235</v>
      </c>
      <c r="L196">
        <f t="shared" si="16"/>
        <v>1</v>
      </c>
      <c r="M196">
        <f t="shared" si="17"/>
        <v>284.7</v>
      </c>
      <c r="N196" t="str">
        <f t="shared" si="18"/>
        <v>SUFICIENTE</v>
      </c>
      <c r="O196">
        <f t="shared" si="19"/>
        <v>0</v>
      </c>
    </row>
    <row r="197" spans="1:15" x14ac:dyDescent="0.45">
      <c r="A197" t="str">
        <v>CD-MER</v>
      </c>
      <c r="B197" t="str">
        <v>ABA-1003</v>
      </c>
      <c r="C197">
        <v>6172</v>
      </c>
      <c r="D197">
        <v>456.2</v>
      </c>
      <c r="E197">
        <v>40.1</v>
      </c>
      <c r="F197">
        <v>5.2</v>
      </c>
      <c r="G197">
        <v>1.3</v>
      </c>
      <c r="H197" t="str">
        <v>OK</v>
      </c>
      <c r="J197">
        <f t="shared" si="15"/>
        <v>4709.8000000000011</v>
      </c>
      <c r="K197">
        <f>SUMIF(Supply_Clean[Item_Code], B197, Supply_Clean[Available_Supply])</f>
        <v>11700</v>
      </c>
      <c r="L197">
        <f t="shared" si="16"/>
        <v>1</v>
      </c>
      <c r="M197">
        <f t="shared" si="17"/>
        <v>456.2</v>
      </c>
      <c r="N197" t="str">
        <f t="shared" si="18"/>
        <v>SUFICIENTE</v>
      </c>
      <c r="O197">
        <f t="shared" si="19"/>
        <v>0</v>
      </c>
    </row>
    <row r="198" spans="1:15" x14ac:dyDescent="0.45">
      <c r="A198" t="str">
        <v>CD-GDL</v>
      </c>
      <c r="B198" t="str">
        <v>ABA-1009</v>
      </c>
      <c r="C198">
        <v>3213</v>
      </c>
      <c r="D198">
        <v>225.6</v>
      </c>
      <c r="E198">
        <v>26</v>
      </c>
      <c r="F198">
        <v>1.4</v>
      </c>
      <c r="G198">
        <v>0.2</v>
      </c>
      <c r="H198" t="str">
        <v>OK</v>
      </c>
      <c r="J198">
        <f t="shared" si="15"/>
        <v>5016.1000000000004</v>
      </c>
      <c r="K198">
        <f>SUMIF(Supply_Clean[Item_Code], B198, Supply_Clean[Available_Supply])</f>
        <v>13458</v>
      </c>
      <c r="L198">
        <f t="shared" si="16"/>
        <v>1</v>
      </c>
      <c r="M198">
        <f t="shared" si="17"/>
        <v>225.6</v>
      </c>
      <c r="N198" t="str">
        <f t="shared" si="18"/>
        <v>SUFICIENTE</v>
      </c>
      <c r="O198">
        <f t="shared" si="19"/>
        <v>0</v>
      </c>
    </row>
    <row r="199" spans="1:15" x14ac:dyDescent="0.45">
      <c r="A199" t="str">
        <v>CD-MER</v>
      </c>
      <c r="B199" t="str">
        <v>ABA-1015</v>
      </c>
      <c r="C199">
        <v>6278</v>
      </c>
      <c r="D199">
        <v>448.1</v>
      </c>
      <c r="E199">
        <v>64.099999999999994</v>
      </c>
      <c r="F199">
        <v>6.5</v>
      </c>
      <c r="G199">
        <v>1.3</v>
      </c>
      <c r="H199" t="str">
        <v>OK</v>
      </c>
      <c r="J199">
        <f t="shared" si="15"/>
        <v>3986.4999999999991</v>
      </c>
      <c r="K199">
        <f>SUMIF(Supply_Clean[Item_Code], B199, Supply_Clean[Available_Supply])</f>
        <v>7969</v>
      </c>
      <c r="L199">
        <f t="shared" si="16"/>
        <v>1</v>
      </c>
      <c r="M199">
        <f t="shared" si="17"/>
        <v>448.1</v>
      </c>
      <c r="N199" t="str">
        <f t="shared" si="18"/>
        <v>SUFICIENTE</v>
      </c>
      <c r="O199">
        <f t="shared" si="19"/>
        <v>0</v>
      </c>
    </row>
    <row r="200" spans="1:15" x14ac:dyDescent="0.45">
      <c r="A200" t="str">
        <v>CD-CDMX</v>
      </c>
      <c r="B200" t="str">
        <v>BOT-1018</v>
      </c>
      <c r="C200">
        <v>1774</v>
      </c>
      <c r="D200">
        <v>481.4</v>
      </c>
      <c r="E200">
        <v>76.3</v>
      </c>
      <c r="F200">
        <v>1.2</v>
      </c>
      <c r="G200">
        <v>0.2</v>
      </c>
      <c r="H200" t="str">
        <v>OK</v>
      </c>
      <c r="J200">
        <f t="shared" si="15"/>
        <v>8014.5000000000009</v>
      </c>
      <c r="K200">
        <f>SUMIF(Supply_Clean[Item_Code], B200, Supply_Clean[Available_Supply])</f>
        <v>15093</v>
      </c>
      <c r="L200">
        <f t="shared" si="16"/>
        <v>1</v>
      </c>
      <c r="M200">
        <f t="shared" si="17"/>
        <v>481.4</v>
      </c>
      <c r="N200" t="str">
        <f t="shared" si="18"/>
        <v>SUFICIENTE</v>
      </c>
      <c r="O200">
        <f t="shared" si="19"/>
        <v>0</v>
      </c>
    </row>
    <row r="201" spans="1:15" x14ac:dyDescent="0.45">
      <c r="A201" t="str">
        <v>CD-CAN</v>
      </c>
      <c r="B201" t="str">
        <v>PRO-1007</v>
      </c>
      <c r="C201">
        <v>1605</v>
      </c>
      <c r="D201">
        <v>315.89999999999998</v>
      </c>
      <c r="E201">
        <v>208.9</v>
      </c>
      <c r="F201">
        <v>5.5</v>
      </c>
      <c r="G201">
        <v>1.6</v>
      </c>
      <c r="H201" t="str">
        <v>OK</v>
      </c>
      <c r="J201">
        <f t="shared" si="15"/>
        <v>5354.8</v>
      </c>
      <c r="K201">
        <f>SUMIF(Supply_Clean[Item_Code], B201, Supply_Clean[Available_Supply])</f>
        <v>10360</v>
      </c>
      <c r="L201">
        <f t="shared" si="16"/>
        <v>1</v>
      </c>
      <c r="M201">
        <f t="shared" si="17"/>
        <v>315.89999999999998</v>
      </c>
      <c r="N201" t="str">
        <f t="shared" si="18"/>
        <v>SUFICIENTE</v>
      </c>
      <c r="O201">
        <f t="shared" si="19"/>
        <v>0</v>
      </c>
    </row>
    <row r="202" spans="1:15" x14ac:dyDescent="0.45">
      <c r="A202" t="str">
        <v>CD-TOL</v>
      </c>
      <c r="B202" t="str">
        <v>BOT-1008</v>
      </c>
      <c r="C202">
        <v>2931</v>
      </c>
      <c r="D202">
        <v>334.8</v>
      </c>
      <c r="E202">
        <v>83.5</v>
      </c>
      <c r="F202">
        <v>1.2</v>
      </c>
      <c r="G202">
        <v>0.5</v>
      </c>
      <c r="H202" t="str">
        <v>OK</v>
      </c>
      <c r="J202">
        <f t="shared" si="15"/>
        <v>7758.6</v>
      </c>
      <c r="K202">
        <f>SUMIF(Supply_Clean[Item_Code], B202, Supply_Clean[Available_Supply])</f>
        <v>25288</v>
      </c>
      <c r="L202">
        <f t="shared" si="16"/>
        <v>1</v>
      </c>
      <c r="M202">
        <f t="shared" si="17"/>
        <v>334.8</v>
      </c>
      <c r="N202" t="str">
        <f t="shared" si="18"/>
        <v>SUFICIENTE</v>
      </c>
      <c r="O202">
        <f t="shared" si="19"/>
        <v>0</v>
      </c>
    </row>
    <row r="203" spans="1:15" x14ac:dyDescent="0.45">
      <c r="A203" t="str">
        <v>CD-CHI</v>
      </c>
      <c r="B203" t="str">
        <v>ABA-1011</v>
      </c>
      <c r="C203">
        <v>4175</v>
      </c>
      <c r="D203">
        <v>592.6</v>
      </c>
      <c r="E203">
        <v>80.099999999999994</v>
      </c>
      <c r="F203">
        <v>0.7</v>
      </c>
      <c r="G203">
        <v>1</v>
      </c>
      <c r="H203" t="str">
        <v>OK</v>
      </c>
      <c r="J203">
        <f t="shared" si="15"/>
        <v>4892.0999999999995</v>
      </c>
      <c r="K203">
        <f>SUMIF(Supply_Clean[Item_Code], B203, Supply_Clean[Available_Supply])</f>
        <v>9079</v>
      </c>
      <c r="L203">
        <f t="shared" si="16"/>
        <v>1</v>
      </c>
      <c r="M203">
        <f t="shared" si="17"/>
        <v>592.6</v>
      </c>
      <c r="N203" t="str">
        <f t="shared" si="18"/>
        <v>SUFICIENTE</v>
      </c>
      <c r="O203">
        <f t="shared" si="19"/>
        <v>0</v>
      </c>
    </row>
    <row r="204" spans="1:15" x14ac:dyDescent="0.45">
      <c r="A204" t="str">
        <v>CD-MTY</v>
      </c>
      <c r="B204" t="str">
        <v>BEB-1018</v>
      </c>
      <c r="C204">
        <v>4890</v>
      </c>
      <c r="D204">
        <v>299.5</v>
      </c>
      <c r="E204">
        <v>45.1</v>
      </c>
      <c r="F204">
        <v>0.8</v>
      </c>
      <c r="G204">
        <v>0.3</v>
      </c>
      <c r="H204" t="str">
        <v>OK</v>
      </c>
      <c r="J204">
        <f t="shared" si="15"/>
        <v>5898.0999999999995</v>
      </c>
      <c r="K204">
        <f>SUMIF(Supply_Clean[Item_Code], B204, Supply_Clean[Available_Supply])</f>
        <v>11472</v>
      </c>
      <c r="L204">
        <f t="shared" si="16"/>
        <v>1</v>
      </c>
      <c r="M204">
        <f t="shared" si="17"/>
        <v>299.5</v>
      </c>
      <c r="N204" t="str">
        <f t="shared" si="18"/>
        <v>SUFICIENTE</v>
      </c>
      <c r="O204">
        <f t="shared" si="19"/>
        <v>0</v>
      </c>
    </row>
    <row r="205" spans="1:15" x14ac:dyDescent="0.45">
      <c r="A205" t="str">
        <v>CD-CDMX</v>
      </c>
      <c r="B205" t="str">
        <v>PRO-1001</v>
      </c>
      <c r="C205">
        <v>767</v>
      </c>
      <c r="D205">
        <v>106.2</v>
      </c>
      <c r="E205">
        <v>74.3</v>
      </c>
      <c r="F205">
        <v>1.1000000000000001</v>
      </c>
      <c r="G205">
        <v>0.2</v>
      </c>
      <c r="H205" t="str">
        <v>OK</v>
      </c>
      <c r="J205">
        <f t="shared" si="15"/>
        <v>6433.2999999999993</v>
      </c>
      <c r="K205">
        <f>SUMIF(Supply_Clean[Item_Code], B205, Supply_Clean[Available_Supply])</f>
        <v>10011</v>
      </c>
      <c r="L205">
        <f t="shared" si="16"/>
        <v>1</v>
      </c>
      <c r="M205">
        <f t="shared" si="17"/>
        <v>106.2</v>
      </c>
      <c r="N205" t="str">
        <f t="shared" si="18"/>
        <v>SUFICIENTE</v>
      </c>
      <c r="O205">
        <f t="shared" si="19"/>
        <v>0</v>
      </c>
    </row>
    <row r="206" spans="1:15" x14ac:dyDescent="0.45">
      <c r="A206" t="str">
        <v>CD-CAN</v>
      </c>
      <c r="B206" t="str">
        <v>LAC-1008</v>
      </c>
      <c r="C206">
        <v>3039</v>
      </c>
      <c r="D206">
        <v>354.7</v>
      </c>
      <c r="E206">
        <v>124</v>
      </c>
      <c r="F206">
        <v>5.6</v>
      </c>
      <c r="G206">
        <v>1.6</v>
      </c>
      <c r="H206" t="str">
        <v>OK</v>
      </c>
      <c r="J206">
        <f t="shared" si="15"/>
        <v>4499.0999999999995</v>
      </c>
      <c r="K206">
        <f>SUMIF(Supply_Clean[Item_Code], B206, Supply_Clean[Available_Supply])</f>
        <v>9543</v>
      </c>
      <c r="L206">
        <f t="shared" si="16"/>
        <v>1</v>
      </c>
      <c r="M206">
        <f t="shared" si="17"/>
        <v>354.7</v>
      </c>
      <c r="N206" t="str">
        <f t="shared" si="18"/>
        <v>SUFICIENTE</v>
      </c>
      <c r="O206">
        <f t="shared" si="19"/>
        <v>0</v>
      </c>
    </row>
    <row r="207" spans="1:15" x14ac:dyDescent="0.45">
      <c r="A207" t="str">
        <v>CD-HER</v>
      </c>
      <c r="B207" t="str">
        <v>PRO-1011</v>
      </c>
      <c r="C207">
        <v>1660</v>
      </c>
      <c r="D207">
        <v>527.5</v>
      </c>
      <c r="E207">
        <v>264.89999999999998</v>
      </c>
      <c r="F207">
        <v>3.5</v>
      </c>
      <c r="G207">
        <v>1.2</v>
      </c>
      <c r="H207" t="str">
        <v>OK</v>
      </c>
      <c r="J207">
        <f t="shared" si="15"/>
        <v>5674.6999999999989</v>
      </c>
      <c r="K207">
        <f>SUMIF(Supply_Clean[Item_Code], B207, Supply_Clean[Available_Supply])</f>
        <v>14178</v>
      </c>
      <c r="L207">
        <f t="shared" si="16"/>
        <v>1</v>
      </c>
      <c r="M207">
        <f t="shared" si="17"/>
        <v>527.5</v>
      </c>
      <c r="N207" t="str">
        <f t="shared" si="18"/>
        <v>SUFICIENTE</v>
      </c>
      <c r="O207">
        <f t="shared" si="19"/>
        <v>0</v>
      </c>
    </row>
    <row r="208" spans="1:15" x14ac:dyDescent="0.45">
      <c r="A208" t="str">
        <v>CD-TOL</v>
      </c>
      <c r="B208" t="str">
        <v>LAC-1001</v>
      </c>
      <c r="C208">
        <v>1566</v>
      </c>
      <c r="D208">
        <v>231.6</v>
      </c>
      <c r="E208">
        <v>60.7</v>
      </c>
      <c r="F208">
        <v>2.5</v>
      </c>
      <c r="G208">
        <v>0.5</v>
      </c>
      <c r="H208" t="str">
        <v>OK</v>
      </c>
      <c r="J208">
        <f t="shared" si="15"/>
        <v>3660.9999999999991</v>
      </c>
      <c r="K208">
        <f>SUMIF(Supply_Clean[Item_Code], B208, Supply_Clean[Available_Supply])</f>
        <v>9945</v>
      </c>
      <c r="L208">
        <f t="shared" si="16"/>
        <v>1</v>
      </c>
      <c r="M208">
        <f t="shared" si="17"/>
        <v>231.6</v>
      </c>
      <c r="N208" t="str">
        <f t="shared" si="18"/>
        <v>SUFICIENTE</v>
      </c>
      <c r="O208">
        <f t="shared" si="19"/>
        <v>0</v>
      </c>
    </row>
    <row r="209" spans="1:15" x14ac:dyDescent="0.45">
      <c r="A209" t="str">
        <v>CD-LEO</v>
      </c>
      <c r="B209" t="str">
        <v>BOT-1012</v>
      </c>
      <c r="C209">
        <v>6324</v>
      </c>
      <c r="D209">
        <v>987.7</v>
      </c>
      <c r="E209">
        <v>151</v>
      </c>
      <c r="F209">
        <v>2.7</v>
      </c>
      <c r="G209">
        <v>0.6</v>
      </c>
      <c r="H209" t="str">
        <v>OK</v>
      </c>
      <c r="J209">
        <f t="shared" si="15"/>
        <v>9259.4</v>
      </c>
      <c r="K209">
        <f>SUMIF(Supply_Clean[Item_Code], B209, Supply_Clean[Available_Supply])</f>
        <v>13943</v>
      </c>
      <c r="L209">
        <f t="shared" si="16"/>
        <v>1</v>
      </c>
      <c r="M209">
        <f t="shared" si="17"/>
        <v>987.7</v>
      </c>
      <c r="N209" t="str">
        <f t="shared" si="18"/>
        <v>SUFICIENTE</v>
      </c>
      <c r="O209">
        <f t="shared" si="19"/>
        <v>0</v>
      </c>
    </row>
    <row r="210" spans="1:15" x14ac:dyDescent="0.45">
      <c r="A210" t="str">
        <v>CD-MOR</v>
      </c>
      <c r="B210" t="str">
        <v>PRO-1006</v>
      </c>
      <c r="C210">
        <v>6261</v>
      </c>
      <c r="D210">
        <v>474.6</v>
      </c>
      <c r="E210">
        <v>304.89999999999998</v>
      </c>
      <c r="F210">
        <v>2.2999999999999998</v>
      </c>
      <c r="G210">
        <v>0.5</v>
      </c>
      <c r="H210" t="str">
        <v>OK</v>
      </c>
      <c r="J210">
        <f t="shared" si="15"/>
        <v>5801.8</v>
      </c>
      <c r="K210">
        <f>SUMIF(Supply_Clean[Item_Code], B210, Supply_Clean[Available_Supply])</f>
        <v>9270</v>
      </c>
      <c r="L210">
        <f t="shared" si="16"/>
        <v>1</v>
      </c>
      <c r="M210">
        <f t="shared" si="17"/>
        <v>474.6</v>
      </c>
      <c r="N210" t="str">
        <f t="shared" si="18"/>
        <v>SUFICIENTE</v>
      </c>
      <c r="O210">
        <f t="shared" si="19"/>
        <v>0</v>
      </c>
    </row>
    <row r="211" spans="1:15" x14ac:dyDescent="0.45">
      <c r="A211" t="str">
        <v>CD-MTY</v>
      </c>
      <c r="B211" t="str">
        <v>LAC-1008</v>
      </c>
      <c r="C211">
        <v>514</v>
      </c>
      <c r="D211">
        <v>150.5</v>
      </c>
      <c r="E211">
        <v>42.7</v>
      </c>
      <c r="F211">
        <v>0.8</v>
      </c>
      <c r="G211">
        <v>0.3</v>
      </c>
      <c r="H211" t="str">
        <v>OK</v>
      </c>
      <c r="J211">
        <f t="shared" si="15"/>
        <v>4499.0999999999995</v>
      </c>
      <c r="K211">
        <f>SUMIF(Supply_Clean[Item_Code], B211, Supply_Clean[Available_Supply])</f>
        <v>9543</v>
      </c>
      <c r="L211">
        <f t="shared" si="16"/>
        <v>1</v>
      </c>
      <c r="M211">
        <f t="shared" si="17"/>
        <v>150.5</v>
      </c>
      <c r="N211" t="str">
        <f t="shared" si="18"/>
        <v>SUFICIENTE</v>
      </c>
      <c r="O211">
        <f t="shared" si="19"/>
        <v>0</v>
      </c>
    </row>
    <row r="212" spans="1:15" x14ac:dyDescent="0.45">
      <c r="A212" t="str">
        <v>CD-CHI</v>
      </c>
      <c r="B212" t="str">
        <v>BEB-1016</v>
      </c>
      <c r="C212">
        <v>7707</v>
      </c>
      <c r="D212">
        <v>557.9</v>
      </c>
      <c r="E212">
        <v>104.4</v>
      </c>
      <c r="F212">
        <v>3.3</v>
      </c>
      <c r="G212">
        <v>1</v>
      </c>
      <c r="H212" t="str">
        <v>OK</v>
      </c>
      <c r="J212">
        <f t="shared" si="15"/>
        <v>5569.2000000000007</v>
      </c>
      <c r="K212">
        <f>SUMIF(Supply_Clean[Item_Code], B212, Supply_Clean[Available_Supply])</f>
        <v>14537</v>
      </c>
      <c r="L212">
        <f t="shared" si="16"/>
        <v>1</v>
      </c>
      <c r="M212">
        <f t="shared" si="17"/>
        <v>557.9</v>
      </c>
      <c r="N212" t="str">
        <f t="shared" si="18"/>
        <v>SUFICIENTE</v>
      </c>
      <c r="O212">
        <f t="shared" si="19"/>
        <v>0</v>
      </c>
    </row>
    <row r="213" spans="1:15" x14ac:dyDescent="0.45">
      <c r="A213" t="str">
        <v>CD-GDL</v>
      </c>
      <c r="B213" t="str">
        <v>BEB-1009</v>
      </c>
      <c r="C213">
        <v>4193</v>
      </c>
      <c r="D213">
        <v>548.9</v>
      </c>
      <c r="E213">
        <v>66.2</v>
      </c>
      <c r="F213">
        <v>1.3</v>
      </c>
      <c r="G213">
        <v>0.2</v>
      </c>
      <c r="H213" t="str">
        <v>OK</v>
      </c>
      <c r="J213">
        <f t="shared" si="15"/>
        <v>6226.9000000000005</v>
      </c>
      <c r="K213">
        <f>SUMIF(Supply_Clean[Item_Code], B213, Supply_Clean[Available_Supply])</f>
        <v>10475</v>
      </c>
      <c r="L213">
        <f t="shared" si="16"/>
        <v>1</v>
      </c>
      <c r="M213">
        <f t="shared" si="17"/>
        <v>548.9</v>
      </c>
      <c r="N213" t="str">
        <f t="shared" si="18"/>
        <v>SUFICIENTE</v>
      </c>
      <c r="O213">
        <f t="shared" si="19"/>
        <v>0</v>
      </c>
    </row>
    <row r="214" spans="1:15" x14ac:dyDescent="0.45">
      <c r="A214" t="str">
        <v>CD-MTY</v>
      </c>
      <c r="B214" t="str">
        <v>BOT-1022</v>
      </c>
      <c r="C214">
        <v>7174</v>
      </c>
      <c r="D214">
        <v>928</v>
      </c>
      <c r="E214">
        <v>171</v>
      </c>
      <c r="F214">
        <v>1.3</v>
      </c>
      <c r="G214">
        <v>0.3</v>
      </c>
      <c r="H214" t="str">
        <v>OK</v>
      </c>
      <c r="J214">
        <f t="shared" si="15"/>
        <v>9197.7000000000007</v>
      </c>
      <c r="K214">
        <f>SUMIF(Supply_Clean[Item_Code], B214, Supply_Clean[Available_Supply])</f>
        <v>23862</v>
      </c>
      <c r="L214">
        <f t="shared" si="16"/>
        <v>1</v>
      </c>
      <c r="M214">
        <f t="shared" si="17"/>
        <v>928</v>
      </c>
      <c r="N214" t="str">
        <f t="shared" si="18"/>
        <v>SUFICIENTE</v>
      </c>
      <c r="O214">
        <f t="shared" si="19"/>
        <v>0</v>
      </c>
    </row>
    <row r="215" spans="1:15" x14ac:dyDescent="0.45">
      <c r="A215" t="str">
        <v>CD-PUE</v>
      </c>
      <c r="B215" t="str">
        <v>BOT-1011</v>
      </c>
      <c r="C215">
        <v>767</v>
      </c>
      <c r="D215">
        <v>0</v>
      </c>
      <c r="E215">
        <v>167.5</v>
      </c>
      <c r="F215">
        <v>1</v>
      </c>
      <c r="G215">
        <v>0.3</v>
      </c>
      <c r="H215" t="str">
        <v>OK</v>
      </c>
      <c r="J215">
        <f t="shared" si="15"/>
        <v>9886.2999999999993</v>
      </c>
      <c r="K215">
        <f>SUMIF(Supply_Clean[Item_Code], B215, Supply_Clean[Available_Supply])</f>
        <v>19886</v>
      </c>
      <c r="L215">
        <f t="shared" si="16"/>
        <v>1</v>
      </c>
      <c r="M215">
        <f t="shared" si="17"/>
        <v>0</v>
      </c>
      <c r="N215" t="str">
        <f t="shared" si="18"/>
        <v>SUFICIENTE</v>
      </c>
      <c r="O215">
        <f t="shared" si="19"/>
        <v>0</v>
      </c>
    </row>
    <row r="216" spans="1:15" x14ac:dyDescent="0.45">
      <c r="A216" t="str">
        <v>CD-CAN</v>
      </c>
      <c r="B216" t="str">
        <v>BOT-1012</v>
      </c>
      <c r="C216">
        <v>3419</v>
      </c>
      <c r="D216">
        <v>255.3</v>
      </c>
      <c r="E216">
        <v>64.400000000000006</v>
      </c>
      <c r="F216">
        <v>7.8</v>
      </c>
      <c r="G216">
        <v>1.6</v>
      </c>
      <c r="H216" t="str">
        <v>OK</v>
      </c>
      <c r="J216">
        <f t="shared" si="15"/>
        <v>9259.4</v>
      </c>
      <c r="K216">
        <f>SUMIF(Supply_Clean[Item_Code], B216, Supply_Clean[Available_Supply])</f>
        <v>13943</v>
      </c>
      <c r="L216">
        <f t="shared" si="16"/>
        <v>1</v>
      </c>
      <c r="M216">
        <f t="shared" si="17"/>
        <v>255.3</v>
      </c>
      <c r="N216" t="str">
        <f t="shared" si="18"/>
        <v>SUFICIENTE</v>
      </c>
      <c r="O216">
        <f t="shared" si="19"/>
        <v>0</v>
      </c>
    </row>
    <row r="217" spans="1:15" x14ac:dyDescent="0.45">
      <c r="A217" t="str">
        <v>CD-MER</v>
      </c>
      <c r="B217" t="str">
        <v>BEB-1002</v>
      </c>
      <c r="C217">
        <v>4146</v>
      </c>
      <c r="D217">
        <v>308.60000000000002</v>
      </c>
      <c r="E217">
        <v>35.4</v>
      </c>
      <c r="F217">
        <v>5.5</v>
      </c>
      <c r="G217">
        <v>1.3</v>
      </c>
      <c r="H217" t="str">
        <v>OK</v>
      </c>
      <c r="J217">
        <f t="shared" si="15"/>
        <v>6246.8</v>
      </c>
      <c r="K217">
        <f>SUMIF(Supply_Clean[Item_Code], B217, Supply_Clean[Available_Supply])</f>
        <v>13052</v>
      </c>
      <c r="L217">
        <f t="shared" si="16"/>
        <v>1</v>
      </c>
      <c r="M217">
        <f t="shared" si="17"/>
        <v>308.60000000000002</v>
      </c>
      <c r="N217" t="str">
        <f t="shared" si="18"/>
        <v>SUFICIENTE</v>
      </c>
      <c r="O217">
        <f t="shared" si="19"/>
        <v>0</v>
      </c>
    </row>
    <row r="218" spans="1:15" x14ac:dyDescent="0.45">
      <c r="A218" t="str">
        <v>CD-CHI</v>
      </c>
      <c r="B218" t="str">
        <v>PRO-1000</v>
      </c>
      <c r="C218">
        <v>6350</v>
      </c>
      <c r="D218">
        <v>441.2</v>
      </c>
      <c r="E218">
        <v>203.7</v>
      </c>
      <c r="F218">
        <v>3.3</v>
      </c>
      <c r="G218">
        <v>1</v>
      </c>
      <c r="H218" t="str">
        <v>OK</v>
      </c>
      <c r="J218">
        <f t="shared" si="15"/>
        <v>5872.7</v>
      </c>
      <c r="K218">
        <f>SUMIF(Supply_Clean[Item_Code], B218, Supply_Clean[Available_Supply])</f>
        <v>2915</v>
      </c>
      <c r="L218">
        <f t="shared" si="16"/>
        <v>0.49636453420062326</v>
      </c>
      <c r="M218">
        <f t="shared" si="17"/>
        <v>218.99603248931498</v>
      </c>
      <c r="N218" t="str">
        <f t="shared" si="18"/>
        <v>ESCASEZ</v>
      </c>
      <c r="O218">
        <f t="shared" si="19"/>
        <v>222.203967510685</v>
      </c>
    </row>
    <row r="219" spans="1:15" x14ac:dyDescent="0.45">
      <c r="A219" t="str">
        <v>CD-LEO</v>
      </c>
      <c r="B219" t="str">
        <v>BOT-1019</v>
      </c>
      <c r="C219">
        <v>5817</v>
      </c>
      <c r="D219">
        <v>714.9</v>
      </c>
      <c r="E219">
        <v>207</v>
      </c>
      <c r="F219">
        <v>1.8</v>
      </c>
      <c r="G219">
        <v>0.6</v>
      </c>
      <c r="H219" t="str">
        <v>OK</v>
      </c>
      <c r="J219">
        <f t="shared" si="15"/>
        <v>9278.2999999999993</v>
      </c>
      <c r="K219">
        <f>SUMIF(Supply_Clean[Item_Code], B219, Supply_Clean[Available_Supply])</f>
        <v>4509</v>
      </c>
      <c r="L219">
        <f t="shared" si="16"/>
        <v>0.48597264585107192</v>
      </c>
      <c r="M219">
        <f t="shared" si="17"/>
        <v>347.42184451893132</v>
      </c>
      <c r="N219" t="str">
        <f t="shared" si="18"/>
        <v>ESCASEZ</v>
      </c>
      <c r="O219">
        <f t="shared" si="19"/>
        <v>367.47815548106865</v>
      </c>
    </row>
    <row r="220" spans="1:15" x14ac:dyDescent="0.45">
      <c r="A220" t="str">
        <v>CD-CAN</v>
      </c>
      <c r="B220" t="str">
        <v>ABA-1012</v>
      </c>
      <c r="C220">
        <v>465</v>
      </c>
      <c r="D220">
        <v>392.2</v>
      </c>
      <c r="E220">
        <v>46.2</v>
      </c>
      <c r="F220">
        <v>4</v>
      </c>
      <c r="G220">
        <v>1.6</v>
      </c>
      <c r="H220" t="str">
        <v>OK</v>
      </c>
      <c r="J220">
        <f t="shared" si="15"/>
        <v>5104.3999999999996</v>
      </c>
      <c r="K220">
        <f>SUMIF(Supply_Clean[Item_Code], B220, Supply_Clean[Available_Supply])</f>
        <v>8396</v>
      </c>
      <c r="L220">
        <f t="shared" si="16"/>
        <v>1</v>
      </c>
      <c r="M220">
        <f t="shared" si="17"/>
        <v>392.2</v>
      </c>
      <c r="N220" t="str">
        <f t="shared" si="18"/>
        <v>SUFICIENTE</v>
      </c>
      <c r="O220">
        <f t="shared" si="19"/>
        <v>0</v>
      </c>
    </row>
    <row r="221" spans="1:15" x14ac:dyDescent="0.45">
      <c r="A221" t="str">
        <v>CD-CDMX</v>
      </c>
      <c r="B221" t="str">
        <v>BOT-1007</v>
      </c>
      <c r="C221">
        <v>6116</v>
      </c>
      <c r="D221">
        <v>517.79999999999995</v>
      </c>
      <c r="E221">
        <v>123.5</v>
      </c>
      <c r="F221">
        <v>0.9</v>
      </c>
      <c r="G221">
        <v>0.2</v>
      </c>
      <c r="H221" t="str">
        <v>OK</v>
      </c>
      <c r="J221">
        <f t="shared" si="15"/>
        <v>7508.1</v>
      </c>
      <c r="K221">
        <f>SUMIF(Supply_Clean[Item_Code], B221, Supply_Clean[Available_Supply])</f>
        <v>16668</v>
      </c>
      <c r="L221">
        <f t="shared" si="16"/>
        <v>1</v>
      </c>
      <c r="M221">
        <f t="shared" si="17"/>
        <v>517.79999999999995</v>
      </c>
      <c r="N221" t="str">
        <f t="shared" si="18"/>
        <v>SUFICIENTE</v>
      </c>
      <c r="O221">
        <f t="shared" si="19"/>
        <v>0</v>
      </c>
    </row>
    <row r="222" spans="1:15" x14ac:dyDescent="0.45">
      <c r="A222" t="str">
        <v>CD-LEO</v>
      </c>
      <c r="B222" t="str">
        <v>LAC-1010</v>
      </c>
      <c r="C222">
        <v>2945</v>
      </c>
      <c r="D222">
        <v>342</v>
      </c>
      <c r="E222">
        <v>99.1</v>
      </c>
      <c r="F222">
        <v>1.6</v>
      </c>
      <c r="G222">
        <v>0.6</v>
      </c>
      <c r="H222" t="str">
        <v>OK</v>
      </c>
      <c r="J222">
        <f t="shared" si="15"/>
        <v>4321.7</v>
      </c>
      <c r="K222">
        <f>SUMIF(Supply_Clean[Item_Code], B222, Supply_Clean[Available_Supply])</f>
        <v>11567</v>
      </c>
      <c r="L222">
        <f t="shared" si="16"/>
        <v>1</v>
      </c>
      <c r="M222">
        <f t="shared" si="17"/>
        <v>342</v>
      </c>
      <c r="N222" t="str">
        <f t="shared" si="18"/>
        <v>SUFICIENTE</v>
      </c>
      <c r="O222">
        <f t="shared" si="19"/>
        <v>0</v>
      </c>
    </row>
    <row r="223" spans="1:15" x14ac:dyDescent="0.45">
      <c r="A223" t="str">
        <v>CD-MOR</v>
      </c>
      <c r="B223" t="str">
        <v>BEB-1007</v>
      </c>
      <c r="C223">
        <v>1666</v>
      </c>
      <c r="D223">
        <v>246.7</v>
      </c>
      <c r="E223">
        <v>44.1</v>
      </c>
      <c r="F223">
        <v>1.9</v>
      </c>
      <c r="G223">
        <v>0.5</v>
      </c>
      <c r="H223" t="str">
        <v>OK</v>
      </c>
      <c r="J223">
        <f t="shared" si="15"/>
        <v>5039.5</v>
      </c>
      <c r="K223">
        <f>SUMIF(Supply_Clean[Item_Code], B223, Supply_Clean[Available_Supply])</f>
        <v>12912</v>
      </c>
      <c r="L223">
        <f t="shared" si="16"/>
        <v>1</v>
      </c>
      <c r="M223">
        <f t="shared" si="17"/>
        <v>246.7</v>
      </c>
      <c r="N223" t="str">
        <f t="shared" si="18"/>
        <v>SUFICIENTE</v>
      </c>
      <c r="O223">
        <f t="shared" si="19"/>
        <v>0</v>
      </c>
    </row>
    <row r="224" spans="1:15" x14ac:dyDescent="0.45">
      <c r="A224" t="str">
        <v>CD-MTY</v>
      </c>
      <c r="B224" t="str">
        <v>BOT-1016</v>
      </c>
      <c r="C224">
        <v>15661</v>
      </c>
      <c r="D224">
        <v>987.7</v>
      </c>
      <c r="E224">
        <v>239</v>
      </c>
      <c r="F224">
        <v>1.2</v>
      </c>
      <c r="G224">
        <v>0.3</v>
      </c>
      <c r="H224" t="str">
        <v>OK</v>
      </c>
      <c r="J224">
        <f t="shared" si="15"/>
        <v>9923.6999999999989</v>
      </c>
      <c r="K224">
        <f>SUMIF(Supply_Clean[Item_Code], B224, Supply_Clean[Available_Supply])</f>
        <v>18995</v>
      </c>
      <c r="L224">
        <f t="shared" si="16"/>
        <v>1</v>
      </c>
      <c r="M224">
        <f t="shared" si="17"/>
        <v>987.7</v>
      </c>
      <c r="N224" t="str">
        <f t="shared" si="18"/>
        <v>SUFICIENTE</v>
      </c>
      <c r="O224">
        <f t="shared" si="19"/>
        <v>0</v>
      </c>
    </row>
    <row r="225" spans="1:15" x14ac:dyDescent="0.45">
      <c r="A225" t="str">
        <v>CD-SAL</v>
      </c>
      <c r="B225" t="str">
        <v>BEB-1003</v>
      </c>
      <c r="C225">
        <v>4488</v>
      </c>
      <c r="D225">
        <v>495.9</v>
      </c>
      <c r="E225">
        <v>75.599999999999994</v>
      </c>
      <c r="F225">
        <v>1.4</v>
      </c>
      <c r="G225">
        <v>0.5</v>
      </c>
      <c r="H225" t="str">
        <v>OK</v>
      </c>
      <c r="J225">
        <f t="shared" si="15"/>
        <v>5232</v>
      </c>
      <c r="K225">
        <f>SUMIF(Supply_Clean[Item_Code], B225, Supply_Clean[Available_Supply])</f>
        <v>16426</v>
      </c>
      <c r="L225">
        <f t="shared" si="16"/>
        <v>1</v>
      </c>
      <c r="M225">
        <f t="shared" si="17"/>
        <v>495.9</v>
      </c>
      <c r="N225" t="str">
        <f t="shared" si="18"/>
        <v>SUFICIENTE</v>
      </c>
      <c r="O225">
        <f t="shared" si="19"/>
        <v>0</v>
      </c>
    </row>
    <row r="226" spans="1:15" x14ac:dyDescent="0.45">
      <c r="A226" t="str">
        <v>CD-TIJ</v>
      </c>
      <c r="B226" t="str">
        <v>ABA-1003</v>
      </c>
      <c r="C226">
        <v>7145</v>
      </c>
      <c r="D226">
        <v>398.8</v>
      </c>
      <c r="E226">
        <v>58.5</v>
      </c>
      <c r="F226">
        <v>5.6</v>
      </c>
      <c r="G226">
        <v>1.5</v>
      </c>
      <c r="H226" t="str">
        <v>OK</v>
      </c>
      <c r="J226">
        <f t="shared" si="15"/>
        <v>4709.8000000000011</v>
      </c>
      <c r="K226">
        <f>SUMIF(Supply_Clean[Item_Code], B226, Supply_Clean[Available_Supply])</f>
        <v>11700</v>
      </c>
      <c r="L226">
        <f t="shared" si="16"/>
        <v>1</v>
      </c>
      <c r="M226">
        <f t="shared" si="17"/>
        <v>398.8</v>
      </c>
      <c r="N226" t="str">
        <f t="shared" si="18"/>
        <v>SUFICIENTE</v>
      </c>
      <c r="O226">
        <f t="shared" si="19"/>
        <v>0</v>
      </c>
    </row>
    <row r="227" spans="1:15" x14ac:dyDescent="0.45">
      <c r="A227" t="str">
        <v>CD-QRO</v>
      </c>
      <c r="B227" t="str">
        <v>LAC-1002</v>
      </c>
      <c r="C227">
        <v>5800</v>
      </c>
      <c r="D227">
        <v>335.8</v>
      </c>
      <c r="E227">
        <v>127.5</v>
      </c>
      <c r="F227">
        <v>2.1</v>
      </c>
      <c r="G227">
        <v>0.4</v>
      </c>
      <c r="H227" t="str">
        <v>OK</v>
      </c>
      <c r="J227">
        <f t="shared" si="15"/>
        <v>4442.1000000000004</v>
      </c>
      <c r="K227">
        <f>SUMIF(Supply_Clean[Item_Code], B227, Supply_Clean[Available_Supply])</f>
        <v>7796</v>
      </c>
      <c r="L227">
        <f t="shared" si="16"/>
        <v>1</v>
      </c>
      <c r="M227">
        <f t="shared" si="17"/>
        <v>335.8</v>
      </c>
      <c r="N227" t="str">
        <f t="shared" si="18"/>
        <v>SUFICIENTE</v>
      </c>
      <c r="O227">
        <f t="shared" si="19"/>
        <v>0</v>
      </c>
    </row>
    <row r="228" spans="1:15" x14ac:dyDescent="0.45">
      <c r="A228" t="str">
        <v>CD-MOR</v>
      </c>
      <c r="B228" t="str">
        <v>BEB-1021</v>
      </c>
      <c r="C228">
        <v>4679</v>
      </c>
      <c r="D228">
        <v>370.9</v>
      </c>
      <c r="E228">
        <v>60.1</v>
      </c>
      <c r="F228">
        <v>1.5</v>
      </c>
      <c r="G228">
        <v>0.5</v>
      </c>
      <c r="H228" t="str">
        <v>OK</v>
      </c>
      <c r="J228">
        <f t="shared" si="15"/>
        <v>5254.7999999999993</v>
      </c>
      <c r="K228">
        <f>SUMIF(Supply_Clean[Item_Code], B228, Supply_Clean[Available_Supply])</f>
        <v>13235</v>
      </c>
      <c r="L228">
        <f t="shared" si="16"/>
        <v>1</v>
      </c>
      <c r="M228">
        <f t="shared" si="17"/>
        <v>370.9</v>
      </c>
      <c r="N228" t="str">
        <f t="shared" si="18"/>
        <v>SUFICIENTE</v>
      </c>
      <c r="O228">
        <f t="shared" si="19"/>
        <v>0</v>
      </c>
    </row>
    <row r="229" spans="1:15" x14ac:dyDescent="0.45">
      <c r="A229" t="str">
        <v>CD-LEO</v>
      </c>
      <c r="B229" t="str">
        <v>LAC-1014</v>
      </c>
      <c r="C229">
        <v>472</v>
      </c>
      <c r="D229">
        <v>141.69999999999999</v>
      </c>
      <c r="E229">
        <v>62.3</v>
      </c>
      <c r="F229">
        <v>1.5</v>
      </c>
      <c r="G229">
        <v>0.6</v>
      </c>
      <c r="H229" t="str">
        <v>OK</v>
      </c>
      <c r="J229">
        <f t="shared" si="15"/>
        <v>4121.5</v>
      </c>
      <c r="K229">
        <f>SUMIF(Supply_Clean[Item_Code], B229, Supply_Clean[Available_Supply])</f>
        <v>8260</v>
      </c>
      <c r="L229">
        <f t="shared" si="16"/>
        <v>1</v>
      </c>
      <c r="M229">
        <f t="shared" si="17"/>
        <v>141.69999999999999</v>
      </c>
      <c r="N229" t="str">
        <f t="shared" si="18"/>
        <v>SUFICIENTE</v>
      </c>
      <c r="O229">
        <f t="shared" si="19"/>
        <v>0</v>
      </c>
    </row>
    <row r="230" spans="1:15" x14ac:dyDescent="0.45">
      <c r="A230" t="str">
        <v>CD-PUE</v>
      </c>
      <c r="B230" t="str">
        <v>ABA-1004</v>
      </c>
      <c r="C230">
        <v>5135</v>
      </c>
      <c r="D230">
        <v>475</v>
      </c>
      <c r="E230">
        <v>60</v>
      </c>
      <c r="F230">
        <v>0.9</v>
      </c>
      <c r="G230">
        <v>0.3</v>
      </c>
      <c r="H230" t="str">
        <v>OK</v>
      </c>
      <c r="J230">
        <f t="shared" si="15"/>
        <v>5236.7</v>
      </c>
      <c r="K230">
        <f>SUMIF(Supply_Clean[Item_Code], B230, Supply_Clean[Available_Supply])</f>
        <v>10879</v>
      </c>
      <c r="L230">
        <f t="shared" si="16"/>
        <v>1</v>
      </c>
      <c r="M230">
        <f t="shared" si="17"/>
        <v>475</v>
      </c>
      <c r="N230" t="str">
        <f t="shared" si="18"/>
        <v>SUFICIENTE</v>
      </c>
      <c r="O230">
        <f t="shared" si="19"/>
        <v>0</v>
      </c>
    </row>
    <row r="231" spans="1:15" x14ac:dyDescent="0.45">
      <c r="A231" t="str">
        <v>CD-MER</v>
      </c>
      <c r="B231" t="str">
        <v>ABA-1004</v>
      </c>
      <c r="C231">
        <v>4489</v>
      </c>
      <c r="D231">
        <v>420.5</v>
      </c>
      <c r="E231">
        <v>60.7</v>
      </c>
      <c r="F231">
        <v>3.9</v>
      </c>
      <c r="G231">
        <v>1.3</v>
      </c>
      <c r="H231" t="str">
        <v>OK</v>
      </c>
      <c r="J231">
        <f t="shared" si="15"/>
        <v>5236.7</v>
      </c>
      <c r="K231">
        <f>SUMIF(Supply_Clean[Item_Code], B231, Supply_Clean[Available_Supply])</f>
        <v>10879</v>
      </c>
      <c r="L231">
        <f t="shared" si="16"/>
        <v>1</v>
      </c>
      <c r="M231">
        <f t="shared" si="17"/>
        <v>420.5</v>
      </c>
      <c r="N231" t="str">
        <f t="shared" si="18"/>
        <v>SUFICIENTE</v>
      </c>
      <c r="O231">
        <f t="shared" si="19"/>
        <v>0</v>
      </c>
    </row>
    <row r="232" spans="1:15" x14ac:dyDescent="0.45">
      <c r="A232" t="str">
        <v>CD-TIJ</v>
      </c>
      <c r="B232" t="str">
        <v>PRO-1003</v>
      </c>
      <c r="C232">
        <v>9230</v>
      </c>
      <c r="D232">
        <v>704.7</v>
      </c>
      <c r="E232">
        <v>352.1</v>
      </c>
      <c r="F232">
        <v>6.1</v>
      </c>
      <c r="G232">
        <v>1.5</v>
      </c>
      <c r="H232" t="str">
        <v>OK</v>
      </c>
      <c r="J232">
        <f t="shared" si="15"/>
        <v>6234.9</v>
      </c>
      <c r="K232">
        <f>SUMIF(Supply_Clean[Item_Code], B232, Supply_Clean[Available_Supply])</f>
        <v>10658</v>
      </c>
      <c r="L232">
        <f t="shared" si="16"/>
        <v>1</v>
      </c>
      <c r="M232">
        <f t="shared" si="17"/>
        <v>704.7</v>
      </c>
      <c r="N232" t="str">
        <f t="shared" si="18"/>
        <v>SUFICIENTE</v>
      </c>
      <c r="O232">
        <f t="shared" si="19"/>
        <v>0</v>
      </c>
    </row>
    <row r="233" spans="1:15" x14ac:dyDescent="0.45">
      <c r="A233" t="str">
        <v>CD-CAN</v>
      </c>
      <c r="B233" t="str">
        <v>BOT-1004</v>
      </c>
      <c r="C233">
        <v>1731</v>
      </c>
      <c r="D233">
        <v>637.6</v>
      </c>
      <c r="E233">
        <v>158.19999999999999</v>
      </c>
      <c r="F233">
        <v>7.5</v>
      </c>
      <c r="G233">
        <v>1.6</v>
      </c>
      <c r="H233" t="str">
        <v>OK</v>
      </c>
      <c r="J233">
        <f t="shared" si="15"/>
        <v>9421.7999999999993</v>
      </c>
      <c r="K233">
        <f>SUMIF(Supply_Clean[Item_Code], B233, Supply_Clean[Available_Supply])</f>
        <v>15860</v>
      </c>
      <c r="L233">
        <f t="shared" si="16"/>
        <v>1</v>
      </c>
      <c r="M233">
        <f t="shared" si="17"/>
        <v>637.6</v>
      </c>
      <c r="N233" t="str">
        <f t="shared" si="18"/>
        <v>SUFICIENTE</v>
      </c>
      <c r="O233">
        <f t="shared" si="19"/>
        <v>0</v>
      </c>
    </row>
    <row r="234" spans="1:15" x14ac:dyDescent="0.45">
      <c r="A234" t="str">
        <v>CD-LEO</v>
      </c>
      <c r="B234" t="str">
        <v>BOT-1014</v>
      </c>
      <c r="C234">
        <v>3182</v>
      </c>
      <c r="D234">
        <v>0</v>
      </c>
      <c r="E234">
        <v>150.1</v>
      </c>
      <c r="F234">
        <v>1.5</v>
      </c>
      <c r="G234">
        <v>0.6</v>
      </c>
      <c r="H234" t="str">
        <v>OK</v>
      </c>
      <c r="J234">
        <f t="shared" si="15"/>
        <v>8056.4000000000005</v>
      </c>
      <c r="K234">
        <f>SUMIF(Supply_Clean[Item_Code], B234, Supply_Clean[Available_Supply])</f>
        <v>14373</v>
      </c>
      <c r="L234">
        <f t="shared" si="16"/>
        <v>1</v>
      </c>
      <c r="M234">
        <f t="shared" si="17"/>
        <v>0</v>
      </c>
      <c r="N234" t="str">
        <f t="shared" si="18"/>
        <v>SUFICIENTE</v>
      </c>
      <c r="O234">
        <f t="shared" si="19"/>
        <v>0</v>
      </c>
    </row>
    <row r="235" spans="1:15" x14ac:dyDescent="0.45">
      <c r="A235" t="str">
        <v>CD-TOL</v>
      </c>
      <c r="B235" t="str">
        <v>PRO-1000</v>
      </c>
      <c r="C235">
        <v>7745</v>
      </c>
      <c r="D235">
        <v>625.9</v>
      </c>
      <c r="E235">
        <v>433.5</v>
      </c>
      <c r="F235">
        <v>1.1000000000000001</v>
      </c>
      <c r="G235">
        <v>0.5</v>
      </c>
      <c r="H235" t="str">
        <v>OK</v>
      </c>
      <c r="J235">
        <f t="shared" si="15"/>
        <v>5872.7</v>
      </c>
      <c r="K235">
        <f>SUMIF(Supply_Clean[Item_Code], B235, Supply_Clean[Available_Supply])</f>
        <v>2915</v>
      </c>
      <c r="L235">
        <f t="shared" si="16"/>
        <v>0.49636453420062326</v>
      </c>
      <c r="M235">
        <f t="shared" si="17"/>
        <v>310.67456195617007</v>
      </c>
      <c r="N235" t="str">
        <f t="shared" si="18"/>
        <v>ESCASEZ</v>
      </c>
      <c r="O235">
        <f t="shared" si="19"/>
        <v>315.22543804382991</v>
      </c>
    </row>
    <row r="236" spans="1:15" x14ac:dyDescent="0.45">
      <c r="A236" t="str">
        <v>CD-TOL</v>
      </c>
      <c r="B236" t="str">
        <v>BEB-1016</v>
      </c>
      <c r="C236">
        <v>7278</v>
      </c>
      <c r="D236">
        <v>0</v>
      </c>
      <c r="E236">
        <v>51.7</v>
      </c>
      <c r="F236">
        <v>2.5</v>
      </c>
      <c r="G236">
        <v>0.5</v>
      </c>
      <c r="H236" t="str">
        <v>OK</v>
      </c>
      <c r="J236">
        <f t="shared" si="15"/>
        <v>5569.2000000000007</v>
      </c>
      <c r="K236">
        <f>SUMIF(Supply_Clean[Item_Code], B236, Supply_Clean[Available_Supply])</f>
        <v>14537</v>
      </c>
      <c r="L236">
        <f t="shared" si="16"/>
        <v>1</v>
      </c>
      <c r="M236">
        <f t="shared" si="17"/>
        <v>0</v>
      </c>
      <c r="N236" t="str">
        <f t="shared" si="18"/>
        <v>SUFICIENTE</v>
      </c>
      <c r="O236">
        <f t="shared" si="19"/>
        <v>0</v>
      </c>
    </row>
    <row r="237" spans="1:15" x14ac:dyDescent="0.45">
      <c r="A237" t="str">
        <v>CD-TOL</v>
      </c>
      <c r="B237" t="str">
        <v>ABA-1018</v>
      </c>
      <c r="C237">
        <v>2788</v>
      </c>
      <c r="D237">
        <v>180.8</v>
      </c>
      <c r="E237">
        <v>14.5</v>
      </c>
      <c r="F237">
        <v>2.4</v>
      </c>
      <c r="G237">
        <v>0.5</v>
      </c>
      <c r="H237" t="str">
        <v>OK</v>
      </c>
      <c r="J237">
        <f t="shared" si="15"/>
        <v>4478</v>
      </c>
      <c r="K237">
        <f>SUMIF(Supply_Clean[Item_Code], B237, Supply_Clean[Available_Supply])</f>
        <v>6884</v>
      </c>
      <c r="L237">
        <f t="shared" si="16"/>
        <v>1</v>
      </c>
      <c r="M237">
        <f t="shared" si="17"/>
        <v>180.8</v>
      </c>
      <c r="N237" t="str">
        <f t="shared" si="18"/>
        <v>SUFICIENTE</v>
      </c>
      <c r="O237">
        <f t="shared" si="19"/>
        <v>0</v>
      </c>
    </row>
    <row r="238" spans="1:15" x14ac:dyDescent="0.45">
      <c r="A238" t="str">
        <v>CD-VER</v>
      </c>
      <c r="B238" t="str">
        <v>BEB-1013</v>
      </c>
      <c r="C238">
        <v>2395</v>
      </c>
      <c r="D238">
        <v>596.1</v>
      </c>
      <c r="E238">
        <v>93.9</v>
      </c>
      <c r="F238">
        <v>1.5</v>
      </c>
      <c r="G238">
        <v>0.9</v>
      </c>
      <c r="H238" t="str">
        <v>OK</v>
      </c>
      <c r="J238">
        <f t="shared" si="15"/>
        <v>6158.7000000000007</v>
      </c>
      <c r="K238">
        <f>SUMIF(Supply_Clean[Item_Code], B238, Supply_Clean[Available_Supply])</f>
        <v>3246</v>
      </c>
      <c r="L238">
        <f t="shared" si="16"/>
        <v>0.52705928199132923</v>
      </c>
      <c r="M238">
        <f t="shared" si="17"/>
        <v>314.18003799503134</v>
      </c>
      <c r="N238" t="str">
        <f t="shared" si="18"/>
        <v>ESCASEZ</v>
      </c>
      <c r="O238">
        <f t="shared" si="19"/>
        <v>281.91996200496868</v>
      </c>
    </row>
    <row r="239" spans="1:15" x14ac:dyDescent="0.45">
      <c r="A239" t="str">
        <v>CD-PUE</v>
      </c>
      <c r="B239" t="str">
        <v>LAC-1012</v>
      </c>
      <c r="C239">
        <v>3858</v>
      </c>
      <c r="D239">
        <v>510.4</v>
      </c>
      <c r="E239">
        <v>154.1</v>
      </c>
      <c r="F239">
        <v>1</v>
      </c>
      <c r="G239">
        <v>0.3</v>
      </c>
      <c r="H239" t="str">
        <v>OK</v>
      </c>
      <c r="J239">
        <f t="shared" si="15"/>
        <v>5447.0000000000009</v>
      </c>
      <c r="K239">
        <f>SUMIF(Supply_Clean[Item_Code], B239, Supply_Clean[Available_Supply])</f>
        <v>12033</v>
      </c>
      <c r="L239">
        <f t="shared" si="16"/>
        <v>1</v>
      </c>
      <c r="M239">
        <f t="shared" si="17"/>
        <v>510.4</v>
      </c>
      <c r="N239" t="str">
        <f t="shared" si="18"/>
        <v>SUFICIENTE</v>
      </c>
      <c r="O239">
        <f t="shared" si="19"/>
        <v>0</v>
      </c>
    </row>
    <row r="240" spans="1:15" x14ac:dyDescent="0.45">
      <c r="A240" t="str">
        <v>CD-TOL</v>
      </c>
      <c r="B240" t="str">
        <v>ABA-1010</v>
      </c>
      <c r="C240">
        <v>4594</v>
      </c>
      <c r="D240">
        <v>306.5</v>
      </c>
      <c r="E240">
        <v>44</v>
      </c>
      <c r="F240">
        <v>2.8</v>
      </c>
      <c r="G240">
        <v>0.5</v>
      </c>
      <c r="H240" t="str">
        <v>OK</v>
      </c>
      <c r="J240">
        <f t="shared" si="15"/>
        <v>4871.7</v>
      </c>
      <c r="K240">
        <f>SUMIF(Supply_Clean[Item_Code], B240, Supply_Clean[Available_Supply])</f>
        <v>9875</v>
      </c>
      <c r="L240">
        <f t="shared" si="16"/>
        <v>1</v>
      </c>
      <c r="M240">
        <f t="shared" si="17"/>
        <v>306.5</v>
      </c>
      <c r="N240" t="str">
        <f t="shared" si="18"/>
        <v>SUFICIENTE</v>
      </c>
      <c r="O240">
        <f t="shared" si="19"/>
        <v>0</v>
      </c>
    </row>
    <row r="241" spans="1:15" x14ac:dyDescent="0.45">
      <c r="A241" t="str">
        <v>CD-CHI</v>
      </c>
      <c r="B241" t="str">
        <v>PRO-1009</v>
      </c>
      <c r="C241">
        <v>4043</v>
      </c>
      <c r="D241">
        <v>872.1</v>
      </c>
      <c r="E241">
        <v>360.1</v>
      </c>
      <c r="F241">
        <v>3.5</v>
      </c>
      <c r="G241">
        <v>1</v>
      </c>
      <c r="H241" t="str">
        <v>OK</v>
      </c>
      <c r="J241">
        <f t="shared" si="15"/>
        <v>5962.0999999999995</v>
      </c>
      <c r="K241">
        <f>SUMIF(Supply_Clean[Item_Code], B241, Supply_Clean[Available_Supply])</f>
        <v>10685</v>
      </c>
      <c r="L241">
        <f t="shared" si="16"/>
        <v>1</v>
      </c>
      <c r="M241">
        <f t="shared" si="17"/>
        <v>872.1</v>
      </c>
      <c r="N241" t="str">
        <f t="shared" si="18"/>
        <v>SUFICIENTE</v>
      </c>
      <c r="O241">
        <f t="shared" si="19"/>
        <v>0</v>
      </c>
    </row>
    <row r="242" spans="1:15" x14ac:dyDescent="0.45">
      <c r="A242" t="str">
        <v>CD-CHI</v>
      </c>
      <c r="B242" t="str">
        <v>PRO-1012</v>
      </c>
      <c r="C242">
        <v>4103</v>
      </c>
      <c r="D242">
        <v>289.39999999999998</v>
      </c>
      <c r="E242">
        <v>175.6</v>
      </c>
      <c r="F242">
        <v>3.3</v>
      </c>
      <c r="G242">
        <v>1</v>
      </c>
      <c r="H242" t="str">
        <v>OK</v>
      </c>
      <c r="J242">
        <f t="shared" si="15"/>
        <v>4930.1000000000004</v>
      </c>
      <c r="K242">
        <f>SUMIF(Supply_Clean[Item_Code], B242, Supply_Clean[Available_Supply])</f>
        <v>9930</v>
      </c>
      <c r="L242">
        <f t="shared" si="16"/>
        <v>1</v>
      </c>
      <c r="M242">
        <f t="shared" si="17"/>
        <v>289.39999999999998</v>
      </c>
      <c r="N242" t="str">
        <f t="shared" si="18"/>
        <v>SUFICIENTE</v>
      </c>
      <c r="O242">
        <f t="shared" si="19"/>
        <v>0</v>
      </c>
    </row>
    <row r="243" spans="1:15" x14ac:dyDescent="0.45">
      <c r="A243" t="str">
        <v>CD-QRO</v>
      </c>
      <c r="B243" t="str">
        <v>PRO-1004</v>
      </c>
      <c r="C243">
        <v>2685</v>
      </c>
      <c r="D243">
        <v>193.5</v>
      </c>
      <c r="E243">
        <v>109.5</v>
      </c>
      <c r="F243">
        <v>1.4</v>
      </c>
      <c r="G243">
        <v>0.4</v>
      </c>
      <c r="H243" t="str">
        <v>OK</v>
      </c>
      <c r="J243">
        <f t="shared" si="15"/>
        <v>5295.1999999999989</v>
      </c>
      <c r="K243">
        <f>SUMIF(Supply_Clean[Item_Code], B243, Supply_Clean[Available_Supply])</f>
        <v>13057</v>
      </c>
      <c r="L243">
        <f t="shared" si="16"/>
        <v>1</v>
      </c>
      <c r="M243">
        <f t="shared" si="17"/>
        <v>193.5</v>
      </c>
      <c r="N243" t="str">
        <f t="shared" si="18"/>
        <v>SUFICIENTE</v>
      </c>
      <c r="O243">
        <f t="shared" si="19"/>
        <v>0</v>
      </c>
    </row>
    <row r="244" spans="1:15" x14ac:dyDescent="0.45">
      <c r="A244" t="str">
        <v>CD-SAL</v>
      </c>
      <c r="B244" t="str">
        <v>BOT-1015</v>
      </c>
      <c r="C244">
        <v>2126</v>
      </c>
      <c r="D244">
        <v>889.4</v>
      </c>
      <c r="E244">
        <v>164.5</v>
      </c>
      <c r="F244">
        <v>2.5</v>
      </c>
      <c r="G244">
        <v>0.5</v>
      </c>
      <c r="H244" t="str">
        <v>OK</v>
      </c>
      <c r="J244">
        <f t="shared" si="15"/>
        <v>8666.4</v>
      </c>
      <c r="K244">
        <f>SUMIF(Supply_Clean[Item_Code], B244, Supply_Clean[Available_Supply])</f>
        <v>5719</v>
      </c>
      <c r="L244">
        <f t="shared" si="16"/>
        <v>0.65990492015138935</v>
      </c>
      <c r="M244">
        <f t="shared" si="17"/>
        <v>586.91943598264572</v>
      </c>
      <c r="N244" t="str">
        <f t="shared" si="18"/>
        <v>ESCASEZ</v>
      </c>
      <c r="O244">
        <f t="shared" si="19"/>
        <v>302.48056401735425</v>
      </c>
    </row>
    <row r="245" spans="1:15" x14ac:dyDescent="0.45">
      <c r="A245" t="str">
        <v>CD-CDMX</v>
      </c>
      <c r="B245" t="str">
        <v>PRO-1003</v>
      </c>
      <c r="C245">
        <v>1150</v>
      </c>
      <c r="D245">
        <v>104</v>
      </c>
      <c r="E245">
        <v>66.099999999999994</v>
      </c>
      <c r="F245">
        <v>0.9</v>
      </c>
      <c r="G245">
        <v>0.2</v>
      </c>
      <c r="H245" t="str">
        <v>OK</v>
      </c>
      <c r="J245">
        <f t="shared" si="15"/>
        <v>6234.9</v>
      </c>
      <c r="K245">
        <f>SUMIF(Supply_Clean[Item_Code], B245, Supply_Clean[Available_Supply])</f>
        <v>10658</v>
      </c>
      <c r="L245">
        <f t="shared" si="16"/>
        <v>1</v>
      </c>
      <c r="M245">
        <f t="shared" si="17"/>
        <v>104</v>
      </c>
      <c r="N245" t="str">
        <f t="shared" si="18"/>
        <v>SUFICIENTE</v>
      </c>
      <c r="O245">
        <f t="shared" si="19"/>
        <v>0</v>
      </c>
    </row>
    <row r="246" spans="1:15" x14ac:dyDescent="0.45">
      <c r="A246" t="str">
        <v>CD-MTY</v>
      </c>
      <c r="B246" t="str">
        <v>ABA-1001</v>
      </c>
      <c r="C246">
        <v>1928</v>
      </c>
      <c r="D246">
        <v>247</v>
      </c>
      <c r="E246">
        <v>24.7</v>
      </c>
      <c r="F246">
        <v>1.3</v>
      </c>
      <c r="G246">
        <v>0.3</v>
      </c>
      <c r="H246" t="str">
        <v>OK</v>
      </c>
      <c r="J246">
        <f t="shared" si="15"/>
        <v>4698.6999999999989</v>
      </c>
      <c r="K246">
        <f>SUMIF(Supply_Clean[Item_Code], B246, Supply_Clean[Available_Supply])</f>
        <v>8775</v>
      </c>
      <c r="L246">
        <f t="shared" si="16"/>
        <v>1</v>
      </c>
      <c r="M246">
        <f t="shared" si="17"/>
        <v>247</v>
      </c>
      <c r="N246" t="str">
        <f t="shared" si="18"/>
        <v>SUFICIENTE</v>
      </c>
      <c r="O246">
        <f t="shared" si="19"/>
        <v>0</v>
      </c>
    </row>
    <row r="247" spans="1:15" x14ac:dyDescent="0.45">
      <c r="A247" t="str">
        <v>CD-LEO</v>
      </c>
      <c r="B247" t="str">
        <v>LAC-1001</v>
      </c>
      <c r="C247">
        <v>583</v>
      </c>
      <c r="D247">
        <v>221.5</v>
      </c>
      <c r="E247">
        <v>82.6</v>
      </c>
      <c r="F247">
        <v>1.9</v>
      </c>
      <c r="G247">
        <v>0.6</v>
      </c>
      <c r="H247" t="str">
        <v>OK</v>
      </c>
      <c r="J247">
        <f t="shared" si="15"/>
        <v>3660.9999999999991</v>
      </c>
      <c r="K247">
        <f>SUMIF(Supply_Clean[Item_Code], B247, Supply_Clean[Available_Supply])</f>
        <v>9945</v>
      </c>
      <c r="L247">
        <f t="shared" si="16"/>
        <v>1</v>
      </c>
      <c r="M247">
        <f t="shared" si="17"/>
        <v>221.5</v>
      </c>
      <c r="N247" t="str">
        <f t="shared" si="18"/>
        <v>SUFICIENTE</v>
      </c>
      <c r="O247">
        <f t="shared" si="19"/>
        <v>0</v>
      </c>
    </row>
    <row r="248" spans="1:15" x14ac:dyDescent="0.45">
      <c r="A248" t="str">
        <v>CD-TOL</v>
      </c>
      <c r="B248" t="str">
        <v>BOT-1009</v>
      </c>
      <c r="C248">
        <v>7803</v>
      </c>
      <c r="D248">
        <v>630.29999999999995</v>
      </c>
      <c r="E248">
        <v>172.1</v>
      </c>
      <c r="F248">
        <v>2.9</v>
      </c>
      <c r="G248">
        <v>0.5</v>
      </c>
      <c r="H248" t="str">
        <v>OK</v>
      </c>
      <c r="J248">
        <f t="shared" si="15"/>
        <v>8135.5</v>
      </c>
      <c r="K248">
        <f>SUMIF(Supply_Clean[Item_Code], B248, Supply_Clean[Available_Supply])</f>
        <v>17475</v>
      </c>
      <c r="L248">
        <f t="shared" si="16"/>
        <v>1</v>
      </c>
      <c r="M248">
        <f t="shared" si="17"/>
        <v>630.29999999999995</v>
      </c>
      <c r="N248" t="str">
        <f t="shared" si="18"/>
        <v>SUFICIENTE</v>
      </c>
      <c r="O248">
        <f t="shared" si="19"/>
        <v>0</v>
      </c>
    </row>
    <row r="249" spans="1:15" x14ac:dyDescent="0.45">
      <c r="A249" t="str">
        <v>CD-CDMX</v>
      </c>
      <c r="B249" t="str">
        <v>ABA-1002</v>
      </c>
      <c r="C249">
        <v>2700</v>
      </c>
      <c r="D249">
        <v>354.9</v>
      </c>
      <c r="E249">
        <v>39.200000000000003</v>
      </c>
      <c r="F249">
        <v>0.8</v>
      </c>
      <c r="G249">
        <v>0.2</v>
      </c>
      <c r="H249" t="str">
        <v>OK</v>
      </c>
      <c r="J249">
        <f t="shared" si="15"/>
        <v>4525.7</v>
      </c>
      <c r="K249">
        <f>SUMIF(Supply_Clean[Item_Code], B249, Supply_Clean[Available_Supply])</f>
        <v>8581</v>
      </c>
      <c r="L249">
        <f t="shared" si="16"/>
        <v>1</v>
      </c>
      <c r="M249">
        <f t="shared" si="17"/>
        <v>354.9</v>
      </c>
      <c r="N249" t="str">
        <f t="shared" si="18"/>
        <v>SUFICIENTE</v>
      </c>
      <c r="O249">
        <f t="shared" si="19"/>
        <v>0</v>
      </c>
    </row>
    <row r="250" spans="1:15" x14ac:dyDescent="0.45">
      <c r="A250" t="str">
        <v>CD-MOR</v>
      </c>
      <c r="B250" t="str">
        <v>BOT-1016</v>
      </c>
      <c r="C250">
        <v>1545</v>
      </c>
      <c r="D250">
        <v>487.6</v>
      </c>
      <c r="E250">
        <v>120.8</v>
      </c>
      <c r="F250">
        <v>1.8</v>
      </c>
      <c r="G250">
        <v>0.5</v>
      </c>
      <c r="H250" t="str">
        <v>OK</v>
      </c>
      <c r="J250">
        <f t="shared" si="15"/>
        <v>9923.6999999999989</v>
      </c>
      <c r="K250">
        <f>SUMIF(Supply_Clean[Item_Code], B250, Supply_Clean[Available_Supply])</f>
        <v>18995</v>
      </c>
      <c r="L250">
        <f t="shared" si="16"/>
        <v>1</v>
      </c>
      <c r="M250">
        <f t="shared" si="17"/>
        <v>487.6</v>
      </c>
      <c r="N250" t="str">
        <f t="shared" si="18"/>
        <v>SUFICIENTE</v>
      </c>
      <c r="O250">
        <f t="shared" si="19"/>
        <v>0</v>
      </c>
    </row>
    <row r="251" spans="1:15" x14ac:dyDescent="0.45">
      <c r="A251" t="str">
        <v>CD-PUE</v>
      </c>
      <c r="B251" t="str">
        <v>BOT-1000</v>
      </c>
      <c r="C251">
        <v>2343</v>
      </c>
      <c r="D251">
        <v>356.6</v>
      </c>
      <c r="E251">
        <v>65.2</v>
      </c>
      <c r="F251">
        <v>1.1000000000000001</v>
      </c>
      <c r="G251">
        <v>0.3</v>
      </c>
      <c r="H251" t="str">
        <v>OK</v>
      </c>
      <c r="J251">
        <f t="shared" si="15"/>
        <v>8310.6</v>
      </c>
      <c r="K251">
        <f>SUMIF(Supply_Clean[Item_Code], B251, Supply_Clean[Available_Supply])</f>
        <v>21762</v>
      </c>
      <c r="L251">
        <f t="shared" si="16"/>
        <v>1</v>
      </c>
      <c r="M251">
        <f t="shared" si="17"/>
        <v>356.6</v>
      </c>
      <c r="N251" t="str">
        <f t="shared" si="18"/>
        <v>SUFICIENTE</v>
      </c>
      <c r="O251">
        <f t="shared" si="19"/>
        <v>0</v>
      </c>
    </row>
    <row r="252" spans="1:15" x14ac:dyDescent="0.45">
      <c r="A252" t="str">
        <v>CD-HER</v>
      </c>
      <c r="B252" t="str">
        <v>BOT-1014</v>
      </c>
      <c r="C252">
        <v>10813</v>
      </c>
      <c r="D252">
        <v>736.3</v>
      </c>
      <c r="E252">
        <v>196.1</v>
      </c>
      <c r="F252">
        <v>1.8</v>
      </c>
      <c r="G252">
        <v>1.2</v>
      </c>
      <c r="H252" t="str">
        <v>OK</v>
      </c>
      <c r="J252">
        <f t="shared" si="15"/>
        <v>8056.4000000000005</v>
      </c>
      <c r="K252">
        <f>SUMIF(Supply_Clean[Item_Code], B252, Supply_Clean[Available_Supply])</f>
        <v>14373</v>
      </c>
      <c r="L252">
        <f t="shared" si="16"/>
        <v>1</v>
      </c>
      <c r="M252">
        <f t="shared" si="17"/>
        <v>736.3</v>
      </c>
      <c r="N252" t="str">
        <f t="shared" si="18"/>
        <v>SUFICIENTE</v>
      </c>
      <c r="O252">
        <f t="shared" si="19"/>
        <v>0</v>
      </c>
    </row>
    <row r="253" spans="1:15" x14ac:dyDescent="0.45">
      <c r="A253" t="str">
        <v>CD-TOL</v>
      </c>
      <c r="B253" t="str">
        <v>BOT-1020</v>
      </c>
      <c r="C253">
        <v>6076</v>
      </c>
      <c r="D253">
        <v>807</v>
      </c>
      <c r="E253">
        <v>224.9</v>
      </c>
      <c r="F253">
        <v>2.1</v>
      </c>
      <c r="G253">
        <v>0.5</v>
      </c>
      <c r="H253" t="str">
        <v>OK</v>
      </c>
      <c r="J253">
        <f t="shared" si="15"/>
        <v>7693.4</v>
      </c>
      <c r="K253">
        <f>SUMIF(Supply_Clean[Item_Code], B253, Supply_Clean[Available_Supply])</f>
        <v>20558</v>
      </c>
      <c r="L253">
        <f t="shared" si="16"/>
        <v>1</v>
      </c>
      <c r="M253">
        <f t="shared" si="17"/>
        <v>807</v>
      </c>
      <c r="N253" t="str">
        <f t="shared" si="18"/>
        <v>SUFICIENTE</v>
      </c>
      <c r="O253">
        <f t="shared" si="19"/>
        <v>0</v>
      </c>
    </row>
    <row r="254" spans="1:15" x14ac:dyDescent="0.45">
      <c r="A254" t="str">
        <v>CD-CDMX</v>
      </c>
      <c r="B254" t="str">
        <v>BEB-1016</v>
      </c>
      <c r="C254">
        <v>3046</v>
      </c>
      <c r="D254">
        <v>0</v>
      </c>
      <c r="E254">
        <v>27.1</v>
      </c>
      <c r="F254">
        <v>1.3</v>
      </c>
      <c r="G254">
        <v>0.2</v>
      </c>
      <c r="H254" t="str">
        <v>OK</v>
      </c>
      <c r="J254">
        <f t="shared" si="15"/>
        <v>5569.2000000000007</v>
      </c>
      <c r="K254">
        <f>SUMIF(Supply_Clean[Item_Code], B254, Supply_Clean[Available_Supply])</f>
        <v>14537</v>
      </c>
      <c r="L254">
        <f t="shared" si="16"/>
        <v>1</v>
      </c>
      <c r="M254">
        <f t="shared" si="17"/>
        <v>0</v>
      </c>
      <c r="N254" t="str">
        <f t="shared" si="18"/>
        <v>SUFICIENTE</v>
      </c>
      <c r="O254">
        <f t="shared" si="19"/>
        <v>0</v>
      </c>
    </row>
    <row r="255" spans="1:15" x14ac:dyDescent="0.45">
      <c r="A255" t="str">
        <v>CD-CDMX</v>
      </c>
      <c r="B255" t="str">
        <v>ABA-1006</v>
      </c>
      <c r="C255">
        <v>4594</v>
      </c>
      <c r="D255">
        <v>0</v>
      </c>
      <c r="E255">
        <v>60.2</v>
      </c>
      <c r="F255">
        <v>1.2</v>
      </c>
      <c r="G255">
        <v>0.2</v>
      </c>
      <c r="H255" t="str">
        <v>OK</v>
      </c>
      <c r="J255">
        <f t="shared" si="15"/>
        <v>4882.1000000000004</v>
      </c>
      <c r="K255">
        <f>SUMIF(Supply_Clean[Item_Code], B255, Supply_Clean[Available_Supply])</f>
        <v>15586</v>
      </c>
      <c r="L255">
        <f t="shared" si="16"/>
        <v>1</v>
      </c>
      <c r="M255">
        <f t="shared" si="17"/>
        <v>0</v>
      </c>
      <c r="N255" t="str">
        <f t="shared" si="18"/>
        <v>SUFICIENTE</v>
      </c>
      <c r="O255">
        <f t="shared" si="19"/>
        <v>0</v>
      </c>
    </row>
    <row r="256" spans="1:15" x14ac:dyDescent="0.45">
      <c r="A256" t="str">
        <v>CD-CAN</v>
      </c>
      <c r="B256" t="str">
        <v>BOT-1020</v>
      </c>
      <c r="C256">
        <v>2679</v>
      </c>
      <c r="D256">
        <v>282.2</v>
      </c>
      <c r="E256">
        <v>79.5</v>
      </c>
      <c r="F256">
        <v>3.8</v>
      </c>
      <c r="G256">
        <v>1.6</v>
      </c>
      <c r="H256" t="str">
        <v>OK</v>
      </c>
      <c r="J256">
        <f t="shared" si="15"/>
        <v>7693.4</v>
      </c>
      <c r="K256">
        <f>SUMIF(Supply_Clean[Item_Code], B256, Supply_Clean[Available_Supply])</f>
        <v>20558</v>
      </c>
      <c r="L256">
        <f t="shared" si="16"/>
        <v>1</v>
      </c>
      <c r="M256">
        <f t="shared" si="17"/>
        <v>282.2</v>
      </c>
      <c r="N256" t="str">
        <f t="shared" si="18"/>
        <v>SUFICIENTE</v>
      </c>
      <c r="O256">
        <f t="shared" si="19"/>
        <v>0</v>
      </c>
    </row>
    <row r="257" spans="1:15" x14ac:dyDescent="0.45">
      <c r="A257" t="str">
        <v>CD-MER</v>
      </c>
      <c r="B257" t="str">
        <v>PRO-1007</v>
      </c>
      <c r="C257">
        <v>5494</v>
      </c>
      <c r="D257">
        <v>341.3</v>
      </c>
      <c r="E257">
        <v>143.9</v>
      </c>
      <c r="F257">
        <v>5.0999999999999996</v>
      </c>
      <c r="G257">
        <v>1.3</v>
      </c>
      <c r="H257" t="str">
        <v>OK</v>
      </c>
      <c r="J257">
        <f t="shared" si="15"/>
        <v>5354.8</v>
      </c>
      <c r="K257">
        <f>SUMIF(Supply_Clean[Item_Code], B257, Supply_Clean[Available_Supply])</f>
        <v>10360</v>
      </c>
      <c r="L257">
        <f t="shared" si="16"/>
        <v>1</v>
      </c>
      <c r="M257">
        <f t="shared" si="17"/>
        <v>341.3</v>
      </c>
      <c r="N257" t="str">
        <f t="shared" si="18"/>
        <v>SUFICIENTE</v>
      </c>
      <c r="O257">
        <f t="shared" si="19"/>
        <v>0</v>
      </c>
    </row>
    <row r="258" spans="1:15" x14ac:dyDescent="0.45">
      <c r="A258" t="str">
        <v>CD-LEO</v>
      </c>
      <c r="B258" t="str">
        <v>BEB-1015</v>
      </c>
      <c r="C258">
        <v>2170</v>
      </c>
      <c r="D258">
        <v>194.5</v>
      </c>
      <c r="E258">
        <v>35.700000000000003</v>
      </c>
      <c r="F258">
        <v>2.2999999999999998</v>
      </c>
      <c r="G258">
        <v>0.6</v>
      </c>
      <c r="H258" t="str">
        <v>OK</v>
      </c>
      <c r="J258">
        <f t="shared" si="15"/>
        <v>5073.0999999999995</v>
      </c>
      <c r="K258">
        <f>SUMIF(Supply_Clean[Item_Code], B258, Supply_Clean[Available_Supply])</f>
        <v>14801</v>
      </c>
      <c r="L258">
        <f t="shared" si="16"/>
        <v>1</v>
      </c>
      <c r="M258">
        <f t="shared" si="17"/>
        <v>194.5</v>
      </c>
      <c r="N258" t="str">
        <f t="shared" si="18"/>
        <v>SUFICIENTE</v>
      </c>
      <c r="O258">
        <f t="shared" si="19"/>
        <v>0</v>
      </c>
    </row>
    <row r="259" spans="1:15" x14ac:dyDescent="0.45">
      <c r="A259" t="str">
        <v>CD-CDMX</v>
      </c>
      <c r="B259" t="str">
        <v>ABA-1018</v>
      </c>
      <c r="C259">
        <v>1775</v>
      </c>
      <c r="D259">
        <v>162.6</v>
      </c>
      <c r="E259">
        <v>13.4</v>
      </c>
      <c r="F259">
        <v>0.9</v>
      </c>
      <c r="G259">
        <v>0.2</v>
      </c>
      <c r="H259" t="str">
        <v>OK</v>
      </c>
      <c r="J259">
        <f t="shared" ref="J259:J322" si="20">SUMIF($B$2:$B$1501, B259, $D$2:$D$1501)</f>
        <v>4478</v>
      </c>
      <c r="K259">
        <f>SUMIF(Supply_Clean[Item_Code], B259, Supply_Clean[Available_Supply])</f>
        <v>6884</v>
      </c>
      <c r="L259">
        <f t="shared" ref="L259:L322" si="21">IFERROR(MIN(1, K259/J259), "")</f>
        <v>1</v>
      </c>
      <c r="M259">
        <f t="shared" ref="M259:M322" si="22">IFERROR(D259*L259, "")</f>
        <v>162.6</v>
      </c>
      <c r="N259" t="str">
        <f t="shared" ref="N259:N322" si="23">IF(L259&lt;1, "ESCASEZ", "SUFICIENTE")</f>
        <v>SUFICIENTE</v>
      </c>
      <c r="O259">
        <f t="shared" ref="O259:O322" si="24">IF(N259="ESCASEZ", D259-M259, 0)</f>
        <v>0</v>
      </c>
    </row>
    <row r="260" spans="1:15" x14ac:dyDescent="0.45">
      <c r="A260" t="str">
        <v>CD-CDMX</v>
      </c>
      <c r="B260" t="str">
        <v>BEB-1005</v>
      </c>
      <c r="C260">
        <v>5400</v>
      </c>
      <c r="D260">
        <v>535.9</v>
      </c>
      <c r="E260">
        <v>56.4</v>
      </c>
      <c r="F260">
        <v>0.8</v>
      </c>
      <c r="G260">
        <v>0.2</v>
      </c>
      <c r="H260" t="str">
        <v>OK</v>
      </c>
      <c r="J260">
        <f t="shared" si="20"/>
        <v>6220.1999999999989</v>
      </c>
      <c r="K260">
        <f>SUMIF(Supply_Clean[Item_Code], B260, Supply_Clean[Available_Supply])</f>
        <v>14054</v>
      </c>
      <c r="L260">
        <f t="shared" si="21"/>
        <v>1</v>
      </c>
      <c r="M260">
        <f t="shared" si="22"/>
        <v>535.9</v>
      </c>
      <c r="N260" t="str">
        <f t="shared" si="23"/>
        <v>SUFICIENTE</v>
      </c>
      <c r="O260">
        <f t="shared" si="24"/>
        <v>0</v>
      </c>
    </row>
    <row r="261" spans="1:15" x14ac:dyDescent="0.45">
      <c r="A261" t="str">
        <v>CD-LEO</v>
      </c>
      <c r="B261" t="str">
        <v>BEB-1005</v>
      </c>
      <c r="C261">
        <v>3364</v>
      </c>
      <c r="D261">
        <v>491.6</v>
      </c>
      <c r="E261">
        <v>67.8</v>
      </c>
      <c r="F261">
        <v>1.7</v>
      </c>
      <c r="G261">
        <v>0.6</v>
      </c>
      <c r="H261" t="str">
        <v>OK</v>
      </c>
      <c r="J261">
        <f t="shared" si="20"/>
        <v>6220.1999999999989</v>
      </c>
      <c r="K261">
        <f>SUMIF(Supply_Clean[Item_Code], B261, Supply_Clean[Available_Supply])</f>
        <v>14054</v>
      </c>
      <c r="L261">
        <f t="shared" si="21"/>
        <v>1</v>
      </c>
      <c r="M261">
        <f t="shared" si="22"/>
        <v>491.6</v>
      </c>
      <c r="N261" t="str">
        <f t="shared" si="23"/>
        <v>SUFICIENTE</v>
      </c>
      <c r="O261">
        <f t="shared" si="24"/>
        <v>0</v>
      </c>
    </row>
    <row r="262" spans="1:15" x14ac:dyDescent="0.45">
      <c r="A262" t="str">
        <v>CD-VER</v>
      </c>
      <c r="B262" t="str">
        <v>BEB-1009</v>
      </c>
      <c r="C262">
        <v>233</v>
      </c>
      <c r="D262">
        <v>437.3</v>
      </c>
      <c r="E262">
        <v>57.6</v>
      </c>
      <c r="F262">
        <v>4.9000000000000004</v>
      </c>
      <c r="G262">
        <v>0.9</v>
      </c>
      <c r="H262" t="str">
        <v>OK</v>
      </c>
      <c r="J262">
        <f t="shared" si="20"/>
        <v>6226.9000000000005</v>
      </c>
      <c r="K262">
        <f>SUMIF(Supply_Clean[Item_Code], B262, Supply_Clean[Available_Supply])</f>
        <v>10475</v>
      </c>
      <c r="L262">
        <f t="shared" si="21"/>
        <v>1</v>
      </c>
      <c r="M262">
        <f t="shared" si="22"/>
        <v>437.3</v>
      </c>
      <c r="N262" t="str">
        <f t="shared" si="23"/>
        <v>SUFICIENTE</v>
      </c>
      <c r="O262">
        <f t="shared" si="24"/>
        <v>0</v>
      </c>
    </row>
    <row r="263" spans="1:15" x14ac:dyDescent="0.45">
      <c r="A263" t="str">
        <v>CD-MER</v>
      </c>
      <c r="B263" t="str">
        <v>ABA-1000</v>
      </c>
      <c r="C263">
        <v>2358</v>
      </c>
      <c r="D263">
        <v>177.8</v>
      </c>
      <c r="E263">
        <v>21.6</v>
      </c>
      <c r="F263">
        <v>4.9000000000000004</v>
      </c>
      <c r="G263">
        <v>1.3</v>
      </c>
      <c r="H263" t="str">
        <v>OK</v>
      </c>
      <c r="J263">
        <f t="shared" si="20"/>
        <v>4722.2</v>
      </c>
      <c r="K263">
        <f>SUMIF(Supply_Clean[Item_Code], B263, Supply_Clean[Available_Supply])</f>
        <v>10731</v>
      </c>
      <c r="L263">
        <f t="shared" si="21"/>
        <v>1</v>
      </c>
      <c r="M263">
        <f t="shared" si="22"/>
        <v>177.8</v>
      </c>
      <c r="N263" t="str">
        <f t="shared" si="23"/>
        <v>SUFICIENTE</v>
      </c>
      <c r="O263">
        <f t="shared" si="24"/>
        <v>0</v>
      </c>
    </row>
    <row r="264" spans="1:15" x14ac:dyDescent="0.45">
      <c r="A264" t="str">
        <v>CD-TOL</v>
      </c>
      <c r="B264" t="str">
        <v>LAC-1000</v>
      </c>
      <c r="C264">
        <v>1856</v>
      </c>
      <c r="D264">
        <v>254.9</v>
      </c>
      <c r="E264">
        <v>108.4</v>
      </c>
      <c r="F264">
        <v>2</v>
      </c>
      <c r="G264">
        <v>0.5</v>
      </c>
      <c r="H264" t="str">
        <v>OK</v>
      </c>
      <c r="J264">
        <f t="shared" si="20"/>
        <v>4987.8</v>
      </c>
      <c r="K264">
        <f>SUMIF(Supply_Clean[Item_Code], B264, Supply_Clean[Available_Supply])</f>
        <v>12568</v>
      </c>
      <c r="L264">
        <f t="shared" si="21"/>
        <v>1</v>
      </c>
      <c r="M264">
        <f t="shared" si="22"/>
        <v>254.9</v>
      </c>
      <c r="N264" t="str">
        <f t="shared" si="23"/>
        <v>SUFICIENTE</v>
      </c>
      <c r="O264">
        <f t="shared" si="24"/>
        <v>0</v>
      </c>
    </row>
    <row r="265" spans="1:15" x14ac:dyDescent="0.45">
      <c r="A265" t="str">
        <v>CD-MTY</v>
      </c>
      <c r="B265" t="str">
        <v>ABA-1007</v>
      </c>
      <c r="C265">
        <v>0</v>
      </c>
      <c r="D265">
        <v>315</v>
      </c>
      <c r="E265">
        <v>42.2</v>
      </c>
      <c r="F265">
        <v>1.1000000000000001</v>
      </c>
      <c r="G265">
        <v>0.3</v>
      </c>
      <c r="H265">
        <v>0</v>
      </c>
      <c r="J265">
        <f t="shared" si="20"/>
        <v>4867.3</v>
      </c>
      <c r="K265">
        <f>SUMIF(Supply_Clean[Item_Code], B265, Supply_Clean[Available_Supply])</f>
        <v>13182</v>
      </c>
      <c r="L265">
        <f t="shared" si="21"/>
        <v>1</v>
      </c>
      <c r="M265">
        <f t="shared" si="22"/>
        <v>315</v>
      </c>
      <c r="N265" t="str">
        <f t="shared" si="23"/>
        <v>SUFICIENTE</v>
      </c>
      <c r="O265">
        <f t="shared" si="24"/>
        <v>0</v>
      </c>
    </row>
    <row r="266" spans="1:15" x14ac:dyDescent="0.45">
      <c r="A266" t="str">
        <v>CD-HER</v>
      </c>
      <c r="B266" t="str">
        <v>LAC-1010</v>
      </c>
      <c r="C266">
        <v>1435</v>
      </c>
      <c r="D266">
        <v>177.5</v>
      </c>
      <c r="E266">
        <v>60.7</v>
      </c>
      <c r="F266">
        <v>4.2</v>
      </c>
      <c r="G266">
        <v>1.2</v>
      </c>
      <c r="H266" t="str">
        <v>OK</v>
      </c>
      <c r="J266">
        <f t="shared" si="20"/>
        <v>4321.7</v>
      </c>
      <c r="K266">
        <f>SUMIF(Supply_Clean[Item_Code], B266, Supply_Clean[Available_Supply])</f>
        <v>11567</v>
      </c>
      <c r="L266">
        <f t="shared" si="21"/>
        <v>1</v>
      </c>
      <c r="M266">
        <f t="shared" si="22"/>
        <v>177.5</v>
      </c>
      <c r="N266" t="str">
        <f t="shared" si="23"/>
        <v>SUFICIENTE</v>
      </c>
      <c r="O266">
        <f t="shared" si="24"/>
        <v>0</v>
      </c>
    </row>
    <row r="267" spans="1:15" x14ac:dyDescent="0.45">
      <c r="A267" t="str">
        <v>CD-GDL</v>
      </c>
      <c r="B267" t="str">
        <v>BOT-1007</v>
      </c>
      <c r="C267">
        <v>1076</v>
      </c>
      <c r="D267">
        <v>0</v>
      </c>
      <c r="E267">
        <v>192.4</v>
      </c>
      <c r="F267">
        <v>1</v>
      </c>
      <c r="G267">
        <v>0.2</v>
      </c>
      <c r="H267" t="str">
        <v>OK</v>
      </c>
      <c r="J267">
        <f t="shared" si="20"/>
        <v>7508.1</v>
      </c>
      <c r="K267">
        <f>SUMIF(Supply_Clean[Item_Code], B267, Supply_Clean[Available_Supply])</f>
        <v>16668</v>
      </c>
      <c r="L267">
        <f t="shared" si="21"/>
        <v>1</v>
      </c>
      <c r="M267">
        <f t="shared" si="22"/>
        <v>0</v>
      </c>
      <c r="N267" t="str">
        <f t="shared" si="23"/>
        <v>SUFICIENTE</v>
      </c>
      <c r="O267">
        <f t="shared" si="24"/>
        <v>0</v>
      </c>
    </row>
    <row r="268" spans="1:15" x14ac:dyDescent="0.45">
      <c r="A268" t="str">
        <v>CD-QRO</v>
      </c>
      <c r="B268" t="str">
        <v>BOT-1002</v>
      </c>
      <c r="C268">
        <v>6094</v>
      </c>
      <c r="D268">
        <v>722.8</v>
      </c>
      <c r="E268">
        <v>145.6</v>
      </c>
      <c r="F268">
        <v>1.7</v>
      </c>
      <c r="G268">
        <v>0.4</v>
      </c>
      <c r="H268" t="str">
        <v>OK</v>
      </c>
      <c r="J268">
        <f t="shared" si="20"/>
        <v>8527</v>
      </c>
      <c r="K268">
        <f>SUMIF(Supply_Clean[Item_Code], B268, Supply_Clean[Available_Supply])</f>
        <v>25048</v>
      </c>
      <c r="L268">
        <f t="shared" si="21"/>
        <v>1</v>
      </c>
      <c r="M268">
        <f t="shared" si="22"/>
        <v>722.8</v>
      </c>
      <c r="N268" t="str">
        <f t="shared" si="23"/>
        <v>SUFICIENTE</v>
      </c>
      <c r="O268">
        <f t="shared" si="24"/>
        <v>0</v>
      </c>
    </row>
    <row r="269" spans="1:15" x14ac:dyDescent="0.45">
      <c r="A269" t="str">
        <v>CD-GDL</v>
      </c>
      <c r="B269" t="str">
        <v>BEB-1007</v>
      </c>
      <c r="C269">
        <v>2281</v>
      </c>
      <c r="D269">
        <v>151</v>
      </c>
      <c r="E269">
        <v>23.7</v>
      </c>
      <c r="F269">
        <v>0.9</v>
      </c>
      <c r="G269">
        <v>0.2</v>
      </c>
      <c r="H269" t="str">
        <v>OK</v>
      </c>
      <c r="J269">
        <f t="shared" si="20"/>
        <v>5039.5</v>
      </c>
      <c r="K269">
        <f>SUMIF(Supply_Clean[Item_Code], B269, Supply_Clean[Available_Supply])</f>
        <v>12912</v>
      </c>
      <c r="L269">
        <f t="shared" si="21"/>
        <v>1</v>
      </c>
      <c r="M269">
        <f t="shared" si="22"/>
        <v>151</v>
      </c>
      <c r="N269" t="str">
        <f t="shared" si="23"/>
        <v>SUFICIENTE</v>
      </c>
      <c r="O269">
        <f t="shared" si="24"/>
        <v>0</v>
      </c>
    </row>
    <row r="270" spans="1:15" x14ac:dyDescent="0.45">
      <c r="A270" t="str">
        <v>CD-PUE</v>
      </c>
      <c r="B270" t="str">
        <v>ABA-1012</v>
      </c>
      <c r="C270">
        <v>7675</v>
      </c>
      <c r="D270">
        <v>494.7</v>
      </c>
      <c r="E270">
        <v>44.6</v>
      </c>
      <c r="F270">
        <v>1</v>
      </c>
      <c r="G270">
        <v>0.3</v>
      </c>
      <c r="H270" t="str">
        <v>OK</v>
      </c>
      <c r="J270">
        <f t="shared" si="20"/>
        <v>5104.3999999999996</v>
      </c>
      <c r="K270">
        <f>SUMIF(Supply_Clean[Item_Code], B270, Supply_Clean[Available_Supply])</f>
        <v>8396</v>
      </c>
      <c r="L270">
        <f t="shared" si="21"/>
        <v>1</v>
      </c>
      <c r="M270">
        <f t="shared" si="22"/>
        <v>494.7</v>
      </c>
      <c r="N270" t="str">
        <f t="shared" si="23"/>
        <v>SUFICIENTE</v>
      </c>
      <c r="O270">
        <f t="shared" si="24"/>
        <v>0</v>
      </c>
    </row>
    <row r="271" spans="1:15" x14ac:dyDescent="0.45">
      <c r="A271" t="str">
        <v>CD-CAN</v>
      </c>
      <c r="B271" t="str">
        <v>LAC-1015</v>
      </c>
      <c r="C271">
        <v>2283</v>
      </c>
      <c r="D271">
        <v>210.9</v>
      </c>
      <c r="E271">
        <v>73</v>
      </c>
      <c r="F271">
        <v>6</v>
      </c>
      <c r="G271">
        <v>1.6</v>
      </c>
      <c r="H271" t="str">
        <v>OK</v>
      </c>
      <c r="J271">
        <f t="shared" si="20"/>
        <v>3982.7000000000007</v>
      </c>
      <c r="K271">
        <f>SUMIF(Supply_Clean[Item_Code], B271, Supply_Clean[Available_Supply])</f>
        <v>8604</v>
      </c>
      <c r="L271">
        <f t="shared" si="21"/>
        <v>1</v>
      </c>
      <c r="M271">
        <f t="shared" si="22"/>
        <v>210.9</v>
      </c>
      <c r="N271" t="str">
        <f t="shared" si="23"/>
        <v>SUFICIENTE</v>
      </c>
      <c r="O271">
        <f t="shared" si="24"/>
        <v>0</v>
      </c>
    </row>
    <row r="272" spans="1:15" x14ac:dyDescent="0.45">
      <c r="A272" t="str">
        <v>CD-GDL</v>
      </c>
      <c r="B272" t="str">
        <v>ABA-1008</v>
      </c>
      <c r="C272">
        <v>4543</v>
      </c>
      <c r="D272">
        <v>455.1</v>
      </c>
      <c r="E272">
        <v>57.6</v>
      </c>
      <c r="F272">
        <v>0.6</v>
      </c>
      <c r="G272">
        <v>0.2</v>
      </c>
      <c r="H272" t="str">
        <v>OK</v>
      </c>
      <c r="J272">
        <f t="shared" si="20"/>
        <v>4717.2000000000007</v>
      </c>
      <c r="K272">
        <f>SUMIF(Supply_Clean[Item_Code], B272, Supply_Clean[Available_Supply])</f>
        <v>9747</v>
      </c>
      <c r="L272">
        <f t="shared" si="21"/>
        <v>1</v>
      </c>
      <c r="M272">
        <f t="shared" si="22"/>
        <v>455.1</v>
      </c>
      <c r="N272" t="str">
        <f t="shared" si="23"/>
        <v>SUFICIENTE</v>
      </c>
      <c r="O272">
        <f t="shared" si="24"/>
        <v>0</v>
      </c>
    </row>
    <row r="273" spans="1:15" x14ac:dyDescent="0.45">
      <c r="A273" t="str">
        <v>CD-CDMX</v>
      </c>
      <c r="B273" t="str">
        <v>BEB-1015</v>
      </c>
      <c r="C273">
        <v>4764</v>
      </c>
      <c r="D273">
        <v>269.39999999999998</v>
      </c>
      <c r="E273">
        <v>38.6</v>
      </c>
      <c r="F273">
        <v>0.9</v>
      </c>
      <c r="G273">
        <v>0.2</v>
      </c>
      <c r="H273" t="str">
        <v>OK</v>
      </c>
      <c r="J273">
        <f t="shared" si="20"/>
        <v>5073.0999999999995</v>
      </c>
      <c r="K273">
        <f>SUMIF(Supply_Clean[Item_Code], B273, Supply_Clean[Available_Supply])</f>
        <v>14801</v>
      </c>
      <c r="L273">
        <f t="shared" si="21"/>
        <v>1</v>
      </c>
      <c r="M273">
        <f t="shared" si="22"/>
        <v>269.39999999999998</v>
      </c>
      <c r="N273" t="str">
        <f t="shared" si="23"/>
        <v>SUFICIENTE</v>
      </c>
      <c r="O273">
        <f t="shared" si="24"/>
        <v>0</v>
      </c>
    </row>
    <row r="274" spans="1:15" x14ac:dyDescent="0.45">
      <c r="A274" t="str">
        <v>CD-TOL</v>
      </c>
      <c r="B274" t="str">
        <v>ABA-1003</v>
      </c>
      <c r="C274">
        <v>208</v>
      </c>
      <c r="D274">
        <v>180.2</v>
      </c>
      <c r="E274">
        <v>16</v>
      </c>
      <c r="F274">
        <v>1.9</v>
      </c>
      <c r="G274">
        <v>0.5</v>
      </c>
      <c r="H274" t="str">
        <v>OK</v>
      </c>
      <c r="J274">
        <f t="shared" si="20"/>
        <v>4709.8000000000011</v>
      </c>
      <c r="K274">
        <f>SUMIF(Supply_Clean[Item_Code], B274, Supply_Clean[Available_Supply])</f>
        <v>11700</v>
      </c>
      <c r="L274">
        <f t="shared" si="21"/>
        <v>1</v>
      </c>
      <c r="M274">
        <f t="shared" si="22"/>
        <v>180.2</v>
      </c>
      <c r="N274" t="str">
        <f t="shared" si="23"/>
        <v>SUFICIENTE</v>
      </c>
      <c r="O274">
        <f t="shared" si="24"/>
        <v>0</v>
      </c>
    </row>
    <row r="275" spans="1:15" x14ac:dyDescent="0.45">
      <c r="A275" t="str">
        <v>CD-LEO</v>
      </c>
      <c r="B275" t="str">
        <v>BEB-1016</v>
      </c>
      <c r="C275">
        <v>3432</v>
      </c>
      <c r="D275">
        <v>523</v>
      </c>
      <c r="E275">
        <v>67</v>
      </c>
      <c r="F275">
        <v>1.8</v>
      </c>
      <c r="G275">
        <v>0.6</v>
      </c>
      <c r="H275" t="str">
        <v>OK</v>
      </c>
      <c r="J275">
        <f t="shared" si="20"/>
        <v>5569.2000000000007</v>
      </c>
      <c r="K275">
        <f>SUMIF(Supply_Clean[Item_Code], B275, Supply_Clean[Available_Supply])</f>
        <v>14537</v>
      </c>
      <c r="L275">
        <f t="shared" si="21"/>
        <v>1</v>
      </c>
      <c r="M275">
        <f t="shared" si="22"/>
        <v>523</v>
      </c>
      <c r="N275" t="str">
        <f t="shared" si="23"/>
        <v>SUFICIENTE</v>
      </c>
      <c r="O275">
        <f t="shared" si="24"/>
        <v>0</v>
      </c>
    </row>
    <row r="276" spans="1:15" x14ac:dyDescent="0.45">
      <c r="A276" t="str">
        <v>CD-VER</v>
      </c>
      <c r="B276" t="str">
        <v>BOT-1005</v>
      </c>
      <c r="C276">
        <v>10179</v>
      </c>
      <c r="D276">
        <v>722</v>
      </c>
      <c r="E276">
        <v>143.6</v>
      </c>
      <c r="F276">
        <v>2.8</v>
      </c>
      <c r="G276">
        <v>0.9</v>
      </c>
      <c r="H276" t="str">
        <v>OK</v>
      </c>
      <c r="J276">
        <f t="shared" si="20"/>
        <v>8620.3000000000011</v>
      </c>
      <c r="K276">
        <f>SUMIF(Supply_Clean[Item_Code], B276, Supply_Clean[Available_Supply])</f>
        <v>23903</v>
      </c>
      <c r="L276">
        <f t="shared" si="21"/>
        <v>1</v>
      </c>
      <c r="M276">
        <f t="shared" si="22"/>
        <v>722</v>
      </c>
      <c r="N276" t="str">
        <f t="shared" si="23"/>
        <v>SUFICIENTE</v>
      </c>
      <c r="O276">
        <f t="shared" si="24"/>
        <v>0</v>
      </c>
    </row>
    <row r="277" spans="1:15" x14ac:dyDescent="0.45">
      <c r="A277" t="str">
        <v>CD-MER</v>
      </c>
      <c r="B277" t="str">
        <v>LAC-1007</v>
      </c>
      <c r="C277">
        <v>3615</v>
      </c>
      <c r="D277">
        <v>281.2</v>
      </c>
      <c r="E277">
        <v>93</v>
      </c>
      <c r="F277">
        <v>3.1</v>
      </c>
      <c r="G277">
        <v>1.3</v>
      </c>
      <c r="H277" t="str">
        <v>OK</v>
      </c>
      <c r="J277">
        <f t="shared" si="20"/>
        <v>4093.7999999999997</v>
      </c>
      <c r="K277">
        <f>SUMIF(Supply_Clean[Item_Code], B277, Supply_Clean[Available_Supply])</f>
        <v>11651</v>
      </c>
      <c r="L277">
        <f t="shared" si="21"/>
        <v>1</v>
      </c>
      <c r="M277">
        <f t="shared" si="22"/>
        <v>281.2</v>
      </c>
      <c r="N277" t="str">
        <f t="shared" si="23"/>
        <v>SUFICIENTE</v>
      </c>
      <c r="O277">
        <f t="shared" si="24"/>
        <v>0</v>
      </c>
    </row>
    <row r="278" spans="1:15" x14ac:dyDescent="0.45">
      <c r="A278" t="str">
        <v>CD-LEO</v>
      </c>
      <c r="B278" t="str">
        <v>LAC-1009</v>
      </c>
      <c r="C278">
        <v>1448</v>
      </c>
      <c r="D278">
        <v>185.8</v>
      </c>
      <c r="E278">
        <v>77.8</v>
      </c>
      <c r="F278">
        <v>1.9</v>
      </c>
      <c r="G278">
        <v>0.6</v>
      </c>
      <c r="H278" t="str">
        <v>OK</v>
      </c>
      <c r="J278">
        <f t="shared" si="20"/>
        <v>4163.3999999999996</v>
      </c>
      <c r="K278">
        <f>SUMIF(Supply_Clean[Item_Code], B278, Supply_Clean[Available_Supply])</f>
        <v>6523</v>
      </c>
      <c r="L278">
        <f t="shared" si="21"/>
        <v>1</v>
      </c>
      <c r="M278">
        <f t="shared" si="22"/>
        <v>185.8</v>
      </c>
      <c r="N278" t="str">
        <f t="shared" si="23"/>
        <v>SUFICIENTE</v>
      </c>
      <c r="O278">
        <f t="shared" si="24"/>
        <v>0</v>
      </c>
    </row>
    <row r="279" spans="1:15" x14ac:dyDescent="0.45">
      <c r="A279" t="str">
        <v>CD-SAL</v>
      </c>
      <c r="B279" t="str">
        <v>BOT-1002</v>
      </c>
      <c r="C279">
        <v>2487</v>
      </c>
      <c r="D279">
        <v>881.2</v>
      </c>
      <c r="E279">
        <v>229</v>
      </c>
      <c r="F279">
        <v>2.2999999999999998</v>
      </c>
      <c r="G279">
        <v>0.5</v>
      </c>
      <c r="H279" t="str">
        <v>OK</v>
      </c>
      <c r="J279">
        <f t="shared" si="20"/>
        <v>8527</v>
      </c>
      <c r="K279">
        <f>SUMIF(Supply_Clean[Item_Code], B279, Supply_Clean[Available_Supply])</f>
        <v>25048</v>
      </c>
      <c r="L279">
        <f t="shared" si="21"/>
        <v>1</v>
      </c>
      <c r="M279">
        <f t="shared" si="22"/>
        <v>881.2</v>
      </c>
      <c r="N279" t="str">
        <f t="shared" si="23"/>
        <v>SUFICIENTE</v>
      </c>
      <c r="O279">
        <f t="shared" si="24"/>
        <v>0</v>
      </c>
    </row>
    <row r="280" spans="1:15" x14ac:dyDescent="0.45">
      <c r="A280" t="str">
        <v>CD-CHI</v>
      </c>
      <c r="B280" t="str">
        <v>BOT-1001</v>
      </c>
      <c r="C280">
        <v>2391</v>
      </c>
      <c r="D280">
        <v>285.3</v>
      </c>
      <c r="E280">
        <v>59.1</v>
      </c>
      <c r="F280">
        <v>4.0999999999999996</v>
      </c>
      <c r="G280">
        <v>1</v>
      </c>
      <c r="H280" t="str">
        <v>OK</v>
      </c>
      <c r="J280">
        <f t="shared" si="20"/>
        <v>8375.9</v>
      </c>
      <c r="K280">
        <f>SUMIF(Supply_Clean[Item_Code], B280, Supply_Clean[Available_Supply])</f>
        <v>20393</v>
      </c>
      <c r="L280">
        <f t="shared" si="21"/>
        <v>1</v>
      </c>
      <c r="M280">
        <f t="shared" si="22"/>
        <v>285.3</v>
      </c>
      <c r="N280" t="str">
        <f t="shared" si="23"/>
        <v>SUFICIENTE</v>
      </c>
      <c r="O280">
        <f t="shared" si="24"/>
        <v>0</v>
      </c>
    </row>
    <row r="281" spans="1:15" x14ac:dyDescent="0.45">
      <c r="A281" t="str">
        <v>CD-QRO</v>
      </c>
      <c r="B281" t="str">
        <v>PRO-1010</v>
      </c>
      <c r="C281">
        <v>1713</v>
      </c>
      <c r="D281">
        <v>201.2</v>
      </c>
      <c r="E281">
        <v>86</v>
      </c>
      <c r="F281">
        <v>2.2999999999999998</v>
      </c>
      <c r="G281">
        <v>0.4</v>
      </c>
      <c r="H281" t="str">
        <v>OK</v>
      </c>
      <c r="J281">
        <f t="shared" si="20"/>
        <v>6996.1000000000013</v>
      </c>
      <c r="K281">
        <f>SUMIF(Supply_Clean[Item_Code], B281, Supply_Clean[Available_Supply])</f>
        <v>18475</v>
      </c>
      <c r="L281">
        <f t="shared" si="21"/>
        <v>1</v>
      </c>
      <c r="M281">
        <f t="shared" si="22"/>
        <v>201.2</v>
      </c>
      <c r="N281" t="str">
        <f t="shared" si="23"/>
        <v>SUFICIENTE</v>
      </c>
      <c r="O281">
        <f t="shared" si="24"/>
        <v>0</v>
      </c>
    </row>
    <row r="282" spans="1:15" x14ac:dyDescent="0.45">
      <c r="A282" t="str">
        <v>CD-MER</v>
      </c>
      <c r="B282" t="str">
        <v>PRO-1008</v>
      </c>
      <c r="C282">
        <v>3495</v>
      </c>
      <c r="D282">
        <v>0</v>
      </c>
      <c r="E282">
        <v>182.6</v>
      </c>
      <c r="F282">
        <v>2.9</v>
      </c>
      <c r="G282">
        <v>1.3</v>
      </c>
      <c r="H282" t="str">
        <v>OK</v>
      </c>
      <c r="J282">
        <f t="shared" si="20"/>
        <v>5551.5999999999995</v>
      </c>
      <c r="K282">
        <f>SUMIF(Supply_Clean[Item_Code], B282, Supply_Clean[Available_Supply])</f>
        <v>9738</v>
      </c>
      <c r="L282">
        <f t="shared" si="21"/>
        <v>1</v>
      </c>
      <c r="M282">
        <f t="shared" si="22"/>
        <v>0</v>
      </c>
      <c r="N282" t="str">
        <f t="shared" si="23"/>
        <v>SUFICIENTE</v>
      </c>
      <c r="O282">
        <f t="shared" si="24"/>
        <v>0</v>
      </c>
    </row>
    <row r="283" spans="1:15" x14ac:dyDescent="0.45">
      <c r="A283" t="str">
        <v>CD-MER</v>
      </c>
      <c r="B283" t="str">
        <v>PRO-1001</v>
      </c>
      <c r="C283">
        <v>333</v>
      </c>
      <c r="D283">
        <v>419.2</v>
      </c>
      <c r="E283">
        <v>172.5</v>
      </c>
      <c r="F283">
        <v>5.3</v>
      </c>
      <c r="G283">
        <v>1.3</v>
      </c>
      <c r="H283" t="str">
        <v>OK</v>
      </c>
      <c r="J283">
        <f t="shared" si="20"/>
        <v>6433.2999999999993</v>
      </c>
      <c r="K283">
        <f>SUMIF(Supply_Clean[Item_Code], B283, Supply_Clean[Available_Supply])</f>
        <v>10011</v>
      </c>
      <c r="L283">
        <f t="shared" si="21"/>
        <v>1</v>
      </c>
      <c r="M283">
        <f t="shared" si="22"/>
        <v>419.2</v>
      </c>
      <c r="N283" t="str">
        <f t="shared" si="23"/>
        <v>SUFICIENTE</v>
      </c>
      <c r="O283">
        <f t="shared" si="24"/>
        <v>0</v>
      </c>
    </row>
    <row r="284" spans="1:15" x14ac:dyDescent="0.45">
      <c r="A284" t="str">
        <v>CD-SAL</v>
      </c>
      <c r="B284" t="str">
        <v>BOT-1006</v>
      </c>
      <c r="C284">
        <v>5211</v>
      </c>
      <c r="D284">
        <v>488.4</v>
      </c>
      <c r="E284">
        <v>99.7</v>
      </c>
      <c r="F284">
        <v>1.3</v>
      </c>
      <c r="G284">
        <v>0.5</v>
      </c>
      <c r="H284" t="str">
        <v>OK</v>
      </c>
      <c r="J284">
        <f t="shared" si="20"/>
        <v>7732.6000000000013</v>
      </c>
      <c r="K284">
        <f>SUMIF(Supply_Clean[Item_Code], B284, Supply_Clean[Available_Supply])</f>
        <v>16401</v>
      </c>
      <c r="L284">
        <f t="shared" si="21"/>
        <v>1</v>
      </c>
      <c r="M284">
        <f t="shared" si="22"/>
        <v>488.4</v>
      </c>
      <c r="N284" t="str">
        <f t="shared" si="23"/>
        <v>SUFICIENTE</v>
      </c>
      <c r="O284">
        <f t="shared" si="24"/>
        <v>0</v>
      </c>
    </row>
    <row r="285" spans="1:15" x14ac:dyDescent="0.45">
      <c r="A285" t="str">
        <v>CD-CDMX</v>
      </c>
      <c r="B285" t="str">
        <v>BEB-1004</v>
      </c>
      <c r="C285">
        <v>9305</v>
      </c>
      <c r="D285">
        <v>617.29999999999995</v>
      </c>
      <c r="E285">
        <v>88.7</v>
      </c>
      <c r="F285">
        <v>1.2</v>
      </c>
      <c r="G285">
        <v>0.2</v>
      </c>
      <c r="H285" t="str">
        <v>OK</v>
      </c>
      <c r="J285">
        <f t="shared" si="20"/>
        <v>5324.2</v>
      </c>
      <c r="K285">
        <f>SUMIF(Supply_Clean[Item_Code], B285, Supply_Clean[Available_Supply])</f>
        <v>15672</v>
      </c>
      <c r="L285">
        <f t="shared" si="21"/>
        <v>1</v>
      </c>
      <c r="M285">
        <f t="shared" si="22"/>
        <v>617.29999999999995</v>
      </c>
      <c r="N285" t="str">
        <f t="shared" si="23"/>
        <v>SUFICIENTE</v>
      </c>
      <c r="O285">
        <f t="shared" si="24"/>
        <v>0</v>
      </c>
    </row>
    <row r="286" spans="1:15" x14ac:dyDescent="0.45">
      <c r="A286" t="str">
        <v>CD-PUE</v>
      </c>
      <c r="B286" t="str">
        <v>BEB-1017</v>
      </c>
      <c r="C286">
        <v>7619</v>
      </c>
      <c r="D286">
        <v>494.4</v>
      </c>
      <c r="E286">
        <v>73.3</v>
      </c>
      <c r="F286">
        <v>0.9</v>
      </c>
      <c r="G286">
        <v>0.3</v>
      </c>
      <c r="H286" t="str">
        <v>OK</v>
      </c>
      <c r="J286">
        <f t="shared" si="20"/>
        <v>6231.7000000000007</v>
      </c>
      <c r="K286">
        <f>SUMIF(Supply_Clean[Item_Code], B286, Supply_Clean[Available_Supply])</f>
        <v>18257</v>
      </c>
      <c r="L286">
        <f t="shared" si="21"/>
        <v>1</v>
      </c>
      <c r="M286">
        <f t="shared" si="22"/>
        <v>494.4</v>
      </c>
      <c r="N286" t="str">
        <f t="shared" si="23"/>
        <v>SUFICIENTE</v>
      </c>
      <c r="O286">
        <f t="shared" si="24"/>
        <v>0</v>
      </c>
    </row>
    <row r="287" spans="1:15" x14ac:dyDescent="0.45">
      <c r="A287" t="str">
        <v>CD-LEO</v>
      </c>
      <c r="B287" t="str">
        <v>ABA-1010</v>
      </c>
      <c r="C287">
        <v>4611</v>
      </c>
      <c r="D287">
        <v>463</v>
      </c>
      <c r="E287">
        <v>41.3</v>
      </c>
      <c r="F287">
        <v>1.7</v>
      </c>
      <c r="G287">
        <v>0.6</v>
      </c>
      <c r="H287" t="str">
        <v>OK</v>
      </c>
      <c r="J287">
        <f t="shared" si="20"/>
        <v>4871.7</v>
      </c>
      <c r="K287">
        <f>SUMIF(Supply_Clean[Item_Code], B287, Supply_Clean[Available_Supply])</f>
        <v>9875</v>
      </c>
      <c r="L287">
        <f t="shared" si="21"/>
        <v>1</v>
      </c>
      <c r="M287">
        <f t="shared" si="22"/>
        <v>463</v>
      </c>
      <c r="N287" t="str">
        <f t="shared" si="23"/>
        <v>SUFICIENTE</v>
      </c>
      <c r="O287">
        <f t="shared" si="24"/>
        <v>0</v>
      </c>
    </row>
    <row r="288" spans="1:15" x14ac:dyDescent="0.45">
      <c r="A288" t="str">
        <v>CD-PUE</v>
      </c>
      <c r="B288" t="str">
        <v>BOT-1021</v>
      </c>
      <c r="C288">
        <v>0</v>
      </c>
      <c r="D288">
        <v>484.6</v>
      </c>
      <c r="E288">
        <v>97.7</v>
      </c>
      <c r="F288">
        <v>0.6</v>
      </c>
      <c r="G288">
        <v>0.3</v>
      </c>
      <c r="H288">
        <v>0</v>
      </c>
      <c r="J288">
        <f t="shared" si="20"/>
        <v>6783.3</v>
      </c>
      <c r="K288">
        <f>SUMIF(Supply_Clean[Item_Code], B288, Supply_Clean[Available_Supply])</f>
        <v>13475</v>
      </c>
      <c r="L288">
        <f t="shared" si="21"/>
        <v>1</v>
      </c>
      <c r="M288">
        <f t="shared" si="22"/>
        <v>484.6</v>
      </c>
      <c r="N288" t="str">
        <f t="shared" si="23"/>
        <v>SUFICIENTE</v>
      </c>
      <c r="O288">
        <f t="shared" si="24"/>
        <v>0</v>
      </c>
    </row>
    <row r="289" spans="1:15" x14ac:dyDescent="0.45">
      <c r="A289" t="str">
        <v>CD-LEO</v>
      </c>
      <c r="B289" t="str">
        <v>LAC-1007</v>
      </c>
      <c r="C289">
        <v>4653</v>
      </c>
      <c r="D289">
        <v>362.5</v>
      </c>
      <c r="E289">
        <v>129.80000000000001</v>
      </c>
      <c r="F289">
        <v>1.2</v>
      </c>
      <c r="G289">
        <v>0.6</v>
      </c>
      <c r="H289" t="str">
        <v>OK</v>
      </c>
      <c r="J289">
        <f t="shared" si="20"/>
        <v>4093.7999999999997</v>
      </c>
      <c r="K289">
        <f>SUMIF(Supply_Clean[Item_Code], B289, Supply_Clean[Available_Supply])</f>
        <v>11651</v>
      </c>
      <c r="L289">
        <f t="shared" si="21"/>
        <v>1</v>
      </c>
      <c r="M289">
        <f t="shared" si="22"/>
        <v>362.5</v>
      </c>
      <c r="N289" t="str">
        <f t="shared" si="23"/>
        <v>SUFICIENTE</v>
      </c>
      <c r="O289">
        <f t="shared" si="24"/>
        <v>0</v>
      </c>
    </row>
    <row r="290" spans="1:15" x14ac:dyDescent="0.45">
      <c r="A290" t="str">
        <v>CD-VER</v>
      </c>
      <c r="B290" t="str">
        <v>PRO-1001</v>
      </c>
      <c r="C290">
        <v>5866</v>
      </c>
      <c r="D290">
        <v>628.5</v>
      </c>
      <c r="E290">
        <v>373.3</v>
      </c>
      <c r="F290">
        <v>3.3</v>
      </c>
      <c r="G290">
        <v>0.9</v>
      </c>
      <c r="H290" t="str">
        <v>OK</v>
      </c>
      <c r="J290">
        <f t="shared" si="20"/>
        <v>6433.2999999999993</v>
      </c>
      <c r="K290">
        <f>SUMIF(Supply_Clean[Item_Code], B290, Supply_Clean[Available_Supply])</f>
        <v>10011</v>
      </c>
      <c r="L290">
        <f t="shared" si="21"/>
        <v>1</v>
      </c>
      <c r="M290">
        <f t="shared" si="22"/>
        <v>628.5</v>
      </c>
      <c r="N290" t="str">
        <f t="shared" si="23"/>
        <v>SUFICIENTE</v>
      </c>
      <c r="O290">
        <f t="shared" si="24"/>
        <v>0</v>
      </c>
    </row>
    <row r="291" spans="1:15" x14ac:dyDescent="0.45">
      <c r="A291" t="str">
        <v>CD-PUE</v>
      </c>
      <c r="B291" t="str">
        <v>BOT-1009</v>
      </c>
      <c r="C291">
        <v>2662</v>
      </c>
      <c r="D291">
        <v>261.8</v>
      </c>
      <c r="E291">
        <v>52.6</v>
      </c>
      <c r="F291">
        <v>0.9</v>
      </c>
      <c r="G291">
        <v>0.3</v>
      </c>
      <c r="H291" t="str">
        <v>OK</v>
      </c>
      <c r="J291">
        <f t="shared" si="20"/>
        <v>8135.5</v>
      </c>
      <c r="K291">
        <f>SUMIF(Supply_Clean[Item_Code], B291, Supply_Clean[Available_Supply])</f>
        <v>17475</v>
      </c>
      <c r="L291">
        <f t="shared" si="21"/>
        <v>1</v>
      </c>
      <c r="M291">
        <f t="shared" si="22"/>
        <v>261.8</v>
      </c>
      <c r="N291" t="str">
        <f t="shared" si="23"/>
        <v>SUFICIENTE</v>
      </c>
      <c r="O291">
        <f t="shared" si="24"/>
        <v>0</v>
      </c>
    </row>
    <row r="292" spans="1:15" x14ac:dyDescent="0.45">
      <c r="A292" t="str">
        <v>CD-TOL</v>
      </c>
      <c r="B292" t="str">
        <v>BEB-1015</v>
      </c>
      <c r="C292">
        <v>6418</v>
      </c>
      <c r="D292">
        <v>641.29999999999995</v>
      </c>
      <c r="E292">
        <v>85.4</v>
      </c>
      <c r="F292">
        <v>2.2000000000000002</v>
      </c>
      <c r="G292">
        <v>0.5</v>
      </c>
      <c r="H292" t="str">
        <v>OK</v>
      </c>
      <c r="J292">
        <f t="shared" si="20"/>
        <v>5073.0999999999995</v>
      </c>
      <c r="K292">
        <f>SUMIF(Supply_Clean[Item_Code], B292, Supply_Clean[Available_Supply])</f>
        <v>14801</v>
      </c>
      <c r="L292">
        <f t="shared" si="21"/>
        <v>1</v>
      </c>
      <c r="M292">
        <f t="shared" si="22"/>
        <v>641.29999999999995</v>
      </c>
      <c r="N292" t="str">
        <f t="shared" si="23"/>
        <v>SUFICIENTE</v>
      </c>
      <c r="O292">
        <f t="shared" si="24"/>
        <v>0</v>
      </c>
    </row>
    <row r="293" spans="1:15" x14ac:dyDescent="0.45">
      <c r="A293" t="str">
        <v>CD-CAN</v>
      </c>
      <c r="B293" t="str">
        <v>LAC-1011</v>
      </c>
      <c r="C293">
        <v>4624</v>
      </c>
      <c r="D293">
        <v>294.89999999999998</v>
      </c>
      <c r="E293">
        <v>89.7</v>
      </c>
      <c r="F293">
        <v>6.1</v>
      </c>
      <c r="G293">
        <v>1.6</v>
      </c>
      <c r="H293" t="str">
        <v>OK</v>
      </c>
      <c r="J293">
        <f t="shared" si="20"/>
        <v>4165</v>
      </c>
      <c r="K293">
        <f>SUMIF(Supply_Clean[Item_Code], B293, Supply_Clean[Available_Supply])</f>
        <v>2719</v>
      </c>
      <c r="L293">
        <f t="shared" si="21"/>
        <v>0.65282112845138052</v>
      </c>
      <c r="M293">
        <f t="shared" si="22"/>
        <v>192.5169507803121</v>
      </c>
      <c r="N293" t="str">
        <f t="shared" si="23"/>
        <v>ESCASEZ</v>
      </c>
      <c r="O293">
        <f t="shared" si="24"/>
        <v>102.38304921968788</v>
      </c>
    </row>
    <row r="294" spans="1:15" x14ac:dyDescent="0.45">
      <c r="A294" t="str">
        <v>CD-LEO</v>
      </c>
      <c r="B294" t="str">
        <v>ABA-1012</v>
      </c>
      <c r="C294">
        <v>3446</v>
      </c>
      <c r="D294">
        <v>282.5</v>
      </c>
      <c r="E294">
        <v>32.6</v>
      </c>
      <c r="F294">
        <v>2.2000000000000002</v>
      </c>
      <c r="G294">
        <v>0.6</v>
      </c>
      <c r="H294" t="str">
        <v>OK</v>
      </c>
      <c r="J294">
        <f t="shared" si="20"/>
        <v>5104.3999999999996</v>
      </c>
      <c r="K294">
        <f>SUMIF(Supply_Clean[Item_Code], B294, Supply_Clean[Available_Supply])</f>
        <v>8396</v>
      </c>
      <c r="L294">
        <f t="shared" si="21"/>
        <v>1</v>
      </c>
      <c r="M294">
        <f t="shared" si="22"/>
        <v>282.5</v>
      </c>
      <c r="N294" t="str">
        <f t="shared" si="23"/>
        <v>SUFICIENTE</v>
      </c>
      <c r="O294">
        <f t="shared" si="24"/>
        <v>0</v>
      </c>
    </row>
    <row r="295" spans="1:15" x14ac:dyDescent="0.45">
      <c r="A295" t="str">
        <v>CD-SAL</v>
      </c>
      <c r="B295" t="str">
        <v>BOT-1008</v>
      </c>
      <c r="C295">
        <v>15402</v>
      </c>
      <c r="D295">
        <v>865.2</v>
      </c>
      <c r="E295">
        <v>162.19999999999999</v>
      </c>
      <c r="F295">
        <v>1.2</v>
      </c>
      <c r="G295">
        <v>0.5</v>
      </c>
      <c r="H295" t="str">
        <v>OK</v>
      </c>
      <c r="J295">
        <f t="shared" si="20"/>
        <v>7758.6</v>
      </c>
      <c r="K295">
        <f>SUMIF(Supply_Clean[Item_Code], B295, Supply_Clean[Available_Supply])</f>
        <v>25288</v>
      </c>
      <c r="L295">
        <f t="shared" si="21"/>
        <v>1</v>
      </c>
      <c r="M295">
        <f t="shared" si="22"/>
        <v>865.2</v>
      </c>
      <c r="N295" t="str">
        <f t="shared" si="23"/>
        <v>SUFICIENTE</v>
      </c>
      <c r="O295">
        <f t="shared" si="24"/>
        <v>0</v>
      </c>
    </row>
    <row r="296" spans="1:15" x14ac:dyDescent="0.45">
      <c r="A296" t="str">
        <v>CD-TOL</v>
      </c>
      <c r="B296" t="str">
        <v>LAC-1011</v>
      </c>
      <c r="C296">
        <v>811</v>
      </c>
      <c r="D296">
        <v>190.6</v>
      </c>
      <c r="E296">
        <v>83.8</v>
      </c>
      <c r="F296">
        <v>2.2000000000000002</v>
      </c>
      <c r="G296">
        <v>0.5</v>
      </c>
      <c r="H296" t="str">
        <v>OK</v>
      </c>
      <c r="J296">
        <f t="shared" si="20"/>
        <v>4165</v>
      </c>
      <c r="K296">
        <f>SUMIF(Supply_Clean[Item_Code], B296, Supply_Clean[Available_Supply])</f>
        <v>2719</v>
      </c>
      <c r="L296">
        <f t="shared" si="21"/>
        <v>0.65282112845138052</v>
      </c>
      <c r="M296">
        <f t="shared" si="22"/>
        <v>124.42770708283312</v>
      </c>
      <c r="N296" t="str">
        <f t="shared" si="23"/>
        <v>ESCASEZ</v>
      </c>
      <c r="O296">
        <f t="shared" si="24"/>
        <v>66.172292917166871</v>
      </c>
    </row>
    <row r="297" spans="1:15" x14ac:dyDescent="0.45">
      <c r="A297" t="str">
        <v>CD-GDL</v>
      </c>
      <c r="B297" t="str">
        <v>LAC-1003</v>
      </c>
      <c r="C297">
        <v>1318</v>
      </c>
      <c r="D297">
        <v>145.19999999999999</v>
      </c>
      <c r="E297">
        <v>57.2</v>
      </c>
      <c r="F297">
        <v>1.5</v>
      </c>
      <c r="G297">
        <v>0.2</v>
      </c>
      <c r="H297" t="str">
        <v>OK</v>
      </c>
      <c r="J297">
        <f t="shared" si="20"/>
        <v>3701.4999999999995</v>
      </c>
      <c r="K297">
        <f>SUMIF(Supply_Clean[Item_Code], B297, Supply_Clean[Available_Supply])</f>
        <v>7244</v>
      </c>
      <c r="L297">
        <f t="shared" si="21"/>
        <v>1</v>
      </c>
      <c r="M297">
        <f t="shared" si="22"/>
        <v>145.19999999999999</v>
      </c>
      <c r="N297" t="str">
        <f t="shared" si="23"/>
        <v>SUFICIENTE</v>
      </c>
      <c r="O297">
        <f t="shared" si="24"/>
        <v>0</v>
      </c>
    </row>
    <row r="298" spans="1:15" x14ac:dyDescent="0.45">
      <c r="A298" t="str">
        <v>CD-TOL</v>
      </c>
      <c r="B298" t="str">
        <v>ABA-1009</v>
      </c>
      <c r="C298">
        <v>2604</v>
      </c>
      <c r="D298">
        <v>285.7</v>
      </c>
      <c r="E298">
        <v>42.1</v>
      </c>
      <c r="F298">
        <v>1.6</v>
      </c>
      <c r="G298">
        <v>0.5</v>
      </c>
      <c r="H298" t="str">
        <v>OK</v>
      </c>
      <c r="J298">
        <f t="shared" si="20"/>
        <v>5016.1000000000004</v>
      </c>
      <c r="K298">
        <f>SUMIF(Supply_Clean[Item_Code], B298, Supply_Clean[Available_Supply])</f>
        <v>13458</v>
      </c>
      <c r="L298">
        <f t="shared" si="21"/>
        <v>1</v>
      </c>
      <c r="M298">
        <f t="shared" si="22"/>
        <v>285.7</v>
      </c>
      <c r="N298" t="str">
        <f t="shared" si="23"/>
        <v>SUFICIENTE</v>
      </c>
      <c r="O298">
        <f t="shared" si="24"/>
        <v>0</v>
      </c>
    </row>
    <row r="299" spans="1:15" x14ac:dyDescent="0.45">
      <c r="A299" t="str">
        <v>CD-VER</v>
      </c>
      <c r="B299" t="str">
        <v>LAC-1002</v>
      </c>
      <c r="C299">
        <v>1577</v>
      </c>
      <c r="D299">
        <v>352.7</v>
      </c>
      <c r="E299">
        <v>92.1</v>
      </c>
      <c r="F299">
        <v>2.2999999999999998</v>
      </c>
      <c r="G299">
        <v>0.9</v>
      </c>
      <c r="H299" t="str">
        <v>OK</v>
      </c>
      <c r="J299">
        <f t="shared" si="20"/>
        <v>4442.1000000000004</v>
      </c>
      <c r="K299">
        <f>SUMIF(Supply_Clean[Item_Code], B299, Supply_Clean[Available_Supply])</f>
        <v>7796</v>
      </c>
      <c r="L299">
        <f t="shared" si="21"/>
        <v>1</v>
      </c>
      <c r="M299">
        <f t="shared" si="22"/>
        <v>352.7</v>
      </c>
      <c r="N299" t="str">
        <f t="shared" si="23"/>
        <v>SUFICIENTE</v>
      </c>
      <c r="O299">
        <f t="shared" si="24"/>
        <v>0</v>
      </c>
    </row>
    <row r="300" spans="1:15" x14ac:dyDescent="0.45">
      <c r="A300" t="str">
        <v>CD-SAL</v>
      </c>
      <c r="B300" t="str">
        <v>ABA-1000</v>
      </c>
      <c r="C300">
        <v>3709</v>
      </c>
      <c r="D300">
        <v>310.8</v>
      </c>
      <c r="E300">
        <v>26.3</v>
      </c>
      <c r="F300">
        <v>1.1000000000000001</v>
      </c>
      <c r="G300">
        <v>0.5</v>
      </c>
      <c r="H300" t="str">
        <v>OK</v>
      </c>
      <c r="J300">
        <f t="shared" si="20"/>
        <v>4722.2</v>
      </c>
      <c r="K300">
        <f>SUMIF(Supply_Clean[Item_Code], B300, Supply_Clean[Available_Supply])</f>
        <v>10731</v>
      </c>
      <c r="L300">
        <f t="shared" si="21"/>
        <v>1</v>
      </c>
      <c r="M300">
        <f t="shared" si="22"/>
        <v>310.8</v>
      </c>
      <c r="N300" t="str">
        <f t="shared" si="23"/>
        <v>SUFICIENTE</v>
      </c>
      <c r="O300">
        <f t="shared" si="24"/>
        <v>0</v>
      </c>
    </row>
    <row r="301" spans="1:15" x14ac:dyDescent="0.45">
      <c r="A301" t="str">
        <v>CD-HER</v>
      </c>
      <c r="B301" t="str">
        <v>PRO-1007</v>
      </c>
      <c r="C301">
        <v>4919</v>
      </c>
      <c r="D301">
        <v>333</v>
      </c>
      <c r="E301">
        <v>177.8</v>
      </c>
      <c r="F301">
        <v>3.1</v>
      </c>
      <c r="G301">
        <v>1.2</v>
      </c>
      <c r="H301" t="str">
        <v>OK</v>
      </c>
      <c r="J301">
        <f t="shared" si="20"/>
        <v>5354.8</v>
      </c>
      <c r="K301">
        <f>SUMIF(Supply_Clean[Item_Code], B301, Supply_Clean[Available_Supply])</f>
        <v>10360</v>
      </c>
      <c r="L301">
        <f t="shared" si="21"/>
        <v>1</v>
      </c>
      <c r="M301">
        <f t="shared" si="22"/>
        <v>333</v>
      </c>
      <c r="N301" t="str">
        <f t="shared" si="23"/>
        <v>SUFICIENTE</v>
      </c>
      <c r="O301">
        <f t="shared" si="24"/>
        <v>0</v>
      </c>
    </row>
    <row r="302" spans="1:15" x14ac:dyDescent="0.45">
      <c r="A302" t="str">
        <v>CD-HER</v>
      </c>
      <c r="B302" t="str">
        <v>BEB-1000</v>
      </c>
      <c r="C302">
        <v>1754</v>
      </c>
      <c r="D302">
        <v>400.4</v>
      </c>
      <c r="E302">
        <v>62.2</v>
      </c>
      <c r="F302">
        <v>2.2999999999999998</v>
      </c>
      <c r="G302">
        <v>1.2</v>
      </c>
      <c r="H302" t="str">
        <v>OK</v>
      </c>
      <c r="J302">
        <f t="shared" si="20"/>
        <v>4843.5</v>
      </c>
      <c r="K302">
        <f>SUMIF(Supply_Clean[Item_Code], B302, Supply_Clean[Available_Supply])</f>
        <v>14592</v>
      </c>
      <c r="L302">
        <f t="shared" si="21"/>
        <v>1</v>
      </c>
      <c r="M302">
        <f t="shared" si="22"/>
        <v>400.4</v>
      </c>
      <c r="N302" t="str">
        <f t="shared" si="23"/>
        <v>SUFICIENTE</v>
      </c>
      <c r="O302">
        <f t="shared" si="24"/>
        <v>0</v>
      </c>
    </row>
    <row r="303" spans="1:15" x14ac:dyDescent="0.45">
      <c r="A303" t="str">
        <v>CD-VER</v>
      </c>
      <c r="B303" t="str">
        <v>LAC-1010</v>
      </c>
      <c r="C303">
        <v>1653</v>
      </c>
      <c r="D303">
        <v>349.8</v>
      </c>
      <c r="E303">
        <v>123.5</v>
      </c>
      <c r="F303">
        <v>4.2</v>
      </c>
      <c r="G303">
        <v>0.9</v>
      </c>
      <c r="H303" t="str">
        <v>OK</v>
      </c>
      <c r="J303">
        <f t="shared" si="20"/>
        <v>4321.7</v>
      </c>
      <c r="K303">
        <f>SUMIF(Supply_Clean[Item_Code], B303, Supply_Clean[Available_Supply])</f>
        <v>11567</v>
      </c>
      <c r="L303">
        <f t="shared" si="21"/>
        <v>1</v>
      </c>
      <c r="M303">
        <f t="shared" si="22"/>
        <v>349.8</v>
      </c>
      <c r="N303" t="str">
        <f t="shared" si="23"/>
        <v>SUFICIENTE</v>
      </c>
      <c r="O303">
        <f t="shared" si="24"/>
        <v>0</v>
      </c>
    </row>
    <row r="304" spans="1:15" x14ac:dyDescent="0.45">
      <c r="A304" t="str">
        <v>CD-PUE</v>
      </c>
      <c r="B304" t="str">
        <v>ABA-1015</v>
      </c>
      <c r="C304">
        <v>2934</v>
      </c>
      <c r="D304">
        <v>166.2</v>
      </c>
      <c r="E304">
        <v>13.4</v>
      </c>
      <c r="F304">
        <v>0.5</v>
      </c>
      <c r="G304">
        <v>0.3</v>
      </c>
      <c r="H304" t="str">
        <v>OK</v>
      </c>
      <c r="J304">
        <f t="shared" si="20"/>
        <v>3986.4999999999991</v>
      </c>
      <c r="K304">
        <f>SUMIF(Supply_Clean[Item_Code], B304, Supply_Clean[Available_Supply])</f>
        <v>7969</v>
      </c>
      <c r="L304">
        <f t="shared" si="21"/>
        <v>1</v>
      </c>
      <c r="M304">
        <f t="shared" si="22"/>
        <v>166.2</v>
      </c>
      <c r="N304" t="str">
        <f t="shared" si="23"/>
        <v>SUFICIENTE</v>
      </c>
      <c r="O304">
        <f t="shared" si="24"/>
        <v>0</v>
      </c>
    </row>
    <row r="305" spans="1:15" x14ac:dyDescent="0.45">
      <c r="A305" t="str">
        <v>CD-CAN</v>
      </c>
      <c r="B305" t="str">
        <v>BOT-1011</v>
      </c>
      <c r="C305">
        <v>2189</v>
      </c>
      <c r="D305">
        <v>785.1</v>
      </c>
      <c r="E305">
        <v>181.1</v>
      </c>
      <c r="F305">
        <v>7.1</v>
      </c>
      <c r="G305">
        <v>1.6</v>
      </c>
      <c r="H305" t="str">
        <v>OK</v>
      </c>
      <c r="J305">
        <f t="shared" si="20"/>
        <v>9886.2999999999993</v>
      </c>
      <c r="K305">
        <f>SUMIF(Supply_Clean[Item_Code], B305, Supply_Clean[Available_Supply])</f>
        <v>19886</v>
      </c>
      <c r="L305">
        <f t="shared" si="21"/>
        <v>1</v>
      </c>
      <c r="M305">
        <f t="shared" si="22"/>
        <v>785.1</v>
      </c>
      <c r="N305" t="str">
        <f t="shared" si="23"/>
        <v>SUFICIENTE</v>
      </c>
      <c r="O305">
        <f t="shared" si="24"/>
        <v>0</v>
      </c>
    </row>
    <row r="306" spans="1:15" x14ac:dyDescent="0.45">
      <c r="A306" t="str">
        <v>CD-TIJ</v>
      </c>
      <c r="B306" t="str">
        <v>BOT-1008</v>
      </c>
      <c r="C306">
        <v>5185</v>
      </c>
      <c r="D306">
        <v>502.3</v>
      </c>
      <c r="E306">
        <v>137.30000000000001</v>
      </c>
      <c r="F306">
        <v>5.4</v>
      </c>
      <c r="G306">
        <v>1.5</v>
      </c>
      <c r="H306" t="str">
        <v>OK</v>
      </c>
      <c r="J306">
        <f t="shared" si="20"/>
        <v>7758.6</v>
      </c>
      <c r="K306">
        <f>SUMIF(Supply_Clean[Item_Code], B306, Supply_Clean[Available_Supply])</f>
        <v>25288</v>
      </c>
      <c r="L306">
        <f t="shared" si="21"/>
        <v>1</v>
      </c>
      <c r="M306">
        <f t="shared" si="22"/>
        <v>502.3</v>
      </c>
      <c r="N306" t="str">
        <f t="shared" si="23"/>
        <v>SUFICIENTE</v>
      </c>
      <c r="O306">
        <f t="shared" si="24"/>
        <v>0</v>
      </c>
    </row>
    <row r="307" spans="1:15" x14ac:dyDescent="0.45">
      <c r="A307" t="str">
        <v>CD-SAL</v>
      </c>
      <c r="B307" t="str">
        <v>LAC-1003</v>
      </c>
      <c r="C307">
        <v>1589</v>
      </c>
      <c r="D307">
        <v>284.3</v>
      </c>
      <c r="E307">
        <v>117.5</v>
      </c>
      <c r="F307">
        <v>1.4</v>
      </c>
      <c r="G307">
        <v>0.5</v>
      </c>
      <c r="H307" t="str">
        <v>OK</v>
      </c>
      <c r="J307">
        <f t="shared" si="20"/>
        <v>3701.4999999999995</v>
      </c>
      <c r="K307">
        <f>SUMIF(Supply_Clean[Item_Code], B307, Supply_Clean[Available_Supply])</f>
        <v>7244</v>
      </c>
      <c r="L307">
        <f t="shared" si="21"/>
        <v>1</v>
      </c>
      <c r="M307">
        <f t="shared" si="22"/>
        <v>284.3</v>
      </c>
      <c r="N307" t="str">
        <f t="shared" si="23"/>
        <v>SUFICIENTE</v>
      </c>
      <c r="O307">
        <f t="shared" si="24"/>
        <v>0</v>
      </c>
    </row>
    <row r="308" spans="1:15" x14ac:dyDescent="0.45">
      <c r="A308" t="str">
        <v>CD-PUE</v>
      </c>
      <c r="B308" t="str">
        <v>BOT-1018</v>
      </c>
      <c r="C308">
        <v>4754</v>
      </c>
      <c r="D308">
        <v>738.3</v>
      </c>
      <c r="E308">
        <v>145.9</v>
      </c>
      <c r="F308">
        <v>1.1000000000000001</v>
      </c>
      <c r="G308">
        <v>0.3</v>
      </c>
      <c r="H308" t="str">
        <v>OK</v>
      </c>
      <c r="J308">
        <f t="shared" si="20"/>
        <v>8014.5000000000009</v>
      </c>
      <c r="K308">
        <f>SUMIF(Supply_Clean[Item_Code], B308, Supply_Clean[Available_Supply])</f>
        <v>15093</v>
      </c>
      <c r="L308">
        <f t="shared" si="21"/>
        <v>1</v>
      </c>
      <c r="M308">
        <f t="shared" si="22"/>
        <v>738.3</v>
      </c>
      <c r="N308" t="str">
        <f t="shared" si="23"/>
        <v>SUFICIENTE</v>
      </c>
      <c r="O308">
        <f t="shared" si="24"/>
        <v>0</v>
      </c>
    </row>
    <row r="309" spans="1:15" x14ac:dyDescent="0.45">
      <c r="A309" t="str">
        <v>CD-CAN</v>
      </c>
      <c r="B309" t="str">
        <v>BEB-1012</v>
      </c>
      <c r="C309">
        <v>1704</v>
      </c>
      <c r="D309">
        <v>459.1</v>
      </c>
      <c r="E309">
        <v>56.6</v>
      </c>
      <c r="F309">
        <v>3.9</v>
      </c>
      <c r="G309">
        <v>1.6</v>
      </c>
      <c r="H309" t="str">
        <v>OK</v>
      </c>
      <c r="J309">
        <f t="shared" si="20"/>
        <v>5740.7</v>
      </c>
      <c r="K309">
        <f>SUMIF(Supply_Clean[Item_Code], B309, Supply_Clean[Available_Supply])</f>
        <v>12491</v>
      </c>
      <c r="L309">
        <f t="shared" si="21"/>
        <v>1</v>
      </c>
      <c r="M309">
        <f t="shared" si="22"/>
        <v>459.1</v>
      </c>
      <c r="N309" t="str">
        <f t="shared" si="23"/>
        <v>SUFICIENTE</v>
      </c>
      <c r="O309">
        <f t="shared" si="24"/>
        <v>0</v>
      </c>
    </row>
    <row r="310" spans="1:15" x14ac:dyDescent="0.45">
      <c r="A310" t="str">
        <v>CD-SAL</v>
      </c>
      <c r="B310" t="str">
        <v>ABA-1018</v>
      </c>
      <c r="C310">
        <v>3224</v>
      </c>
      <c r="D310">
        <v>423.7</v>
      </c>
      <c r="E310">
        <v>50.5</v>
      </c>
      <c r="F310">
        <v>1.6</v>
      </c>
      <c r="G310">
        <v>0.5</v>
      </c>
      <c r="H310" t="str">
        <v>OK</v>
      </c>
      <c r="J310">
        <f t="shared" si="20"/>
        <v>4478</v>
      </c>
      <c r="K310">
        <f>SUMIF(Supply_Clean[Item_Code], B310, Supply_Clean[Available_Supply])</f>
        <v>6884</v>
      </c>
      <c r="L310">
        <f t="shared" si="21"/>
        <v>1</v>
      </c>
      <c r="M310">
        <f t="shared" si="22"/>
        <v>423.7</v>
      </c>
      <c r="N310" t="str">
        <f t="shared" si="23"/>
        <v>SUFICIENTE</v>
      </c>
      <c r="O310">
        <f t="shared" si="24"/>
        <v>0</v>
      </c>
    </row>
    <row r="311" spans="1:15" x14ac:dyDescent="0.45">
      <c r="A311" t="str">
        <v>CD-TIJ</v>
      </c>
      <c r="B311" t="str">
        <v>BEB-1001</v>
      </c>
      <c r="C311">
        <v>3490</v>
      </c>
      <c r="D311">
        <v>527.70000000000005</v>
      </c>
      <c r="E311">
        <v>104.7</v>
      </c>
      <c r="F311">
        <v>5.3</v>
      </c>
      <c r="G311">
        <v>1.5</v>
      </c>
      <c r="H311" t="str">
        <v>OK</v>
      </c>
      <c r="J311">
        <f t="shared" si="20"/>
        <v>6941.9</v>
      </c>
      <c r="K311">
        <f>SUMIF(Supply_Clean[Item_Code], B311, Supply_Clean[Available_Supply])</f>
        <v>11725</v>
      </c>
      <c r="L311">
        <f t="shared" si="21"/>
        <v>1</v>
      </c>
      <c r="M311">
        <f t="shared" si="22"/>
        <v>527.70000000000005</v>
      </c>
      <c r="N311" t="str">
        <f t="shared" si="23"/>
        <v>SUFICIENTE</v>
      </c>
      <c r="O311">
        <f t="shared" si="24"/>
        <v>0</v>
      </c>
    </row>
    <row r="312" spans="1:15" x14ac:dyDescent="0.45">
      <c r="A312" t="str">
        <v>CD-MOR</v>
      </c>
      <c r="B312" t="str">
        <v>ABA-1014</v>
      </c>
      <c r="C312">
        <v>5365</v>
      </c>
      <c r="D312">
        <v>477.7</v>
      </c>
      <c r="E312">
        <v>50.5</v>
      </c>
      <c r="F312">
        <v>1.5</v>
      </c>
      <c r="G312">
        <v>0.5</v>
      </c>
      <c r="H312" t="str">
        <v>OK</v>
      </c>
      <c r="J312">
        <f t="shared" si="20"/>
        <v>4779.0000000000009</v>
      </c>
      <c r="K312">
        <f>SUMIF(Supply_Clean[Item_Code], B312, Supply_Clean[Available_Supply])</f>
        <v>14629</v>
      </c>
      <c r="L312">
        <f t="shared" si="21"/>
        <v>1</v>
      </c>
      <c r="M312">
        <f t="shared" si="22"/>
        <v>477.7</v>
      </c>
      <c r="N312" t="str">
        <f t="shared" si="23"/>
        <v>SUFICIENTE</v>
      </c>
      <c r="O312">
        <f t="shared" si="24"/>
        <v>0</v>
      </c>
    </row>
    <row r="313" spans="1:15" x14ac:dyDescent="0.45">
      <c r="A313" t="str">
        <v>CD-MER</v>
      </c>
      <c r="B313" t="str">
        <v>BOT-1004</v>
      </c>
      <c r="C313">
        <v>5106</v>
      </c>
      <c r="D313">
        <v>812.5</v>
      </c>
      <c r="E313">
        <v>206.4</v>
      </c>
      <c r="F313">
        <v>7.7</v>
      </c>
      <c r="G313">
        <v>1.3</v>
      </c>
      <c r="H313" t="str">
        <v>OK</v>
      </c>
      <c r="J313">
        <f t="shared" si="20"/>
        <v>9421.7999999999993</v>
      </c>
      <c r="K313">
        <f>SUMIF(Supply_Clean[Item_Code], B313, Supply_Clean[Available_Supply])</f>
        <v>15860</v>
      </c>
      <c r="L313">
        <f t="shared" si="21"/>
        <v>1</v>
      </c>
      <c r="M313">
        <f t="shared" si="22"/>
        <v>812.5</v>
      </c>
      <c r="N313" t="str">
        <f t="shared" si="23"/>
        <v>SUFICIENTE</v>
      </c>
      <c r="O313">
        <f t="shared" si="24"/>
        <v>0</v>
      </c>
    </row>
    <row r="314" spans="1:15" x14ac:dyDescent="0.45">
      <c r="A314" t="str">
        <v>CD-SAL</v>
      </c>
      <c r="B314" t="str">
        <v>ABA-1005</v>
      </c>
      <c r="C314">
        <v>1457</v>
      </c>
      <c r="D314">
        <v>228.7</v>
      </c>
      <c r="E314">
        <v>28.8</v>
      </c>
      <c r="F314">
        <v>2.5</v>
      </c>
      <c r="G314">
        <v>0.5</v>
      </c>
      <c r="H314" t="str">
        <v>OK</v>
      </c>
      <c r="J314">
        <f t="shared" si="20"/>
        <v>5173.5999999999995</v>
      </c>
      <c r="K314">
        <f>SUMIF(Supply_Clean[Item_Code], B314, Supply_Clean[Available_Supply])</f>
        <v>15028</v>
      </c>
      <c r="L314">
        <f t="shared" si="21"/>
        <v>1</v>
      </c>
      <c r="M314">
        <f t="shared" si="22"/>
        <v>228.7</v>
      </c>
      <c r="N314" t="str">
        <f t="shared" si="23"/>
        <v>SUFICIENTE</v>
      </c>
      <c r="O314">
        <f t="shared" si="24"/>
        <v>0</v>
      </c>
    </row>
    <row r="315" spans="1:15" x14ac:dyDescent="0.45">
      <c r="A315" t="str">
        <v>CD-GDL</v>
      </c>
      <c r="B315" t="str">
        <v>BOT-1015</v>
      </c>
      <c r="C315">
        <v>2526</v>
      </c>
      <c r="D315">
        <v>701.3</v>
      </c>
      <c r="E315">
        <v>136.69999999999999</v>
      </c>
      <c r="F315">
        <v>1.1000000000000001</v>
      </c>
      <c r="G315">
        <v>0.2</v>
      </c>
      <c r="H315" t="str">
        <v>OK</v>
      </c>
      <c r="J315">
        <f t="shared" si="20"/>
        <v>8666.4</v>
      </c>
      <c r="K315">
        <f>SUMIF(Supply_Clean[Item_Code], B315, Supply_Clean[Available_Supply])</f>
        <v>5719</v>
      </c>
      <c r="L315">
        <f t="shared" si="21"/>
        <v>0.65990492015138935</v>
      </c>
      <c r="M315">
        <f t="shared" si="22"/>
        <v>462.7913205021693</v>
      </c>
      <c r="N315" t="str">
        <f t="shared" si="23"/>
        <v>ESCASEZ</v>
      </c>
      <c r="O315">
        <f t="shared" si="24"/>
        <v>238.50867949783066</v>
      </c>
    </row>
    <row r="316" spans="1:15" x14ac:dyDescent="0.45">
      <c r="A316" t="str">
        <v>CD-MOR</v>
      </c>
      <c r="B316" t="str">
        <v>BOT-1004</v>
      </c>
      <c r="C316">
        <v>9169</v>
      </c>
      <c r="D316">
        <v>826</v>
      </c>
      <c r="E316">
        <v>218.3</v>
      </c>
      <c r="F316">
        <v>1.5</v>
      </c>
      <c r="G316">
        <v>0.5</v>
      </c>
      <c r="H316" t="str">
        <v>OK</v>
      </c>
      <c r="J316">
        <f t="shared" si="20"/>
        <v>9421.7999999999993</v>
      </c>
      <c r="K316">
        <f>SUMIF(Supply_Clean[Item_Code], B316, Supply_Clean[Available_Supply])</f>
        <v>15860</v>
      </c>
      <c r="L316">
        <f t="shared" si="21"/>
        <v>1</v>
      </c>
      <c r="M316">
        <f t="shared" si="22"/>
        <v>826</v>
      </c>
      <c r="N316" t="str">
        <f t="shared" si="23"/>
        <v>SUFICIENTE</v>
      </c>
      <c r="O316">
        <f t="shared" si="24"/>
        <v>0</v>
      </c>
    </row>
    <row r="317" spans="1:15" x14ac:dyDescent="0.45">
      <c r="A317" t="str">
        <v>CD-GDL</v>
      </c>
      <c r="B317" t="str">
        <v>BEB-1015</v>
      </c>
      <c r="C317">
        <v>6619</v>
      </c>
      <c r="D317">
        <v>468</v>
      </c>
      <c r="E317">
        <v>53.6</v>
      </c>
      <c r="F317">
        <v>0.9</v>
      </c>
      <c r="G317">
        <v>0.2</v>
      </c>
      <c r="H317" t="str">
        <v>OK</v>
      </c>
      <c r="J317">
        <f t="shared" si="20"/>
        <v>5073.0999999999995</v>
      </c>
      <c r="K317">
        <f>SUMIF(Supply_Clean[Item_Code], B317, Supply_Clean[Available_Supply])</f>
        <v>14801</v>
      </c>
      <c r="L317">
        <f t="shared" si="21"/>
        <v>1</v>
      </c>
      <c r="M317">
        <f t="shared" si="22"/>
        <v>468</v>
      </c>
      <c r="N317" t="str">
        <f t="shared" si="23"/>
        <v>SUFICIENTE</v>
      </c>
      <c r="O317">
        <f t="shared" si="24"/>
        <v>0</v>
      </c>
    </row>
    <row r="318" spans="1:15" x14ac:dyDescent="0.45">
      <c r="A318" t="str">
        <v>CD-GDL</v>
      </c>
      <c r="B318" t="str">
        <v>BOT-1009</v>
      </c>
      <c r="C318">
        <v>5549</v>
      </c>
      <c r="D318">
        <v>334.4</v>
      </c>
      <c r="E318">
        <v>63.6</v>
      </c>
      <c r="F318">
        <v>1</v>
      </c>
      <c r="G318">
        <v>0.2</v>
      </c>
      <c r="H318" t="str">
        <v>OK</v>
      </c>
      <c r="J318">
        <f t="shared" si="20"/>
        <v>8135.5</v>
      </c>
      <c r="K318">
        <f>SUMIF(Supply_Clean[Item_Code], B318, Supply_Clean[Available_Supply])</f>
        <v>17475</v>
      </c>
      <c r="L318">
        <f t="shared" si="21"/>
        <v>1</v>
      </c>
      <c r="M318">
        <f t="shared" si="22"/>
        <v>334.4</v>
      </c>
      <c r="N318" t="str">
        <f t="shared" si="23"/>
        <v>SUFICIENTE</v>
      </c>
      <c r="O318">
        <f t="shared" si="24"/>
        <v>0</v>
      </c>
    </row>
    <row r="319" spans="1:15" x14ac:dyDescent="0.45">
      <c r="A319" t="str">
        <v>CD-TIJ</v>
      </c>
      <c r="B319" t="str">
        <v>BOT-1004</v>
      </c>
      <c r="C319">
        <v>0</v>
      </c>
      <c r="D319">
        <v>983.5</v>
      </c>
      <c r="E319">
        <v>207.3</v>
      </c>
      <c r="F319">
        <v>4.5999999999999996</v>
      </c>
      <c r="G319">
        <v>1.5</v>
      </c>
      <c r="H319">
        <v>0</v>
      </c>
      <c r="J319">
        <f t="shared" si="20"/>
        <v>9421.7999999999993</v>
      </c>
      <c r="K319">
        <f>SUMIF(Supply_Clean[Item_Code], B319, Supply_Clean[Available_Supply])</f>
        <v>15860</v>
      </c>
      <c r="L319">
        <f t="shared" si="21"/>
        <v>1</v>
      </c>
      <c r="M319">
        <f t="shared" si="22"/>
        <v>983.5</v>
      </c>
      <c r="N319" t="str">
        <f t="shared" si="23"/>
        <v>SUFICIENTE</v>
      </c>
      <c r="O319">
        <f t="shared" si="24"/>
        <v>0</v>
      </c>
    </row>
    <row r="320" spans="1:15" x14ac:dyDescent="0.45">
      <c r="A320" t="str">
        <v>CD-VER</v>
      </c>
      <c r="B320" t="str">
        <v>BOT-1017</v>
      </c>
      <c r="C320">
        <v>3153</v>
      </c>
      <c r="D320">
        <v>559.20000000000005</v>
      </c>
      <c r="E320">
        <v>123.4</v>
      </c>
      <c r="F320">
        <v>2.5</v>
      </c>
      <c r="G320">
        <v>0.9</v>
      </c>
      <c r="H320" t="str">
        <v>OK</v>
      </c>
      <c r="J320">
        <f t="shared" si="20"/>
        <v>10291.300000000001</v>
      </c>
      <c r="K320">
        <f>SUMIF(Supply_Clean[Item_Code], B320, Supply_Clean[Available_Supply])</f>
        <v>5486</v>
      </c>
      <c r="L320">
        <f t="shared" si="21"/>
        <v>0.53307162360440363</v>
      </c>
      <c r="M320">
        <f t="shared" si="22"/>
        <v>298.09365191958256</v>
      </c>
      <c r="N320" t="str">
        <f t="shared" si="23"/>
        <v>ESCASEZ</v>
      </c>
      <c r="O320">
        <f t="shared" si="24"/>
        <v>261.10634808041749</v>
      </c>
    </row>
    <row r="321" spans="1:15" x14ac:dyDescent="0.45">
      <c r="A321" t="str">
        <v>CD-CHI</v>
      </c>
      <c r="B321" t="str">
        <v>ABA-1018</v>
      </c>
      <c r="C321">
        <v>417</v>
      </c>
      <c r="D321">
        <v>178.9</v>
      </c>
      <c r="E321">
        <v>22.6</v>
      </c>
      <c r="F321">
        <v>2.2000000000000002</v>
      </c>
      <c r="G321">
        <v>1</v>
      </c>
      <c r="H321" t="str">
        <v>OK</v>
      </c>
      <c r="J321">
        <f t="shared" si="20"/>
        <v>4478</v>
      </c>
      <c r="K321">
        <f>SUMIF(Supply_Clean[Item_Code], B321, Supply_Clean[Available_Supply])</f>
        <v>6884</v>
      </c>
      <c r="L321">
        <f t="shared" si="21"/>
        <v>1</v>
      </c>
      <c r="M321">
        <f t="shared" si="22"/>
        <v>178.9</v>
      </c>
      <c r="N321" t="str">
        <f t="shared" si="23"/>
        <v>SUFICIENTE</v>
      </c>
      <c r="O321">
        <f t="shared" si="24"/>
        <v>0</v>
      </c>
    </row>
    <row r="322" spans="1:15" x14ac:dyDescent="0.45">
      <c r="A322" t="str">
        <v>CD-PUE</v>
      </c>
      <c r="B322" t="str">
        <v>BOT-1015</v>
      </c>
      <c r="C322">
        <v>1844</v>
      </c>
      <c r="D322">
        <v>799.5</v>
      </c>
      <c r="E322">
        <v>127.9</v>
      </c>
      <c r="F322">
        <v>0.7</v>
      </c>
      <c r="G322">
        <v>0.3</v>
      </c>
      <c r="H322" t="str">
        <v>OK</v>
      </c>
      <c r="J322">
        <f t="shared" si="20"/>
        <v>8666.4</v>
      </c>
      <c r="K322">
        <f>SUMIF(Supply_Clean[Item_Code], B322, Supply_Clean[Available_Supply])</f>
        <v>5719</v>
      </c>
      <c r="L322">
        <f t="shared" si="21"/>
        <v>0.65990492015138935</v>
      </c>
      <c r="M322">
        <f t="shared" si="22"/>
        <v>527.59398366103574</v>
      </c>
      <c r="N322" t="str">
        <f t="shared" si="23"/>
        <v>ESCASEZ</v>
      </c>
      <c r="O322">
        <f t="shared" si="24"/>
        <v>271.90601633896426</v>
      </c>
    </row>
    <row r="323" spans="1:15" x14ac:dyDescent="0.45">
      <c r="A323" t="str">
        <v>CD-MTY</v>
      </c>
      <c r="B323" t="str">
        <v>BOT-1014</v>
      </c>
      <c r="C323">
        <v>7292</v>
      </c>
      <c r="D323">
        <v>485.5</v>
      </c>
      <c r="E323">
        <v>143.80000000000001</v>
      </c>
      <c r="F323">
        <v>0.5</v>
      </c>
      <c r="G323">
        <v>0.3</v>
      </c>
      <c r="H323" t="str">
        <v>OK</v>
      </c>
      <c r="J323">
        <f t="shared" ref="J323:J386" si="25">SUMIF($B$2:$B$1501, B323, $D$2:$D$1501)</f>
        <v>8056.4000000000005</v>
      </c>
      <c r="K323">
        <f>SUMIF(Supply_Clean[Item_Code], B323, Supply_Clean[Available_Supply])</f>
        <v>14373</v>
      </c>
      <c r="L323">
        <f t="shared" ref="L323:L386" si="26">IFERROR(MIN(1, K323/J323), "")</f>
        <v>1</v>
      </c>
      <c r="M323">
        <f t="shared" ref="M323:M386" si="27">IFERROR(D323*L323, "")</f>
        <v>485.5</v>
      </c>
      <c r="N323" t="str">
        <f t="shared" ref="N323:N386" si="28">IF(L323&lt;1, "ESCASEZ", "SUFICIENTE")</f>
        <v>SUFICIENTE</v>
      </c>
      <c r="O323">
        <f t="shared" ref="O323:O386" si="29">IF(N323="ESCASEZ", D323-M323, 0)</f>
        <v>0</v>
      </c>
    </row>
    <row r="324" spans="1:15" x14ac:dyDescent="0.45">
      <c r="A324" t="str">
        <v>CD-PUE</v>
      </c>
      <c r="B324" t="str">
        <v>ABA-1010</v>
      </c>
      <c r="C324">
        <v>3422</v>
      </c>
      <c r="D324">
        <v>405</v>
      </c>
      <c r="E324">
        <v>57.5</v>
      </c>
      <c r="F324">
        <v>1.4</v>
      </c>
      <c r="G324">
        <v>0.3</v>
      </c>
      <c r="H324" t="str">
        <v>OK</v>
      </c>
      <c r="J324">
        <f t="shared" si="25"/>
        <v>4871.7</v>
      </c>
      <c r="K324">
        <f>SUMIF(Supply_Clean[Item_Code], B324, Supply_Clean[Available_Supply])</f>
        <v>9875</v>
      </c>
      <c r="L324">
        <f t="shared" si="26"/>
        <v>1</v>
      </c>
      <c r="M324">
        <f t="shared" si="27"/>
        <v>405</v>
      </c>
      <c r="N324" t="str">
        <f t="shared" si="28"/>
        <v>SUFICIENTE</v>
      </c>
      <c r="O324">
        <f t="shared" si="29"/>
        <v>0</v>
      </c>
    </row>
    <row r="325" spans="1:15" x14ac:dyDescent="0.45">
      <c r="A325" t="str">
        <v>CD-PUE</v>
      </c>
      <c r="B325" t="str">
        <v>BOT-1019</v>
      </c>
      <c r="C325">
        <v>8066</v>
      </c>
      <c r="D325">
        <v>599.4</v>
      </c>
      <c r="E325">
        <v>90.8</v>
      </c>
      <c r="F325">
        <v>1.2</v>
      </c>
      <c r="G325">
        <v>0.3</v>
      </c>
      <c r="H325" t="str">
        <v>OK</v>
      </c>
      <c r="J325">
        <f t="shared" si="25"/>
        <v>9278.2999999999993</v>
      </c>
      <c r="K325">
        <f>SUMIF(Supply_Clean[Item_Code], B325, Supply_Clean[Available_Supply])</f>
        <v>4509</v>
      </c>
      <c r="L325">
        <f t="shared" si="26"/>
        <v>0.48597264585107192</v>
      </c>
      <c r="M325">
        <f t="shared" si="27"/>
        <v>291.29200392313248</v>
      </c>
      <c r="N325" t="str">
        <f t="shared" si="28"/>
        <v>ESCASEZ</v>
      </c>
      <c r="O325">
        <f t="shared" si="29"/>
        <v>308.10799607686749</v>
      </c>
    </row>
    <row r="326" spans="1:15" x14ac:dyDescent="0.45">
      <c r="A326" t="str">
        <v>CD-MOR</v>
      </c>
      <c r="B326" t="str">
        <v>LAC-1004</v>
      </c>
      <c r="C326">
        <v>1843</v>
      </c>
      <c r="D326">
        <v>221.1</v>
      </c>
      <c r="E326">
        <v>77.900000000000006</v>
      </c>
      <c r="F326">
        <v>2.5</v>
      </c>
      <c r="G326">
        <v>0.5</v>
      </c>
      <c r="H326" t="str">
        <v>OK</v>
      </c>
      <c r="J326">
        <f t="shared" si="25"/>
        <v>4211.5</v>
      </c>
      <c r="K326">
        <f>SUMIF(Supply_Clean[Item_Code], B326, Supply_Clean[Available_Supply])</f>
        <v>11968</v>
      </c>
      <c r="L326">
        <f t="shared" si="26"/>
        <v>1</v>
      </c>
      <c r="M326">
        <f t="shared" si="27"/>
        <v>221.1</v>
      </c>
      <c r="N326" t="str">
        <f t="shared" si="28"/>
        <v>SUFICIENTE</v>
      </c>
      <c r="O326">
        <f t="shared" si="29"/>
        <v>0</v>
      </c>
    </row>
    <row r="327" spans="1:15" x14ac:dyDescent="0.45">
      <c r="A327" t="str">
        <v>CD-MTY</v>
      </c>
      <c r="B327" t="str">
        <v>ABA-1011</v>
      </c>
      <c r="C327">
        <v>3844</v>
      </c>
      <c r="D327">
        <v>447.6</v>
      </c>
      <c r="E327">
        <v>50.6</v>
      </c>
      <c r="F327">
        <v>1.2</v>
      </c>
      <c r="G327">
        <v>0.3</v>
      </c>
      <c r="H327" t="str">
        <v>OK</v>
      </c>
      <c r="J327">
        <f t="shared" si="25"/>
        <v>4892.0999999999995</v>
      </c>
      <c r="K327">
        <f>SUMIF(Supply_Clean[Item_Code], B327, Supply_Clean[Available_Supply])</f>
        <v>9079</v>
      </c>
      <c r="L327">
        <f t="shared" si="26"/>
        <v>1</v>
      </c>
      <c r="M327">
        <f t="shared" si="27"/>
        <v>447.6</v>
      </c>
      <c r="N327" t="str">
        <f t="shared" si="28"/>
        <v>SUFICIENTE</v>
      </c>
      <c r="O327">
        <f t="shared" si="29"/>
        <v>0</v>
      </c>
    </row>
    <row r="328" spans="1:15" x14ac:dyDescent="0.45">
      <c r="A328" t="str">
        <v>CD-HER</v>
      </c>
      <c r="B328" t="str">
        <v>LAC-1014</v>
      </c>
      <c r="C328">
        <v>1235</v>
      </c>
      <c r="D328">
        <v>324.89999999999998</v>
      </c>
      <c r="E328">
        <v>135.1</v>
      </c>
      <c r="F328">
        <v>4.8</v>
      </c>
      <c r="G328">
        <v>1.2</v>
      </c>
      <c r="H328" t="str">
        <v>OK</v>
      </c>
      <c r="J328">
        <f t="shared" si="25"/>
        <v>4121.5</v>
      </c>
      <c r="K328">
        <f>SUMIF(Supply_Clean[Item_Code], B328, Supply_Clean[Available_Supply])</f>
        <v>8260</v>
      </c>
      <c r="L328">
        <f t="shared" si="26"/>
        <v>1</v>
      </c>
      <c r="M328">
        <f t="shared" si="27"/>
        <v>324.89999999999998</v>
      </c>
      <c r="N328" t="str">
        <f t="shared" si="28"/>
        <v>SUFICIENTE</v>
      </c>
      <c r="O328">
        <f t="shared" si="29"/>
        <v>0</v>
      </c>
    </row>
    <row r="329" spans="1:15" x14ac:dyDescent="0.45">
      <c r="A329" t="str">
        <v>CD-HER</v>
      </c>
      <c r="B329" t="str">
        <v>ABA-1010</v>
      </c>
      <c r="C329">
        <v>2805</v>
      </c>
      <c r="D329">
        <v>273.3</v>
      </c>
      <c r="E329">
        <v>33.5</v>
      </c>
      <c r="F329">
        <v>2.9</v>
      </c>
      <c r="G329">
        <v>1.2</v>
      </c>
      <c r="H329" t="str">
        <v>OK</v>
      </c>
      <c r="J329">
        <f t="shared" si="25"/>
        <v>4871.7</v>
      </c>
      <c r="K329">
        <f>SUMIF(Supply_Clean[Item_Code], B329, Supply_Clean[Available_Supply])</f>
        <v>9875</v>
      </c>
      <c r="L329">
        <f t="shared" si="26"/>
        <v>1</v>
      </c>
      <c r="M329">
        <f t="shared" si="27"/>
        <v>273.3</v>
      </c>
      <c r="N329" t="str">
        <f t="shared" si="28"/>
        <v>SUFICIENTE</v>
      </c>
      <c r="O329">
        <f t="shared" si="29"/>
        <v>0</v>
      </c>
    </row>
    <row r="330" spans="1:15" x14ac:dyDescent="0.45">
      <c r="A330" t="str">
        <v>CD-CHI</v>
      </c>
      <c r="B330" t="str">
        <v>BEB-1018</v>
      </c>
      <c r="C330">
        <v>2375</v>
      </c>
      <c r="D330">
        <v>605.5</v>
      </c>
      <c r="E330">
        <v>108.9</v>
      </c>
      <c r="F330">
        <v>4.3</v>
      </c>
      <c r="G330">
        <v>1</v>
      </c>
      <c r="H330" t="str">
        <v>OK</v>
      </c>
      <c r="J330">
        <f t="shared" si="25"/>
        <v>5898.0999999999995</v>
      </c>
      <c r="K330">
        <f>SUMIF(Supply_Clean[Item_Code], B330, Supply_Clean[Available_Supply])</f>
        <v>11472</v>
      </c>
      <c r="L330">
        <f t="shared" si="26"/>
        <v>1</v>
      </c>
      <c r="M330">
        <f t="shared" si="27"/>
        <v>605.5</v>
      </c>
      <c r="N330" t="str">
        <f t="shared" si="28"/>
        <v>SUFICIENTE</v>
      </c>
      <c r="O330">
        <f t="shared" si="29"/>
        <v>0</v>
      </c>
    </row>
    <row r="331" spans="1:15" x14ac:dyDescent="0.45">
      <c r="A331" t="str">
        <v>CD-TIJ</v>
      </c>
      <c r="B331" t="str">
        <v>ABA-1005</v>
      </c>
      <c r="C331">
        <v>1100</v>
      </c>
      <c r="D331">
        <v>218.3</v>
      </c>
      <c r="E331">
        <v>32.5</v>
      </c>
      <c r="F331">
        <v>2.6</v>
      </c>
      <c r="G331">
        <v>1.5</v>
      </c>
      <c r="H331" t="str">
        <v>OK</v>
      </c>
      <c r="J331">
        <f t="shared" si="25"/>
        <v>5173.5999999999995</v>
      </c>
      <c r="K331">
        <f>SUMIF(Supply_Clean[Item_Code], B331, Supply_Clean[Available_Supply])</f>
        <v>15028</v>
      </c>
      <c r="L331">
        <f t="shared" si="26"/>
        <v>1</v>
      </c>
      <c r="M331">
        <f t="shared" si="27"/>
        <v>218.3</v>
      </c>
      <c r="N331" t="str">
        <f t="shared" si="28"/>
        <v>SUFICIENTE</v>
      </c>
      <c r="O331">
        <f t="shared" si="29"/>
        <v>0</v>
      </c>
    </row>
    <row r="332" spans="1:15" x14ac:dyDescent="0.45">
      <c r="A332" t="str">
        <v>CD-CDMX</v>
      </c>
      <c r="B332" t="str">
        <v>LAC-1004</v>
      </c>
      <c r="C332">
        <v>1042</v>
      </c>
      <c r="D332">
        <v>227.5</v>
      </c>
      <c r="E332">
        <v>67.3</v>
      </c>
      <c r="F332">
        <v>1</v>
      </c>
      <c r="G332">
        <v>0.2</v>
      </c>
      <c r="H332" t="str">
        <v>OK</v>
      </c>
      <c r="J332">
        <f t="shared" si="25"/>
        <v>4211.5</v>
      </c>
      <c r="K332">
        <f>SUMIF(Supply_Clean[Item_Code], B332, Supply_Clean[Available_Supply])</f>
        <v>11968</v>
      </c>
      <c r="L332">
        <f t="shared" si="26"/>
        <v>1</v>
      </c>
      <c r="M332">
        <f t="shared" si="27"/>
        <v>227.5</v>
      </c>
      <c r="N332" t="str">
        <f t="shared" si="28"/>
        <v>SUFICIENTE</v>
      </c>
      <c r="O332">
        <f t="shared" si="29"/>
        <v>0</v>
      </c>
    </row>
    <row r="333" spans="1:15" x14ac:dyDescent="0.45">
      <c r="A333" t="str">
        <v>CD-PUE</v>
      </c>
      <c r="B333" t="str">
        <v>BEB-1005</v>
      </c>
      <c r="C333">
        <v>1211</v>
      </c>
      <c r="D333">
        <v>702.4</v>
      </c>
      <c r="E333">
        <v>130.1</v>
      </c>
      <c r="F333">
        <v>0.9</v>
      </c>
      <c r="G333">
        <v>0.3</v>
      </c>
      <c r="H333" t="str">
        <v>OK</v>
      </c>
      <c r="J333">
        <f t="shared" si="25"/>
        <v>6220.1999999999989</v>
      </c>
      <c r="K333">
        <f>SUMIF(Supply_Clean[Item_Code], B333, Supply_Clean[Available_Supply])</f>
        <v>14054</v>
      </c>
      <c r="L333">
        <f t="shared" si="26"/>
        <v>1</v>
      </c>
      <c r="M333">
        <f t="shared" si="27"/>
        <v>702.4</v>
      </c>
      <c r="N333" t="str">
        <f t="shared" si="28"/>
        <v>SUFICIENTE</v>
      </c>
      <c r="O333">
        <f t="shared" si="29"/>
        <v>0</v>
      </c>
    </row>
    <row r="334" spans="1:15" x14ac:dyDescent="0.45">
      <c r="A334" t="str">
        <v>CD-VER</v>
      </c>
      <c r="B334" t="str">
        <v>LAC-1013</v>
      </c>
      <c r="C334">
        <v>467</v>
      </c>
      <c r="D334">
        <v>217.9</v>
      </c>
      <c r="E334">
        <v>65.8</v>
      </c>
      <c r="F334">
        <v>2.5</v>
      </c>
      <c r="G334">
        <v>0.9</v>
      </c>
      <c r="H334" t="str">
        <v>OK</v>
      </c>
      <c r="J334">
        <f t="shared" si="25"/>
        <v>3650.7</v>
      </c>
      <c r="K334">
        <f>SUMIF(Supply_Clean[Item_Code], B334, Supply_Clean[Available_Supply])</f>
        <v>12026</v>
      </c>
      <c r="L334">
        <f t="shared" si="26"/>
        <v>1</v>
      </c>
      <c r="M334">
        <f t="shared" si="27"/>
        <v>217.9</v>
      </c>
      <c r="N334" t="str">
        <f t="shared" si="28"/>
        <v>SUFICIENTE</v>
      </c>
      <c r="O334">
        <f t="shared" si="29"/>
        <v>0</v>
      </c>
    </row>
    <row r="335" spans="1:15" x14ac:dyDescent="0.45">
      <c r="A335" t="str">
        <v>CD-CDMX</v>
      </c>
      <c r="B335" t="str">
        <v>PRO-1015</v>
      </c>
      <c r="C335">
        <v>3358</v>
      </c>
      <c r="D335">
        <v>200.6</v>
      </c>
      <c r="E335">
        <v>96.9</v>
      </c>
      <c r="F335">
        <v>1.6</v>
      </c>
      <c r="G335">
        <v>0.2</v>
      </c>
      <c r="H335" t="str">
        <v>OK</v>
      </c>
      <c r="J335">
        <f t="shared" si="25"/>
        <v>5021.5</v>
      </c>
      <c r="K335">
        <f>SUMIF(Supply_Clean[Item_Code], B335, Supply_Clean[Available_Supply])</f>
        <v>15970</v>
      </c>
      <c r="L335">
        <f t="shared" si="26"/>
        <v>1</v>
      </c>
      <c r="M335">
        <f t="shared" si="27"/>
        <v>200.6</v>
      </c>
      <c r="N335" t="str">
        <f t="shared" si="28"/>
        <v>SUFICIENTE</v>
      </c>
      <c r="O335">
        <f t="shared" si="29"/>
        <v>0</v>
      </c>
    </row>
    <row r="336" spans="1:15" x14ac:dyDescent="0.45">
      <c r="A336" t="str">
        <v>CD-GDL</v>
      </c>
      <c r="B336" t="str">
        <v>ABA-1017</v>
      </c>
      <c r="C336">
        <v>1085</v>
      </c>
      <c r="D336">
        <v>269.10000000000002</v>
      </c>
      <c r="E336">
        <v>32.700000000000003</v>
      </c>
      <c r="F336">
        <v>0.8</v>
      </c>
      <c r="G336">
        <v>0.2</v>
      </c>
      <c r="H336" t="str">
        <v>OK</v>
      </c>
      <c r="J336">
        <f t="shared" si="25"/>
        <v>4720.2</v>
      </c>
      <c r="K336">
        <f>SUMIF(Supply_Clean[Item_Code], B336, Supply_Clean[Available_Supply])</f>
        <v>13946</v>
      </c>
      <c r="L336">
        <f t="shared" si="26"/>
        <v>1</v>
      </c>
      <c r="M336">
        <f t="shared" si="27"/>
        <v>269.10000000000002</v>
      </c>
      <c r="N336" t="str">
        <f t="shared" si="28"/>
        <v>SUFICIENTE</v>
      </c>
      <c r="O336">
        <f t="shared" si="29"/>
        <v>0</v>
      </c>
    </row>
    <row r="337" spans="1:15" x14ac:dyDescent="0.45">
      <c r="A337" t="str">
        <v>CD-TIJ</v>
      </c>
      <c r="B337" t="str">
        <v>BOT-1020</v>
      </c>
      <c r="C337">
        <v>15440</v>
      </c>
      <c r="D337">
        <v>960.1</v>
      </c>
      <c r="E337">
        <v>174.5</v>
      </c>
      <c r="F337">
        <v>4.4000000000000004</v>
      </c>
      <c r="G337">
        <v>1.5</v>
      </c>
      <c r="H337" t="str">
        <v>OK</v>
      </c>
      <c r="J337">
        <f t="shared" si="25"/>
        <v>7693.4</v>
      </c>
      <c r="K337">
        <f>SUMIF(Supply_Clean[Item_Code], B337, Supply_Clean[Available_Supply])</f>
        <v>20558</v>
      </c>
      <c r="L337">
        <f t="shared" si="26"/>
        <v>1</v>
      </c>
      <c r="M337">
        <f t="shared" si="27"/>
        <v>960.1</v>
      </c>
      <c r="N337" t="str">
        <f t="shared" si="28"/>
        <v>SUFICIENTE</v>
      </c>
      <c r="O337">
        <f t="shared" si="29"/>
        <v>0</v>
      </c>
    </row>
    <row r="338" spans="1:15" x14ac:dyDescent="0.45">
      <c r="A338" t="str">
        <v>CD-TIJ</v>
      </c>
      <c r="B338" t="str">
        <v>LAC-1010</v>
      </c>
      <c r="C338">
        <v>3842</v>
      </c>
      <c r="D338">
        <v>221.8</v>
      </c>
      <c r="E338">
        <v>88.6</v>
      </c>
      <c r="F338">
        <v>4</v>
      </c>
      <c r="G338">
        <v>1.5</v>
      </c>
      <c r="H338" t="str">
        <v>OK</v>
      </c>
      <c r="J338">
        <f t="shared" si="25"/>
        <v>4321.7</v>
      </c>
      <c r="K338">
        <f>SUMIF(Supply_Clean[Item_Code], B338, Supply_Clean[Available_Supply])</f>
        <v>11567</v>
      </c>
      <c r="L338">
        <f t="shared" si="26"/>
        <v>1</v>
      </c>
      <c r="M338">
        <f t="shared" si="27"/>
        <v>221.8</v>
      </c>
      <c r="N338" t="str">
        <f t="shared" si="28"/>
        <v>SUFICIENTE</v>
      </c>
      <c r="O338">
        <f t="shared" si="29"/>
        <v>0</v>
      </c>
    </row>
    <row r="339" spans="1:15" x14ac:dyDescent="0.45">
      <c r="A339" t="str">
        <v>CD-MER</v>
      </c>
      <c r="B339" t="str">
        <v>BOT-1012</v>
      </c>
      <c r="C339">
        <v>3240</v>
      </c>
      <c r="D339">
        <v>449.6</v>
      </c>
      <c r="E339">
        <v>134</v>
      </c>
      <c r="F339">
        <v>6.4</v>
      </c>
      <c r="G339">
        <v>1.3</v>
      </c>
      <c r="H339" t="str">
        <v>OK</v>
      </c>
      <c r="J339">
        <f t="shared" si="25"/>
        <v>9259.4</v>
      </c>
      <c r="K339">
        <f>SUMIF(Supply_Clean[Item_Code], B339, Supply_Clean[Available_Supply])</f>
        <v>13943</v>
      </c>
      <c r="L339">
        <f t="shared" si="26"/>
        <v>1</v>
      </c>
      <c r="M339">
        <f t="shared" si="27"/>
        <v>449.6</v>
      </c>
      <c r="N339" t="str">
        <f t="shared" si="28"/>
        <v>SUFICIENTE</v>
      </c>
      <c r="O339">
        <f t="shared" si="29"/>
        <v>0</v>
      </c>
    </row>
    <row r="340" spans="1:15" x14ac:dyDescent="0.45">
      <c r="A340" t="str">
        <v>CD-CAN</v>
      </c>
      <c r="B340" t="str">
        <v>PRO-1013</v>
      </c>
      <c r="C340">
        <v>13483</v>
      </c>
      <c r="D340">
        <v>763.7</v>
      </c>
      <c r="E340">
        <v>516.6</v>
      </c>
      <c r="F340">
        <v>6.1</v>
      </c>
      <c r="G340">
        <v>1.6</v>
      </c>
      <c r="H340" t="str">
        <v>OK</v>
      </c>
      <c r="J340">
        <f t="shared" si="25"/>
        <v>7113.8</v>
      </c>
      <c r="K340">
        <f>SUMIF(Supply_Clean[Item_Code], B340, Supply_Clean[Available_Supply])</f>
        <v>15134</v>
      </c>
      <c r="L340">
        <f t="shared" si="26"/>
        <v>1</v>
      </c>
      <c r="M340">
        <f t="shared" si="27"/>
        <v>763.7</v>
      </c>
      <c r="N340" t="str">
        <f t="shared" si="28"/>
        <v>SUFICIENTE</v>
      </c>
      <c r="O340">
        <f t="shared" si="29"/>
        <v>0</v>
      </c>
    </row>
    <row r="341" spans="1:15" x14ac:dyDescent="0.45">
      <c r="A341" t="str">
        <v>CD-VER</v>
      </c>
      <c r="B341" t="str">
        <v>ABA-1000</v>
      </c>
      <c r="C341">
        <v>3755</v>
      </c>
      <c r="D341">
        <v>360.5</v>
      </c>
      <c r="E341">
        <v>53.2</v>
      </c>
      <c r="F341">
        <v>1.3</v>
      </c>
      <c r="G341">
        <v>0.9</v>
      </c>
      <c r="H341" t="str">
        <v>OK</v>
      </c>
      <c r="J341">
        <f t="shared" si="25"/>
        <v>4722.2</v>
      </c>
      <c r="K341">
        <f>SUMIF(Supply_Clean[Item_Code], B341, Supply_Clean[Available_Supply])</f>
        <v>10731</v>
      </c>
      <c r="L341">
        <f t="shared" si="26"/>
        <v>1</v>
      </c>
      <c r="M341">
        <f t="shared" si="27"/>
        <v>360.5</v>
      </c>
      <c r="N341" t="str">
        <f t="shared" si="28"/>
        <v>SUFICIENTE</v>
      </c>
      <c r="O341">
        <f t="shared" si="29"/>
        <v>0</v>
      </c>
    </row>
    <row r="342" spans="1:15" x14ac:dyDescent="0.45">
      <c r="A342" t="str">
        <v>CD-GDL</v>
      </c>
      <c r="B342" t="str">
        <v>BOT-1004</v>
      </c>
      <c r="C342">
        <v>5624</v>
      </c>
      <c r="D342">
        <v>314.8</v>
      </c>
      <c r="E342">
        <v>89.3</v>
      </c>
      <c r="F342">
        <v>1.2</v>
      </c>
      <c r="G342">
        <v>0.2</v>
      </c>
      <c r="H342" t="str">
        <v>OK</v>
      </c>
      <c r="J342">
        <f t="shared" si="25"/>
        <v>9421.7999999999993</v>
      </c>
      <c r="K342">
        <f>SUMIF(Supply_Clean[Item_Code], B342, Supply_Clean[Available_Supply])</f>
        <v>15860</v>
      </c>
      <c r="L342">
        <f t="shared" si="26"/>
        <v>1</v>
      </c>
      <c r="M342">
        <f t="shared" si="27"/>
        <v>314.8</v>
      </c>
      <c r="N342" t="str">
        <f t="shared" si="28"/>
        <v>SUFICIENTE</v>
      </c>
      <c r="O342">
        <f t="shared" si="29"/>
        <v>0</v>
      </c>
    </row>
    <row r="343" spans="1:15" x14ac:dyDescent="0.45">
      <c r="A343" t="str">
        <v>CD-CDMX</v>
      </c>
      <c r="B343" t="str">
        <v>BEB-1008</v>
      </c>
      <c r="C343">
        <v>4636</v>
      </c>
      <c r="D343">
        <v>386.4</v>
      </c>
      <c r="E343">
        <v>64.599999999999994</v>
      </c>
      <c r="F343">
        <v>0.9</v>
      </c>
      <c r="G343">
        <v>0.2</v>
      </c>
      <c r="H343" t="str">
        <v>OK</v>
      </c>
      <c r="J343">
        <f t="shared" si="25"/>
        <v>6156.9999999999991</v>
      </c>
      <c r="K343">
        <f>SUMIF(Supply_Clean[Item_Code], B343, Supply_Clean[Available_Supply])</f>
        <v>18019</v>
      </c>
      <c r="L343">
        <f t="shared" si="26"/>
        <v>1</v>
      </c>
      <c r="M343">
        <f t="shared" si="27"/>
        <v>386.4</v>
      </c>
      <c r="N343" t="str">
        <f t="shared" si="28"/>
        <v>SUFICIENTE</v>
      </c>
      <c r="O343">
        <f t="shared" si="29"/>
        <v>0</v>
      </c>
    </row>
    <row r="344" spans="1:15" x14ac:dyDescent="0.45">
      <c r="A344" t="str">
        <v>CD-HER</v>
      </c>
      <c r="B344" t="str">
        <v>ABA-1019</v>
      </c>
      <c r="C344">
        <v>1592</v>
      </c>
      <c r="D344">
        <v>201.5</v>
      </c>
      <c r="E344">
        <v>22.6</v>
      </c>
      <c r="F344">
        <v>3.3</v>
      </c>
      <c r="G344">
        <v>1.2</v>
      </c>
      <c r="H344" t="str">
        <v>OK</v>
      </c>
      <c r="J344">
        <f t="shared" si="25"/>
        <v>4484.9000000000005</v>
      </c>
      <c r="K344">
        <f>SUMIF(Supply_Clean[Item_Code], B344, Supply_Clean[Available_Supply])</f>
        <v>12013</v>
      </c>
      <c r="L344">
        <f t="shared" si="26"/>
        <v>1</v>
      </c>
      <c r="M344">
        <f t="shared" si="27"/>
        <v>201.5</v>
      </c>
      <c r="N344" t="str">
        <f t="shared" si="28"/>
        <v>SUFICIENTE</v>
      </c>
      <c r="O344">
        <f t="shared" si="29"/>
        <v>0</v>
      </c>
    </row>
    <row r="345" spans="1:15" x14ac:dyDescent="0.45">
      <c r="A345" t="str">
        <v>CD-MER</v>
      </c>
      <c r="B345" t="str">
        <v>BEB-1017</v>
      </c>
      <c r="C345">
        <v>4261</v>
      </c>
      <c r="D345">
        <v>241.4</v>
      </c>
      <c r="E345">
        <v>28</v>
      </c>
      <c r="F345">
        <v>5</v>
      </c>
      <c r="G345">
        <v>1.3</v>
      </c>
      <c r="H345" t="str">
        <v>OK</v>
      </c>
      <c r="J345">
        <f t="shared" si="25"/>
        <v>6231.7000000000007</v>
      </c>
      <c r="K345">
        <f>SUMIF(Supply_Clean[Item_Code], B345, Supply_Clean[Available_Supply])</f>
        <v>18257</v>
      </c>
      <c r="L345">
        <f t="shared" si="26"/>
        <v>1</v>
      </c>
      <c r="M345">
        <f t="shared" si="27"/>
        <v>241.4</v>
      </c>
      <c r="N345" t="str">
        <f t="shared" si="28"/>
        <v>SUFICIENTE</v>
      </c>
      <c r="O345">
        <f t="shared" si="29"/>
        <v>0</v>
      </c>
    </row>
    <row r="346" spans="1:15" x14ac:dyDescent="0.45">
      <c r="A346" t="str">
        <v>CD-QRO</v>
      </c>
      <c r="B346" t="str">
        <v>PRO-1003</v>
      </c>
      <c r="C346">
        <v>3599</v>
      </c>
      <c r="D346">
        <v>321.10000000000002</v>
      </c>
      <c r="E346">
        <v>185.6</v>
      </c>
      <c r="F346">
        <v>1.5</v>
      </c>
      <c r="G346">
        <v>0.4</v>
      </c>
      <c r="H346" t="str">
        <v>OK</v>
      </c>
      <c r="J346">
        <f t="shared" si="25"/>
        <v>6234.9</v>
      </c>
      <c r="K346">
        <f>SUMIF(Supply_Clean[Item_Code], B346, Supply_Clean[Available_Supply])</f>
        <v>10658</v>
      </c>
      <c r="L346">
        <f t="shared" si="26"/>
        <v>1</v>
      </c>
      <c r="M346">
        <f t="shared" si="27"/>
        <v>321.10000000000002</v>
      </c>
      <c r="N346" t="str">
        <f t="shared" si="28"/>
        <v>SUFICIENTE</v>
      </c>
      <c r="O346">
        <f t="shared" si="29"/>
        <v>0</v>
      </c>
    </row>
    <row r="347" spans="1:15" x14ac:dyDescent="0.45">
      <c r="A347" t="str">
        <v>CD-MTY</v>
      </c>
      <c r="B347" t="str">
        <v>PRO-1008</v>
      </c>
      <c r="C347">
        <v>5719</v>
      </c>
      <c r="D347">
        <v>415</v>
      </c>
      <c r="E347">
        <v>237.7</v>
      </c>
      <c r="F347">
        <v>0.6</v>
      </c>
      <c r="G347">
        <v>0.3</v>
      </c>
      <c r="H347" t="str">
        <v>OK</v>
      </c>
      <c r="J347">
        <f t="shared" si="25"/>
        <v>5551.5999999999995</v>
      </c>
      <c r="K347">
        <f>SUMIF(Supply_Clean[Item_Code], B347, Supply_Clean[Available_Supply])</f>
        <v>9738</v>
      </c>
      <c r="L347">
        <f t="shared" si="26"/>
        <v>1</v>
      </c>
      <c r="M347">
        <f t="shared" si="27"/>
        <v>415</v>
      </c>
      <c r="N347" t="str">
        <f t="shared" si="28"/>
        <v>SUFICIENTE</v>
      </c>
      <c r="O347">
        <f t="shared" si="29"/>
        <v>0</v>
      </c>
    </row>
    <row r="348" spans="1:15" x14ac:dyDescent="0.45">
      <c r="A348" t="str">
        <v>CD-HER</v>
      </c>
      <c r="B348" t="str">
        <v>BOT-1015</v>
      </c>
      <c r="C348">
        <v>5824</v>
      </c>
      <c r="D348">
        <v>698.8</v>
      </c>
      <c r="E348">
        <v>188.5</v>
      </c>
      <c r="F348">
        <v>4.2</v>
      </c>
      <c r="G348">
        <v>1.2</v>
      </c>
      <c r="H348" t="str">
        <v>OK</v>
      </c>
      <c r="J348">
        <f t="shared" si="25"/>
        <v>8666.4</v>
      </c>
      <c r="K348">
        <f>SUMIF(Supply_Clean[Item_Code], B348, Supply_Clean[Available_Supply])</f>
        <v>5719</v>
      </c>
      <c r="L348">
        <f t="shared" si="26"/>
        <v>0.65990492015138935</v>
      </c>
      <c r="M348">
        <f t="shared" si="27"/>
        <v>461.14155820179087</v>
      </c>
      <c r="N348" t="str">
        <f t="shared" si="28"/>
        <v>ESCASEZ</v>
      </c>
      <c r="O348">
        <f t="shared" si="29"/>
        <v>237.65844179820908</v>
      </c>
    </row>
    <row r="349" spans="1:15" x14ac:dyDescent="0.45">
      <c r="A349" t="str">
        <v>CD-HER</v>
      </c>
      <c r="B349" t="str">
        <v>BEB-1010</v>
      </c>
      <c r="C349">
        <v>11002</v>
      </c>
      <c r="D349">
        <v>755.1</v>
      </c>
      <c r="E349">
        <v>124</v>
      </c>
      <c r="F349">
        <v>6.2</v>
      </c>
      <c r="G349">
        <v>1.2</v>
      </c>
      <c r="H349" t="str">
        <v>OK</v>
      </c>
      <c r="J349">
        <f t="shared" si="25"/>
        <v>4470.2999999999993</v>
      </c>
      <c r="K349">
        <f>SUMIF(Supply_Clean[Item_Code], B349, Supply_Clean[Available_Supply])</f>
        <v>3237</v>
      </c>
      <c r="L349">
        <f t="shared" si="26"/>
        <v>0.7241124756727737</v>
      </c>
      <c r="M349">
        <f t="shared" si="27"/>
        <v>546.77733038051144</v>
      </c>
      <c r="N349" t="str">
        <f t="shared" si="28"/>
        <v>ESCASEZ</v>
      </c>
      <c r="O349">
        <f t="shared" si="29"/>
        <v>208.32266961948858</v>
      </c>
    </row>
    <row r="350" spans="1:15" x14ac:dyDescent="0.45">
      <c r="A350" t="str">
        <v>CD-QRO</v>
      </c>
      <c r="B350" t="str">
        <v>PRO-1007</v>
      </c>
      <c r="C350">
        <v>2667</v>
      </c>
      <c r="D350">
        <v>306.39999999999998</v>
      </c>
      <c r="E350">
        <v>146.6</v>
      </c>
      <c r="F350">
        <v>2.2999999999999998</v>
      </c>
      <c r="G350">
        <v>0.4</v>
      </c>
      <c r="H350" t="str">
        <v>OK</v>
      </c>
      <c r="J350">
        <f t="shared" si="25"/>
        <v>5354.8</v>
      </c>
      <c r="K350">
        <f>SUMIF(Supply_Clean[Item_Code], B350, Supply_Clean[Available_Supply])</f>
        <v>10360</v>
      </c>
      <c r="L350">
        <f t="shared" si="26"/>
        <v>1</v>
      </c>
      <c r="M350">
        <f t="shared" si="27"/>
        <v>306.39999999999998</v>
      </c>
      <c r="N350" t="str">
        <f t="shared" si="28"/>
        <v>SUFICIENTE</v>
      </c>
      <c r="O350">
        <f t="shared" si="29"/>
        <v>0</v>
      </c>
    </row>
    <row r="351" spans="1:15" x14ac:dyDescent="0.45">
      <c r="A351" t="str">
        <v>CD-SAL</v>
      </c>
      <c r="B351" t="str">
        <v>PRO-1004</v>
      </c>
      <c r="C351">
        <v>6991</v>
      </c>
      <c r="D351">
        <v>510.1</v>
      </c>
      <c r="E351">
        <v>273.3</v>
      </c>
      <c r="F351">
        <v>2.2000000000000002</v>
      </c>
      <c r="G351">
        <v>0.5</v>
      </c>
      <c r="H351" t="str">
        <v>OK</v>
      </c>
      <c r="J351">
        <f t="shared" si="25"/>
        <v>5295.1999999999989</v>
      </c>
      <c r="K351">
        <f>SUMIF(Supply_Clean[Item_Code], B351, Supply_Clean[Available_Supply])</f>
        <v>13057</v>
      </c>
      <c r="L351">
        <f t="shared" si="26"/>
        <v>1</v>
      </c>
      <c r="M351">
        <f t="shared" si="27"/>
        <v>510.1</v>
      </c>
      <c r="N351" t="str">
        <f t="shared" si="28"/>
        <v>SUFICIENTE</v>
      </c>
      <c r="O351">
        <f t="shared" si="29"/>
        <v>0</v>
      </c>
    </row>
    <row r="352" spans="1:15" x14ac:dyDescent="0.45">
      <c r="A352" t="str">
        <v>CD-MTY</v>
      </c>
      <c r="B352" t="str">
        <v>PRO-1006</v>
      </c>
      <c r="C352">
        <v>3221</v>
      </c>
      <c r="D352">
        <v>201.9</v>
      </c>
      <c r="E352">
        <v>111.4</v>
      </c>
      <c r="F352">
        <v>0.9</v>
      </c>
      <c r="G352">
        <v>0.3</v>
      </c>
      <c r="H352" t="str">
        <v>OK</v>
      </c>
      <c r="J352">
        <f t="shared" si="25"/>
        <v>5801.8</v>
      </c>
      <c r="K352">
        <f>SUMIF(Supply_Clean[Item_Code], B352, Supply_Clean[Available_Supply])</f>
        <v>9270</v>
      </c>
      <c r="L352">
        <f t="shared" si="26"/>
        <v>1</v>
      </c>
      <c r="M352">
        <f t="shared" si="27"/>
        <v>201.9</v>
      </c>
      <c r="N352" t="str">
        <f t="shared" si="28"/>
        <v>SUFICIENTE</v>
      </c>
      <c r="O352">
        <f t="shared" si="29"/>
        <v>0</v>
      </c>
    </row>
    <row r="353" spans="1:15" x14ac:dyDescent="0.45">
      <c r="A353" t="str">
        <v>CD-MTY</v>
      </c>
      <c r="B353" t="str">
        <v>PRO-1000</v>
      </c>
      <c r="C353">
        <v>3364</v>
      </c>
      <c r="D353">
        <v>481.5</v>
      </c>
      <c r="E353">
        <v>321.7</v>
      </c>
      <c r="F353">
        <v>0.9</v>
      </c>
      <c r="G353">
        <v>0.3</v>
      </c>
      <c r="H353" t="str">
        <v>OK</v>
      </c>
      <c r="J353">
        <f t="shared" si="25"/>
        <v>5872.7</v>
      </c>
      <c r="K353">
        <f>SUMIF(Supply_Clean[Item_Code], B353, Supply_Clean[Available_Supply])</f>
        <v>2915</v>
      </c>
      <c r="L353">
        <f t="shared" si="26"/>
        <v>0.49636453420062326</v>
      </c>
      <c r="M353">
        <f t="shared" si="27"/>
        <v>238.99952321760011</v>
      </c>
      <c r="N353" t="str">
        <f t="shared" si="28"/>
        <v>ESCASEZ</v>
      </c>
      <c r="O353">
        <f t="shared" si="29"/>
        <v>242.50047678239989</v>
      </c>
    </row>
    <row r="354" spans="1:15" x14ac:dyDescent="0.45">
      <c r="A354" t="str">
        <v>CD-CDMX</v>
      </c>
      <c r="B354" t="str">
        <v>LAC-1001</v>
      </c>
      <c r="C354">
        <v>0</v>
      </c>
      <c r="D354">
        <v>169.1</v>
      </c>
      <c r="E354">
        <v>61</v>
      </c>
      <c r="F354">
        <v>1</v>
      </c>
      <c r="G354">
        <v>0.2</v>
      </c>
      <c r="H354">
        <v>0</v>
      </c>
      <c r="J354">
        <f t="shared" si="25"/>
        <v>3660.9999999999991</v>
      </c>
      <c r="K354">
        <f>SUMIF(Supply_Clean[Item_Code], B354, Supply_Clean[Available_Supply])</f>
        <v>9945</v>
      </c>
      <c r="L354">
        <f t="shared" si="26"/>
        <v>1</v>
      </c>
      <c r="M354">
        <f t="shared" si="27"/>
        <v>169.1</v>
      </c>
      <c r="N354" t="str">
        <f t="shared" si="28"/>
        <v>SUFICIENTE</v>
      </c>
      <c r="O354">
        <f t="shared" si="29"/>
        <v>0</v>
      </c>
    </row>
    <row r="355" spans="1:15" x14ac:dyDescent="0.45">
      <c r="A355" t="str">
        <v>CD-PUE</v>
      </c>
      <c r="B355" t="str">
        <v>BEB-1002</v>
      </c>
      <c r="C355">
        <v>9966</v>
      </c>
      <c r="D355">
        <v>671.5</v>
      </c>
      <c r="E355">
        <v>80.400000000000006</v>
      </c>
      <c r="F355">
        <v>0.7</v>
      </c>
      <c r="G355">
        <v>0.3</v>
      </c>
      <c r="H355" t="str">
        <v>OK</v>
      </c>
      <c r="J355">
        <f t="shared" si="25"/>
        <v>6246.8</v>
      </c>
      <c r="K355">
        <f>SUMIF(Supply_Clean[Item_Code], B355, Supply_Clean[Available_Supply])</f>
        <v>13052</v>
      </c>
      <c r="L355">
        <f t="shared" si="26"/>
        <v>1</v>
      </c>
      <c r="M355">
        <f t="shared" si="27"/>
        <v>671.5</v>
      </c>
      <c r="N355" t="str">
        <f t="shared" si="28"/>
        <v>SUFICIENTE</v>
      </c>
      <c r="O355">
        <f t="shared" si="29"/>
        <v>0</v>
      </c>
    </row>
    <row r="356" spans="1:15" x14ac:dyDescent="0.45">
      <c r="A356" t="str">
        <v>CD-TIJ</v>
      </c>
      <c r="B356" t="str">
        <v>PRO-1004</v>
      </c>
      <c r="C356">
        <v>4008</v>
      </c>
      <c r="D356">
        <v>614.9</v>
      </c>
      <c r="E356">
        <v>273.89999999999998</v>
      </c>
      <c r="F356">
        <v>5.2</v>
      </c>
      <c r="G356">
        <v>1.5</v>
      </c>
      <c r="H356" t="str">
        <v>OK</v>
      </c>
      <c r="J356">
        <f t="shared" si="25"/>
        <v>5295.1999999999989</v>
      </c>
      <c r="K356">
        <f>SUMIF(Supply_Clean[Item_Code], B356, Supply_Clean[Available_Supply])</f>
        <v>13057</v>
      </c>
      <c r="L356">
        <f t="shared" si="26"/>
        <v>1</v>
      </c>
      <c r="M356">
        <f t="shared" si="27"/>
        <v>614.9</v>
      </c>
      <c r="N356" t="str">
        <f t="shared" si="28"/>
        <v>SUFICIENTE</v>
      </c>
      <c r="O356">
        <f t="shared" si="29"/>
        <v>0</v>
      </c>
    </row>
    <row r="357" spans="1:15" x14ac:dyDescent="0.45">
      <c r="A357" t="str">
        <v>CD-GDL</v>
      </c>
      <c r="B357" t="str">
        <v>BOT-1020</v>
      </c>
      <c r="C357">
        <v>3913</v>
      </c>
      <c r="D357">
        <v>370.7</v>
      </c>
      <c r="E357">
        <v>91</v>
      </c>
      <c r="F357">
        <v>1</v>
      </c>
      <c r="G357">
        <v>0.2</v>
      </c>
      <c r="H357" t="str">
        <v>OK</v>
      </c>
      <c r="J357">
        <f t="shared" si="25"/>
        <v>7693.4</v>
      </c>
      <c r="K357">
        <f>SUMIF(Supply_Clean[Item_Code], B357, Supply_Clean[Available_Supply])</f>
        <v>20558</v>
      </c>
      <c r="L357">
        <f t="shared" si="26"/>
        <v>1</v>
      </c>
      <c r="M357">
        <f t="shared" si="27"/>
        <v>370.7</v>
      </c>
      <c r="N357" t="str">
        <f t="shared" si="28"/>
        <v>SUFICIENTE</v>
      </c>
      <c r="O357">
        <f t="shared" si="29"/>
        <v>0</v>
      </c>
    </row>
    <row r="358" spans="1:15" x14ac:dyDescent="0.45">
      <c r="A358" t="str">
        <v>CD-MTY</v>
      </c>
      <c r="B358" t="str">
        <v>BOT-1020</v>
      </c>
      <c r="C358">
        <v>6964</v>
      </c>
      <c r="D358">
        <v>406.9</v>
      </c>
      <c r="E358">
        <v>110.7</v>
      </c>
      <c r="F358">
        <v>1.5</v>
      </c>
      <c r="G358">
        <v>0.3</v>
      </c>
      <c r="H358" t="str">
        <v>OK</v>
      </c>
      <c r="J358">
        <f t="shared" si="25"/>
        <v>7693.4</v>
      </c>
      <c r="K358">
        <f>SUMIF(Supply_Clean[Item_Code], B358, Supply_Clean[Available_Supply])</f>
        <v>20558</v>
      </c>
      <c r="L358">
        <f t="shared" si="26"/>
        <v>1</v>
      </c>
      <c r="M358">
        <f t="shared" si="27"/>
        <v>406.9</v>
      </c>
      <c r="N358" t="str">
        <f t="shared" si="28"/>
        <v>SUFICIENTE</v>
      </c>
      <c r="O358">
        <f t="shared" si="29"/>
        <v>0</v>
      </c>
    </row>
    <row r="359" spans="1:15" x14ac:dyDescent="0.45">
      <c r="A359" t="str">
        <v>CD-TIJ</v>
      </c>
      <c r="B359" t="str">
        <v>ABA-1014</v>
      </c>
      <c r="C359">
        <v>2716</v>
      </c>
      <c r="D359">
        <v>352.2</v>
      </c>
      <c r="E359">
        <v>50.8</v>
      </c>
      <c r="F359">
        <v>5.2</v>
      </c>
      <c r="G359">
        <v>1.5</v>
      </c>
      <c r="H359" t="str">
        <v>OK</v>
      </c>
      <c r="J359">
        <f t="shared" si="25"/>
        <v>4779.0000000000009</v>
      </c>
      <c r="K359">
        <f>SUMIF(Supply_Clean[Item_Code], B359, Supply_Clean[Available_Supply])</f>
        <v>14629</v>
      </c>
      <c r="L359">
        <f t="shared" si="26"/>
        <v>1</v>
      </c>
      <c r="M359">
        <f t="shared" si="27"/>
        <v>352.2</v>
      </c>
      <c r="N359" t="str">
        <f t="shared" si="28"/>
        <v>SUFICIENTE</v>
      </c>
      <c r="O359">
        <f t="shared" si="29"/>
        <v>0</v>
      </c>
    </row>
    <row r="360" spans="1:15" x14ac:dyDescent="0.45">
      <c r="A360" t="str">
        <v>CD-MOR</v>
      </c>
      <c r="B360" t="str">
        <v>ABA-1019</v>
      </c>
      <c r="C360">
        <v>1933</v>
      </c>
      <c r="D360">
        <v>283.2</v>
      </c>
      <c r="E360">
        <v>31.7</v>
      </c>
      <c r="F360">
        <v>0.8</v>
      </c>
      <c r="G360">
        <v>0.5</v>
      </c>
      <c r="H360" t="str">
        <v>OK</v>
      </c>
      <c r="J360">
        <f t="shared" si="25"/>
        <v>4484.9000000000005</v>
      </c>
      <c r="K360">
        <f>SUMIF(Supply_Clean[Item_Code], B360, Supply_Clean[Available_Supply])</f>
        <v>12013</v>
      </c>
      <c r="L360">
        <f t="shared" si="26"/>
        <v>1</v>
      </c>
      <c r="M360">
        <f t="shared" si="27"/>
        <v>283.2</v>
      </c>
      <c r="N360" t="str">
        <f t="shared" si="28"/>
        <v>SUFICIENTE</v>
      </c>
      <c r="O360">
        <f t="shared" si="29"/>
        <v>0</v>
      </c>
    </row>
    <row r="361" spans="1:15" x14ac:dyDescent="0.45">
      <c r="A361" t="str">
        <v>CD-MOR</v>
      </c>
      <c r="B361" t="str">
        <v>ABA-1000</v>
      </c>
      <c r="C361">
        <v>2178</v>
      </c>
      <c r="D361">
        <v>267.7</v>
      </c>
      <c r="E361">
        <v>25.1</v>
      </c>
      <c r="F361">
        <v>2.2999999999999998</v>
      </c>
      <c r="G361">
        <v>0.5</v>
      </c>
      <c r="H361" t="str">
        <v>OK</v>
      </c>
      <c r="J361">
        <f t="shared" si="25"/>
        <v>4722.2</v>
      </c>
      <c r="K361">
        <f>SUMIF(Supply_Clean[Item_Code], B361, Supply_Clean[Available_Supply])</f>
        <v>10731</v>
      </c>
      <c r="L361">
        <f t="shared" si="26"/>
        <v>1</v>
      </c>
      <c r="M361">
        <f t="shared" si="27"/>
        <v>267.7</v>
      </c>
      <c r="N361" t="str">
        <f t="shared" si="28"/>
        <v>SUFICIENTE</v>
      </c>
      <c r="O361">
        <f t="shared" si="29"/>
        <v>0</v>
      </c>
    </row>
    <row r="362" spans="1:15" x14ac:dyDescent="0.45">
      <c r="A362" t="str">
        <v>CD-QRO</v>
      </c>
      <c r="B362" t="str">
        <v>BEB-1020</v>
      </c>
      <c r="C362">
        <v>4765</v>
      </c>
      <c r="D362">
        <v>290.5</v>
      </c>
      <c r="E362">
        <v>37.6</v>
      </c>
      <c r="F362">
        <v>2.8</v>
      </c>
      <c r="G362">
        <v>0.4</v>
      </c>
      <c r="H362" t="str">
        <v>OK</v>
      </c>
      <c r="J362">
        <f t="shared" si="25"/>
        <v>6114.4000000000005</v>
      </c>
      <c r="K362">
        <f>SUMIF(Supply_Clean[Item_Code], B362, Supply_Clean[Available_Supply])</f>
        <v>16621</v>
      </c>
      <c r="L362">
        <f t="shared" si="26"/>
        <v>1</v>
      </c>
      <c r="M362">
        <f t="shared" si="27"/>
        <v>290.5</v>
      </c>
      <c r="N362" t="str">
        <f t="shared" si="28"/>
        <v>SUFICIENTE</v>
      </c>
      <c r="O362">
        <f t="shared" si="29"/>
        <v>0</v>
      </c>
    </row>
    <row r="363" spans="1:15" x14ac:dyDescent="0.45">
      <c r="A363" t="str">
        <v>CD-CDMX</v>
      </c>
      <c r="B363" t="str">
        <v>PRO-1011</v>
      </c>
      <c r="C363">
        <v>0</v>
      </c>
      <c r="D363">
        <v>564.5</v>
      </c>
      <c r="E363">
        <v>272.39999999999998</v>
      </c>
      <c r="F363">
        <v>0.7</v>
      </c>
      <c r="G363">
        <v>0.2</v>
      </c>
      <c r="H363">
        <v>0</v>
      </c>
      <c r="J363">
        <f t="shared" si="25"/>
        <v>5674.6999999999989</v>
      </c>
      <c r="K363">
        <f>SUMIF(Supply_Clean[Item_Code], B363, Supply_Clean[Available_Supply])</f>
        <v>14178</v>
      </c>
      <c r="L363">
        <f t="shared" si="26"/>
        <v>1</v>
      </c>
      <c r="M363">
        <f t="shared" si="27"/>
        <v>564.5</v>
      </c>
      <c r="N363" t="str">
        <f t="shared" si="28"/>
        <v>SUFICIENTE</v>
      </c>
      <c r="O363">
        <f t="shared" si="29"/>
        <v>0</v>
      </c>
    </row>
    <row r="364" spans="1:15" x14ac:dyDescent="0.45">
      <c r="A364" t="str">
        <v>CD-LEO</v>
      </c>
      <c r="B364" t="str">
        <v>BOT-1010</v>
      </c>
      <c r="C364">
        <v>2570</v>
      </c>
      <c r="D364">
        <v>280</v>
      </c>
      <c r="E364">
        <v>80.2</v>
      </c>
      <c r="F364">
        <v>1.8</v>
      </c>
      <c r="G364">
        <v>0.6</v>
      </c>
      <c r="H364" t="str">
        <v>OK</v>
      </c>
      <c r="J364">
        <f t="shared" si="25"/>
        <v>7108.7000000000007</v>
      </c>
      <c r="K364">
        <f>SUMIF(Supply_Clean[Item_Code], B364, Supply_Clean[Available_Supply])</f>
        <v>21582</v>
      </c>
      <c r="L364">
        <f t="shared" si="26"/>
        <v>1</v>
      </c>
      <c r="M364">
        <f t="shared" si="27"/>
        <v>280</v>
      </c>
      <c r="N364" t="str">
        <f t="shared" si="28"/>
        <v>SUFICIENTE</v>
      </c>
      <c r="O364">
        <f t="shared" si="29"/>
        <v>0</v>
      </c>
    </row>
    <row r="365" spans="1:15" x14ac:dyDescent="0.45">
      <c r="A365" t="str">
        <v>CD-PUE</v>
      </c>
      <c r="B365" t="str">
        <v>BOT-1020</v>
      </c>
      <c r="C365">
        <v>2535</v>
      </c>
      <c r="D365">
        <v>777</v>
      </c>
      <c r="E365">
        <v>231.9</v>
      </c>
      <c r="F365">
        <v>0.7</v>
      </c>
      <c r="G365">
        <v>0.3</v>
      </c>
      <c r="H365" t="str">
        <v>OK</v>
      </c>
      <c r="J365">
        <f t="shared" si="25"/>
        <v>7693.4</v>
      </c>
      <c r="K365">
        <f>SUMIF(Supply_Clean[Item_Code], B365, Supply_Clean[Available_Supply])</f>
        <v>20558</v>
      </c>
      <c r="L365">
        <f t="shared" si="26"/>
        <v>1</v>
      </c>
      <c r="M365">
        <f t="shared" si="27"/>
        <v>777</v>
      </c>
      <c r="N365" t="str">
        <f t="shared" si="28"/>
        <v>SUFICIENTE</v>
      </c>
      <c r="O365">
        <f t="shared" si="29"/>
        <v>0</v>
      </c>
    </row>
    <row r="366" spans="1:15" x14ac:dyDescent="0.45">
      <c r="A366" t="str">
        <v>CD-QRO</v>
      </c>
      <c r="B366" t="str">
        <v>PRO-1014</v>
      </c>
      <c r="C366">
        <v>2441</v>
      </c>
      <c r="D366">
        <v>214</v>
      </c>
      <c r="E366">
        <v>101.4</v>
      </c>
      <c r="F366">
        <v>2.2000000000000002</v>
      </c>
      <c r="G366">
        <v>0.4</v>
      </c>
      <c r="H366" t="str">
        <v>OK</v>
      </c>
      <c r="J366">
        <f t="shared" si="25"/>
        <v>5634.0999999999995</v>
      </c>
      <c r="K366">
        <f>SUMIF(Supply_Clean[Item_Code], B366, Supply_Clean[Available_Supply])</f>
        <v>16301</v>
      </c>
      <c r="L366">
        <f t="shared" si="26"/>
        <v>1</v>
      </c>
      <c r="M366">
        <f t="shared" si="27"/>
        <v>214</v>
      </c>
      <c r="N366" t="str">
        <f t="shared" si="28"/>
        <v>SUFICIENTE</v>
      </c>
      <c r="O366">
        <f t="shared" si="29"/>
        <v>0</v>
      </c>
    </row>
    <row r="367" spans="1:15" x14ac:dyDescent="0.45">
      <c r="A367" t="str">
        <v>CD-GDL</v>
      </c>
      <c r="B367" t="str">
        <v>PRO-1006</v>
      </c>
      <c r="C367">
        <v>1478</v>
      </c>
      <c r="D367">
        <v>279.10000000000002</v>
      </c>
      <c r="E367">
        <v>132</v>
      </c>
      <c r="F367">
        <v>1.3</v>
      </c>
      <c r="G367">
        <v>0.2</v>
      </c>
      <c r="H367" t="str">
        <v>OK</v>
      </c>
      <c r="J367">
        <f t="shared" si="25"/>
        <v>5801.8</v>
      </c>
      <c r="K367">
        <f>SUMIF(Supply_Clean[Item_Code], B367, Supply_Clean[Available_Supply])</f>
        <v>9270</v>
      </c>
      <c r="L367">
        <f t="shared" si="26"/>
        <v>1</v>
      </c>
      <c r="M367">
        <f t="shared" si="27"/>
        <v>279.10000000000002</v>
      </c>
      <c r="N367" t="str">
        <f t="shared" si="28"/>
        <v>SUFICIENTE</v>
      </c>
      <c r="O367">
        <f t="shared" si="29"/>
        <v>0</v>
      </c>
    </row>
    <row r="368" spans="1:15" x14ac:dyDescent="0.45">
      <c r="A368" t="str">
        <v>CD-MTY</v>
      </c>
      <c r="B368" t="str">
        <v>BEB-1016</v>
      </c>
      <c r="C368">
        <v>9542</v>
      </c>
      <c r="D368">
        <v>564.9</v>
      </c>
      <c r="E368">
        <v>77.5</v>
      </c>
      <c r="F368">
        <v>0.8</v>
      </c>
      <c r="G368">
        <v>0.3</v>
      </c>
      <c r="H368" t="str">
        <v>OK</v>
      </c>
      <c r="J368">
        <f t="shared" si="25"/>
        <v>5569.2000000000007</v>
      </c>
      <c r="K368">
        <f>SUMIF(Supply_Clean[Item_Code], B368, Supply_Clean[Available_Supply])</f>
        <v>14537</v>
      </c>
      <c r="L368">
        <f t="shared" si="26"/>
        <v>1</v>
      </c>
      <c r="M368">
        <f t="shared" si="27"/>
        <v>564.9</v>
      </c>
      <c r="N368" t="str">
        <f t="shared" si="28"/>
        <v>SUFICIENTE</v>
      </c>
      <c r="O368">
        <f t="shared" si="29"/>
        <v>0</v>
      </c>
    </row>
    <row r="369" spans="1:15" x14ac:dyDescent="0.45">
      <c r="A369" t="str">
        <v>CD-MER</v>
      </c>
      <c r="B369" t="str">
        <v>BEB-1008</v>
      </c>
      <c r="C369">
        <v>9465</v>
      </c>
      <c r="D369">
        <v>569.20000000000005</v>
      </c>
      <c r="E369">
        <v>66.2</v>
      </c>
      <c r="F369">
        <v>4.5</v>
      </c>
      <c r="G369">
        <v>1.3</v>
      </c>
      <c r="H369" t="str">
        <v>OK</v>
      </c>
      <c r="J369">
        <f t="shared" si="25"/>
        <v>6156.9999999999991</v>
      </c>
      <c r="K369">
        <f>SUMIF(Supply_Clean[Item_Code], B369, Supply_Clean[Available_Supply])</f>
        <v>18019</v>
      </c>
      <c r="L369">
        <f t="shared" si="26"/>
        <v>1</v>
      </c>
      <c r="M369">
        <f t="shared" si="27"/>
        <v>569.20000000000005</v>
      </c>
      <c r="N369" t="str">
        <f t="shared" si="28"/>
        <v>SUFICIENTE</v>
      </c>
      <c r="O369">
        <f t="shared" si="29"/>
        <v>0</v>
      </c>
    </row>
    <row r="370" spans="1:15" x14ac:dyDescent="0.45">
      <c r="A370" t="str">
        <v>CD-MTY</v>
      </c>
      <c r="B370" t="str">
        <v>ABA-1015</v>
      </c>
      <c r="C370">
        <v>6386</v>
      </c>
      <c r="D370">
        <v>398.3</v>
      </c>
      <c r="E370">
        <v>41.9</v>
      </c>
      <c r="F370">
        <v>0.9</v>
      </c>
      <c r="G370">
        <v>0.3</v>
      </c>
      <c r="H370" t="str">
        <v>OK</v>
      </c>
      <c r="J370">
        <f t="shared" si="25"/>
        <v>3986.4999999999991</v>
      </c>
      <c r="K370">
        <f>SUMIF(Supply_Clean[Item_Code], B370, Supply_Clean[Available_Supply])</f>
        <v>7969</v>
      </c>
      <c r="L370">
        <f t="shared" si="26"/>
        <v>1</v>
      </c>
      <c r="M370">
        <f t="shared" si="27"/>
        <v>398.3</v>
      </c>
      <c r="N370" t="str">
        <f t="shared" si="28"/>
        <v>SUFICIENTE</v>
      </c>
      <c r="O370">
        <f t="shared" si="29"/>
        <v>0</v>
      </c>
    </row>
    <row r="371" spans="1:15" x14ac:dyDescent="0.45">
      <c r="A371" t="str">
        <v>CD-MTY</v>
      </c>
      <c r="B371" t="str">
        <v>BEB-1003</v>
      </c>
      <c r="C371">
        <v>2998</v>
      </c>
      <c r="D371">
        <v>223.2</v>
      </c>
      <c r="E371">
        <v>34.6</v>
      </c>
      <c r="F371">
        <v>1.5</v>
      </c>
      <c r="G371">
        <v>0.3</v>
      </c>
      <c r="H371" t="str">
        <v>OK</v>
      </c>
      <c r="J371">
        <f t="shared" si="25"/>
        <v>5232</v>
      </c>
      <c r="K371">
        <f>SUMIF(Supply_Clean[Item_Code], B371, Supply_Clean[Available_Supply])</f>
        <v>16426</v>
      </c>
      <c r="L371">
        <f t="shared" si="26"/>
        <v>1</v>
      </c>
      <c r="M371">
        <f t="shared" si="27"/>
        <v>223.2</v>
      </c>
      <c r="N371" t="str">
        <f t="shared" si="28"/>
        <v>SUFICIENTE</v>
      </c>
      <c r="O371">
        <f t="shared" si="29"/>
        <v>0</v>
      </c>
    </row>
    <row r="372" spans="1:15" x14ac:dyDescent="0.45">
      <c r="A372" t="str">
        <v>CD-TIJ</v>
      </c>
      <c r="B372" t="str">
        <v>BEB-1003</v>
      </c>
      <c r="C372">
        <v>6626</v>
      </c>
      <c r="D372">
        <v>432</v>
      </c>
      <c r="E372">
        <v>76.099999999999994</v>
      </c>
      <c r="F372">
        <v>1.9</v>
      </c>
      <c r="G372">
        <v>1.5</v>
      </c>
      <c r="H372" t="str">
        <v>OK</v>
      </c>
      <c r="J372">
        <f t="shared" si="25"/>
        <v>5232</v>
      </c>
      <c r="K372">
        <f>SUMIF(Supply_Clean[Item_Code], B372, Supply_Clean[Available_Supply])</f>
        <v>16426</v>
      </c>
      <c r="L372">
        <f t="shared" si="26"/>
        <v>1</v>
      </c>
      <c r="M372">
        <f t="shared" si="27"/>
        <v>432</v>
      </c>
      <c r="N372" t="str">
        <f t="shared" si="28"/>
        <v>SUFICIENTE</v>
      </c>
      <c r="O372">
        <f t="shared" si="29"/>
        <v>0</v>
      </c>
    </row>
    <row r="373" spans="1:15" x14ac:dyDescent="0.45">
      <c r="A373" t="str">
        <v>CD-PUE</v>
      </c>
      <c r="B373" t="str">
        <v>PRO-1015</v>
      </c>
      <c r="C373">
        <v>71</v>
      </c>
      <c r="D373">
        <v>113</v>
      </c>
      <c r="E373">
        <v>68.8</v>
      </c>
      <c r="F373">
        <v>0.7</v>
      </c>
      <c r="G373">
        <v>0.3</v>
      </c>
      <c r="H373" t="str">
        <v>OK</v>
      </c>
      <c r="J373">
        <f t="shared" si="25"/>
        <v>5021.5</v>
      </c>
      <c r="K373">
        <f>SUMIF(Supply_Clean[Item_Code], B373, Supply_Clean[Available_Supply])</f>
        <v>15970</v>
      </c>
      <c r="L373">
        <f t="shared" si="26"/>
        <v>1</v>
      </c>
      <c r="M373">
        <f t="shared" si="27"/>
        <v>113</v>
      </c>
      <c r="N373" t="str">
        <f t="shared" si="28"/>
        <v>SUFICIENTE</v>
      </c>
      <c r="O373">
        <f t="shared" si="29"/>
        <v>0</v>
      </c>
    </row>
    <row r="374" spans="1:15" x14ac:dyDescent="0.45">
      <c r="A374" t="str">
        <v>CD-TOL</v>
      </c>
      <c r="B374" t="str">
        <v>BOT-1006</v>
      </c>
      <c r="C374">
        <v>0</v>
      </c>
      <c r="D374">
        <v>476.8</v>
      </c>
      <c r="E374">
        <v>96.1</v>
      </c>
      <c r="F374">
        <v>0.6</v>
      </c>
      <c r="G374">
        <v>0.5</v>
      </c>
      <c r="H374">
        <v>0</v>
      </c>
      <c r="J374">
        <f t="shared" si="25"/>
        <v>7732.6000000000013</v>
      </c>
      <c r="K374">
        <f>SUMIF(Supply_Clean[Item_Code], B374, Supply_Clean[Available_Supply])</f>
        <v>16401</v>
      </c>
      <c r="L374">
        <f t="shared" si="26"/>
        <v>1</v>
      </c>
      <c r="M374">
        <f t="shared" si="27"/>
        <v>476.8</v>
      </c>
      <c r="N374" t="str">
        <f t="shared" si="28"/>
        <v>SUFICIENTE</v>
      </c>
      <c r="O374">
        <f t="shared" si="29"/>
        <v>0</v>
      </c>
    </row>
    <row r="375" spans="1:15" x14ac:dyDescent="0.45">
      <c r="A375" t="str">
        <v>CD-CHI</v>
      </c>
      <c r="B375" t="str">
        <v>BOT-1000</v>
      </c>
      <c r="C375">
        <v>6351</v>
      </c>
      <c r="D375">
        <v>657</v>
      </c>
      <c r="E375">
        <v>136</v>
      </c>
      <c r="F375">
        <v>3.1</v>
      </c>
      <c r="G375">
        <v>1</v>
      </c>
      <c r="H375" t="str">
        <v>OK</v>
      </c>
      <c r="J375">
        <f t="shared" si="25"/>
        <v>8310.6</v>
      </c>
      <c r="K375">
        <f>SUMIF(Supply_Clean[Item_Code], B375, Supply_Clean[Available_Supply])</f>
        <v>21762</v>
      </c>
      <c r="L375">
        <f t="shared" si="26"/>
        <v>1</v>
      </c>
      <c r="M375">
        <f t="shared" si="27"/>
        <v>657</v>
      </c>
      <c r="N375" t="str">
        <f t="shared" si="28"/>
        <v>SUFICIENTE</v>
      </c>
      <c r="O375">
        <f t="shared" si="29"/>
        <v>0</v>
      </c>
    </row>
    <row r="376" spans="1:15" x14ac:dyDescent="0.45">
      <c r="A376" t="str">
        <v>CD-LEO</v>
      </c>
      <c r="B376" t="str">
        <v>ABA-1003</v>
      </c>
      <c r="C376">
        <v>1104</v>
      </c>
      <c r="D376">
        <v>248.9</v>
      </c>
      <c r="E376">
        <v>26.6</v>
      </c>
      <c r="F376">
        <v>2.8</v>
      </c>
      <c r="G376">
        <v>0.6</v>
      </c>
      <c r="H376" t="str">
        <v>OK</v>
      </c>
      <c r="J376">
        <f t="shared" si="25"/>
        <v>4709.8000000000011</v>
      </c>
      <c r="K376">
        <f>SUMIF(Supply_Clean[Item_Code], B376, Supply_Clean[Available_Supply])</f>
        <v>11700</v>
      </c>
      <c r="L376">
        <f t="shared" si="26"/>
        <v>1</v>
      </c>
      <c r="M376">
        <f t="shared" si="27"/>
        <v>248.9</v>
      </c>
      <c r="N376" t="str">
        <f t="shared" si="28"/>
        <v>SUFICIENTE</v>
      </c>
      <c r="O376">
        <f t="shared" si="29"/>
        <v>0</v>
      </c>
    </row>
    <row r="377" spans="1:15" x14ac:dyDescent="0.45">
      <c r="A377" t="str">
        <v>CD-MOR</v>
      </c>
      <c r="B377" t="str">
        <v>BEB-1020</v>
      </c>
      <c r="C377">
        <v>839</v>
      </c>
      <c r="D377">
        <v>366.9</v>
      </c>
      <c r="E377">
        <v>53.7</v>
      </c>
      <c r="F377">
        <v>1.7</v>
      </c>
      <c r="G377">
        <v>0.5</v>
      </c>
      <c r="H377" t="str">
        <v>OK</v>
      </c>
      <c r="J377">
        <f t="shared" si="25"/>
        <v>6114.4000000000005</v>
      </c>
      <c r="K377">
        <f>SUMIF(Supply_Clean[Item_Code], B377, Supply_Clean[Available_Supply])</f>
        <v>16621</v>
      </c>
      <c r="L377">
        <f t="shared" si="26"/>
        <v>1</v>
      </c>
      <c r="M377">
        <f t="shared" si="27"/>
        <v>366.9</v>
      </c>
      <c r="N377" t="str">
        <f t="shared" si="28"/>
        <v>SUFICIENTE</v>
      </c>
      <c r="O377">
        <f t="shared" si="29"/>
        <v>0</v>
      </c>
    </row>
    <row r="378" spans="1:15" x14ac:dyDescent="0.45">
      <c r="A378" t="str">
        <v>CD-VER</v>
      </c>
      <c r="B378" t="str">
        <v>PRO-1003</v>
      </c>
      <c r="C378">
        <v>4906</v>
      </c>
      <c r="D378">
        <v>333.3</v>
      </c>
      <c r="E378">
        <v>202.5</v>
      </c>
      <c r="F378">
        <v>2.2999999999999998</v>
      </c>
      <c r="G378">
        <v>0.9</v>
      </c>
      <c r="H378" t="str">
        <v>OK</v>
      </c>
      <c r="J378">
        <f t="shared" si="25"/>
        <v>6234.9</v>
      </c>
      <c r="K378">
        <f>SUMIF(Supply_Clean[Item_Code], B378, Supply_Clean[Available_Supply])</f>
        <v>10658</v>
      </c>
      <c r="L378">
        <f t="shared" si="26"/>
        <v>1</v>
      </c>
      <c r="M378">
        <f t="shared" si="27"/>
        <v>333.3</v>
      </c>
      <c r="N378" t="str">
        <f t="shared" si="28"/>
        <v>SUFICIENTE</v>
      </c>
      <c r="O378">
        <f t="shared" si="29"/>
        <v>0</v>
      </c>
    </row>
    <row r="379" spans="1:15" x14ac:dyDescent="0.45">
      <c r="A379" t="str">
        <v>CD-CHI</v>
      </c>
      <c r="B379" t="str">
        <v>BOT-1022</v>
      </c>
      <c r="C379">
        <v>11478</v>
      </c>
      <c r="D379">
        <v>903</v>
      </c>
      <c r="E379">
        <v>207.6</v>
      </c>
      <c r="F379">
        <v>1.8</v>
      </c>
      <c r="G379">
        <v>1</v>
      </c>
      <c r="H379" t="str">
        <v>OK</v>
      </c>
      <c r="J379">
        <f t="shared" si="25"/>
        <v>9197.7000000000007</v>
      </c>
      <c r="K379">
        <f>SUMIF(Supply_Clean[Item_Code], B379, Supply_Clean[Available_Supply])</f>
        <v>23862</v>
      </c>
      <c r="L379">
        <f t="shared" si="26"/>
        <v>1</v>
      </c>
      <c r="M379">
        <f t="shared" si="27"/>
        <v>903</v>
      </c>
      <c r="N379" t="str">
        <f t="shared" si="28"/>
        <v>SUFICIENTE</v>
      </c>
      <c r="O379">
        <f t="shared" si="29"/>
        <v>0</v>
      </c>
    </row>
    <row r="380" spans="1:15" x14ac:dyDescent="0.45">
      <c r="A380" t="str">
        <v>CD-VER</v>
      </c>
      <c r="B380" t="str">
        <v>BEB-1020</v>
      </c>
      <c r="C380">
        <v>7478</v>
      </c>
      <c r="D380">
        <v>450.2</v>
      </c>
      <c r="E380">
        <v>84.9</v>
      </c>
      <c r="F380">
        <v>3.1</v>
      </c>
      <c r="G380">
        <v>0.9</v>
      </c>
      <c r="H380" t="str">
        <v>OK</v>
      </c>
      <c r="J380">
        <f t="shared" si="25"/>
        <v>6114.4000000000005</v>
      </c>
      <c r="K380">
        <f>SUMIF(Supply_Clean[Item_Code], B380, Supply_Clean[Available_Supply])</f>
        <v>16621</v>
      </c>
      <c r="L380">
        <f t="shared" si="26"/>
        <v>1</v>
      </c>
      <c r="M380">
        <f t="shared" si="27"/>
        <v>450.2</v>
      </c>
      <c r="N380" t="str">
        <f t="shared" si="28"/>
        <v>SUFICIENTE</v>
      </c>
      <c r="O380">
        <f t="shared" si="29"/>
        <v>0</v>
      </c>
    </row>
    <row r="381" spans="1:15" x14ac:dyDescent="0.45">
      <c r="A381" t="str">
        <v>CD-TIJ</v>
      </c>
      <c r="B381" t="str">
        <v>PRO-1014</v>
      </c>
      <c r="C381">
        <v>3802</v>
      </c>
      <c r="D381">
        <v>405.1</v>
      </c>
      <c r="E381">
        <v>262.60000000000002</v>
      </c>
      <c r="F381">
        <v>6.6</v>
      </c>
      <c r="G381">
        <v>1.5</v>
      </c>
      <c r="H381" t="str">
        <v>OK</v>
      </c>
      <c r="J381">
        <f t="shared" si="25"/>
        <v>5634.0999999999995</v>
      </c>
      <c r="K381">
        <f>SUMIF(Supply_Clean[Item_Code], B381, Supply_Clean[Available_Supply])</f>
        <v>16301</v>
      </c>
      <c r="L381">
        <f t="shared" si="26"/>
        <v>1</v>
      </c>
      <c r="M381">
        <f t="shared" si="27"/>
        <v>405.1</v>
      </c>
      <c r="N381" t="str">
        <f t="shared" si="28"/>
        <v>SUFICIENTE</v>
      </c>
      <c r="O381">
        <f t="shared" si="29"/>
        <v>0</v>
      </c>
    </row>
    <row r="382" spans="1:15" x14ac:dyDescent="0.45">
      <c r="A382" t="str">
        <v>CD-TIJ</v>
      </c>
      <c r="B382" t="str">
        <v>BOT-1003</v>
      </c>
      <c r="C382">
        <v>3086</v>
      </c>
      <c r="D382">
        <v>475.2</v>
      </c>
      <c r="E382">
        <v>87.8</v>
      </c>
      <c r="F382">
        <v>5.0999999999999996</v>
      </c>
      <c r="G382">
        <v>1.5</v>
      </c>
      <c r="H382" t="str">
        <v>OK</v>
      </c>
      <c r="J382">
        <f t="shared" si="25"/>
        <v>8902.7999999999993</v>
      </c>
      <c r="K382">
        <f>SUMIF(Supply_Clean[Item_Code], B382, Supply_Clean[Available_Supply])</f>
        <v>24326</v>
      </c>
      <c r="L382">
        <f t="shared" si="26"/>
        <v>1</v>
      </c>
      <c r="M382">
        <f t="shared" si="27"/>
        <v>475.2</v>
      </c>
      <c r="N382" t="str">
        <f t="shared" si="28"/>
        <v>SUFICIENTE</v>
      </c>
      <c r="O382">
        <f t="shared" si="29"/>
        <v>0</v>
      </c>
    </row>
    <row r="383" spans="1:15" x14ac:dyDescent="0.45">
      <c r="A383" t="str">
        <v>CD-MTY</v>
      </c>
      <c r="B383" t="str">
        <v>BEB-1009</v>
      </c>
      <c r="C383">
        <v>2244</v>
      </c>
      <c r="D383">
        <v>487.1</v>
      </c>
      <c r="E383">
        <v>80.8</v>
      </c>
      <c r="F383">
        <v>0.9</v>
      </c>
      <c r="G383">
        <v>0.3</v>
      </c>
      <c r="H383" t="str">
        <v>OK</v>
      </c>
      <c r="J383">
        <f t="shared" si="25"/>
        <v>6226.9000000000005</v>
      </c>
      <c r="K383">
        <f>SUMIF(Supply_Clean[Item_Code], B383, Supply_Clean[Available_Supply])</f>
        <v>10475</v>
      </c>
      <c r="L383">
        <f t="shared" si="26"/>
        <v>1</v>
      </c>
      <c r="M383">
        <f t="shared" si="27"/>
        <v>487.1</v>
      </c>
      <c r="N383" t="str">
        <f t="shared" si="28"/>
        <v>SUFICIENTE</v>
      </c>
      <c r="O383">
        <f t="shared" si="29"/>
        <v>0</v>
      </c>
    </row>
    <row r="384" spans="1:15" x14ac:dyDescent="0.45">
      <c r="A384" t="str">
        <v>CD-CAN</v>
      </c>
      <c r="B384" t="str">
        <v>BOT-1006</v>
      </c>
      <c r="C384">
        <v>3638</v>
      </c>
      <c r="D384">
        <v>433</v>
      </c>
      <c r="E384">
        <v>78.599999999999994</v>
      </c>
      <c r="F384">
        <v>2.4</v>
      </c>
      <c r="G384">
        <v>1.6</v>
      </c>
      <c r="H384" t="str">
        <v>OK</v>
      </c>
      <c r="J384">
        <f t="shared" si="25"/>
        <v>7732.6000000000013</v>
      </c>
      <c r="K384">
        <f>SUMIF(Supply_Clean[Item_Code], B384, Supply_Clean[Available_Supply])</f>
        <v>16401</v>
      </c>
      <c r="L384">
        <f t="shared" si="26"/>
        <v>1</v>
      </c>
      <c r="M384">
        <f t="shared" si="27"/>
        <v>433</v>
      </c>
      <c r="N384" t="str">
        <f t="shared" si="28"/>
        <v>SUFICIENTE</v>
      </c>
      <c r="O384">
        <f t="shared" si="29"/>
        <v>0</v>
      </c>
    </row>
    <row r="385" spans="1:15" x14ac:dyDescent="0.45">
      <c r="A385" t="str">
        <v>CD-GDL</v>
      </c>
      <c r="B385" t="str">
        <v>ABA-1003</v>
      </c>
      <c r="C385">
        <v>8676</v>
      </c>
      <c r="D385">
        <v>505.8</v>
      </c>
      <c r="E385">
        <v>54.6</v>
      </c>
      <c r="F385">
        <v>1.2</v>
      </c>
      <c r="G385">
        <v>0.2</v>
      </c>
      <c r="H385" t="str">
        <v>OK</v>
      </c>
      <c r="J385">
        <f t="shared" si="25"/>
        <v>4709.8000000000011</v>
      </c>
      <c r="K385">
        <f>SUMIF(Supply_Clean[Item_Code], B385, Supply_Clean[Available_Supply])</f>
        <v>11700</v>
      </c>
      <c r="L385">
        <f t="shared" si="26"/>
        <v>1</v>
      </c>
      <c r="M385">
        <f t="shared" si="27"/>
        <v>505.8</v>
      </c>
      <c r="N385" t="str">
        <f t="shared" si="28"/>
        <v>SUFICIENTE</v>
      </c>
      <c r="O385">
        <f t="shared" si="29"/>
        <v>0</v>
      </c>
    </row>
    <row r="386" spans="1:15" x14ac:dyDescent="0.45">
      <c r="A386" t="str">
        <v>CD-MER</v>
      </c>
      <c r="B386" t="str">
        <v>PRO-1011</v>
      </c>
      <c r="C386">
        <v>4003</v>
      </c>
      <c r="D386">
        <v>508.8</v>
      </c>
      <c r="E386">
        <v>208.6</v>
      </c>
      <c r="F386">
        <v>3.4</v>
      </c>
      <c r="G386">
        <v>1.3</v>
      </c>
      <c r="H386" t="str">
        <v>OK</v>
      </c>
      <c r="J386">
        <f t="shared" si="25"/>
        <v>5674.6999999999989</v>
      </c>
      <c r="K386">
        <f>SUMIF(Supply_Clean[Item_Code], B386, Supply_Clean[Available_Supply])</f>
        <v>14178</v>
      </c>
      <c r="L386">
        <f t="shared" si="26"/>
        <v>1</v>
      </c>
      <c r="M386">
        <f t="shared" si="27"/>
        <v>508.8</v>
      </c>
      <c r="N386" t="str">
        <f t="shared" si="28"/>
        <v>SUFICIENTE</v>
      </c>
      <c r="O386">
        <f t="shared" si="29"/>
        <v>0</v>
      </c>
    </row>
    <row r="387" spans="1:15" x14ac:dyDescent="0.45">
      <c r="A387" t="str">
        <v>CD-TOL</v>
      </c>
      <c r="B387" t="str">
        <v>ABA-1001</v>
      </c>
      <c r="C387">
        <v>606</v>
      </c>
      <c r="D387">
        <v>209.6</v>
      </c>
      <c r="E387">
        <v>21.4</v>
      </c>
      <c r="F387">
        <v>2.4</v>
      </c>
      <c r="G387">
        <v>0.5</v>
      </c>
      <c r="H387" t="str">
        <v>OK</v>
      </c>
      <c r="J387">
        <f t="shared" ref="J387:J450" si="30">SUMIF($B$2:$B$1501, B387, $D$2:$D$1501)</f>
        <v>4698.6999999999989</v>
      </c>
      <c r="K387">
        <f>SUMIF(Supply_Clean[Item_Code], B387, Supply_Clean[Available_Supply])</f>
        <v>8775</v>
      </c>
      <c r="L387">
        <f t="shared" ref="L387:L450" si="31">IFERROR(MIN(1, K387/J387), "")</f>
        <v>1</v>
      </c>
      <c r="M387">
        <f t="shared" ref="M387:M450" si="32">IFERROR(D387*L387, "")</f>
        <v>209.6</v>
      </c>
      <c r="N387" t="str">
        <f t="shared" ref="N387:N450" si="33">IF(L387&lt;1, "ESCASEZ", "SUFICIENTE")</f>
        <v>SUFICIENTE</v>
      </c>
      <c r="O387">
        <f t="shared" ref="O387:O450" si="34">IF(N387="ESCASEZ", D387-M387, 0)</f>
        <v>0</v>
      </c>
    </row>
    <row r="388" spans="1:15" x14ac:dyDescent="0.45">
      <c r="A388" t="str">
        <v>CD-TIJ</v>
      </c>
      <c r="B388" t="str">
        <v>LAC-1007</v>
      </c>
      <c r="C388">
        <v>1595</v>
      </c>
      <c r="D388">
        <v>234.8</v>
      </c>
      <c r="E388">
        <v>58.8</v>
      </c>
      <c r="F388">
        <v>3.9</v>
      </c>
      <c r="G388">
        <v>1.5</v>
      </c>
      <c r="H388" t="str">
        <v>OK</v>
      </c>
      <c r="J388">
        <f t="shared" si="30"/>
        <v>4093.7999999999997</v>
      </c>
      <c r="K388">
        <f>SUMIF(Supply_Clean[Item_Code], B388, Supply_Clean[Available_Supply])</f>
        <v>11651</v>
      </c>
      <c r="L388">
        <f t="shared" si="31"/>
        <v>1</v>
      </c>
      <c r="M388">
        <f t="shared" si="32"/>
        <v>234.8</v>
      </c>
      <c r="N388" t="str">
        <f t="shared" si="33"/>
        <v>SUFICIENTE</v>
      </c>
      <c r="O388">
        <f t="shared" si="34"/>
        <v>0</v>
      </c>
    </row>
    <row r="389" spans="1:15" x14ac:dyDescent="0.45">
      <c r="A389" t="str">
        <v>CD-CHI</v>
      </c>
      <c r="B389" t="str">
        <v>ABA-1002</v>
      </c>
      <c r="C389">
        <v>5334</v>
      </c>
      <c r="D389">
        <v>445.2</v>
      </c>
      <c r="E389">
        <v>61</v>
      </c>
      <c r="F389">
        <v>1.5</v>
      </c>
      <c r="G389">
        <v>1</v>
      </c>
      <c r="H389" t="str">
        <v>OK</v>
      </c>
      <c r="J389">
        <f t="shared" si="30"/>
        <v>4525.7</v>
      </c>
      <c r="K389">
        <f>SUMIF(Supply_Clean[Item_Code], B389, Supply_Clean[Available_Supply])</f>
        <v>8581</v>
      </c>
      <c r="L389">
        <f t="shared" si="31"/>
        <v>1</v>
      </c>
      <c r="M389">
        <f t="shared" si="32"/>
        <v>445.2</v>
      </c>
      <c r="N389" t="str">
        <f t="shared" si="33"/>
        <v>SUFICIENTE</v>
      </c>
      <c r="O389">
        <f t="shared" si="34"/>
        <v>0</v>
      </c>
    </row>
    <row r="390" spans="1:15" x14ac:dyDescent="0.45">
      <c r="A390" t="str">
        <v>CD-CAN</v>
      </c>
      <c r="B390" t="str">
        <v>ABA-1000</v>
      </c>
      <c r="C390">
        <v>5234</v>
      </c>
      <c r="D390">
        <v>460.7</v>
      </c>
      <c r="E390">
        <v>63.7</v>
      </c>
      <c r="F390">
        <v>6</v>
      </c>
      <c r="G390">
        <v>1.6</v>
      </c>
      <c r="H390" t="str">
        <v>OK</v>
      </c>
      <c r="J390">
        <f t="shared" si="30"/>
        <v>4722.2</v>
      </c>
      <c r="K390">
        <f>SUMIF(Supply_Clean[Item_Code], B390, Supply_Clean[Available_Supply])</f>
        <v>10731</v>
      </c>
      <c r="L390">
        <f t="shared" si="31"/>
        <v>1</v>
      </c>
      <c r="M390">
        <f t="shared" si="32"/>
        <v>460.7</v>
      </c>
      <c r="N390" t="str">
        <f t="shared" si="33"/>
        <v>SUFICIENTE</v>
      </c>
      <c r="O390">
        <f t="shared" si="34"/>
        <v>0</v>
      </c>
    </row>
    <row r="391" spans="1:15" x14ac:dyDescent="0.45">
      <c r="A391" t="str">
        <v>CD-MTY</v>
      </c>
      <c r="B391" t="str">
        <v>ABA-1006</v>
      </c>
      <c r="C391">
        <v>4115</v>
      </c>
      <c r="D391">
        <v>377.3</v>
      </c>
      <c r="E391">
        <v>34.700000000000003</v>
      </c>
      <c r="F391">
        <v>1.2</v>
      </c>
      <c r="G391">
        <v>0.3</v>
      </c>
      <c r="H391" t="str">
        <v>OK</v>
      </c>
      <c r="J391">
        <f t="shared" si="30"/>
        <v>4882.1000000000004</v>
      </c>
      <c r="K391">
        <f>SUMIF(Supply_Clean[Item_Code], B391, Supply_Clean[Available_Supply])</f>
        <v>15586</v>
      </c>
      <c r="L391">
        <f t="shared" si="31"/>
        <v>1</v>
      </c>
      <c r="M391">
        <f t="shared" si="32"/>
        <v>377.3</v>
      </c>
      <c r="N391" t="str">
        <f t="shared" si="33"/>
        <v>SUFICIENTE</v>
      </c>
      <c r="O391">
        <f t="shared" si="34"/>
        <v>0</v>
      </c>
    </row>
    <row r="392" spans="1:15" x14ac:dyDescent="0.45">
      <c r="A392" t="str">
        <v>CD-MTY</v>
      </c>
      <c r="B392" t="str">
        <v>LAC-1005</v>
      </c>
      <c r="C392">
        <v>999999</v>
      </c>
      <c r="D392">
        <v>370.6</v>
      </c>
      <c r="E392">
        <v>129.19999999999999</v>
      </c>
      <c r="F392">
        <v>1.2</v>
      </c>
      <c r="G392">
        <v>0.3</v>
      </c>
      <c r="H392" t="str">
        <v>ATIPICO</v>
      </c>
      <c r="J392">
        <f t="shared" si="30"/>
        <v>3868.9</v>
      </c>
      <c r="K392">
        <f>SUMIF(Supply_Clean[Item_Code], B392, Supply_Clean[Available_Supply])</f>
        <v>9953</v>
      </c>
      <c r="L392">
        <f t="shared" si="31"/>
        <v>1</v>
      </c>
      <c r="M392">
        <f t="shared" si="32"/>
        <v>370.6</v>
      </c>
      <c r="N392" t="str">
        <f t="shared" si="33"/>
        <v>SUFICIENTE</v>
      </c>
      <c r="O392">
        <f t="shared" si="34"/>
        <v>0</v>
      </c>
    </row>
    <row r="393" spans="1:15" x14ac:dyDescent="0.45">
      <c r="A393" t="str">
        <v>CD-MOR</v>
      </c>
      <c r="B393" t="str">
        <v>BOT-1017</v>
      </c>
      <c r="C393">
        <v>7985</v>
      </c>
      <c r="D393">
        <v>597.9</v>
      </c>
      <c r="E393">
        <v>143.19999999999999</v>
      </c>
      <c r="F393">
        <v>2.6</v>
      </c>
      <c r="G393">
        <v>0.5</v>
      </c>
      <c r="H393" t="str">
        <v>OK</v>
      </c>
      <c r="J393">
        <f t="shared" si="30"/>
        <v>10291.300000000001</v>
      </c>
      <c r="K393">
        <f>SUMIF(Supply_Clean[Item_Code], B393, Supply_Clean[Available_Supply])</f>
        <v>5486</v>
      </c>
      <c r="L393">
        <f t="shared" si="31"/>
        <v>0.53307162360440363</v>
      </c>
      <c r="M393">
        <f t="shared" si="32"/>
        <v>318.72352375307293</v>
      </c>
      <c r="N393" t="str">
        <f t="shared" si="33"/>
        <v>ESCASEZ</v>
      </c>
      <c r="O393">
        <f t="shared" si="34"/>
        <v>279.17647624692705</v>
      </c>
    </row>
    <row r="394" spans="1:15" x14ac:dyDescent="0.45">
      <c r="A394" t="str">
        <v>CD-VER</v>
      </c>
      <c r="B394" t="str">
        <v>LAC-1012</v>
      </c>
      <c r="C394">
        <v>2018</v>
      </c>
      <c r="D394">
        <v>347.3</v>
      </c>
      <c r="E394">
        <v>126.9</v>
      </c>
      <c r="F394">
        <v>4</v>
      </c>
      <c r="G394">
        <v>0.9</v>
      </c>
      <c r="H394" t="str">
        <v>OK</v>
      </c>
      <c r="J394">
        <f t="shared" si="30"/>
        <v>5447.0000000000009</v>
      </c>
      <c r="K394">
        <f>SUMIF(Supply_Clean[Item_Code], B394, Supply_Clean[Available_Supply])</f>
        <v>12033</v>
      </c>
      <c r="L394">
        <f t="shared" si="31"/>
        <v>1</v>
      </c>
      <c r="M394">
        <f t="shared" si="32"/>
        <v>347.3</v>
      </c>
      <c r="N394" t="str">
        <f t="shared" si="33"/>
        <v>SUFICIENTE</v>
      </c>
      <c r="O394">
        <f t="shared" si="34"/>
        <v>0</v>
      </c>
    </row>
    <row r="395" spans="1:15" x14ac:dyDescent="0.45">
      <c r="A395" t="str">
        <v>CD-TIJ</v>
      </c>
      <c r="B395" t="str">
        <v>LAC-1005</v>
      </c>
      <c r="C395">
        <v>1988</v>
      </c>
      <c r="D395">
        <v>133.30000000000001</v>
      </c>
      <c r="E395">
        <v>53.9</v>
      </c>
      <c r="F395">
        <v>7.3</v>
      </c>
      <c r="G395">
        <v>1.5</v>
      </c>
      <c r="H395" t="str">
        <v>OK</v>
      </c>
      <c r="J395">
        <f t="shared" si="30"/>
        <v>3868.9</v>
      </c>
      <c r="K395">
        <f>SUMIF(Supply_Clean[Item_Code], B395, Supply_Clean[Available_Supply])</f>
        <v>9953</v>
      </c>
      <c r="L395">
        <f t="shared" si="31"/>
        <v>1</v>
      </c>
      <c r="M395">
        <f t="shared" si="32"/>
        <v>133.30000000000001</v>
      </c>
      <c r="N395" t="str">
        <f t="shared" si="33"/>
        <v>SUFICIENTE</v>
      </c>
      <c r="O395">
        <f t="shared" si="34"/>
        <v>0</v>
      </c>
    </row>
    <row r="396" spans="1:15" x14ac:dyDescent="0.45">
      <c r="A396" t="str">
        <v>CD-QRO</v>
      </c>
      <c r="B396" t="str">
        <v>LAC-1000</v>
      </c>
      <c r="C396">
        <v>249</v>
      </c>
      <c r="D396">
        <v>217.4</v>
      </c>
      <c r="E396">
        <v>97.7</v>
      </c>
      <c r="F396">
        <v>1.2</v>
      </c>
      <c r="G396">
        <v>0.4</v>
      </c>
      <c r="H396" t="str">
        <v>OK</v>
      </c>
      <c r="J396">
        <f t="shared" si="30"/>
        <v>4987.8</v>
      </c>
      <c r="K396">
        <f>SUMIF(Supply_Clean[Item_Code], B396, Supply_Clean[Available_Supply])</f>
        <v>12568</v>
      </c>
      <c r="L396">
        <f t="shared" si="31"/>
        <v>1</v>
      </c>
      <c r="M396">
        <f t="shared" si="32"/>
        <v>217.4</v>
      </c>
      <c r="N396" t="str">
        <f t="shared" si="33"/>
        <v>SUFICIENTE</v>
      </c>
      <c r="O396">
        <f t="shared" si="34"/>
        <v>0</v>
      </c>
    </row>
    <row r="397" spans="1:15" x14ac:dyDescent="0.45">
      <c r="A397" t="str">
        <v>CD-MER</v>
      </c>
      <c r="B397" t="str">
        <v>LAC-1002</v>
      </c>
      <c r="C397">
        <v>1495</v>
      </c>
      <c r="D397">
        <v>0</v>
      </c>
      <c r="E397">
        <v>103.8</v>
      </c>
      <c r="F397">
        <v>2.2000000000000002</v>
      </c>
      <c r="G397">
        <v>1.3</v>
      </c>
      <c r="H397" t="str">
        <v>OK</v>
      </c>
      <c r="J397">
        <f t="shared" si="30"/>
        <v>4442.1000000000004</v>
      </c>
      <c r="K397">
        <f>SUMIF(Supply_Clean[Item_Code], B397, Supply_Clean[Available_Supply])</f>
        <v>7796</v>
      </c>
      <c r="L397">
        <f t="shared" si="31"/>
        <v>1</v>
      </c>
      <c r="M397">
        <f t="shared" si="32"/>
        <v>0</v>
      </c>
      <c r="N397" t="str">
        <f t="shared" si="33"/>
        <v>SUFICIENTE</v>
      </c>
      <c r="O397">
        <f t="shared" si="34"/>
        <v>0</v>
      </c>
    </row>
    <row r="398" spans="1:15" x14ac:dyDescent="0.45">
      <c r="A398" t="str">
        <v>CD-VER</v>
      </c>
      <c r="B398" t="str">
        <v>LAC-1004</v>
      </c>
      <c r="C398">
        <v>1729</v>
      </c>
      <c r="D398">
        <v>155.30000000000001</v>
      </c>
      <c r="E398">
        <v>68.8</v>
      </c>
      <c r="F398">
        <v>2.9</v>
      </c>
      <c r="G398">
        <v>0.9</v>
      </c>
      <c r="H398" t="str">
        <v>OK</v>
      </c>
      <c r="J398">
        <f t="shared" si="30"/>
        <v>4211.5</v>
      </c>
      <c r="K398">
        <f>SUMIF(Supply_Clean[Item_Code], B398, Supply_Clean[Available_Supply])</f>
        <v>11968</v>
      </c>
      <c r="L398">
        <f t="shared" si="31"/>
        <v>1</v>
      </c>
      <c r="M398">
        <f t="shared" si="32"/>
        <v>155.30000000000001</v>
      </c>
      <c r="N398" t="str">
        <f t="shared" si="33"/>
        <v>SUFICIENTE</v>
      </c>
      <c r="O398">
        <f t="shared" si="34"/>
        <v>0</v>
      </c>
    </row>
    <row r="399" spans="1:15" x14ac:dyDescent="0.45">
      <c r="A399" t="str">
        <v>CD-QRO</v>
      </c>
      <c r="B399" t="str">
        <v>BEB-1014</v>
      </c>
      <c r="C399">
        <v>6616</v>
      </c>
      <c r="D399">
        <v>392.4</v>
      </c>
      <c r="E399">
        <v>68</v>
      </c>
      <c r="F399">
        <v>1.9</v>
      </c>
      <c r="G399">
        <v>0.4</v>
      </c>
      <c r="H399" t="str">
        <v>OK</v>
      </c>
      <c r="J399">
        <f t="shared" si="30"/>
        <v>6274.9000000000005</v>
      </c>
      <c r="K399">
        <f>SUMIF(Supply_Clean[Item_Code], B399, Supply_Clean[Available_Supply])</f>
        <v>14205</v>
      </c>
      <c r="L399">
        <f t="shared" si="31"/>
        <v>1</v>
      </c>
      <c r="M399">
        <f t="shared" si="32"/>
        <v>392.4</v>
      </c>
      <c r="N399" t="str">
        <f t="shared" si="33"/>
        <v>SUFICIENTE</v>
      </c>
      <c r="O399">
        <f t="shared" si="34"/>
        <v>0</v>
      </c>
    </row>
    <row r="400" spans="1:15" x14ac:dyDescent="0.45">
      <c r="A400" t="str">
        <v>CD-TOL</v>
      </c>
      <c r="B400" t="str">
        <v>BEB-1011</v>
      </c>
      <c r="C400">
        <v>4534</v>
      </c>
      <c r="D400">
        <v>0</v>
      </c>
      <c r="E400">
        <v>37.4</v>
      </c>
      <c r="F400">
        <v>2.4</v>
      </c>
      <c r="G400">
        <v>0.5</v>
      </c>
      <c r="H400" t="str">
        <v>OK</v>
      </c>
      <c r="J400">
        <f t="shared" si="30"/>
        <v>5454.4999999999991</v>
      </c>
      <c r="K400">
        <f>SUMIF(Supply_Clean[Item_Code], B400, Supply_Clean[Available_Supply])</f>
        <v>13720</v>
      </c>
      <c r="L400">
        <f t="shared" si="31"/>
        <v>1</v>
      </c>
      <c r="M400">
        <f t="shared" si="32"/>
        <v>0</v>
      </c>
      <c r="N400" t="str">
        <f t="shared" si="33"/>
        <v>SUFICIENTE</v>
      </c>
      <c r="O400">
        <f t="shared" si="34"/>
        <v>0</v>
      </c>
    </row>
    <row r="401" spans="1:15" x14ac:dyDescent="0.45">
      <c r="A401" t="str">
        <v>CD-CHI</v>
      </c>
      <c r="B401" t="str">
        <v>BOT-1005</v>
      </c>
      <c r="C401">
        <v>3494</v>
      </c>
      <c r="D401">
        <v>505.2</v>
      </c>
      <c r="E401">
        <v>97.4</v>
      </c>
      <c r="F401">
        <v>3.6</v>
      </c>
      <c r="G401">
        <v>1</v>
      </c>
      <c r="H401" t="str">
        <v>OK</v>
      </c>
      <c r="J401">
        <f t="shared" si="30"/>
        <v>8620.3000000000011</v>
      </c>
      <c r="K401">
        <f>SUMIF(Supply_Clean[Item_Code], B401, Supply_Clean[Available_Supply])</f>
        <v>23903</v>
      </c>
      <c r="L401">
        <f t="shared" si="31"/>
        <v>1</v>
      </c>
      <c r="M401">
        <f t="shared" si="32"/>
        <v>505.2</v>
      </c>
      <c r="N401" t="str">
        <f t="shared" si="33"/>
        <v>SUFICIENTE</v>
      </c>
      <c r="O401">
        <f t="shared" si="34"/>
        <v>0</v>
      </c>
    </row>
    <row r="402" spans="1:15" x14ac:dyDescent="0.45">
      <c r="A402" t="str">
        <v>CD-TIJ</v>
      </c>
      <c r="B402" t="str">
        <v>LAC-1008</v>
      </c>
      <c r="C402">
        <v>4121</v>
      </c>
      <c r="D402">
        <v>441.8</v>
      </c>
      <c r="E402">
        <v>185.3</v>
      </c>
      <c r="F402">
        <v>6</v>
      </c>
      <c r="G402">
        <v>1.5</v>
      </c>
      <c r="H402" t="str">
        <v>OK</v>
      </c>
      <c r="J402">
        <f t="shared" si="30"/>
        <v>4499.0999999999995</v>
      </c>
      <c r="K402">
        <f>SUMIF(Supply_Clean[Item_Code], B402, Supply_Clean[Available_Supply])</f>
        <v>9543</v>
      </c>
      <c r="L402">
        <f t="shared" si="31"/>
        <v>1</v>
      </c>
      <c r="M402">
        <f t="shared" si="32"/>
        <v>441.8</v>
      </c>
      <c r="N402" t="str">
        <f t="shared" si="33"/>
        <v>SUFICIENTE</v>
      </c>
      <c r="O402">
        <f t="shared" si="34"/>
        <v>0</v>
      </c>
    </row>
    <row r="403" spans="1:15" x14ac:dyDescent="0.45">
      <c r="A403" t="str">
        <v>CD-MOR</v>
      </c>
      <c r="B403" t="str">
        <v>BOT-1012</v>
      </c>
      <c r="C403">
        <v>3436</v>
      </c>
      <c r="D403">
        <v>674.7</v>
      </c>
      <c r="E403">
        <v>156.4</v>
      </c>
      <c r="F403">
        <v>1.7</v>
      </c>
      <c r="G403">
        <v>0.5</v>
      </c>
      <c r="H403" t="str">
        <v>OK</v>
      </c>
      <c r="J403">
        <f t="shared" si="30"/>
        <v>9259.4</v>
      </c>
      <c r="K403">
        <f>SUMIF(Supply_Clean[Item_Code], B403, Supply_Clean[Available_Supply])</f>
        <v>13943</v>
      </c>
      <c r="L403">
        <f t="shared" si="31"/>
        <v>1</v>
      </c>
      <c r="M403">
        <f t="shared" si="32"/>
        <v>674.7</v>
      </c>
      <c r="N403" t="str">
        <f t="shared" si="33"/>
        <v>SUFICIENTE</v>
      </c>
      <c r="O403">
        <f t="shared" si="34"/>
        <v>0</v>
      </c>
    </row>
    <row r="404" spans="1:15" x14ac:dyDescent="0.45">
      <c r="A404" t="str">
        <v>CD-CAN</v>
      </c>
      <c r="B404" t="str">
        <v>BEB-1010</v>
      </c>
      <c r="C404">
        <v>2327</v>
      </c>
      <c r="D404">
        <v>422.5</v>
      </c>
      <c r="E404">
        <v>43.3</v>
      </c>
      <c r="F404">
        <v>7.1</v>
      </c>
      <c r="G404">
        <v>1.6</v>
      </c>
      <c r="H404" t="str">
        <v>OK</v>
      </c>
      <c r="J404">
        <f t="shared" si="30"/>
        <v>4470.2999999999993</v>
      </c>
      <c r="K404">
        <f>SUMIF(Supply_Clean[Item_Code], B404, Supply_Clean[Available_Supply])</f>
        <v>3237</v>
      </c>
      <c r="L404">
        <f t="shared" si="31"/>
        <v>0.7241124756727737</v>
      </c>
      <c r="M404">
        <f t="shared" si="32"/>
        <v>305.93752097174689</v>
      </c>
      <c r="N404" t="str">
        <f t="shared" si="33"/>
        <v>ESCASEZ</v>
      </c>
      <c r="O404">
        <f t="shared" si="34"/>
        <v>116.56247902825311</v>
      </c>
    </row>
    <row r="405" spans="1:15" x14ac:dyDescent="0.45">
      <c r="A405" t="str">
        <v>CD-QRO</v>
      </c>
      <c r="B405" t="str">
        <v>PRO-1000</v>
      </c>
      <c r="C405">
        <v>4915</v>
      </c>
      <c r="D405">
        <v>456.1</v>
      </c>
      <c r="E405">
        <v>277.10000000000002</v>
      </c>
      <c r="F405">
        <v>1.9</v>
      </c>
      <c r="G405">
        <v>0.4</v>
      </c>
      <c r="H405" t="str">
        <v>OK</v>
      </c>
      <c r="J405">
        <f t="shared" si="30"/>
        <v>5872.7</v>
      </c>
      <c r="K405">
        <f>SUMIF(Supply_Clean[Item_Code], B405, Supply_Clean[Available_Supply])</f>
        <v>2915</v>
      </c>
      <c r="L405">
        <f t="shared" si="31"/>
        <v>0.49636453420062326</v>
      </c>
      <c r="M405">
        <f t="shared" si="32"/>
        <v>226.3918640489043</v>
      </c>
      <c r="N405" t="str">
        <f t="shared" si="33"/>
        <v>ESCASEZ</v>
      </c>
      <c r="O405">
        <f t="shared" si="34"/>
        <v>229.70813595109573</v>
      </c>
    </row>
    <row r="406" spans="1:15" x14ac:dyDescent="0.45">
      <c r="A406" t="str">
        <v>CD-MER</v>
      </c>
      <c r="B406" t="str">
        <v>BOT-1020</v>
      </c>
      <c r="C406">
        <v>3668</v>
      </c>
      <c r="D406">
        <v>465.4</v>
      </c>
      <c r="E406">
        <v>97.1</v>
      </c>
      <c r="F406">
        <v>2.8</v>
      </c>
      <c r="G406">
        <v>1.3</v>
      </c>
      <c r="H406" t="str">
        <v>OK</v>
      </c>
      <c r="J406">
        <f t="shared" si="30"/>
        <v>7693.4</v>
      </c>
      <c r="K406">
        <f>SUMIF(Supply_Clean[Item_Code], B406, Supply_Clean[Available_Supply])</f>
        <v>20558</v>
      </c>
      <c r="L406">
        <f t="shared" si="31"/>
        <v>1</v>
      </c>
      <c r="M406">
        <f t="shared" si="32"/>
        <v>465.4</v>
      </c>
      <c r="N406" t="str">
        <f t="shared" si="33"/>
        <v>SUFICIENTE</v>
      </c>
      <c r="O406">
        <f t="shared" si="34"/>
        <v>0</v>
      </c>
    </row>
    <row r="407" spans="1:15" x14ac:dyDescent="0.45">
      <c r="A407" t="str">
        <v>CD-MER</v>
      </c>
      <c r="B407" t="str">
        <v>PRO-1015</v>
      </c>
      <c r="C407">
        <v>4889</v>
      </c>
      <c r="D407">
        <v>326.8</v>
      </c>
      <c r="E407">
        <v>130.80000000000001</v>
      </c>
      <c r="F407">
        <v>3.8</v>
      </c>
      <c r="G407">
        <v>1.3</v>
      </c>
      <c r="H407" t="str">
        <v>OK</v>
      </c>
      <c r="J407">
        <f t="shared" si="30"/>
        <v>5021.5</v>
      </c>
      <c r="K407">
        <f>SUMIF(Supply_Clean[Item_Code], B407, Supply_Clean[Available_Supply])</f>
        <v>15970</v>
      </c>
      <c r="L407">
        <f t="shared" si="31"/>
        <v>1</v>
      </c>
      <c r="M407">
        <f t="shared" si="32"/>
        <v>326.8</v>
      </c>
      <c r="N407" t="str">
        <f t="shared" si="33"/>
        <v>SUFICIENTE</v>
      </c>
      <c r="O407">
        <f t="shared" si="34"/>
        <v>0</v>
      </c>
    </row>
    <row r="408" spans="1:15" x14ac:dyDescent="0.45">
      <c r="A408" t="str">
        <v>CD-CAN</v>
      </c>
      <c r="B408" t="str">
        <v>BEB-1009</v>
      </c>
      <c r="C408">
        <v>3837</v>
      </c>
      <c r="D408">
        <v>390.5</v>
      </c>
      <c r="E408">
        <v>75.900000000000006</v>
      </c>
      <c r="F408">
        <v>6.9</v>
      </c>
      <c r="G408">
        <v>1.6</v>
      </c>
      <c r="H408" t="str">
        <v>OK</v>
      </c>
      <c r="J408">
        <f t="shared" si="30"/>
        <v>6226.9000000000005</v>
      </c>
      <c r="K408">
        <f>SUMIF(Supply_Clean[Item_Code], B408, Supply_Clean[Available_Supply])</f>
        <v>10475</v>
      </c>
      <c r="L408">
        <f t="shared" si="31"/>
        <v>1</v>
      </c>
      <c r="M408">
        <f t="shared" si="32"/>
        <v>390.5</v>
      </c>
      <c r="N408" t="str">
        <f t="shared" si="33"/>
        <v>SUFICIENTE</v>
      </c>
      <c r="O408">
        <f t="shared" si="34"/>
        <v>0</v>
      </c>
    </row>
    <row r="409" spans="1:15" x14ac:dyDescent="0.45">
      <c r="A409" t="str">
        <v>CD-TOL</v>
      </c>
      <c r="B409" t="str">
        <v>LAC-1016</v>
      </c>
      <c r="C409">
        <v>2533</v>
      </c>
      <c r="D409">
        <v>206.2</v>
      </c>
      <c r="E409">
        <v>59.7</v>
      </c>
      <c r="F409">
        <v>1.6</v>
      </c>
      <c r="G409">
        <v>0.5</v>
      </c>
      <c r="H409" t="str">
        <v>OK</v>
      </c>
      <c r="J409">
        <f t="shared" si="30"/>
        <v>4542.5</v>
      </c>
      <c r="K409">
        <f>SUMIF(Supply_Clean[Item_Code], B409, Supply_Clean[Available_Supply])</f>
        <v>12760</v>
      </c>
      <c r="L409">
        <f t="shared" si="31"/>
        <v>1</v>
      </c>
      <c r="M409">
        <f t="shared" si="32"/>
        <v>206.2</v>
      </c>
      <c r="N409" t="str">
        <f t="shared" si="33"/>
        <v>SUFICIENTE</v>
      </c>
      <c r="O409">
        <f t="shared" si="34"/>
        <v>0</v>
      </c>
    </row>
    <row r="410" spans="1:15" x14ac:dyDescent="0.45">
      <c r="A410" t="str">
        <v>CD-GDL</v>
      </c>
      <c r="B410" t="str">
        <v>BOT-1018</v>
      </c>
      <c r="C410">
        <v>6850</v>
      </c>
      <c r="D410">
        <v>688.6</v>
      </c>
      <c r="E410">
        <v>110.5</v>
      </c>
      <c r="F410">
        <v>1.1000000000000001</v>
      </c>
      <c r="G410">
        <v>0.2</v>
      </c>
      <c r="H410" t="str">
        <v>OK</v>
      </c>
      <c r="J410">
        <f t="shared" si="30"/>
        <v>8014.5000000000009</v>
      </c>
      <c r="K410">
        <f>SUMIF(Supply_Clean[Item_Code], B410, Supply_Clean[Available_Supply])</f>
        <v>15093</v>
      </c>
      <c r="L410">
        <f t="shared" si="31"/>
        <v>1</v>
      </c>
      <c r="M410">
        <f t="shared" si="32"/>
        <v>688.6</v>
      </c>
      <c r="N410" t="str">
        <f t="shared" si="33"/>
        <v>SUFICIENTE</v>
      </c>
      <c r="O410">
        <f t="shared" si="34"/>
        <v>0</v>
      </c>
    </row>
    <row r="411" spans="1:15" x14ac:dyDescent="0.45">
      <c r="A411" t="str">
        <v>CD-TOL</v>
      </c>
      <c r="B411" t="str">
        <v>BEB-1007</v>
      </c>
      <c r="C411">
        <v>4401</v>
      </c>
      <c r="D411">
        <v>642.20000000000005</v>
      </c>
      <c r="E411">
        <v>124.2</v>
      </c>
      <c r="F411">
        <v>1.2</v>
      </c>
      <c r="G411">
        <v>0.5</v>
      </c>
      <c r="H411" t="str">
        <v>OK</v>
      </c>
      <c r="J411">
        <f t="shared" si="30"/>
        <v>5039.5</v>
      </c>
      <c r="K411">
        <f>SUMIF(Supply_Clean[Item_Code], B411, Supply_Clean[Available_Supply])</f>
        <v>12912</v>
      </c>
      <c r="L411">
        <f t="shared" si="31"/>
        <v>1</v>
      </c>
      <c r="M411">
        <f t="shared" si="32"/>
        <v>642.20000000000005</v>
      </c>
      <c r="N411" t="str">
        <f t="shared" si="33"/>
        <v>SUFICIENTE</v>
      </c>
      <c r="O411">
        <f t="shared" si="34"/>
        <v>0</v>
      </c>
    </row>
    <row r="412" spans="1:15" x14ac:dyDescent="0.45">
      <c r="A412" t="str">
        <v>CD-MER</v>
      </c>
      <c r="B412" t="str">
        <v>BEB-1013</v>
      </c>
      <c r="C412">
        <v>5217</v>
      </c>
      <c r="D412">
        <v>326.10000000000002</v>
      </c>
      <c r="E412">
        <v>46.6</v>
      </c>
      <c r="F412">
        <v>2.6</v>
      </c>
      <c r="G412">
        <v>1.3</v>
      </c>
      <c r="H412" t="str">
        <v>OK</v>
      </c>
      <c r="J412">
        <f t="shared" si="30"/>
        <v>6158.7000000000007</v>
      </c>
      <c r="K412">
        <f>SUMIF(Supply_Clean[Item_Code], B412, Supply_Clean[Available_Supply])</f>
        <v>3246</v>
      </c>
      <c r="L412">
        <f t="shared" si="31"/>
        <v>0.52705928199132923</v>
      </c>
      <c r="M412">
        <f t="shared" si="32"/>
        <v>171.87403185737247</v>
      </c>
      <c r="N412" t="str">
        <f t="shared" si="33"/>
        <v>ESCASEZ</v>
      </c>
      <c r="O412">
        <f t="shared" si="34"/>
        <v>154.22596814262755</v>
      </c>
    </row>
    <row r="413" spans="1:15" x14ac:dyDescent="0.45">
      <c r="A413" t="str">
        <v>CD-HER</v>
      </c>
      <c r="B413" t="str">
        <v>BEB-1021</v>
      </c>
      <c r="C413">
        <v>3780</v>
      </c>
      <c r="D413">
        <v>440.8</v>
      </c>
      <c r="E413">
        <v>67.5</v>
      </c>
      <c r="F413">
        <v>4</v>
      </c>
      <c r="G413">
        <v>1.2</v>
      </c>
      <c r="H413" t="str">
        <v>OK</v>
      </c>
      <c r="J413">
        <f t="shared" si="30"/>
        <v>5254.7999999999993</v>
      </c>
      <c r="K413">
        <f>SUMIF(Supply_Clean[Item_Code], B413, Supply_Clean[Available_Supply])</f>
        <v>13235</v>
      </c>
      <c r="L413">
        <f t="shared" si="31"/>
        <v>1</v>
      </c>
      <c r="M413">
        <f t="shared" si="32"/>
        <v>440.8</v>
      </c>
      <c r="N413" t="str">
        <f t="shared" si="33"/>
        <v>SUFICIENTE</v>
      </c>
      <c r="O413">
        <f t="shared" si="34"/>
        <v>0</v>
      </c>
    </row>
    <row r="414" spans="1:15" x14ac:dyDescent="0.45">
      <c r="A414" t="str">
        <v>CD-TIJ</v>
      </c>
      <c r="B414" t="str">
        <v>BOT-1005</v>
      </c>
      <c r="C414">
        <v>5505</v>
      </c>
      <c r="D414">
        <v>472.3</v>
      </c>
      <c r="E414">
        <v>140.19999999999999</v>
      </c>
      <c r="F414">
        <v>6</v>
      </c>
      <c r="G414">
        <v>1.5</v>
      </c>
      <c r="H414" t="str">
        <v>OK</v>
      </c>
      <c r="J414">
        <f t="shared" si="30"/>
        <v>8620.3000000000011</v>
      </c>
      <c r="K414">
        <f>SUMIF(Supply_Clean[Item_Code], B414, Supply_Clean[Available_Supply])</f>
        <v>23903</v>
      </c>
      <c r="L414">
        <f t="shared" si="31"/>
        <v>1</v>
      </c>
      <c r="M414">
        <f t="shared" si="32"/>
        <v>472.3</v>
      </c>
      <c r="N414" t="str">
        <f t="shared" si="33"/>
        <v>SUFICIENTE</v>
      </c>
      <c r="O414">
        <f t="shared" si="34"/>
        <v>0</v>
      </c>
    </row>
    <row r="415" spans="1:15" x14ac:dyDescent="0.45">
      <c r="A415" t="str">
        <v>CD-MER</v>
      </c>
      <c r="B415" t="str">
        <v>BEB-1018</v>
      </c>
      <c r="C415">
        <v>2322</v>
      </c>
      <c r="D415">
        <v>261.39999999999998</v>
      </c>
      <c r="E415">
        <v>35.700000000000003</v>
      </c>
      <c r="F415">
        <v>2.8</v>
      </c>
      <c r="G415">
        <v>1.3</v>
      </c>
      <c r="H415" t="str">
        <v>OK</v>
      </c>
      <c r="J415">
        <f t="shared" si="30"/>
        <v>5898.0999999999995</v>
      </c>
      <c r="K415">
        <f>SUMIF(Supply_Clean[Item_Code], B415, Supply_Clean[Available_Supply])</f>
        <v>11472</v>
      </c>
      <c r="L415">
        <f t="shared" si="31"/>
        <v>1</v>
      </c>
      <c r="M415">
        <f t="shared" si="32"/>
        <v>261.39999999999998</v>
      </c>
      <c r="N415" t="str">
        <f t="shared" si="33"/>
        <v>SUFICIENTE</v>
      </c>
      <c r="O415">
        <f t="shared" si="34"/>
        <v>0</v>
      </c>
    </row>
    <row r="416" spans="1:15" x14ac:dyDescent="0.45">
      <c r="A416" t="str">
        <v>CD-MOR</v>
      </c>
      <c r="B416" t="str">
        <v>BOT-1020</v>
      </c>
      <c r="C416">
        <v>3756</v>
      </c>
      <c r="D416">
        <v>332</v>
      </c>
      <c r="E416">
        <v>61.8</v>
      </c>
      <c r="F416">
        <v>0.8</v>
      </c>
      <c r="G416">
        <v>0.5</v>
      </c>
      <c r="H416" t="str">
        <v>OK</v>
      </c>
      <c r="J416">
        <f t="shared" si="30"/>
        <v>7693.4</v>
      </c>
      <c r="K416">
        <f>SUMIF(Supply_Clean[Item_Code], B416, Supply_Clean[Available_Supply])</f>
        <v>20558</v>
      </c>
      <c r="L416">
        <f t="shared" si="31"/>
        <v>1</v>
      </c>
      <c r="M416">
        <f t="shared" si="32"/>
        <v>332</v>
      </c>
      <c r="N416" t="str">
        <f t="shared" si="33"/>
        <v>SUFICIENTE</v>
      </c>
      <c r="O416">
        <f t="shared" si="34"/>
        <v>0</v>
      </c>
    </row>
    <row r="417" spans="1:15" x14ac:dyDescent="0.45">
      <c r="A417" t="str">
        <v>CD-GDL</v>
      </c>
      <c r="B417" t="str">
        <v>ABA-1011</v>
      </c>
      <c r="C417">
        <v>931</v>
      </c>
      <c r="D417">
        <v>0</v>
      </c>
      <c r="E417">
        <v>34.200000000000003</v>
      </c>
      <c r="F417">
        <v>1</v>
      </c>
      <c r="G417">
        <v>0.2</v>
      </c>
      <c r="H417" t="str">
        <v>OK</v>
      </c>
      <c r="J417">
        <f t="shared" si="30"/>
        <v>4892.0999999999995</v>
      </c>
      <c r="K417">
        <f>SUMIF(Supply_Clean[Item_Code], B417, Supply_Clean[Available_Supply])</f>
        <v>9079</v>
      </c>
      <c r="L417">
        <f t="shared" si="31"/>
        <v>1</v>
      </c>
      <c r="M417">
        <f t="shared" si="32"/>
        <v>0</v>
      </c>
      <c r="N417" t="str">
        <f t="shared" si="33"/>
        <v>SUFICIENTE</v>
      </c>
      <c r="O417">
        <f t="shared" si="34"/>
        <v>0</v>
      </c>
    </row>
    <row r="418" spans="1:15" x14ac:dyDescent="0.45">
      <c r="A418" t="str">
        <v>CD-CDMX</v>
      </c>
      <c r="B418" t="str">
        <v>LAC-1016</v>
      </c>
      <c r="C418">
        <v>1971</v>
      </c>
      <c r="D418">
        <v>399.4</v>
      </c>
      <c r="E418">
        <v>126.5</v>
      </c>
      <c r="F418">
        <v>1</v>
      </c>
      <c r="G418">
        <v>0.2</v>
      </c>
      <c r="H418" t="str">
        <v>OK</v>
      </c>
      <c r="J418">
        <f t="shared" si="30"/>
        <v>4542.5</v>
      </c>
      <c r="K418">
        <f>SUMIF(Supply_Clean[Item_Code], B418, Supply_Clean[Available_Supply])</f>
        <v>12760</v>
      </c>
      <c r="L418">
        <f t="shared" si="31"/>
        <v>1</v>
      </c>
      <c r="M418">
        <f t="shared" si="32"/>
        <v>399.4</v>
      </c>
      <c r="N418" t="str">
        <f t="shared" si="33"/>
        <v>SUFICIENTE</v>
      </c>
      <c r="O418">
        <f t="shared" si="34"/>
        <v>0</v>
      </c>
    </row>
    <row r="419" spans="1:15" x14ac:dyDescent="0.45">
      <c r="A419" t="str">
        <v>CD-LEO</v>
      </c>
      <c r="B419" t="str">
        <v>BEB-1011</v>
      </c>
      <c r="C419">
        <v>5724</v>
      </c>
      <c r="D419">
        <v>519.9</v>
      </c>
      <c r="E419">
        <v>60.4</v>
      </c>
      <c r="F419">
        <v>2.8</v>
      </c>
      <c r="G419">
        <v>0.6</v>
      </c>
      <c r="H419" t="str">
        <v>OK</v>
      </c>
      <c r="J419">
        <f t="shared" si="30"/>
        <v>5454.4999999999991</v>
      </c>
      <c r="K419">
        <f>SUMIF(Supply_Clean[Item_Code], B419, Supply_Clean[Available_Supply])</f>
        <v>13720</v>
      </c>
      <c r="L419">
        <f t="shared" si="31"/>
        <v>1</v>
      </c>
      <c r="M419">
        <f t="shared" si="32"/>
        <v>519.9</v>
      </c>
      <c r="N419" t="str">
        <f t="shared" si="33"/>
        <v>SUFICIENTE</v>
      </c>
      <c r="O419">
        <f t="shared" si="34"/>
        <v>0</v>
      </c>
    </row>
    <row r="420" spans="1:15" x14ac:dyDescent="0.45">
      <c r="A420" t="str">
        <v>CD-GDL</v>
      </c>
      <c r="B420" t="str">
        <v>BOT-1014</v>
      </c>
      <c r="C420">
        <v>19378</v>
      </c>
      <c r="D420">
        <v>1098.5999999999999</v>
      </c>
      <c r="E420">
        <v>247.7</v>
      </c>
      <c r="F420">
        <v>0.9</v>
      </c>
      <c r="G420">
        <v>0.2</v>
      </c>
      <c r="H420" t="str">
        <v>OK</v>
      </c>
      <c r="J420">
        <f t="shared" si="30"/>
        <v>8056.4000000000005</v>
      </c>
      <c r="K420">
        <f>SUMIF(Supply_Clean[Item_Code], B420, Supply_Clean[Available_Supply])</f>
        <v>14373</v>
      </c>
      <c r="L420">
        <f t="shared" si="31"/>
        <v>1</v>
      </c>
      <c r="M420">
        <f t="shared" si="32"/>
        <v>1098.5999999999999</v>
      </c>
      <c r="N420" t="str">
        <f t="shared" si="33"/>
        <v>SUFICIENTE</v>
      </c>
      <c r="O420">
        <f t="shared" si="34"/>
        <v>0</v>
      </c>
    </row>
    <row r="421" spans="1:15" x14ac:dyDescent="0.45">
      <c r="A421" t="str">
        <v>CD-TOL</v>
      </c>
      <c r="B421" t="str">
        <v>BEB-1004</v>
      </c>
      <c r="C421">
        <v>0</v>
      </c>
      <c r="D421">
        <v>425.8</v>
      </c>
      <c r="E421">
        <v>80</v>
      </c>
      <c r="F421">
        <v>1.9</v>
      </c>
      <c r="G421">
        <v>0.5</v>
      </c>
      <c r="H421">
        <v>0</v>
      </c>
      <c r="J421">
        <f t="shared" si="30"/>
        <v>5324.2</v>
      </c>
      <c r="K421">
        <f>SUMIF(Supply_Clean[Item_Code], B421, Supply_Clean[Available_Supply])</f>
        <v>15672</v>
      </c>
      <c r="L421">
        <f t="shared" si="31"/>
        <v>1</v>
      </c>
      <c r="M421">
        <f t="shared" si="32"/>
        <v>425.8</v>
      </c>
      <c r="N421" t="str">
        <f t="shared" si="33"/>
        <v>SUFICIENTE</v>
      </c>
      <c r="O421">
        <f t="shared" si="34"/>
        <v>0</v>
      </c>
    </row>
    <row r="422" spans="1:15" x14ac:dyDescent="0.45">
      <c r="A422" t="str">
        <v>CD-GDL</v>
      </c>
      <c r="B422" t="str">
        <v>ABA-1018</v>
      </c>
      <c r="C422">
        <v>2547</v>
      </c>
      <c r="D422">
        <v>252.3</v>
      </c>
      <c r="E422">
        <v>32.6</v>
      </c>
      <c r="F422">
        <v>0.9</v>
      </c>
      <c r="G422">
        <v>0.2</v>
      </c>
      <c r="H422" t="str">
        <v>OK</v>
      </c>
      <c r="J422">
        <f t="shared" si="30"/>
        <v>4478</v>
      </c>
      <c r="K422">
        <f>SUMIF(Supply_Clean[Item_Code], B422, Supply_Clean[Available_Supply])</f>
        <v>6884</v>
      </c>
      <c r="L422">
        <f t="shared" si="31"/>
        <v>1</v>
      </c>
      <c r="M422">
        <f t="shared" si="32"/>
        <v>252.3</v>
      </c>
      <c r="N422" t="str">
        <f t="shared" si="33"/>
        <v>SUFICIENTE</v>
      </c>
      <c r="O422">
        <f t="shared" si="34"/>
        <v>0</v>
      </c>
    </row>
    <row r="423" spans="1:15" x14ac:dyDescent="0.45">
      <c r="A423" t="str">
        <v>CD-CHI</v>
      </c>
      <c r="B423" t="str">
        <v>BEB-1015</v>
      </c>
      <c r="C423">
        <v>736</v>
      </c>
      <c r="D423">
        <v>265.60000000000002</v>
      </c>
      <c r="E423">
        <v>53.1</v>
      </c>
      <c r="F423">
        <v>4.5999999999999996</v>
      </c>
      <c r="G423">
        <v>1</v>
      </c>
      <c r="H423" t="str">
        <v>OK</v>
      </c>
      <c r="J423">
        <f t="shared" si="30"/>
        <v>5073.0999999999995</v>
      </c>
      <c r="K423">
        <f>SUMIF(Supply_Clean[Item_Code], B423, Supply_Clean[Available_Supply])</f>
        <v>14801</v>
      </c>
      <c r="L423">
        <f t="shared" si="31"/>
        <v>1</v>
      </c>
      <c r="M423">
        <f t="shared" si="32"/>
        <v>265.60000000000002</v>
      </c>
      <c r="N423" t="str">
        <f t="shared" si="33"/>
        <v>SUFICIENTE</v>
      </c>
      <c r="O423">
        <f t="shared" si="34"/>
        <v>0</v>
      </c>
    </row>
    <row r="424" spans="1:15" x14ac:dyDescent="0.45">
      <c r="A424" t="str">
        <v>CD-GDL</v>
      </c>
      <c r="B424" t="str">
        <v>PRO-1012</v>
      </c>
      <c r="C424">
        <v>1943</v>
      </c>
      <c r="D424">
        <v>285.8</v>
      </c>
      <c r="E424">
        <v>118.8</v>
      </c>
      <c r="F424">
        <v>1</v>
      </c>
      <c r="G424">
        <v>0.2</v>
      </c>
      <c r="H424" t="str">
        <v>OK</v>
      </c>
      <c r="J424">
        <f t="shared" si="30"/>
        <v>4930.1000000000004</v>
      </c>
      <c r="K424">
        <f>SUMIF(Supply_Clean[Item_Code], B424, Supply_Clean[Available_Supply])</f>
        <v>9930</v>
      </c>
      <c r="L424">
        <f t="shared" si="31"/>
        <v>1</v>
      </c>
      <c r="M424">
        <f t="shared" si="32"/>
        <v>285.8</v>
      </c>
      <c r="N424" t="str">
        <f t="shared" si="33"/>
        <v>SUFICIENTE</v>
      </c>
      <c r="O424">
        <f t="shared" si="34"/>
        <v>0</v>
      </c>
    </row>
    <row r="425" spans="1:15" x14ac:dyDescent="0.45">
      <c r="A425" t="str">
        <v>CD-CHI</v>
      </c>
      <c r="B425" t="str">
        <v>PRO-1002</v>
      </c>
      <c r="C425">
        <v>7085</v>
      </c>
      <c r="D425">
        <v>507.2</v>
      </c>
      <c r="E425">
        <v>352</v>
      </c>
      <c r="F425">
        <v>4.5</v>
      </c>
      <c r="G425">
        <v>1</v>
      </c>
      <c r="H425" t="str">
        <v>OK</v>
      </c>
      <c r="J425">
        <f t="shared" si="30"/>
        <v>6123.6999999999989</v>
      </c>
      <c r="K425">
        <f>SUMIF(Supply_Clean[Item_Code], B425, Supply_Clean[Available_Supply])</f>
        <v>17616</v>
      </c>
      <c r="L425">
        <f t="shared" si="31"/>
        <v>1</v>
      </c>
      <c r="M425">
        <f t="shared" si="32"/>
        <v>507.2</v>
      </c>
      <c r="N425" t="str">
        <f t="shared" si="33"/>
        <v>SUFICIENTE</v>
      </c>
      <c r="O425">
        <f t="shared" si="34"/>
        <v>0</v>
      </c>
    </row>
    <row r="426" spans="1:15" x14ac:dyDescent="0.45">
      <c r="A426" t="str">
        <v>CD-SAL</v>
      </c>
      <c r="B426" t="str">
        <v>LAC-1007</v>
      </c>
      <c r="C426">
        <v>2226</v>
      </c>
      <c r="D426">
        <v>224.1</v>
      </c>
      <c r="E426">
        <v>88.4</v>
      </c>
      <c r="F426">
        <v>2.1</v>
      </c>
      <c r="G426">
        <v>0.5</v>
      </c>
      <c r="H426" t="str">
        <v>OK</v>
      </c>
      <c r="J426">
        <f t="shared" si="30"/>
        <v>4093.7999999999997</v>
      </c>
      <c r="K426">
        <f>SUMIF(Supply_Clean[Item_Code], B426, Supply_Clean[Available_Supply])</f>
        <v>11651</v>
      </c>
      <c r="L426">
        <f t="shared" si="31"/>
        <v>1</v>
      </c>
      <c r="M426">
        <f t="shared" si="32"/>
        <v>224.1</v>
      </c>
      <c r="N426" t="str">
        <f t="shared" si="33"/>
        <v>SUFICIENTE</v>
      </c>
      <c r="O426">
        <f t="shared" si="34"/>
        <v>0</v>
      </c>
    </row>
    <row r="427" spans="1:15" x14ac:dyDescent="0.45">
      <c r="A427" t="str">
        <v>CD-SAL</v>
      </c>
      <c r="B427" t="str">
        <v>BOT-1020</v>
      </c>
      <c r="C427">
        <v>5167</v>
      </c>
      <c r="D427">
        <v>401.4</v>
      </c>
      <c r="E427">
        <v>62.7</v>
      </c>
      <c r="F427">
        <v>1</v>
      </c>
      <c r="G427">
        <v>0.5</v>
      </c>
      <c r="H427" t="str">
        <v>OK</v>
      </c>
      <c r="J427">
        <f t="shared" si="30"/>
        <v>7693.4</v>
      </c>
      <c r="K427">
        <f>SUMIF(Supply_Clean[Item_Code], B427, Supply_Clean[Available_Supply])</f>
        <v>20558</v>
      </c>
      <c r="L427">
        <f t="shared" si="31"/>
        <v>1</v>
      </c>
      <c r="M427">
        <f t="shared" si="32"/>
        <v>401.4</v>
      </c>
      <c r="N427" t="str">
        <f t="shared" si="33"/>
        <v>SUFICIENTE</v>
      </c>
      <c r="O427">
        <f t="shared" si="34"/>
        <v>0</v>
      </c>
    </row>
    <row r="428" spans="1:15" x14ac:dyDescent="0.45">
      <c r="A428" t="str">
        <v>CD-QRO</v>
      </c>
      <c r="B428" t="str">
        <v>BEB-1010</v>
      </c>
      <c r="C428">
        <v>6609</v>
      </c>
      <c r="D428">
        <v>567.29999999999995</v>
      </c>
      <c r="E428">
        <v>75.099999999999994</v>
      </c>
      <c r="F428">
        <v>2.4</v>
      </c>
      <c r="G428">
        <v>0.4</v>
      </c>
      <c r="H428" t="str">
        <v>OK</v>
      </c>
      <c r="J428">
        <f t="shared" si="30"/>
        <v>4470.2999999999993</v>
      </c>
      <c r="K428">
        <f>SUMIF(Supply_Clean[Item_Code], B428, Supply_Clean[Available_Supply])</f>
        <v>3237</v>
      </c>
      <c r="L428">
        <f t="shared" si="31"/>
        <v>0.7241124756727737</v>
      </c>
      <c r="M428">
        <f t="shared" si="32"/>
        <v>410.7890074491645</v>
      </c>
      <c r="N428" t="str">
        <f t="shared" si="33"/>
        <v>ESCASEZ</v>
      </c>
      <c r="O428">
        <f t="shared" si="34"/>
        <v>156.51099255083545</v>
      </c>
    </row>
    <row r="429" spans="1:15" x14ac:dyDescent="0.45">
      <c r="A429" t="str">
        <v>CD-LEO</v>
      </c>
      <c r="B429" t="str">
        <v>LAC-1000</v>
      </c>
      <c r="C429">
        <v>912</v>
      </c>
      <c r="D429">
        <v>328.8</v>
      </c>
      <c r="E429">
        <v>122.7</v>
      </c>
      <c r="F429">
        <v>2.4</v>
      </c>
      <c r="G429">
        <v>0.6</v>
      </c>
      <c r="H429" t="str">
        <v>OK</v>
      </c>
      <c r="J429">
        <f t="shared" si="30"/>
        <v>4987.8</v>
      </c>
      <c r="K429">
        <f>SUMIF(Supply_Clean[Item_Code], B429, Supply_Clean[Available_Supply])</f>
        <v>12568</v>
      </c>
      <c r="L429">
        <f t="shared" si="31"/>
        <v>1</v>
      </c>
      <c r="M429">
        <f t="shared" si="32"/>
        <v>328.8</v>
      </c>
      <c r="N429" t="str">
        <f t="shared" si="33"/>
        <v>SUFICIENTE</v>
      </c>
      <c r="O429">
        <f t="shared" si="34"/>
        <v>0</v>
      </c>
    </row>
    <row r="430" spans="1:15" x14ac:dyDescent="0.45">
      <c r="A430" t="str">
        <v>CD-HER</v>
      </c>
      <c r="B430" t="str">
        <v>BEB-1019</v>
      </c>
      <c r="C430">
        <v>6763</v>
      </c>
      <c r="D430">
        <v>478</v>
      </c>
      <c r="E430">
        <v>60.8</v>
      </c>
      <c r="F430">
        <v>2.9</v>
      </c>
      <c r="G430">
        <v>1.2</v>
      </c>
      <c r="H430" t="str">
        <v>OK</v>
      </c>
      <c r="J430">
        <f t="shared" si="30"/>
        <v>5453.6</v>
      </c>
      <c r="K430">
        <f>SUMIF(Supply_Clean[Item_Code], B430, Supply_Clean[Available_Supply])</f>
        <v>15099</v>
      </c>
      <c r="L430">
        <f t="shared" si="31"/>
        <v>1</v>
      </c>
      <c r="M430">
        <f t="shared" si="32"/>
        <v>478</v>
      </c>
      <c r="N430" t="str">
        <f t="shared" si="33"/>
        <v>SUFICIENTE</v>
      </c>
      <c r="O430">
        <f t="shared" si="34"/>
        <v>0</v>
      </c>
    </row>
    <row r="431" spans="1:15" x14ac:dyDescent="0.45">
      <c r="A431" t="str">
        <v>CD-QRO</v>
      </c>
      <c r="B431" t="str">
        <v>PRO-1002</v>
      </c>
      <c r="C431">
        <v>4614</v>
      </c>
      <c r="D431">
        <v>473.7</v>
      </c>
      <c r="E431">
        <v>208.4</v>
      </c>
      <c r="F431">
        <v>2.5</v>
      </c>
      <c r="G431">
        <v>0.4</v>
      </c>
      <c r="H431" t="str">
        <v>OK</v>
      </c>
      <c r="J431">
        <f t="shared" si="30"/>
        <v>6123.6999999999989</v>
      </c>
      <c r="K431">
        <f>SUMIF(Supply_Clean[Item_Code], B431, Supply_Clean[Available_Supply])</f>
        <v>17616</v>
      </c>
      <c r="L431">
        <f t="shared" si="31"/>
        <v>1</v>
      </c>
      <c r="M431">
        <f t="shared" si="32"/>
        <v>473.7</v>
      </c>
      <c r="N431" t="str">
        <f t="shared" si="33"/>
        <v>SUFICIENTE</v>
      </c>
      <c r="O431">
        <f t="shared" si="34"/>
        <v>0</v>
      </c>
    </row>
    <row r="432" spans="1:15" x14ac:dyDescent="0.45">
      <c r="A432" t="str">
        <v>CD-GDL</v>
      </c>
      <c r="B432" t="str">
        <v>LAC-1001</v>
      </c>
      <c r="C432">
        <v>4012</v>
      </c>
      <c r="D432">
        <v>253.6</v>
      </c>
      <c r="E432">
        <v>106.6</v>
      </c>
      <c r="F432">
        <v>1.2</v>
      </c>
      <c r="G432">
        <v>0.2</v>
      </c>
      <c r="H432" t="str">
        <v>OK</v>
      </c>
      <c r="J432">
        <f t="shared" si="30"/>
        <v>3660.9999999999991</v>
      </c>
      <c r="K432">
        <f>SUMIF(Supply_Clean[Item_Code], B432, Supply_Clean[Available_Supply])</f>
        <v>9945</v>
      </c>
      <c r="L432">
        <f t="shared" si="31"/>
        <v>1</v>
      </c>
      <c r="M432">
        <f t="shared" si="32"/>
        <v>253.6</v>
      </c>
      <c r="N432" t="str">
        <f t="shared" si="33"/>
        <v>SUFICIENTE</v>
      </c>
      <c r="O432">
        <f t="shared" si="34"/>
        <v>0</v>
      </c>
    </row>
    <row r="433" spans="1:15" x14ac:dyDescent="0.45">
      <c r="A433" t="str">
        <v>CD-CAN</v>
      </c>
      <c r="B433" t="str">
        <v>BEB-1021</v>
      </c>
      <c r="C433">
        <v>2307</v>
      </c>
      <c r="D433">
        <v>175.2</v>
      </c>
      <c r="E433">
        <v>22.8</v>
      </c>
      <c r="F433">
        <v>5.6</v>
      </c>
      <c r="G433">
        <v>1.6</v>
      </c>
      <c r="H433" t="str">
        <v>OK</v>
      </c>
      <c r="J433">
        <f t="shared" si="30"/>
        <v>5254.7999999999993</v>
      </c>
      <c r="K433">
        <f>SUMIF(Supply_Clean[Item_Code], B433, Supply_Clean[Available_Supply])</f>
        <v>13235</v>
      </c>
      <c r="L433">
        <f t="shared" si="31"/>
        <v>1</v>
      </c>
      <c r="M433">
        <f t="shared" si="32"/>
        <v>175.2</v>
      </c>
      <c r="N433" t="str">
        <f t="shared" si="33"/>
        <v>SUFICIENTE</v>
      </c>
      <c r="O433">
        <f t="shared" si="34"/>
        <v>0</v>
      </c>
    </row>
    <row r="434" spans="1:15" x14ac:dyDescent="0.45">
      <c r="A434" t="str">
        <v>CD-LEO</v>
      </c>
      <c r="B434" t="str">
        <v>LAC-1013</v>
      </c>
      <c r="C434">
        <v>3385</v>
      </c>
      <c r="D434">
        <v>355.2</v>
      </c>
      <c r="E434">
        <v>119.3</v>
      </c>
      <c r="F434">
        <v>2</v>
      </c>
      <c r="G434">
        <v>0.6</v>
      </c>
      <c r="H434" t="str">
        <v>OK</v>
      </c>
      <c r="J434">
        <f t="shared" si="30"/>
        <v>3650.7</v>
      </c>
      <c r="K434">
        <f>SUMIF(Supply_Clean[Item_Code], B434, Supply_Clean[Available_Supply])</f>
        <v>12026</v>
      </c>
      <c r="L434">
        <f t="shared" si="31"/>
        <v>1</v>
      </c>
      <c r="M434">
        <f t="shared" si="32"/>
        <v>355.2</v>
      </c>
      <c r="N434" t="str">
        <f t="shared" si="33"/>
        <v>SUFICIENTE</v>
      </c>
      <c r="O434">
        <f t="shared" si="34"/>
        <v>0</v>
      </c>
    </row>
    <row r="435" spans="1:15" x14ac:dyDescent="0.45">
      <c r="A435" t="str">
        <v>CD-MER</v>
      </c>
      <c r="B435" t="str">
        <v>BEB-1001</v>
      </c>
      <c r="C435">
        <v>1967</v>
      </c>
      <c r="D435">
        <v>415.7</v>
      </c>
      <c r="E435">
        <v>60.5</v>
      </c>
      <c r="F435">
        <v>3</v>
      </c>
      <c r="G435">
        <v>1.3</v>
      </c>
      <c r="H435" t="str">
        <v>OK</v>
      </c>
      <c r="J435">
        <f t="shared" si="30"/>
        <v>6941.9</v>
      </c>
      <c r="K435">
        <f>SUMIF(Supply_Clean[Item_Code], B435, Supply_Clean[Available_Supply])</f>
        <v>11725</v>
      </c>
      <c r="L435">
        <f t="shared" si="31"/>
        <v>1</v>
      </c>
      <c r="M435">
        <f t="shared" si="32"/>
        <v>415.7</v>
      </c>
      <c r="N435" t="str">
        <f t="shared" si="33"/>
        <v>SUFICIENTE</v>
      </c>
      <c r="O435">
        <f t="shared" si="34"/>
        <v>0</v>
      </c>
    </row>
    <row r="436" spans="1:15" x14ac:dyDescent="0.45">
      <c r="A436" t="str">
        <v>CD-CDMX</v>
      </c>
      <c r="B436" t="str">
        <v>LAC-1015</v>
      </c>
      <c r="C436">
        <v>5676</v>
      </c>
      <c r="D436">
        <v>374.9</v>
      </c>
      <c r="E436">
        <v>156.4</v>
      </c>
      <c r="F436">
        <v>1.2</v>
      </c>
      <c r="G436">
        <v>0.2</v>
      </c>
      <c r="H436" t="str">
        <v>OK</v>
      </c>
      <c r="J436">
        <f t="shared" si="30"/>
        <v>3982.7000000000007</v>
      </c>
      <c r="K436">
        <f>SUMIF(Supply_Clean[Item_Code], B436, Supply_Clean[Available_Supply])</f>
        <v>8604</v>
      </c>
      <c r="L436">
        <f t="shared" si="31"/>
        <v>1</v>
      </c>
      <c r="M436">
        <f t="shared" si="32"/>
        <v>374.9</v>
      </c>
      <c r="N436" t="str">
        <f t="shared" si="33"/>
        <v>SUFICIENTE</v>
      </c>
      <c r="O436">
        <f t="shared" si="34"/>
        <v>0</v>
      </c>
    </row>
    <row r="437" spans="1:15" x14ac:dyDescent="0.45">
      <c r="A437" t="str">
        <v>CD-CHI</v>
      </c>
      <c r="B437" t="str">
        <v>BOT-1009</v>
      </c>
      <c r="C437">
        <v>9389</v>
      </c>
      <c r="D437">
        <v>869.1</v>
      </c>
      <c r="E437">
        <v>235.4</v>
      </c>
      <c r="F437">
        <v>2.1</v>
      </c>
      <c r="G437">
        <v>1</v>
      </c>
      <c r="H437" t="str">
        <v>OK</v>
      </c>
      <c r="J437">
        <f t="shared" si="30"/>
        <v>8135.5</v>
      </c>
      <c r="K437">
        <f>SUMIF(Supply_Clean[Item_Code], B437, Supply_Clean[Available_Supply])</f>
        <v>17475</v>
      </c>
      <c r="L437">
        <f t="shared" si="31"/>
        <v>1</v>
      </c>
      <c r="M437">
        <f t="shared" si="32"/>
        <v>869.1</v>
      </c>
      <c r="N437" t="str">
        <f t="shared" si="33"/>
        <v>SUFICIENTE</v>
      </c>
      <c r="O437">
        <f t="shared" si="34"/>
        <v>0</v>
      </c>
    </row>
    <row r="438" spans="1:15" x14ac:dyDescent="0.45">
      <c r="A438" t="str">
        <v>CD-CDMX</v>
      </c>
      <c r="B438" t="str">
        <v>BOT-1001</v>
      </c>
      <c r="C438">
        <v>11344</v>
      </c>
      <c r="D438">
        <v>662.8</v>
      </c>
      <c r="E438">
        <v>114.8</v>
      </c>
      <c r="F438">
        <v>0.7</v>
      </c>
      <c r="G438">
        <v>0.2</v>
      </c>
      <c r="H438" t="str">
        <v>OK</v>
      </c>
      <c r="J438">
        <f t="shared" si="30"/>
        <v>8375.9</v>
      </c>
      <c r="K438">
        <f>SUMIF(Supply_Clean[Item_Code], B438, Supply_Clean[Available_Supply])</f>
        <v>20393</v>
      </c>
      <c r="L438">
        <f t="shared" si="31"/>
        <v>1</v>
      </c>
      <c r="M438">
        <f t="shared" si="32"/>
        <v>662.8</v>
      </c>
      <c r="N438" t="str">
        <f t="shared" si="33"/>
        <v>SUFICIENTE</v>
      </c>
      <c r="O438">
        <f t="shared" si="34"/>
        <v>0</v>
      </c>
    </row>
    <row r="439" spans="1:15" x14ac:dyDescent="0.45">
      <c r="A439" t="str">
        <v>CD-QRO</v>
      </c>
      <c r="B439" t="str">
        <v>ABA-1012</v>
      </c>
      <c r="C439">
        <v>3070</v>
      </c>
      <c r="D439">
        <v>0</v>
      </c>
      <c r="E439">
        <v>26.7</v>
      </c>
      <c r="F439">
        <v>1.6</v>
      </c>
      <c r="G439">
        <v>0.4</v>
      </c>
      <c r="H439" t="str">
        <v>OK</v>
      </c>
      <c r="J439">
        <f t="shared" si="30"/>
        <v>5104.3999999999996</v>
      </c>
      <c r="K439">
        <f>SUMIF(Supply_Clean[Item_Code], B439, Supply_Clean[Available_Supply])</f>
        <v>8396</v>
      </c>
      <c r="L439">
        <f t="shared" si="31"/>
        <v>1</v>
      </c>
      <c r="M439">
        <f t="shared" si="32"/>
        <v>0</v>
      </c>
      <c r="N439" t="str">
        <f t="shared" si="33"/>
        <v>SUFICIENTE</v>
      </c>
      <c r="O439">
        <f t="shared" si="34"/>
        <v>0</v>
      </c>
    </row>
    <row r="440" spans="1:15" x14ac:dyDescent="0.45">
      <c r="A440" t="str">
        <v>CD-TOL</v>
      </c>
      <c r="B440" t="str">
        <v>LAC-1015</v>
      </c>
      <c r="C440">
        <v>3045</v>
      </c>
      <c r="D440">
        <v>202.6</v>
      </c>
      <c r="E440">
        <v>74.8</v>
      </c>
      <c r="F440">
        <v>1.4</v>
      </c>
      <c r="G440">
        <v>0.5</v>
      </c>
      <c r="H440" t="str">
        <v>OK</v>
      </c>
      <c r="J440">
        <f t="shared" si="30"/>
        <v>3982.7000000000007</v>
      </c>
      <c r="K440">
        <f>SUMIF(Supply_Clean[Item_Code], B440, Supply_Clean[Available_Supply])</f>
        <v>8604</v>
      </c>
      <c r="L440">
        <f t="shared" si="31"/>
        <v>1</v>
      </c>
      <c r="M440">
        <f t="shared" si="32"/>
        <v>202.6</v>
      </c>
      <c r="N440" t="str">
        <f t="shared" si="33"/>
        <v>SUFICIENTE</v>
      </c>
      <c r="O440">
        <f t="shared" si="34"/>
        <v>0</v>
      </c>
    </row>
    <row r="441" spans="1:15" x14ac:dyDescent="0.45">
      <c r="A441" t="str">
        <v>CD-GDL</v>
      </c>
      <c r="B441" t="str">
        <v>ABA-1012</v>
      </c>
      <c r="C441">
        <v>4556</v>
      </c>
      <c r="D441">
        <v>324.2</v>
      </c>
      <c r="E441">
        <v>44.2</v>
      </c>
      <c r="F441">
        <v>0.5</v>
      </c>
      <c r="G441">
        <v>0.2</v>
      </c>
      <c r="H441" t="str">
        <v>OK</v>
      </c>
      <c r="J441">
        <f t="shared" si="30"/>
        <v>5104.3999999999996</v>
      </c>
      <c r="K441">
        <f>SUMIF(Supply_Clean[Item_Code], B441, Supply_Clean[Available_Supply])</f>
        <v>8396</v>
      </c>
      <c r="L441">
        <f t="shared" si="31"/>
        <v>1</v>
      </c>
      <c r="M441">
        <f t="shared" si="32"/>
        <v>324.2</v>
      </c>
      <c r="N441" t="str">
        <f t="shared" si="33"/>
        <v>SUFICIENTE</v>
      </c>
      <c r="O441">
        <f t="shared" si="34"/>
        <v>0</v>
      </c>
    </row>
    <row r="442" spans="1:15" x14ac:dyDescent="0.45">
      <c r="A442" t="str">
        <v>CD-MTY</v>
      </c>
      <c r="B442" t="str">
        <v>BEB-1014</v>
      </c>
      <c r="C442">
        <v>4107</v>
      </c>
      <c r="D442">
        <v>276.5</v>
      </c>
      <c r="E442">
        <v>45</v>
      </c>
      <c r="F442">
        <v>1.1000000000000001</v>
      </c>
      <c r="G442">
        <v>0.3</v>
      </c>
      <c r="H442" t="str">
        <v>OK</v>
      </c>
      <c r="J442">
        <f t="shared" si="30"/>
        <v>6274.9000000000005</v>
      </c>
      <c r="K442">
        <f>SUMIF(Supply_Clean[Item_Code], B442, Supply_Clean[Available_Supply])</f>
        <v>14205</v>
      </c>
      <c r="L442">
        <f t="shared" si="31"/>
        <v>1</v>
      </c>
      <c r="M442">
        <f t="shared" si="32"/>
        <v>276.5</v>
      </c>
      <c r="N442" t="str">
        <f t="shared" si="33"/>
        <v>SUFICIENTE</v>
      </c>
      <c r="O442">
        <f t="shared" si="34"/>
        <v>0</v>
      </c>
    </row>
    <row r="443" spans="1:15" x14ac:dyDescent="0.45">
      <c r="A443" t="str">
        <v>CD-GDL</v>
      </c>
      <c r="B443" t="str">
        <v>BEB-1005</v>
      </c>
      <c r="C443">
        <v>3576</v>
      </c>
      <c r="D443">
        <v>316</v>
      </c>
      <c r="E443">
        <v>55.5</v>
      </c>
      <c r="F443">
        <v>1.2</v>
      </c>
      <c r="G443">
        <v>0.2</v>
      </c>
      <c r="H443" t="str">
        <v>OK</v>
      </c>
      <c r="J443">
        <f t="shared" si="30"/>
        <v>6220.1999999999989</v>
      </c>
      <c r="K443">
        <f>SUMIF(Supply_Clean[Item_Code], B443, Supply_Clean[Available_Supply])</f>
        <v>14054</v>
      </c>
      <c r="L443">
        <f t="shared" si="31"/>
        <v>1</v>
      </c>
      <c r="M443">
        <f t="shared" si="32"/>
        <v>316</v>
      </c>
      <c r="N443" t="str">
        <f t="shared" si="33"/>
        <v>SUFICIENTE</v>
      </c>
      <c r="O443">
        <f t="shared" si="34"/>
        <v>0</v>
      </c>
    </row>
    <row r="444" spans="1:15" x14ac:dyDescent="0.45">
      <c r="A444" t="str">
        <v>CD-VER</v>
      </c>
      <c r="B444" t="str">
        <v>ABA-1012</v>
      </c>
      <c r="C444">
        <v>4648</v>
      </c>
      <c r="D444">
        <v>355</v>
      </c>
      <c r="E444">
        <v>29.9</v>
      </c>
      <c r="F444">
        <v>1.5</v>
      </c>
      <c r="G444">
        <v>0.9</v>
      </c>
      <c r="H444" t="str">
        <v>OK</v>
      </c>
      <c r="J444">
        <f t="shared" si="30"/>
        <v>5104.3999999999996</v>
      </c>
      <c r="K444">
        <f>SUMIF(Supply_Clean[Item_Code], B444, Supply_Clean[Available_Supply])</f>
        <v>8396</v>
      </c>
      <c r="L444">
        <f t="shared" si="31"/>
        <v>1</v>
      </c>
      <c r="M444">
        <f t="shared" si="32"/>
        <v>355</v>
      </c>
      <c r="N444" t="str">
        <f t="shared" si="33"/>
        <v>SUFICIENTE</v>
      </c>
      <c r="O444">
        <f t="shared" si="34"/>
        <v>0</v>
      </c>
    </row>
    <row r="445" spans="1:15" x14ac:dyDescent="0.45">
      <c r="A445" t="str">
        <v>CD-CHI</v>
      </c>
      <c r="B445" t="str">
        <v>BOT-1012</v>
      </c>
      <c r="C445">
        <v>6377</v>
      </c>
      <c r="D445">
        <v>996.9</v>
      </c>
      <c r="E445">
        <v>202.4</v>
      </c>
      <c r="F445">
        <v>3.7</v>
      </c>
      <c r="G445">
        <v>1</v>
      </c>
      <c r="H445" t="str">
        <v>OK</v>
      </c>
      <c r="J445">
        <f t="shared" si="30"/>
        <v>9259.4</v>
      </c>
      <c r="K445">
        <f>SUMIF(Supply_Clean[Item_Code], B445, Supply_Clean[Available_Supply])</f>
        <v>13943</v>
      </c>
      <c r="L445">
        <f t="shared" si="31"/>
        <v>1</v>
      </c>
      <c r="M445">
        <f t="shared" si="32"/>
        <v>996.9</v>
      </c>
      <c r="N445" t="str">
        <f t="shared" si="33"/>
        <v>SUFICIENTE</v>
      </c>
      <c r="O445">
        <f t="shared" si="34"/>
        <v>0</v>
      </c>
    </row>
    <row r="446" spans="1:15" x14ac:dyDescent="0.45">
      <c r="A446" t="str">
        <v>CD-TIJ</v>
      </c>
      <c r="B446" t="str">
        <v>ABA-1002</v>
      </c>
      <c r="C446">
        <v>1388</v>
      </c>
      <c r="D446">
        <v>236.4</v>
      </c>
      <c r="E446">
        <v>35.1</v>
      </c>
      <c r="F446">
        <v>5.7</v>
      </c>
      <c r="G446">
        <v>1.5</v>
      </c>
      <c r="H446" t="str">
        <v>OK</v>
      </c>
      <c r="J446">
        <f t="shared" si="30"/>
        <v>4525.7</v>
      </c>
      <c r="K446">
        <f>SUMIF(Supply_Clean[Item_Code], B446, Supply_Clean[Available_Supply])</f>
        <v>8581</v>
      </c>
      <c r="L446">
        <f t="shared" si="31"/>
        <v>1</v>
      </c>
      <c r="M446">
        <f t="shared" si="32"/>
        <v>236.4</v>
      </c>
      <c r="N446" t="str">
        <f t="shared" si="33"/>
        <v>SUFICIENTE</v>
      </c>
      <c r="O446">
        <f t="shared" si="34"/>
        <v>0</v>
      </c>
    </row>
    <row r="447" spans="1:15" x14ac:dyDescent="0.45">
      <c r="A447" t="str">
        <v>CD-TOL</v>
      </c>
      <c r="B447" t="str">
        <v>ABA-1016</v>
      </c>
      <c r="C447">
        <v>4541</v>
      </c>
      <c r="D447">
        <v>277.5</v>
      </c>
      <c r="E447">
        <v>41</v>
      </c>
      <c r="F447">
        <v>1.6</v>
      </c>
      <c r="G447">
        <v>0.5</v>
      </c>
      <c r="H447" t="str">
        <v>OK</v>
      </c>
      <c r="J447">
        <f t="shared" si="30"/>
        <v>5056.7</v>
      </c>
      <c r="K447">
        <f>SUMIF(Supply_Clean[Item_Code], B447, Supply_Clean[Available_Supply])</f>
        <v>9151</v>
      </c>
      <c r="L447">
        <f t="shared" si="31"/>
        <v>1</v>
      </c>
      <c r="M447">
        <f t="shared" si="32"/>
        <v>277.5</v>
      </c>
      <c r="N447" t="str">
        <f t="shared" si="33"/>
        <v>SUFICIENTE</v>
      </c>
      <c r="O447">
        <f t="shared" si="34"/>
        <v>0</v>
      </c>
    </row>
    <row r="448" spans="1:15" x14ac:dyDescent="0.45">
      <c r="A448" t="str">
        <v>CD-CHI</v>
      </c>
      <c r="B448" t="str">
        <v>BEB-1009</v>
      </c>
      <c r="C448">
        <v>4884</v>
      </c>
      <c r="D448">
        <v>385.5</v>
      </c>
      <c r="E448">
        <v>57.4</v>
      </c>
      <c r="F448">
        <v>3.5</v>
      </c>
      <c r="G448">
        <v>1</v>
      </c>
      <c r="H448" t="str">
        <v>OK</v>
      </c>
      <c r="J448">
        <f t="shared" si="30"/>
        <v>6226.9000000000005</v>
      </c>
      <c r="K448">
        <f>SUMIF(Supply_Clean[Item_Code], B448, Supply_Clean[Available_Supply])</f>
        <v>10475</v>
      </c>
      <c r="L448">
        <f t="shared" si="31"/>
        <v>1</v>
      </c>
      <c r="M448">
        <f t="shared" si="32"/>
        <v>385.5</v>
      </c>
      <c r="N448" t="str">
        <f t="shared" si="33"/>
        <v>SUFICIENTE</v>
      </c>
      <c r="O448">
        <f t="shared" si="34"/>
        <v>0</v>
      </c>
    </row>
    <row r="449" spans="1:15" x14ac:dyDescent="0.45">
      <c r="A449" t="str">
        <v>CD-MOR</v>
      </c>
      <c r="B449" t="str">
        <v>BOT-1010</v>
      </c>
      <c r="C449">
        <v>0</v>
      </c>
      <c r="D449">
        <v>524.6</v>
      </c>
      <c r="E449">
        <v>131.5</v>
      </c>
      <c r="F449">
        <v>1.5</v>
      </c>
      <c r="G449">
        <v>0.5</v>
      </c>
      <c r="H449">
        <v>0</v>
      </c>
      <c r="J449">
        <f t="shared" si="30"/>
        <v>7108.7000000000007</v>
      </c>
      <c r="K449">
        <f>SUMIF(Supply_Clean[Item_Code], B449, Supply_Clean[Available_Supply])</f>
        <v>21582</v>
      </c>
      <c r="L449">
        <f t="shared" si="31"/>
        <v>1</v>
      </c>
      <c r="M449">
        <f t="shared" si="32"/>
        <v>524.6</v>
      </c>
      <c r="N449" t="str">
        <f t="shared" si="33"/>
        <v>SUFICIENTE</v>
      </c>
      <c r="O449">
        <f t="shared" si="34"/>
        <v>0</v>
      </c>
    </row>
    <row r="450" spans="1:15" x14ac:dyDescent="0.45">
      <c r="A450" t="str">
        <v>CD-CAN</v>
      </c>
      <c r="B450" t="str">
        <v>ABA-1004</v>
      </c>
      <c r="C450">
        <v>5364</v>
      </c>
      <c r="D450">
        <v>472.4</v>
      </c>
      <c r="E450">
        <v>55.4</v>
      </c>
      <c r="F450">
        <v>4.5999999999999996</v>
      </c>
      <c r="G450">
        <v>1.6</v>
      </c>
      <c r="H450" t="str">
        <v>OK</v>
      </c>
      <c r="J450">
        <f t="shared" si="30"/>
        <v>5236.7</v>
      </c>
      <c r="K450">
        <f>SUMIF(Supply_Clean[Item_Code], B450, Supply_Clean[Available_Supply])</f>
        <v>10879</v>
      </c>
      <c r="L450">
        <f t="shared" si="31"/>
        <v>1</v>
      </c>
      <c r="M450">
        <f t="shared" si="32"/>
        <v>472.4</v>
      </c>
      <c r="N450" t="str">
        <f t="shared" si="33"/>
        <v>SUFICIENTE</v>
      </c>
      <c r="O450">
        <f t="shared" si="34"/>
        <v>0</v>
      </c>
    </row>
    <row r="451" spans="1:15" x14ac:dyDescent="0.45">
      <c r="A451" t="str">
        <v>CD-MOR</v>
      </c>
      <c r="B451" t="str">
        <v>PRO-1013</v>
      </c>
      <c r="C451">
        <v>5966</v>
      </c>
      <c r="D451">
        <v>427.9</v>
      </c>
      <c r="E451">
        <v>215.7</v>
      </c>
      <c r="F451">
        <v>1.8</v>
      </c>
      <c r="G451">
        <v>0.5</v>
      </c>
      <c r="H451" t="str">
        <v>OK</v>
      </c>
      <c r="J451">
        <f t="shared" ref="J451:J514" si="35">SUMIF($B$2:$B$1501, B451, $D$2:$D$1501)</f>
        <v>7113.8</v>
      </c>
      <c r="K451">
        <f>SUMIF(Supply_Clean[Item_Code], B451, Supply_Clean[Available_Supply])</f>
        <v>15134</v>
      </c>
      <c r="L451">
        <f t="shared" ref="L451:L514" si="36">IFERROR(MIN(1, K451/J451), "")</f>
        <v>1</v>
      </c>
      <c r="M451">
        <f t="shared" ref="M451:M514" si="37">IFERROR(D451*L451, "")</f>
        <v>427.9</v>
      </c>
      <c r="N451" t="str">
        <f t="shared" ref="N451:N514" si="38">IF(L451&lt;1, "ESCASEZ", "SUFICIENTE")</f>
        <v>SUFICIENTE</v>
      </c>
      <c r="O451">
        <f t="shared" ref="O451:O514" si="39">IF(N451="ESCASEZ", D451-M451, 0)</f>
        <v>0</v>
      </c>
    </row>
    <row r="452" spans="1:15" x14ac:dyDescent="0.45">
      <c r="A452" t="str">
        <v>CD-SAL</v>
      </c>
      <c r="B452" t="str">
        <v>BOT-1001</v>
      </c>
      <c r="C452">
        <v>6177</v>
      </c>
      <c r="D452">
        <v>642.4</v>
      </c>
      <c r="E452">
        <v>150.9</v>
      </c>
      <c r="F452">
        <v>1.6</v>
      </c>
      <c r="G452">
        <v>0.5</v>
      </c>
      <c r="H452" t="str">
        <v>OK</v>
      </c>
      <c r="J452">
        <f t="shared" si="35"/>
        <v>8375.9</v>
      </c>
      <c r="K452">
        <f>SUMIF(Supply_Clean[Item_Code], B452, Supply_Clean[Available_Supply])</f>
        <v>20393</v>
      </c>
      <c r="L452">
        <f t="shared" si="36"/>
        <v>1</v>
      </c>
      <c r="M452">
        <f t="shared" si="37"/>
        <v>642.4</v>
      </c>
      <c r="N452" t="str">
        <f t="shared" si="38"/>
        <v>SUFICIENTE</v>
      </c>
      <c r="O452">
        <f t="shared" si="39"/>
        <v>0</v>
      </c>
    </row>
    <row r="453" spans="1:15" x14ac:dyDescent="0.45">
      <c r="A453" t="str">
        <v>CD-TOL</v>
      </c>
      <c r="B453" t="str">
        <v>PRO-1009</v>
      </c>
      <c r="C453">
        <v>3245</v>
      </c>
      <c r="D453">
        <v>185.3</v>
      </c>
      <c r="E453">
        <v>108.4</v>
      </c>
      <c r="F453">
        <v>2.6</v>
      </c>
      <c r="G453">
        <v>0.5</v>
      </c>
      <c r="H453" t="str">
        <v>OK</v>
      </c>
      <c r="J453">
        <f t="shared" si="35"/>
        <v>5962.0999999999995</v>
      </c>
      <c r="K453">
        <f>SUMIF(Supply_Clean[Item_Code], B453, Supply_Clean[Available_Supply])</f>
        <v>10685</v>
      </c>
      <c r="L453">
        <f t="shared" si="36"/>
        <v>1</v>
      </c>
      <c r="M453">
        <f t="shared" si="37"/>
        <v>185.3</v>
      </c>
      <c r="N453" t="str">
        <f t="shared" si="38"/>
        <v>SUFICIENTE</v>
      </c>
      <c r="O453">
        <f t="shared" si="39"/>
        <v>0</v>
      </c>
    </row>
    <row r="454" spans="1:15" x14ac:dyDescent="0.45">
      <c r="A454" t="str">
        <v>CD-LEO</v>
      </c>
      <c r="B454" t="str">
        <v>BOT-1004</v>
      </c>
      <c r="C454">
        <v>1822</v>
      </c>
      <c r="D454">
        <v>445.1</v>
      </c>
      <c r="E454">
        <v>118.4</v>
      </c>
      <c r="F454">
        <v>1.9</v>
      </c>
      <c r="G454">
        <v>0.6</v>
      </c>
      <c r="H454" t="str">
        <v>OK</v>
      </c>
      <c r="J454">
        <f t="shared" si="35"/>
        <v>9421.7999999999993</v>
      </c>
      <c r="K454">
        <f>SUMIF(Supply_Clean[Item_Code], B454, Supply_Clean[Available_Supply])</f>
        <v>15860</v>
      </c>
      <c r="L454">
        <f t="shared" si="36"/>
        <v>1</v>
      </c>
      <c r="M454">
        <f t="shared" si="37"/>
        <v>445.1</v>
      </c>
      <c r="N454" t="str">
        <f t="shared" si="38"/>
        <v>SUFICIENTE</v>
      </c>
      <c r="O454">
        <f t="shared" si="39"/>
        <v>0</v>
      </c>
    </row>
    <row r="455" spans="1:15" x14ac:dyDescent="0.45">
      <c r="A455" t="str">
        <v>CD-MER</v>
      </c>
      <c r="B455" t="str">
        <v>BEB-1016</v>
      </c>
      <c r="C455">
        <v>1181</v>
      </c>
      <c r="D455">
        <v>363.7</v>
      </c>
      <c r="E455">
        <v>70.900000000000006</v>
      </c>
      <c r="F455">
        <v>4.5999999999999996</v>
      </c>
      <c r="G455">
        <v>1.3</v>
      </c>
      <c r="H455" t="str">
        <v>OK</v>
      </c>
      <c r="J455">
        <f t="shared" si="35"/>
        <v>5569.2000000000007</v>
      </c>
      <c r="K455">
        <f>SUMIF(Supply_Clean[Item_Code], B455, Supply_Clean[Available_Supply])</f>
        <v>14537</v>
      </c>
      <c r="L455">
        <f t="shared" si="36"/>
        <v>1</v>
      </c>
      <c r="M455">
        <f t="shared" si="37"/>
        <v>363.7</v>
      </c>
      <c r="N455" t="str">
        <f t="shared" si="38"/>
        <v>SUFICIENTE</v>
      </c>
      <c r="O455">
        <f t="shared" si="39"/>
        <v>0</v>
      </c>
    </row>
    <row r="456" spans="1:15" x14ac:dyDescent="0.45">
      <c r="A456" t="str">
        <v>CD-CDMX</v>
      </c>
      <c r="B456" t="str">
        <v>BEB-1018</v>
      </c>
      <c r="C456">
        <v>4886</v>
      </c>
      <c r="D456">
        <v>279.3</v>
      </c>
      <c r="E456">
        <v>35.4</v>
      </c>
      <c r="F456">
        <v>1.2</v>
      </c>
      <c r="G456">
        <v>0.2</v>
      </c>
      <c r="H456" t="str">
        <v>OK</v>
      </c>
      <c r="J456">
        <f t="shared" si="35"/>
        <v>5898.0999999999995</v>
      </c>
      <c r="K456">
        <f>SUMIF(Supply_Clean[Item_Code], B456, Supply_Clean[Available_Supply])</f>
        <v>11472</v>
      </c>
      <c r="L456">
        <f t="shared" si="36"/>
        <v>1</v>
      </c>
      <c r="M456">
        <f t="shared" si="37"/>
        <v>279.3</v>
      </c>
      <c r="N456" t="str">
        <f t="shared" si="38"/>
        <v>SUFICIENTE</v>
      </c>
      <c r="O456">
        <f t="shared" si="39"/>
        <v>0</v>
      </c>
    </row>
    <row r="457" spans="1:15" x14ac:dyDescent="0.45">
      <c r="A457" t="str">
        <v>CD-QRO</v>
      </c>
      <c r="B457" t="str">
        <v>BOT-1012</v>
      </c>
      <c r="C457">
        <v>6474</v>
      </c>
      <c r="D457">
        <v>545.29999999999995</v>
      </c>
      <c r="E457">
        <v>83.9</v>
      </c>
      <c r="F457">
        <v>1.8</v>
      </c>
      <c r="G457">
        <v>0.4</v>
      </c>
      <c r="H457" t="str">
        <v>OK</v>
      </c>
      <c r="J457">
        <f t="shared" si="35"/>
        <v>9259.4</v>
      </c>
      <c r="K457">
        <f>SUMIF(Supply_Clean[Item_Code], B457, Supply_Clean[Available_Supply])</f>
        <v>13943</v>
      </c>
      <c r="L457">
        <f t="shared" si="36"/>
        <v>1</v>
      </c>
      <c r="M457">
        <f t="shared" si="37"/>
        <v>545.29999999999995</v>
      </c>
      <c r="N457" t="str">
        <f t="shared" si="38"/>
        <v>SUFICIENTE</v>
      </c>
      <c r="O457">
        <f t="shared" si="39"/>
        <v>0</v>
      </c>
    </row>
    <row r="458" spans="1:15" x14ac:dyDescent="0.45">
      <c r="A458" t="str">
        <v>CD-MOR</v>
      </c>
      <c r="B458" t="str">
        <v>BEB-1012</v>
      </c>
      <c r="C458">
        <v>2007</v>
      </c>
      <c r="D458">
        <v>263.7</v>
      </c>
      <c r="E458">
        <v>39.5</v>
      </c>
      <c r="F458">
        <v>1.9</v>
      </c>
      <c r="G458">
        <v>0.5</v>
      </c>
      <c r="H458" t="str">
        <v>OK</v>
      </c>
      <c r="J458">
        <f t="shared" si="35"/>
        <v>5740.7</v>
      </c>
      <c r="K458">
        <f>SUMIF(Supply_Clean[Item_Code], B458, Supply_Clean[Available_Supply])</f>
        <v>12491</v>
      </c>
      <c r="L458">
        <f t="shared" si="36"/>
        <v>1</v>
      </c>
      <c r="M458">
        <f t="shared" si="37"/>
        <v>263.7</v>
      </c>
      <c r="N458" t="str">
        <f t="shared" si="38"/>
        <v>SUFICIENTE</v>
      </c>
      <c r="O458">
        <f t="shared" si="39"/>
        <v>0</v>
      </c>
    </row>
    <row r="459" spans="1:15" x14ac:dyDescent="0.45">
      <c r="A459" t="str">
        <v>CD-MTY</v>
      </c>
      <c r="B459" t="str">
        <v>ABA-1004</v>
      </c>
      <c r="C459">
        <v>3699</v>
      </c>
      <c r="D459">
        <v>208.8</v>
      </c>
      <c r="E459">
        <v>19.2</v>
      </c>
      <c r="F459">
        <v>0.5</v>
      </c>
      <c r="G459">
        <v>0.3</v>
      </c>
      <c r="H459" t="str">
        <v>OK</v>
      </c>
      <c r="J459">
        <f t="shared" si="35"/>
        <v>5236.7</v>
      </c>
      <c r="K459">
        <f>SUMIF(Supply_Clean[Item_Code], B459, Supply_Clean[Available_Supply])</f>
        <v>10879</v>
      </c>
      <c r="L459">
        <f t="shared" si="36"/>
        <v>1</v>
      </c>
      <c r="M459">
        <f t="shared" si="37"/>
        <v>208.8</v>
      </c>
      <c r="N459" t="str">
        <f t="shared" si="38"/>
        <v>SUFICIENTE</v>
      </c>
      <c r="O459">
        <f t="shared" si="39"/>
        <v>0</v>
      </c>
    </row>
    <row r="460" spans="1:15" x14ac:dyDescent="0.45">
      <c r="A460" t="str">
        <v>CD-TOL</v>
      </c>
      <c r="B460" t="str">
        <v>BEB-1000</v>
      </c>
      <c r="C460">
        <v>4071</v>
      </c>
      <c r="D460">
        <v>271.60000000000002</v>
      </c>
      <c r="E460">
        <v>33</v>
      </c>
      <c r="F460">
        <v>1.6</v>
      </c>
      <c r="G460">
        <v>0.5</v>
      </c>
      <c r="H460" t="str">
        <v>OK</v>
      </c>
      <c r="J460">
        <f t="shared" si="35"/>
        <v>4843.5</v>
      </c>
      <c r="K460">
        <f>SUMIF(Supply_Clean[Item_Code], B460, Supply_Clean[Available_Supply])</f>
        <v>14592</v>
      </c>
      <c r="L460">
        <f t="shared" si="36"/>
        <v>1</v>
      </c>
      <c r="M460">
        <f t="shared" si="37"/>
        <v>271.60000000000002</v>
      </c>
      <c r="N460" t="str">
        <f t="shared" si="38"/>
        <v>SUFICIENTE</v>
      </c>
      <c r="O460">
        <f t="shared" si="39"/>
        <v>0</v>
      </c>
    </row>
    <row r="461" spans="1:15" x14ac:dyDescent="0.45">
      <c r="A461" t="str">
        <v>CD-SAL</v>
      </c>
      <c r="B461" t="str">
        <v>PRO-1015</v>
      </c>
      <c r="C461">
        <v>3107</v>
      </c>
      <c r="D461">
        <v>303.60000000000002</v>
      </c>
      <c r="E461">
        <v>162</v>
      </c>
      <c r="F461">
        <v>1.9</v>
      </c>
      <c r="G461">
        <v>0.5</v>
      </c>
      <c r="H461" t="str">
        <v>OK</v>
      </c>
      <c r="J461">
        <f t="shared" si="35"/>
        <v>5021.5</v>
      </c>
      <c r="K461">
        <f>SUMIF(Supply_Clean[Item_Code], B461, Supply_Clean[Available_Supply])</f>
        <v>15970</v>
      </c>
      <c r="L461">
        <f t="shared" si="36"/>
        <v>1</v>
      </c>
      <c r="M461">
        <f t="shared" si="37"/>
        <v>303.60000000000002</v>
      </c>
      <c r="N461" t="str">
        <f t="shared" si="38"/>
        <v>SUFICIENTE</v>
      </c>
      <c r="O461">
        <f t="shared" si="39"/>
        <v>0</v>
      </c>
    </row>
    <row r="462" spans="1:15" x14ac:dyDescent="0.45">
      <c r="A462" t="str">
        <v>CD-TOL</v>
      </c>
      <c r="B462" t="str">
        <v>LAC-1005</v>
      </c>
      <c r="C462">
        <v>2629</v>
      </c>
      <c r="D462">
        <v>155.1</v>
      </c>
      <c r="E462">
        <v>62.6</v>
      </c>
      <c r="F462">
        <v>2.1</v>
      </c>
      <c r="G462">
        <v>0.5</v>
      </c>
      <c r="H462" t="str">
        <v>OK</v>
      </c>
      <c r="J462">
        <f t="shared" si="35"/>
        <v>3868.9</v>
      </c>
      <c r="K462">
        <f>SUMIF(Supply_Clean[Item_Code], B462, Supply_Clean[Available_Supply])</f>
        <v>9953</v>
      </c>
      <c r="L462">
        <f t="shared" si="36"/>
        <v>1</v>
      </c>
      <c r="M462">
        <f t="shared" si="37"/>
        <v>155.1</v>
      </c>
      <c r="N462" t="str">
        <f t="shared" si="38"/>
        <v>SUFICIENTE</v>
      </c>
      <c r="O462">
        <f t="shared" si="39"/>
        <v>0</v>
      </c>
    </row>
    <row r="463" spans="1:15" x14ac:dyDescent="0.45">
      <c r="A463" t="str">
        <v>CD-CAN</v>
      </c>
      <c r="B463" t="str">
        <v>BOT-1017</v>
      </c>
      <c r="C463">
        <v>2855</v>
      </c>
      <c r="D463">
        <v>671.2</v>
      </c>
      <c r="E463">
        <v>139.1</v>
      </c>
      <c r="F463">
        <v>4.4000000000000004</v>
      </c>
      <c r="G463">
        <v>1.6</v>
      </c>
      <c r="H463" t="str">
        <v>OK</v>
      </c>
      <c r="J463">
        <f t="shared" si="35"/>
        <v>10291.300000000001</v>
      </c>
      <c r="K463">
        <f>SUMIF(Supply_Clean[Item_Code], B463, Supply_Clean[Available_Supply])</f>
        <v>5486</v>
      </c>
      <c r="L463">
        <f t="shared" si="36"/>
        <v>0.53307162360440363</v>
      </c>
      <c r="M463">
        <f t="shared" si="37"/>
        <v>357.79767376327572</v>
      </c>
      <c r="N463" t="str">
        <f t="shared" si="38"/>
        <v>ESCASEZ</v>
      </c>
      <c r="O463">
        <f t="shared" si="39"/>
        <v>313.40232623672432</v>
      </c>
    </row>
    <row r="464" spans="1:15" x14ac:dyDescent="0.45">
      <c r="A464" t="str">
        <v>CD-CHI</v>
      </c>
      <c r="B464" t="str">
        <v>BEB-1013</v>
      </c>
      <c r="C464">
        <v>9643</v>
      </c>
      <c r="D464">
        <v>570.79999999999995</v>
      </c>
      <c r="E464">
        <v>58.8</v>
      </c>
      <c r="F464">
        <v>5</v>
      </c>
      <c r="G464">
        <v>1</v>
      </c>
      <c r="H464" t="str">
        <v>OK</v>
      </c>
      <c r="J464">
        <f t="shared" si="35"/>
        <v>6158.7000000000007</v>
      </c>
      <c r="K464">
        <f>SUMIF(Supply_Clean[Item_Code], B464, Supply_Clean[Available_Supply])</f>
        <v>3246</v>
      </c>
      <c r="L464">
        <f t="shared" si="36"/>
        <v>0.52705928199132923</v>
      </c>
      <c r="M464">
        <f t="shared" si="37"/>
        <v>300.8454381606507</v>
      </c>
      <c r="N464" t="str">
        <f t="shared" si="38"/>
        <v>ESCASEZ</v>
      </c>
      <c r="O464">
        <f t="shared" si="39"/>
        <v>269.95456183934925</v>
      </c>
    </row>
    <row r="465" spans="1:15" x14ac:dyDescent="0.45">
      <c r="A465" t="str">
        <v>CD-PUE</v>
      </c>
      <c r="B465" t="str">
        <v>ABA-1005</v>
      </c>
      <c r="C465">
        <v>4372</v>
      </c>
      <c r="D465">
        <v>370.9</v>
      </c>
      <c r="E465">
        <v>50.8</v>
      </c>
      <c r="F465">
        <v>0.8</v>
      </c>
      <c r="G465">
        <v>0.3</v>
      </c>
      <c r="H465" t="str">
        <v>OK</v>
      </c>
      <c r="J465">
        <f t="shared" si="35"/>
        <v>5173.5999999999995</v>
      </c>
      <c r="K465">
        <f>SUMIF(Supply_Clean[Item_Code], B465, Supply_Clean[Available_Supply])</f>
        <v>15028</v>
      </c>
      <c r="L465">
        <f t="shared" si="36"/>
        <v>1</v>
      </c>
      <c r="M465">
        <f t="shared" si="37"/>
        <v>370.9</v>
      </c>
      <c r="N465" t="str">
        <f t="shared" si="38"/>
        <v>SUFICIENTE</v>
      </c>
      <c r="O465">
        <f t="shared" si="39"/>
        <v>0</v>
      </c>
    </row>
    <row r="466" spans="1:15" x14ac:dyDescent="0.45">
      <c r="A466" t="str">
        <v>CD-VER</v>
      </c>
      <c r="B466" t="str">
        <v>BEB-1019</v>
      </c>
      <c r="C466">
        <v>274</v>
      </c>
      <c r="D466">
        <v>0</v>
      </c>
      <c r="E466">
        <v>39.299999999999997</v>
      </c>
      <c r="F466">
        <v>2.7</v>
      </c>
      <c r="G466">
        <v>0.9</v>
      </c>
      <c r="H466" t="str">
        <v>OK</v>
      </c>
      <c r="J466">
        <f t="shared" si="35"/>
        <v>5453.6</v>
      </c>
      <c r="K466">
        <f>SUMIF(Supply_Clean[Item_Code], B466, Supply_Clean[Available_Supply])</f>
        <v>15099</v>
      </c>
      <c r="L466">
        <f t="shared" si="36"/>
        <v>1</v>
      </c>
      <c r="M466">
        <f t="shared" si="37"/>
        <v>0</v>
      </c>
      <c r="N466" t="str">
        <f t="shared" si="38"/>
        <v>SUFICIENTE</v>
      </c>
      <c r="O466">
        <f t="shared" si="39"/>
        <v>0</v>
      </c>
    </row>
    <row r="467" spans="1:15" x14ac:dyDescent="0.45">
      <c r="A467" t="str">
        <v>CD-GDL</v>
      </c>
      <c r="B467" t="str">
        <v>PRO-1011</v>
      </c>
      <c r="C467">
        <v>5233</v>
      </c>
      <c r="D467">
        <v>293.60000000000002</v>
      </c>
      <c r="E467">
        <v>175.5</v>
      </c>
      <c r="F467">
        <v>1</v>
      </c>
      <c r="G467">
        <v>0.2</v>
      </c>
      <c r="H467" t="str">
        <v>OK</v>
      </c>
      <c r="J467">
        <f t="shared" si="35"/>
        <v>5674.6999999999989</v>
      </c>
      <c r="K467">
        <f>SUMIF(Supply_Clean[Item_Code], B467, Supply_Clean[Available_Supply])</f>
        <v>14178</v>
      </c>
      <c r="L467">
        <f t="shared" si="36"/>
        <v>1</v>
      </c>
      <c r="M467">
        <f t="shared" si="37"/>
        <v>293.60000000000002</v>
      </c>
      <c r="N467" t="str">
        <f t="shared" si="38"/>
        <v>SUFICIENTE</v>
      </c>
      <c r="O467">
        <f t="shared" si="39"/>
        <v>0</v>
      </c>
    </row>
    <row r="468" spans="1:15" x14ac:dyDescent="0.45">
      <c r="A468" t="str">
        <v>CD-SAL</v>
      </c>
      <c r="B468" t="str">
        <v>BOT-1004</v>
      </c>
      <c r="C468">
        <v>2429</v>
      </c>
      <c r="D468">
        <v>271.2</v>
      </c>
      <c r="E468">
        <v>70.3</v>
      </c>
      <c r="F468">
        <v>3</v>
      </c>
      <c r="G468">
        <v>0.5</v>
      </c>
      <c r="H468" t="str">
        <v>OK</v>
      </c>
      <c r="J468">
        <f t="shared" si="35"/>
        <v>9421.7999999999993</v>
      </c>
      <c r="K468">
        <f>SUMIF(Supply_Clean[Item_Code], B468, Supply_Clean[Available_Supply])</f>
        <v>15860</v>
      </c>
      <c r="L468">
        <f t="shared" si="36"/>
        <v>1</v>
      </c>
      <c r="M468">
        <f t="shared" si="37"/>
        <v>271.2</v>
      </c>
      <c r="N468" t="str">
        <f t="shared" si="38"/>
        <v>SUFICIENTE</v>
      </c>
      <c r="O468">
        <f t="shared" si="39"/>
        <v>0</v>
      </c>
    </row>
    <row r="469" spans="1:15" x14ac:dyDescent="0.45">
      <c r="A469" t="str">
        <v>CD-MER</v>
      </c>
      <c r="B469" t="str">
        <v>LAC-1014</v>
      </c>
      <c r="C469">
        <v>3088</v>
      </c>
      <c r="D469">
        <v>261.7</v>
      </c>
      <c r="E469">
        <v>94.8</v>
      </c>
      <c r="F469">
        <v>2.9</v>
      </c>
      <c r="G469">
        <v>1.3</v>
      </c>
      <c r="H469" t="str">
        <v>OK</v>
      </c>
      <c r="J469">
        <f t="shared" si="35"/>
        <v>4121.5</v>
      </c>
      <c r="K469">
        <f>SUMIF(Supply_Clean[Item_Code], B469, Supply_Clean[Available_Supply])</f>
        <v>8260</v>
      </c>
      <c r="L469">
        <f t="shared" si="36"/>
        <v>1</v>
      </c>
      <c r="M469">
        <f t="shared" si="37"/>
        <v>261.7</v>
      </c>
      <c r="N469" t="str">
        <f t="shared" si="38"/>
        <v>SUFICIENTE</v>
      </c>
      <c r="O469">
        <f t="shared" si="39"/>
        <v>0</v>
      </c>
    </row>
    <row r="470" spans="1:15" x14ac:dyDescent="0.45">
      <c r="A470" t="str">
        <v>CD-SAL</v>
      </c>
      <c r="B470" t="str">
        <v>PRO-1012</v>
      </c>
      <c r="C470">
        <v>4732</v>
      </c>
      <c r="D470">
        <v>412.3</v>
      </c>
      <c r="E470">
        <v>225.1</v>
      </c>
      <c r="F470">
        <v>1.2</v>
      </c>
      <c r="G470">
        <v>0.5</v>
      </c>
      <c r="H470" t="str">
        <v>OK</v>
      </c>
      <c r="J470">
        <f t="shared" si="35"/>
        <v>4930.1000000000004</v>
      </c>
      <c r="K470">
        <f>SUMIF(Supply_Clean[Item_Code], B470, Supply_Clean[Available_Supply])</f>
        <v>9930</v>
      </c>
      <c r="L470">
        <f t="shared" si="36"/>
        <v>1</v>
      </c>
      <c r="M470">
        <f t="shared" si="37"/>
        <v>412.3</v>
      </c>
      <c r="N470" t="str">
        <f t="shared" si="38"/>
        <v>SUFICIENTE</v>
      </c>
      <c r="O470">
        <f t="shared" si="39"/>
        <v>0</v>
      </c>
    </row>
    <row r="471" spans="1:15" x14ac:dyDescent="0.45">
      <c r="A471" t="str">
        <v>CD-HER</v>
      </c>
      <c r="B471" t="str">
        <v>ABA-1012</v>
      </c>
      <c r="C471">
        <v>1297</v>
      </c>
      <c r="D471">
        <v>193.8</v>
      </c>
      <c r="E471">
        <v>26.4</v>
      </c>
      <c r="F471">
        <v>4.5999999999999996</v>
      </c>
      <c r="G471">
        <v>1.2</v>
      </c>
      <c r="H471" t="str">
        <v>OK</v>
      </c>
      <c r="J471">
        <f t="shared" si="35"/>
        <v>5104.3999999999996</v>
      </c>
      <c r="K471">
        <f>SUMIF(Supply_Clean[Item_Code], B471, Supply_Clean[Available_Supply])</f>
        <v>8396</v>
      </c>
      <c r="L471">
        <f t="shared" si="36"/>
        <v>1</v>
      </c>
      <c r="M471">
        <f t="shared" si="37"/>
        <v>193.8</v>
      </c>
      <c r="N471" t="str">
        <f t="shared" si="38"/>
        <v>SUFICIENTE</v>
      </c>
      <c r="O471">
        <f t="shared" si="39"/>
        <v>0</v>
      </c>
    </row>
    <row r="472" spans="1:15" x14ac:dyDescent="0.45">
      <c r="A472" t="str">
        <v>CD-VER</v>
      </c>
      <c r="B472" t="str">
        <v>BOT-1001</v>
      </c>
      <c r="C472">
        <v>9439</v>
      </c>
      <c r="D472">
        <v>559.5</v>
      </c>
      <c r="E472">
        <v>148.19999999999999</v>
      </c>
      <c r="F472">
        <v>2.8</v>
      </c>
      <c r="G472">
        <v>0.9</v>
      </c>
      <c r="H472" t="str">
        <v>OK</v>
      </c>
      <c r="J472">
        <f t="shared" si="35"/>
        <v>8375.9</v>
      </c>
      <c r="K472">
        <f>SUMIF(Supply_Clean[Item_Code], B472, Supply_Clean[Available_Supply])</f>
        <v>20393</v>
      </c>
      <c r="L472">
        <f t="shared" si="36"/>
        <v>1</v>
      </c>
      <c r="M472">
        <f t="shared" si="37"/>
        <v>559.5</v>
      </c>
      <c r="N472" t="str">
        <f t="shared" si="38"/>
        <v>SUFICIENTE</v>
      </c>
      <c r="O472">
        <f t="shared" si="39"/>
        <v>0</v>
      </c>
    </row>
    <row r="473" spans="1:15" x14ac:dyDescent="0.45">
      <c r="A473" t="str">
        <v>CD-VER</v>
      </c>
      <c r="B473" t="str">
        <v>LAC-1011</v>
      </c>
      <c r="C473">
        <v>3496</v>
      </c>
      <c r="D473">
        <v>241</v>
      </c>
      <c r="E473">
        <v>81.099999999999994</v>
      </c>
      <c r="F473">
        <v>2.5</v>
      </c>
      <c r="G473">
        <v>0.9</v>
      </c>
      <c r="H473" t="str">
        <v>OK</v>
      </c>
      <c r="J473">
        <f t="shared" si="35"/>
        <v>4165</v>
      </c>
      <c r="K473">
        <f>SUMIF(Supply_Clean[Item_Code], B473, Supply_Clean[Available_Supply])</f>
        <v>2719</v>
      </c>
      <c r="L473">
        <f t="shared" si="36"/>
        <v>0.65282112845138052</v>
      </c>
      <c r="M473">
        <f t="shared" si="37"/>
        <v>157.32989195678272</v>
      </c>
      <c r="N473" t="str">
        <f t="shared" si="38"/>
        <v>ESCASEZ</v>
      </c>
      <c r="O473">
        <f t="shared" si="39"/>
        <v>83.670108043217283</v>
      </c>
    </row>
    <row r="474" spans="1:15" x14ac:dyDescent="0.45">
      <c r="A474" t="str">
        <v>CD-PUE</v>
      </c>
      <c r="B474" t="str">
        <v>PRO-1008</v>
      </c>
      <c r="C474">
        <v>2880</v>
      </c>
      <c r="D474">
        <v>326.7</v>
      </c>
      <c r="E474">
        <v>167.4</v>
      </c>
      <c r="F474">
        <v>0.8</v>
      </c>
      <c r="G474">
        <v>0.3</v>
      </c>
      <c r="H474" t="str">
        <v>OK</v>
      </c>
      <c r="J474">
        <f t="shared" si="35"/>
        <v>5551.5999999999995</v>
      </c>
      <c r="K474">
        <f>SUMIF(Supply_Clean[Item_Code], B474, Supply_Clean[Available_Supply])</f>
        <v>9738</v>
      </c>
      <c r="L474">
        <f t="shared" si="36"/>
        <v>1</v>
      </c>
      <c r="M474">
        <f t="shared" si="37"/>
        <v>326.7</v>
      </c>
      <c r="N474" t="str">
        <f t="shared" si="38"/>
        <v>SUFICIENTE</v>
      </c>
      <c r="O474">
        <f t="shared" si="39"/>
        <v>0</v>
      </c>
    </row>
    <row r="475" spans="1:15" x14ac:dyDescent="0.45">
      <c r="A475" t="str">
        <v>CD-TOL</v>
      </c>
      <c r="B475" t="str">
        <v>BEB-1021</v>
      </c>
      <c r="C475">
        <v>3051</v>
      </c>
      <c r="D475">
        <v>283</v>
      </c>
      <c r="E475">
        <v>52</v>
      </c>
      <c r="F475">
        <v>2.9</v>
      </c>
      <c r="G475">
        <v>0.5</v>
      </c>
      <c r="H475" t="str">
        <v>OK</v>
      </c>
      <c r="J475">
        <f t="shared" si="35"/>
        <v>5254.7999999999993</v>
      </c>
      <c r="K475">
        <f>SUMIF(Supply_Clean[Item_Code], B475, Supply_Clean[Available_Supply])</f>
        <v>13235</v>
      </c>
      <c r="L475">
        <f t="shared" si="36"/>
        <v>1</v>
      </c>
      <c r="M475">
        <f t="shared" si="37"/>
        <v>283</v>
      </c>
      <c r="N475" t="str">
        <f t="shared" si="38"/>
        <v>SUFICIENTE</v>
      </c>
      <c r="O475">
        <f t="shared" si="39"/>
        <v>0</v>
      </c>
    </row>
    <row r="476" spans="1:15" x14ac:dyDescent="0.45">
      <c r="A476" t="str">
        <v>CD-MOR</v>
      </c>
      <c r="B476" t="str">
        <v>BOT-1005</v>
      </c>
      <c r="C476">
        <v>7270</v>
      </c>
      <c r="D476">
        <v>787.2</v>
      </c>
      <c r="E476">
        <v>232.2</v>
      </c>
      <c r="F476">
        <v>2.2999999999999998</v>
      </c>
      <c r="G476">
        <v>0.5</v>
      </c>
      <c r="H476" t="str">
        <v>OK</v>
      </c>
      <c r="J476">
        <f t="shared" si="35"/>
        <v>8620.3000000000011</v>
      </c>
      <c r="K476">
        <f>SUMIF(Supply_Clean[Item_Code], B476, Supply_Clean[Available_Supply])</f>
        <v>23903</v>
      </c>
      <c r="L476">
        <f t="shared" si="36"/>
        <v>1</v>
      </c>
      <c r="M476">
        <f t="shared" si="37"/>
        <v>787.2</v>
      </c>
      <c r="N476" t="str">
        <f t="shared" si="38"/>
        <v>SUFICIENTE</v>
      </c>
      <c r="O476">
        <f t="shared" si="39"/>
        <v>0</v>
      </c>
    </row>
    <row r="477" spans="1:15" x14ac:dyDescent="0.45">
      <c r="A477" t="str">
        <v>CD-CDMX</v>
      </c>
      <c r="B477" t="str">
        <v>PRO-1006</v>
      </c>
      <c r="C477">
        <v>5355</v>
      </c>
      <c r="D477">
        <v>650.9</v>
      </c>
      <c r="E477">
        <v>373.8</v>
      </c>
      <c r="F477">
        <v>1.4</v>
      </c>
      <c r="G477">
        <v>0.2</v>
      </c>
      <c r="H477" t="str">
        <v>OK</v>
      </c>
      <c r="J477">
        <f t="shared" si="35"/>
        <v>5801.8</v>
      </c>
      <c r="K477">
        <f>SUMIF(Supply_Clean[Item_Code], B477, Supply_Clean[Available_Supply])</f>
        <v>9270</v>
      </c>
      <c r="L477">
        <f t="shared" si="36"/>
        <v>1</v>
      </c>
      <c r="M477">
        <f t="shared" si="37"/>
        <v>650.9</v>
      </c>
      <c r="N477" t="str">
        <f t="shared" si="38"/>
        <v>SUFICIENTE</v>
      </c>
      <c r="O477">
        <f t="shared" si="39"/>
        <v>0</v>
      </c>
    </row>
    <row r="478" spans="1:15" x14ac:dyDescent="0.45">
      <c r="A478" t="str">
        <v>CD-LEO</v>
      </c>
      <c r="B478" t="str">
        <v>LAC-1006</v>
      </c>
      <c r="C478">
        <v>337</v>
      </c>
      <c r="D478">
        <v>159.9</v>
      </c>
      <c r="E478">
        <v>68.2</v>
      </c>
      <c r="F478">
        <v>0.5</v>
      </c>
      <c r="G478">
        <v>0.6</v>
      </c>
      <c r="H478" t="str">
        <v>OK</v>
      </c>
      <c r="J478">
        <f t="shared" si="35"/>
        <v>4338.7</v>
      </c>
      <c r="K478">
        <f>SUMIF(Supply_Clean[Item_Code], B478, Supply_Clean[Available_Supply])</f>
        <v>10670</v>
      </c>
      <c r="L478">
        <f t="shared" si="36"/>
        <v>1</v>
      </c>
      <c r="M478">
        <f t="shared" si="37"/>
        <v>159.9</v>
      </c>
      <c r="N478" t="str">
        <f t="shared" si="38"/>
        <v>SUFICIENTE</v>
      </c>
      <c r="O478">
        <f t="shared" si="39"/>
        <v>0</v>
      </c>
    </row>
    <row r="479" spans="1:15" x14ac:dyDescent="0.45">
      <c r="A479" t="str">
        <v>CD-SAL</v>
      </c>
      <c r="B479" t="str">
        <v>BEB-1009</v>
      </c>
      <c r="C479">
        <v>4956</v>
      </c>
      <c r="D479">
        <v>593.20000000000005</v>
      </c>
      <c r="E479">
        <v>108.6</v>
      </c>
      <c r="F479">
        <v>1.9</v>
      </c>
      <c r="G479">
        <v>0.5</v>
      </c>
      <c r="H479" t="str">
        <v>OK</v>
      </c>
      <c r="J479">
        <f t="shared" si="35"/>
        <v>6226.9000000000005</v>
      </c>
      <c r="K479">
        <f>SUMIF(Supply_Clean[Item_Code], B479, Supply_Clean[Available_Supply])</f>
        <v>10475</v>
      </c>
      <c r="L479">
        <f t="shared" si="36"/>
        <v>1</v>
      </c>
      <c r="M479">
        <f t="shared" si="37"/>
        <v>593.20000000000005</v>
      </c>
      <c r="N479" t="str">
        <f t="shared" si="38"/>
        <v>SUFICIENTE</v>
      </c>
      <c r="O479">
        <f t="shared" si="39"/>
        <v>0</v>
      </c>
    </row>
    <row r="480" spans="1:15" x14ac:dyDescent="0.45">
      <c r="A480" t="str">
        <v>CD-TIJ</v>
      </c>
      <c r="B480" t="str">
        <v>BOT-1011</v>
      </c>
      <c r="C480">
        <v>1101</v>
      </c>
      <c r="D480">
        <v>534.20000000000005</v>
      </c>
      <c r="E480">
        <v>147.4</v>
      </c>
      <c r="F480">
        <v>5</v>
      </c>
      <c r="G480">
        <v>1.5</v>
      </c>
      <c r="H480" t="str">
        <v>OK</v>
      </c>
      <c r="J480">
        <f t="shared" si="35"/>
        <v>9886.2999999999993</v>
      </c>
      <c r="K480">
        <f>SUMIF(Supply_Clean[Item_Code], B480, Supply_Clean[Available_Supply])</f>
        <v>19886</v>
      </c>
      <c r="L480">
        <f t="shared" si="36"/>
        <v>1</v>
      </c>
      <c r="M480">
        <f t="shared" si="37"/>
        <v>534.20000000000005</v>
      </c>
      <c r="N480" t="str">
        <f t="shared" si="38"/>
        <v>SUFICIENTE</v>
      </c>
      <c r="O480">
        <f t="shared" si="39"/>
        <v>0</v>
      </c>
    </row>
    <row r="481" spans="1:15" x14ac:dyDescent="0.45">
      <c r="A481" t="str">
        <v>CD-MOR</v>
      </c>
      <c r="B481" t="str">
        <v>LAC-1001</v>
      </c>
      <c r="C481">
        <v>2698</v>
      </c>
      <c r="D481">
        <v>418.6</v>
      </c>
      <c r="E481">
        <v>187.6</v>
      </c>
      <c r="F481">
        <v>2.1</v>
      </c>
      <c r="G481">
        <v>0.5</v>
      </c>
      <c r="H481" t="str">
        <v>OK</v>
      </c>
      <c r="J481">
        <f t="shared" si="35"/>
        <v>3660.9999999999991</v>
      </c>
      <c r="K481">
        <f>SUMIF(Supply_Clean[Item_Code], B481, Supply_Clean[Available_Supply])</f>
        <v>9945</v>
      </c>
      <c r="L481">
        <f t="shared" si="36"/>
        <v>1</v>
      </c>
      <c r="M481">
        <f t="shared" si="37"/>
        <v>418.6</v>
      </c>
      <c r="N481" t="str">
        <f t="shared" si="38"/>
        <v>SUFICIENTE</v>
      </c>
      <c r="O481">
        <f t="shared" si="39"/>
        <v>0</v>
      </c>
    </row>
    <row r="482" spans="1:15" x14ac:dyDescent="0.45">
      <c r="A482" t="str">
        <v>CD-PUE</v>
      </c>
      <c r="B482" t="str">
        <v>PRO-1005</v>
      </c>
      <c r="C482">
        <v>332</v>
      </c>
      <c r="D482">
        <v>415.8</v>
      </c>
      <c r="E482">
        <v>169.9</v>
      </c>
      <c r="F482">
        <v>1</v>
      </c>
      <c r="G482">
        <v>0.3</v>
      </c>
      <c r="H482" t="str">
        <v>OK</v>
      </c>
      <c r="J482">
        <f t="shared" si="35"/>
        <v>4399.3</v>
      </c>
      <c r="K482">
        <f>SUMIF(Supply_Clean[Item_Code], B482, Supply_Clean[Available_Supply])</f>
        <v>8407</v>
      </c>
      <c r="L482">
        <f t="shared" si="36"/>
        <v>1</v>
      </c>
      <c r="M482">
        <f t="shared" si="37"/>
        <v>415.8</v>
      </c>
      <c r="N482" t="str">
        <f t="shared" si="38"/>
        <v>SUFICIENTE</v>
      </c>
      <c r="O482">
        <f t="shared" si="39"/>
        <v>0</v>
      </c>
    </row>
    <row r="483" spans="1:15" x14ac:dyDescent="0.45">
      <c r="A483" t="str">
        <v>CD-CHI</v>
      </c>
      <c r="B483" t="str">
        <v>ABA-1009</v>
      </c>
      <c r="C483">
        <v>1510</v>
      </c>
      <c r="D483">
        <v>209.9</v>
      </c>
      <c r="E483">
        <v>19</v>
      </c>
      <c r="F483">
        <v>5.0999999999999996</v>
      </c>
      <c r="G483">
        <v>1</v>
      </c>
      <c r="H483" t="str">
        <v>OK</v>
      </c>
      <c r="J483">
        <f t="shared" si="35"/>
        <v>5016.1000000000004</v>
      </c>
      <c r="K483">
        <f>SUMIF(Supply_Clean[Item_Code], B483, Supply_Clean[Available_Supply])</f>
        <v>13458</v>
      </c>
      <c r="L483">
        <f t="shared" si="36"/>
        <v>1</v>
      </c>
      <c r="M483">
        <f t="shared" si="37"/>
        <v>209.9</v>
      </c>
      <c r="N483" t="str">
        <f t="shared" si="38"/>
        <v>SUFICIENTE</v>
      </c>
      <c r="O483">
        <f t="shared" si="39"/>
        <v>0</v>
      </c>
    </row>
    <row r="484" spans="1:15" x14ac:dyDescent="0.45">
      <c r="A484" t="str">
        <v>CD-GDL</v>
      </c>
      <c r="B484" t="str">
        <v>BEB-1011</v>
      </c>
      <c r="C484">
        <v>7976</v>
      </c>
      <c r="D484">
        <v>550</v>
      </c>
      <c r="E484">
        <v>89</v>
      </c>
      <c r="F484">
        <v>1.1000000000000001</v>
      </c>
      <c r="G484">
        <v>0.2</v>
      </c>
      <c r="H484" t="str">
        <v>OK</v>
      </c>
      <c r="J484">
        <f t="shared" si="35"/>
        <v>5454.4999999999991</v>
      </c>
      <c r="K484">
        <f>SUMIF(Supply_Clean[Item_Code], B484, Supply_Clean[Available_Supply])</f>
        <v>13720</v>
      </c>
      <c r="L484">
        <f t="shared" si="36"/>
        <v>1</v>
      </c>
      <c r="M484">
        <f t="shared" si="37"/>
        <v>550</v>
      </c>
      <c r="N484" t="str">
        <f t="shared" si="38"/>
        <v>SUFICIENTE</v>
      </c>
      <c r="O484">
        <f t="shared" si="39"/>
        <v>0</v>
      </c>
    </row>
    <row r="485" spans="1:15" x14ac:dyDescent="0.45">
      <c r="A485" t="str">
        <v>CD-HER</v>
      </c>
      <c r="B485" t="str">
        <v>ABA-1009</v>
      </c>
      <c r="C485">
        <v>1421</v>
      </c>
      <c r="D485">
        <v>194.7</v>
      </c>
      <c r="E485">
        <v>28.8</v>
      </c>
      <c r="F485">
        <v>1.4</v>
      </c>
      <c r="G485">
        <v>1.2</v>
      </c>
      <c r="H485" t="str">
        <v>OK</v>
      </c>
      <c r="J485">
        <f t="shared" si="35"/>
        <v>5016.1000000000004</v>
      </c>
      <c r="K485">
        <f>SUMIF(Supply_Clean[Item_Code], B485, Supply_Clean[Available_Supply])</f>
        <v>13458</v>
      </c>
      <c r="L485">
        <f t="shared" si="36"/>
        <v>1</v>
      </c>
      <c r="M485">
        <f t="shared" si="37"/>
        <v>194.7</v>
      </c>
      <c r="N485" t="str">
        <f t="shared" si="38"/>
        <v>SUFICIENTE</v>
      </c>
      <c r="O485">
        <f t="shared" si="39"/>
        <v>0</v>
      </c>
    </row>
    <row r="486" spans="1:15" x14ac:dyDescent="0.45">
      <c r="A486" t="str">
        <v>CD-SAL</v>
      </c>
      <c r="B486" t="str">
        <v>LAC-1009</v>
      </c>
      <c r="C486">
        <v>3990</v>
      </c>
      <c r="D486">
        <v>361.1</v>
      </c>
      <c r="E486">
        <v>139.19999999999999</v>
      </c>
      <c r="F486">
        <v>1.6</v>
      </c>
      <c r="G486">
        <v>0.5</v>
      </c>
      <c r="H486" t="str">
        <v>OK</v>
      </c>
      <c r="J486">
        <f t="shared" si="35"/>
        <v>4163.3999999999996</v>
      </c>
      <c r="K486">
        <f>SUMIF(Supply_Clean[Item_Code], B486, Supply_Clean[Available_Supply])</f>
        <v>6523</v>
      </c>
      <c r="L486">
        <f t="shared" si="36"/>
        <v>1</v>
      </c>
      <c r="M486">
        <f t="shared" si="37"/>
        <v>361.1</v>
      </c>
      <c r="N486" t="str">
        <f t="shared" si="38"/>
        <v>SUFICIENTE</v>
      </c>
      <c r="O486">
        <f t="shared" si="39"/>
        <v>0</v>
      </c>
    </row>
    <row r="487" spans="1:15" x14ac:dyDescent="0.45">
      <c r="A487" t="str">
        <v>CD-CAN</v>
      </c>
      <c r="B487" t="str">
        <v>ABA-1009</v>
      </c>
      <c r="C487">
        <v>388</v>
      </c>
      <c r="D487">
        <v>293.89999999999998</v>
      </c>
      <c r="E487">
        <v>25.9</v>
      </c>
      <c r="F487">
        <v>4.2</v>
      </c>
      <c r="G487">
        <v>1.6</v>
      </c>
      <c r="H487" t="str">
        <v>OK</v>
      </c>
      <c r="J487">
        <f t="shared" si="35"/>
        <v>5016.1000000000004</v>
      </c>
      <c r="K487">
        <f>SUMIF(Supply_Clean[Item_Code], B487, Supply_Clean[Available_Supply])</f>
        <v>13458</v>
      </c>
      <c r="L487">
        <f t="shared" si="36"/>
        <v>1</v>
      </c>
      <c r="M487">
        <f t="shared" si="37"/>
        <v>293.89999999999998</v>
      </c>
      <c r="N487" t="str">
        <f t="shared" si="38"/>
        <v>SUFICIENTE</v>
      </c>
      <c r="O487">
        <f t="shared" si="39"/>
        <v>0</v>
      </c>
    </row>
    <row r="488" spans="1:15" x14ac:dyDescent="0.45">
      <c r="A488" t="str">
        <v>CD-CAN</v>
      </c>
      <c r="B488" t="str">
        <v>BEB-1003</v>
      </c>
      <c r="C488">
        <v>2580</v>
      </c>
      <c r="D488">
        <v>293</v>
      </c>
      <c r="E488">
        <v>33.1</v>
      </c>
      <c r="F488">
        <v>6.7</v>
      </c>
      <c r="G488">
        <v>1.6</v>
      </c>
      <c r="H488" t="str">
        <v>OK</v>
      </c>
      <c r="J488">
        <f t="shared" si="35"/>
        <v>5232</v>
      </c>
      <c r="K488">
        <f>SUMIF(Supply_Clean[Item_Code], B488, Supply_Clean[Available_Supply])</f>
        <v>16426</v>
      </c>
      <c r="L488">
        <f t="shared" si="36"/>
        <v>1</v>
      </c>
      <c r="M488">
        <f t="shared" si="37"/>
        <v>293</v>
      </c>
      <c r="N488" t="str">
        <f t="shared" si="38"/>
        <v>SUFICIENTE</v>
      </c>
      <c r="O488">
        <f t="shared" si="39"/>
        <v>0</v>
      </c>
    </row>
    <row r="489" spans="1:15" x14ac:dyDescent="0.45">
      <c r="A489" t="str">
        <v>CD-HER</v>
      </c>
      <c r="B489" t="str">
        <v>BEB-1001</v>
      </c>
      <c r="C489">
        <v>3118</v>
      </c>
      <c r="D489">
        <v>395.1</v>
      </c>
      <c r="E489">
        <v>78.900000000000006</v>
      </c>
      <c r="F489">
        <v>2.7</v>
      </c>
      <c r="G489">
        <v>1.2</v>
      </c>
      <c r="H489" t="str">
        <v>OK</v>
      </c>
      <c r="J489">
        <f t="shared" si="35"/>
        <v>6941.9</v>
      </c>
      <c r="K489">
        <f>SUMIF(Supply_Clean[Item_Code], B489, Supply_Clean[Available_Supply])</f>
        <v>11725</v>
      </c>
      <c r="L489">
        <f t="shared" si="36"/>
        <v>1</v>
      </c>
      <c r="M489">
        <f t="shared" si="37"/>
        <v>395.1</v>
      </c>
      <c r="N489" t="str">
        <f t="shared" si="38"/>
        <v>SUFICIENTE</v>
      </c>
      <c r="O489">
        <f t="shared" si="39"/>
        <v>0</v>
      </c>
    </row>
    <row r="490" spans="1:15" x14ac:dyDescent="0.45">
      <c r="A490" t="str">
        <v>CD-TIJ</v>
      </c>
      <c r="B490" t="str">
        <v>ABA-1016</v>
      </c>
      <c r="C490">
        <v>863</v>
      </c>
      <c r="D490">
        <v>329.4</v>
      </c>
      <c r="E490">
        <v>30.8</v>
      </c>
      <c r="F490">
        <v>2.7</v>
      </c>
      <c r="G490">
        <v>1.5</v>
      </c>
      <c r="H490" t="str">
        <v>OK</v>
      </c>
      <c r="J490">
        <f t="shared" si="35"/>
        <v>5056.7</v>
      </c>
      <c r="K490">
        <f>SUMIF(Supply_Clean[Item_Code], B490, Supply_Clean[Available_Supply])</f>
        <v>9151</v>
      </c>
      <c r="L490">
        <f t="shared" si="36"/>
        <v>1</v>
      </c>
      <c r="M490">
        <f t="shared" si="37"/>
        <v>329.4</v>
      </c>
      <c r="N490" t="str">
        <f t="shared" si="38"/>
        <v>SUFICIENTE</v>
      </c>
      <c r="O490">
        <f t="shared" si="39"/>
        <v>0</v>
      </c>
    </row>
    <row r="491" spans="1:15" x14ac:dyDescent="0.45">
      <c r="A491" t="str">
        <v>CD-SAL</v>
      </c>
      <c r="B491" t="str">
        <v>BOT-1023</v>
      </c>
      <c r="C491">
        <v>9304</v>
      </c>
      <c r="D491">
        <v>750.7</v>
      </c>
      <c r="E491">
        <v>218.8</v>
      </c>
      <c r="F491">
        <v>1.7</v>
      </c>
      <c r="G491">
        <v>0.5</v>
      </c>
      <c r="H491" t="str">
        <v>OK</v>
      </c>
      <c r="J491">
        <f t="shared" si="35"/>
        <v>8227.6</v>
      </c>
      <c r="K491">
        <f>SUMIF(Supply_Clean[Item_Code], B491, Supply_Clean[Available_Supply])</f>
        <v>23663</v>
      </c>
      <c r="L491">
        <f t="shared" si="36"/>
        <v>1</v>
      </c>
      <c r="M491">
        <f t="shared" si="37"/>
        <v>750.7</v>
      </c>
      <c r="N491" t="str">
        <f t="shared" si="38"/>
        <v>SUFICIENTE</v>
      </c>
      <c r="O491">
        <f t="shared" si="39"/>
        <v>0</v>
      </c>
    </row>
    <row r="492" spans="1:15" x14ac:dyDescent="0.45">
      <c r="A492" t="str">
        <v>CD-CHI</v>
      </c>
      <c r="B492" t="str">
        <v>ABA-1006</v>
      </c>
      <c r="C492">
        <v>867</v>
      </c>
      <c r="D492">
        <v>159.30000000000001</v>
      </c>
      <c r="E492">
        <v>21.2</v>
      </c>
      <c r="F492">
        <v>3.1</v>
      </c>
      <c r="G492">
        <v>1</v>
      </c>
      <c r="H492" t="str">
        <v>OK</v>
      </c>
      <c r="J492">
        <f t="shared" si="35"/>
        <v>4882.1000000000004</v>
      </c>
      <c r="K492">
        <f>SUMIF(Supply_Clean[Item_Code], B492, Supply_Clean[Available_Supply])</f>
        <v>15586</v>
      </c>
      <c r="L492">
        <f t="shared" si="36"/>
        <v>1</v>
      </c>
      <c r="M492">
        <f t="shared" si="37"/>
        <v>159.30000000000001</v>
      </c>
      <c r="N492" t="str">
        <f t="shared" si="38"/>
        <v>SUFICIENTE</v>
      </c>
      <c r="O492">
        <f t="shared" si="39"/>
        <v>0</v>
      </c>
    </row>
    <row r="493" spans="1:15" x14ac:dyDescent="0.45">
      <c r="A493" t="str">
        <v>CD-PUE</v>
      </c>
      <c r="B493" t="str">
        <v>PRO-1014</v>
      </c>
      <c r="C493">
        <v>0</v>
      </c>
      <c r="D493">
        <v>163.19999999999999</v>
      </c>
      <c r="E493">
        <v>83</v>
      </c>
      <c r="F493">
        <v>1.5</v>
      </c>
      <c r="G493">
        <v>0.3</v>
      </c>
      <c r="H493">
        <v>0</v>
      </c>
      <c r="J493">
        <f t="shared" si="35"/>
        <v>5634.0999999999995</v>
      </c>
      <c r="K493">
        <f>SUMIF(Supply_Clean[Item_Code], B493, Supply_Clean[Available_Supply])</f>
        <v>16301</v>
      </c>
      <c r="L493">
        <f t="shared" si="36"/>
        <v>1</v>
      </c>
      <c r="M493">
        <f t="shared" si="37"/>
        <v>163.19999999999999</v>
      </c>
      <c r="N493" t="str">
        <f t="shared" si="38"/>
        <v>SUFICIENTE</v>
      </c>
      <c r="O493">
        <f t="shared" si="39"/>
        <v>0</v>
      </c>
    </row>
    <row r="494" spans="1:15" x14ac:dyDescent="0.45">
      <c r="A494" t="str">
        <v>CD-TIJ</v>
      </c>
      <c r="B494" t="str">
        <v>BEB-1012</v>
      </c>
      <c r="C494">
        <v>999999</v>
      </c>
      <c r="D494">
        <v>258.3</v>
      </c>
      <c r="E494">
        <v>45.5</v>
      </c>
      <c r="F494">
        <v>5.4</v>
      </c>
      <c r="G494">
        <v>1.5</v>
      </c>
      <c r="H494" t="str">
        <v>ATIPICO</v>
      </c>
      <c r="J494">
        <f t="shared" si="35"/>
        <v>5740.7</v>
      </c>
      <c r="K494">
        <f>SUMIF(Supply_Clean[Item_Code], B494, Supply_Clean[Available_Supply])</f>
        <v>12491</v>
      </c>
      <c r="L494">
        <f t="shared" si="36"/>
        <v>1</v>
      </c>
      <c r="M494">
        <f t="shared" si="37"/>
        <v>258.3</v>
      </c>
      <c r="N494" t="str">
        <f t="shared" si="38"/>
        <v>SUFICIENTE</v>
      </c>
      <c r="O494">
        <f t="shared" si="39"/>
        <v>0</v>
      </c>
    </row>
    <row r="495" spans="1:15" x14ac:dyDescent="0.45">
      <c r="A495" t="str">
        <v>CD-GDL</v>
      </c>
      <c r="B495" t="str">
        <v>BEB-1014</v>
      </c>
      <c r="C495">
        <v>3423</v>
      </c>
      <c r="D495">
        <v>345.5</v>
      </c>
      <c r="E495">
        <v>59.2</v>
      </c>
      <c r="F495">
        <v>0.9</v>
      </c>
      <c r="G495">
        <v>0.2</v>
      </c>
      <c r="H495" t="str">
        <v>OK</v>
      </c>
      <c r="J495">
        <f t="shared" si="35"/>
        <v>6274.9000000000005</v>
      </c>
      <c r="K495">
        <f>SUMIF(Supply_Clean[Item_Code], B495, Supply_Clean[Available_Supply])</f>
        <v>14205</v>
      </c>
      <c r="L495">
        <f t="shared" si="36"/>
        <v>1</v>
      </c>
      <c r="M495">
        <f t="shared" si="37"/>
        <v>345.5</v>
      </c>
      <c r="N495" t="str">
        <f t="shared" si="38"/>
        <v>SUFICIENTE</v>
      </c>
      <c r="O495">
        <f t="shared" si="39"/>
        <v>0</v>
      </c>
    </row>
    <row r="496" spans="1:15" x14ac:dyDescent="0.45">
      <c r="A496" t="str">
        <v>CD-MTY</v>
      </c>
      <c r="B496" t="str">
        <v>PRO-1001</v>
      </c>
      <c r="C496">
        <v>3175</v>
      </c>
      <c r="D496">
        <v>285.60000000000002</v>
      </c>
      <c r="E496">
        <v>117.1</v>
      </c>
      <c r="F496">
        <v>1.1000000000000001</v>
      </c>
      <c r="G496">
        <v>0.3</v>
      </c>
      <c r="H496" t="str">
        <v>OK</v>
      </c>
      <c r="J496">
        <f t="shared" si="35"/>
        <v>6433.2999999999993</v>
      </c>
      <c r="K496">
        <f>SUMIF(Supply_Clean[Item_Code], B496, Supply_Clean[Available_Supply])</f>
        <v>10011</v>
      </c>
      <c r="L496">
        <f t="shared" si="36"/>
        <v>1</v>
      </c>
      <c r="M496">
        <f t="shared" si="37"/>
        <v>285.60000000000002</v>
      </c>
      <c r="N496" t="str">
        <f t="shared" si="38"/>
        <v>SUFICIENTE</v>
      </c>
      <c r="O496">
        <f t="shared" si="39"/>
        <v>0</v>
      </c>
    </row>
    <row r="497" spans="1:15" x14ac:dyDescent="0.45">
      <c r="A497" t="str">
        <v>CD-MOR</v>
      </c>
      <c r="B497" t="str">
        <v>BOT-1003</v>
      </c>
      <c r="C497">
        <v>2132</v>
      </c>
      <c r="D497">
        <v>416.6</v>
      </c>
      <c r="E497">
        <v>115.2</v>
      </c>
      <c r="F497">
        <v>2.6</v>
      </c>
      <c r="G497">
        <v>0.5</v>
      </c>
      <c r="H497" t="str">
        <v>OK</v>
      </c>
      <c r="J497">
        <f t="shared" si="35"/>
        <v>8902.7999999999993</v>
      </c>
      <c r="K497">
        <f>SUMIF(Supply_Clean[Item_Code], B497, Supply_Clean[Available_Supply])</f>
        <v>24326</v>
      </c>
      <c r="L497">
        <f t="shared" si="36"/>
        <v>1</v>
      </c>
      <c r="M497">
        <f t="shared" si="37"/>
        <v>416.6</v>
      </c>
      <c r="N497" t="str">
        <f t="shared" si="38"/>
        <v>SUFICIENTE</v>
      </c>
      <c r="O497">
        <f t="shared" si="39"/>
        <v>0</v>
      </c>
    </row>
    <row r="498" spans="1:15" x14ac:dyDescent="0.45">
      <c r="A498" t="str">
        <v>CD-TOL</v>
      </c>
      <c r="B498" t="str">
        <v>BEB-1013</v>
      </c>
      <c r="C498">
        <v>2134</v>
      </c>
      <c r="D498">
        <v>301.89999999999998</v>
      </c>
      <c r="E498">
        <v>37.700000000000003</v>
      </c>
      <c r="F498">
        <v>1.4</v>
      </c>
      <c r="G498">
        <v>0.5</v>
      </c>
      <c r="H498" t="str">
        <v>OK</v>
      </c>
      <c r="J498">
        <f t="shared" si="35"/>
        <v>6158.7000000000007</v>
      </c>
      <c r="K498">
        <f>SUMIF(Supply_Clean[Item_Code], B498, Supply_Clean[Available_Supply])</f>
        <v>3246</v>
      </c>
      <c r="L498">
        <f t="shared" si="36"/>
        <v>0.52705928199132923</v>
      </c>
      <c r="M498">
        <f t="shared" si="37"/>
        <v>159.11919723318229</v>
      </c>
      <c r="N498" t="str">
        <f t="shared" si="38"/>
        <v>ESCASEZ</v>
      </c>
      <c r="O498">
        <f t="shared" si="39"/>
        <v>142.78080276681769</v>
      </c>
    </row>
    <row r="499" spans="1:15" x14ac:dyDescent="0.45">
      <c r="A499" t="str">
        <v>CD-MOR</v>
      </c>
      <c r="B499" t="str">
        <v>LAC-1009</v>
      </c>
      <c r="C499">
        <v>2542</v>
      </c>
      <c r="D499">
        <v>242.8</v>
      </c>
      <c r="E499">
        <v>66.8</v>
      </c>
      <c r="F499">
        <v>2</v>
      </c>
      <c r="G499">
        <v>0.5</v>
      </c>
      <c r="H499" t="str">
        <v>OK</v>
      </c>
      <c r="J499">
        <f t="shared" si="35"/>
        <v>4163.3999999999996</v>
      </c>
      <c r="K499">
        <f>SUMIF(Supply_Clean[Item_Code], B499, Supply_Clean[Available_Supply])</f>
        <v>6523</v>
      </c>
      <c r="L499">
        <f t="shared" si="36"/>
        <v>1</v>
      </c>
      <c r="M499">
        <f t="shared" si="37"/>
        <v>242.8</v>
      </c>
      <c r="N499" t="str">
        <f t="shared" si="38"/>
        <v>SUFICIENTE</v>
      </c>
      <c r="O499">
        <f t="shared" si="39"/>
        <v>0</v>
      </c>
    </row>
    <row r="500" spans="1:15" x14ac:dyDescent="0.45">
      <c r="A500" t="str">
        <v>CD-PUE</v>
      </c>
      <c r="B500" t="str">
        <v>BEB-1011</v>
      </c>
      <c r="C500">
        <v>4220</v>
      </c>
      <c r="D500">
        <v>432.8</v>
      </c>
      <c r="E500">
        <v>46.9</v>
      </c>
      <c r="F500">
        <v>1.1000000000000001</v>
      </c>
      <c r="G500">
        <v>0.3</v>
      </c>
      <c r="H500" t="str">
        <v>OK</v>
      </c>
      <c r="J500">
        <f t="shared" si="35"/>
        <v>5454.4999999999991</v>
      </c>
      <c r="K500">
        <f>SUMIF(Supply_Clean[Item_Code], B500, Supply_Clean[Available_Supply])</f>
        <v>13720</v>
      </c>
      <c r="L500">
        <f t="shared" si="36"/>
        <v>1</v>
      </c>
      <c r="M500">
        <f t="shared" si="37"/>
        <v>432.8</v>
      </c>
      <c r="N500" t="str">
        <f t="shared" si="38"/>
        <v>SUFICIENTE</v>
      </c>
      <c r="O500">
        <f t="shared" si="39"/>
        <v>0</v>
      </c>
    </row>
    <row r="501" spans="1:15" x14ac:dyDescent="0.45">
      <c r="A501" t="str">
        <v>CD-CHI</v>
      </c>
      <c r="B501" t="str">
        <v>PRO-1007</v>
      </c>
      <c r="C501">
        <v>5194</v>
      </c>
      <c r="D501">
        <v>0</v>
      </c>
      <c r="E501">
        <v>347.4</v>
      </c>
      <c r="F501">
        <v>3.3</v>
      </c>
      <c r="G501">
        <v>1</v>
      </c>
      <c r="H501" t="str">
        <v>OK</v>
      </c>
      <c r="J501">
        <f t="shared" si="35"/>
        <v>5354.8</v>
      </c>
      <c r="K501">
        <f>SUMIF(Supply_Clean[Item_Code], B501, Supply_Clean[Available_Supply])</f>
        <v>10360</v>
      </c>
      <c r="L501">
        <f t="shared" si="36"/>
        <v>1</v>
      </c>
      <c r="M501">
        <f t="shared" si="37"/>
        <v>0</v>
      </c>
      <c r="N501" t="str">
        <f t="shared" si="38"/>
        <v>SUFICIENTE</v>
      </c>
      <c r="O501">
        <f t="shared" si="39"/>
        <v>0</v>
      </c>
    </row>
    <row r="502" spans="1:15" x14ac:dyDescent="0.45">
      <c r="A502" t="str">
        <v>CD-SAL</v>
      </c>
      <c r="B502" t="str">
        <v>BEB-1002</v>
      </c>
      <c r="C502">
        <v>1073</v>
      </c>
      <c r="D502">
        <v>351.8</v>
      </c>
      <c r="E502">
        <v>42.4</v>
      </c>
      <c r="F502">
        <v>3.3</v>
      </c>
      <c r="G502">
        <v>0.5</v>
      </c>
      <c r="H502" t="str">
        <v>OK</v>
      </c>
      <c r="J502">
        <f t="shared" si="35"/>
        <v>6246.8</v>
      </c>
      <c r="K502">
        <f>SUMIF(Supply_Clean[Item_Code], B502, Supply_Clean[Available_Supply])</f>
        <v>13052</v>
      </c>
      <c r="L502">
        <f t="shared" si="36"/>
        <v>1</v>
      </c>
      <c r="M502">
        <f t="shared" si="37"/>
        <v>351.8</v>
      </c>
      <c r="N502" t="str">
        <f t="shared" si="38"/>
        <v>SUFICIENTE</v>
      </c>
      <c r="O502">
        <f t="shared" si="39"/>
        <v>0</v>
      </c>
    </row>
    <row r="503" spans="1:15" x14ac:dyDescent="0.45">
      <c r="A503" t="str">
        <v>CD-MER</v>
      </c>
      <c r="B503" t="str">
        <v>BEB-1011</v>
      </c>
      <c r="C503">
        <v>1070</v>
      </c>
      <c r="D503">
        <v>327.7</v>
      </c>
      <c r="E503">
        <v>59.2</v>
      </c>
      <c r="F503">
        <v>3.5</v>
      </c>
      <c r="G503">
        <v>1.3</v>
      </c>
      <c r="H503" t="str">
        <v>OK</v>
      </c>
      <c r="J503">
        <f t="shared" si="35"/>
        <v>5454.4999999999991</v>
      </c>
      <c r="K503">
        <f>SUMIF(Supply_Clean[Item_Code], B503, Supply_Clean[Available_Supply])</f>
        <v>13720</v>
      </c>
      <c r="L503">
        <f t="shared" si="36"/>
        <v>1</v>
      </c>
      <c r="M503">
        <f t="shared" si="37"/>
        <v>327.7</v>
      </c>
      <c r="N503" t="str">
        <f t="shared" si="38"/>
        <v>SUFICIENTE</v>
      </c>
      <c r="O503">
        <f t="shared" si="39"/>
        <v>0</v>
      </c>
    </row>
    <row r="504" spans="1:15" x14ac:dyDescent="0.45">
      <c r="A504" t="str">
        <v>CD-VER</v>
      </c>
      <c r="B504" t="str">
        <v>PRO-1000</v>
      </c>
      <c r="C504">
        <v>0</v>
      </c>
      <c r="D504">
        <v>190.8</v>
      </c>
      <c r="E504">
        <v>122.6</v>
      </c>
      <c r="F504">
        <v>2.6</v>
      </c>
      <c r="G504">
        <v>0.9</v>
      </c>
      <c r="H504">
        <v>0</v>
      </c>
      <c r="J504">
        <f t="shared" si="35"/>
        <v>5872.7</v>
      </c>
      <c r="K504">
        <f>SUMIF(Supply_Clean[Item_Code], B504, Supply_Clean[Available_Supply])</f>
        <v>2915</v>
      </c>
      <c r="L504">
        <f t="shared" si="36"/>
        <v>0.49636453420062326</v>
      </c>
      <c r="M504">
        <f t="shared" si="37"/>
        <v>94.706353125478927</v>
      </c>
      <c r="N504" t="str">
        <f t="shared" si="38"/>
        <v>ESCASEZ</v>
      </c>
      <c r="O504">
        <f t="shared" si="39"/>
        <v>96.093646874521085</v>
      </c>
    </row>
    <row r="505" spans="1:15" x14ac:dyDescent="0.45">
      <c r="A505" t="str">
        <v>CD-HER</v>
      </c>
      <c r="B505" t="str">
        <v>LAC-1011</v>
      </c>
      <c r="C505">
        <v>907</v>
      </c>
      <c r="D505">
        <v>0</v>
      </c>
      <c r="E505">
        <v>113.6</v>
      </c>
      <c r="F505">
        <v>5.3</v>
      </c>
      <c r="G505">
        <v>1.2</v>
      </c>
      <c r="H505" t="str">
        <v>OK</v>
      </c>
      <c r="J505">
        <f t="shared" si="35"/>
        <v>4165</v>
      </c>
      <c r="K505">
        <f>SUMIF(Supply_Clean[Item_Code], B505, Supply_Clean[Available_Supply])</f>
        <v>2719</v>
      </c>
      <c r="L505">
        <f t="shared" si="36"/>
        <v>0.65282112845138052</v>
      </c>
      <c r="M505">
        <f t="shared" si="37"/>
        <v>0</v>
      </c>
      <c r="N505" t="str">
        <f t="shared" si="38"/>
        <v>ESCASEZ</v>
      </c>
      <c r="O505">
        <f t="shared" si="39"/>
        <v>0</v>
      </c>
    </row>
    <row r="506" spans="1:15" x14ac:dyDescent="0.45">
      <c r="A506" t="str">
        <v>CD-SAL</v>
      </c>
      <c r="B506" t="str">
        <v>ABA-1016</v>
      </c>
      <c r="C506">
        <v>1800</v>
      </c>
      <c r="D506">
        <v>489.3</v>
      </c>
      <c r="E506">
        <v>65.900000000000006</v>
      </c>
      <c r="F506">
        <v>2</v>
      </c>
      <c r="G506">
        <v>0.5</v>
      </c>
      <c r="H506" t="str">
        <v>OK</v>
      </c>
      <c r="J506">
        <f t="shared" si="35"/>
        <v>5056.7</v>
      </c>
      <c r="K506">
        <f>SUMIF(Supply_Clean[Item_Code], B506, Supply_Clean[Available_Supply])</f>
        <v>9151</v>
      </c>
      <c r="L506">
        <f t="shared" si="36"/>
        <v>1</v>
      </c>
      <c r="M506">
        <f t="shared" si="37"/>
        <v>489.3</v>
      </c>
      <c r="N506" t="str">
        <f t="shared" si="38"/>
        <v>SUFICIENTE</v>
      </c>
      <c r="O506">
        <f t="shared" si="39"/>
        <v>0</v>
      </c>
    </row>
    <row r="507" spans="1:15" x14ac:dyDescent="0.45">
      <c r="A507" t="str">
        <v>CD-MER</v>
      </c>
      <c r="B507" t="str">
        <v>PRO-1002</v>
      </c>
      <c r="C507">
        <v>7416</v>
      </c>
      <c r="D507">
        <v>566.79999999999995</v>
      </c>
      <c r="E507">
        <v>287.5</v>
      </c>
      <c r="F507">
        <v>5.0999999999999996</v>
      </c>
      <c r="G507">
        <v>1.3</v>
      </c>
      <c r="H507" t="str">
        <v>OK</v>
      </c>
      <c r="J507">
        <f t="shared" si="35"/>
        <v>6123.6999999999989</v>
      </c>
      <c r="K507">
        <f>SUMIF(Supply_Clean[Item_Code], B507, Supply_Clean[Available_Supply])</f>
        <v>17616</v>
      </c>
      <c r="L507">
        <f t="shared" si="36"/>
        <v>1</v>
      </c>
      <c r="M507">
        <f t="shared" si="37"/>
        <v>566.79999999999995</v>
      </c>
      <c r="N507" t="str">
        <f t="shared" si="38"/>
        <v>SUFICIENTE</v>
      </c>
      <c r="O507">
        <f t="shared" si="39"/>
        <v>0</v>
      </c>
    </row>
    <row r="508" spans="1:15" x14ac:dyDescent="0.45">
      <c r="A508" t="str">
        <v>CD-TIJ</v>
      </c>
      <c r="B508" t="str">
        <v>BOT-1000</v>
      </c>
      <c r="C508">
        <v>6908</v>
      </c>
      <c r="D508">
        <v>402.5</v>
      </c>
      <c r="E508">
        <v>81.400000000000006</v>
      </c>
      <c r="F508">
        <v>5.2</v>
      </c>
      <c r="G508">
        <v>1.5</v>
      </c>
      <c r="H508" t="str">
        <v>OK</v>
      </c>
      <c r="J508">
        <f t="shared" si="35"/>
        <v>8310.6</v>
      </c>
      <c r="K508">
        <f>SUMIF(Supply_Clean[Item_Code], B508, Supply_Clean[Available_Supply])</f>
        <v>21762</v>
      </c>
      <c r="L508">
        <f t="shared" si="36"/>
        <v>1</v>
      </c>
      <c r="M508">
        <f t="shared" si="37"/>
        <v>402.5</v>
      </c>
      <c r="N508" t="str">
        <f t="shared" si="38"/>
        <v>SUFICIENTE</v>
      </c>
      <c r="O508">
        <f t="shared" si="39"/>
        <v>0</v>
      </c>
    </row>
    <row r="509" spans="1:15" x14ac:dyDescent="0.45">
      <c r="A509" t="str">
        <v>CD-MTY</v>
      </c>
      <c r="B509" t="str">
        <v>BEB-1019</v>
      </c>
      <c r="C509">
        <v>869</v>
      </c>
      <c r="D509">
        <v>251.3</v>
      </c>
      <c r="E509">
        <v>47.9</v>
      </c>
      <c r="F509">
        <v>1.3</v>
      </c>
      <c r="G509">
        <v>0.3</v>
      </c>
      <c r="H509" t="str">
        <v>OK</v>
      </c>
      <c r="J509">
        <f t="shared" si="35"/>
        <v>5453.6</v>
      </c>
      <c r="K509">
        <f>SUMIF(Supply_Clean[Item_Code], B509, Supply_Clean[Available_Supply])</f>
        <v>15099</v>
      </c>
      <c r="L509">
        <f t="shared" si="36"/>
        <v>1</v>
      </c>
      <c r="M509">
        <f t="shared" si="37"/>
        <v>251.3</v>
      </c>
      <c r="N509" t="str">
        <f t="shared" si="38"/>
        <v>SUFICIENTE</v>
      </c>
      <c r="O509">
        <f t="shared" si="39"/>
        <v>0</v>
      </c>
    </row>
    <row r="510" spans="1:15" x14ac:dyDescent="0.45">
      <c r="A510" t="str">
        <v>CD-GDL</v>
      </c>
      <c r="B510" t="str">
        <v>ABA-1019</v>
      </c>
      <c r="C510">
        <v>9565</v>
      </c>
      <c r="D510">
        <v>556</v>
      </c>
      <c r="E510">
        <v>64.5</v>
      </c>
      <c r="F510">
        <v>1.1000000000000001</v>
      </c>
      <c r="G510">
        <v>0.2</v>
      </c>
      <c r="H510" t="str">
        <v>OK</v>
      </c>
      <c r="J510">
        <f t="shared" si="35"/>
        <v>4484.9000000000005</v>
      </c>
      <c r="K510">
        <f>SUMIF(Supply_Clean[Item_Code], B510, Supply_Clean[Available_Supply])</f>
        <v>12013</v>
      </c>
      <c r="L510">
        <f t="shared" si="36"/>
        <v>1</v>
      </c>
      <c r="M510">
        <f t="shared" si="37"/>
        <v>556</v>
      </c>
      <c r="N510" t="str">
        <f t="shared" si="38"/>
        <v>SUFICIENTE</v>
      </c>
      <c r="O510">
        <f t="shared" si="39"/>
        <v>0</v>
      </c>
    </row>
    <row r="511" spans="1:15" x14ac:dyDescent="0.45">
      <c r="A511" t="str">
        <v>CD-VER</v>
      </c>
      <c r="B511" t="str">
        <v>ABA-1002</v>
      </c>
      <c r="C511">
        <v>1300</v>
      </c>
      <c r="D511">
        <v>0</v>
      </c>
      <c r="E511">
        <v>19.100000000000001</v>
      </c>
      <c r="F511">
        <v>2.9</v>
      </c>
      <c r="G511">
        <v>0.9</v>
      </c>
      <c r="H511" t="str">
        <v>OK</v>
      </c>
      <c r="J511">
        <f t="shared" si="35"/>
        <v>4525.7</v>
      </c>
      <c r="K511">
        <f>SUMIF(Supply_Clean[Item_Code], B511, Supply_Clean[Available_Supply])</f>
        <v>8581</v>
      </c>
      <c r="L511">
        <f t="shared" si="36"/>
        <v>1</v>
      </c>
      <c r="M511">
        <f t="shared" si="37"/>
        <v>0</v>
      </c>
      <c r="N511" t="str">
        <f t="shared" si="38"/>
        <v>SUFICIENTE</v>
      </c>
      <c r="O511">
        <f t="shared" si="39"/>
        <v>0</v>
      </c>
    </row>
    <row r="512" spans="1:15" x14ac:dyDescent="0.45">
      <c r="A512" t="str">
        <v>CD-SAL</v>
      </c>
      <c r="B512" t="str">
        <v>ABA-1019</v>
      </c>
      <c r="C512">
        <v>587</v>
      </c>
      <c r="D512">
        <v>142.4</v>
      </c>
      <c r="E512">
        <v>15.3</v>
      </c>
      <c r="F512">
        <v>2</v>
      </c>
      <c r="G512">
        <v>0.5</v>
      </c>
      <c r="H512" t="str">
        <v>OK</v>
      </c>
      <c r="J512">
        <f t="shared" si="35"/>
        <v>4484.9000000000005</v>
      </c>
      <c r="K512">
        <f>SUMIF(Supply_Clean[Item_Code], B512, Supply_Clean[Available_Supply])</f>
        <v>12013</v>
      </c>
      <c r="L512">
        <f t="shared" si="36"/>
        <v>1</v>
      </c>
      <c r="M512">
        <f t="shared" si="37"/>
        <v>142.4</v>
      </c>
      <c r="N512" t="str">
        <f t="shared" si="38"/>
        <v>SUFICIENTE</v>
      </c>
      <c r="O512">
        <f t="shared" si="39"/>
        <v>0</v>
      </c>
    </row>
    <row r="513" spans="1:15" x14ac:dyDescent="0.45">
      <c r="A513" t="str">
        <v>CD-MTY</v>
      </c>
      <c r="B513" t="str">
        <v>ABA-1002</v>
      </c>
      <c r="C513">
        <v>2336</v>
      </c>
      <c r="D513">
        <v>403.1</v>
      </c>
      <c r="E513">
        <v>42.3</v>
      </c>
      <c r="F513">
        <v>1</v>
      </c>
      <c r="G513">
        <v>0.3</v>
      </c>
      <c r="H513" t="str">
        <v>OK</v>
      </c>
      <c r="J513">
        <f t="shared" si="35"/>
        <v>4525.7</v>
      </c>
      <c r="K513">
        <f>SUMIF(Supply_Clean[Item_Code], B513, Supply_Clean[Available_Supply])</f>
        <v>8581</v>
      </c>
      <c r="L513">
        <f t="shared" si="36"/>
        <v>1</v>
      </c>
      <c r="M513">
        <f t="shared" si="37"/>
        <v>403.1</v>
      </c>
      <c r="N513" t="str">
        <f t="shared" si="38"/>
        <v>SUFICIENTE</v>
      </c>
      <c r="O513">
        <f t="shared" si="39"/>
        <v>0</v>
      </c>
    </row>
    <row r="514" spans="1:15" x14ac:dyDescent="0.45">
      <c r="A514" t="str">
        <v>CD-QRO</v>
      </c>
      <c r="B514" t="str">
        <v>BOT-1001</v>
      </c>
      <c r="C514">
        <v>3341</v>
      </c>
      <c r="D514">
        <v>465.6</v>
      </c>
      <c r="E514">
        <v>120.7</v>
      </c>
      <c r="F514">
        <v>1.5</v>
      </c>
      <c r="G514">
        <v>0.4</v>
      </c>
      <c r="H514" t="str">
        <v>OK</v>
      </c>
      <c r="J514">
        <f t="shared" si="35"/>
        <v>8375.9</v>
      </c>
      <c r="K514">
        <f>SUMIF(Supply_Clean[Item_Code], B514, Supply_Clean[Available_Supply])</f>
        <v>20393</v>
      </c>
      <c r="L514">
        <f t="shared" si="36"/>
        <v>1</v>
      </c>
      <c r="M514">
        <f t="shared" si="37"/>
        <v>465.6</v>
      </c>
      <c r="N514" t="str">
        <f t="shared" si="38"/>
        <v>SUFICIENTE</v>
      </c>
      <c r="O514">
        <f t="shared" si="39"/>
        <v>0</v>
      </c>
    </row>
    <row r="515" spans="1:15" x14ac:dyDescent="0.45">
      <c r="A515" t="str">
        <v>CD-MOR</v>
      </c>
      <c r="B515" t="str">
        <v>BEB-1013</v>
      </c>
      <c r="C515">
        <v>4732</v>
      </c>
      <c r="D515">
        <v>601.70000000000005</v>
      </c>
      <c r="E515">
        <v>69.400000000000006</v>
      </c>
      <c r="F515">
        <v>1.5</v>
      </c>
      <c r="G515">
        <v>0.5</v>
      </c>
      <c r="H515" t="str">
        <v>OK</v>
      </c>
      <c r="J515">
        <f t="shared" ref="J515:J578" si="40">SUMIF($B$2:$B$1501, B515, $D$2:$D$1501)</f>
        <v>6158.7000000000007</v>
      </c>
      <c r="K515">
        <f>SUMIF(Supply_Clean[Item_Code], B515, Supply_Clean[Available_Supply])</f>
        <v>3246</v>
      </c>
      <c r="L515">
        <f t="shared" ref="L515:L578" si="41">IFERROR(MIN(1, K515/J515), "")</f>
        <v>0.52705928199132923</v>
      </c>
      <c r="M515">
        <f t="shared" ref="M515:M578" si="42">IFERROR(D515*L515, "")</f>
        <v>317.13156997418281</v>
      </c>
      <c r="N515" t="str">
        <f t="shared" ref="N515:N578" si="43">IF(L515&lt;1, "ESCASEZ", "SUFICIENTE")</f>
        <v>ESCASEZ</v>
      </c>
      <c r="O515">
        <f t="shared" ref="O515:O578" si="44">IF(N515="ESCASEZ", D515-M515, 0)</f>
        <v>284.56843002581724</v>
      </c>
    </row>
    <row r="516" spans="1:15" x14ac:dyDescent="0.45">
      <c r="A516" t="str">
        <v>CD-HER</v>
      </c>
      <c r="B516" t="str">
        <v>LAC-1016</v>
      </c>
      <c r="C516">
        <v>1025</v>
      </c>
      <c r="D516">
        <v>150.80000000000001</v>
      </c>
      <c r="E516">
        <v>46.8</v>
      </c>
      <c r="F516">
        <v>2.1</v>
      </c>
      <c r="G516">
        <v>1.2</v>
      </c>
      <c r="H516" t="str">
        <v>OK</v>
      </c>
      <c r="J516">
        <f t="shared" si="40"/>
        <v>4542.5</v>
      </c>
      <c r="K516">
        <f>SUMIF(Supply_Clean[Item_Code], B516, Supply_Clean[Available_Supply])</f>
        <v>12760</v>
      </c>
      <c r="L516">
        <f t="shared" si="41"/>
        <v>1</v>
      </c>
      <c r="M516">
        <f t="shared" si="42"/>
        <v>150.80000000000001</v>
      </c>
      <c r="N516" t="str">
        <f t="shared" si="43"/>
        <v>SUFICIENTE</v>
      </c>
      <c r="O516">
        <f t="shared" si="44"/>
        <v>0</v>
      </c>
    </row>
    <row r="517" spans="1:15" x14ac:dyDescent="0.45">
      <c r="A517" t="str">
        <v>CD-SAL</v>
      </c>
      <c r="B517" t="str">
        <v>PRO-1009</v>
      </c>
      <c r="C517">
        <v>968</v>
      </c>
      <c r="D517">
        <v>103</v>
      </c>
      <c r="E517">
        <v>49.2</v>
      </c>
      <c r="F517">
        <v>2.2999999999999998</v>
      </c>
      <c r="G517">
        <v>0.5</v>
      </c>
      <c r="H517" t="str">
        <v>OK</v>
      </c>
      <c r="J517">
        <f t="shared" si="40"/>
        <v>5962.0999999999995</v>
      </c>
      <c r="K517">
        <f>SUMIF(Supply_Clean[Item_Code], B517, Supply_Clean[Available_Supply])</f>
        <v>10685</v>
      </c>
      <c r="L517">
        <f t="shared" si="41"/>
        <v>1</v>
      </c>
      <c r="M517">
        <f t="shared" si="42"/>
        <v>103</v>
      </c>
      <c r="N517" t="str">
        <f t="shared" si="43"/>
        <v>SUFICIENTE</v>
      </c>
      <c r="O517">
        <f t="shared" si="44"/>
        <v>0</v>
      </c>
    </row>
    <row r="518" spans="1:15" x14ac:dyDescent="0.45">
      <c r="A518" t="str">
        <v>CD-LEO</v>
      </c>
      <c r="B518" t="str">
        <v>BEB-1012</v>
      </c>
      <c r="C518">
        <v>6404</v>
      </c>
      <c r="D518">
        <v>405.6</v>
      </c>
      <c r="E518">
        <v>50.2</v>
      </c>
      <c r="F518">
        <v>2.1</v>
      </c>
      <c r="G518">
        <v>0.6</v>
      </c>
      <c r="H518" t="str">
        <v>OK</v>
      </c>
      <c r="J518">
        <f t="shared" si="40"/>
        <v>5740.7</v>
      </c>
      <c r="K518">
        <f>SUMIF(Supply_Clean[Item_Code], B518, Supply_Clean[Available_Supply])</f>
        <v>12491</v>
      </c>
      <c r="L518">
        <f t="shared" si="41"/>
        <v>1</v>
      </c>
      <c r="M518">
        <f t="shared" si="42"/>
        <v>405.6</v>
      </c>
      <c r="N518" t="str">
        <f t="shared" si="43"/>
        <v>SUFICIENTE</v>
      </c>
      <c r="O518">
        <f t="shared" si="44"/>
        <v>0</v>
      </c>
    </row>
    <row r="519" spans="1:15" x14ac:dyDescent="0.45">
      <c r="A519" t="str">
        <v>CD-MER</v>
      </c>
      <c r="B519" t="str">
        <v>LAC-1004</v>
      </c>
      <c r="C519">
        <v>1790</v>
      </c>
      <c r="D519">
        <v>243.7</v>
      </c>
      <c r="E519">
        <v>101.7</v>
      </c>
      <c r="F519">
        <v>5.5</v>
      </c>
      <c r="G519">
        <v>1.3</v>
      </c>
      <c r="H519" t="str">
        <v>OK</v>
      </c>
      <c r="J519">
        <f t="shared" si="40"/>
        <v>4211.5</v>
      </c>
      <c r="K519">
        <f>SUMIF(Supply_Clean[Item_Code], B519, Supply_Clean[Available_Supply])</f>
        <v>11968</v>
      </c>
      <c r="L519">
        <f t="shared" si="41"/>
        <v>1</v>
      </c>
      <c r="M519">
        <f t="shared" si="42"/>
        <v>243.7</v>
      </c>
      <c r="N519" t="str">
        <f t="shared" si="43"/>
        <v>SUFICIENTE</v>
      </c>
      <c r="O519">
        <f t="shared" si="44"/>
        <v>0</v>
      </c>
    </row>
    <row r="520" spans="1:15" x14ac:dyDescent="0.45">
      <c r="A520" t="str">
        <v>CD-MOR</v>
      </c>
      <c r="B520" t="str">
        <v>PRO-1003</v>
      </c>
      <c r="C520">
        <v>1859</v>
      </c>
      <c r="D520">
        <v>720.2</v>
      </c>
      <c r="E520">
        <v>341.6</v>
      </c>
      <c r="F520">
        <v>2</v>
      </c>
      <c r="G520">
        <v>0.5</v>
      </c>
      <c r="H520" t="str">
        <v>OK</v>
      </c>
      <c r="J520">
        <f t="shared" si="40"/>
        <v>6234.9</v>
      </c>
      <c r="K520">
        <f>SUMIF(Supply_Clean[Item_Code], B520, Supply_Clean[Available_Supply])</f>
        <v>10658</v>
      </c>
      <c r="L520">
        <f t="shared" si="41"/>
        <v>1</v>
      </c>
      <c r="M520">
        <f t="shared" si="42"/>
        <v>720.2</v>
      </c>
      <c r="N520" t="str">
        <f t="shared" si="43"/>
        <v>SUFICIENTE</v>
      </c>
      <c r="O520">
        <f t="shared" si="44"/>
        <v>0</v>
      </c>
    </row>
    <row r="521" spans="1:15" x14ac:dyDescent="0.45">
      <c r="A521" t="str">
        <v>CD-CDMX</v>
      </c>
      <c r="B521" t="str">
        <v>BEB-1003</v>
      </c>
      <c r="C521">
        <v>552</v>
      </c>
      <c r="D521">
        <v>0</v>
      </c>
      <c r="E521">
        <v>46.5</v>
      </c>
      <c r="F521">
        <v>0.9</v>
      </c>
      <c r="G521">
        <v>0.2</v>
      </c>
      <c r="H521" t="str">
        <v>OK</v>
      </c>
      <c r="J521">
        <f t="shared" si="40"/>
        <v>5232</v>
      </c>
      <c r="K521">
        <f>SUMIF(Supply_Clean[Item_Code], B521, Supply_Clean[Available_Supply])</f>
        <v>16426</v>
      </c>
      <c r="L521">
        <f t="shared" si="41"/>
        <v>1</v>
      </c>
      <c r="M521">
        <f t="shared" si="42"/>
        <v>0</v>
      </c>
      <c r="N521" t="str">
        <f t="shared" si="43"/>
        <v>SUFICIENTE</v>
      </c>
      <c r="O521">
        <f t="shared" si="44"/>
        <v>0</v>
      </c>
    </row>
    <row r="522" spans="1:15" x14ac:dyDescent="0.45">
      <c r="A522" t="str">
        <v>CD-VER</v>
      </c>
      <c r="B522" t="str">
        <v>PRO-1010</v>
      </c>
      <c r="C522">
        <v>2383</v>
      </c>
      <c r="D522">
        <v>588</v>
      </c>
      <c r="E522">
        <v>382.7</v>
      </c>
      <c r="F522">
        <v>4.2</v>
      </c>
      <c r="G522">
        <v>0.9</v>
      </c>
      <c r="H522" t="str">
        <v>OK</v>
      </c>
      <c r="J522">
        <f t="shared" si="40"/>
        <v>6996.1000000000013</v>
      </c>
      <c r="K522">
        <f>SUMIF(Supply_Clean[Item_Code], B522, Supply_Clean[Available_Supply])</f>
        <v>18475</v>
      </c>
      <c r="L522">
        <f t="shared" si="41"/>
        <v>1</v>
      </c>
      <c r="M522">
        <f t="shared" si="42"/>
        <v>588</v>
      </c>
      <c r="N522" t="str">
        <f t="shared" si="43"/>
        <v>SUFICIENTE</v>
      </c>
      <c r="O522">
        <f t="shared" si="44"/>
        <v>0</v>
      </c>
    </row>
    <row r="523" spans="1:15" x14ac:dyDescent="0.45">
      <c r="A523" t="str">
        <v>CD-TOL</v>
      </c>
      <c r="B523" t="str">
        <v>BOT-1015</v>
      </c>
      <c r="C523">
        <v>6595</v>
      </c>
      <c r="D523">
        <v>552.29999999999995</v>
      </c>
      <c r="E523">
        <v>113.9</v>
      </c>
      <c r="F523">
        <v>2.4</v>
      </c>
      <c r="G523">
        <v>0.5</v>
      </c>
      <c r="H523" t="str">
        <v>OK</v>
      </c>
      <c r="J523">
        <f t="shared" si="40"/>
        <v>8666.4</v>
      </c>
      <c r="K523">
        <f>SUMIF(Supply_Clean[Item_Code], B523, Supply_Clean[Available_Supply])</f>
        <v>5719</v>
      </c>
      <c r="L523">
        <f t="shared" si="41"/>
        <v>0.65990492015138935</v>
      </c>
      <c r="M523">
        <f t="shared" si="42"/>
        <v>364.4654873996123</v>
      </c>
      <c r="N523" t="str">
        <f t="shared" si="43"/>
        <v>ESCASEZ</v>
      </c>
      <c r="O523">
        <f t="shared" si="44"/>
        <v>187.83451260038765</v>
      </c>
    </row>
    <row r="524" spans="1:15" x14ac:dyDescent="0.45">
      <c r="A524" t="str">
        <v>CD-MOR</v>
      </c>
      <c r="B524" t="str">
        <v>PRO-1009</v>
      </c>
      <c r="C524">
        <v>10631</v>
      </c>
      <c r="D524">
        <v>651.6</v>
      </c>
      <c r="E524">
        <v>357.3</v>
      </c>
      <c r="F524">
        <v>2.1</v>
      </c>
      <c r="G524">
        <v>0.5</v>
      </c>
      <c r="H524" t="str">
        <v>OK</v>
      </c>
      <c r="J524">
        <f t="shared" si="40"/>
        <v>5962.0999999999995</v>
      </c>
      <c r="K524">
        <f>SUMIF(Supply_Clean[Item_Code], B524, Supply_Clean[Available_Supply])</f>
        <v>10685</v>
      </c>
      <c r="L524">
        <f t="shared" si="41"/>
        <v>1</v>
      </c>
      <c r="M524">
        <f t="shared" si="42"/>
        <v>651.6</v>
      </c>
      <c r="N524" t="str">
        <f t="shared" si="43"/>
        <v>SUFICIENTE</v>
      </c>
      <c r="O524">
        <f t="shared" si="44"/>
        <v>0</v>
      </c>
    </row>
    <row r="525" spans="1:15" x14ac:dyDescent="0.45">
      <c r="A525" t="str">
        <v>CD-PUE</v>
      </c>
      <c r="B525" t="str">
        <v>BEB-1016</v>
      </c>
      <c r="C525">
        <v>3273</v>
      </c>
      <c r="D525">
        <v>333</v>
      </c>
      <c r="E525">
        <v>61.3</v>
      </c>
      <c r="F525">
        <v>0.6</v>
      </c>
      <c r="G525">
        <v>0.3</v>
      </c>
      <c r="H525" t="str">
        <v>OK</v>
      </c>
      <c r="J525">
        <f t="shared" si="40"/>
        <v>5569.2000000000007</v>
      </c>
      <c r="K525">
        <f>SUMIF(Supply_Clean[Item_Code], B525, Supply_Clean[Available_Supply])</f>
        <v>14537</v>
      </c>
      <c r="L525">
        <f t="shared" si="41"/>
        <v>1</v>
      </c>
      <c r="M525">
        <f t="shared" si="42"/>
        <v>333</v>
      </c>
      <c r="N525" t="str">
        <f t="shared" si="43"/>
        <v>SUFICIENTE</v>
      </c>
      <c r="O525">
        <f t="shared" si="44"/>
        <v>0</v>
      </c>
    </row>
    <row r="526" spans="1:15" x14ac:dyDescent="0.45">
      <c r="A526" t="str">
        <v>CD-MTY</v>
      </c>
      <c r="B526" t="str">
        <v>BEB-1013</v>
      </c>
      <c r="C526">
        <v>2500</v>
      </c>
      <c r="D526">
        <v>384.1</v>
      </c>
      <c r="E526">
        <v>69.7</v>
      </c>
      <c r="F526">
        <v>1.1000000000000001</v>
      </c>
      <c r="G526">
        <v>0.3</v>
      </c>
      <c r="H526" t="str">
        <v>OK</v>
      </c>
      <c r="J526">
        <f t="shared" si="40"/>
        <v>6158.7000000000007</v>
      </c>
      <c r="K526">
        <f>SUMIF(Supply_Clean[Item_Code], B526, Supply_Clean[Available_Supply])</f>
        <v>3246</v>
      </c>
      <c r="L526">
        <f t="shared" si="41"/>
        <v>0.52705928199132923</v>
      </c>
      <c r="M526">
        <f t="shared" si="42"/>
        <v>202.44347021286956</v>
      </c>
      <c r="N526" t="str">
        <f t="shared" si="43"/>
        <v>ESCASEZ</v>
      </c>
      <c r="O526">
        <f t="shared" si="44"/>
        <v>181.65652978713047</v>
      </c>
    </row>
    <row r="527" spans="1:15" x14ac:dyDescent="0.45">
      <c r="A527" t="str">
        <v>CD-HER</v>
      </c>
      <c r="B527" t="str">
        <v>BOT-1011</v>
      </c>
      <c r="C527">
        <v>8264</v>
      </c>
      <c r="D527">
        <v>518.79999999999995</v>
      </c>
      <c r="E527">
        <v>146.30000000000001</v>
      </c>
      <c r="F527">
        <v>3.1</v>
      </c>
      <c r="G527">
        <v>1.2</v>
      </c>
      <c r="H527" t="str">
        <v>OK</v>
      </c>
      <c r="J527">
        <f t="shared" si="40"/>
        <v>9886.2999999999993</v>
      </c>
      <c r="K527">
        <f>SUMIF(Supply_Clean[Item_Code], B527, Supply_Clean[Available_Supply])</f>
        <v>19886</v>
      </c>
      <c r="L527">
        <f t="shared" si="41"/>
        <v>1</v>
      </c>
      <c r="M527">
        <f t="shared" si="42"/>
        <v>518.79999999999995</v>
      </c>
      <c r="N527" t="str">
        <f t="shared" si="43"/>
        <v>SUFICIENTE</v>
      </c>
      <c r="O527">
        <f t="shared" si="44"/>
        <v>0</v>
      </c>
    </row>
    <row r="528" spans="1:15" x14ac:dyDescent="0.45">
      <c r="A528" t="str">
        <v>CD-CAN</v>
      </c>
      <c r="B528" t="str">
        <v>BOT-1002</v>
      </c>
      <c r="C528">
        <v>702</v>
      </c>
      <c r="D528">
        <v>328.8</v>
      </c>
      <c r="E528">
        <v>64.900000000000006</v>
      </c>
      <c r="F528">
        <v>3</v>
      </c>
      <c r="G528">
        <v>1.6</v>
      </c>
      <c r="H528" t="str">
        <v>OK</v>
      </c>
      <c r="J528">
        <f t="shared" si="40"/>
        <v>8527</v>
      </c>
      <c r="K528">
        <f>SUMIF(Supply_Clean[Item_Code], B528, Supply_Clean[Available_Supply])</f>
        <v>25048</v>
      </c>
      <c r="L528">
        <f t="shared" si="41"/>
        <v>1</v>
      </c>
      <c r="M528">
        <f t="shared" si="42"/>
        <v>328.8</v>
      </c>
      <c r="N528" t="str">
        <f t="shared" si="43"/>
        <v>SUFICIENTE</v>
      </c>
      <c r="O528">
        <f t="shared" si="44"/>
        <v>0</v>
      </c>
    </row>
    <row r="529" spans="1:15" x14ac:dyDescent="0.45">
      <c r="A529" t="str">
        <v>CD-TIJ</v>
      </c>
      <c r="B529" t="str">
        <v>LAC-1017</v>
      </c>
      <c r="C529">
        <v>184</v>
      </c>
      <c r="D529">
        <v>261.10000000000002</v>
      </c>
      <c r="E529">
        <v>91.4</v>
      </c>
      <c r="F529">
        <v>4.8</v>
      </c>
      <c r="G529">
        <v>1.5</v>
      </c>
      <c r="H529" t="str">
        <v>OK</v>
      </c>
      <c r="J529">
        <f t="shared" si="40"/>
        <v>4246.3999999999996</v>
      </c>
      <c r="K529">
        <f>SUMIF(Supply_Clean[Item_Code], B529, Supply_Clean[Available_Supply])</f>
        <v>12824</v>
      </c>
      <c r="L529">
        <f t="shared" si="41"/>
        <v>1</v>
      </c>
      <c r="M529">
        <f t="shared" si="42"/>
        <v>261.10000000000002</v>
      </c>
      <c r="N529" t="str">
        <f t="shared" si="43"/>
        <v>SUFICIENTE</v>
      </c>
      <c r="O529">
        <f t="shared" si="44"/>
        <v>0</v>
      </c>
    </row>
    <row r="530" spans="1:15" x14ac:dyDescent="0.45">
      <c r="A530" t="str">
        <v>CD-HER</v>
      </c>
      <c r="B530" t="str">
        <v>BEB-1013</v>
      </c>
      <c r="C530">
        <v>2586</v>
      </c>
      <c r="D530">
        <v>251.4</v>
      </c>
      <c r="E530">
        <v>32</v>
      </c>
      <c r="F530">
        <v>2.6</v>
      </c>
      <c r="G530">
        <v>1.2</v>
      </c>
      <c r="H530" t="str">
        <v>OK</v>
      </c>
      <c r="J530">
        <f t="shared" si="40"/>
        <v>6158.7000000000007</v>
      </c>
      <c r="K530">
        <f>SUMIF(Supply_Clean[Item_Code], B530, Supply_Clean[Available_Supply])</f>
        <v>3246</v>
      </c>
      <c r="L530">
        <f t="shared" si="41"/>
        <v>0.52705928199132923</v>
      </c>
      <c r="M530">
        <f t="shared" si="42"/>
        <v>132.50270349262018</v>
      </c>
      <c r="N530" t="str">
        <f t="shared" si="43"/>
        <v>ESCASEZ</v>
      </c>
      <c r="O530">
        <f t="shared" si="44"/>
        <v>118.89729650737982</v>
      </c>
    </row>
    <row r="531" spans="1:15" x14ac:dyDescent="0.45">
      <c r="A531" t="str">
        <v>CD-MER</v>
      </c>
      <c r="B531" t="str">
        <v>LAC-1005</v>
      </c>
      <c r="C531">
        <v>2917</v>
      </c>
      <c r="D531">
        <v>285.89999999999998</v>
      </c>
      <c r="E531">
        <v>121.3</v>
      </c>
      <c r="F531">
        <v>6</v>
      </c>
      <c r="G531">
        <v>1.3</v>
      </c>
      <c r="H531" t="str">
        <v>OK</v>
      </c>
      <c r="J531">
        <f t="shared" si="40"/>
        <v>3868.9</v>
      </c>
      <c r="K531">
        <f>SUMIF(Supply_Clean[Item_Code], B531, Supply_Clean[Available_Supply])</f>
        <v>9953</v>
      </c>
      <c r="L531">
        <f t="shared" si="41"/>
        <v>1</v>
      </c>
      <c r="M531">
        <f t="shared" si="42"/>
        <v>285.89999999999998</v>
      </c>
      <c r="N531" t="str">
        <f t="shared" si="43"/>
        <v>SUFICIENTE</v>
      </c>
      <c r="O531">
        <f t="shared" si="44"/>
        <v>0</v>
      </c>
    </row>
    <row r="532" spans="1:15" x14ac:dyDescent="0.45">
      <c r="A532" t="str">
        <v>CD-QRO</v>
      </c>
      <c r="B532" t="str">
        <v>BOT-1015</v>
      </c>
      <c r="C532">
        <v>2192</v>
      </c>
      <c r="D532">
        <v>381.9</v>
      </c>
      <c r="E532">
        <v>88.5</v>
      </c>
      <c r="F532">
        <v>2</v>
      </c>
      <c r="G532">
        <v>0.4</v>
      </c>
      <c r="H532" t="str">
        <v>OK</v>
      </c>
      <c r="J532">
        <f t="shared" si="40"/>
        <v>8666.4</v>
      </c>
      <c r="K532">
        <f>SUMIF(Supply_Clean[Item_Code], B532, Supply_Clean[Available_Supply])</f>
        <v>5719</v>
      </c>
      <c r="L532">
        <f t="shared" si="41"/>
        <v>0.65990492015138935</v>
      </c>
      <c r="M532">
        <f t="shared" si="42"/>
        <v>252.01768900581558</v>
      </c>
      <c r="N532" t="str">
        <f t="shared" si="43"/>
        <v>ESCASEZ</v>
      </c>
      <c r="O532">
        <f t="shared" si="44"/>
        <v>129.88231099418439</v>
      </c>
    </row>
    <row r="533" spans="1:15" x14ac:dyDescent="0.45">
      <c r="A533" t="str">
        <v>CD-MTY</v>
      </c>
      <c r="B533" t="str">
        <v>LAC-1009</v>
      </c>
      <c r="C533">
        <v>1423</v>
      </c>
      <c r="D533">
        <v>181.8</v>
      </c>
      <c r="E533">
        <v>53</v>
      </c>
      <c r="F533">
        <v>0.8</v>
      </c>
      <c r="G533">
        <v>0.3</v>
      </c>
      <c r="H533" t="str">
        <v>OK</v>
      </c>
      <c r="J533">
        <f t="shared" si="40"/>
        <v>4163.3999999999996</v>
      </c>
      <c r="K533">
        <f>SUMIF(Supply_Clean[Item_Code], B533, Supply_Clean[Available_Supply])</f>
        <v>6523</v>
      </c>
      <c r="L533">
        <f t="shared" si="41"/>
        <v>1</v>
      </c>
      <c r="M533">
        <f t="shared" si="42"/>
        <v>181.8</v>
      </c>
      <c r="N533" t="str">
        <f t="shared" si="43"/>
        <v>SUFICIENTE</v>
      </c>
      <c r="O533">
        <f t="shared" si="44"/>
        <v>0</v>
      </c>
    </row>
    <row r="534" spans="1:15" x14ac:dyDescent="0.45">
      <c r="A534" t="str">
        <v>CD-VER</v>
      </c>
      <c r="B534" t="str">
        <v>ABA-1001</v>
      </c>
      <c r="C534">
        <v>977</v>
      </c>
      <c r="D534">
        <v>345.7</v>
      </c>
      <c r="E534">
        <v>45.5</v>
      </c>
      <c r="F534">
        <v>2.5</v>
      </c>
      <c r="G534">
        <v>0.9</v>
      </c>
      <c r="H534" t="str">
        <v>OK</v>
      </c>
      <c r="J534">
        <f t="shared" si="40"/>
        <v>4698.6999999999989</v>
      </c>
      <c r="K534">
        <f>SUMIF(Supply_Clean[Item_Code], B534, Supply_Clean[Available_Supply])</f>
        <v>8775</v>
      </c>
      <c r="L534">
        <f t="shared" si="41"/>
        <v>1</v>
      </c>
      <c r="M534">
        <f t="shared" si="42"/>
        <v>345.7</v>
      </c>
      <c r="N534" t="str">
        <f t="shared" si="43"/>
        <v>SUFICIENTE</v>
      </c>
      <c r="O534">
        <f t="shared" si="44"/>
        <v>0</v>
      </c>
    </row>
    <row r="535" spans="1:15" x14ac:dyDescent="0.45">
      <c r="A535" t="str">
        <v>CD-CHI</v>
      </c>
      <c r="B535" t="str">
        <v>PRO-1006</v>
      </c>
      <c r="C535">
        <v>10686</v>
      </c>
      <c r="D535">
        <v>687.5</v>
      </c>
      <c r="E535">
        <v>334</v>
      </c>
      <c r="F535">
        <v>3.3</v>
      </c>
      <c r="G535">
        <v>1</v>
      </c>
      <c r="H535" t="str">
        <v>OK</v>
      </c>
      <c r="J535">
        <f t="shared" si="40"/>
        <v>5801.8</v>
      </c>
      <c r="K535">
        <f>SUMIF(Supply_Clean[Item_Code], B535, Supply_Clean[Available_Supply])</f>
        <v>9270</v>
      </c>
      <c r="L535">
        <f t="shared" si="41"/>
        <v>1</v>
      </c>
      <c r="M535">
        <f t="shared" si="42"/>
        <v>687.5</v>
      </c>
      <c r="N535" t="str">
        <f t="shared" si="43"/>
        <v>SUFICIENTE</v>
      </c>
      <c r="O535">
        <f t="shared" si="44"/>
        <v>0</v>
      </c>
    </row>
    <row r="536" spans="1:15" x14ac:dyDescent="0.45">
      <c r="A536" t="str">
        <v>CD-CDMX</v>
      </c>
      <c r="B536" t="str">
        <v>ABA-1012</v>
      </c>
      <c r="C536">
        <v>3838</v>
      </c>
      <c r="D536">
        <v>472.5</v>
      </c>
      <c r="E536">
        <v>44</v>
      </c>
      <c r="F536">
        <v>1</v>
      </c>
      <c r="G536">
        <v>0.2</v>
      </c>
      <c r="H536" t="str">
        <v>OK</v>
      </c>
      <c r="J536">
        <f t="shared" si="40"/>
        <v>5104.3999999999996</v>
      </c>
      <c r="K536">
        <f>SUMIF(Supply_Clean[Item_Code], B536, Supply_Clean[Available_Supply])</f>
        <v>8396</v>
      </c>
      <c r="L536">
        <f t="shared" si="41"/>
        <v>1</v>
      </c>
      <c r="M536">
        <f t="shared" si="42"/>
        <v>472.5</v>
      </c>
      <c r="N536" t="str">
        <f t="shared" si="43"/>
        <v>SUFICIENTE</v>
      </c>
      <c r="O536">
        <f t="shared" si="44"/>
        <v>0</v>
      </c>
    </row>
    <row r="537" spans="1:15" x14ac:dyDescent="0.45">
      <c r="A537" t="str">
        <v>CD-VER</v>
      </c>
      <c r="B537" t="str">
        <v>BOT-1021</v>
      </c>
      <c r="C537">
        <v>865</v>
      </c>
      <c r="D537">
        <v>399</v>
      </c>
      <c r="E537">
        <v>106.7</v>
      </c>
      <c r="F537">
        <v>2</v>
      </c>
      <c r="G537">
        <v>0.9</v>
      </c>
      <c r="H537" t="str">
        <v>OK</v>
      </c>
      <c r="J537">
        <f t="shared" si="40"/>
        <v>6783.3</v>
      </c>
      <c r="K537">
        <f>SUMIF(Supply_Clean[Item_Code], B537, Supply_Clean[Available_Supply])</f>
        <v>13475</v>
      </c>
      <c r="L537">
        <f t="shared" si="41"/>
        <v>1</v>
      </c>
      <c r="M537">
        <f t="shared" si="42"/>
        <v>399</v>
      </c>
      <c r="N537" t="str">
        <f t="shared" si="43"/>
        <v>SUFICIENTE</v>
      </c>
      <c r="O537">
        <f t="shared" si="44"/>
        <v>0</v>
      </c>
    </row>
    <row r="538" spans="1:15" x14ac:dyDescent="0.45">
      <c r="A538" t="str">
        <v>CD-TOL</v>
      </c>
      <c r="B538" t="str">
        <v>BEB-1009</v>
      </c>
      <c r="C538">
        <v>2830</v>
      </c>
      <c r="D538">
        <v>533.20000000000005</v>
      </c>
      <c r="E538">
        <v>84</v>
      </c>
      <c r="F538">
        <v>2.2000000000000002</v>
      </c>
      <c r="G538">
        <v>0.5</v>
      </c>
      <c r="H538" t="str">
        <v>OK</v>
      </c>
      <c r="J538">
        <f t="shared" si="40"/>
        <v>6226.9000000000005</v>
      </c>
      <c r="K538">
        <f>SUMIF(Supply_Clean[Item_Code], B538, Supply_Clean[Available_Supply])</f>
        <v>10475</v>
      </c>
      <c r="L538">
        <f t="shared" si="41"/>
        <v>1</v>
      </c>
      <c r="M538">
        <f t="shared" si="42"/>
        <v>533.20000000000005</v>
      </c>
      <c r="N538" t="str">
        <f t="shared" si="43"/>
        <v>SUFICIENTE</v>
      </c>
      <c r="O538">
        <f t="shared" si="44"/>
        <v>0</v>
      </c>
    </row>
    <row r="539" spans="1:15" x14ac:dyDescent="0.45">
      <c r="A539" t="str">
        <v>CD-VER</v>
      </c>
      <c r="B539" t="str">
        <v>PRO-1012</v>
      </c>
      <c r="C539">
        <v>327</v>
      </c>
      <c r="D539">
        <v>113.7</v>
      </c>
      <c r="E539">
        <v>73.7</v>
      </c>
      <c r="F539">
        <v>2.7</v>
      </c>
      <c r="G539">
        <v>0.9</v>
      </c>
      <c r="H539" t="str">
        <v>OK</v>
      </c>
      <c r="J539">
        <f t="shared" si="40"/>
        <v>4930.1000000000004</v>
      </c>
      <c r="K539">
        <f>SUMIF(Supply_Clean[Item_Code], B539, Supply_Clean[Available_Supply])</f>
        <v>9930</v>
      </c>
      <c r="L539">
        <f t="shared" si="41"/>
        <v>1</v>
      </c>
      <c r="M539">
        <f t="shared" si="42"/>
        <v>113.7</v>
      </c>
      <c r="N539" t="str">
        <f t="shared" si="43"/>
        <v>SUFICIENTE</v>
      </c>
      <c r="O539">
        <f t="shared" si="44"/>
        <v>0</v>
      </c>
    </row>
    <row r="540" spans="1:15" x14ac:dyDescent="0.45">
      <c r="A540" t="str">
        <v>CD-GDL</v>
      </c>
      <c r="B540" t="str">
        <v>LAC-1011</v>
      </c>
      <c r="C540">
        <v>2090</v>
      </c>
      <c r="D540">
        <v>174.7</v>
      </c>
      <c r="E540">
        <v>47.1</v>
      </c>
      <c r="F540">
        <v>1.1000000000000001</v>
      </c>
      <c r="G540">
        <v>0.2</v>
      </c>
      <c r="H540" t="str">
        <v>OK</v>
      </c>
      <c r="J540">
        <f t="shared" si="40"/>
        <v>4165</v>
      </c>
      <c r="K540">
        <f>SUMIF(Supply_Clean[Item_Code], B540, Supply_Clean[Available_Supply])</f>
        <v>2719</v>
      </c>
      <c r="L540">
        <f t="shared" si="41"/>
        <v>0.65282112845138052</v>
      </c>
      <c r="M540">
        <f t="shared" si="42"/>
        <v>114.04785114045617</v>
      </c>
      <c r="N540" t="str">
        <f t="shared" si="43"/>
        <v>ESCASEZ</v>
      </c>
      <c r="O540">
        <f t="shared" si="44"/>
        <v>60.652148859543814</v>
      </c>
    </row>
    <row r="541" spans="1:15" x14ac:dyDescent="0.45">
      <c r="A541" t="str">
        <v>CD-HER</v>
      </c>
      <c r="B541" t="str">
        <v>BOT-1000</v>
      </c>
      <c r="C541">
        <v>6910</v>
      </c>
      <c r="D541">
        <v>630.4</v>
      </c>
      <c r="E541">
        <v>96.6</v>
      </c>
      <c r="F541">
        <v>4.3</v>
      </c>
      <c r="G541">
        <v>1.2</v>
      </c>
      <c r="H541" t="str">
        <v>OK</v>
      </c>
      <c r="J541">
        <f t="shared" si="40"/>
        <v>8310.6</v>
      </c>
      <c r="K541">
        <f>SUMIF(Supply_Clean[Item_Code], B541, Supply_Clean[Available_Supply])</f>
        <v>21762</v>
      </c>
      <c r="L541">
        <f t="shared" si="41"/>
        <v>1</v>
      </c>
      <c r="M541">
        <f t="shared" si="42"/>
        <v>630.4</v>
      </c>
      <c r="N541" t="str">
        <f t="shared" si="43"/>
        <v>SUFICIENTE</v>
      </c>
      <c r="O541">
        <f t="shared" si="44"/>
        <v>0</v>
      </c>
    </row>
    <row r="542" spans="1:15" x14ac:dyDescent="0.45">
      <c r="A542" t="str">
        <v>CD-PUE</v>
      </c>
      <c r="B542" t="str">
        <v>PRO-1004</v>
      </c>
      <c r="C542">
        <v>767</v>
      </c>
      <c r="D542">
        <v>291.7</v>
      </c>
      <c r="E542">
        <v>197.8</v>
      </c>
      <c r="F542">
        <v>0.8</v>
      </c>
      <c r="G542">
        <v>0.3</v>
      </c>
      <c r="H542" t="str">
        <v>OK</v>
      </c>
      <c r="J542">
        <f t="shared" si="40"/>
        <v>5295.1999999999989</v>
      </c>
      <c r="K542">
        <f>SUMIF(Supply_Clean[Item_Code], B542, Supply_Clean[Available_Supply])</f>
        <v>13057</v>
      </c>
      <c r="L542">
        <f t="shared" si="41"/>
        <v>1</v>
      </c>
      <c r="M542">
        <f t="shared" si="42"/>
        <v>291.7</v>
      </c>
      <c r="N542" t="str">
        <f t="shared" si="43"/>
        <v>SUFICIENTE</v>
      </c>
      <c r="O542">
        <f t="shared" si="44"/>
        <v>0</v>
      </c>
    </row>
    <row r="543" spans="1:15" x14ac:dyDescent="0.45">
      <c r="A543" t="str">
        <v>CD-PUE</v>
      </c>
      <c r="B543" t="str">
        <v>LAC-1002</v>
      </c>
      <c r="C543">
        <v>4315</v>
      </c>
      <c r="D543">
        <v>330.5</v>
      </c>
      <c r="E543">
        <v>109.2</v>
      </c>
      <c r="F543">
        <v>0.9</v>
      </c>
      <c r="G543">
        <v>0.3</v>
      </c>
      <c r="H543" t="str">
        <v>OK</v>
      </c>
      <c r="J543">
        <f t="shared" si="40"/>
        <v>4442.1000000000004</v>
      </c>
      <c r="K543">
        <f>SUMIF(Supply_Clean[Item_Code], B543, Supply_Clean[Available_Supply])</f>
        <v>7796</v>
      </c>
      <c r="L543">
        <f t="shared" si="41"/>
        <v>1</v>
      </c>
      <c r="M543">
        <f t="shared" si="42"/>
        <v>330.5</v>
      </c>
      <c r="N543" t="str">
        <f t="shared" si="43"/>
        <v>SUFICIENTE</v>
      </c>
      <c r="O543">
        <f t="shared" si="44"/>
        <v>0</v>
      </c>
    </row>
    <row r="544" spans="1:15" x14ac:dyDescent="0.45">
      <c r="A544" t="str">
        <v>CD-CDMX</v>
      </c>
      <c r="B544" t="str">
        <v>BEB-1009</v>
      </c>
      <c r="C544">
        <v>1128</v>
      </c>
      <c r="D544">
        <v>514.29999999999995</v>
      </c>
      <c r="E544">
        <v>98</v>
      </c>
      <c r="F544">
        <v>1.2</v>
      </c>
      <c r="G544">
        <v>0.2</v>
      </c>
      <c r="H544" t="str">
        <v>OK</v>
      </c>
      <c r="J544">
        <f t="shared" si="40"/>
        <v>6226.9000000000005</v>
      </c>
      <c r="K544">
        <f>SUMIF(Supply_Clean[Item_Code], B544, Supply_Clean[Available_Supply])</f>
        <v>10475</v>
      </c>
      <c r="L544">
        <f t="shared" si="41"/>
        <v>1</v>
      </c>
      <c r="M544">
        <f t="shared" si="42"/>
        <v>514.29999999999995</v>
      </c>
      <c r="N544" t="str">
        <f t="shared" si="43"/>
        <v>SUFICIENTE</v>
      </c>
      <c r="O544">
        <f t="shared" si="44"/>
        <v>0</v>
      </c>
    </row>
    <row r="545" spans="1:15" x14ac:dyDescent="0.45">
      <c r="A545" t="str">
        <v>CD-CAN</v>
      </c>
      <c r="B545" t="str">
        <v>BEB-1005</v>
      </c>
      <c r="C545">
        <v>0</v>
      </c>
      <c r="D545">
        <v>402.3</v>
      </c>
      <c r="E545">
        <v>66.8</v>
      </c>
      <c r="F545">
        <v>3</v>
      </c>
      <c r="G545">
        <v>1.6</v>
      </c>
      <c r="H545">
        <v>0</v>
      </c>
      <c r="J545">
        <f t="shared" si="40"/>
        <v>6220.1999999999989</v>
      </c>
      <c r="K545">
        <f>SUMIF(Supply_Clean[Item_Code], B545, Supply_Clean[Available_Supply])</f>
        <v>14054</v>
      </c>
      <c r="L545">
        <f t="shared" si="41"/>
        <v>1</v>
      </c>
      <c r="M545">
        <f t="shared" si="42"/>
        <v>402.3</v>
      </c>
      <c r="N545" t="str">
        <f t="shared" si="43"/>
        <v>SUFICIENTE</v>
      </c>
      <c r="O545">
        <f t="shared" si="44"/>
        <v>0</v>
      </c>
    </row>
    <row r="546" spans="1:15" x14ac:dyDescent="0.45">
      <c r="A546" t="str">
        <v>CD-MTY</v>
      </c>
      <c r="B546" t="str">
        <v>BOT-1017</v>
      </c>
      <c r="C546">
        <v>3505</v>
      </c>
      <c r="D546">
        <v>234.2</v>
      </c>
      <c r="E546">
        <v>48.4</v>
      </c>
      <c r="F546">
        <v>1</v>
      </c>
      <c r="G546">
        <v>0.3</v>
      </c>
      <c r="H546" t="str">
        <v>OK</v>
      </c>
      <c r="J546">
        <f t="shared" si="40"/>
        <v>10291.300000000001</v>
      </c>
      <c r="K546">
        <f>SUMIF(Supply_Clean[Item_Code], B546, Supply_Clean[Available_Supply])</f>
        <v>5486</v>
      </c>
      <c r="L546">
        <f t="shared" si="41"/>
        <v>0.53307162360440363</v>
      </c>
      <c r="M546">
        <f t="shared" si="42"/>
        <v>124.84537424815133</v>
      </c>
      <c r="N546" t="str">
        <f t="shared" si="43"/>
        <v>ESCASEZ</v>
      </c>
      <c r="O546">
        <f t="shared" si="44"/>
        <v>109.35462575184866</v>
      </c>
    </row>
    <row r="547" spans="1:15" x14ac:dyDescent="0.45">
      <c r="A547" t="str">
        <v>CD-CHI</v>
      </c>
      <c r="B547" t="str">
        <v>BEB-1004</v>
      </c>
      <c r="C547">
        <v>2049</v>
      </c>
      <c r="D547">
        <v>213.6</v>
      </c>
      <c r="E547">
        <v>22.1</v>
      </c>
      <c r="F547">
        <v>3.8</v>
      </c>
      <c r="G547">
        <v>1</v>
      </c>
      <c r="H547" t="str">
        <v>OK</v>
      </c>
      <c r="J547">
        <f t="shared" si="40"/>
        <v>5324.2</v>
      </c>
      <c r="K547">
        <f>SUMIF(Supply_Clean[Item_Code], B547, Supply_Clean[Available_Supply])</f>
        <v>15672</v>
      </c>
      <c r="L547">
        <f t="shared" si="41"/>
        <v>1</v>
      </c>
      <c r="M547">
        <f t="shared" si="42"/>
        <v>213.6</v>
      </c>
      <c r="N547" t="str">
        <f t="shared" si="43"/>
        <v>SUFICIENTE</v>
      </c>
      <c r="O547">
        <f t="shared" si="44"/>
        <v>0</v>
      </c>
    </row>
    <row r="548" spans="1:15" x14ac:dyDescent="0.45">
      <c r="A548" t="str">
        <v>CD-CAN</v>
      </c>
      <c r="B548" t="str">
        <v>BEB-1000</v>
      </c>
      <c r="C548">
        <v>827</v>
      </c>
      <c r="D548">
        <v>253.9</v>
      </c>
      <c r="E548">
        <v>48.6</v>
      </c>
      <c r="F548">
        <v>6</v>
      </c>
      <c r="G548">
        <v>1.6</v>
      </c>
      <c r="H548" t="str">
        <v>OK</v>
      </c>
      <c r="J548">
        <f t="shared" si="40"/>
        <v>4843.5</v>
      </c>
      <c r="K548">
        <f>SUMIF(Supply_Clean[Item_Code], B548, Supply_Clean[Available_Supply])</f>
        <v>14592</v>
      </c>
      <c r="L548">
        <f t="shared" si="41"/>
        <v>1</v>
      </c>
      <c r="M548">
        <f t="shared" si="42"/>
        <v>253.9</v>
      </c>
      <c r="N548" t="str">
        <f t="shared" si="43"/>
        <v>SUFICIENTE</v>
      </c>
      <c r="O548">
        <f t="shared" si="44"/>
        <v>0</v>
      </c>
    </row>
    <row r="549" spans="1:15" x14ac:dyDescent="0.45">
      <c r="A549" t="str">
        <v>CD-MOR</v>
      </c>
      <c r="B549" t="str">
        <v>BOT-1021</v>
      </c>
      <c r="C549">
        <v>6273</v>
      </c>
      <c r="D549">
        <v>410.5</v>
      </c>
      <c r="E549">
        <v>92.6</v>
      </c>
      <c r="F549">
        <v>1.2</v>
      </c>
      <c r="G549">
        <v>0.5</v>
      </c>
      <c r="H549" t="str">
        <v>OK</v>
      </c>
      <c r="J549">
        <f t="shared" si="40"/>
        <v>6783.3</v>
      </c>
      <c r="K549">
        <f>SUMIF(Supply_Clean[Item_Code], B549, Supply_Clean[Available_Supply])</f>
        <v>13475</v>
      </c>
      <c r="L549">
        <f t="shared" si="41"/>
        <v>1</v>
      </c>
      <c r="M549">
        <f t="shared" si="42"/>
        <v>410.5</v>
      </c>
      <c r="N549" t="str">
        <f t="shared" si="43"/>
        <v>SUFICIENTE</v>
      </c>
      <c r="O549">
        <f t="shared" si="44"/>
        <v>0</v>
      </c>
    </row>
    <row r="550" spans="1:15" x14ac:dyDescent="0.45">
      <c r="A550" t="str">
        <v>CD-GDL</v>
      </c>
      <c r="B550" t="str">
        <v>LAC-1009</v>
      </c>
      <c r="C550">
        <v>1439</v>
      </c>
      <c r="D550">
        <v>242.7</v>
      </c>
      <c r="E550">
        <v>83.2</v>
      </c>
      <c r="F550">
        <v>0.9</v>
      </c>
      <c r="G550">
        <v>0.2</v>
      </c>
      <c r="H550" t="str">
        <v>OK</v>
      </c>
      <c r="J550">
        <f t="shared" si="40"/>
        <v>4163.3999999999996</v>
      </c>
      <c r="K550">
        <f>SUMIF(Supply_Clean[Item_Code], B550, Supply_Clean[Available_Supply])</f>
        <v>6523</v>
      </c>
      <c r="L550">
        <f t="shared" si="41"/>
        <v>1</v>
      </c>
      <c r="M550">
        <f t="shared" si="42"/>
        <v>242.7</v>
      </c>
      <c r="N550" t="str">
        <f t="shared" si="43"/>
        <v>SUFICIENTE</v>
      </c>
      <c r="O550">
        <f t="shared" si="44"/>
        <v>0</v>
      </c>
    </row>
    <row r="551" spans="1:15" x14ac:dyDescent="0.45">
      <c r="A551" t="str">
        <v>CD-PUE</v>
      </c>
      <c r="B551" t="str">
        <v>ABA-1013</v>
      </c>
      <c r="C551">
        <v>1774</v>
      </c>
      <c r="D551">
        <v>294.89999999999998</v>
      </c>
      <c r="E551">
        <v>42.5</v>
      </c>
      <c r="F551">
        <v>1.4</v>
      </c>
      <c r="G551">
        <v>0.3</v>
      </c>
      <c r="H551" t="str">
        <v>OK</v>
      </c>
      <c r="J551">
        <f t="shared" si="40"/>
        <v>4213.8999999999996</v>
      </c>
      <c r="K551">
        <f>SUMIF(Supply_Clean[Item_Code], B551, Supply_Clean[Available_Supply])</f>
        <v>2568</v>
      </c>
      <c r="L551">
        <f t="shared" si="41"/>
        <v>0.60941170886826934</v>
      </c>
      <c r="M551">
        <f t="shared" si="42"/>
        <v>179.71551294525261</v>
      </c>
      <c r="N551" t="str">
        <f t="shared" si="43"/>
        <v>ESCASEZ</v>
      </c>
      <c r="O551">
        <f t="shared" si="44"/>
        <v>115.18448705474736</v>
      </c>
    </row>
    <row r="552" spans="1:15" x14ac:dyDescent="0.45">
      <c r="A552" t="str">
        <v>CD-CDMX</v>
      </c>
      <c r="B552" t="str">
        <v>LAC-1010</v>
      </c>
      <c r="C552">
        <v>1093</v>
      </c>
      <c r="D552">
        <v>284.2</v>
      </c>
      <c r="E552">
        <v>120.5</v>
      </c>
      <c r="F552">
        <v>1.1000000000000001</v>
      </c>
      <c r="G552">
        <v>0.2</v>
      </c>
      <c r="H552" t="str">
        <v>OK</v>
      </c>
      <c r="J552">
        <f t="shared" si="40"/>
        <v>4321.7</v>
      </c>
      <c r="K552">
        <f>SUMIF(Supply_Clean[Item_Code], B552, Supply_Clean[Available_Supply])</f>
        <v>11567</v>
      </c>
      <c r="L552">
        <f t="shared" si="41"/>
        <v>1</v>
      </c>
      <c r="M552">
        <f t="shared" si="42"/>
        <v>284.2</v>
      </c>
      <c r="N552" t="str">
        <f t="shared" si="43"/>
        <v>SUFICIENTE</v>
      </c>
      <c r="O552">
        <f t="shared" si="44"/>
        <v>0</v>
      </c>
    </row>
    <row r="553" spans="1:15" x14ac:dyDescent="0.45">
      <c r="A553" t="str">
        <v>CD-MER</v>
      </c>
      <c r="B553" t="str">
        <v>BOT-1023</v>
      </c>
      <c r="C553">
        <v>1163</v>
      </c>
      <c r="D553">
        <v>363.2</v>
      </c>
      <c r="E553">
        <v>89.3</v>
      </c>
      <c r="F553">
        <v>4.3</v>
      </c>
      <c r="G553">
        <v>1.3</v>
      </c>
      <c r="H553" t="str">
        <v>OK</v>
      </c>
      <c r="J553">
        <f t="shared" si="40"/>
        <v>8227.6</v>
      </c>
      <c r="K553">
        <f>SUMIF(Supply_Clean[Item_Code], B553, Supply_Clean[Available_Supply])</f>
        <v>23663</v>
      </c>
      <c r="L553">
        <f t="shared" si="41"/>
        <v>1</v>
      </c>
      <c r="M553">
        <f t="shared" si="42"/>
        <v>363.2</v>
      </c>
      <c r="N553" t="str">
        <f t="shared" si="43"/>
        <v>SUFICIENTE</v>
      </c>
      <c r="O553">
        <f t="shared" si="44"/>
        <v>0</v>
      </c>
    </row>
    <row r="554" spans="1:15" x14ac:dyDescent="0.45">
      <c r="A554" t="str">
        <v>CD-TIJ</v>
      </c>
      <c r="B554" t="str">
        <v>PRO-1006</v>
      </c>
      <c r="C554">
        <v>651</v>
      </c>
      <c r="D554">
        <v>95</v>
      </c>
      <c r="E554">
        <v>52.9</v>
      </c>
      <c r="F554">
        <v>3.9</v>
      </c>
      <c r="G554">
        <v>1.5</v>
      </c>
      <c r="H554" t="str">
        <v>OK</v>
      </c>
      <c r="J554">
        <f t="shared" si="40"/>
        <v>5801.8</v>
      </c>
      <c r="K554">
        <f>SUMIF(Supply_Clean[Item_Code], B554, Supply_Clean[Available_Supply])</f>
        <v>9270</v>
      </c>
      <c r="L554">
        <f t="shared" si="41"/>
        <v>1</v>
      </c>
      <c r="M554">
        <f t="shared" si="42"/>
        <v>95</v>
      </c>
      <c r="N554" t="str">
        <f t="shared" si="43"/>
        <v>SUFICIENTE</v>
      </c>
      <c r="O554">
        <f t="shared" si="44"/>
        <v>0</v>
      </c>
    </row>
    <row r="555" spans="1:15" x14ac:dyDescent="0.45">
      <c r="A555" t="str">
        <v>CD-QRO</v>
      </c>
      <c r="B555" t="str">
        <v>BEB-1008</v>
      </c>
      <c r="C555">
        <v>0</v>
      </c>
      <c r="D555">
        <v>363.2</v>
      </c>
      <c r="E555">
        <v>66</v>
      </c>
      <c r="F555">
        <v>2.2999999999999998</v>
      </c>
      <c r="G555">
        <v>0.4</v>
      </c>
      <c r="H555">
        <v>0</v>
      </c>
      <c r="J555">
        <f t="shared" si="40"/>
        <v>6156.9999999999991</v>
      </c>
      <c r="K555">
        <f>SUMIF(Supply_Clean[Item_Code], B555, Supply_Clean[Available_Supply])</f>
        <v>18019</v>
      </c>
      <c r="L555">
        <f t="shared" si="41"/>
        <v>1</v>
      </c>
      <c r="M555">
        <f t="shared" si="42"/>
        <v>363.2</v>
      </c>
      <c r="N555" t="str">
        <f t="shared" si="43"/>
        <v>SUFICIENTE</v>
      </c>
      <c r="O555">
        <f t="shared" si="44"/>
        <v>0</v>
      </c>
    </row>
    <row r="556" spans="1:15" x14ac:dyDescent="0.45">
      <c r="A556" t="str">
        <v>CD-VER</v>
      </c>
      <c r="B556" t="str">
        <v>BEB-1002</v>
      </c>
      <c r="C556">
        <v>445</v>
      </c>
      <c r="D556">
        <v>376.7</v>
      </c>
      <c r="E556">
        <v>40.5</v>
      </c>
      <c r="F556">
        <v>2.4</v>
      </c>
      <c r="G556">
        <v>0.9</v>
      </c>
      <c r="H556" t="str">
        <v>OK</v>
      </c>
      <c r="J556">
        <f t="shared" si="40"/>
        <v>6246.8</v>
      </c>
      <c r="K556">
        <f>SUMIF(Supply_Clean[Item_Code], B556, Supply_Clean[Available_Supply])</f>
        <v>13052</v>
      </c>
      <c r="L556">
        <f t="shared" si="41"/>
        <v>1</v>
      </c>
      <c r="M556">
        <f t="shared" si="42"/>
        <v>376.7</v>
      </c>
      <c r="N556" t="str">
        <f t="shared" si="43"/>
        <v>SUFICIENTE</v>
      </c>
      <c r="O556">
        <f t="shared" si="44"/>
        <v>0</v>
      </c>
    </row>
    <row r="557" spans="1:15" x14ac:dyDescent="0.45">
      <c r="A557" t="str">
        <v>CD-MER</v>
      </c>
      <c r="B557" t="str">
        <v>BOT-1008</v>
      </c>
      <c r="C557">
        <v>5601</v>
      </c>
      <c r="D557">
        <v>702.7</v>
      </c>
      <c r="E557">
        <v>162.4</v>
      </c>
      <c r="F557">
        <v>3.9</v>
      </c>
      <c r="G557">
        <v>1.3</v>
      </c>
      <c r="H557" t="str">
        <v>OK</v>
      </c>
      <c r="J557">
        <f t="shared" si="40"/>
        <v>7758.6</v>
      </c>
      <c r="K557">
        <f>SUMIF(Supply_Clean[Item_Code], B557, Supply_Clean[Available_Supply])</f>
        <v>25288</v>
      </c>
      <c r="L557">
        <f t="shared" si="41"/>
        <v>1</v>
      </c>
      <c r="M557">
        <f t="shared" si="42"/>
        <v>702.7</v>
      </c>
      <c r="N557" t="str">
        <f t="shared" si="43"/>
        <v>SUFICIENTE</v>
      </c>
      <c r="O557">
        <f t="shared" si="44"/>
        <v>0</v>
      </c>
    </row>
    <row r="558" spans="1:15" x14ac:dyDescent="0.45">
      <c r="A558" t="str">
        <v>CD-TIJ</v>
      </c>
      <c r="B558" t="str">
        <v>LAC-1016</v>
      </c>
      <c r="C558">
        <v>4628</v>
      </c>
      <c r="D558">
        <v>267.10000000000002</v>
      </c>
      <c r="E558">
        <v>74.599999999999994</v>
      </c>
      <c r="F558">
        <v>3.4</v>
      </c>
      <c r="G558">
        <v>1.5</v>
      </c>
      <c r="H558" t="str">
        <v>OK</v>
      </c>
      <c r="J558">
        <f t="shared" si="40"/>
        <v>4542.5</v>
      </c>
      <c r="K558">
        <f>SUMIF(Supply_Clean[Item_Code], B558, Supply_Clean[Available_Supply])</f>
        <v>12760</v>
      </c>
      <c r="L558">
        <f t="shared" si="41"/>
        <v>1</v>
      </c>
      <c r="M558">
        <f t="shared" si="42"/>
        <v>267.10000000000002</v>
      </c>
      <c r="N558" t="str">
        <f t="shared" si="43"/>
        <v>SUFICIENTE</v>
      </c>
      <c r="O558">
        <f t="shared" si="44"/>
        <v>0</v>
      </c>
    </row>
    <row r="559" spans="1:15" x14ac:dyDescent="0.45">
      <c r="A559" t="str">
        <v>CD-MTY</v>
      </c>
      <c r="B559" t="str">
        <v>PRO-1003</v>
      </c>
      <c r="C559">
        <v>3299</v>
      </c>
      <c r="D559">
        <v>269.2</v>
      </c>
      <c r="E559">
        <v>165.8</v>
      </c>
      <c r="F559">
        <v>0.9</v>
      </c>
      <c r="G559">
        <v>0.3</v>
      </c>
      <c r="H559" t="str">
        <v>OK</v>
      </c>
      <c r="J559">
        <f t="shared" si="40"/>
        <v>6234.9</v>
      </c>
      <c r="K559">
        <f>SUMIF(Supply_Clean[Item_Code], B559, Supply_Clean[Available_Supply])</f>
        <v>10658</v>
      </c>
      <c r="L559">
        <f t="shared" si="41"/>
        <v>1</v>
      </c>
      <c r="M559">
        <f t="shared" si="42"/>
        <v>269.2</v>
      </c>
      <c r="N559" t="str">
        <f t="shared" si="43"/>
        <v>SUFICIENTE</v>
      </c>
      <c r="O559">
        <f t="shared" si="44"/>
        <v>0</v>
      </c>
    </row>
    <row r="560" spans="1:15" x14ac:dyDescent="0.45">
      <c r="A560" t="str">
        <v>CD-CDMX</v>
      </c>
      <c r="B560" t="str">
        <v>PRO-1013</v>
      </c>
      <c r="C560">
        <v>6986</v>
      </c>
      <c r="D560">
        <v>483</v>
      </c>
      <c r="E560">
        <v>196</v>
      </c>
      <c r="F560">
        <v>1.4</v>
      </c>
      <c r="G560">
        <v>0.2</v>
      </c>
      <c r="H560" t="str">
        <v>OK</v>
      </c>
      <c r="J560">
        <f t="shared" si="40"/>
        <v>7113.8</v>
      </c>
      <c r="K560">
        <f>SUMIF(Supply_Clean[Item_Code], B560, Supply_Clean[Available_Supply])</f>
        <v>15134</v>
      </c>
      <c r="L560">
        <f t="shared" si="41"/>
        <v>1</v>
      </c>
      <c r="M560">
        <f t="shared" si="42"/>
        <v>483</v>
      </c>
      <c r="N560" t="str">
        <f t="shared" si="43"/>
        <v>SUFICIENTE</v>
      </c>
      <c r="O560">
        <f t="shared" si="44"/>
        <v>0</v>
      </c>
    </row>
    <row r="561" spans="1:15" x14ac:dyDescent="0.45">
      <c r="A561" t="str">
        <v>CD-SAL</v>
      </c>
      <c r="B561" t="str">
        <v>ABA-1012</v>
      </c>
      <c r="C561">
        <v>3821</v>
      </c>
      <c r="D561">
        <v>430.1</v>
      </c>
      <c r="E561">
        <v>37.9</v>
      </c>
      <c r="F561">
        <v>2.2000000000000002</v>
      </c>
      <c r="G561">
        <v>0.5</v>
      </c>
      <c r="H561" t="str">
        <v>OK</v>
      </c>
      <c r="J561">
        <f t="shared" si="40"/>
        <v>5104.3999999999996</v>
      </c>
      <c r="K561">
        <f>SUMIF(Supply_Clean[Item_Code], B561, Supply_Clean[Available_Supply])</f>
        <v>8396</v>
      </c>
      <c r="L561">
        <f t="shared" si="41"/>
        <v>1</v>
      </c>
      <c r="M561">
        <f t="shared" si="42"/>
        <v>430.1</v>
      </c>
      <c r="N561" t="str">
        <f t="shared" si="43"/>
        <v>SUFICIENTE</v>
      </c>
      <c r="O561">
        <f t="shared" si="44"/>
        <v>0</v>
      </c>
    </row>
    <row r="562" spans="1:15" x14ac:dyDescent="0.45">
      <c r="A562" t="str">
        <v>CD-SAL</v>
      </c>
      <c r="B562" t="str">
        <v>LAC-1001</v>
      </c>
      <c r="C562">
        <v>6116</v>
      </c>
      <c r="D562">
        <v>349.4</v>
      </c>
      <c r="E562">
        <v>91.4</v>
      </c>
      <c r="F562">
        <v>1.7</v>
      </c>
      <c r="G562">
        <v>0.5</v>
      </c>
      <c r="H562" t="str">
        <v>OK</v>
      </c>
      <c r="J562">
        <f t="shared" si="40"/>
        <v>3660.9999999999991</v>
      </c>
      <c r="K562">
        <f>SUMIF(Supply_Clean[Item_Code], B562, Supply_Clean[Available_Supply])</f>
        <v>9945</v>
      </c>
      <c r="L562">
        <f t="shared" si="41"/>
        <v>1</v>
      </c>
      <c r="M562">
        <f t="shared" si="42"/>
        <v>349.4</v>
      </c>
      <c r="N562" t="str">
        <f t="shared" si="43"/>
        <v>SUFICIENTE</v>
      </c>
      <c r="O562">
        <f t="shared" si="44"/>
        <v>0</v>
      </c>
    </row>
    <row r="563" spans="1:15" x14ac:dyDescent="0.45">
      <c r="A563" t="str">
        <v>CD-SAL</v>
      </c>
      <c r="B563" t="str">
        <v>LAC-1002</v>
      </c>
      <c r="C563">
        <v>7372</v>
      </c>
      <c r="D563">
        <v>521.70000000000005</v>
      </c>
      <c r="E563">
        <v>234.2</v>
      </c>
      <c r="F563">
        <v>1.8</v>
      </c>
      <c r="G563">
        <v>0.5</v>
      </c>
      <c r="H563" t="str">
        <v>OK</v>
      </c>
      <c r="J563">
        <f t="shared" si="40"/>
        <v>4442.1000000000004</v>
      </c>
      <c r="K563">
        <f>SUMIF(Supply_Clean[Item_Code], B563, Supply_Clean[Available_Supply])</f>
        <v>7796</v>
      </c>
      <c r="L563">
        <f t="shared" si="41"/>
        <v>1</v>
      </c>
      <c r="M563">
        <f t="shared" si="42"/>
        <v>521.70000000000005</v>
      </c>
      <c r="N563" t="str">
        <f t="shared" si="43"/>
        <v>SUFICIENTE</v>
      </c>
      <c r="O563">
        <f t="shared" si="44"/>
        <v>0</v>
      </c>
    </row>
    <row r="564" spans="1:15" x14ac:dyDescent="0.45">
      <c r="A564" t="str">
        <v>CD-QRO</v>
      </c>
      <c r="B564" t="str">
        <v>BEB-1013</v>
      </c>
      <c r="C564">
        <v>2474</v>
      </c>
      <c r="D564">
        <v>211.6</v>
      </c>
      <c r="E564">
        <v>23.9</v>
      </c>
      <c r="F564">
        <v>1.5</v>
      </c>
      <c r="G564">
        <v>0.4</v>
      </c>
      <c r="H564" t="str">
        <v>OK</v>
      </c>
      <c r="J564">
        <f t="shared" si="40"/>
        <v>6158.7000000000007</v>
      </c>
      <c r="K564">
        <f>SUMIF(Supply_Clean[Item_Code], B564, Supply_Clean[Available_Supply])</f>
        <v>3246</v>
      </c>
      <c r="L564">
        <f t="shared" si="41"/>
        <v>0.52705928199132923</v>
      </c>
      <c r="M564">
        <f t="shared" si="42"/>
        <v>111.52574406936526</v>
      </c>
      <c r="N564" t="str">
        <f t="shared" si="43"/>
        <v>ESCASEZ</v>
      </c>
      <c r="O564">
        <f t="shared" si="44"/>
        <v>100.07425593063473</v>
      </c>
    </row>
    <row r="565" spans="1:15" x14ac:dyDescent="0.45">
      <c r="A565" t="str">
        <v>CD-HER</v>
      </c>
      <c r="B565" t="str">
        <v>ABA-1005</v>
      </c>
      <c r="C565">
        <v>362</v>
      </c>
      <c r="D565">
        <v>403.8</v>
      </c>
      <c r="E565">
        <v>49</v>
      </c>
      <c r="F565">
        <v>4.3</v>
      </c>
      <c r="G565">
        <v>1.2</v>
      </c>
      <c r="H565" t="str">
        <v>OK</v>
      </c>
      <c r="J565">
        <f t="shared" si="40"/>
        <v>5173.5999999999995</v>
      </c>
      <c r="K565">
        <f>SUMIF(Supply_Clean[Item_Code], B565, Supply_Clean[Available_Supply])</f>
        <v>15028</v>
      </c>
      <c r="L565">
        <f t="shared" si="41"/>
        <v>1</v>
      </c>
      <c r="M565">
        <f t="shared" si="42"/>
        <v>403.8</v>
      </c>
      <c r="N565" t="str">
        <f t="shared" si="43"/>
        <v>SUFICIENTE</v>
      </c>
      <c r="O565">
        <f t="shared" si="44"/>
        <v>0</v>
      </c>
    </row>
    <row r="566" spans="1:15" x14ac:dyDescent="0.45">
      <c r="A566" t="str">
        <v>CD-GDL</v>
      </c>
      <c r="B566" t="str">
        <v>ABA-1015</v>
      </c>
      <c r="C566">
        <v>2403</v>
      </c>
      <c r="D566">
        <v>312.2</v>
      </c>
      <c r="E566">
        <v>38.6</v>
      </c>
      <c r="F566">
        <v>0.9</v>
      </c>
      <c r="G566">
        <v>0.2</v>
      </c>
      <c r="H566" t="str">
        <v>OK</v>
      </c>
      <c r="J566">
        <f t="shared" si="40"/>
        <v>3986.4999999999991</v>
      </c>
      <c r="K566">
        <f>SUMIF(Supply_Clean[Item_Code], B566, Supply_Clean[Available_Supply])</f>
        <v>7969</v>
      </c>
      <c r="L566">
        <f t="shared" si="41"/>
        <v>1</v>
      </c>
      <c r="M566">
        <f t="shared" si="42"/>
        <v>312.2</v>
      </c>
      <c r="N566" t="str">
        <f t="shared" si="43"/>
        <v>SUFICIENTE</v>
      </c>
      <c r="O566">
        <f t="shared" si="44"/>
        <v>0</v>
      </c>
    </row>
    <row r="567" spans="1:15" x14ac:dyDescent="0.45">
      <c r="A567" t="str">
        <v>CD-MER</v>
      </c>
      <c r="B567" t="str">
        <v>ABA-1014</v>
      </c>
      <c r="C567">
        <v>5875</v>
      </c>
      <c r="D567">
        <v>473.5</v>
      </c>
      <c r="E567">
        <v>43.1</v>
      </c>
      <c r="F567">
        <v>4.2</v>
      </c>
      <c r="G567">
        <v>1.3</v>
      </c>
      <c r="H567" t="str">
        <v>OK</v>
      </c>
      <c r="J567">
        <f t="shared" si="40"/>
        <v>4779.0000000000009</v>
      </c>
      <c r="K567">
        <f>SUMIF(Supply_Clean[Item_Code], B567, Supply_Clean[Available_Supply])</f>
        <v>14629</v>
      </c>
      <c r="L567">
        <f t="shared" si="41"/>
        <v>1</v>
      </c>
      <c r="M567">
        <f t="shared" si="42"/>
        <v>473.5</v>
      </c>
      <c r="N567" t="str">
        <f t="shared" si="43"/>
        <v>SUFICIENTE</v>
      </c>
      <c r="O567">
        <f t="shared" si="44"/>
        <v>0</v>
      </c>
    </row>
    <row r="568" spans="1:15" x14ac:dyDescent="0.45">
      <c r="A568" t="str">
        <v>CD-TOL</v>
      </c>
      <c r="B568" t="str">
        <v>LAC-1003</v>
      </c>
      <c r="C568">
        <v>700</v>
      </c>
      <c r="D568">
        <v>138.9</v>
      </c>
      <c r="E568">
        <v>60</v>
      </c>
      <c r="F568">
        <v>2.1</v>
      </c>
      <c r="G568">
        <v>0.5</v>
      </c>
      <c r="H568" t="str">
        <v>OK</v>
      </c>
      <c r="J568">
        <f t="shared" si="40"/>
        <v>3701.4999999999995</v>
      </c>
      <c r="K568">
        <f>SUMIF(Supply_Clean[Item_Code], B568, Supply_Clean[Available_Supply])</f>
        <v>7244</v>
      </c>
      <c r="L568">
        <f t="shared" si="41"/>
        <v>1</v>
      </c>
      <c r="M568">
        <f t="shared" si="42"/>
        <v>138.9</v>
      </c>
      <c r="N568" t="str">
        <f t="shared" si="43"/>
        <v>SUFICIENTE</v>
      </c>
      <c r="O568">
        <f t="shared" si="44"/>
        <v>0</v>
      </c>
    </row>
    <row r="569" spans="1:15" x14ac:dyDescent="0.45">
      <c r="A569" t="str">
        <v>CD-SAL</v>
      </c>
      <c r="B569" t="str">
        <v>BEB-1016</v>
      </c>
      <c r="C569">
        <v>1952</v>
      </c>
      <c r="D569">
        <v>307.10000000000002</v>
      </c>
      <c r="E569">
        <v>60.9</v>
      </c>
      <c r="F569">
        <v>1.4</v>
      </c>
      <c r="G569">
        <v>0.5</v>
      </c>
      <c r="H569" t="str">
        <v>OK</v>
      </c>
      <c r="J569">
        <f t="shared" si="40"/>
        <v>5569.2000000000007</v>
      </c>
      <c r="K569">
        <f>SUMIF(Supply_Clean[Item_Code], B569, Supply_Clean[Available_Supply])</f>
        <v>14537</v>
      </c>
      <c r="L569">
        <f t="shared" si="41"/>
        <v>1</v>
      </c>
      <c r="M569">
        <f t="shared" si="42"/>
        <v>307.10000000000002</v>
      </c>
      <c r="N569" t="str">
        <f t="shared" si="43"/>
        <v>SUFICIENTE</v>
      </c>
      <c r="O569">
        <f t="shared" si="44"/>
        <v>0</v>
      </c>
    </row>
    <row r="570" spans="1:15" x14ac:dyDescent="0.45">
      <c r="A570" t="str">
        <v>CD-HER</v>
      </c>
      <c r="B570" t="str">
        <v>LAC-1000</v>
      </c>
      <c r="C570">
        <v>6140</v>
      </c>
      <c r="D570">
        <v>405.4</v>
      </c>
      <c r="E570">
        <v>158.9</v>
      </c>
      <c r="F570">
        <v>3.6</v>
      </c>
      <c r="G570">
        <v>1.2</v>
      </c>
      <c r="H570" t="str">
        <v>OK</v>
      </c>
      <c r="J570">
        <f t="shared" si="40"/>
        <v>4987.8</v>
      </c>
      <c r="K570">
        <f>SUMIF(Supply_Clean[Item_Code], B570, Supply_Clean[Available_Supply])</f>
        <v>12568</v>
      </c>
      <c r="L570">
        <f t="shared" si="41"/>
        <v>1</v>
      </c>
      <c r="M570">
        <f t="shared" si="42"/>
        <v>405.4</v>
      </c>
      <c r="N570" t="str">
        <f t="shared" si="43"/>
        <v>SUFICIENTE</v>
      </c>
      <c r="O570">
        <f t="shared" si="44"/>
        <v>0</v>
      </c>
    </row>
    <row r="571" spans="1:15" x14ac:dyDescent="0.45">
      <c r="A571" t="str">
        <v>CD-GDL</v>
      </c>
      <c r="B571" t="str">
        <v>PRO-1008</v>
      </c>
      <c r="C571">
        <v>5033</v>
      </c>
      <c r="D571">
        <v>314.8</v>
      </c>
      <c r="E571">
        <v>145.30000000000001</v>
      </c>
      <c r="F571">
        <v>0.9</v>
      </c>
      <c r="G571">
        <v>0.2</v>
      </c>
      <c r="H571" t="str">
        <v>OK</v>
      </c>
      <c r="J571">
        <f t="shared" si="40"/>
        <v>5551.5999999999995</v>
      </c>
      <c r="K571">
        <f>SUMIF(Supply_Clean[Item_Code], B571, Supply_Clean[Available_Supply])</f>
        <v>9738</v>
      </c>
      <c r="L571">
        <f t="shared" si="41"/>
        <v>1</v>
      </c>
      <c r="M571">
        <f t="shared" si="42"/>
        <v>314.8</v>
      </c>
      <c r="N571" t="str">
        <f t="shared" si="43"/>
        <v>SUFICIENTE</v>
      </c>
      <c r="O571">
        <f t="shared" si="44"/>
        <v>0</v>
      </c>
    </row>
    <row r="572" spans="1:15" x14ac:dyDescent="0.45">
      <c r="A572" t="str">
        <v>CD-LEO</v>
      </c>
      <c r="B572" t="str">
        <v>ABA-1004</v>
      </c>
      <c r="C572">
        <v>5265</v>
      </c>
      <c r="D572">
        <v>342.4</v>
      </c>
      <c r="E572">
        <v>41.4</v>
      </c>
      <c r="F572">
        <v>1.2</v>
      </c>
      <c r="G572">
        <v>0.6</v>
      </c>
      <c r="H572" t="str">
        <v>OK</v>
      </c>
      <c r="J572">
        <f t="shared" si="40"/>
        <v>5236.7</v>
      </c>
      <c r="K572">
        <f>SUMIF(Supply_Clean[Item_Code], B572, Supply_Clean[Available_Supply])</f>
        <v>10879</v>
      </c>
      <c r="L572">
        <f t="shared" si="41"/>
        <v>1</v>
      </c>
      <c r="M572">
        <f t="shared" si="42"/>
        <v>342.4</v>
      </c>
      <c r="N572" t="str">
        <f t="shared" si="43"/>
        <v>SUFICIENTE</v>
      </c>
      <c r="O572">
        <f t="shared" si="44"/>
        <v>0</v>
      </c>
    </row>
    <row r="573" spans="1:15" x14ac:dyDescent="0.45">
      <c r="A573" t="str">
        <v>CD-QRO</v>
      </c>
      <c r="B573" t="str">
        <v>BEB-1011</v>
      </c>
      <c r="C573">
        <v>3171</v>
      </c>
      <c r="D573">
        <v>494.4</v>
      </c>
      <c r="E573">
        <v>70.7</v>
      </c>
      <c r="F573">
        <v>2.7</v>
      </c>
      <c r="G573">
        <v>0.4</v>
      </c>
      <c r="H573" t="str">
        <v>OK</v>
      </c>
      <c r="J573">
        <f t="shared" si="40"/>
        <v>5454.4999999999991</v>
      </c>
      <c r="K573">
        <f>SUMIF(Supply_Clean[Item_Code], B573, Supply_Clean[Available_Supply])</f>
        <v>13720</v>
      </c>
      <c r="L573">
        <f t="shared" si="41"/>
        <v>1</v>
      </c>
      <c r="M573">
        <f t="shared" si="42"/>
        <v>494.4</v>
      </c>
      <c r="N573" t="str">
        <f t="shared" si="43"/>
        <v>SUFICIENTE</v>
      </c>
      <c r="O573">
        <f t="shared" si="44"/>
        <v>0</v>
      </c>
    </row>
    <row r="574" spans="1:15" x14ac:dyDescent="0.45">
      <c r="A574" t="str">
        <v>CD-PUE</v>
      </c>
      <c r="B574" t="str">
        <v>LAC-1017</v>
      </c>
      <c r="C574">
        <v>5003</v>
      </c>
      <c r="D574">
        <v>335</v>
      </c>
      <c r="E574">
        <v>109.3</v>
      </c>
      <c r="F574">
        <v>0.7</v>
      </c>
      <c r="G574">
        <v>0.3</v>
      </c>
      <c r="H574" t="str">
        <v>OK</v>
      </c>
      <c r="J574">
        <f t="shared" si="40"/>
        <v>4246.3999999999996</v>
      </c>
      <c r="K574">
        <f>SUMIF(Supply_Clean[Item_Code], B574, Supply_Clean[Available_Supply])</f>
        <v>12824</v>
      </c>
      <c r="L574">
        <f t="shared" si="41"/>
        <v>1</v>
      </c>
      <c r="M574">
        <f t="shared" si="42"/>
        <v>335</v>
      </c>
      <c r="N574" t="str">
        <f t="shared" si="43"/>
        <v>SUFICIENTE</v>
      </c>
      <c r="O574">
        <f t="shared" si="44"/>
        <v>0</v>
      </c>
    </row>
    <row r="575" spans="1:15" x14ac:dyDescent="0.45">
      <c r="A575" t="str">
        <v>CD-CHI</v>
      </c>
      <c r="B575" t="str">
        <v>LAC-1017</v>
      </c>
      <c r="C575">
        <v>6719</v>
      </c>
      <c r="D575">
        <v>375</v>
      </c>
      <c r="E575">
        <v>98.1</v>
      </c>
      <c r="F575">
        <v>3.4</v>
      </c>
      <c r="G575">
        <v>1</v>
      </c>
      <c r="H575" t="str">
        <v>OK</v>
      </c>
      <c r="J575">
        <f t="shared" si="40"/>
        <v>4246.3999999999996</v>
      </c>
      <c r="K575">
        <f>SUMIF(Supply_Clean[Item_Code], B575, Supply_Clean[Available_Supply])</f>
        <v>12824</v>
      </c>
      <c r="L575">
        <f t="shared" si="41"/>
        <v>1</v>
      </c>
      <c r="M575">
        <f t="shared" si="42"/>
        <v>375</v>
      </c>
      <c r="N575" t="str">
        <f t="shared" si="43"/>
        <v>SUFICIENTE</v>
      </c>
      <c r="O575">
        <f t="shared" si="44"/>
        <v>0</v>
      </c>
    </row>
    <row r="576" spans="1:15" x14ac:dyDescent="0.45">
      <c r="A576" t="str">
        <v>CD-HER</v>
      </c>
      <c r="B576" t="str">
        <v>LAC-1012</v>
      </c>
      <c r="C576">
        <v>7711</v>
      </c>
      <c r="D576">
        <v>465.3</v>
      </c>
      <c r="E576">
        <v>142.4</v>
      </c>
      <c r="F576">
        <v>3.5</v>
      </c>
      <c r="G576">
        <v>1.2</v>
      </c>
      <c r="H576" t="str">
        <v>OK</v>
      </c>
      <c r="J576">
        <f t="shared" si="40"/>
        <v>5447.0000000000009</v>
      </c>
      <c r="K576">
        <f>SUMIF(Supply_Clean[Item_Code], B576, Supply_Clean[Available_Supply])</f>
        <v>12033</v>
      </c>
      <c r="L576">
        <f t="shared" si="41"/>
        <v>1</v>
      </c>
      <c r="M576">
        <f t="shared" si="42"/>
        <v>465.3</v>
      </c>
      <c r="N576" t="str">
        <f t="shared" si="43"/>
        <v>SUFICIENTE</v>
      </c>
      <c r="O576">
        <f t="shared" si="44"/>
        <v>0</v>
      </c>
    </row>
    <row r="577" spans="1:15" x14ac:dyDescent="0.45">
      <c r="A577" t="str">
        <v>CD-TIJ</v>
      </c>
      <c r="B577" t="str">
        <v>PRO-1001</v>
      </c>
      <c r="C577">
        <v>5787</v>
      </c>
      <c r="D577">
        <v>369.1</v>
      </c>
      <c r="E577">
        <v>184.4</v>
      </c>
      <c r="F577">
        <v>0.5</v>
      </c>
      <c r="G577">
        <v>1.5</v>
      </c>
      <c r="H577" t="str">
        <v>OK</v>
      </c>
      <c r="J577">
        <f t="shared" si="40"/>
        <v>6433.2999999999993</v>
      </c>
      <c r="K577">
        <f>SUMIF(Supply_Clean[Item_Code], B577, Supply_Clean[Available_Supply])</f>
        <v>10011</v>
      </c>
      <c r="L577">
        <f t="shared" si="41"/>
        <v>1</v>
      </c>
      <c r="M577">
        <f t="shared" si="42"/>
        <v>369.1</v>
      </c>
      <c r="N577" t="str">
        <f t="shared" si="43"/>
        <v>SUFICIENTE</v>
      </c>
      <c r="O577">
        <f t="shared" si="44"/>
        <v>0</v>
      </c>
    </row>
    <row r="578" spans="1:15" x14ac:dyDescent="0.45">
      <c r="A578" t="str">
        <v>CD-LEO</v>
      </c>
      <c r="B578" t="str">
        <v>PRO-1006</v>
      </c>
      <c r="C578">
        <v>6496</v>
      </c>
      <c r="D578">
        <v>428.4</v>
      </c>
      <c r="E578">
        <v>295</v>
      </c>
      <c r="F578">
        <v>1.8</v>
      </c>
      <c r="G578">
        <v>0.6</v>
      </c>
      <c r="H578" t="str">
        <v>OK</v>
      </c>
      <c r="J578">
        <f t="shared" si="40"/>
        <v>5801.8</v>
      </c>
      <c r="K578">
        <f>SUMIF(Supply_Clean[Item_Code], B578, Supply_Clean[Available_Supply])</f>
        <v>9270</v>
      </c>
      <c r="L578">
        <f t="shared" si="41"/>
        <v>1</v>
      </c>
      <c r="M578">
        <f t="shared" si="42"/>
        <v>428.4</v>
      </c>
      <c r="N578" t="str">
        <f t="shared" si="43"/>
        <v>SUFICIENTE</v>
      </c>
      <c r="O578">
        <f t="shared" si="44"/>
        <v>0</v>
      </c>
    </row>
    <row r="579" spans="1:15" x14ac:dyDescent="0.45">
      <c r="A579" t="str">
        <v>CD-GDL</v>
      </c>
      <c r="B579" t="str">
        <v>PRO-1001</v>
      </c>
      <c r="C579">
        <v>5347</v>
      </c>
      <c r="D579">
        <v>729.2</v>
      </c>
      <c r="E579">
        <v>380</v>
      </c>
      <c r="F579">
        <v>0.8</v>
      </c>
      <c r="G579">
        <v>0.2</v>
      </c>
      <c r="H579" t="str">
        <v>OK</v>
      </c>
      <c r="J579">
        <f t="shared" ref="J579:J642" si="45">SUMIF($B$2:$B$1501, B579, $D$2:$D$1501)</f>
        <v>6433.2999999999993</v>
      </c>
      <c r="K579">
        <f>SUMIF(Supply_Clean[Item_Code], B579, Supply_Clean[Available_Supply])</f>
        <v>10011</v>
      </c>
      <c r="L579">
        <f t="shared" ref="L579:L642" si="46">IFERROR(MIN(1, K579/J579), "")</f>
        <v>1</v>
      </c>
      <c r="M579">
        <f t="shared" ref="M579:M642" si="47">IFERROR(D579*L579, "")</f>
        <v>729.2</v>
      </c>
      <c r="N579" t="str">
        <f t="shared" ref="N579:N642" si="48">IF(L579&lt;1, "ESCASEZ", "SUFICIENTE")</f>
        <v>SUFICIENTE</v>
      </c>
      <c r="O579">
        <f t="shared" ref="O579:O642" si="49">IF(N579="ESCASEZ", D579-M579, 0)</f>
        <v>0</v>
      </c>
    </row>
    <row r="580" spans="1:15" x14ac:dyDescent="0.45">
      <c r="A580" t="str">
        <v>CD-MER</v>
      </c>
      <c r="B580" t="str">
        <v>PRO-1014</v>
      </c>
      <c r="C580">
        <v>5372</v>
      </c>
      <c r="D580">
        <v>503.1</v>
      </c>
      <c r="E580">
        <v>215.7</v>
      </c>
      <c r="F580">
        <v>4.9000000000000004</v>
      </c>
      <c r="G580">
        <v>1.3</v>
      </c>
      <c r="H580" t="str">
        <v>OK</v>
      </c>
      <c r="J580">
        <f t="shared" si="45"/>
        <v>5634.0999999999995</v>
      </c>
      <c r="K580">
        <f>SUMIF(Supply_Clean[Item_Code], B580, Supply_Clean[Available_Supply])</f>
        <v>16301</v>
      </c>
      <c r="L580">
        <f t="shared" si="46"/>
        <v>1</v>
      </c>
      <c r="M580">
        <f t="shared" si="47"/>
        <v>503.1</v>
      </c>
      <c r="N580" t="str">
        <f t="shared" si="48"/>
        <v>SUFICIENTE</v>
      </c>
      <c r="O580">
        <f t="shared" si="49"/>
        <v>0</v>
      </c>
    </row>
    <row r="581" spans="1:15" x14ac:dyDescent="0.45">
      <c r="A581" t="str">
        <v>CD-VER</v>
      </c>
      <c r="B581" t="str">
        <v>BEB-1010</v>
      </c>
      <c r="C581">
        <v>1322</v>
      </c>
      <c r="D581">
        <v>0</v>
      </c>
      <c r="E581">
        <v>42.2</v>
      </c>
      <c r="F581">
        <v>3.8</v>
      </c>
      <c r="G581">
        <v>0.9</v>
      </c>
      <c r="H581" t="str">
        <v>OK</v>
      </c>
      <c r="J581">
        <f t="shared" si="45"/>
        <v>4470.2999999999993</v>
      </c>
      <c r="K581">
        <f>SUMIF(Supply_Clean[Item_Code], B581, Supply_Clean[Available_Supply])</f>
        <v>3237</v>
      </c>
      <c r="L581">
        <f t="shared" si="46"/>
        <v>0.7241124756727737</v>
      </c>
      <c r="M581">
        <f t="shared" si="47"/>
        <v>0</v>
      </c>
      <c r="N581" t="str">
        <f t="shared" si="48"/>
        <v>ESCASEZ</v>
      </c>
      <c r="O581">
        <f t="shared" si="49"/>
        <v>0</v>
      </c>
    </row>
    <row r="582" spans="1:15" x14ac:dyDescent="0.45">
      <c r="A582" t="str">
        <v>CD-CAN</v>
      </c>
      <c r="B582" t="str">
        <v>BEB-1001</v>
      </c>
      <c r="C582">
        <v>2403</v>
      </c>
      <c r="D582">
        <v>352.5</v>
      </c>
      <c r="E582">
        <v>61.2</v>
      </c>
      <c r="F582">
        <v>3.2</v>
      </c>
      <c r="G582">
        <v>1.6</v>
      </c>
      <c r="H582" t="str">
        <v>OK</v>
      </c>
      <c r="J582">
        <f t="shared" si="45"/>
        <v>6941.9</v>
      </c>
      <c r="K582">
        <f>SUMIF(Supply_Clean[Item_Code], B582, Supply_Clean[Available_Supply])</f>
        <v>11725</v>
      </c>
      <c r="L582">
        <f t="shared" si="46"/>
        <v>1</v>
      </c>
      <c r="M582">
        <f t="shared" si="47"/>
        <v>352.5</v>
      </c>
      <c r="N582" t="str">
        <f t="shared" si="48"/>
        <v>SUFICIENTE</v>
      </c>
      <c r="O582">
        <f t="shared" si="49"/>
        <v>0</v>
      </c>
    </row>
    <row r="583" spans="1:15" x14ac:dyDescent="0.45">
      <c r="A583" t="str">
        <v>CD-LEO</v>
      </c>
      <c r="B583" t="str">
        <v>PRO-1013</v>
      </c>
      <c r="C583">
        <v>4937</v>
      </c>
      <c r="D583">
        <v>422.7</v>
      </c>
      <c r="E583">
        <v>232.7</v>
      </c>
      <c r="F583">
        <v>2.4</v>
      </c>
      <c r="G583">
        <v>0.6</v>
      </c>
      <c r="H583" t="str">
        <v>OK</v>
      </c>
      <c r="J583">
        <f t="shared" si="45"/>
        <v>7113.8</v>
      </c>
      <c r="K583">
        <f>SUMIF(Supply_Clean[Item_Code], B583, Supply_Clean[Available_Supply])</f>
        <v>15134</v>
      </c>
      <c r="L583">
        <f t="shared" si="46"/>
        <v>1</v>
      </c>
      <c r="M583">
        <f t="shared" si="47"/>
        <v>422.7</v>
      </c>
      <c r="N583" t="str">
        <f t="shared" si="48"/>
        <v>SUFICIENTE</v>
      </c>
      <c r="O583">
        <f t="shared" si="49"/>
        <v>0</v>
      </c>
    </row>
    <row r="584" spans="1:15" x14ac:dyDescent="0.45">
      <c r="A584" t="str">
        <v>CD-TIJ</v>
      </c>
      <c r="B584" t="str">
        <v>BEB-1018</v>
      </c>
      <c r="C584">
        <v>1008</v>
      </c>
      <c r="D584">
        <v>452.5</v>
      </c>
      <c r="E584">
        <v>54.8</v>
      </c>
      <c r="F584">
        <v>4.2</v>
      </c>
      <c r="G584">
        <v>1.5</v>
      </c>
      <c r="H584" t="str">
        <v>OK</v>
      </c>
      <c r="J584">
        <f t="shared" si="45"/>
        <v>5898.0999999999995</v>
      </c>
      <c r="K584">
        <f>SUMIF(Supply_Clean[Item_Code], B584, Supply_Clean[Available_Supply])</f>
        <v>11472</v>
      </c>
      <c r="L584">
        <f t="shared" si="46"/>
        <v>1</v>
      </c>
      <c r="M584">
        <f t="shared" si="47"/>
        <v>452.5</v>
      </c>
      <c r="N584" t="str">
        <f t="shared" si="48"/>
        <v>SUFICIENTE</v>
      </c>
      <c r="O584">
        <f t="shared" si="49"/>
        <v>0</v>
      </c>
    </row>
    <row r="585" spans="1:15" x14ac:dyDescent="0.45">
      <c r="A585" t="str">
        <v>CD-VER</v>
      </c>
      <c r="B585" t="str">
        <v>BEB-1017</v>
      </c>
      <c r="C585">
        <v>861</v>
      </c>
      <c r="D585">
        <v>325.60000000000002</v>
      </c>
      <c r="E585">
        <v>52.6</v>
      </c>
      <c r="F585">
        <v>2.5</v>
      </c>
      <c r="G585">
        <v>0.9</v>
      </c>
      <c r="H585" t="str">
        <v>OK</v>
      </c>
      <c r="J585">
        <f t="shared" si="45"/>
        <v>6231.7000000000007</v>
      </c>
      <c r="K585">
        <f>SUMIF(Supply_Clean[Item_Code], B585, Supply_Clean[Available_Supply])</f>
        <v>18257</v>
      </c>
      <c r="L585">
        <f t="shared" si="46"/>
        <v>1</v>
      </c>
      <c r="M585">
        <f t="shared" si="47"/>
        <v>325.60000000000002</v>
      </c>
      <c r="N585" t="str">
        <f t="shared" si="48"/>
        <v>SUFICIENTE</v>
      </c>
      <c r="O585">
        <f t="shared" si="49"/>
        <v>0</v>
      </c>
    </row>
    <row r="586" spans="1:15" x14ac:dyDescent="0.45">
      <c r="A586" t="str">
        <v>CD-QRO</v>
      </c>
      <c r="B586" t="str">
        <v>BOT-1016</v>
      </c>
      <c r="C586">
        <v>4912</v>
      </c>
      <c r="D586">
        <v>813.8</v>
      </c>
      <c r="E586">
        <v>127.1</v>
      </c>
      <c r="F586">
        <v>2.8</v>
      </c>
      <c r="G586">
        <v>0.4</v>
      </c>
      <c r="H586" t="str">
        <v>OK</v>
      </c>
      <c r="J586">
        <f t="shared" si="45"/>
        <v>9923.6999999999989</v>
      </c>
      <c r="K586">
        <f>SUMIF(Supply_Clean[Item_Code], B586, Supply_Clean[Available_Supply])</f>
        <v>18995</v>
      </c>
      <c r="L586">
        <f t="shared" si="46"/>
        <v>1</v>
      </c>
      <c r="M586">
        <f t="shared" si="47"/>
        <v>813.8</v>
      </c>
      <c r="N586" t="str">
        <f t="shared" si="48"/>
        <v>SUFICIENTE</v>
      </c>
      <c r="O586">
        <f t="shared" si="49"/>
        <v>0</v>
      </c>
    </row>
    <row r="587" spans="1:15" x14ac:dyDescent="0.45">
      <c r="A587" t="str">
        <v>CD-CAN</v>
      </c>
      <c r="B587" t="str">
        <v>ABA-1018</v>
      </c>
      <c r="C587">
        <v>1769</v>
      </c>
      <c r="D587">
        <v>261.10000000000002</v>
      </c>
      <c r="E587">
        <v>35.799999999999997</v>
      </c>
      <c r="F587">
        <v>4.9000000000000004</v>
      </c>
      <c r="G587">
        <v>1.6</v>
      </c>
      <c r="H587" t="str">
        <v>OK</v>
      </c>
      <c r="J587">
        <f t="shared" si="45"/>
        <v>4478</v>
      </c>
      <c r="K587">
        <f>SUMIF(Supply_Clean[Item_Code], B587, Supply_Clean[Available_Supply])</f>
        <v>6884</v>
      </c>
      <c r="L587">
        <f t="shared" si="46"/>
        <v>1</v>
      </c>
      <c r="M587">
        <f t="shared" si="47"/>
        <v>261.10000000000002</v>
      </c>
      <c r="N587" t="str">
        <f t="shared" si="48"/>
        <v>SUFICIENTE</v>
      </c>
      <c r="O587">
        <f t="shared" si="49"/>
        <v>0</v>
      </c>
    </row>
    <row r="588" spans="1:15" x14ac:dyDescent="0.45">
      <c r="A588" t="str">
        <v>CD-PUE</v>
      </c>
      <c r="B588" t="str">
        <v>LAC-1009</v>
      </c>
      <c r="C588">
        <v>5591</v>
      </c>
      <c r="D588">
        <v>316.10000000000002</v>
      </c>
      <c r="E588">
        <v>86.5</v>
      </c>
      <c r="F588">
        <v>1.2</v>
      </c>
      <c r="G588">
        <v>0.3</v>
      </c>
      <c r="H588" t="str">
        <v>OK</v>
      </c>
      <c r="J588">
        <f t="shared" si="45"/>
        <v>4163.3999999999996</v>
      </c>
      <c r="K588">
        <f>SUMIF(Supply_Clean[Item_Code], B588, Supply_Clean[Available_Supply])</f>
        <v>6523</v>
      </c>
      <c r="L588">
        <f t="shared" si="46"/>
        <v>1</v>
      </c>
      <c r="M588">
        <f t="shared" si="47"/>
        <v>316.10000000000002</v>
      </c>
      <c r="N588" t="str">
        <f t="shared" si="48"/>
        <v>SUFICIENTE</v>
      </c>
      <c r="O588">
        <f t="shared" si="49"/>
        <v>0</v>
      </c>
    </row>
    <row r="589" spans="1:15" x14ac:dyDescent="0.45">
      <c r="A589" t="str">
        <v>CD-CAN</v>
      </c>
      <c r="B589" t="str">
        <v>BEB-1016</v>
      </c>
      <c r="C589">
        <v>4985</v>
      </c>
      <c r="D589">
        <v>317.39999999999998</v>
      </c>
      <c r="E589">
        <v>44.8</v>
      </c>
      <c r="F589">
        <v>4.4000000000000004</v>
      </c>
      <c r="G589">
        <v>1.6</v>
      </c>
      <c r="H589" t="str">
        <v>OK</v>
      </c>
      <c r="J589">
        <f t="shared" si="45"/>
        <v>5569.2000000000007</v>
      </c>
      <c r="K589">
        <f>SUMIF(Supply_Clean[Item_Code], B589, Supply_Clean[Available_Supply])</f>
        <v>14537</v>
      </c>
      <c r="L589">
        <f t="shared" si="46"/>
        <v>1</v>
      </c>
      <c r="M589">
        <f t="shared" si="47"/>
        <v>317.39999999999998</v>
      </c>
      <c r="N589" t="str">
        <f t="shared" si="48"/>
        <v>SUFICIENTE</v>
      </c>
      <c r="O589">
        <f t="shared" si="49"/>
        <v>0</v>
      </c>
    </row>
    <row r="590" spans="1:15" x14ac:dyDescent="0.45">
      <c r="A590" t="str">
        <v>CD-TOL</v>
      </c>
      <c r="B590" t="str">
        <v>BOT-1004</v>
      </c>
      <c r="C590">
        <v>6327</v>
      </c>
      <c r="D590">
        <v>763.3</v>
      </c>
      <c r="E590">
        <v>145.5</v>
      </c>
      <c r="F590">
        <v>2.5</v>
      </c>
      <c r="G590">
        <v>0.5</v>
      </c>
      <c r="H590" t="str">
        <v>OK</v>
      </c>
      <c r="J590">
        <f t="shared" si="45"/>
        <v>9421.7999999999993</v>
      </c>
      <c r="K590">
        <f>SUMIF(Supply_Clean[Item_Code], B590, Supply_Clean[Available_Supply])</f>
        <v>15860</v>
      </c>
      <c r="L590">
        <f t="shared" si="46"/>
        <v>1</v>
      </c>
      <c r="M590">
        <f t="shared" si="47"/>
        <v>763.3</v>
      </c>
      <c r="N590" t="str">
        <f t="shared" si="48"/>
        <v>SUFICIENTE</v>
      </c>
      <c r="O590">
        <f t="shared" si="49"/>
        <v>0</v>
      </c>
    </row>
    <row r="591" spans="1:15" x14ac:dyDescent="0.45">
      <c r="A591" t="str">
        <v>CD-QRO</v>
      </c>
      <c r="B591" t="str">
        <v>BEB-1001</v>
      </c>
      <c r="C591">
        <v>4683</v>
      </c>
      <c r="D591">
        <v>307.8</v>
      </c>
      <c r="E591">
        <v>51.5</v>
      </c>
      <c r="F591">
        <v>2.2000000000000002</v>
      </c>
      <c r="G591">
        <v>0.4</v>
      </c>
      <c r="H591" t="str">
        <v>OK</v>
      </c>
      <c r="J591">
        <f t="shared" si="45"/>
        <v>6941.9</v>
      </c>
      <c r="K591">
        <f>SUMIF(Supply_Clean[Item_Code], B591, Supply_Clean[Available_Supply])</f>
        <v>11725</v>
      </c>
      <c r="L591">
        <f t="shared" si="46"/>
        <v>1</v>
      </c>
      <c r="M591">
        <f t="shared" si="47"/>
        <v>307.8</v>
      </c>
      <c r="N591" t="str">
        <f t="shared" si="48"/>
        <v>SUFICIENTE</v>
      </c>
      <c r="O591">
        <f t="shared" si="49"/>
        <v>0</v>
      </c>
    </row>
    <row r="592" spans="1:15" x14ac:dyDescent="0.45">
      <c r="A592" t="str">
        <v>CD-MER</v>
      </c>
      <c r="B592" t="str">
        <v>LAC-1011</v>
      </c>
      <c r="C592">
        <v>2501</v>
      </c>
      <c r="D592">
        <v>145.9</v>
      </c>
      <c r="E592">
        <v>52.7</v>
      </c>
      <c r="F592">
        <v>6.6</v>
      </c>
      <c r="G592">
        <v>1.3</v>
      </c>
      <c r="H592" t="str">
        <v>OK</v>
      </c>
      <c r="J592">
        <f t="shared" si="45"/>
        <v>4165</v>
      </c>
      <c r="K592">
        <f>SUMIF(Supply_Clean[Item_Code], B592, Supply_Clean[Available_Supply])</f>
        <v>2719</v>
      </c>
      <c r="L592">
        <f t="shared" si="46"/>
        <v>0.65282112845138052</v>
      </c>
      <c r="M592">
        <f t="shared" si="47"/>
        <v>95.246602641056427</v>
      </c>
      <c r="N592" t="str">
        <f t="shared" si="48"/>
        <v>ESCASEZ</v>
      </c>
      <c r="O592">
        <f t="shared" si="49"/>
        <v>50.653397358943579</v>
      </c>
    </row>
    <row r="593" spans="1:15" x14ac:dyDescent="0.45">
      <c r="A593" t="str">
        <v>CD-GDL</v>
      </c>
      <c r="B593" t="str">
        <v>BEB-1016</v>
      </c>
      <c r="C593">
        <v>2250</v>
      </c>
      <c r="D593">
        <v>499.1</v>
      </c>
      <c r="E593">
        <v>57.2</v>
      </c>
      <c r="F593">
        <v>0.8</v>
      </c>
      <c r="G593">
        <v>0.2</v>
      </c>
      <c r="H593" t="str">
        <v>OK</v>
      </c>
      <c r="J593">
        <f t="shared" si="45"/>
        <v>5569.2000000000007</v>
      </c>
      <c r="K593">
        <f>SUMIF(Supply_Clean[Item_Code], B593, Supply_Clean[Available_Supply])</f>
        <v>14537</v>
      </c>
      <c r="L593">
        <f t="shared" si="46"/>
        <v>1</v>
      </c>
      <c r="M593">
        <f t="shared" si="47"/>
        <v>499.1</v>
      </c>
      <c r="N593" t="str">
        <f t="shared" si="48"/>
        <v>SUFICIENTE</v>
      </c>
      <c r="O593">
        <f t="shared" si="49"/>
        <v>0</v>
      </c>
    </row>
    <row r="594" spans="1:15" x14ac:dyDescent="0.45">
      <c r="A594" t="str">
        <v>CD-PUE</v>
      </c>
      <c r="B594" t="str">
        <v>PRO-1007</v>
      </c>
      <c r="C594">
        <v>9377</v>
      </c>
      <c r="D594">
        <v>702.4</v>
      </c>
      <c r="E594">
        <v>339</v>
      </c>
      <c r="F594">
        <v>0.8</v>
      </c>
      <c r="G594">
        <v>0.3</v>
      </c>
      <c r="H594" t="str">
        <v>OK</v>
      </c>
      <c r="J594">
        <f t="shared" si="45"/>
        <v>5354.8</v>
      </c>
      <c r="K594">
        <f>SUMIF(Supply_Clean[Item_Code], B594, Supply_Clean[Available_Supply])</f>
        <v>10360</v>
      </c>
      <c r="L594">
        <f t="shared" si="46"/>
        <v>1</v>
      </c>
      <c r="M594">
        <f t="shared" si="47"/>
        <v>702.4</v>
      </c>
      <c r="N594" t="str">
        <f t="shared" si="48"/>
        <v>SUFICIENTE</v>
      </c>
      <c r="O594">
        <f t="shared" si="49"/>
        <v>0</v>
      </c>
    </row>
    <row r="595" spans="1:15" x14ac:dyDescent="0.45">
      <c r="A595" t="str">
        <v>CD-CDMX</v>
      </c>
      <c r="B595" t="str">
        <v>PRO-1005</v>
      </c>
      <c r="C595">
        <v>7742</v>
      </c>
      <c r="D595">
        <v>645.5</v>
      </c>
      <c r="E595">
        <v>367.3</v>
      </c>
      <c r="F595">
        <v>1.1000000000000001</v>
      </c>
      <c r="G595">
        <v>0.2</v>
      </c>
      <c r="H595" t="str">
        <v>OK</v>
      </c>
      <c r="J595">
        <f t="shared" si="45"/>
        <v>4399.3</v>
      </c>
      <c r="K595">
        <f>SUMIF(Supply_Clean[Item_Code], B595, Supply_Clean[Available_Supply])</f>
        <v>8407</v>
      </c>
      <c r="L595">
        <f t="shared" si="46"/>
        <v>1</v>
      </c>
      <c r="M595">
        <f t="shared" si="47"/>
        <v>645.5</v>
      </c>
      <c r="N595" t="str">
        <f t="shared" si="48"/>
        <v>SUFICIENTE</v>
      </c>
      <c r="O595">
        <f t="shared" si="49"/>
        <v>0</v>
      </c>
    </row>
    <row r="596" spans="1:15" x14ac:dyDescent="0.45">
      <c r="A596" t="str">
        <v>CD-MER</v>
      </c>
      <c r="B596" t="str">
        <v>ABA-1009</v>
      </c>
      <c r="C596">
        <v>399</v>
      </c>
      <c r="D596">
        <v>281.60000000000002</v>
      </c>
      <c r="E596">
        <v>26.7</v>
      </c>
      <c r="F596">
        <v>5</v>
      </c>
      <c r="G596">
        <v>1.3</v>
      </c>
      <c r="H596" t="str">
        <v>OK</v>
      </c>
      <c r="J596">
        <f t="shared" si="45"/>
        <v>5016.1000000000004</v>
      </c>
      <c r="K596">
        <f>SUMIF(Supply_Clean[Item_Code], B596, Supply_Clean[Available_Supply])</f>
        <v>13458</v>
      </c>
      <c r="L596">
        <f t="shared" si="46"/>
        <v>1</v>
      </c>
      <c r="M596">
        <f t="shared" si="47"/>
        <v>281.60000000000002</v>
      </c>
      <c r="N596" t="str">
        <f t="shared" si="48"/>
        <v>SUFICIENTE</v>
      </c>
      <c r="O596">
        <f t="shared" si="49"/>
        <v>0</v>
      </c>
    </row>
    <row r="597" spans="1:15" x14ac:dyDescent="0.45">
      <c r="A597" t="str">
        <v>CD-CDMX</v>
      </c>
      <c r="B597" t="str">
        <v>ABA-1009</v>
      </c>
      <c r="C597">
        <v>4565</v>
      </c>
      <c r="D597">
        <v>405.4</v>
      </c>
      <c r="E597">
        <v>57.7</v>
      </c>
      <c r="F597">
        <v>1</v>
      </c>
      <c r="G597">
        <v>0.2</v>
      </c>
      <c r="H597" t="str">
        <v>OK</v>
      </c>
      <c r="J597">
        <f t="shared" si="45"/>
        <v>5016.1000000000004</v>
      </c>
      <c r="K597">
        <f>SUMIF(Supply_Clean[Item_Code], B597, Supply_Clean[Available_Supply])</f>
        <v>13458</v>
      </c>
      <c r="L597">
        <f t="shared" si="46"/>
        <v>1</v>
      </c>
      <c r="M597">
        <f t="shared" si="47"/>
        <v>405.4</v>
      </c>
      <c r="N597" t="str">
        <f t="shared" si="48"/>
        <v>SUFICIENTE</v>
      </c>
      <c r="O597">
        <f t="shared" si="49"/>
        <v>0</v>
      </c>
    </row>
    <row r="598" spans="1:15" x14ac:dyDescent="0.45">
      <c r="A598" t="str">
        <v>CD-PUE</v>
      </c>
      <c r="B598" t="str">
        <v>ABA-1002</v>
      </c>
      <c r="C598">
        <v>3450</v>
      </c>
      <c r="D598">
        <v>313.8</v>
      </c>
      <c r="E598">
        <v>28.6</v>
      </c>
      <c r="F598">
        <v>1</v>
      </c>
      <c r="G598">
        <v>0.3</v>
      </c>
      <c r="H598" t="str">
        <v>OK</v>
      </c>
      <c r="J598">
        <f t="shared" si="45"/>
        <v>4525.7</v>
      </c>
      <c r="K598">
        <f>SUMIF(Supply_Clean[Item_Code], B598, Supply_Clean[Available_Supply])</f>
        <v>8581</v>
      </c>
      <c r="L598">
        <f t="shared" si="46"/>
        <v>1</v>
      </c>
      <c r="M598">
        <f t="shared" si="47"/>
        <v>313.8</v>
      </c>
      <c r="N598" t="str">
        <f t="shared" si="48"/>
        <v>SUFICIENTE</v>
      </c>
      <c r="O598">
        <f t="shared" si="49"/>
        <v>0</v>
      </c>
    </row>
    <row r="599" spans="1:15" x14ac:dyDescent="0.45">
      <c r="A599" t="str">
        <v>CD-LEO</v>
      </c>
      <c r="B599" t="str">
        <v>BEB-1010</v>
      </c>
      <c r="C599">
        <v>1843</v>
      </c>
      <c r="D599">
        <v>330.5</v>
      </c>
      <c r="E599">
        <v>44.2</v>
      </c>
      <c r="F599">
        <v>1.9</v>
      </c>
      <c r="G599">
        <v>0.6</v>
      </c>
      <c r="H599" t="str">
        <v>OK</v>
      </c>
      <c r="J599">
        <f t="shared" si="45"/>
        <v>4470.2999999999993</v>
      </c>
      <c r="K599">
        <f>SUMIF(Supply_Clean[Item_Code], B599, Supply_Clean[Available_Supply])</f>
        <v>3237</v>
      </c>
      <c r="L599">
        <f t="shared" si="46"/>
        <v>0.7241124756727737</v>
      </c>
      <c r="M599">
        <f t="shared" si="47"/>
        <v>239.3191732098517</v>
      </c>
      <c r="N599" t="str">
        <f t="shared" si="48"/>
        <v>ESCASEZ</v>
      </c>
      <c r="O599">
        <f t="shared" si="49"/>
        <v>91.180826790148302</v>
      </c>
    </row>
    <row r="600" spans="1:15" x14ac:dyDescent="0.45">
      <c r="A600" t="str">
        <v>CD-HER</v>
      </c>
      <c r="B600" t="str">
        <v>ABA-1014</v>
      </c>
      <c r="C600">
        <v>2598</v>
      </c>
      <c r="D600">
        <v>196.3</v>
      </c>
      <c r="E600">
        <v>22.7</v>
      </c>
      <c r="F600">
        <v>4</v>
      </c>
      <c r="G600">
        <v>1.2</v>
      </c>
      <c r="H600" t="str">
        <v>OK</v>
      </c>
      <c r="J600">
        <f t="shared" si="45"/>
        <v>4779.0000000000009</v>
      </c>
      <c r="K600">
        <f>SUMIF(Supply_Clean[Item_Code], B600, Supply_Clean[Available_Supply])</f>
        <v>14629</v>
      </c>
      <c r="L600">
        <f t="shared" si="46"/>
        <v>1</v>
      </c>
      <c r="M600">
        <f t="shared" si="47"/>
        <v>196.3</v>
      </c>
      <c r="N600" t="str">
        <f t="shared" si="48"/>
        <v>SUFICIENTE</v>
      </c>
      <c r="O600">
        <f t="shared" si="49"/>
        <v>0</v>
      </c>
    </row>
    <row r="601" spans="1:15" x14ac:dyDescent="0.45">
      <c r="A601" t="str">
        <v>CD-CAN</v>
      </c>
      <c r="B601" t="str">
        <v>LAC-1014</v>
      </c>
      <c r="C601">
        <v>1267</v>
      </c>
      <c r="D601">
        <v>151.6</v>
      </c>
      <c r="E601">
        <v>67</v>
      </c>
      <c r="F601">
        <v>6.6</v>
      </c>
      <c r="G601">
        <v>1.6</v>
      </c>
      <c r="H601" t="str">
        <v>OK</v>
      </c>
      <c r="J601">
        <f t="shared" si="45"/>
        <v>4121.5</v>
      </c>
      <c r="K601">
        <f>SUMIF(Supply_Clean[Item_Code], B601, Supply_Clean[Available_Supply])</f>
        <v>8260</v>
      </c>
      <c r="L601">
        <f t="shared" si="46"/>
        <v>1</v>
      </c>
      <c r="M601">
        <f t="shared" si="47"/>
        <v>151.6</v>
      </c>
      <c r="N601" t="str">
        <f t="shared" si="48"/>
        <v>SUFICIENTE</v>
      </c>
      <c r="O601">
        <f t="shared" si="49"/>
        <v>0</v>
      </c>
    </row>
    <row r="602" spans="1:15" x14ac:dyDescent="0.45">
      <c r="A602" t="str">
        <v>CD-SAL</v>
      </c>
      <c r="B602" t="str">
        <v>ABA-1002</v>
      </c>
      <c r="C602">
        <v>4680</v>
      </c>
      <c r="D602">
        <v>326.7</v>
      </c>
      <c r="E602">
        <v>43.5</v>
      </c>
      <c r="F602">
        <v>1.9</v>
      </c>
      <c r="G602">
        <v>0.5</v>
      </c>
      <c r="H602" t="str">
        <v>OK</v>
      </c>
      <c r="J602">
        <f t="shared" si="45"/>
        <v>4525.7</v>
      </c>
      <c r="K602">
        <f>SUMIF(Supply_Clean[Item_Code], B602, Supply_Clean[Available_Supply])</f>
        <v>8581</v>
      </c>
      <c r="L602">
        <f t="shared" si="46"/>
        <v>1</v>
      </c>
      <c r="M602">
        <f t="shared" si="47"/>
        <v>326.7</v>
      </c>
      <c r="N602" t="str">
        <f t="shared" si="48"/>
        <v>SUFICIENTE</v>
      </c>
      <c r="O602">
        <f t="shared" si="49"/>
        <v>0</v>
      </c>
    </row>
    <row r="603" spans="1:15" x14ac:dyDescent="0.45">
      <c r="A603" t="str">
        <v>CD-MOR</v>
      </c>
      <c r="B603" t="str">
        <v>BOT-1002</v>
      </c>
      <c r="C603">
        <v>6493</v>
      </c>
      <c r="D603">
        <v>521.79999999999995</v>
      </c>
      <c r="E603">
        <v>105.7</v>
      </c>
      <c r="F603">
        <v>3.1</v>
      </c>
      <c r="G603">
        <v>0.5</v>
      </c>
      <c r="H603" t="str">
        <v>OK</v>
      </c>
      <c r="J603">
        <f t="shared" si="45"/>
        <v>8527</v>
      </c>
      <c r="K603">
        <f>SUMIF(Supply_Clean[Item_Code], B603, Supply_Clean[Available_Supply])</f>
        <v>25048</v>
      </c>
      <c r="L603">
        <f t="shared" si="46"/>
        <v>1</v>
      </c>
      <c r="M603">
        <f t="shared" si="47"/>
        <v>521.79999999999995</v>
      </c>
      <c r="N603" t="str">
        <f t="shared" si="48"/>
        <v>SUFICIENTE</v>
      </c>
      <c r="O603">
        <f t="shared" si="49"/>
        <v>0</v>
      </c>
    </row>
    <row r="604" spans="1:15" x14ac:dyDescent="0.45">
      <c r="A604" t="str">
        <v>CD-VER</v>
      </c>
      <c r="B604" t="str">
        <v>LAC-1014</v>
      </c>
      <c r="C604">
        <v>415</v>
      </c>
      <c r="D604">
        <v>346.8</v>
      </c>
      <c r="E604">
        <v>117.6</v>
      </c>
      <c r="F604">
        <v>3.1</v>
      </c>
      <c r="G604">
        <v>0.9</v>
      </c>
      <c r="H604" t="str">
        <v>OK</v>
      </c>
      <c r="J604">
        <f t="shared" si="45"/>
        <v>4121.5</v>
      </c>
      <c r="K604">
        <f>SUMIF(Supply_Clean[Item_Code], B604, Supply_Clean[Available_Supply])</f>
        <v>8260</v>
      </c>
      <c r="L604">
        <f t="shared" si="46"/>
        <v>1</v>
      </c>
      <c r="M604">
        <f t="shared" si="47"/>
        <v>346.8</v>
      </c>
      <c r="N604" t="str">
        <f t="shared" si="48"/>
        <v>SUFICIENTE</v>
      </c>
      <c r="O604">
        <f t="shared" si="49"/>
        <v>0</v>
      </c>
    </row>
    <row r="605" spans="1:15" x14ac:dyDescent="0.45">
      <c r="A605" t="str">
        <v>CD-CAN</v>
      </c>
      <c r="B605" t="str">
        <v>BOT-1016</v>
      </c>
      <c r="C605">
        <v>7804</v>
      </c>
      <c r="D605">
        <v>636.79999999999995</v>
      </c>
      <c r="E605">
        <v>129.80000000000001</v>
      </c>
      <c r="F605">
        <v>1.4</v>
      </c>
      <c r="G605">
        <v>1.6</v>
      </c>
      <c r="H605" t="str">
        <v>OK</v>
      </c>
      <c r="J605">
        <f t="shared" si="45"/>
        <v>9923.6999999999989</v>
      </c>
      <c r="K605">
        <f>SUMIF(Supply_Clean[Item_Code], B605, Supply_Clean[Available_Supply])</f>
        <v>18995</v>
      </c>
      <c r="L605">
        <f t="shared" si="46"/>
        <v>1</v>
      </c>
      <c r="M605">
        <f t="shared" si="47"/>
        <v>636.79999999999995</v>
      </c>
      <c r="N605" t="str">
        <f t="shared" si="48"/>
        <v>SUFICIENTE</v>
      </c>
      <c r="O605">
        <f t="shared" si="49"/>
        <v>0</v>
      </c>
    </row>
    <row r="606" spans="1:15" x14ac:dyDescent="0.45">
      <c r="A606" t="str">
        <v>CD-TIJ</v>
      </c>
      <c r="B606" t="str">
        <v>LAC-1009</v>
      </c>
      <c r="C606">
        <v>1342</v>
      </c>
      <c r="D606">
        <v>237.5</v>
      </c>
      <c r="E606">
        <v>62.5</v>
      </c>
      <c r="F606">
        <v>6</v>
      </c>
      <c r="G606">
        <v>1.5</v>
      </c>
      <c r="H606" t="str">
        <v>OK</v>
      </c>
      <c r="J606">
        <f t="shared" si="45"/>
        <v>4163.3999999999996</v>
      </c>
      <c r="K606">
        <f>SUMIF(Supply_Clean[Item_Code], B606, Supply_Clean[Available_Supply])</f>
        <v>6523</v>
      </c>
      <c r="L606">
        <f t="shared" si="46"/>
        <v>1</v>
      </c>
      <c r="M606">
        <f t="shared" si="47"/>
        <v>237.5</v>
      </c>
      <c r="N606" t="str">
        <f t="shared" si="48"/>
        <v>SUFICIENTE</v>
      </c>
      <c r="O606">
        <f t="shared" si="49"/>
        <v>0</v>
      </c>
    </row>
    <row r="607" spans="1:15" x14ac:dyDescent="0.45">
      <c r="A607" t="str">
        <v>CD-VER</v>
      </c>
      <c r="B607" t="str">
        <v>ABA-1013</v>
      </c>
      <c r="C607">
        <v>2514</v>
      </c>
      <c r="D607">
        <v>375.2</v>
      </c>
      <c r="E607">
        <v>51.3</v>
      </c>
      <c r="F607">
        <v>2.2000000000000002</v>
      </c>
      <c r="G607">
        <v>0.9</v>
      </c>
      <c r="H607" t="str">
        <v>OK</v>
      </c>
      <c r="J607">
        <f t="shared" si="45"/>
        <v>4213.8999999999996</v>
      </c>
      <c r="K607">
        <f>SUMIF(Supply_Clean[Item_Code], B607, Supply_Clean[Available_Supply])</f>
        <v>2568</v>
      </c>
      <c r="L607">
        <f t="shared" si="46"/>
        <v>0.60941170886826934</v>
      </c>
      <c r="M607">
        <f t="shared" si="47"/>
        <v>228.65127316737465</v>
      </c>
      <c r="N607" t="str">
        <f t="shared" si="48"/>
        <v>ESCASEZ</v>
      </c>
      <c r="O607">
        <f t="shared" si="49"/>
        <v>146.54872683262533</v>
      </c>
    </row>
    <row r="608" spans="1:15" x14ac:dyDescent="0.45">
      <c r="A608" t="str">
        <v>CD-PUE</v>
      </c>
      <c r="B608" t="str">
        <v>BOT-1002</v>
      </c>
      <c r="C608">
        <v>9600</v>
      </c>
      <c r="D608">
        <v>618.5</v>
      </c>
      <c r="E608">
        <v>126.9</v>
      </c>
      <c r="F608">
        <v>1</v>
      </c>
      <c r="G608">
        <v>0.3</v>
      </c>
      <c r="H608" t="str">
        <v>OK</v>
      </c>
      <c r="J608">
        <f t="shared" si="45"/>
        <v>8527</v>
      </c>
      <c r="K608">
        <f>SUMIF(Supply_Clean[Item_Code], B608, Supply_Clean[Available_Supply])</f>
        <v>25048</v>
      </c>
      <c r="L608">
        <f t="shared" si="46"/>
        <v>1</v>
      </c>
      <c r="M608">
        <f t="shared" si="47"/>
        <v>618.5</v>
      </c>
      <c r="N608" t="str">
        <f t="shared" si="48"/>
        <v>SUFICIENTE</v>
      </c>
      <c r="O608">
        <f t="shared" si="49"/>
        <v>0</v>
      </c>
    </row>
    <row r="609" spans="1:15" x14ac:dyDescent="0.45">
      <c r="A609" t="str">
        <v>CD-TIJ</v>
      </c>
      <c r="B609" t="str">
        <v>BOT-1007</v>
      </c>
      <c r="C609">
        <v>9049</v>
      </c>
      <c r="D609">
        <v>700.3</v>
      </c>
      <c r="E609">
        <v>112.6</v>
      </c>
      <c r="F609">
        <v>6.5</v>
      </c>
      <c r="G609">
        <v>1.5</v>
      </c>
      <c r="H609" t="str">
        <v>OK</v>
      </c>
      <c r="J609">
        <f t="shared" si="45"/>
        <v>7508.1</v>
      </c>
      <c r="K609">
        <f>SUMIF(Supply_Clean[Item_Code], B609, Supply_Clean[Available_Supply])</f>
        <v>16668</v>
      </c>
      <c r="L609">
        <f t="shared" si="46"/>
        <v>1</v>
      </c>
      <c r="M609">
        <f t="shared" si="47"/>
        <v>700.3</v>
      </c>
      <c r="N609" t="str">
        <f t="shared" si="48"/>
        <v>SUFICIENTE</v>
      </c>
      <c r="O609">
        <f t="shared" si="49"/>
        <v>0</v>
      </c>
    </row>
    <row r="610" spans="1:15" x14ac:dyDescent="0.45">
      <c r="A610" t="str">
        <v>CD-MTY</v>
      </c>
      <c r="B610" t="str">
        <v>BOT-1000</v>
      </c>
      <c r="C610">
        <v>9816</v>
      </c>
      <c r="D610">
        <v>909.6</v>
      </c>
      <c r="E610">
        <v>148.9</v>
      </c>
      <c r="F610">
        <v>0.8</v>
      </c>
      <c r="G610">
        <v>0.3</v>
      </c>
      <c r="H610" t="str">
        <v>OK</v>
      </c>
      <c r="J610">
        <f t="shared" si="45"/>
        <v>8310.6</v>
      </c>
      <c r="K610">
        <f>SUMIF(Supply_Clean[Item_Code], B610, Supply_Clean[Available_Supply])</f>
        <v>21762</v>
      </c>
      <c r="L610">
        <f t="shared" si="46"/>
        <v>1</v>
      </c>
      <c r="M610">
        <f t="shared" si="47"/>
        <v>909.6</v>
      </c>
      <c r="N610" t="str">
        <f t="shared" si="48"/>
        <v>SUFICIENTE</v>
      </c>
      <c r="O610">
        <f t="shared" si="49"/>
        <v>0</v>
      </c>
    </row>
    <row r="611" spans="1:15" x14ac:dyDescent="0.45">
      <c r="A611" t="str">
        <v>CD-LEO</v>
      </c>
      <c r="B611" t="str">
        <v>BOT-1021</v>
      </c>
      <c r="C611">
        <v>994</v>
      </c>
      <c r="D611">
        <v>350.4</v>
      </c>
      <c r="E611">
        <v>66.400000000000006</v>
      </c>
      <c r="F611">
        <v>1.7</v>
      </c>
      <c r="G611">
        <v>0.6</v>
      </c>
      <c r="H611" t="str">
        <v>OK</v>
      </c>
      <c r="J611">
        <f t="shared" si="45"/>
        <v>6783.3</v>
      </c>
      <c r="K611">
        <f>SUMIF(Supply_Clean[Item_Code], B611, Supply_Clean[Available_Supply])</f>
        <v>13475</v>
      </c>
      <c r="L611">
        <f t="shared" si="46"/>
        <v>1</v>
      </c>
      <c r="M611">
        <f t="shared" si="47"/>
        <v>350.4</v>
      </c>
      <c r="N611" t="str">
        <f t="shared" si="48"/>
        <v>SUFICIENTE</v>
      </c>
      <c r="O611">
        <f t="shared" si="49"/>
        <v>0</v>
      </c>
    </row>
    <row r="612" spans="1:15" x14ac:dyDescent="0.45">
      <c r="A612" t="str">
        <v>CD-VER</v>
      </c>
      <c r="B612" t="str">
        <v>ABA-1019</v>
      </c>
      <c r="C612">
        <v>3727</v>
      </c>
      <c r="D612">
        <v>279.8</v>
      </c>
      <c r="E612">
        <v>39.4</v>
      </c>
      <c r="F612">
        <v>2.2000000000000002</v>
      </c>
      <c r="G612">
        <v>0.9</v>
      </c>
      <c r="H612" t="str">
        <v>OK</v>
      </c>
      <c r="J612">
        <f t="shared" si="45"/>
        <v>4484.9000000000005</v>
      </c>
      <c r="K612">
        <f>SUMIF(Supply_Clean[Item_Code], B612, Supply_Clean[Available_Supply])</f>
        <v>12013</v>
      </c>
      <c r="L612">
        <f t="shared" si="46"/>
        <v>1</v>
      </c>
      <c r="M612">
        <f t="shared" si="47"/>
        <v>279.8</v>
      </c>
      <c r="N612" t="str">
        <f t="shared" si="48"/>
        <v>SUFICIENTE</v>
      </c>
      <c r="O612">
        <f t="shared" si="49"/>
        <v>0</v>
      </c>
    </row>
    <row r="613" spans="1:15" x14ac:dyDescent="0.45">
      <c r="A613" t="str">
        <v>CD-PUE</v>
      </c>
      <c r="B613" t="str">
        <v>PRO-1013</v>
      </c>
      <c r="C613">
        <v>2340</v>
      </c>
      <c r="D613">
        <v>524.4</v>
      </c>
      <c r="E613">
        <v>329.3</v>
      </c>
      <c r="F613">
        <v>0.5</v>
      </c>
      <c r="G613">
        <v>0.3</v>
      </c>
      <c r="H613" t="str">
        <v>OK</v>
      </c>
      <c r="J613">
        <f t="shared" si="45"/>
        <v>7113.8</v>
      </c>
      <c r="K613">
        <f>SUMIF(Supply_Clean[Item_Code], B613, Supply_Clean[Available_Supply])</f>
        <v>15134</v>
      </c>
      <c r="L613">
        <f t="shared" si="46"/>
        <v>1</v>
      </c>
      <c r="M613">
        <f t="shared" si="47"/>
        <v>524.4</v>
      </c>
      <c r="N613" t="str">
        <f t="shared" si="48"/>
        <v>SUFICIENTE</v>
      </c>
      <c r="O613">
        <f t="shared" si="49"/>
        <v>0</v>
      </c>
    </row>
    <row r="614" spans="1:15" x14ac:dyDescent="0.45">
      <c r="A614" t="str">
        <v>CD-MER</v>
      </c>
      <c r="B614" t="str">
        <v>BOT-1013</v>
      </c>
      <c r="C614">
        <v>4027</v>
      </c>
      <c r="D614">
        <v>458.7</v>
      </c>
      <c r="E614">
        <v>88.5</v>
      </c>
      <c r="F614">
        <v>4.8</v>
      </c>
      <c r="G614">
        <v>1.3</v>
      </c>
      <c r="H614" t="str">
        <v>OK</v>
      </c>
      <c r="J614">
        <f t="shared" si="45"/>
        <v>8336.1999999999989</v>
      </c>
      <c r="K614">
        <f>SUMIF(Supply_Clean[Item_Code], B614, Supply_Clean[Available_Supply])</f>
        <v>20545</v>
      </c>
      <c r="L614">
        <f t="shared" si="46"/>
        <v>1</v>
      </c>
      <c r="M614">
        <f t="shared" si="47"/>
        <v>458.7</v>
      </c>
      <c r="N614" t="str">
        <f t="shared" si="48"/>
        <v>SUFICIENTE</v>
      </c>
      <c r="O614">
        <f t="shared" si="49"/>
        <v>0</v>
      </c>
    </row>
    <row r="615" spans="1:15" x14ac:dyDescent="0.45">
      <c r="A615" t="str">
        <v>CD-GDL</v>
      </c>
      <c r="B615" t="str">
        <v>BOT-1016</v>
      </c>
      <c r="C615">
        <v>9750</v>
      </c>
      <c r="D615">
        <v>550.79999999999995</v>
      </c>
      <c r="E615">
        <v>113.9</v>
      </c>
      <c r="F615">
        <v>0.9</v>
      </c>
      <c r="G615">
        <v>0.2</v>
      </c>
      <c r="H615" t="str">
        <v>OK</v>
      </c>
      <c r="J615">
        <f t="shared" si="45"/>
        <v>9923.6999999999989</v>
      </c>
      <c r="K615">
        <f>SUMIF(Supply_Clean[Item_Code], B615, Supply_Clean[Available_Supply])</f>
        <v>18995</v>
      </c>
      <c r="L615">
        <f t="shared" si="46"/>
        <v>1</v>
      </c>
      <c r="M615">
        <f t="shared" si="47"/>
        <v>550.79999999999995</v>
      </c>
      <c r="N615" t="str">
        <f t="shared" si="48"/>
        <v>SUFICIENTE</v>
      </c>
      <c r="O615">
        <f t="shared" si="49"/>
        <v>0</v>
      </c>
    </row>
    <row r="616" spans="1:15" x14ac:dyDescent="0.45">
      <c r="A616" t="str">
        <v>CD-HER</v>
      </c>
      <c r="B616" t="str">
        <v>BOT-1018</v>
      </c>
      <c r="C616">
        <v>1399</v>
      </c>
      <c r="D616">
        <v>315.7</v>
      </c>
      <c r="E616">
        <v>56.1</v>
      </c>
      <c r="F616">
        <v>4.4000000000000004</v>
      </c>
      <c r="G616">
        <v>1.2</v>
      </c>
      <c r="H616" t="str">
        <v>OK</v>
      </c>
      <c r="J616">
        <f t="shared" si="45"/>
        <v>8014.5000000000009</v>
      </c>
      <c r="K616">
        <f>SUMIF(Supply_Clean[Item_Code], B616, Supply_Clean[Available_Supply])</f>
        <v>15093</v>
      </c>
      <c r="L616">
        <f t="shared" si="46"/>
        <v>1</v>
      </c>
      <c r="M616">
        <f t="shared" si="47"/>
        <v>315.7</v>
      </c>
      <c r="N616" t="str">
        <f t="shared" si="48"/>
        <v>SUFICIENTE</v>
      </c>
      <c r="O616">
        <f t="shared" si="49"/>
        <v>0</v>
      </c>
    </row>
    <row r="617" spans="1:15" x14ac:dyDescent="0.45">
      <c r="A617" t="str">
        <v>CD-HER</v>
      </c>
      <c r="B617" t="str">
        <v>LAC-1003</v>
      </c>
      <c r="C617">
        <v>3911</v>
      </c>
      <c r="D617">
        <v>327.7</v>
      </c>
      <c r="E617">
        <v>124.6</v>
      </c>
      <c r="F617">
        <v>3.5</v>
      </c>
      <c r="G617">
        <v>1.2</v>
      </c>
      <c r="H617" t="str">
        <v>OK</v>
      </c>
      <c r="J617">
        <f t="shared" si="45"/>
        <v>3701.4999999999995</v>
      </c>
      <c r="K617">
        <f>SUMIF(Supply_Clean[Item_Code], B617, Supply_Clean[Available_Supply])</f>
        <v>7244</v>
      </c>
      <c r="L617">
        <f t="shared" si="46"/>
        <v>1</v>
      </c>
      <c r="M617">
        <f t="shared" si="47"/>
        <v>327.7</v>
      </c>
      <c r="N617" t="str">
        <f t="shared" si="48"/>
        <v>SUFICIENTE</v>
      </c>
      <c r="O617">
        <f t="shared" si="49"/>
        <v>0</v>
      </c>
    </row>
    <row r="618" spans="1:15" x14ac:dyDescent="0.45">
      <c r="A618" t="str">
        <v>CD-MER</v>
      </c>
      <c r="B618" t="str">
        <v>BEB-1014</v>
      </c>
      <c r="C618">
        <v>693</v>
      </c>
      <c r="D618">
        <v>242.6</v>
      </c>
      <c r="E618">
        <v>42.7</v>
      </c>
      <c r="F618">
        <v>5.7</v>
      </c>
      <c r="G618">
        <v>1.3</v>
      </c>
      <c r="H618" t="str">
        <v>OK</v>
      </c>
      <c r="J618">
        <f t="shared" si="45"/>
        <v>6274.9000000000005</v>
      </c>
      <c r="K618">
        <f>SUMIF(Supply_Clean[Item_Code], B618, Supply_Clean[Available_Supply])</f>
        <v>14205</v>
      </c>
      <c r="L618">
        <f t="shared" si="46"/>
        <v>1</v>
      </c>
      <c r="M618">
        <f t="shared" si="47"/>
        <v>242.6</v>
      </c>
      <c r="N618" t="str">
        <f t="shared" si="48"/>
        <v>SUFICIENTE</v>
      </c>
      <c r="O618">
        <f t="shared" si="49"/>
        <v>0</v>
      </c>
    </row>
    <row r="619" spans="1:15" x14ac:dyDescent="0.45">
      <c r="A619" t="str">
        <v>CD-MER</v>
      </c>
      <c r="B619" t="str">
        <v>ABA-1016</v>
      </c>
      <c r="C619">
        <v>4276</v>
      </c>
      <c r="D619">
        <v>357.2</v>
      </c>
      <c r="E619">
        <v>36.700000000000003</v>
      </c>
      <c r="F619">
        <v>3.9</v>
      </c>
      <c r="G619">
        <v>1.3</v>
      </c>
      <c r="H619" t="str">
        <v>OK</v>
      </c>
      <c r="J619">
        <f t="shared" si="45"/>
        <v>5056.7</v>
      </c>
      <c r="K619">
        <f>SUMIF(Supply_Clean[Item_Code], B619, Supply_Clean[Available_Supply])</f>
        <v>9151</v>
      </c>
      <c r="L619">
        <f t="shared" si="46"/>
        <v>1</v>
      </c>
      <c r="M619">
        <f t="shared" si="47"/>
        <v>357.2</v>
      </c>
      <c r="N619" t="str">
        <f t="shared" si="48"/>
        <v>SUFICIENTE</v>
      </c>
      <c r="O619">
        <f t="shared" si="49"/>
        <v>0</v>
      </c>
    </row>
    <row r="620" spans="1:15" x14ac:dyDescent="0.45">
      <c r="A620" t="str">
        <v>CD-TIJ</v>
      </c>
      <c r="B620" t="str">
        <v>BOT-1006</v>
      </c>
      <c r="C620">
        <v>5148</v>
      </c>
      <c r="D620">
        <v>560.29999999999995</v>
      </c>
      <c r="E620">
        <v>94.4</v>
      </c>
      <c r="F620">
        <v>5</v>
      </c>
      <c r="G620">
        <v>1.5</v>
      </c>
      <c r="H620" t="str">
        <v>OK</v>
      </c>
      <c r="J620">
        <f t="shared" si="45"/>
        <v>7732.6000000000013</v>
      </c>
      <c r="K620">
        <f>SUMIF(Supply_Clean[Item_Code], B620, Supply_Clean[Available_Supply])</f>
        <v>16401</v>
      </c>
      <c r="L620">
        <f t="shared" si="46"/>
        <v>1</v>
      </c>
      <c r="M620">
        <f t="shared" si="47"/>
        <v>560.29999999999995</v>
      </c>
      <c r="N620" t="str">
        <f t="shared" si="48"/>
        <v>SUFICIENTE</v>
      </c>
      <c r="O620">
        <f t="shared" si="49"/>
        <v>0</v>
      </c>
    </row>
    <row r="621" spans="1:15" x14ac:dyDescent="0.45">
      <c r="A621" t="str">
        <v>CD-MOR</v>
      </c>
      <c r="B621" t="str">
        <v>BEB-1000</v>
      </c>
      <c r="C621">
        <v>2922</v>
      </c>
      <c r="D621">
        <v>298.3</v>
      </c>
      <c r="E621">
        <v>53.2</v>
      </c>
      <c r="F621">
        <v>2</v>
      </c>
      <c r="G621">
        <v>0.5</v>
      </c>
      <c r="H621" t="str">
        <v>OK</v>
      </c>
      <c r="J621">
        <f t="shared" si="45"/>
        <v>4843.5</v>
      </c>
      <c r="K621">
        <f>SUMIF(Supply_Clean[Item_Code], B621, Supply_Clean[Available_Supply])</f>
        <v>14592</v>
      </c>
      <c r="L621">
        <f t="shared" si="46"/>
        <v>1</v>
      </c>
      <c r="M621">
        <f t="shared" si="47"/>
        <v>298.3</v>
      </c>
      <c r="N621" t="str">
        <f t="shared" si="48"/>
        <v>SUFICIENTE</v>
      </c>
      <c r="O621">
        <f t="shared" si="49"/>
        <v>0</v>
      </c>
    </row>
    <row r="622" spans="1:15" x14ac:dyDescent="0.45">
      <c r="A622" t="str">
        <v>CD-PUE</v>
      </c>
      <c r="B622" t="str">
        <v>LAC-1006</v>
      </c>
      <c r="C622">
        <v>2107</v>
      </c>
      <c r="D622">
        <v>153.5</v>
      </c>
      <c r="E622">
        <v>55.2</v>
      </c>
      <c r="F622">
        <v>0.9</v>
      </c>
      <c r="G622">
        <v>0.3</v>
      </c>
      <c r="H622" t="str">
        <v>OK</v>
      </c>
      <c r="J622">
        <f t="shared" si="45"/>
        <v>4338.7</v>
      </c>
      <c r="K622">
        <f>SUMIF(Supply_Clean[Item_Code], B622, Supply_Clean[Available_Supply])</f>
        <v>10670</v>
      </c>
      <c r="L622">
        <f t="shared" si="46"/>
        <v>1</v>
      </c>
      <c r="M622">
        <f t="shared" si="47"/>
        <v>153.5</v>
      </c>
      <c r="N622" t="str">
        <f t="shared" si="48"/>
        <v>SUFICIENTE</v>
      </c>
      <c r="O622">
        <f t="shared" si="49"/>
        <v>0</v>
      </c>
    </row>
    <row r="623" spans="1:15" x14ac:dyDescent="0.45">
      <c r="A623" t="str">
        <v>CD-VER</v>
      </c>
      <c r="B623" t="str">
        <v>PRO-1005</v>
      </c>
      <c r="C623">
        <v>2725</v>
      </c>
      <c r="D623">
        <v>178.7</v>
      </c>
      <c r="E623">
        <v>118</v>
      </c>
      <c r="F623">
        <v>3.9</v>
      </c>
      <c r="G623">
        <v>0.9</v>
      </c>
      <c r="H623" t="str">
        <v>OK</v>
      </c>
      <c r="J623">
        <f t="shared" si="45"/>
        <v>4399.3</v>
      </c>
      <c r="K623">
        <f>SUMIF(Supply_Clean[Item_Code], B623, Supply_Clean[Available_Supply])</f>
        <v>8407</v>
      </c>
      <c r="L623">
        <f t="shared" si="46"/>
        <v>1</v>
      </c>
      <c r="M623">
        <f t="shared" si="47"/>
        <v>178.7</v>
      </c>
      <c r="N623" t="str">
        <f t="shared" si="48"/>
        <v>SUFICIENTE</v>
      </c>
      <c r="O623">
        <f t="shared" si="49"/>
        <v>0</v>
      </c>
    </row>
    <row r="624" spans="1:15" x14ac:dyDescent="0.45">
      <c r="A624" t="str">
        <v>CD-HER</v>
      </c>
      <c r="B624" t="str">
        <v>BEB-1020</v>
      </c>
      <c r="C624">
        <v>1330</v>
      </c>
      <c r="D624">
        <v>443</v>
      </c>
      <c r="E624">
        <v>47.2</v>
      </c>
      <c r="F624">
        <v>3.4</v>
      </c>
      <c r="G624">
        <v>1.2</v>
      </c>
      <c r="H624" t="str">
        <v>OK</v>
      </c>
      <c r="J624">
        <f t="shared" si="45"/>
        <v>6114.4000000000005</v>
      </c>
      <c r="K624">
        <f>SUMIF(Supply_Clean[Item_Code], B624, Supply_Clean[Available_Supply])</f>
        <v>16621</v>
      </c>
      <c r="L624">
        <f t="shared" si="46"/>
        <v>1</v>
      </c>
      <c r="M624">
        <f t="shared" si="47"/>
        <v>443</v>
      </c>
      <c r="N624" t="str">
        <f t="shared" si="48"/>
        <v>SUFICIENTE</v>
      </c>
      <c r="O624">
        <f t="shared" si="49"/>
        <v>0</v>
      </c>
    </row>
    <row r="625" spans="1:15" x14ac:dyDescent="0.45">
      <c r="A625" t="str">
        <v>CD-HER</v>
      </c>
      <c r="B625" t="str">
        <v>ABA-1016</v>
      </c>
      <c r="C625">
        <v>2072</v>
      </c>
      <c r="D625">
        <v>298.2</v>
      </c>
      <c r="E625">
        <v>42.8</v>
      </c>
      <c r="F625">
        <v>4.9000000000000004</v>
      </c>
      <c r="G625">
        <v>1.2</v>
      </c>
      <c r="H625" t="str">
        <v>OK</v>
      </c>
      <c r="J625">
        <f t="shared" si="45"/>
        <v>5056.7</v>
      </c>
      <c r="K625">
        <f>SUMIF(Supply_Clean[Item_Code], B625, Supply_Clean[Available_Supply])</f>
        <v>9151</v>
      </c>
      <c r="L625">
        <f t="shared" si="46"/>
        <v>1</v>
      </c>
      <c r="M625">
        <f t="shared" si="47"/>
        <v>298.2</v>
      </c>
      <c r="N625" t="str">
        <f t="shared" si="48"/>
        <v>SUFICIENTE</v>
      </c>
      <c r="O625">
        <f t="shared" si="49"/>
        <v>0</v>
      </c>
    </row>
    <row r="626" spans="1:15" x14ac:dyDescent="0.45">
      <c r="A626" t="str">
        <v>CD-CAN</v>
      </c>
      <c r="B626" t="str">
        <v>PRO-1006</v>
      </c>
      <c r="C626">
        <v>794</v>
      </c>
      <c r="D626">
        <v>113.3</v>
      </c>
      <c r="E626">
        <v>58.2</v>
      </c>
      <c r="F626">
        <v>9.6</v>
      </c>
      <c r="G626">
        <v>1.6</v>
      </c>
      <c r="H626" t="str">
        <v>OK</v>
      </c>
      <c r="J626">
        <f t="shared" si="45"/>
        <v>5801.8</v>
      </c>
      <c r="K626">
        <f>SUMIF(Supply_Clean[Item_Code], B626, Supply_Clean[Available_Supply])</f>
        <v>9270</v>
      </c>
      <c r="L626">
        <f t="shared" si="46"/>
        <v>1</v>
      </c>
      <c r="M626">
        <f t="shared" si="47"/>
        <v>113.3</v>
      </c>
      <c r="N626" t="str">
        <f t="shared" si="48"/>
        <v>SUFICIENTE</v>
      </c>
      <c r="O626">
        <f t="shared" si="49"/>
        <v>0</v>
      </c>
    </row>
    <row r="627" spans="1:15" x14ac:dyDescent="0.45">
      <c r="A627" t="str">
        <v>CD-TOL</v>
      </c>
      <c r="B627" t="str">
        <v>BEB-1002</v>
      </c>
      <c r="C627">
        <v>4502</v>
      </c>
      <c r="D627">
        <v>408.1</v>
      </c>
      <c r="E627">
        <v>47.1</v>
      </c>
      <c r="F627">
        <v>1.9</v>
      </c>
      <c r="G627">
        <v>0.5</v>
      </c>
      <c r="H627" t="str">
        <v>OK</v>
      </c>
      <c r="J627">
        <f t="shared" si="45"/>
        <v>6246.8</v>
      </c>
      <c r="K627">
        <f>SUMIF(Supply_Clean[Item_Code], B627, Supply_Clean[Available_Supply])</f>
        <v>13052</v>
      </c>
      <c r="L627">
        <f t="shared" si="46"/>
        <v>1</v>
      </c>
      <c r="M627">
        <f t="shared" si="47"/>
        <v>408.1</v>
      </c>
      <c r="N627" t="str">
        <f t="shared" si="48"/>
        <v>SUFICIENTE</v>
      </c>
      <c r="O627">
        <f t="shared" si="49"/>
        <v>0</v>
      </c>
    </row>
    <row r="628" spans="1:15" x14ac:dyDescent="0.45">
      <c r="A628" t="str">
        <v>CD-HER</v>
      </c>
      <c r="B628" t="str">
        <v>ABA-1002</v>
      </c>
      <c r="C628">
        <v>3667</v>
      </c>
      <c r="D628">
        <v>240.2</v>
      </c>
      <c r="E628">
        <v>29.3</v>
      </c>
      <c r="F628">
        <v>4.3</v>
      </c>
      <c r="G628">
        <v>1.2</v>
      </c>
      <c r="H628" t="str">
        <v>OK</v>
      </c>
      <c r="J628">
        <f t="shared" si="45"/>
        <v>4525.7</v>
      </c>
      <c r="K628">
        <f>SUMIF(Supply_Clean[Item_Code], B628, Supply_Clean[Available_Supply])</f>
        <v>8581</v>
      </c>
      <c r="L628">
        <f t="shared" si="46"/>
        <v>1</v>
      </c>
      <c r="M628">
        <f t="shared" si="47"/>
        <v>240.2</v>
      </c>
      <c r="N628" t="str">
        <f t="shared" si="48"/>
        <v>SUFICIENTE</v>
      </c>
      <c r="O628">
        <f t="shared" si="49"/>
        <v>0</v>
      </c>
    </row>
    <row r="629" spans="1:15" x14ac:dyDescent="0.45">
      <c r="A629" t="str">
        <v>CD-MER</v>
      </c>
      <c r="B629" t="str">
        <v>BEB-1000</v>
      </c>
      <c r="C629">
        <v>2310</v>
      </c>
      <c r="D629">
        <v>271.60000000000002</v>
      </c>
      <c r="E629">
        <v>41.2</v>
      </c>
      <c r="F629">
        <v>3.3</v>
      </c>
      <c r="G629">
        <v>1.3</v>
      </c>
      <c r="H629" t="str">
        <v>OK</v>
      </c>
      <c r="J629">
        <f t="shared" si="45"/>
        <v>4843.5</v>
      </c>
      <c r="K629">
        <f>SUMIF(Supply_Clean[Item_Code], B629, Supply_Clean[Available_Supply])</f>
        <v>14592</v>
      </c>
      <c r="L629">
        <f t="shared" si="46"/>
        <v>1</v>
      </c>
      <c r="M629">
        <f t="shared" si="47"/>
        <v>271.60000000000002</v>
      </c>
      <c r="N629" t="str">
        <f t="shared" si="48"/>
        <v>SUFICIENTE</v>
      </c>
      <c r="O629">
        <f t="shared" si="49"/>
        <v>0</v>
      </c>
    </row>
    <row r="630" spans="1:15" x14ac:dyDescent="0.45">
      <c r="A630" t="str">
        <v>CD-MOR</v>
      </c>
      <c r="B630" t="str">
        <v>LAC-1008</v>
      </c>
      <c r="C630">
        <v>2671</v>
      </c>
      <c r="D630">
        <v>243</v>
      </c>
      <c r="E630">
        <v>95.8</v>
      </c>
      <c r="F630">
        <v>2.8</v>
      </c>
      <c r="G630">
        <v>0.5</v>
      </c>
      <c r="H630" t="str">
        <v>OK</v>
      </c>
      <c r="J630">
        <f t="shared" si="45"/>
        <v>4499.0999999999995</v>
      </c>
      <c r="K630">
        <f>SUMIF(Supply_Clean[Item_Code], B630, Supply_Clean[Available_Supply])</f>
        <v>9543</v>
      </c>
      <c r="L630">
        <f t="shared" si="46"/>
        <v>1</v>
      </c>
      <c r="M630">
        <f t="shared" si="47"/>
        <v>243</v>
      </c>
      <c r="N630" t="str">
        <f t="shared" si="48"/>
        <v>SUFICIENTE</v>
      </c>
      <c r="O630">
        <f t="shared" si="49"/>
        <v>0</v>
      </c>
    </row>
    <row r="631" spans="1:15" x14ac:dyDescent="0.45">
      <c r="A631" t="str">
        <v>CD-PUE</v>
      </c>
      <c r="B631" t="str">
        <v>LAC-1015</v>
      </c>
      <c r="C631">
        <v>3048</v>
      </c>
      <c r="D631">
        <v>390.8</v>
      </c>
      <c r="E631">
        <v>125.1</v>
      </c>
      <c r="F631">
        <v>1.3</v>
      </c>
      <c r="G631">
        <v>0.3</v>
      </c>
      <c r="H631" t="str">
        <v>OK</v>
      </c>
      <c r="J631">
        <f t="shared" si="45"/>
        <v>3982.7000000000007</v>
      </c>
      <c r="K631">
        <f>SUMIF(Supply_Clean[Item_Code], B631, Supply_Clean[Available_Supply])</f>
        <v>8604</v>
      </c>
      <c r="L631">
        <f t="shared" si="46"/>
        <v>1</v>
      </c>
      <c r="M631">
        <f t="shared" si="47"/>
        <v>390.8</v>
      </c>
      <c r="N631" t="str">
        <f t="shared" si="48"/>
        <v>SUFICIENTE</v>
      </c>
      <c r="O631">
        <f t="shared" si="49"/>
        <v>0</v>
      </c>
    </row>
    <row r="632" spans="1:15" x14ac:dyDescent="0.45">
      <c r="A632" t="str">
        <v>CD-MER</v>
      </c>
      <c r="B632" t="str">
        <v>PRO-1004</v>
      </c>
      <c r="C632">
        <v>11161</v>
      </c>
      <c r="D632">
        <v>640.20000000000005</v>
      </c>
      <c r="E632">
        <v>355.5</v>
      </c>
      <c r="F632">
        <v>6</v>
      </c>
      <c r="G632">
        <v>1.3</v>
      </c>
      <c r="H632" t="str">
        <v>OK</v>
      </c>
      <c r="J632">
        <f t="shared" si="45"/>
        <v>5295.1999999999989</v>
      </c>
      <c r="K632">
        <f>SUMIF(Supply_Clean[Item_Code], B632, Supply_Clean[Available_Supply])</f>
        <v>13057</v>
      </c>
      <c r="L632">
        <f t="shared" si="46"/>
        <v>1</v>
      </c>
      <c r="M632">
        <f t="shared" si="47"/>
        <v>640.20000000000005</v>
      </c>
      <c r="N632" t="str">
        <f t="shared" si="48"/>
        <v>SUFICIENTE</v>
      </c>
      <c r="O632">
        <f t="shared" si="49"/>
        <v>0</v>
      </c>
    </row>
    <row r="633" spans="1:15" x14ac:dyDescent="0.45">
      <c r="A633" t="str">
        <v>CD-CDMX</v>
      </c>
      <c r="B633" t="str">
        <v>BOT-1000</v>
      </c>
      <c r="C633">
        <v>12238</v>
      </c>
      <c r="D633">
        <v>771.8</v>
      </c>
      <c r="E633">
        <v>152</v>
      </c>
      <c r="F633">
        <v>1.1000000000000001</v>
      </c>
      <c r="G633">
        <v>0.2</v>
      </c>
      <c r="H633" t="str">
        <v>OK</v>
      </c>
      <c r="J633">
        <f t="shared" si="45"/>
        <v>8310.6</v>
      </c>
      <c r="K633">
        <f>SUMIF(Supply_Clean[Item_Code], B633, Supply_Clean[Available_Supply])</f>
        <v>21762</v>
      </c>
      <c r="L633">
        <f t="shared" si="46"/>
        <v>1</v>
      </c>
      <c r="M633">
        <f t="shared" si="47"/>
        <v>771.8</v>
      </c>
      <c r="N633" t="str">
        <f t="shared" si="48"/>
        <v>SUFICIENTE</v>
      </c>
      <c r="O633">
        <f t="shared" si="49"/>
        <v>0</v>
      </c>
    </row>
    <row r="634" spans="1:15" x14ac:dyDescent="0.45">
      <c r="A634" t="str">
        <v>CD-CDMX</v>
      </c>
      <c r="B634" t="str">
        <v>BOT-1014</v>
      </c>
      <c r="C634">
        <v>8428</v>
      </c>
      <c r="D634">
        <v>665.6</v>
      </c>
      <c r="E634">
        <v>126.7</v>
      </c>
      <c r="F634">
        <v>1.2</v>
      </c>
      <c r="G634">
        <v>0.2</v>
      </c>
      <c r="H634" t="str">
        <v>OK</v>
      </c>
      <c r="J634">
        <f t="shared" si="45"/>
        <v>8056.4000000000005</v>
      </c>
      <c r="K634">
        <f>SUMIF(Supply_Clean[Item_Code], B634, Supply_Clean[Available_Supply])</f>
        <v>14373</v>
      </c>
      <c r="L634">
        <f t="shared" si="46"/>
        <v>1</v>
      </c>
      <c r="M634">
        <f t="shared" si="47"/>
        <v>665.6</v>
      </c>
      <c r="N634" t="str">
        <f t="shared" si="48"/>
        <v>SUFICIENTE</v>
      </c>
      <c r="O634">
        <f t="shared" si="49"/>
        <v>0</v>
      </c>
    </row>
    <row r="635" spans="1:15" x14ac:dyDescent="0.45">
      <c r="A635" t="str">
        <v>CD-SAL</v>
      </c>
      <c r="B635" t="str">
        <v>ABA-1001</v>
      </c>
      <c r="C635">
        <v>4165</v>
      </c>
      <c r="D635">
        <v>238</v>
      </c>
      <c r="E635">
        <v>35.299999999999997</v>
      </c>
      <c r="F635">
        <v>2.5</v>
      </c>
      <c r="G635">
        <v>0.5</v>
      </c>
      <c r="H635" t="str">
        <v>OK</v>
      </c>
      <c r="J635">
        <f t="shared" si="45"/>
        <v>4698.6999999999989</v>
      </c>
      <c r="K635">
        <f>SUMIF(Supply_Clean[Item_Code], B635, Supply_Clean[Available_Supply])</f>
        <v>8775</v>
      </c>
      <c r="L635">
        <f t="shared" si="46"/>
        <v>1</v>
      </c>
      <c r="M635">
        <f t="shared" si="47"/>
        <v>238</v>
      </c>
      <c r="N635" t="str">
        <f t="shared" si="48"/>
        <v>SUFICIENTE</v>
      </c>
      <c r="O635">
        <f t="shared" si="49"/>
        <v>0</v>
      </c>
    </row>
    <row r="636" spans="1:15" x14ac:dyDescent="0.45">
      <c r="A636" t="str">
        <v>CD-SAL</v>
      </c>
      <c r="B636" t="str">
        <v>BOT-1017</v>
      </c>
      <c r="C636">
        <v>6899</v>
      </c>
      <c r="D636">
        <v>818.3</v>
      </c>
      <c r="E636">
        <v>216.9</v>
      </c>
      <c r="F636">
        <v>2</v>
      </c>
      <c r="G636">
        <v>0.5</v>
      </c>
      <c r="H636" t="str">
        <v>OK</v>
      </c>
      <c r="J636">
        <f t="shared" si="45"/>
        <v>10291.300000000001</v>
      </c>
      <c r="K636">
        <f>SUMIF(Supply_Clean[Item_Code], B636, Supply_Clean[Available_Supply])</f>
        <v>5486</v>
      </c>
      <c r="L636">
        <f t="shared" si="46"/>
        <v>0.53307162360440363</v>
      </c>
      <c r="M636">
        <f t="shared" si="47"/>
        <v>436.21250959548348</v>
      </c>
      <c r="N636" t="str">
        <f t="shared" si="48"/>
        <v>ESCASEZ</v>
      </c>
      <c r="O636">
        <f t="shared" si="49"/>
        <v>382.08749040451647</v>
      </c>
    </row>
    <row r="637" spans="1:15" x14ac:dyDescent="0.45">
      <c r="A637" t="str">
        <v>CD-QRO</v>
      </c>
      <c r="B637" t="str">
        <v>BOT-1018</v>
      </c>
      <c r="C637">
        <v>3726</v>
      </c>
      <c r="D637">
        <v>739.6</v>
      </c>
      <c r="E637">
        <v>151.4</v>
      </c>
      <c r="F637">
        <v>1.8</v>
      </c>
      <c r="G637">
        <v>0.4</v>
      </c>
      <c r="H637" t="str">
        <v>OK</v>
      </c>
      <c r="J637">
        <f t="shared" si="45"/>
        <v>8014.5000000000009</v>
      </c>
      <c r="K637">
        <f>SUMIF(Supply_Clean[Item_Code], B637, Supply_Clean[Available_Supply])</f>
        <v>15093</v>
      </c>
      <c r="L637">
        <f t="shared" si="46"/>
        <v>1</v>
      </c>
      <c r="M637">
        <f t="shared" si="47"/>
        <v>739.6</v>
      </c>
      <c r="N637" t="str">
        <f t="shared" si="48"/>
        <v>SUFICIENTE</v>
      </c>
      <c r="O637">
        <f t="shared" si="49"/>
        <v>0</v>
      </c>
    </row>
    <row r="638" spans="1:15" x14ac:dyDescent="0.45">
      <c r="A638" t="str">
        <v>CD-GDL</v>
      </c>
      <c r="B638" t="str">
        <v>ABA-1004</v>
      </c>
      <c r="C638">
        <v>1880</v>
      </c>
      <c r="D638">
        <v>360.6</v>
      </c>
      <c r="E638">
        <v>41.1</v>
      </c>
      <c r="F638">
        <v>1.1000000000000001</v>
      </c>
      <c r="G638">
        <v>0.2</v>
      </c>
      <c r="H638" t="str">
        <v>OK</v>
      </c>
      <c r="J638">
        <f t="shared" si="45"/>
        <v>5236.7</v>
      </c>
      <c r="K638">
        <f>SUMIF(Supply_Clean[Item_Code], B638, Supply_Clean[Available_Supply])</f>
        <v>10879</v>
      </c>
      <c r="L638">
        <f t="shared" si="46"/>
        <v>1</v>
      </c>
      <c r="M638">
        <f t="shared" si="47"/>
        <v>360.6</v>
      </c>
      <c r="N638" t="str">
        <f t="shared" si="48"/>
        <v>SUFICIENTE</v>
      </c>
      <c r="O638">
        <f t="shared" si="49"/>
        <v>0</v>
      </c>
    </row>
    <row r="639" spans="1:15" x14ac:dyDescent="0.45">
      <c r="A639" t="str">
        <v>CD-GDL</v>
      </c>
      <c r="B639" t="str">
        <v>BOT-1000</v>
      </c>
      <c r="C639">
        <v>1192</v>
      </c>
      <c r="D639">
        <v>279.8</v>
      </c>
      <c r="E639">
        <v>46.4</v>
      </c>
      <c r="F639">
        <v>1.3</v>
      </c>
      <c r="G639">
        <v>0.2</v>
      </c>
      <c r="H639" t="str">
        <v>OK</v>
      </c>
      <c r="J639">
        <f t="shared" si="45"/>
        <v>8310.6</v>
      </c>
      <c r="K639">
        <f>SUMIF(Supply_Clean[Item_Code], B639, Supply_Clean[Available_Supply])</f>
        <v>21762</v>
      </c>
      <c r="L639">
        <f t="shared" si="46"/>
        <v>1</v>
      </c>
      <c r="M639">
        <f t="shared" si="47"/>
        <v>279.8</v>
      </c>
      <c r="N639" t="str">
        <f t="shared" si="48"/>
        <v>SUFICIENTE</v>
      </c>
      <c r="O639">
        <f t="shared" si="49"/>
        <v>0</v>
      </c>
    </row>
    <row r="640" spans="1:15" x14ac:dyDescent="0.45">
      <c r="A640" t="str">
        <v>CD-CAN</v>
      </c>
      <c r="B640" t="str">
        <v>LAC-1001</v>
      </c>
      <c r="C640">
        <v>3045</v>
      </c>
      <c r="D640">
        <v>329.2</v>
      </c>
      <c r="E640">
        <v>133.9</v>
      </c>
      <c r="F640">
        <v>3.4</v>
      </c>
      <c r="G640">
        <v>1.6</v>
      </c>
      <c r="H640" t="str">
        <v>OK</v>
      </c>
      <c r="J640">
        <f t="shared" si="45"/>
        <v>3660.9999999999991</v>
      </c>
      <c r="K640">
        <f>SUMIF(Supply_Clean[Item_Code], B640, Supply_Clean[Available_Supply])</f>
        <v>9945</v>
      </c>
      <c r="L640">
        <f t="shared" si="46"/>
        <v>1</v>
      </c>
      <c r="M640">
        <f t="shared" si="47"/>
        <v>329.2</v>
      </c>
      <c r="N640" t="str">
        <f t="shared" si="48"/>
        <v>SUFICIENTE</v>
      </c>
      <c r="O640">
        <f t="shared" si="49"/>
        <v>0</v>
      </c>
    </row>
    <row r="641" spans="1:15" x14ac:dyDescent="0.45">
      <c r="A641" t="str">
        <v>CD-LEO</v>
      </c>
      <c r="B641" t="str">
        <v>BOT-1005</v>
      </c>
      <c r="C641">
        <v>7424</v>
      </c>
      <c r="D641">
        <v>555.9</v>
      </c>
      <c r="E641">
        <v>155.1</v>
      </c>
      <c r="F641">
        <v>2.9</v>
      </c>
      <c r="G641">
        <v>0.6</v>
      </c>
      <c r="H641" t="str">
        <v>OK</v>
      </c>
      <c r="J641">
        <f t="shared" si="45"/>
        <v>8620.3000000000011</v>
      </c>
      <c r="K641">
        <f>SUMIF(Supply_Clean[Item_Code], B641, Supply_Clean[Available_Supply])</f>
        <v>23903</v>
      </c>
      <c r="L641">
        <f t="shared" si="46"/>
        <v>1</v>
      </c>
      <c r="M641">
        <f t="shared" si="47"/>
        <v>555.9</v>
      </c>
      <c r="N641" t="str">
        <f t="shared" si="48"/>
        <v>SUFICIENTE</v>
      </c>
      <c r="O641">
        <f t="shared" si="49"/>
        <v>0</v>
      </c>
    </row>
    <row r="642" spans="1:15" x14ac:dyDescent="0.45">
      <c r="A642" t="str">
        <v>CD-QRO</v>
      </c>
      <c r="B642" t="str">
        <v>BOT-1006</v>
      </c>
      <c r="C642">
        <v>2055</v>
      </c>
      <c r="D642">
        <v>584</v>
      </c>
      <c r="E642">
        <v>140.80000000000001</v>
      </c>
      <c r="F642">
        <v>1.4</v>
      </c>
      <c r="G642">
        <v>0.4</v>
      </c>
      <c r="H642" t="str">
        <v>OK</v>
      </c>
      <c r="J642">
        <f t="shared" si="45"/>
        <v>7732.6000000000013</v>
      </c>
      <c r="K642">
        <f>SUMIF(Supply_Clean[Item_Code], B642, Supply_Clean[Available_Supply])</f>
        <v>16401</v>
      </c>
      <c r="L642">
        <f t="shared" si="46"/>
        <v>1</v>
      </c>
      <c r="M642">
        <f t="shared" si="47"/>
        <v>584</v>
      </c>
      <c r="N642" t="str">
        <f t="shared" si="48"/>
        <v>SUFICIENTE</v>
      </c>
      <c r="O642">
        <f t="shared" si="49"/>
        <v>0</v>
      </c>
    </row>
    <row r="643" spans="1:15" x14ac:dyDescent="0.45">
      <c r="A643" t="str">
        <v>CD-HER</v>
      </c>
      <c r="B643" t="str">
        <v>PRO-1008</v>
      </c>
      <c r="C643">
        <v>0</v>
      </c>
      <c r="D643">
        <v>720.8</v>
      </c>
      <c r="E643">
        <v>486.5</v>
      </c>
      <c r="F643">
        <v>1.8</v>
      </c>
      <c r="G643">
        <v>1.2</v>
      </c>
      <c r="H643">
        <v>0</v>
      </c>
      <c r="J643">
        <f t="shared" ref="J643:J706" si="50">SUMIF($B$2:$B$1501, B643, $D$2:$D$1501)</f>
        <v>5551.5999999999995</v>
      </c>
      <c r="K643">
        <f>SUMIF(Supply_Clean[Item_Code], B643, Supply_Clean[Available_Supply])</f>
        <v>9738</v>
      </c>
      <c r="L643">
        <f t="shared" ref="L643:L706" si="51">IFERROR(MIN(1, K643/J643), "")</f>
        <v>1</v>
      </c>
      <c r="M643">
        <f t="shared" ref="M643:M706" si="52">IFERROR(D643*L643, "")</f>
        <v>720.8</v>
      </c>
      <c r="N643" t="str">
        <f t="shared" ref="N643:N706" si="53">IF(L643&lt;1, "ESCASEZ", "SUFICIENTE")</f>
        <v>SUFICIENTE</v>
      </c>
      <c r="O643">
        <f t="shared" ref="O643:O706" si="54">IF(N643="ESCASEZ", D643-M643, 0)</f>
        <v>0</v>
      </c>
    </row>
    <row r="644" spans="1:15" x14ac:dyDescent="0.45">
      <c r="A644" t="str">
        <v>CD-QRO</v>
      </c>
      <c r="B644" t="str">
        <v>BEB-1012</v>
      </c>
      <c r="C644">
        <v>0</v>
      </c>
      <c r="D644">
        <v>424.1</v>
      </c>
      <c r="E644">
        <v>71.8</v>
      </c>
      <c r="F644">
        <v>2.2000000000000002</v>
      </c>
      <c r="G644">
        <v>0.4</v>
      </c>
      <c r="H644">
        <v>0</v>
      </c>
      <c r="J644">
        <f t="shared" si="50"/>
        <v>5740.7</v>
      </c>
      <c r="K644">
        <f>SUMIF(Supply_Clean[Item_Code], B644, Supply_Clean[Available_Supply])</f>
        <v>12491</v>
      </c>
      <c r="L644">
        <f t="shared" si="51"/>
        <v>1</v>
      </c>
      <c r="M644">
        <f t="shared" si="52"/>
        <v>424.1</v>
      </c>
      <c r="N644" t="str">
        <f t="shared" si="53"/>
        <v>SUFICIENTE</v>
      </c>
      <c r="O644">
        <f t="shared" si="54"/>
        <v>0</v>
      </c>
    </row>
    <row r="645" spans="1:15" x14ac:dyDescent="0.45">
      <c r="A645" t="str">
        <v>CD-MER</v>
      </c>
      <c r="B645" t="str">
        <v>BEB-1021</v>
      </c>
      <c r="C645">
        <v>3657</v>
      </c>
      <c r="D645">
        <v>293.10000000000002</v>
      </c>
      <c r="E645">
        <v>30.5</v>
      </c>
      <c r="F645">
        <v>4.3</v>
      </c>
      <c r="G645">
        <v>1.3</v>
      </c>
      <c r="H645" t="str">
        <v>OK</v>
      </c>
      <c r="J645">
        <f t="shared" si="50"/>
        <v>5254.7999999999993</v>
      </c>
      <c r="K645">
        <f>SUMIF(Supply_Clean[Item_Code], B645, Supply_Clean[Available_Supply])</f>
        <v>13235</v>
      </c>
      <c r="L645">
        <f t="shared" si="51"/>
        <v>1</v>
      </c>
      <c r="M645">
        <f t="shared" si="52"/>
        <v>293.10000000000002</v>
      </c>
      <c r="N645" t="str">
        <f t="shared" si="53"/>
        <v>SUFICIENTE</v>
      </c>
      <c r="O645">
        <f t="shared" si="54"/>
        <v>0</v>
      </c>
    </row>
    <row r="646" spans="1:15" x14ac:dyDescent="0.45">
      <c r="A646" t="str">
        <v>CD-SAL</v>
      </c>
      <c r="B646" t="str">
        <v>PRO-1003</v>
      </c>
      <c r="C646">
        <v>5890</v>
      </c>
      <c r="D646">
        <v>361</v>
      </c>
      <c r="E646">
        <v>153.1</v>
      </c>
      <c r="F646">
        <v>2.2999999999999998</v>
      </c>
      <c r="G646">
        <v>0.5</v>
      </c>
      <c r="H646" t="str">
        <v>OK</v>
      </c>
      <c r="J646">
        <f t="shared" si="50"/>
        <v>6234.9</v>
      </c>
      <c r="K646">
        <f>SUMIF(Supply_Clean[Item_Code], B646, Supply_Clean[Available_Supply])</f>
        <v>10658</v>
      </c>
      <c r="L646">
        <f t="shared" si="51"/>
        <v>1</v>
      </c>
      <c r="M646">
        <f t="shared" si="52"/>
        <v>361</v>
      </c>
      <c r="N646" t="str">
        <f t="shared" si="53"/>
        <v>SUFICIENTE</v>
      </c>
      <c r="O646">
        <f t="shared" si="54"/>
        <v>0</v>
      </c>
    </row>
    <row r="647" spans="1:15" x14ac:dyDescent="0.45">
      <c r="A647" t="str">
        <v>CD-VER</v>
      </c>
      <c r="B647" t="str">
        <v>LAC-1016</v>
      </c>
      <c r="C647">
        <v>5355</v>
      </c>
      <c r="D647">
        <v>337.4</v>
      </c>
      <c r="E647">
        <v>90.6</v>
      </c>
      <c r="F647">
        <v>1</v>
      </c>
      <c r="G647">
        <v>0.9</v>
      </c>
      <c r="H647" t="str">
        <v>OK</v>
      </c>
      <c r="J647">
        <f t="shared" si="50"/>
        <v>4542.5</v>
      </c>
      <c r="K647">
        <f>SUMIF(Supply_Clean[Item_Code], B647, Supply_Clean[Available_Supply])</f>
        <v>12760</v>
      </c>
      <c r="L647">
        <f t="shared" si="51"/>
        <v>1</v>
      </c>
      <c r="M647">
        <f t="shared" si="52"/>
        <v>337.4</v>
      </c>
      <c r="N647" t="str">
        <f t="shared" si="53"/>
        <v>SUFICIENTE</v>
      </c>
      <c r="O647">
        <f t="shared" si="54"/>
        <v>0</v>
      </c>
    </row>
    <row r="648" spans="1:15" x14ac:dyDescent="0.45">
      <c r="A648" t="str">
        <v>CD-GDL</v>
      </c>
      <c r="B648" t="str">
        <v>LAC-1000</v>
      </c>
      <c r="C648">
        <v>3502</v>
      </c>
      <c r="D648">
        <v>346.9</v>
      </c>
      <c r="E648">
        <v>101.4</v>
      </c>
      <c r="F648">
        <v>0.8</v>
      </c>
      <c r="G648">
        <v>0.2</v>
      </c>
      <c r="H648" t="str">
        <v>OK</v>
      </c>
      <c r="J648">
        <f t="shared" si="50"/>
        <v>4987.8</v>
      </c>
      <c r="K648">
        <f>SUMIF(Supply_Clean[Item_Code], B648, Supply_Clean[Available_Supply])</f>
        <v>12568</v>
      </c>
      <c r="L648">
        <f t="shared" si="51"/>
        <v>1</v>
      </c>
      <c r="M648">
        <f t="shared" si="52"/>
        <v>346.9</v>
      </c>
      <c r="N648" t="str">
        <f t="shared" si="53"/>
        <v>SUFICIENTE</v>
      </c>
      <c r="O648">
        <f t="shared" si="54"/>
        <v>0</v>
      </c>
    </row>
    <row r="649" spans="1:15" x14ac:dyDescent="0.45">
      <c r="A649" t="str">
        <v>CD-HER</v>
      </c>
      <c r="B649" t="str">
        <v>BEB-1012</v>
      </c>
      <c r="C649">
        <v>1091</v>
      </c>
      <c r="D649">
        <v>451.3</v>
      </c>
      <c r="E649">
        <v>53.5</v>
      </c>
      <c r="F649">
        <v>2.2999999999999998</v>
      </c>
      <c r="G649">
        <v>1.2</v>
      </c>
      <c r="H649" t="str">
        <v>OK</v>
      </c>
      <c r="J649">
        <f t="shared" si="50"/>
        <v>5740.7</v>
      </c>
      <c r="K649">
        <f>SUMIF(Supply_Clean[Item_Code], B649, Supply_Clean[Available_Supply])</f>
        <v>12491</v>
      </c>
      <c r="L649">
        <f t="shared" si="51"/>
        <v>1</v>
      </c>
      <c r="M649">
        <f t="shared" si="52"/>
        <v>451.3</v>
      </c>
      <c r="N649" t="str">
        <f t="shared" si="53"/>
        <v>SUFICIENTE</v>
      </c>
      <c r="O649">
        <f t="shared" si="54"/>
        <v>0</v>
      </c>
    </row>
    <row r="650" spans="1:15" x14ac:dyDescent="0.45">
      <c r="A650" t="str">
        <v>CD-VER</v>
      </c>
      <c r="B650" t="str">
        <v>BEB-1016</v>
      </c>
      <c r="C650">
        <v>9189</v>
      </c>
      <c r="D650">
        <v>651.6</v>
      </c>
      <c r="E650">
        <v>109.2</v>
      </c>
      <c r="F650">
        <v>2.2000000000000002</v>
      </c>
      <c r="G650">
        <v>0.9</v>
      </c>
      <c r="H650" t="str">
        <v>OK</v>
      </c>
      <c r="J650">
        <f t="shared" si="50"/>
        <v>5569.2000000000007</v>
      </c>
      <c r="K650">
        <f>SUMIF(Supply_Clean[Item_Code], B650, Supply_Clean[Available_Supply])</f>
        <v>14537</v>
      </c>
      <c r="L650">
        <f t="shared" si="51"/>
        <v>1</v>
      </c>
      <c r="M650">
        <f t="shared" si="52"/>
        <v>651.6</v>
      </c>
      <c r="N650" t="str">
        <f t="shared" si="53"/>
        <v>SUFICIENTE</v>
      </c>
      <c r="O650">
        <f t="shared" si="54"/>
        <v>0</v>
      </c>
    </row>
    <row r="651" spans="1:15" x14ac:dyDescent="0.45">
      <c r="A651" t="str">
        <v>CD-HER</v>
      </c>
      <c r="B651" t="str">
        <v>PRO-1003</v>
      </c>
      <c r="C651">
        <v>2028</v>
      </c>
      <c r="D651">
        <v>474.6</v>
      </c>
      <c r="E651">
        <v>265.89999999999998</v>
      </c>
      <c r="F651">
        <v>4.8</v>
      </c>
      <c r="G651">
        <v>1.2</v>
      </c>
      <c r="H651" t="str">
        <v>OK</v>
      </c>
      <c r="J651">
        <f t="shared" si="50"/>
        <v>6234.9</v>
      </c>
      <c r="K651">
        <f>SUMIF(Supply_Clean[Item_Code], B651, Supply_Clean[Available_Supply])</f>
        <v>10658</v>
      </c>
      <c r="L651">
        <f t="shared" si="51"/>
        <v>1</v>
      </c>
      <c r="M651">
        <f t="shared" si="52"/>
        <v>474.6</v>
      </c>
      <c r="N651" t="str">
        <f t="shared" si="53"/>
        <v>SUFICIENTE</v>
      </c>
      <c r="O651">
        <f t="shared" si="54"/>
        <v>0</v>
      </c>
    </row>
    <row r="652" spans="1:15" x14ac:dyDescent="0.45">
      <c r="A652" t="str">
        <v>CD-CHI</v>
      </c>
      <c r="B652" t="str">
        <v>LAC-1003</v>
      </c>
      <c r="C652">
        <v>8703</v>
      </c>
      <c r="D652">
        <v>562.5</v>
      </c>
      <c r="E652">
        <v>201.4</v>
      </c>
      <c r="F652">
        <v>1.6</v>
      </c>
      <c r="G652">
        <v>1</v>
      </c>
      <c r="H652" t="str">
        <v>OK</v>
      </c>
      <c r="J652">
        <f t="shared" si="50"/>
        <v>3701.4999999999995</v>
      </c>
      <c r="K652">
        <f>SUMIF(Supply_Clean[Item_Code], B652, Supply_Clean[Available_Supply])</f>
        <v>7244</v>
      </c>
      <c r="L652">
        <f t="shared" si="51"/>
        <v>1</v>
      </c>
      <c r="M652">
        <f t="shared" si="52"/>
        <v>562.5</v>
      </c>
      <c r="N652" t="str">
        <f t="shared" si="53"/>
        <v>SUFICIENTE</v>
      </c>
      <c r="O652">
        <f t="shared" si="54"/>
        <v>0</v>
      </c>
    </row>
    <row r="653" spans="1:15" x14ac:dyDescent="0.45">
      <c r="A653" t="str">
        <v>CD-VER</v>
      </c>
      <c r="B653" t="str">
        <v>ABA-1015</v>
      </c>
      <c r="C653">
        <v>1693</v>
      </c>
      <c r="D653">
        <v>264.8</v>
      </c>
      <c r="E653">
        <v>31.7</v>
      </c>
      <c r="F653">
        <v>4.4000000000000004</v>
      </c>
      <c r="G653">
        <v>0.9</v>
      </c>
      <c r="H653" t="str">
        <v>OK</v>
      </c>
      <c r="J653">
        <f t="shared" si="50"/>
        <v>3986.4999999999991</v>
      </c>
      <c r="K653">
        <f>SUMIF(Supply_Clean[Item_Code], B653, Supply_Clean[Available_Supply])</f>
        <v>7969</v>
      </c>
      <c r="L653">
        <f t="shared" si="51"/>
        <v>1</v>
      </c>
      <c r="M653">
        <f t="shared" si="52"/>
        <v>264.8</v>
      </c>
      <c r="N653" t="str">
        <f t="shared" si="53"/>
        <v>SUFICIENTE</v>
      </c>
      <c r="O653">
        <f t="shared" si="54"/>
        <v>0</v>
      </c>
    </row>
    <row r="654" spans="1:15" x14ac:dyDescent="0.45">
      <c r="A654" t="str">
        <v>CD-GDL</v>
      </c>
      <c r="B654" t="str">
        <v>LAC-1004</v>
      </c>
      <c r="C654">
        <v>0</v>
      </c>
      <c r="D654">
        <v>310.39999999999998</v>
      </c>
      <c r="E654">
        <v>128.1</v>
      </c>
      <c r="F654">
        <v>0.7</v>
      </c>
      <c r="G654">
        <v>0.2</v>
      </c>
      <c r="H654">
        <v>0</v>
      </c>
      <c r="J654">
        <f t="shared" si="50"/>
        <v>4211.5</v>
      </c>
      <c r="K654">
        <f>SUMIF(Supply_Clean[Item_Code], B654, Supply_Clean[Available_Supply])</f>
        <v>11968</v>
      </c>
      <c r="L654">
        <f t="shared" si="51"/>
        <v>1</v>
      </c>
      <c r="M654">
        <f t="shared" si="52"/>
        <v>310.39999999999998</v>
      </c>
      <c r="N654" t="str">
        <f t="shared" si="53"/>
        <v>SUFICIENTE</v>
      </c>
      <c r="O654">
        <f t="shared" si="54"/>
        <v>0</v>
      </c>
    </row>
    <row r="655" spans="1:15" x14ac:dyDescent="0.45">
      <c r="A655" t="str">
        <v>CD-CAN</v>
      </c>
      <c r="B655" t="str">
        <v>BEB-1015</v>
      </c>
      <c r="C655">
        <v>4218</v>
      </c>
      <c r="D655">
        <v>381.1</v>
      </c>
      <c r="E655">
        <v>72.599999999999994</v>
      </c>
      <c r="F655">
        <v>4.4000000000000004</v>
      </c>
      <c r="G655">
        <v>1.6</v>
      </c>
      <c r="H655" t="str">
        <v>OK</v>
      </c>
      <c r="J655">
        <f t="shared" si="50"/>
        <v>5073.0999999999995</v>
      </c>
      <c r="K655">
        <f>SUMIF(Supply_Clean[Item_Code], B655, Supply_Clean[Available_Supply])</f>
        <v>14801</v>
      </c>
      <c r="L655">
        <f t="shared" si="51"/>
        <v>1</v>
      </c>
      <c r="M655">
        <f t="shared" si="52"/>
        <v>381.1</v>
      </c>
      <c r="N655" t="str">
        <f t="shared" si="53"/>
        <v>SUFICIENTE</v>
      </c>
      <c r="O655">
        <f t="shared" si="54"/>
        <v>0</v>
      </c>
    </row>
    <row r="656" spans="1:15" x14ac:dyDescent="0.45">
      <c r="A656" t="str">
        <v>CD-TOL</v>
      </c>
      <c r="B656" t="str">
        <v>BEB-1019</v>
      </c>
      <c r="C656">
        <v>3332</v>
      </c>
      <c r="D656">
        <v>552</v>
      </c>
      <c r="E656">
        <v>92.6</v>
      </c>
      <c r="F656">
        <v>1.8</v>
      </c>
      <c r="G656">
        <v>0.5</v>
      </c>
      <c r="H656" t="str">
        <v>OK</v>
      </c>
      <c r="J656">
        <f t="shared" si="50"/>
        <v>5453.6</v>
      </c>
      <c r="K656">
        <f>SUMIF(Supply_Clean[Item_Code], B656, Supply_Clean[Available_Supply])</f>
        <v>15099</v>
      </c>
      <c r="L656">
        <f t="shared" si="51"/>
        <v>1</v>
      </c>
      <c r="M656">
        <f t="shared" si="52"/>
        <v>552</v>
      </c>
      <c r="N656" t="str">
        <f t="shared" si="53"/>
        <v>SUFICIENTE</v>
      </c>
      <c r="O656">
        <f t="shared" si="54"/>
        <v>0</v>
      </c>
    </row>
    <row r="657" spans="1:15" x14ac:dyDescent="0.45">
      <c r="A657" t="str">
        <v>CD-TOL</v>
      </c>
      <c r="B657" t="str">
        <v>BOT-1010</v>
      </c>
      <c r="C657">
        <v>3834</v>
      </c>
      <c r="D657">
        <v>537.5</v>
      </c>
      <c r="E657">
        <v>101.3</v>
      </c>
      <c r="F657">
        <v>2</v>
      </c>
      <c r="G657">
        <v>0.5</v>
      </c>
      <c r="H657" t="str">
        <v>OK</v>
      </c>
      <c r="J657">
        <f t="shared" si="50"/>
        <v>7108.7000000000007</v>
      </c>
      <c r="K657">
        <f>SUMIF(Supply_Clean[Item_Code], B657, Supply_Clean[Available_Supply])</f>
        <v>21582</v>
      </c>
      <c r="L657">
        <f t="shared" si="51"/>
        <v>1</v>
      </c>
      <c r="M657">
        <f t="shared" si="52"/>
        <v>537.5</v>
      </c>
      <c r="N657" t="str">
        <f t="shared" si="53"/>
        <v>SUFICIENTE</v>
      </c>
      <c r="O657">
        <f t="shared" si="54"/>
        <v>0</v>
      </c>
    </row>
    <row r="658" spans="1:15" x14ac:dyDescent="0.45">
      <c r="A658" t="str">
        <v>CD-QRO</v>
      </c>
      <c r="B658" t="str">
        <v>LAC-1004</v>
      </c>
      <c r="C658">
        <v>3357</v>
      </c>
      <c r="D658">
        <v>244.2</v>
      </c>
      <c r="E658">
        <v>67.2</v>
      </c>
      <c r="F658">
        <v>1.6</v>
      </c>
      <c r="G658">
        <v>0.4</v>
      </c>
      <c r="H658" t="str">
        <v>OK</v>
      </c>
      <c r="J658">
        <f t="shared" si="50"/>
        <v>4211.5</v>
      </c>
      <c r="K658">
        <f>SUMIF(Supply_Clean[Item_Code], B658, Supply_Clean[Available_Supply])</f>
        <v>11968</v>
      </c>
      <c r="L658">
        <f t="shared" si="51"/>
        <v>1</v>
      </c>
      <c r="M658">
        <f t="shared" si="52"/>
        <v>244.2</v>
      </c>
      <c r="N658" t="str">
        <f t="shared" si="53"/>
        <v>SUFICIENTE</v>
      </c>
      <c r="O658">
        <f t="shared" si="54"/>
        <v>0</v>
      </c>
    </row>
    <row r="659" spans="1:15" x14ac:dyDescent="0.45">
      <c r="A659" t="str">
        <v>CD-CHI</v>
      </c>
      <c r="B659" t="str">
        <v>LAC-1008</v>
      </c>
      <c r="C659">
        <v>7178</v>
      </c>
      <c r="D659">
        <v>425</v>
      </c>
      <c r="E659">
        <v>190.6</v>
      </c>
      <c r="F659">
        <v>2.6</v>
      </c>
      <c r="G659">
        <v>1</v>
      </c>
      <c r="H659" t="str">
        <v>OK</v>
      </c>
      <c r="J659">
        <f t="shared" si="50"/>
        <v>4499.0999999999995</v>
      </c>
      <c r="K659">
        <f>SUMIF(Supply_Clean[Item_Code], B659, Supply_Clean[Available_Supply])</f>
        <v>9543</v>
      </c>
      <c r="L659">
        <f t="shared" si="51"/>
        <v>1</v>
      </c>
      <c r="M659">
        <f t="shared" si="52"/>
        <v>425</v>
      </c>
      <c r="N659" t="str">
        <f t="shared" si="53"/>
        <v>SUFICIENTE</v>
      </c>
      <c r="O659">
        <f t="shared" si="54"/>
        <v>0</v>
      </c>
    </row>
    <row r="660" spans="1:15" x14ac:dyDescent="0.45">
      <c r="A660" t="str">
        <v>CD-MOR</v>
      </c>
      <c r="B660" t="str">
        <v>BOT-1015</v>
      </c>
      <c r="C660">
        <v>2147</v>
      </c>
      <c r="D660">
        <v>326.39999999999998</v>
      </c>
      <c r="E660">
        <v>71.5</v>
      </c>
      <c r="F660">
        <v>2</v>
      </c>
      <c r="G660">
        <v>0.5</v>
      </c>
      <c r="H660" t="str">
        <v>OK</v>
      </c>
      <c r="J660">
        <f t="shared" si="50"/>
        <v>8666.4</v>
      </c>
      <c r="K660">
        <f>SUMIF(Supply_Clean[Item_Code], B660, Supply_Clean[Available_Supply])</f>
        <v>5719</v>
      </c>
      <c r="L660">
        <f t="shared" si="51"/>
        <v>0.65990492015138935</v>
      </c>
      <c r="M660">
        <f t="shared" si="52"/>
        <v>215.39296593741346</v>
      </c>
      <c r="N660" t="str">
        <f t="shared" si="53"/>
        <v>ESCASEZ</v>
      </c>
      <c r="O660">
        <f t="shared" si="54"/>
        <v>111.00703406258651</v>
      </c>
    </row>
    <row r="661" spans="1:15" x14ac:dyDescent="0.45">
      <c r="A661" t="str">
        <v>CD-MOR</v>
      </c>
      <c r="B661" t="str">
        <v>BOT-1007</v>
      </c>
      <c r="C661">
        <v>2672</v>
      </c>
      <c r="D661">
        <v>382.6</v>
      </c>
      <c r="E661">
        <v>99</v>
      </c>
      <c r="F661">
        <v>1.8</v>
      </c>
      <c r="G661">
        <v>0.5</v>
      </c>
      <c r="H661" t="str">
        <v>OK</v>
      </c>
      <c r="J661">
        <f t="shared" si="50"/>
        <v>7508.1</v>
      </c>
      <c r="K661">
        <f>SUMIF(Supply_Clean[Item_Code], B661, Supply_Clean[Available_Supply])</f>
        <v>16668</v>
      </c>
      <c r="L661">
        <f t="shared" si="51"/>
        <v>1</v>
      </c>
      <c r="M661">
        <f t="shared" si="52"/>
        <v>382.6</v>
      </c>
      <c r="N661" t="str">
        <f t="shared" si="53"/>
        <v>SUFICIENTE</v>
      </c>
      <c r="O661">
        <f t="shared" si="54"/>
        <v>0</v>
      </c>
    </row>
    <row r="662" spans="1:15" x14ac:dyDescent="0.45">
      <c r="A662" t="str">
        <v>CD-TIJ</v>
      </c>
      <c r="B662" t="str">
        <v>BEB-1017</v>
      </c>
      <c r="C662">
        <v>2882</v>
      </c>
      <c r="D662">
        <v>372.4</v>
      </c>
      <c r="E662">
        <v>48.4</v>
      </c>
      <c r="F662">
        <v>4.5999999999999996</v>
      </c>
      <c r="G662">
        <v>1.5</v>
      </c>
      <c r="H662" t="str">
        <v>OK</v>
      </c>
      <c r="J662">
        <f t="shared" si="50"/>
        <v>6231.7000000000007</v>
      </c>
      <c r="K662">
        <f>SUMIF(Supply_Clean[Item_Code], B662, Supply_Clean[Available_Supply])</f>
        <v>18257</v>
      </c>
      <c r="L662">
        <f t="shared" si="51"/>
        <v>1</v>
      </c>
      <c r="M662">
        <f t="shared" si="52"/>
        <v>372.4</v>
      </c>
      <c r="N662" t="str">
        <f t="shared" si="53"/>
        <v>SUFICIENTE</v>
      </c>
      <c r="O662">
        <f t="shared" si="54"/>
        <v>0</v>
      </c>
    </row>
    <row r="663" spans="1:15" x14ac:dyDescent="0.45">
      <c r="A663" t="str">
        <v>CD-MER</v>
      </c>
      <c r="B663" t="str">
        <v>BOT-1007</v>
      </c>
      <c r="C663">
        <v>18075</v>
      </c>
      <c r="D663">
        <v>1129.3</v>
      </c>
      <c r="E663">
        <v>202.8</v>
      </c>
      <c r="F663">
        <v>4.2</v>
      </c>
      <c r="G663">
        <v>1.3</v>
      </c>
      <c r="H663" t="str">
        <v>OK</v>
      </c>
      <c r="J663">
        <f t="shared" si="50"/>
        <v>7508.1</v>
      </c>
      <c r="K663">
        <f>SUMIF(Supply_Clean[Item_Code], B663, Supply_Clean[Available_Supply])</f>
        <v>16668</v>
      </c>
      <c r="L663">
        <f t="shared" si="51"/>
        <v>1</v>
      </c>
      <c r="M663">
        <f t="shared" si="52"/>
        <v>1129.3</v>
      </c>
      <c r="N663" t="str">
        <f t="shared" si="53"/>
        <v>SUFICIENTE</v>
      </c>
      <c r="O663">
        <f t="shared" si="54"/>
        <v>0</v>
      </c>
    </row>
    <row r="664" spans="1:15" x14ac:dyDescent="0.45">
      <c r="A664" t="str">
        <v>CD-LEO</v>
      </c>
      <c r="B664" t="str">
        <v>BOT-1011</v>
      </c>
      <c r="C664">
        <v>8282</v>
      </c>
      <c r="D664">
        <v>490</v>
      </c>
      <c r="E664">
        <v>90.2</v>
      </c>
      <c r="F664">
        <v>1.2</v>
      </c>
      <c r="G664">
        <v>0.6</v>
      </c>
      <c r="H664" t="str">
        <v>OK</v>
      </c>
      <c r="J664">
        <f t="shared" si="50"/>
        <v>9886.2999999999993</v>
      </c>
      <c r="K664">
        <f>SUMIF(Supply_Clean[Item_Code], B664, Supply_Clean[Available_Supply])</f>
        <v>19886</v>
      </c>
      <c r="L664">
        <f t="shared" si="51"/>
        <v>1</v>
      </c>
      <c r="M664">
        <f t="shared" si="52"/>
        <v>490</v>
      </c>
      <c r="N664" t="str">
        <f t="shared" si="53"/>
        <v>SUFICIENTE</v>
      </c>
      <c r="O664">
        <f t="shared" si="54"/>
        <v>0</v>
      </c>
    </row>
    <row r="665" spans="1:15" x14ac:dyDescent="0.45">
      <c r="A665" t="str">
        <v>CD-GDL</v>
      </c>
      <c r="B665" t="str">
        <v>BOT-1013</v>
      </c>
      <c r="C665">
        <v>9377</v>
      </c>
      <c r="D665">
        <v>743.9</v>
      </c>
      <c r="E665">
        <v>141.19999999999999</v>
      </c>
      <c r="F665">
        <v>1.1000000000000001</v>
      </c>
      <c r="G665">
        <v>0.2</v>
      </c>
      <c r="H665" t="str">
        <v>OK</v>
      </c>
      <c r="J665">
        <f t="shared" si="50"/>
        <v>8336.1999999999989</v>
      </c>
      <c r="K665">
        <f>SUMIF(Supply_Clean[Item_Code], B665, Supply_Clean[Available_Supply])</f>
        <v>20545</v>
      </c>
      <c r="L665">
        <f t="shared" si="51"/>
        <v>1</v>
      </c>
      <c r="M665">
        <f t="shared" si="52"/>
        <v>743.9</v>
      </c>
      <c r="N665" t="str">
        <f t="shared" si="53"/>
        <v>SUFICIENTE</v>
      </c>
      <c r="O665">
        <f t="shared" si="54"/>
        <v>0</v>
      </c>
    </row>
    <row r="666" spans="1:15" x14ac:dyDescent="0.45">
      <c r="A666" t="str">
        <v>CD-VER</v>
      </c>
      <c r="B666" t="str">
        <v>BOT-1022</v>
      </c>
      <c r="C666">
        <v>7699</v>
      </c>
      <c r="D666">
        <v>935.8</v>
      </c>
      <c r="E666">
        <v>201.1</v>
      </c>
      <c r="F666">
        <v>1.5</v>
      </c>
      <c r="G666">
        <v>0.9</v>
      </c>
      <c r="H666" t="str">
        <v>OK</v>
      </c>
      <c r="J666">
        <f t="shared" si="50"/>
        <v>9197.7000000000007</v>
      </c>
      <c r="K666">
        <f>SUMIF(Supply_Clean[Item_Code], B666, Supply_Clean[Available_Supply])</f>
        <v>23862</v>
      </c>
      <c r="L666">
        <f t="shared" si="51"/>
        <v>1</v>
      </c>
      <c r="M666">
        <f t="shared" si="52"/>
        <v>935.8</v>
      </c>
      <c r="N666" t="str">
        <f t="shared" si="53"/>
        <v>SUFICIENTE</v>
      </c>
      <c r="O666">
        <f t="shared" si="54"/>
        <v>0</v>
      </c>
    </row>
    <row r="667" spans="1:15" x14ac:dyDescent="0.45">
      <c r="A667" t="str">
        <v>CD-MTY</v>
      </c>
      <c r="B667" t="str">
        <v>PRO-1009</v>
      </c>
      <c r="C667">
        <v>3161</v>
      </c>
      <c r="D667">
        <v>829.3</v>
      </c>
      <c r="E667">
        <v>443.9</v>
      </c>
      <c r="F667">
        <v>1.6</v>
      </c>
      <c r="G667">
        <v>0.3</v>
      </c>
      <c r="H667" t="str">
        <v>OK</v>
      </c>
      <c r="J667">
        <f t="shared" si="50"/>
        <v>5962.0999999999995</v>
      </c>
      <c r="K667">
        <f>SUMIF(Supply_Clean[Item_Code], B667, Supply_Clean[Available_Supply])</f>
        <v>10685</v>
      </c>
      <c r="L667">
        <f t="shared" si="51"/>
        <v>1</v>
      </c>
      <c r="M667">
        <f t="shared" si="52"/>
        <v>829.3</v>
      </c>
      <c r="N667" t="str">
        <f t="shared" si="53"/>
        <v>SUFICIENTE</v>
      </c>
      <c r="O667">
        <f t="shared" si="54"/>
        <v>0</v>
      </c>
    </row>
    <row r="668" spans="1:15" x14ac:dyDescent="0.45">
      <c r="A668" t="str">
        <v>CD-LEO</v>
      </c>
      <c r="B668" t="str">
        <v>PRO-1004</v>
      </c>
      <c r="C668">
        <v>7034</v>
      </c>
      <c r="D668">
        <v>520.29999999999995</v>
      </c>
      <c r="E668">
        <v>329</v>
      </c>
      <c r="F668">
        <v>2.1</v>
      </c>
      <c r="G668">
        <v>0.6</v>
      </c>
      <c r="H668" t="str">
        <v>OK</v>
      </c>
      <c r="J668">
        <f t="shared" si="50"/>
        <v>5295.1999999999989</v>
      </c>
      <c r="K668">
        <f>SUMIF(Supply_Clean[Item_Code], B668, Supply_Clean[Available_Supply])</f>
        <v>13057</v>
      </c>
      <c r="L668">
        <f t="shared" si="51"/>
        <v>1</v>
      </c>
      <c r="M668">
        <f t="shared" si="52"/>
        <v>520.29999999999995</v>
      </c>
      <c r="N668" t="str">
        <f t="shared" si="53"/>
        <v>SUFICIENTE</v>
      </c>
      <c r="O668">
        <f t="shared" si="54"/>
        <v>0</v>
      </c>
    </row>
    <row r="669" spans="1:15" x14ac:dyDescent="0.45">
      <c r="A669" t="str">
        <v>CD-GDL</v>
      </c>
      <c r="B669" t="str">
        <v>LAC-1005</v>
      </c>
      <c r="C669">
        <v>2486</v>
      </c>
      <c r="D669">
        <v>405.4</v>
      </c>
      <c r="E669">
        <v>135</v>
      </c>
      <c r="F669">
        <v>1.1000000000000001</v>
      </c>
      <c r="G669">
        <v>0.2</v>
      </c>
      <c r="H669" t="str">
        <v>OK</v>
      </c>
      <c r="J669">
        <f t="shared" si="50"/>
        <v>3868.9</v>
      </c>
      <c r="K669">
        <f>SUMIF(Supply_Clean[Item_Code], B669, Supply_Clean[Available_Supply])</f>
        <v>9953</v>
      </c>
      <c r="L669">
        <f t="shared" si="51"/>
        <v>1</v>
      </c>
      <c r="M669">
        <f t="shared" si="52"/>
        <v>405.4</v>
      </c>
      <c r="N669" t="str">
        <f t="shared" si="53"/>
        <v>SUFICIENTE</v>
      </c>
      <c r="O669">
        <f t="shared" si="54"/>
        <v>0</v>
      </c>
    </row>
    <row r="670" spans="1:15" x14ac:dyDescent="0.45">
      <c r="A670" t="str">
        <v>CD-QRO</v>
      </c>
      <c r="B670" t="str">
        <v>ABA-1007</v>
      </c>
      <c r="C670">
        <v>744</v>
      </c>
      <c r="D670">
        <v>477</v>
      </c>
      <c r="E670">
        <v>70.2</v>
      </c>
      <c r="F670">
        <v>1.7</v>
      </c>
      <c r="G670">
        <v>0.4</v>
      </c>
      <c r="H670" t="str">
        <v>OK</v>
      </c>
      <c r="J670">
        <f t="shared" si="50"/>
        <v>4867.3</v>
      </c>
      <c r="K670">
        <f>SUMIF(Supply_Clean[Item_Code], B670, Supply_Clean[Available_Supply])</f>
        <v>13182</v>
      </c>
      <c r="L670">
        <f t="shared" si="51"/>
        <v>1</v>
      </c>
      <c r="M670">
        <f t="shared" si="52"/>
        <v>477</v>
      </c>
      <c r="N670" t="str">
        <f t="shared" si="53"/>
        <v>SUFICIENTE</v>
      </c>
      <c r="O670">
        <f t="shared" si="54"/>
        <v>0</v>
      </c>
    </row>
    <row r="671" spans="1:15" x14ac:dyDescent="0.45">
      <c r="A671" t="str">
        <v>CD-MOR</v>
      </c>
      <c r="B671" t="str">
        <v>PRO-1002</v>
      </c>
      <c r="C671">
        <v>2624</v>
      </c>
      <c r="D671">
        <v>378.5</v>
      </c>
      <c r="E671">
        <v>210.8</v>
      </c>
      <c r="F671">
        <v>2.4</v>
      </c>
      <c r="G671">
        <v>0.5</v>
      </c>
      <c r="H671" t="str">
        <v>OK</v>
      </c>
      <c r="J671">
        <f t="shared" si="50"/>
        <v>6123.6999999999989</v>
      </c>
      <c r="K671">
        <f>SUMIF(Supply_Clean[Item_Code], B671, Supply_Clean[Available_Supply])</f>
        <v>17616</v>
      </c>
      <c r="L671">
        <f t="shared" si="51"/>
        <v>1</v>
      </c>
      <c r="M671">
        <f t="shared" si="52"/>
        <v>378.5</v>
      </c>
      <c r="N671" t="str">
        <f t="shared" si="53"/>
        <v>SUFICIENTE</v>
      </c>
      <c r="O671">
        <f t="shared" si="54"/>
        <v>0</v>
      </c>
    </row>
    <row r="672" spans="1:15" x14ac:dyDescent="0.45">
      <c r="A672" t="str">
        <v>CD-TOL</v>
      </c>
      <c r="B672" t="str">
        <v>LAC-1014</v>
      </c>
      <c r="C672">
        <v>6379</v>
      </c>
      <c r="D672">
        <v>524.20000000000005</v>
      </c>
      <c r="E672">
        <v>196.6</v>
      </c>
      <c r="F672">
        <v>1.4</v>
      </c>
      <c r="G672">
        <v>0.5</v>
      </c>
      <c r="H672" t="str">
        <v>OK</v>
      </c>
      <c r="J672">
        <f t="shared" si="50"/>
        <v>4121.5</v>
      </c>
      <c r="K672">
        <f>SUMIF(Supply_Clean[Item_Code], B672, Supply_Clean[Available_Supply])</f>
        <v>8260</v>
      </c>
      <c r="L672">
        <f t="shared" si="51"/>
        <v>1</v>
      </c>
      <c r="M672">
        <f t="shared" si="52"/>
        <v>524.20000000000005</v>
      </c>
      <c r="N672" t="str">
        <f t="shared" si="53"/>
        <v>SUFICIENTE</v>
      </c>
      <c r="O672">
        <f t="shared" si="54"/>
        <v>0</v>
      </c>
    </row>
    <row r="673" spans="1:15" x14ac:dyDescent="0.45">
      <c r="A673" t="str">
        <v>CD-TIJ</v>
      </c>
      <c r="B673" t="str">
        <v>BOT-1021</v>
      </c>
      <c r="C673">
        <v>3196</v>
      </c>
      <c r="D673">
        <v>475.3</v>
      </c>
      <c r="E673">
        <v>114.6</v>
      </c>
      <c r="F673">
        <v>8.1999999999999993</v>
      </c>
      <c r="G673">
        <v>1.5</v>
      </c>
      <c r="H673" t="str">
        <v>OK</v>
      </c>
      <c r="J673">
        <f t="shared" si="50"/>
        <v>6783.3</v>
      </c>
      <c r="K673">
        <f>SUMIF(Supply_Clean[Item_Code], B673, Supply_Clean[Available_Supply])</f>
        <v>13475</v>
      </c>
      <c r="L673">
        <f t="shared" si="51"/>
        <v>1</v>
      </c>
      <c r="M673">
        <f t="shared" si="52"/>
        <v>475.3</v>
      </c>
      <c r="N673" t="str">
        <f t="shared" si="53"/>
        <v>SUFICIENTE</v>
      </c>
      <c r="O673">
        <f t="shared" si="54"/>
        <v>0</v>
      </c>
    </row>
    <row r="674" spans="1:15" x14ac:dyDescent="0.45">
      <c r="A674" t="str">
        <v>CD-SAL</v>
      </c>
      <c r="B674" t="str">
        <v>PRO-1011</v>
      </c>
      <c r="C674">
        <v>5646</v>
      </c>
      <c r="D674">
        <v>0</v>
      </c>
      <c r="E674">
        <v>331</v>
      </c>
      <c r="F674">
        <v>1.5</v>
      </c>
      <c r="G674">
        <v>0.5</v>
      </c>
      <c r="H674" t="str">
        <v>OK</v>
      </c>
      <c r="J674">
        <f t="shared" si="50"/>
        <v>5674.6999999999989</v>
      </c>
      <c r="K674">
        <f>SUMIF(Supply_Clean[Item_Code], B674, Supply_Clean[Available_Supply])</f>
        <v>14178</v>
      </c>
      <c r="L674">
        <f t="shared" si="51"/>
        <v>1</v>
      </c>
      <c r="M674">
        <f t="shared" si="52"/>
        <v>0</v>
      </c>
      <c r="N674" t="str">
        <f t="shared" si="53"/>
        <v>SUFICIENTE</v>
      </c>
      <c r="O674">
        <f t="shared" si="54"/>
        <v>0</v>
      </c>
    </row>
    <row r="675" spans="1:15" x14ac:dyDescent="0.45">
      <c r="A675" t="str">
        <v>CD-QRO</v>
      </c>
      <c r="B675" t="str">
        <v>ABA-1003</v>
      </c>
      <c r="C675">
        <v>2519</v>
      </c>
      <c r="D675">
        <v>277.8</v>
      </c>
      <c r="E675">
        <v>23.8</v>
      </c>
      <c r="F675">
        <v>2.2000000000000002</v>
      </c>
      <c r="G675">
        <v>0.4</v>
      </c>
      <c r="H675" t="str">
        <v>OK</v>
      </c>
      <c r="J675">
        <f t="shared" si="50"/>
        <v>4709.8000000000011</v>
      </c>
      <c r="K675">
        <f>SUMIF(Supply_Clean[Item_Code], B675, Supply_Clean[Available_Supply])</f>
        <v>11700</v>
      </c>
      <c r="L675">
        <f t="shared" si="51"/>
        <v>1</v>
      </c>
      <c r="M675">
        <f t="shared" si="52"/>
        <v>277.8</v>
      </c>
      <c r="N675" t="str">
        <f t="shared" si="53"/>
        <v>SUFICIENTE</v>
      </c>
      <c r="O675">
        <f t="shared" si="54"/>
        <v>0</v>
      </c>
    </row>
    <row r="676" spans="1:15" x14ac:dyDescent="0.45">
      <c r="A676" t="str">
        <v>CD-MTY</v>
      </c>
      <c r="B676" t="str">
        <v>LAC-1006</v>
      </c>
      <c r="C676">
        <v>2161</v>
      </c>
      <c r="D676">
        <v>287</v>
      </c>
      <c r="E676">
        <v>76.099999999999994</v>
      </c>
      <c r="F676">
        <v>0.7</v>
      </c>
      <c r="G676">
        <v>0.3</v>
      </c>
      <c r="H676" t="str">
        <v>OK</v>
      </c>
      <c r="J676">
        <f t="shared" si="50"/>
        <v>4338.7</v>
      </c>
      <c r="K676">
        <f>SUMIF(Supply_Clean[Item_Code], B676, Supply_Clean[Available_Supply])</f>
        <v>10670</v>
      </c>
      <c r="L676">
        <f t="shared" si="51"/>
        <v>1</v>
      </c>
      <c r="M676">
        <f t="shared" si="52"/>
        <v>287</v>
      </c>
      <c r="N676" t="str">
        <f t="shared" si="53"/>
        <v>SUFICIENTE</v>
      </c>
      <c r="O676">
        <f t="shared" si="54"/>
        <v>0</v>
      </c>
    </row>
    <row r="677" spans="1:15" x14ac:dyDescent="0.45">
      <c r="A677" t="str">
        <v>CD-LEO</v>
      </c>
      <c r="B677" t="str">
        <v>BEB-1001</v>
      </c>
      <c r="C677">
        <v>2697</v>
      </c>
      <c r="D677">
        <v>388.2</v>
      </c>
      <c r="E677">
        <v>72.400000000000006</v>
      </c>
      <c r="F677">
        <v>1</v>
      </c>
      <c r="G677">
        <v>0.6</v>
      </c>
      <c r="H677" t="str">
        <v>OK</v>
      </c>
      <c r="J677">
        <f t="shared" si="50"/>
        <v>6941.9</v>
      </c>
      <c r="K677">
        <f>SUMIF(Supply_Clean[Item_Code], B677, Supply_Clean[Available_Supply])</f>
        <v>11725</v>
      </c>
      <c r="L677">
        <f t="shared" si="51"/>
        <v>1</v>
      </c>
      <c r="M677">
        <f t="shared" si="52"/>
        <v>388.2</v>
      </c>
      <c r="N677" t="str">
        <f t="shared" si="53"/>
        <v>SUFICIENTE</v>
      </c>
      <c r="O677">
        <f t="shared" si="54"/>
        <v>0</v>
      </c>
    </row>
    <row r="678" spans="1:15" x14ac:dyDescent="0.45">
      <c r="A678" t="str">
        <v>CD-TOL</v>
      </c>
      <c r="B678" t="str">
        <v>LAC-1002</v>
      </c>
      <c r="C678">
        <v>2597</v>
      </c>
      <c r="D678">
        <v>213.6</v>
      </c>
      <c r="E678">
        <v>60.4</v>
      </c>
      <c r="F678">
        <v>1.8</v>
      </c>
      <c r="G678">
        <v>0.5</v>
      </c>
      <c r="H678" t="str">
        <v>OK</v>
      </c>
      <c r="J678">
        <f t="shared" si="50"/>
        <v>4442.1000000000004</v>
      </c>
      <c r="K678">
        <f>SUMIF(Supply_Clean[Item_Code], B678, Supply_Clean[Available_Supply])</f>
        <v>7796</v>
      </c>
      <c r="L678">
        <f t="shared" si="51"/>
        <v>1</v>
      </c>
      <c r="M678">
        <f t="shared" si="52"/>
        <v>213.6</v>
      </c>
      <c r="N678" t="str">
        <f t="shared" si="53"/>
        <v>SUFICIENTE</v>
      </c>
      <c r="O678">
        <f t="shared" si="54"/>
        <v>0</v>
      </c>
    </row>
    <row r="679" spans="1:15" x14ac:dyDescent="0.45">
      <c r="A679" t="str">
        <v>CD-GDL</v>
      </c>
      <c r="B679" t="str">
        <v>BEB-1020</v>
      </c>
      <c r="C679">
        <v>7289</v>
      </c>
      <c r="D679">
        <v>425.5</v>
      </c>
      <c r="E679">
        <v>70.5</v>
      </c>
      <c r="F679">
        <v>1</v>
      </c>
      <c r="G679">
        <v>0.2</v>
      </c>
      <c r="H679" t="str">
        <v>OK</v>
      </c>
      <c r="J679">
        <f t="shared" si="50"/>
        <v>6114.4000000000005</v>
      </c>
      <c r="K679">
        <f>SUMIF(Supply_Clean[Item_Code], B679, Supply_Clean[Available_Supply])</f>
        <v>16621</v>
      </c>
      <c r="L679">
        <f t="shared" si="51"/>
        <v>1</v>
      </c>
      <c r="M679">
        <f t="shared" si="52"/>
        <v>425.5</v>
      </c>
      <c r="N679" t="str">
        <f t="shared" si="53"/>
        <v>SUFICIENTE</v>
      </c>
      <c r="O679">
        <f t="shared" si="54"/>
        <v>0</v>
      </c>
    </row>
    <row r="680" spans="1:15" x14ac:dyDescent="0.45">
      <c r="A680" t="str">
        <v>CD-LEO</v>
      </c>
      <c r="B680" t="str">
        <v>BOT-1016</v>
      </c>
      <c r="C680">
        <v>3073</v>
      </c>
      <c r="D680">
        <v>607.6</v>
      </c>
      <c r="E680">
        <v>169.1</v>
      </c>
      <c r="F680">
        <v>1.2</v>
      </c>
      <c r="G680">
        <v>0.6</v>
      </c>
      <c r="H680" t="str">
        <v>OK</v>
      </c>
      <c r="J680">
        <f t="shared" si="50"/>
        <v>9923.6999999999989</v>
      </c>
      <c r="K680">
        <f>SUMIF(Supply_Clean[Item_Code], B680, Supply_Clean[Available_Supply])</f>
        <v>18995</v>
      </c>
      <c r="L680">
        <f t="shared" si="51"/>
        <v>1</v>
      </c>
      <c r="M680">
        <f t="shared" si="52"/>
        <v>607.6</v>
      </c>
      <c r="N680" t="str">
        <f t="shared" si="53"/>
        <v>SUFICIENTE</v>
      </c>
      <c r="O680">
        <f t="shared" si="54"/>
        <v>0</v>
      </c>
    </row>
    <row r="681" spans="1:15" x14ac:dyDescent="0.45">
      <c r="A681" t="str">
        <v>CD-TOL</v>
      </c>
      <c r="B681" t="str">
        <v>BEB-1003</v>
      </c>
      <c r="C681">
        <v>9248</v>
      </c>
      <c r="D681">
        <v>515.20000000000005</v>
      </c>
      <c r="E681">
        <v>99.5</v>
      </c>
      <c r="F681">
        <v>2.5</v>
      </c>
      <c r="G681">
        <v>0.5</v>
      </c>
      <c r="H681" t="str">
        <v>OK</v>
      </c>
      <c r="J681">
        <f t="shared" si="50"/>
        <v>5232</v>
      </c>
      <c r="K681">
        <f>SUMIF(Supply_Clean[Item_Code], B681, Supply_Clean[Available_Supply])</f>
        <v>16426</v>
      </c>
      <c r="L681">
        <f t="shared" si="51"/>
        <v>1</v>
      </c>
      <c r="M681">
        <f t="shared" si="52"/>
        <v>515.20000000000005</v>
      </c>
      <c r="N681" t="str">
        <f t="shared" si="53"/>
        <v>SUFICIENTE</v>
      </c>
      <c r="O681">
        <f t="shared" si="54"/>
        <v>0</v>
      </c>
    </row>
    <row r="682" spans="1:15" x14ac:dyDescent="0.45">
      <c r="A682" t="str">
        <v>CD-MTY</v>
      </c>
      <c r="B682" t="str">
        <v>LAC-1001</v>
      </c>
      <c r="C682">
        <v>1626</v>
      </c>
      <c r="D682">
        <v>136.4</v>
      </c>
      <c r="E682">
        <v>54.7</v>
      </c>
      <c r="F682">
        <v>1</v>
      </c>
      <c r="G682">
        <v>0.3</v>
      </c>
      <c r="H682" t="str">
        <v>OK</v>
      </c>
      <c r="J682">
        <f t="shared" si="50"/>
        <v>3660.9999999999991</v>
      </c>
      <c r="K682">
        <f>SUMIF(Supply_Clean[Item_Code], B682, Supply_Clean[Available_Supply])</f>
        <v>9945</v>
      </c>
      <c r="L682">
        <f t="shared" si="51"/>
        <v>1</v>
      </c>
      <c r="M682">
        <f t="shared" si="52"/>
        <v>136.4</v>
      </c>
      <c r="N682" t="str">
        <f t="shared" si="53"/>
        <v>SUFICIENTE</v>
      </c>
      <c r="O682">
        <f t="shared" si="54"/>
        <v>0</v>
      </c>
    </row>
    <row r="683" spans="1:15" x14ac:dyDescent="0.45">
      <c r="A683" t="str">
        <v>CD-TOL</v>
      </c>
      <c r="B683" t="str">
        <v>BOT-1013</v>
      </c>
      <c r="C683">
        <v>0</v>
      </c>
      <c r="D683">
        <v>1024.2</v>
      </c>
      <c r="E683">
        <v>267.7</v>
      </c>
      <c r="F683">
        <v>1.8</v>
      </c>
      <c r="G683">
        <v>0.5</v>
      </c>
      <c r="H683">
        <v>0</v>
      </c>
      <c r="J683">
        <f t="shared" si="50"/>
        <v>8336.1999999999989</v>
      </c>
      <c r="K683">
        <f>SUMIF(Supply_Clean[Item_Code], B683, Supply_Clean[Available_Supply])</f>
        <v>20545</v>
      </c>
      <c r="L683">
        <f t="shared" si="51"/>
        <v>1</v>
      </c>
      <c r="M683">
        <f t="shared" si="52"/>
        <v>1024.2</v>
      </c>
      <c r="N683" t="str">
        <f t="shared" si="53"/>
        <v>SUFICIENTE</v>
      </c>
      <c r="O683">
        <f t="shared" si="54"/>
        <v>0</v>
      </c>
    </row>
    <row r="684" spans="1:15" x14ac:dyDescent="0.45">
      <c r="A684" t="str">
        <v>CD-MTY</v>
      </c>
      <c r="B684" t="str">
        <v>BOT-1004</v>
      </c>
      <c r="C684">
        <v>1613</v>
      </c>
      <c r="D684">
        <v>483.8</v>
      </c>
      <c r="E684">
        <v>131.6</v>
      </c>
      <c r="F684">
        <v>0.8</v>
      </c>
      <c r="G684">
        <v>0.3</v>
      </c>
      <c r="H684" t="str">
        <v>OK</v>
      </c>
      <c r="J684">
        <f t="shared" si="50"/>
        <v>9421.7999999999993</v>
      </c>
      <c r="K684">
        <f>SUMIF(Supply_Clean[Item_Code], B684, Supply_Clean[Available_Supply])</f>
        <v>15860</v>
      </c>
      <c r="L684">
        <f t="shared" si="51"/>
        <v>1</v>
      </c>
      <c r="M684">
        <f t="shared" si="52"/>
        <v>483.8</v>
      </c>
      <c r="N684" t="str">
        <f t="shared" si="53"/>
        <v>SUFICIENTE</v>
      </c>
      <c r="O684">
        <f t="shared" si="54"/>
        <v>0</v>
      </c>
    </row>
    <row r="685" spans="1:15" x14ac:dyDescent="0.45">
      <c r="A685" t="str">
        <v>CD-LEO</v>
      </c>
      <c r="B685" t="str">
        <v>LAC-1017</v>
      </c>
      <c r="C685">
        <v>0</v>
      </c>
      <c r="D685">
        <v>236.3</v>
      </c>
      <c r="E685">
        <v>84.3</v>
      </c>
      <c r="F685">
        <v>1.7</v>
      </c>
      <c r="G685">
        <v>0.6</v>
      </c>
      <c r="H685">
        <v>0</v>
      </c>
      <c r="J685">
        <f t="shared" si="50"/>
        <v>4246.3999999999996</v>
      </c>
      <c r="K685">
        <f>SUMIF(Supply_Clean[Item_Code], B685, Supply_Clean[Available_Supply])</f>
        <v>12824</v>
      </c>
      <c r="L685">
        <f t="shared" si="51"/>
        <v>1</v>
      </c>
      <c r="M685">
        <f t="shared" si="52"/>
        <v>236.3</v>
      </c>
      <c r="N685" t="str">
        <f t="shared" si="53"/>
        <v>SUFICIENTE</v>
      </c>
      <c r="O685">
        <f t="shared" si="54"/>
        <v>0</v>
      </c>
    </row>
    <row r="686" spans="1:15" x14ac:dyDescent="0.45">
      <c r="A686" t="str">
        <v>CD-MER</v>
      </c>
      <c r="B686" t="str">
        <v>ABA-1008</v>
      </c>
      <c r="C686">
        <v>5824</v>
      </c>
      <c r="D686">
        <v>357</v>
      </c>
      <c r="E686">
        <v>41.6</v>
      </c>
      <c r="F686">
        <v>4.5999999999999996</v>
      </c>
      <c r="G686">
        <v>1.3</v>
      </c>
      <c r="H686" t="str">
        <v>OK</v>
      </c>
      <c r="J686">
        <f t="shared" si="50"/>
        <v>4717.2000000000007</v>
      </c>
      <c r="K686">
        <f>SUMIF(Supply_Clean[Item_Code], B686, Supply_Clean[Available_Supply])</f>
        <v>9747</v>
      </c>
      <c r="L686">
        <f t="shared" si="51"/>
        <v>1</v>
      </c>
      <c r="M686">
        <f t="shared" si="52"/>
        <v>357</v>
      </c>
      <c r="N686" t="str">
        <f t="shared" si="53"/>
        <v>SUFICIENTE</v>
      </c>
      <c r="O686">
        <f t="shared" si="54"/>
        <v>0</v>
      </c>
    </row>
    <row r="687" spans="1:15" x14ac:dyDescent="0.45">
      <c r="A687" t="str">
        <v>CD-CHI</v>
      </c>
      <c r="B687" t="str">
        <v>LAC-1015</v>
      </c>
      <c r="C687">
        <v>901</v>
      </c>
      <c r="D687">
        <v>244.4</v>
      </c>
      <c r="E687">
        <v>82.6</v>
      </c>
      <c r="F687">
        <v>3.1</v>
      </c>
      <c r="G687">
        <v>1</v>
      </c>
      <c r="H687" t="str">
        <v>OK</v>
      </c>
      <c r="J687">
        <f t="shared" si="50"/>
        <v>3982.7000000000007</v>
      </c>
      <c r="K687">
        <f>SUMIF(Supply_Clean[Item_Code], B687, Supply_Clean[Available_Supply])</f>
        <v>8604</v>
      </c>
      <c r="L687">
        <f t="shared" si="51"/>
        <v>1</v>
      </c>
      <c r="M687">
        <f t="shared" si="52"/>
        <v>244.4</v>
      </c>
      <c r="N687" t="str">
        <f t="shared" si="53"/>
        <v>SUFICIENTE</v>
      </c>
      <c r="O687">
        <f t="shared" si="54"/>
        <v>0</v>
      </c>
    </row>
    <row r="688" spans="1:15" x14ac:dyDescent="0.45">
      <c r="A688" t="str">
        <v>CD-MOR</v>
      </c>
      <c r="B688" t="str">
        <v>ABA-1010</v>
      </c>
      <c r="C688">
        <v>2033</v>
      </c>
      <c r="D688">
        <v>173.6</v>
      </c>
      <c r="E688">
        <v>22</v>
      </c>
      <c r="F688">
        <v>1.9</v>
      </c>
      <c r="G688">
        <v>0.5</v>
      </c>
      <c r="H688" t="str">
        <v>OK</v>
      </c>
      <c r="J688">
        <f t="shared" si="50"/>
        <v>4871.7</v>
      </c>
      <c r="K688">
        <f>SUMIF(Supply_Clean[Item_Code], B688, Supply_Clean[Available_Supply])</f>
        <v>9875</v>
      </c>
      <c r="L688">
        <f t="shared" si="51"/>
        <v>1</v>
      </c>
      <c r="M688">
        <f t="shared" si="52"/>
        <v>173.6</v>
      </c>
      <c r="N688" t="str">
        <f t="shared" si="53"/>
        <v>SUFICIENTE</v>
      </c>
      <c r="O688">
        <f t="shared" si="54"/>
        <v>0</v>
      </c>
    </row>
    <row r="689" spans="1:15" x14ac:dyDescent="0.45">
      <c r="A689" t="str">
        <v>CD-MTY</v>
      </c>
      <c r="B689" t="str">
        <v>BOT-1009</v>
      </c>
      <c r="C689">
        <v>6404</v>
      </c>
      <c r="D689">
        <v>393.9</v>
      </c>
      <c r="E689">
        <v>61.6</v>
      </c>
      <c r="F689">
        <v>1.1000000000000001</v>
      </c>
      <c r="G689">
        <v>0.3</v>
      </c>
      <c r="H689" t="str">
        <v>OK</v>
      </c>
      <c r="J689">
        <f t="shared" si="50"/>
        <v>8135.5</v>
      </c>
      <c r="K689">
        <f>SUMIF(Supply_Clean[Item_Code], B689, Supply_Clean[Available_Supply])</f>
        <v>17475</v>
      </c>
      <c r="L689">
        <f t="shared" si="51"/>
        <v>1</v>
      </c>
      <c r="M689">
        <f t="shared" si="52"/>
        <v>393.9</v>
      </c>
      <c r="N689" t="str">
        <f t="shared" si="53"/>
        <v>SUFICIENTE</v>
      </c>
      <c r="O689">
        <f t="shared" si="54"/>
        <v>0</v>
      </c>
    </row>
    <row r="690" spans="1:15" x14ac:dyDescent="0.45">
      <c r="A690" t="str">
        <v>CD-MER</v>
      </c>
      <c r="B690" t="str">
        <v>PRO-1006</v>
      </c>
      <c r="C690">
        <v>3242</v>
      </c>
      <c r="D690">
        <v>464</v>
      </c>
      <c r="E690">
        <v>198.6</v>
      </c>
      <c r="F690">
        <v>5</v>
      </c>
      <c r="G690">
        <v>1.3</v>
      </c>
      <c r="H690" t="str">
        <v>OK</v>
      </c>
      <c r="J690">
        <f t="shared" si="50"/>
        <v>5801.8</v>
      </c>
      <c r="K690">
        <f>SUMIF(Supply_Clean[Item_Code], B690, Supply_Clean[Available_Supply])</f>
        <v>9270</v>
      </c>
      <c r="L690">
        <f t="shared" si="51"/>
        <v>1</v>
      </c>
      <c r="M690">
        <f t="shared" si="52"/>
        <v>464</v>
      </c>
      <c r="N690" t="str">
        <f t="shared" si="53"/>
        <v>SUFICIENTE</v>
      </c>
      <c r="O690">
        <f t="shared" si="54"/>
        <v>0</v>
      </c>
    </row>
    <row r="691" spans="1:15" x14ac:dyDescent="0.45">
      <c r="A691" t="str">
        <v>CD-CAN</v>
      </c>
      <c r="B691" t="str">
        <v>BEB-1013</v>
      </c>
      <c r="C691">
        <v>1381</v>
      </c>
      <c r="D691">
        <v>591.6</v>
      </c>
      <c r="E691">
        <v>74.400000000000006</v>
      </c>
      <c r="F691">
        <v>4.4000000000000004</v>
      </c>
      <c r="G691">
        <v>1.6</v>
      </c>
      <c r="H691" t="str">
        <v>OK</v>
      </c>
      <c r="J691">
        <f t="shared" si="50"/>
        <v>6158.7000000000007</v>
      </c>
      <c r="K691">
        <f>SUMIF(Supply_Clean[Item_Code], B691, Supply_Clean[Available_Supply])</f>
        <v>3246</v>
      </c>
      <c r="L691">
        <f t="shared" si="51"/>
        <v>0.52705928199132923</v>
      </c>
      <c r="M691">
        <f t="shared" si="52"/>
        <v>311.80827122607036</v>
      </c>
      <c r="N691" t="str">
        <f t="shared" si="53"/>
        <v>ESCASEZ</v>
      </c>
      <c r="O691">
        <f t="shared" si="54"/>
        <v>279.79172877392966</v>
      </c>
    </row>
    <row r="692" spans="1:15" x14ac:dyDescent="0.45">
      <c r="A692" t="str">
        <v>CD-HER</v>
      </c>
      <c r="B692" t="str">
        <v>BOT-1016</v>
      </c>
      <c r="C692">
        <v>6120</v>
      </c>
      <c r="D692">
        <v>865.9</v>
      </c>
      <c r="E692">
        <v>150.4</v>
      </c>
      <c r="F692">
        <v>5.2</v>
      </c>
      <c r="G692">
        <v>1.2</v>
      </c>
      <c r="H692" t="str">
        <v>OK</v>
      </c>
      <c r="J692">
        <f t="shared" si="50"/>
        <v>9923.6999999999989</v>
      </c>
      <c r="K692">
        <f>SUMIF(Supply_Clean[Item_Code], B692, Supply_Clean[Available_Supply])</f>
        <v>18995</v>
      </c>
      <c r="L692">
        <f t="shared" si="51"/>
        <v>1</v>
      </c>
      <c r="M692">
        <f t="shared" si="52"/>
        <v>865.9</v>
      </c>
      <c r="N692" t="str">
        <f t="shared" si="53"/>
        <v>SUFICIENTE</v>
      </c>
      <c r="O692">
        <f t="shared" si="54"/>
        <v>0</v>
      </c>
    </row>
    <row r="693" spans="1:15" x14ac:dyDescent="0.45">
      <c r="A693" t="str">
        <v>CD-TIJ</v>
      </c>
      <c r="B693" t="str">
        <v>LAC-1002</v>
      </c>
      <c r="C693">
        <v>2046</v>
      </c>
      <c r="D693">
        <v>177.6</v>
      </c>
      <c r="E693">
        <v>61.9</v>
      </c>
      <c r="F693">
        <v>6.2</v>
      </c>
      <c r="G693">
        <v>1.5</v>
      </c>
      <c r="H693" t="str">
        <v>OK</v>
      </c>
      <c r="J693">
        <f t="shared" si="50"/>
        <v>4442.1000000000004</v>
      </c>
      <c r="K693">
        <f>SUMIF(Supply_Clean[Item_Code], B693, Supply_Clean[Available_Supply])</f>
        <v>7796</v>
      </c>
      <c r="L693">
        <f t="shared" si="51"/>
        <v>1</v>
      </c>
      <c r="M693">
        <f t="shared" si="52"/>
        <v>177.6</v>
      </c>
      <c r="N693" t="str">
        <f t="shared" si="53"/>
        <v>SUFICIENTE</v>
      </c>
      <c r="O693">
        <f t="shared" si="54"/>
        <v>0</v>
      </c>
    </row>
    <row r="694" spans="1:15" x14ac:dyDescent="0.45">
      <c r="A694" t="str">
        <v>CD-VER</v>
      </c>
      <c r="B694" t="str">
        <v>PRO-1004</v>
      </c>
      <c r="C694">
        <v>1430</v>
      </c>
      <c r="D694">
        <v>151</v>
      </c>
      <c r="E694">
        <v>67</v>
      </c>
      <c r="F694">
        <v>3.1</v>
      </c>
      <c r="G694">
        <v>0.9</v>
      </c>
      <c r="H694" t="str">
        <v>OK</v>
      </c>
      <c r="J694">
        <f t="shared" si="50"/>
        <v>5295.1999999999989</v>
      </c>
      <c r="K694">
        <f>SUMIF(Supply_Clean[Item_Code], B694, Supply_Clean[Available_Supply])</f>
        <v>13057</v>
      </c>
      <c r="L694">
        <f t="shared" si="51"/>
        <v>1</v>
      </c>
      <c r="M694">
        <f t="shared" si="52"/>
        <v>151</v>
      </c>
      <c r="N694" t="str">
        <f t="shared" si="53"/>
        <v>SUFICIENTE</v>
      </c>
      <c r="O694">
        <f t="shared" si="54"/>
        <v>0</v>
      </c>
    </row>
    <row r="695" spans="1:15" x14ac:dyDescent="0.45">
      <c r="A695" t="str">
        <v>CD-SAL</v>
      </c>
      <c r="B695" t="str">
        <v>BOT-1013</v>
      </c>
      <c r="C695">
        <v>5260</v>
      </c>
      <c r="D695">
        <v>386.9</v>
      </c>
      <c r="E695">
        <v>77.8</v>
      </c>
      <c r="F695">
        <v>2.2999999999999998</v>
      </c>
      <c r="G695">
        <v>0.5</v>
      </c>
      <c r="H695" t="str">
        <v>OK</v>
      </c>
      <c r="J695">
        <f t="shared" si="50"/>
        <v>8336.1999999999989</v>
      </c>
      <c r="K695">
        <f>SUMIF(Supply_Clean[Item_Code], B695, Supply_Clean[Available_Supply])</f>
        <v>20545</v>
      </c>
      <c r="L695">
        <f t="shared" si="51"/>
        <v>1</v>
      </c>
      <c r="M695">
        <f t="shared" si="52"/>
        <v>386.9</v>
      </c>
      <c r="N695" t="str">
        <f t="shared" si="53"/>
        <v>SUFICIENTE</v>
      </c>
      <c r="O695">
        <f t="shared" si="54"/>
        <v>0</v>
      </c>
    </row>
    <row r="696" spans="1:15" x14ac:dyDescent="0.45">
      <c r="A696" t="str">
        <v>CD-VER</v>
      </c>
      <c r="B696" t="str">
        <v>PRO-1007</v>
      </c>
      <c r="C696">
        <v>9488</v>
      </c>
      <c r="D696">
        <v>709.9</v>
      </c>
      <c r="E696">
        <v>461.8</v>
      </c>
      <c r="F696">
        <v>2.4</v>
      </c>
      <c r="G696">
        <v>0.9</v>
      </c>
      <c r="H696" t="str">
        <v>OK</v>
      </c>
      <c r="J696">
        <f t="shared" si="50"/>
        <v>5354.8</v>
      </c>
      <c r="K696">
        <f>SUMIF(Supply_Clean[Item_Code], B696, Supply_Clean[Available_Supply])</f>
        <v>10360</v>
      </c>
      <c r="L696">
        <f t="shared" si="51"/>
        <v>1</v>
      </c>
      <c r="M696">
        <f t="shared" si="52"/>
        <v>709.9</v>
      </c>
      <c r="N696" t="str">
        <f t="shared" si="53"/>
        <v>SUFICIENTE</v>
      </c>
      <c r="O696">
        <f t="shared" si="54"/>
        <v>0</v>
      </c>
    </row>
    <row r="697" spans="1:15" x14ac:dyDescent="0.45">
      <c r="A697" t="str">
        <v>CD-QRO</v>
      </c>
      <c r="B697" t="str">
        <v>BEB-1009</v>
      </c>
      <c r="C697">
        <v>7350</v>
      </c>
      <c r="D697">
        <v>416.1</v>
      </c>
      <c r="E697">
        <v>46.9</v>
      </c>
      <c r="F697">
        <v>1.7</v>
      </c>
      <c r="G697">
        <v>0.4</v>
      </c>
      <c r="H697" t="str">
        <v>OK</v>
      </c>
      <c r="J697">
        <f t="shared" si="50"/>
        <v>6226.9000000000005</v>
      </c>
      <c r="K697">
        <f>SUMIF(Supply_Clean[Item_Code], B697, Supply_Clean[Available_Supply])</f>
        <v>10475</v>
      </c>
      <c r="L697">
        <f t="shared" si="51"/>
        <v>1</v>
      </c>
      <c r="M697">
        <f t="shared" si="52"/>
        <v>416.1</v>
      </c>
      <c r="N697" t="str">
        <f t="shared" si="53"/>
        <v>SUFICIENTE</v>
      </c>
      <c r="O697">
        <f t="shared" si="54"/>
        <v>0</v>
      </c>
    </row>
    <row r="698" spans="1:15" x14ac:dyDescent="0.45">
      <c r="A698" t="str">
        <v>CD-CDMX</v>
      </c>
      <c r="B698" t="str">
        <v>PRO-1014</v>
      </c>
      <c r="C698">
        <v>4397</v>
      </c>
      <c r="D698">
        <v>521.6</v>
      </c>
      <c r="E698">
        <v>339.8</v>
      </c>
      <c r="F698">
        <v>0.8</v>
      </c>
      <c r="G698">
        <v>0.2</v>
      </c>
      <c r="H698" t="str">
        <v>OK</v>
      </c>
      <c r="J698">
        <f t="shared" si="50"/>
        <v>5634.0999999999995</v>
      </c>
      <c r="K698">
        <f>SUMIF(Supply_Clean[Item_Code], B698, Supply_Clean[Available_Supply])</f>
        <v>16301</v>
      </c>
      <c r="L698">
        <f t="shared" si="51"/>
        <v>1</v>
      </c>
      <c r="M698">
        <f t="shared" si="52"/>
        <v>521.6</v>
      </c>
      <c r="N698" t="str">
        <f t="shared" si="53"/>
        <v>SUFICIENTE</v>
      </c>
      <c r="O698">
        <f t="shared" si="54"/>
        <v>0</v>
      </c>
    </row>
    <row r="699" spans="1:15" x14ac:dyDescent="0.45">
      <c r="A699" t="str">
        <v>CD-LEO</v>
      </c>
      <c r="B699" t="str">
        <v>ABA-1007</v>
      </c>
      <c r="C699">
        <v>2544</v>
      </c>
      <c r="D699">
        <v>243.8</v>
      </c>
      <c r="E699">
        <v>34.5</v>
      </c>
      <c r="F699">
        <v>1.6</v>
      </c>
      <c r="G699">
        <v>0.6</v>
      </c>
      <c r="H699" t="str">
        <v>OK</v>
      </c>
      <c r="J699">
        <f t="shared" si="50"/>
        <v>4867.3</v>
      </c>
      <c r="K699">
        <f>SUMIF(Supply_Clean[Item_Code], B699, Supply_Clean[Available_Supply])</f>
        <v>13182</v>
      </c>
      <c r="L699">
        <f t="shared" si="51"/>
        <v>1</v>
      </c>
      <c r="M699">
        <f t="shared" si="52"/>
        <v>243.8</v>
      </c>
      <c r="N699" t="str">
        <f t="shared" si="53"/>
        <v>SUFICIENTE</v>
      </c>
      <c r="O699">
        <f t="shared" si="54"/>
        <v>0</v>
      </c>
    </row>
    <row r="700" spans="1:15" x14ac:dyDescent="0.45">
      <c r="A700" t="str">
        <v>CD-CAN</v>
      </c>
      <c r="B700" t="str">
        <v>ABA-1010</v>
      </c>
      <c r="C700">
        <v>2224</v>
      </c>
      <c r="D700">
        <v>189.5</v>
      </c>
      <c r="E700">
        <v>16.8</v>
      </c>
      <c r="F700">
        <v>6.2</v>
      </c>
      <c r="G700">
        <v>1.6</v>
      </c>
      <c r="H700" t="str">
        <v>OK</v>
      </c>
      <c r="J700">
        <f t="shared" si="50"/>
        <v>4871.7</v>
      </c>
      <c r="K700">
        <f>SUMIF(Supply_Clean[Item_Code], B700, Supply_Clean[Available_Supply])</f>
        <v>9875</v>
      </c>
      <c r="L700">
        <f t="shared" si="51"/>
        <v>1</v>
      </c>
      <c r="M700">
        <f t="shared" si="52"/>
        <v>189.5</v>
      </c>
      <c r="N700" t="str">
        <f t="shared" si="53"/>
        <v>SUFICIENTE</v>
      </c>
      <c r="O700">
        <f t="shared" si="54"/>
        <v>0</v>
      </c>
    </row>
    <row r="701" spans="1:15" x14ac:dyDescent="0.45">
      <c r="A701" t="str">
        <v>CD-GDL</v>
      </c>
      <c r="B701" t="str">
        <v>LAC-1013</v>
      </c>
      <c r="C701">
        <v>1156</v>
      </c>
      <c r="D701">
        <v>345.5</v>
      </c>
      <c r="E701">
        <v>122.1</v>
      </c>
      <c r="F701">
        <v>0.8</v>
      </c>
      <c r="G701">
        <v>0.2</v>
      </c>
      <c r="H701" t="str">
        <v>OK</v>
      </c>
      <c r="J701">
        <f t="shared" si="50"/>
        <v>3650.7</v>
      </c>
      <c r="K701">
        <f>SUMIF(Supply_Clean[Item_Code], B701, Supply_Clean[Available_Supply])</f>
        <v>12026</v>
      </c>
      <c r="L701">
        <f t="shared" si="51"/>
        <v>1</v>
      </c>
      <c r="M701">
        <f t="shared" si="52"/>
        <v>345.5</v>
      </c>
      <c r="N701" t="str">
        <f t="shared" si="53"/>
        <v>SUFICIENTE</v>
      </c>
      <c r="O701">
        <f t="shared" si="54"/>
        <v>0</v>
      </c>
    </row>
    <row r="702" spans="1:15" x14ac:dyDescent="0.45">
      <c r="A702" t="str">
        <v>CD-LEO</v>
      </c>
      <c r="B702" t="str">
        <v>LAC-1002</v>
      </c>
      <c r="C702">
        <v>1032</v>
      </c>
      <c r="D702">
        <v>295.2</v>
      </c>
      <c r="E702">
        <v>115</v>
      </c>
      <c r="F702">
        <v>1.2</v>
      </c>
      <c r="G702">
        <v>0.6</v>
      </c>
      <c r="H702" t="str">
        <v>OK</v>
      </c>
      <c r="J702">
        <f t="shared" si="50"/>
        <v>4442.1000000000004</v>
      </c>
      <c r="K702">
        <f>SUMIF(Supply_Clean[Item_Code], B702, Supply_Clean[Available_Supply])</f>
        <v>7796</v>
      </c>
      <c r="L702">
        <f t="shared" si="51"/>
        <v>1</v>
      </c>
      <c r="M702">
        <f t="shared" si="52"/>
        <v>295.2</v>
      </c>
      <c r="N702" t="str">
        <f t="shared" si="53"/>
        <v>SUFICIENTE</v>
      </c>
      <c r="O702">
        <f t="shared" si="54"/>
        <v>0</v>
      </c>
    </row>
    <row r="703" spans="1:15" x14ac:dyDescent="0.45">
      <c r="A703" t="str">
        <v>CD-CAN</v>
      </c>
      <c r="B703" t="str">
        <v>BEB-1007</v>
      </c>
      <c r="C703">
        <v>646</v>
      </c>
      <c r="D703">
        <v>268</v>
      </c>
      <c r="E703">
        <v>35.799999999999997</v>
      </c>
      <c r="F703">
        <v>7.9</v>
      </c>
      <c r="G703">
        <v>1.6</v>
      </c>
      <c r="H703" t="str">
        <v>OK</v>
      </c>
      <c r="J703">
        <f t="shared" si="50"/>
        <v>5039.5</v>
      </c>
      <c r="K703">
        <f>SUMIF(Supply_Clean[Item_Code], B703, Supply_Clean[Available_Supply])</f>
        <v>12912</v>
      </c>
      <c r="L703">
        <f t="shared" si="51"/>
        <v>1</v>
      </c>
      <c r="M703">
        <f t="shared" si="52"/>
        <v>268</v>
      </c>
      <c r="N703" t="str">
        <f t="shared" si="53"/>
        <v>SUFICIENTE</v>
      </c>
      <c r="O703">
        <f t="shared" si="54"/>
        <v>0</v>
      </c>
    </row>
    <row r="704" spans="1:15" x14ac:dyDescent="0.45">
      <c r="A704" t="str">
        <v>CD-TOL</v>
      </c>
      <c r="B704" t="str">
        <v>BOT-1017</v>
      </c>
      <c r="C704">
        <v>4947</v>
      </c>
      <c r="D704">
        <v>487.8</v>
      </c>
      <c r="E704">
        <v>122.6</v>
      </c>
      <c r="F704">
        <v>1.8</v>
      </c>
      <c r="G704">
        <v>0.5</v>
      </c>
      <c r="H704" t="str">
        <v>OK</v>
      </c>
      <c r="J704">
        <f t="shared" si="50"/>
        <v>10291.300000000001</v>
      </c>
      <c r="K704">
        <f>SUMIF(Supply_Clean[Item_Code], B704, Supply_Clean[Available_Supply])</f>
        <v>5486</v>
      </c>
      <c r="L704">
        <f t="shared" si="51"/>
        <v>0.53307162360440363</v>
      </c>
      <c r="M704">
        <f t="shared" si="52"/>
        <v>260.0323379942281</v>
      </c>
      <c r="N704" t="str">
        <f t="shared" si="53"/>
        <v>ESCASEZ</v>
      </c>
      <c r="O704">
        <f t="shared" si="54"/>
        <v>227.76766200577191</v>
      </c>
    </row>
    <row r="705" spans="1:15" x14ac:dyDescent="0.45">
      <c r="A705" t="str">
        <v>CD-VER</v>
      </c>
      <c r="B705" t="str">
        <v>ABA-1017</v>
      </c>
      <c r="C705">
        <v>2495</v>
      </c>
      <c r="D705">
        <v>252.8</v>
      </c>
      <c r="E705">
        <v>24.3</v>
      </c>
      <c r="F705">
        <v>3.9</v>
      </c>
      <c r="G705">
        <v>0.9</v>
      </c>
      <c r="H705" t="str">
        <v>OK</v>
      </c>
      <c r="J705">
        <f t="shared" si="50"/>
        <v>4720.2</v>
      </c>
      <c r="K705">
        <f>SUMIF(Supply_Clean[Item_Code], B705, Supply_Clean[Available_Supply])</f>
        <v>13946</v>
      </c>
      <c r="L705">
        <f t="shared" si="51"/>
        <v>1</v>
      </c>
      <c r="M705">
        <f t="shared" si="52"/>
        <v>252.8</v>
      </c>
      <c r="N705" t="str">
        <f t="shared" si="53"/>
        <v>SUFICIENTE</v>
      </c>
      <c r="O705">
        <f t="shared" si="54"/>
        <v>0</v>
      </c>
    </row>
    <row r="706" spans="1:15" x14ac:dyDescent="0.45">
      <c r="A706" t="str">
        <v>CD-GDL</v>
      </c>
      <c r="B706" t="str">
        <v>LAC-1008</v>
      </c>
      <c r="C706">
        <v>4548</v>
      </c>
      <c r="D706">
        <v>399.7</v>
      </c>
      <c r="E706">
        <v>163.9</v>
      </c>
      <c r="F706">
        <v>1.3</v>
      </c>
      <c r="G706">
        <v>0.2</v>
      </c>
      <c r="H706" t="str">
        <v>OK</v>
      </c>
      <c r="J706">
        <f t="shared" si="50"/>
        <v>4499.0999999999995</v>
      </c>
      <c r="K706">
        <f>SUMIF(Supply_Clean[Item_Code], B706, Supply_Clean[Available_Supply])</f>
        <v>9543</v>
      </c>
      <c r="L706">
        <f t="shared" si="51"/>
        <v>1</v>
      </c>
      <c r="M706">
        <f t="shared" si="52"/>
        <v>399.7</v>
      </c>
      <c r="N706" t="str">
        <f t="shared" si="53"/>
        <v>SUFICIENTE</v>
      </c>
      <c r="O706">
        <f t="shared" si="54"/>
        <v>0</v>
      </c>
    </row>
    <row r="707" spans="1:15" x14ac:dyDescent="0.45">
      <c r="A707" t="str">
        <v>CD-MTY</v>
      </c>
      <c r="B707" t="str">
        <v>BEB-1006</v>
      </c>
      <c r="C707">
        <v>564</v>
      </c>
      <c r="D707">
        <v>158.4</v>
      </c>
      <c r="E707">
        <v>16.600000000000001</v>
      </c>
      <c r="F707">
        <v>0.9</v>
      </c>
      <c r="G707">
        <v>0.3</v>
      </c>
      <c r="H707" t="str">
        <v>OK</v>
      </c>
      <c r="J707">
        <f t="shared" ref="J707:J770" si="55">SUMIF($B$2:$B$1501, B707, $D$2:$D$1501)</f>
        <v>5154.2000000000016</v>
      </c>
      <c r="K707">
        <f>SUMIF(Supply_Clean[Item_Code], B707, Supply_Clean[Available_Supply])</f>
        <v>12324</v>
      </c>
      <c r="L707">
        <f t="shared" ref="L707:L770" si="56">IFERROR(MIN(1, K707/J707), "")</f>
        <v>1</v>
      </c>
      <c r="M707">
        <f t="shared" ref="M707:M770" si="57">IFERROR(D707*L707, "")</f>
        <v>158.4</v>
      </c>
      <c r="N707" t="str">
        <f t="shared" ref="N707:N770" si="58">IF(L707&lt;1, "ESCASEZ", "SUFICIENTE")</f>
        <v>SUFICIENTE</v>
      </c>
      <c r="O707">
        <f t="shared" ref="O707:O770" si="59">IF(N707="ESCASEZ", D707-M707, 0)</f>
        <v>0</v>
      </c>
    </row>
    <row r="708" spans="1:15" x14ac:dyDescent="0.45">
      <c r="A708" t="str">
        <v>CD-MTY</v>
      </c>
      <c r="B708" t="str">
        <v>ABA-1013</v>
      </c>
      <c r="C708">
        <v>118</v>
      </c>
      <c r="D708">
        <v>230.4</v>
      </c>
      <c r="E708">
        <v>27.7</v>
      </c>
      <c r="F708">
        <v>1</v>
      </c>
      <c r="G708">
        <v>0.3</v>
      </c>
      <c r="H708" t="str">
        <v>OK</v>
      </c>
      <c r="J708">
        <f t="shared" si="55"/>
        <v>4213.8999999999996</v>
      </c>
      <c r="K708">
        <f>SUMIF(Supply_Clean[Item_Code], B708, Supply_Clean[Available_Supply])</f>
        <v>2568</v>
      </c>
      <c r="L708">
        <f t="shared" si="56"/>
        <v>0.60941170886826934</v>
      </c>
      <c r="M708">
        <f t="shared" si="57"/>
        <v>140.40845772324926</v>
      </c>
      <c r="N708" t="str">
        <f t="shared" si="58"/>
        <v>ESCASEZ</v>
      </c>
      <c r="O708">
        <f t="shared" si="59"/>
        <v>89.991542276750749</v>
      </c>
    </row>
    <row r="709" spans="1:15" x14ac:dyDescent="0.45">
      <c r="A709" t="str">
        <v>CD-VER</v>
      </c>
      <c r="B709" t="str">
        <v>BOT-1023</v>
      </c>
      <c r="C709">
        <v>1064</v>
      </c>
      <c r="D709">
        <v>1029.2</v>
      </c>
      <c r="E709">
        <v>206.2</v>
      </c>
      <c r="F709">
        <v>5.4</v>
      </c>
      <c r="G709">
        <v>0.9</v>
      </c>
      <c r="H709" t="str">
        <v>OK</v>
      </c>
      <c r="J709">
        <f t="shared" si="55"/>
        <v>8227.6</v>
      </c>
      <c r="K709">
        <f>SUMIF(Supply_Clean[Item_Code], B709, Supply_Clean[Available_Supply])</f>
        <v>23663</v>
      </c>
      <c r="L709">
        <f t="shared" si="56"/>
        <v>1</v>
      </c>
      <c r="M709">
        <f t="shared" si="57"/>
        <v>1029.2</v>
      </c>
      <c r="N709" t="str">
        <f t="shared" si="58"/>
        <v>SUFICIENTE</v>
      </c>
      <c r="O709">
        <f t="shared" si="59"/>
        <v>0</v>
      </c>
    </row>
    <row r="710" spans="1:15" x14ac:dyDescent="0.45">
      <c r="A710" t="str">
        <v>CD-TIJ</v>
      </c>
      <c r="B710" t="str">
        <v>BEB-1005</v>
      </c>
      <c r="C710">
        <v>1624</v>
      </c>
      <c r="D710">
        <v>384.3</v>
      </c>
      <c r="E710">
        <v>60.7</v>
      </c>
      <c r="F710">
        <v>3.7</v>
      </c>
      <c r="G710">
        <v>1.5</v>
      </c>
      <c r="H710" t="str">
        <v>OK</v>
      </c>
      <c r="J710">
        <f t="shared" si="55"/>
        <v>6220.1999999999989</v>
      </c>
      <c r="K710">
        <f>SUMIF(Supply_Clean[Item_Code], B710, Supply_Clean[Available_Supply])</f>
        <v>14054</v>
      </c>
      <c r="L710">
        <f t="shared" si="56"/>
        <v>1</v>
      </c>
      <c r="M710">
        <f t="shared" si="57"/>
        <v>384.3</v>
      </c>
      <c r="N710" t="str">
        <f t="shared" si="58"/>
        <v>SUFICIENTE</v>
      </c>
      <c r="O710">
        <f t="shared" si="59"/>
        <v>0</v>
      </c>
    </row>
    <row r="711" spans="1:15" x14ac:dyDescent="0.45">
      <c r="A711" t="str">
        <v>CD-QRO</v>
      </c>
      <c r="B711" t="str">
        <v>PRO-1011</v>
      </c>
      <c r="C711">
        <v>1206</v>
      </c>
      <c r="D711">
        <v>511.1</v>
      </c>
      <c r="E711">
        <v>234.5</v>
      </c>
      <c r="F711">
        <v>2.8</v>
      </c>
      <c r="G711">
        <v>0.4</v>
      </c>
      <c r="H711" t="str">
        <v>OK</v>
      </c>
      <c r="J711">
        <f t="shared" si="55"/>
        <v>5674.6999999999989</v>
      </c>
      <c r="K711">
        <f>SUMIF(Supply_Clean[Item_Code], B711, Supply_Clean[Available_Supply])</f>
        <v>14178</v>
      </c>
      <c r="L711">
        <f t="shared" si="56"/>
        <v>1</v>
      </c>
      <c r="M711">
        <f t="shared" si="57"/>
        <v>511.1</v>
      </c>
      <c r="N711" t="str">
        <f t="shared" si="58"/>
        <v>SUFICIENTE</v>
      </c>
      <c r="O711">
        <f t="shared" si="59"/>
        <v>0</v>
      </c>
    </row>
    <row r="712" spans="1:15" x14ac:dyDescent="0.45">
      <c r="A712" t="str">
        <v>CD-GDL</v>
      </c>
      <c r="B712" t="str">
        <v>BEB-1000</v>
      </c>
      <c r="C712">
        <v>3160</v>
      </c>
      <c r="D712">
        <v>0</v>
      </c>
      <c r="E712">
        <v>30.8</v>
      </c>
      <c r="F712">
        <v>0.9</v>
      </c>
      <c r="G712">
        <v>0.2</v>
      </c>
      <c r="H712" t="str">
        <v>OK</v>
      </c>
      <c r="J712">
        <f t="shared" si="55"/>
        <v>4843.5</v>
      </c>
      <c r="K712">
        <f>SUMIF(Supply_Clean[Item_Code], B712, Supply_Clean[Available_Supply])</f>
        <v>14592</v>
      </c>
      <c r="L712">
        <f t="shared" si="56"/>
        <v>1</v>
      </c>
      <c r="M712">
        <f t="shared" si="57"/>
        <v>0</v>
      </c>
      <c r="N712" t="str">
        <f t="shared" si="58"/>
        <v>SUFICIENTE</v>
      </c>
      <c r="O712">
        <f t="shared" si="59"/>
        <v>0</v>
      </c>
    </row>
    <row r="713" spans="1:15" x14ac:dyDescent="0.45">
      <c r="A713" t="str">
        <v>CD-TOL</v>
      </c>
      <c r="B713" t="str">
        <v>PRO-1006</v>
      </c>
      <c r="C713">
        <v>7151</v>
      </c>
      <c r="D713">
        <v>529.4</v>
      </c>
      <c r="E713">
        <v>317.7</v>
      </c>
      <c r="F713">
        <v>2.2999999999999998</v>
      </c>
      <c r="G713">
        <v>0.5</v>
      </c>
      <c r="H713" t="str">
        <v>OK</v>
      </c>
      <c r="J713">
        <f t="shared" si="55"/>
        <v>5801.8</v>
      </c>
      <c r="K713">
        <f>SUMIF(Supply_Clean[Item_Code], B713, Supply_Clean[Available_Supply])</f>
        <v>9270</v>
      </c>
      <c r="L713">
        <f t="shared" si="56"/>
        <v>1</v>
      </c>
      <c r="M713">
        <f t="shared" si="57"/>
        <v>529.4</v>
      </c>
      <c r="N713" t="str">
        <f t="shared" si="58"/>
        <v>SUFICIENTE</v>
      </c>
      <c r="O713">
        <f t="shared" si="59"/>
        <v>0</v>
      </c>
    </row>
    <row r="714" spans="1:15" x14ac:dyDescent="0.45">
      <c r="A714" t="str">
        <v>CD-GDL</v>
      </c>
      <c r="B714" t="str">
        <v>PRO-1014</v>
      </c>
      <c r="C714">
        <v>5356</v>
      </c>
      <c r="D714">
        <v>316.39999999999998</v>
      </c>
      <c r="E714">
        <v>128.30000000000001</v>
      </c>
      <c r="F714">
        <v>1</v>
      </c>
      <c r="G714">
        <v>0.2</v>
      </c>
      <c r="H714" t="str">
        <v>OK</v>
      </c>
      <c r="J714">
        <f t="shared" si="55"/>
        <v>5634.0999999999995</v>
      </c>
      <c r="K714">
        <f>SUMIF(Supply_Clean[Item_Code], B714, Supply_Clean[Available_Supply])</f>
        <v>16301</v>
      </c>
      <c r="L714">
        <f t="shared" si="56"/>
        <v>1</v>
      </c>
      <c r="M714">
        <f t="shared" si="57"/>
        <v>316.39999999999998</v>
      </c>
      <c r="N714" t="str">
        <f t="shared" si="58"/>
        <v>SUFICIENTE</v>
      </c>
      <c r="O714">
        <f t="shared" si="59"/>
        <v>0</v>
      </c>
    </row>
    <row r="715" spans="1:15" x14ac:dyDescent="0.45">
      <c r="A715" t="str">
        <v>CD-HER</v>
      </c>
      <c r="B715" t="str">
        <v>PRO-1010</v>
      </c>
      <c r="C715">
        <v>625</v>
      </c>
      <c r="D715">
        <v>259.8</v>
      </c>
      <c r="E715">
        <v>137.5</v>
      </c>
      <c r="F715">
        <v>2.8</v>
      </c>
      <c r="G715">
        <v>1.2</v>
      </c>
      <c r="H715" t="str">
        <v>OK</v>
      </c>
      <c r="J715">
        <f t="shared" si="55"/>
        <v>6996.1000000000013</v>
      </c>
      <c r="K715">
        <f>SUMIF(Supply_Clean[Item_Code], B715, Supply_Clean[Available_Supply])</f>
        <v>18475</v>
      </c>
      <c r="L715">
        <f t="shared" si="56"/>
        <v>1</v>
      </c>
      <c r="M715">
        <f t="shared" si="57"/>
        <v>259.8</v>
      </c>
      <c r="N715" t="str">
        <f t="shared" si="58"/>
        <v>SUFICIENTE</v>
      </c>
      <c r="O715">
        <f t="shared" si="59"/>
        <v>0</v>
      </c>
    </row>
    <row r="716" spans="1:15" x14ac:dyDescent="0.45">
      <c r="A716" t="str">
        <v>CD-HER</v>
      </c>
      <c r="B716" t="str">
        <v>BEB-1016</v>
      </c>
      <c r="C716">
        <v>2592</v>
      </c>
      <c r="D716">
        <v>189.6</v>
      </c>
      <c r="E716">
        <v>32.799999999999997</v>
      </c>
      <c r="F716">
        <v>0.6</v>
      </c>
      <c r="G716">
        <v>1.2</v>
      </c>
      <c r="H716" t="str">
        <v>OK</v>
      </c>
      <c r="J716">
        <f t="shared" si="55"/>
        <v>5569.2000000000007</v>
      </c>
      <c r="K716">
        <f>SUMIF(Supply_Clean[Item_Code], B716, Supply_Clean[Available_Supply])</f>
        <v>14537</v>
      </c>
      <c r="L716">
        <f t="shared" si="56"/>
        <v>1</v>
      </c>
      <c r="M716">
        <f t="shared" si="57"/>
        <v>189.6</v>
      </c>
      <c r="N716" t="str">
        <f t="shared" si="58"/>
        <v>SUFICIENTE</v>
      </c>
      <c r="O716">
        <f t="shared" si="59"/>
        <v>0</v>
      </c>
    </row>
    <row r="717" spans="1:15" x14ac:dyDescent="0.45">
      <c r="A717" t="str">
        <v>CD-CHI</v>
      </c>
      <c r="B717" t="str">
        <v>ABA-1001</v>
      </c>
      <c r="C717">
        <v>631</v>
      </c>
      <c r="D717">
        <v>210.7</v>
      </c>
      <c r="E717">
        <v>27.1</v>
      </c>
      <c r="F717">
        <v>2.6</v>
      </c>
      <c r="G717">
        <v>1</v>
      </c>
      <c r="H717" t="str">
        <v>OK</v>
      </c>
      <c r="J717">
        <f t="shared" si="55"/>
        <v>4698.6999999999989</v>
      </c>
      <c r="K717">
        <f>SUMIF(Supply_Clean[Item_Code], B717, Supply_Clean[Available_Supply])</f>
        <v>8775</v>
      </c>
      <c r="L717">
        <f t="shared" si="56"/>
        <v>1</v>
      </c>
      <c r="M717">
        <f t="shared" si="57"/>
        <v>210.7</v>
      </c>
      <c r="N717" t="str">
        <f t="shared" si="58"/>
        <v>SUFICIENTE</v>
      </c>
      <c r="O717">
        <f t="shared" si="59"/>
        <v>0</v>
      </c>
    </row>
    <row r="718" spans="1:15" x14ac:dyDescent="0.45">
      <c r="A718" t="str">
        <v>CD-LEO</v>
      </c>
      <c r="B718" t="str">
        <v>BEB-1014</v>
      </c>
      <c r="C718">
        <v>1908</v>
      </c>
      <c r="D718">
        <v>564.1</v>
      </c>
      <c r="E718">
        <v>72.599999999999994</v>
      </c>
      <c r="F718">
        <v>0.9</v>
      </c>
      <c r="G718">
        <v>0.6</v>
      </c>
      <c r="H718" t="str">
        <v>OK</v>
      </c>
      <c r="J718">
        <f t="shared" si="55"/>
        <v>6274.9000000000005</v>
      </c>
      <c r="K718">
        <f>SUMIF(Supply_Clean[Item_Code], B718, Supply_Clean[Available_Supply])</f>
        <v>14205</v>
      </c>
      <c r="L718">
        <f t="shared" si="56"/>
        <v>1</v>
      </c>
      <c r="M718">
        <f t="shared" si="57"/>
        <v>564.1</v>
      </c>
      <c r="N718" t="str">
        <f t="shared" si="58"/>
        <v>SUFICIENTE</v>
      </c>
      <c r="O718">
        <f t="shared" si="59"/>
        <v>0</v>
      </c>
    </row>
    <row r="719" spans="1:15" x14ac:dyDescent="0.45">
      <c r="A719" t="str">
        <v>CD-SAL</v>
      </c>
      <c r="B719" t="str">
        <v>PRO-1005</v>
      </c>
      <c r="C719">
        <v>499</v>
      </c>
      <c r="D719">
        <v>109.7</v>
      </c>
      <c r="E719">
        <v>52</v>
      </c>
      <c r="F719">
        <v>3.1</v>
      </c>
      <c r="G719">
        <v>0.5</v>
      </c>
      <c r="H719" t="str">
        <v>OK</v>
      </c>
      <c r="J719">
        <f t="shared" si="55"/>
        <v>4399.3</v>
      </c>
      <c r="K719">
        <f>SUMIF(Supply_Clean[Item_Code], B719, Supply_Clean[Available_Supply])</f>
        <v>8407</v>
      </c>
      <c r="L719">
        <f t="shared" si="56"/>
        <v>1</v>
      </c>
      <c r="M719">
        <f t="shared" si="57"/>
        <v>109.7</v>
      </c>
      <c r="N719" t="str">
        <f t="shared" si="58"/>
        <v>SUFICIENTE</v>
      </c>
      <c r="O719">
        <f t="shared" si="59"/>
        <v>0</v>
      </c>
    </row>
    <row r="720" spans="1:15" x14ac:dyDescent="0.45">
      <c r="A720" t="str">
        <v>CD-HER</v>
      </c>
      <c r="B720" t="str">
        <v>BEB-1008</v>
      </c>
      <c r="C720">
        <v>0</v>
      </c>
      <c r="D720">
        <v>520.79999999999995</v>
      </c>
      <c r="E720">
        <v>75</v>
      </c>
      <c r="F720">
        <v>3.5</v>
      </c>
      <c r="G720">
        <v>1.2</v>
      </c>
      <c r="H720">
        <v>0</v>
      </c>
      <c r="J720">
        <f t="shared" si="55"/>
        <v>6156.9999999999991</v>
      </c>
      <c r="K720">
        <f>SUMIF(Supply_Clean[Item_Code], B720, Supply_Clean[Available_Supply])</f>
        <v>18019</v>
      </c>
      <c r="L720">
        <f t="shared" si="56"/>
        <v>1</v>
      </c>
      <c r="M720">
        <f t="shared" si="57"/>
        <v>520.79999999999995</v>
      </c>
      <c r="N720" t="str">
        <f t="shared" si="58"/>
        <v>SUFICIENTE</v>
      </c>
      <c r="O720">
        <f t="shared" si="59"/>
        <v>0</v>
      </c>
    </row>
    <row r="721" spans="1:15" x14ac:dyDescent="0.45">
      <c r="A721" t="str">
        <v>CD-MOR</v>
      </c>
      <c r="B721" t="str">
        <v>ABA-1016</v>
      </c>
      <c r="C721">
        <v>1830</v>
      </c>
      <c r="D721">
        <v>289.10000000000002</v>
      </c>
      <c r="E721">
        <v>34.5</v>
      </c>
      <c r="F721">
        <v>2.2000000000000002</v>
      </c>
      <c r="G721">
        <v>0.5</v>
      </c>
      <c r="H721" t="str">
        <v>OK</v>
      </c>
      <c r="J721">
        <f t="shared" si="55"/>
        <v>5056.7</v>
      </c>
      <c r="K721">
        <f>SUMIF(Supply_Clean[Item_Code], B721, Supply_Clean[Available_Supply])</f>
        <v>9151</v>
      </c>
      <c r="L721">
        <f t="shared" si="56"/>
        <v>1</v>
      </c>
      <c r="M721">
        <f t="shared" si="57"/>
        <v>289.10000000000002</v>
      </c>
      <c r="N721" t="str">
        <f t="shared" si="58"/>
        <v>SUFICIENTE</v>
      </c>
      <c r="O721">
        <f t="shared" si="59"/>
        <v>0</v>
      </c>
    </row>
    <row r="722" spans="1:15" x14ac:dyDescent="0.45">
      <c r="A722" t="str">
        <v>CD-VER</v>
      </c>
      <c r="B722" t="str">
        <v>BOT-1020</v>
      </c>
      <c r="C722">
        <v>4740</v>
      </c>
      <c r="D722">
        <v>405.4</v>
      </c>
      <c r="E722">
        <v>77.900000000000006</v>
      </c>
      <c r="F722">
        <v>2.9</v>
      </c>
      <c r="G722">
        <v>0.9</v>
      </c>
      <c r="H722" t="str">
        <v>OK</v>
      </c>
      <c r="J722">
        <f t="shared" si="55"/>
        <v>7693.4</v>
      </c>
      <c r="K722">
        <f>SUMIF(Supply_Clean[Item_Code], B722, Supply_Clean[Available_Supply])</f>
        <v>20558</v>
      </c>
      <c r="L722">
        <f t="shared" si="56"/>
        <v>1</v>
      </c>
      <c r="M722">
        <f t="shared" si="57"/>
        <v>405.4</v>
      </c>
      <c r="N722" t="str">
        <f t="shared" si="58"/>
        <v>SUFICIENTE</v>
      </c>
      <c r="O722">
        <f t="shared" si="59"/>
        <v>0</v>
      </c>
    </row>
    <row r="723" spans="1:15" x14ac:dyDescent="0.45">
      <c r="A723" t="str">
        <v>CD-GDL</v>
      </c>
      <c r="B723" t="str">
        <v>BOT-1021</v>
      </c>
      <c r="C723">
        <v>7879</v>
      </c>
      <c r="D723">
        <v>884</v>
      </c>
      <c r="E723">
        <v>240.8</v>
      </c>
      <c r="F723">
        <v>0.9</v>
      </c>
      <c r="G723">
        <v>0.2</v>
      </c>
      <c r="H723" t="str">
        <v>OK</v>
      </c>
      <c r="J723">
        <f t="shared" si="55"/>
        <v>6783.3</v>
      </c>
      <c r="K723">
        <f>SUMIF(Supply_Clean[Item_Code], B723, Supply_Clean[Available_Supply])</f>
        <v>13475</v>
      </c>
      <c r="L723">
        <f t="shared" si="56"/>
        <v>1</v>
      </c>
      <c r="M723">
        <f t="shared" si="57"/>
        <v>884</v>
      </c>
      <c r="N723" t="str">
        <f t="shared" si="58"/>
        <v>SUFICIENTE</v>
      </c>
      <c r="O723">
        <f t="shared" si="59"/>
        <v>0</v>
      </c>
    </row>
    <row r="724" spans="1:15" x14ac:dyDescent="0.45">
      <c r="A724" t="str">
        <v>CD-TIJ</v>
      </c>
      <c r="B724" t="str">
        <v>LAC-1004</v>
      </c>
      <c r="C724">
        <v>5520</v>
      </c>
      <c r="D724">
        <v>313.39999999999998</v>
      </c>
      <c r="E724">
        <v>126.9</v>
      </c>
      <c r="F724">
        <v>5.2</v>
      </c>
      <c r="G724">
        <v>1.5</v>
      </c>
      <c r="H724" t="str">
        <v>OK</v>
      </c>
      <c r="J724">
        <f t="shared" si="55"/>
        <v>4211.5</v>
      </c>
      <c r="K724">
        <f>SUMIF(Supply_Clean[Item_Code], B724, Supply_Clean[Available_Supply])</f>
        <v>11968</v>
      </c>
      <c r="L724">
        <f t="shared" si="56"/>
        <v>1</v>
      </c>
      <c r="M724">
        <f t="shared" si="57"/>
        <v>313.39999999999998</v>
      </c>
      <c r="N724" t="str">
        <f t="shared" si="58"/>
        <v>SUFICIENTE</v>
      </c>
      <c r="O724">
        <f t="shared" si="59"/>
        <v>0</v>
      </c>
    </row>
    <row r="725" spans="1:15" x14ac:dyDescent="0.45">
      <c r="A725" t="str">
        <v>CD-CHI</v>
      </c>
      <c r="B725" t="str">
        <v>LAC-1014</v>
      </c>
      <c r="C725">
        <v>1719</v>
      </c>
      <c r="D725">
        <v>192.8</v>
      </c>
      <c r="E725">
        <v>49.2</v>
      </c>
      <c r="F725">
        <v>3.5</v>
      </c>
      <c r="G725">
        <v>1</v>
      </c>
      <c r="H725" t="str">
        <v>OK</v>
      </c>
      <c r="J725">
        <f t="shared" si="55"/>
        <v>4121.5</v>
      </c>
      <c r="K725">
        <f>SUMIF(Supply_Clean[Item_Code], B725, Supply_Clean[Available_Supply])</f>
        <v>8260</v>
      </c>
      <c r="L725">
        <f t="shared" si="56"/>
        <v>1</v>
      </c>
      <c r="M725">
        <f t="shared" si="57"/>
        <v>192.8</v>
      </c>
      <c r="N725" t="str">
        <f t="shared" si="58"/>
        <v>SUFICIENTE</v>
      </c>
      <c r="O725">
        <f t="shared" si="59"/>
        <v>0</v>
      </c>
    </row>
    <row r="726" spans="1:15" x14ac:dyDescent="0.45">
      <c r="A726" t="str">
        <v>CD-MTY</v>
      </c>
      <c r="B726" t="str">
        <v>BEB-1020</v>
      </c>
      <c r="C726">
        <v>3818</v>
      </c>
      <c r="D726">
        <v>416.2</v>
      </c>
      <c r="E726">
        <v>81.2</v>
      </c>
      <c r="F726">
        <v>1.6</v>
      </c>
      <c r="G726">
        <v>0.3</v>
      </c>
      <c r="H726" t="str">
        <v>OK</v>
      </c>
      <c r="J726">
        <f t="shared" si="55"/>
        <v>6114.4000000000005</v>
      </c>
      <c r="K726">
        <f>SUMIF(Supply_Clean[Item_Code], B726, Supply_Clean[Available_Supply])</f>
        <v>16621</v>
      </c>
      <c r="L726">
        <f t="shared" si="56"/>
        <v>1</v>
      </c>
      <c r="M726">
        <f t="shared" si="57"/>
        <v>416.2</v>
      </c>
      <c r="N726" t="str">
        <f t="shared" si="58"/>
        <v>SUFICIENTE</v>
      </c>
      <c r="O726">
        <f t="shared" si="59"/>
        <v>0</v>
      </c>
    </row>
    <row r="727" spans="1:15" x14ac:dyDescent="0.45">
      <c r="A727" t="str">
        <v>CD-SAL</v>
      </c>
      <c r="B727" t="str">
        <v>BOT-1005</v>
      </c>
      <c r="C727">
        <v>6998</v>
      </c>
      <c r="D727">
        <v>533.6</v>
      </c>
      <c r="E727">
        <v>144</v>
      </c>
      <c r="F727">
        <v>2</v>
      </c>
      <c r="G727">
        <v>0.5</v>
      </c>
      <c r="H727" t="str">
        <v>OK</v>
      </c>
      <c r="J727">
        <f t="shared" si="55"/>
        <v>8620.3000000000011</v>
      </c>
      <c r="K727">
        <f>SUMIF(Supply_Clean[Item_Code], B727, Supply_Clean[Available_Supply])</f>
        <v>23903</v>
      </c>
      <c r="L727">
        <f t="shared" si="56"/>
        <v>1</v>
      </c>
      <c r="M727">
        <f t="shared" si="57"/>
        <v>533.6</v>
      </c>
      <c r="N727" t="str">
        <f t="shared" si="58"/>
        <v>SUFICIENTE</v>
      </c>
      <c r="O727">
        <f t="shared" si="59"/>
        <v>0</v>
      </c>
    </row>
    <row r="728" spans="1:15" x14ac:dyDescent="0.45">
      <c r="A728" t="str">
        <v>CD-CAN</v>
      </c>
      <c r="B728" t="str">
        <v>PRO-1002</v>
      </c>
      <c r="C728">
        <v>1645</v>
      </c>
      <c r="D728">
        <v>248.1</v>
      </c>
      <c r="E728">
        <v>127.4</v>
      </c>
      <c r="F728">
        <v>6.8</v>
      </c>
      <c r="G728">
        <v>1.6</v>
      </c>
      <c r="H728" t="str">
        <v>OK</v>
      </c>
      <c r="J728">
        <f t="shared" si="55"/>
        <v>6123.6999999999989</v>
      </c>
      <c r="K728">
        <f>SUMIF(Supply_Clean[Item_Code], B728, Supply_Clean[Available_Supply])</f>
        <v>17616</v>
      </c>
      <c r="L728">
        <f t="shared" si="56"/>
        <v>1</v>
      </c>
      <c r="M728">
        <f t="shared" si="57"/>
        <v>248.1</v>
      </c>
      <c r="N728" t="str">
        <f t="shared" si="58"/>
        <v>SUFICIENTE</v>
      </c>
      <c r="O728">
        <f t="shared" si="59"/>
        <v>0</v>
      </c>
    </row>
    <row r="729" spans="1:15" x14ac:dyDescent="0.45">
      <c r="A729" t="str">
        <v>CD-VER</v>
      </c>
      <c r="B729" t="str">
        <v>LAC-1008</v>
      </c>
      <c r="C729">
        <v>4263</v>
      </c>
      <c r="D729">
        <v>241.7</v>
      </c>
      <c r="E729">
        <v>86.2</v>
      </c>
      <c r="F729">
        <v>1.9</v>
      </c>
      <c r="G729">
        <v>0.9</v>
      </c>
      <c r="H729" t="str">
        <v>OK</v>
      </c>
      <c r="J729">
        <f t="shared" si="55"/>
        <v>4499.0999999999995</v>
      </c>
      <c r="K729">
        <f>SUMIF(Supply_Clean[Item_Code], B729, Supply_Clean[Available_Supply])</f>
        <v>9543</v>
      </c>
      <c r="L729">
        <f t="shared" si="56"/>
        <v>1</v>
      </c>
      <c r="M729">
        <f t="shared" si="57"/>
        <v>241.7</v>
      </c>
      <c r="N729" t="str">
        <f t="shared" si="58"/>
        <v>SUFICIENTE</v>
      </c>
      <c r="O729">
        <f t="shared" si="59"/>
        <v>0</v>
      </c>
    </row>
    <row r="730" spans="1:15" x14ac:dyDescent="0.45">
      <c r="A730" t="str">
        <v>CD-PUE</v>
      </c>
      <c r="B730" t="str">
        <v>BOT-1004</v>
      </c>
      <c r="C730">
        <v>6350</v>
      </c>
      <c r="D730">
        <v>527.6</v>
      </c>
      <c r="E730">
        <v>98.9</v>
      </c>
      <c r="F730">
        <v>1.1000000000000001</v>
      </c>
      <c r="G730">
        <v>0.3</v>
      </c>
      <c r="H730" t="str">
        <v>OK</v>
      </c>
      <c r="J730">
        <f t="shared" si="55"/>
        <v>9421.7999999999993</v>
      </c>
      <c r="K730">
        <f>SUMIF(Supply_Clean[Item_Code], B730, Supply_Clean[Available_Supply])</f>
        <v>15860</v>
      </c>
      <c r="L730">
        <f t="shared" si="56"/>
        <v>1</v>
      </c>
      <c r="M730">
        <f t="shared" si="57"/>
        <v>527.6</v>
      </c>
      <c r="N730" t="str">
        <f t="shared" si="58"/>
        <v>SUFICIENTE</v>
      </c>
      <c r="O730">
        <f t="shared" si="59"/>
        <v>0</v>
      </c>
    </row>
    <row r="731" spans="1:15" x14ac:dyDescent="0.45">
      <c r="A731" t="str">
        <v>CD-QRO</v>
      </c>
      <c r="B731" t="str">
        <v>ABA-1002</v>
      </c>
      <c r="C731">
        <v>2794</v>
      </c>
      <c r="D731">
        <v>269.39999999999998</v>
      </c>
      <c r="E731">
        <v>32.299999999999997</v>
      </c>
      <c r="F731">
        <v>2.6</v>
      </c>
      <c r="G731">
        <v>0.4</v>
      </c>
      <c r="H731" t="str">
        <v>OK</v>
      </c>
      <c r="J731">
        <f t="shared" si="55"/>
        <v>4525.7</v>
      </c>
      <c r="K731">
        <f>SUMIF(Supply_Clean[Item_Code], B731, Supply_Clean[Available_Supply])</f>
        <v>8581</v>
      </c>
      <c r="L731">
        <f t="shared" si="56"/>
        <v>1</v>
      </c>
      <c r="M731">
        <f t="shared" si="57"/>
        <v>269.39999999999998</v>
      </c>
      <c r="N731" t="str">
        <f t="shared" si="58"/>
        <v>SUFICIENTE</v>
      </c>
      <c r="O731">
        <f t="shared" si="59"/>
        <v>0</v>
      </c>
    </row>
    <row r="732" spans="1:15" x14ac:dyDescent="0.45">
      <c r="A732" t="str">
        <v>CD-HER</v>
      </c>
      <c r="B732" t="str">
        <v>BOT-1006</v>
      </c>
      <c r="C732">
        <v>3737</v>
      </c>
      <c r="D732">
        <v>383.1</v>
      </c>
      <c r="E732">
        <v>88.7</v>
      </c>
      <c r="F732">
        <v>3.9</v>
      </c>
      <c r="G732">
        <v>1.2</v>
      </c>
      <c r="H732" t="str">
        <v>OK</v>
      </c>
      <c r="J732">
        <f t="shared" si="55"/>
        <v>7732.6000000000013</v>
      </c>
      <c r="K732">
        <f>SUMIF(Supply_Clean[Item_Code], B732, Supply_Clean[Available_Supply])</f>
        <v>16401</v>
      </c>
      <c r="L732">
        <f t="shared" si="56"/>
        <v>1</v>
      </c>
      <c r="M732">
        <f t="shared" si="57"/>
        <v>383.1</v>
      </c>
      <c r="N732" t="str">
        <f t="shared" si="58"/>
        <v>SUFICIENTE</v>
      </c>
      <c r="O732">
        <f t="shared" si="59"/>
        <v>0</v>
      </c>
    </row>
    <row r="733" spans="1:15" x14ac:dyDescent="0.45">
      <c r="A733" t="str">
        <v>CD-VER</v>
      </c>
      <c r="B733" t="str">
        <v>PRO-1002</v>
      </c>
      <c r="C733">
        <v>2009</v>
      </c>
      <c r="D733">
        <v>300.7</v>
      </c>
      <c r="E733">
        <v>177.9</v>
      </c>
      <c r="F733">
        <v>2.9</v>
      </c>
      <c r="G733">
        <v>0.9</v>
      </c>
      <c r="H733" t="str">
        <v>OK</v>
      </c>
      <c r="J733">
        <f t="shared" si="55"/>
        <v>6123.6999999999989</v>
      </c>
      <c r="K733">
        <f>SUMIF(Supply_Clean[Item_Code], B733, Supply_Clean[Available_Supply])</f>
        <v>17616</v>
      </c>
      <c r="L733">
        <f t="shared" si="56"/>
        <v>1</v>
      </c>
      <c r="M733">
        <f t="shared" si="57"/>
        <v>300.7</v>
      </c>
      <c r="N733" t="str">
        <f t="shared" si="58"/>
        <v>SUFICIENTE</v>
      </c>
      <c r="O733">
        <f t="shared" si="59"/>
        <v>0</v>
      </c>
    </row>
    <row r="734" spans="1:15" x14ac:dyDescent="0.45">
      <c r="A734" t="str">
        <v>CD-CHI</v>
      </c>
      <c r="B734" t="str">
        <v>LAC-1009</v>
      </c>
      <c r="C734">
        <v>3532</v>
      </c>
      <c r="D734">
        <v>220.1</v>
      </c>
      <c r="E734">
        <v>71.8</v>
      </c>
      <c r="F734">
        <v>3.5</v>
      </c>
      <c r="G734">
        <v>1</v>
      </c>
      <c r="H734" t="str">
        <v>OK</v>
      </c>
      <c r="J734">
        <f t="shared" si="55"/>
        <v>4163.3999999999996</v>
      </c>
      <c r="K734">
        <f>SUMIF(Supply_Clean[Item_Code], B734, Supply_Clean[Available_Supply])</f>
        <v>6523</v>
      </c>
      <c r="L734">
        <f t="shared" si="56"/>
        <v>1</v>
      </c>
      <c r="M734">
        <f t="shared" si="57"/>
        <v>220.1</v>
      </c>
      <c r="N734" t="str">
        <f t="shared" si="58"/>
        <v>SUFICIENTE</v>
      </c>
      <c r="O734">
        <f t="shared" si="59"/>
        <v>0</v>
      </c>
    </row>
    <row r="735" spans="1:15" x14ac:dyDescent="0.45">
      <c r="A735" t="str">
        <v>CD-TOL</v>
      </c>
      <c r="B735" t="str">
        <v>BEB-1012</v>
      </c>
      <c r="C735">
        <v>1558</v>
      </c>
      <c r="D735">
        <v>519.79999999999995</v>
      </c>
      <c r="E735">
        <v>91</v>
      </c>
      <c r="F735">
        <v>1.2</v>
      </c>
      <c r="G735">
        <v>0.5</v>
      </c>
      <c r="H735" t="str">
        <v>OK</v>
      </c>
      <c r="J735">
        <f t="shared" si="55"/>
        <v>5740.7</v>
      </c>
      <c r="K735">
        <f>SUMIF(Supply_Clean[Item_Code], B735, Supply_Clean[Available_Supply])</f>
        <v>12491</v>
      </c>
      <c r="L735">
        <f t="shared" si="56"/>
        <v>1</v>
      </c>
      <c r="M735">
        <f t="shared" si="57"/>
        <v>519.79999999999995</v>
      </c>
      <c r="N735" t="str">
        <f t="shared" si="58"/>
        <v>SUFICIENTE</v>
      </c>
      <c r="O735">
        <f t="shared" si="59"/>
        <v>0</v>
      </c>
    </row>
    <row r="736" spans="1:15" x14ac:dyDescent="0.45">
      <c r="A736" t="str">
        <v>CD-MER</v>
      </c>
      <c r="B736" t="str">
        <v>BEB-1003</v>
      </c>
      <c r="C736">
        <v>4243</v>
      </c>
      <c r="D736">
        <v>717.3</v>
      </c>
      <c r="E736">
        <v>139.6</v>
      </c>
      <c r="F736">
        <v>6.6</v>
      </c>
      <c r="G736">
        <v>1.3</v>
      </c>
      <c r="H736" t="str">
        <v>OK</v>
      </c>
      <c r="J736">
        <f t="shared" si="55"/>
        <v>5232</v>
      </c>
      <c r="K736">
        <f>SUMIF(Supply_Clean[Item_Code], B736, Supply_Clean[Available_Supply])</f>
        <v>16426</v>
      </c>
      <c r="L736">
        <f t="shared" si="56"/>
        <v>1</v>
      </c>
      <c r="M736">
        <f t="shared" si="57"/>
        <v>717.3</v>
      </c>
      <c r="N736" t="str">
        <f t="shared" si="58"/>
        <v>SUFICIENTE</v>
      </c>
      <c r="O736">
        <f t="shared" si="59"/>
        <v>0</v>
      </c>
    </row>
    <row r="737" spans="1:15" x14ac:dyDescent="0.45">
      <c r="A737" t="str">
        <v>CD-SAL</v>
      </c>
      <c r="B737" t="str">
        <v>BEB-1008</v>
      </c>
      <c r="C737">
        <v>2472</v>
      </c>
      <c r="D737">
        <v>419.7</v>
      </c>
      <c r="E737">
        <v>69.400000000000006</v>
      </c>
      <c r="F737">
        <v>1.8</v>
      </c>
      <c r="G737">
        <v>0.5</v>
      </c>
      <c r="H737" t="str">
        <v>OK</v>
      </c>
      <c r="J737">
        <f t="shared" si="55"/>
        <v>6156.9999999999991</v>
      </c>
      <c r="K737">
        <f>SUMIF(Supply_Clean[Item_Code], B737, Supply_Clean[Available_Supply])</f>
        <v>18019</v>
      </c>
      <c r="L737">
        <f t="shared" si="56"/>
        <v>1</v>
      </c>
      <c r="M737">
        <f t="shared" si="57"/>
        <v>419.7</v>
      </c>
      <c r="N737" t="str">
        <f t="shared" si="58"/>
        <v>SUFICIENTE</v>
      </c>
      <c r="O737">
        <f t="shared" si="59"/>
        <v>0</v>
      </c>
    </row>
    <row r="738" spans="1:15" x14ac:dyDescent="0.45">
      <c r="A738" t="str">
        <v>CD-SAL</v>
      </c>
      <c r="B738" t="str">
        <v>BOT-1012</v>
      </c>
      <c r="C738">
        <v>2311</v>
      </c>
      <c r="D738">
        <v>588.4</v>
      </c>
      <c r="E738">
        <v>91.5</v>
      </c>
      <c r="F738">
        <v>1.3</v>
      </c>
      <c r="G738">
        <v>0.5</v>
      </c>
      <c r="H738" t="str">
        <v>OK</v>
      </c>
      <c r="J738">
        <f t="shared" si="55"/>
        <v>9259.4</v>
      </c>
      <c r="K738">
        <f>SUMIF(Supply_Clean[Item_Code], B738, Supply_Clean[Available_Supply])</f>
        <v>13943</v>
      </c>
      <c r="L738">
        <f t="shared" si="56"/>
        <v>1</v>
      </c>
      <c r="M738">
        <f t="shared" si="57"/>
        <v>588.4</v>
      </c>
      <c r="N738" t="str">
        <f t="shared" si="58"/>
        <v>SUFICIENTE</v>
      </c>
      <c r="O738">
        <f t="shared" si="59"/>
        <v>0</v>
      </c>
    </row>
    <row r="739" spans="1:15" x14ac:dyDescent="0.45">
      <c r="A739" t="str">
        <v>CD-GDL</v>
      </c>
      <c r="B739" t="str">
        <v>PRO-1007</v>
      </c>
      <c r="C739">
        <v>5399</v>
      </c>
      <c r="D739">
        <v>374.6</v>
      </c>
      <c r="E739">
        <v>196.9</v>
      </c>
      <c r="F739">
        <v>0.9</v>
      </c>
      <c r="G739">
        <v>0.2</v>
      </c>
      <c r="H739" t="str">
        <v>OK</v>
      </c>
      <c r="J739">
        <f t="shared" si="55"/>
        <v>5354.8</v>
      </c>
      <c r="K739">
        <f>SUMIF(Supply_Clean[Item_Code], B739, Supply_Clean[Available_Supply])</f>
        <v>10360</v>
      </c>
      <c r="L739">
        <f t="shared" si="56"/>
        <v>1</v>
      </c>
      <c r="M739">
        <f t="shared" si="57"/>
        <v>374.6</v>
      </c>
      <c r="N739" t="str">
        <f t="shared" si="58"/>
        <v>SUFICIENTE</v>
      </c>
      <c r="O739">
        <f t="shared" si="59"/>
        <v>0</v>
      </c>
    </row>
    <row r="740" spans="1:15" x14ac:dyDescent="0.45">
      <c r="A740" t="str">
        <v>CD-CHI</v>
      </c>
      <c r="B740" t="str">
        <v>PRO-1014</v>
      </c>
      <c r="C740">
        <v>3653</v>
      </c>
      <c r="D740">
        <v>694</v>
      </c>
      <c r="E740">
        <v>298.2</v>
      </c>
      <c r="F740">
        <v>4.3</v>
      </c>
      <c r="G740">
        <v>1</v>
      </c>
      <c r="H740" t="str">
        <v>OK</v>
      </c>
      <c r="J740">
        <f t="shared" si="55"/>
        <v>5634.0999999999995</v>
      </c>
      <c r="K740">
        <f>SUMIF(Supply_Clean[Item_Code], B740, Supply_Clean[Available_Supply])</f>
        <v>16301</v>
      </c>
      <c r="L740">
        <f t="shared" si="56"/>
        <v>1</v>
      </c>
      <c r="M740">
        <f t="shared" si="57"/>
        <v>694</v>
      </c>
      <c r="N740" t="str">
        <f t="shared" si="58"/>
        <v>SUFICIENTE</v>
      </c>
      <c r="O740">
        <f t="shared" si="59"/>
        <v>0</v>
      </c>
    </row>
    <row r="741" spans="1:15" x14ac:dyDescent="0.45">
      <c r="A741" t="str">
        <v>CD-SAL</v>
      </c>
      <c r="B741" t="str">
        <v>PRO-1006</v>
      </c>
      <c r="C741">
        <v>7582</v>
      </c>
      <c r="D741">
        <v>518.1</v>
      </c>
      <c r="E741">
        <v>358.9</v>
      </c>
      <c r="F741">
        <v>1.5</v>
      </c>
      <c r="G741">
        <v>0.5</v>
      </c>
      <c r="H741" t="str">
        <v>OK</v>
      </c>
      <c r="J741">
        <f t="shared" si="55"/>
        <v>5801.8</v>
      </c>
      <c r="K741">
        <f>SUMIF(Supply_Clean[Item_Code], B741, Supply_Clean[Available_Supply])</f>
        <v>9270</v>
      </c>
      <c r="L741">
        <f t="shared" si="56"/>
        <v>1</v>
      </c>
      <c r="M741">
        <f t="shared" si="57"/>
        <v>518.1</v>
      </c>
      <c r="N741" t="str">
        <f t="shared" si="58"/>
        <v>SUFICIENTE</v>
      </c>
      <c r="O741">
        <f t="shared" si="59"/>
        <v>0</v>
      </c>
    </row>
    <row r="742" spans="1:15" x14ac:dyDescent="0.45">
      <c r="A742" t="str">
        <v>CD-VER</v>
      </c>
      <c r="B742" t="str">
        <v>PRO-1009</v>
      </c>
      <c r="C742">
        <v>536</v>
      </c>
      <c r="D742">
        <v>223.9</v>
      </c>
      <c r="E742">
        <v>152.1</v>
      </c>
      <c r="F742">
        <v>4.0999999999999996</v>
      </c>
      <c r="G742">
        <v>0.9</v>
      </c>
      <c r="H742" t="str">
        <v>OK</v>
      </c>
      <c r="J742">
        <f t="shared" si="55"/>
        <v>5962.0999999999995</v>
      </c>
      <c r="K742">
        <f>SUMIF(Supply_Clean[Item_Code], B742, Supply_Clean[Available_Supply])</f>
        <v>10685</v>
      </c>
      <c r="L742">
        <f t="shared" si="56"/>
        <v>1</v>
      </c>
      <c r="M742">
        <f t="shared" si="57"/>
        <v>223.9</v>
      </c>
      <c r="N742" t="str">
        <f t="shared" si="58"/>
        <v>SUFICIENTE</v>
      </c>
      <c r="O742">
        <f t="shared" si="59"/>
        <v>0</v>
      </c>
    </row>
    <row r="743" spans="1:15" x14ac:dyDescent="0.45">
      <c r="A743" t="str">
        <v>CD-GDL</v>
      </c>
      <c r="B743" t="str">
        <v>BOT-1001</v>
      </c>
      <c r="C743">
        <v>1462</v>
      </c>
      <c r="D743">
        <v>410.7</v>
      </c>
      <c r="E743">
        <v>73.8</v>
      </c>
      <c r="F743">
        <v>0.9</v>
      </c>
      <c r="G743">
        <v>0.2</v>
      </c>
      <c r="H743" t="str">
        <v>OK</v>
      </c>
      <c r="J743">
        <f t="shared" si="55"/>
        <v>8375.9</v>
      </c>
      <c r="K743">
        <f>SUMIF(Supply_Clean[Item_Code], B743, Supply_Clean[Available_Supply])</f>
        <v>20393</v>
      </c>
      <c r="L743">
        <f t="shared" si="56"/>
        <v>1</v>
      </c>
      <c r="M743">
        <f t="shared" si="57"/>
        <v>410.7</v>
      </c>
      <c r="N743" t="str">
        <f t="shared" si="58"/>
        <v>SUFICIENTE</v>
      </c>
      <c r="O743">
        <f t="shared" si="59"/>
        <v>0</v>
      </c>
    </row>
    <row r="744" spans="1:15" x14ac:dyDescent="0.45">
      <c r="A744" t="str">
        <v>CD-TOL</v>
      </c>
      <c r="B744" t="str">
        <v>LAC-1013</v>
      </c>
      <c r="C744">
        <v>4691</v>
      </c>
      <c r="D744">
        <v>275.8</v>
      </c>
      <c r="E744">
        <v>77</v>
      </c>
      <c r="F744">
        <v>1.7</v>
      </c>
      <c r="G744">
        <v>0.5</v>
      </c>
      <c r="H744" t="str">
        <v>OK</v>
      </c>
      <c r="J744">
        <f t="shared" si="55"/>
        <v>3650.7</v>
      </c>
      <c r="K744">
        <f>SUMIF(Supply_Clean[Item_Code], B744, Supply_Clean[Available_Supply])</f>
        <v>12026</v>
      </c>
      <c r="L744">
        <f t="shared" si="56"/>
        <v>1</v>
      </c>
      <c r="M744">
        <f t="shared" si="57"/>
        <v>275.8</v>
      </c>
      <c r="N744" t="str">
        <f t="shared" si="58"/>
        <v>SUFICIENTE</v>
      </c>
      <c r="O744">
        <f t="shared" si="59"/>
        <v>0</v>
      </c>
    </row>
    <row r="745" spans="1:15" x14ac:dyDescent="0.45">
      <c r="A745" t="str">
        <v>CD-MOR</v>
      </c>
      <c r="B745" t="str">
        <v>PRO-1012</v>
      </c>
      <c r="C745">
        <v>1560</v>
      </c>
      <c r="D745">
        <v>231.6</v>
      </c>
      <c r="E745">
        <v>110.1</v>
      </c>
      <c r="F745">
        <v>1.6</v>
      </c>
      <c r="G745">
        <v>0.5</v>
      </c>
      <c r="H745" t="str">
        <v>OK</v>
      </c>
      <c r="J745">
        <f t="shared" si="55"/>
        <v>4930.1000000000004</v>
      </c>
      <c r="K745">
        <f>SUMIF(Supply_Clean[Item_Code], B745, Supply_Clean[Available_Supply])</f>
        <v>9930</v>
      </c>
      <c r="L745">
        <f t="shared" si="56"/>
        <v>1</v>
      </c>
      <c r="M745">
        <f t="shared" si="57"/>
        <v>231.6</v>
      </c>
      <c r="N745" t="str">
        <f t="shared" si="58"/>
        <v>SUFICIENTE</v>
      </c>
      <c r="O745">
        <f t="shared" si="59"/>
        <v>0</v>
      </c>
    </row>
    <row r="746" spans="1:15" x14ac:dyDescent="0.45">
      <c r="A746" t="str">
        <v>CD-MTY</v>
      </c>
      <c r="B746" t="str">
        <v>LAC-1016</v>
      </c>
      <c r="C746">
        <v>1547</v>
      </c>
      <c r="D746">
        <v>213.8</v>
      </c>
      <c r="E746">
        <v>54.3</v>
      </c>
      <c r="F746">
        <v>0.7</v>
      </c>
      <c r="G746">
        <v>0.3</v>
      </c>
      <c r="H746" t="str">
        <v>OK</v>
      </c>
      <c r="J746">
        <f t="shared" si="55"/>
        <v>4542.5</v>
      </c>
      <c r="K746">
        <f>SUMIF(Supply_Clean[Item_Code], B746, Supply_Clean[Available_Supply])</f>
        <v>12760</v>
      </c>
      <c r="L746">
        <f t="shared" si="56"/>
        <v>1</v>
      </c>
      <c r="M746">
        <f t="shared" si="57"/>
        <v>213.8</v>
      </c>
      <c r="N746" t="str">
        <f t="shared" si="58"/>
        <v>SUFICIENTE</v>
      </c>
      <c r="O746">
        <f t="shared" si="59"/>
        <v>0</v>
      </c>
    </row>
    <row r="747" spans="1:15" x14ac:dyDescent="0.45">
      <c r="A747" t="str">
        <v>CD-TIJ</v>
      </c>
      <c r="B747" t="str">
        <v>BEB-1021</v>
      </c>
      <c r="C747">
        <v>1991</v>
      </c>
      <c r="D747">
        <v>233.7</v>
      </c>
      <c r="E747">
        <v>25.2</v>
      </c>
      <c r="F747">
        <v>5.7</v>
      </c>
      <c r="G747">
        <v>1.5</v>
      </c>
      <c r="H747" t="str">
        <v>OK</v>
      </c>
      <c r="J747">
        <f t="shared" si="55"/>
        <v>5254.7999999999993</v>
      </c>
      <c r="K747">
        <f>SUMIF(Supply_Clean[Item_Code], B747, Supply_Clean[Available_Supply])</f>
        <v>13235</v>
      </c>
      <c r="L747">
        <f t="shared" si="56"/>
        <v>1</v>
      </c>
      <c r="M747">
        <f t="shared" si="57"/>
        <v>233.7</v>
      </c>
      <c r="N747" t="str">
        <f t="shared" si="58"/>
        <v>SUFICIENTE</v>
      </c>
      <c r="O747">
        <f t="shared" si="59"/>
        <v>0</v>
      </c>
    </row>
    <row r="748" spans="1:15" x14ac:dyDescent="0.45">
      <c r="A748" t="str">
        <v>CD-MTY</v>
      </c>
      <c r="B748" t="str">
        <v>ABA-1012</v>
      </c>
      <c r="C748">
        <v>1797</v>
      </c>
      <c r="D748">
        <v>366.8</v>
      </c>
      <c r="E748">
        <v>50.7</v>
      </c>
      <c r="F748">
        <v>1.1000000000000001</v>
      </c>
      <c r="G748">
        <v>0.3</v>
      </c>
      <c r="H748" t="str">
        <v>OK</v>
      </c>
      <c r="J748">
        <f t="shared" si="55"/>
        <v>5104.3999999999996</v>
      </c>
      <c r="K748">
        <f>SUMIF(Supply_Clean[Item_Code], B748, Supply_Clean[Available_Supply])</f>
        <v>8396</v>
      </c>
      <c r="L748">
        <f t="shared" si="56"/>
        <v>1</v>
      </c>
      <c r="M748">
        <f t="shared" si="57"/>
        <v>366.8</v>
      </c>
      <c r="N748" t="str">
        <f t="shared" si="58"/>
        <v>SUFICIENTE</v>
      </c>
      <c r="O748">
        <f t="shared" si="59"/>
        <v>0</v>
      </c>
    </row>
    <row r="749" spans="1:15" x14ac:dyDescent="0.45">
      <c r="A749" t="str">
        <v>CD-MOR</v>
      </c>
      <c r="B749" t="str">
        <v>BEB-1001</v>
      </c>
      <c r="C749">
        <v>6072</v>
      </c>
      <c r="D749">
        <v>570.5</v>
      </c>
      <c r="E749">
        <v>90.1</v>
      </c>
      <c r="F749">
        <v>1.4</v>
      </c>
      <c r="G749">
        <v>0.5</v>
      </c>
      <c r="H749" t="str">
        <v>OK</v>
      </c>
      <c r="J749">
        <f t="shared" si="55"/>
        <v>6941.9</v>
      </c>
      <c r="K749">
        <f>SUMIF(Supply_Clean[Item_Code], B749, Supply_Clean[Available_Supply])</f>
        <v>11725</v>
      </c>
      <c r="L749">
        <f t="shared" si="56"/>
        <v>1</v>
      </c>
      <c r="M749">
        <f t="shared" si="57"/>
        <v>570.5</v>
      </c>
      <c r="N749" t="str">
        <f t="shared" si="58"/>
        <v>SUFICIENTE</v>
      </c>
      <c r="O749">
        <f t="shared" si="59"/>
        <v>0</v>
      </c>
    </row>
    <row r="750" spans="1:15" x14ac:dyDescent="0.45">
      <c r="A750" t="str">
        <v>CD-MOR</v>
      </c>
      <c r="B750" t="str">
        <v>BOT-1013</v>
      </c>
      <c r="C750">
        <v>2339</v>
      </c>
      <c r="D750">
        <v>0</v>
      </c>
      <c r="E750">
        <v>181</v>
      </c>
      <c r="F750">
        <v>1.9</v>
      </c>
      <c r="G750">
        <v>0.5</v>
      </c>
      <c r="H750" t="str">
        <v>OK</v>
      </c>
      <c r="J750">
        <f t="shared" si="55"/>
        <v>8336.1999999999989</v>
      </c>
      <c r="K750">
        <f>SUMIF(Supply_Clean[Item_Code], B750, Supply_Clean[Available_Supply])</f>
        <v>20545</v>
      </c>
      <c r="L750">
        <f t="shared" si="56"/>
        <v>1</v>
      </c>
      <c r="M750">
        <f t="shared" si="57"/>
        <v>0</v>
      </c>
      <c r="N750" t="str">
        <f t="shared" si="58"/>
        <v>SUFICIENTE</v>
      </c>
      <c r="O750">
        <f t="shared" si="59"/>
        <v>0</v>
      </c>
    </row>
    <row r="751" spans="1:15" x14ac:dyDescent="0.45">
      <c r="A751" t="str">
        <v>CD-SAL</v>
      </c>
      <c r="B751" t="str">
        <v>LAC-1006</v>
      </c>
      <c r="C751">
        <v>4135</v>
      </c>
      <c r="D751">
        <v>484.5</v>
      </c>
      <c r="E751">
        <v>184.6</v>
      </c>
      <c r="F751">
        <v>1.6</v>
      </c>
      <c r="G751">
        <v>0.5</v>
      </c>
      <c r="H751" t="str">
        <v>OK</v>
      </c>
      <c r="J751">
        <f t="shared" si="55"/>
        <v>4338.7</v>
      </c>
      <c r="K751">
        <f>SUMIF(Supply_Clean[Item_Code], B751, Supply_Clean[Available_Supply])</f>
        <v>10670</v>
      </c>
      <c r="L751">
        <f t="shared" si="56"/>
        <v>1</v>
      </c>
      <c r="M751">
        <f t="shared" si="57"/>
        <v>484.5</v>
      </c>
      <c r="N751" t="str">
        <f t="shared" si="58"/>
        <v>SUFICIENTE</v>
      </c>
      <c r="O751">
        <f t="shared" si="59"/>
        <v>0</v>
      </c>
    </row>
    <row r="752" spans="1:15" x14ac:dyDescent="0.45">
      <c r="A752" t="str">
        <v>CD-GDL</v>
      </c>
      <c r="B752" t="str">
        <v>ABA-1002</v>
      </c>
      <c r="C752">
        <v>3657</v>
      </c>
      <c r="D752">
        <v>463</v>
      </c>
      <c r="E752">
        <v>38.5</v>
      </c>
      <c r="F752">
        <v>0.7</v>
      </c>
      <c r="G752">
        <v>0.2</v>
      </c>
      <c r="H752" t="str">
        <v>OK</v>
      </c>
      <c r="J752">
        <f t="shared" si="55"/>
        <v>4525.7</v>
      </c>
      <c r="K752">
        <f>SUMIF(Supply_Clean[Item_Code], B752, Supply_Clean[Available_Supply])</f>
        <v>8581</v>
      </c>
      <c r="L752">
        <f t="shared" si="56"/>
        <v>1</v>
      </c>
      <c r="M752">
        <f t="shared" si="57"/>
        <v>463</v>
      </c>
      <c r="N752" t="str">
        <f t="shared" si="58"/>
        <v>SUFICIENTE</v>
      </c>
      <c r="O752">
        <f t="shared" si="59"/>
        <v>0</v>
      </c>
    </row>
    <row r="753" spans="1:15" x14ac:dyDescent="0.45">
      <c r="A753" t="str">
        <v>CD-TIJ</v>
      </c>
      <c r="B753" t="str">
        <v>BEB-1010</v>
      </c>
      <c r="C753">
        <v>6733</v>
      </c>
      <c r="D753">
        <v>380.5</v>
      </c>
      <c r="E753">
        <v>74</v>
      </c>
      <c r="F753">
        <v>4.8</v>
      </c>
      <c r="G753">
        <v>1.5</v>
      </c>
      <c r="H753" t="str">
        <v>OK</v>
      </c>
      <c r="J753">
        <f t="shared" si="55"/>
        <v>4470.2999999999993</v>
      </c>
      <c r="K753">
        <f>SUMIF(Supply_Clean[Item_Code], B753, Supply_Clean[Available_Supply])</f>
        <v>3237</v>
      </c>
      <c r="L753">
        <f t="shared" si="56"/>
        <v>0.7241124756727737</v>
      </c>
      <c r="M753">
        <f t="shared" si="57"/>
        <v>275.52479699349038</v>
      </c>
      <c r="N753" t="str">
        <f t="shared" si="58"/>
        <v>ESCASEZ</v>
      </c>
      <c r="O753">
        <f t="shared" si="59"/>
        <v>104.97520300650962</v>
      </c>
    </row>
    <row r="754" spans="1:15" x14ac:dyDescent="0.45">
      <c r="A754" t="str">
        <v>CD-TOL</v>
      </c>
      <c r="B754" t="str">
        <v>PRO-1012</v>
      </c>
      <c r="C754">
        <v>212</v>
      </c>
      <c r="D754">
        <v>304.10000000000002</v>
      </c>
      <c r="E754">
        <v>139.69999999999999</v>
      </c>
      <c r="F754">
        <v>1.7</v>
      </c>
      <c r="G754">
        <v>0.5</v>
      </c>
      <c r="H754" t="str">
        <v>OK</v>
      </c>
      <c r="J754">
        <f t="shared" si="55"/>
        <v>4930.1000000000004</v>
      </c>
      <c r="K754">
        <f>SUMIF(Supply_Clean[Item_Code], B754, Supply_Clean[Available_Supply])</f>
        <v>9930</v>
      </c>
      <c r="L754">
        <f t="shared" si="56"/>
        <v>1</v>
      </c>
      <c r="M754">
        <f t="shared" si="57"/>
        <v>304.10000000000002</v>
      </c>
      <c r="N754" t="str">
        <f t="shared" si="58"/>
        <v>SUFICIENTE</v>
      </c>
      <c r="O754">
        <f t="shared" si="59"/>
        <v>0</v>
      </c>
    </row>
    <row r="755" spans="1:15" x14ac:dyDescent="0.45">
      <c r="A755" t="str">
        <v>CD-MER</v>
      </c>
      <c r="B755" t="str">
        <v>ABA-1010</v>
      </c>
      <c r="C755">
        <v>7139</v>
      </c>
      <c r="D755">
        <v>433.6</v>
      </c>
      <c r="E755">
        <v>55</v>
      </c>
      <c r="F755">
        <v>4.4000000000000004</v>
      </c>
      <c r="G755">
        <v>1.3</v>
      </c>
      <c r="H755" t="str">
        <v>OK</v>
      </c>
      <c r="J755">
        <f t="shared" si="55"/>
        <v>4871.7</v>
      </c>
      <c r="K755">
        <f>SUMIF(Supply_Clean[Item_Code], B755, Supply_Clean[Available_Supply])</f>
        <v>9875</v>
      </c>
      <c r="L755">
        <f t="shared" si="56"/>
        <v>1</v>
      </c>
      <c r="M755">
        <f t="shared" si="57"/>
        <v>433.6</v>
      </c>
      <c r="N755" t="str">
        <f t="shared" si="58"/>
        <v>SUFICIENTE</v>
      </c>
      <c r="O755">
        <f t="shared" si="59"/>
        <v>0</v>
      </c>
    </row>
    <row r="756" spans="1:15" x14ac:dyDescent="0.45">
      <c r="A756" t="str">
        <v>CD-HER</v>
      </c>
      <c r="B756" t="str">
        <v>LAC-1001</v>
      </c>
      <c r="C756">
        <v>4014</v>
      </c>
      <c r="D756">
        <v>263.2</v>
      </c>
      <c r="E756">
        <v>91.8</v>
      </c>
      <c r="F756">
        <v>1.7</v>
      </c>
      <c r="G756">
        <v>1.2</v>
      </c>
      <c r="H756" t="str">
        <v>OK</v>
      </c>
      <c r="J756">
        <f t="shared" si="55"/>
        <v>3660.9999999999991</v>
      </c>
      <c r="K756">
        <f>SUMIF(Supply_Clean[Item_Code], B756, Supply_Clean[Available_Supply])</f>
        <v>9945</v>
      </c>
      <c r="L756">
        <f t="shared" si="56"/>
        <v>1</v>
      </c>
      <c r="M756">
        <f t="shared" si="57"/>
        <v>263.2</v>
      </c>
      <c r="N756" t="str">
        <f t="shared" si="58"/>
        <v>SUFICIENTE</v>
      </c>
      <c r="O756">
        <f t="shared" si="59"/>
        <v>0</v>
      </c>
    </row>
    <row r="757" spans="1:15" x14ac:dyDescent="0.45">
      <c r="A757" t="str">
        <v>CD-CHI</v>
      </c>
      <c r="B757" t="str">
        <v>BEB-1017</v>
      </c>
      <c r="C757">
        <v>6590</v>
      </c>
      <c r="D757">
        <v>519.70000000000005</v>
      </c>
      <c r="E757">
        <v>69</v>
      </c>
      <c r="F757">
        <v>4.4000000000000004</v>
      </c>
      <c r="G757">
        <v>1</v>
      </c>
      <c r="H757" t="str">
        <v>OK</v>
      </c>
      <c r="J757">
        <f t="shared" si="55"/>
        <v>6231.7000000000007</v>
      </c>
      <c r="K757">
        <f>SUMIF(Supply_Clean[Item_Code], B757, Supply_Clean[Available_Supply])</f>
        <v>18257</v>
      </c>
      <c r="L757">
        <f t="shared" si="56"/>
        <v>1</v>
      </c>
      <c r="M757">
        <f t="shared" si="57"/>
        <v>519.70000000000005</v>
      </c>
      <c r="N757" t="str">
        <f t="shared" si="58"/>
        <v>SUFICIENTE</v>
      </c>
      <c r="O757">
        <f t="shared" si="59"/>
        <v>0</v>
      </c>
    </row>
    <row r="758" spans="1:15" x14ac:dyDescent="0.45">
      <c r="A758" t="str">
        <v>CD-VER</v>
      </c>
      <c r="B758" t="str">
        <v>BEB-1015</v>
      </c>
      <c r="C758">
        <v>1830</v>
      </c>
      <c r="D758">
        <v>350</v>
      </c>
      <c r="E758">
        <v>45.8</v>
      </c>
      <c r="F758">
        <v>3.8</v>
      </c>
      <c r="G758">
        <v>0.9</v>
      </c>
      <c r="H758" t="str">
        <v>OK</v>
      </c>
      <c r="J758">
        <f t="shared" si="55"/>
        <v>5073.0999999999995</v>
      </c>
      <c r="K758">
        <f>SUMIF(Supply_Clean[Item_Code], B758, Supply_Clean[Available_Supply])</f>
        <v>14801</v>
      </c>
      <c r="L758">
        <f t="shared" si="56"/>
        <v>1</v>
      </c>
      <c r="M758">
        <f t="shared" si="57"/>
        <v>350</v>
      </c>
      <c r="N758" t="str">
        <f t="shared" si="58"/>
        <v>SUFICIENTE</v>
      </c>
      <c r="O758">
        <f t="shared" si="59"/>
        <v>0</v>
      </c>
    </row>
    <row r="759" spans="1:15" x14ac:dyDescent="0.45">
      <c r="A759" t="str">
        <v>CD-HER</v>
      </c>
      <c r="B759" t="str">
        <v>LAC-1006</v>
      </c>
      <c r="C759">
        <v>3018</v>
      </c>
      <c r="D759">
        <v>245.7</v>
      </c>
      <c r="E759">
        <v>72.599999999999994</v>
      </c>
      <c r="F759">
        <v>3.4</v>
      </c>
      <c r="G759">
        <v>1.2</v>
      </c>
      <c r="H759" t="str">
        <v>OK</v>
      </c>
      <c r="J759">
        <f t="shared" si="55"/>
        <v>4338.7</v>
      </c>
      <c r="K759">
        <f>SUMIF(Supply_Clean[Item_Code], B759, Supply_Clean[Available_Supply])</f>
        <v>10670</v>
      </c>
      <c r="L759">
        <f t="shared" si="56"/>
        <v>1</v>
      </c>
      <c r="M759">
        <f t="shared" si="57"/>
        <v>245.7</v>
      </c>
      <c r="N759" t="str">
        <f t="shared" si="58"/>
        <v>SUFICIENTE</v>
      </c>
      <c r="O759">
        <f t="shared" si="59"/>
        <v>0</v>
      </c>
    </row>
    <row r="760" spans="1:15" x14ac:dyDescent="0.45">
      <c r="A760" t="str">
        <v>CD-GDL</v>
      </c>
      <c r="B760" t="str">
        <v>ABA-1007</v>
      </c>
      <c r="C760">
        <v>0</v>
      </c>
      <c r="D760">
        <v>354.2</v>
      </c>
      <c r="E760">
        <v>31.9</v>
      </c>
      <c r="F760">
        <v>1.2</v>
      </c>
      <c r="G760">
        <v>0.2</v>
      </c>
      <c r="H760">
        <v>0</v>
      </c>
      <c r="J760">
        <f t="shared" si="55"/>
        <v>4867.3</v>
      </c>
      <c r="K760">
        <f>SUMIF(Supply_Clean[Item_Code], B760, Supply_Clean[Available_Supply])</f>
        <v>13182</v>
      </c>
      <c r="L760">
        <f t="shared" si="56"/>
        <v>1</v>
      </c>
      <c r="M760">
        <f t="shared" si="57"/>
        <v>354.2</v>
      </c>
      <c r="N760" t="str">
        <f t="shared" si="58"/>
        <v>SUFICIENTE</v>
      </c>
      <c r="O760">
        <f t="shared" si="59"/>
        <v>0</v>
      </c>
    </row>
    <row r="761" spans="1:15" x14ac:dyDescent="0.45">
      <c r="A761" t="str">
        <v>CD-HER</v>
      </c>
      <c r="B761" t="str">
        <v>ABA-1007</v>
      </c>
      <c r="C761">
        <v>5185</v>
      </c>
      <c r="D761">
        <v>513.4</v>
      </c>
      <c r="E761">
        <v>67.8</v>
      </c>
      <c r="F761">
        <v>1.1000000000000001</v>
      </c>
      <c r="G761">
        <v>1.2</v>
      </c>
      <c r="H761" t="str">
        <v>OK</v>
      </c>
      <c r="J761">
        <f t="shared" si="55"/>
        <v>4867.3</v>
      </c>
      <c r="K761">
        <f>SUMIF(Supply_Clean[Item_Code], B761, Supply_Clean[Available_Supply])</f>
        <v>13182</v>
      </c>
      <c r="L761">
        <f t="shared" si="56"/>
        <v>1</v>
      </c>
      <c r="M761">
        <f t="shared" si="57"/>
        <v>513.4</v>
      </c>
      <c r="N761" t="str">
        <f t="shared" si="58"/>
        <v>SUFICIENTE</v>
      </c>
      <c r="O761">
        <f t="shared" si="59"/>
        <v>0</v>
      </c>
    </row>
    <row r="762" spans="1:15" x14ac:dyDescent="0.45">
      <c r="A762" t="str">
        <v>CD-HER</v>
      </c>
      <c r="B762" t="str">
        <v>LAC-1017</v>
      </c>
      <c r="C762">
        <v>4249</v>
      </c>
      <c r="D762">
        <v>0</v>
      </c>
      <c r="E762">
        <v>117</v>
      </c>
      <c r="F762">
        <v>4.9000000000000004</v>
      </c>
      <c r="G762">
        <v>1.2</v>
      </c>
      <c r="H762" t="str">
        <v>OK</v>
      </c>
      <c r="J762">
        <f t="shared" si="55"/>
        <v>4246.3999999999996</v>
      </c>
      <c r="K762">
        <f>SUMIF(Supply_Clean[Item_Code], B762, Supply_Clean[Available_Supply])</f>
        <v>12824</v>
      </c>
      <c r="L762">
        <f t="shared" si="56"/>
        <v>1</v>
      </c>
      <c r="M762">
        <f t="shared" si="57"/>
        <v>0</v>
      </c>
      <c r="N762" t="str">
        <f t="shared" si="58"/>
        <v>SUFICIENTE</v>
      </c>
      <c r="O762">
        <f t="shared" si="59"/>
        <v>0</v>
      </c>
    </row>
    <row r="763" spans="1:15" x14ac:dyDescent="0.45">
      <c r="A763" t="str">
        <v>CD-QRO</v>
      </c>
      <c r="B763" t="str">
        <v>BOT-1017</v>
      </c>
      <c r="C763">
        <v>7744</v>
      </c>
      <c r="D763">
        <v>517.70000000000005</v>
      </c>
      <c r="E763">
        <v>147.4</v>
      </c>
      <c r="F763">
        <v>2</v>
      </c>
      <c r="G763">
        <v>0.4</v>
      </c>
      <c r="H763" t="str">
        <v>OK</v>
      </c>
      <c r="J763">
        <f t="shared" si="55"/>
        <v>10291.300000000001</v>
      </c>
      <c r="K763">
        <f>SUMIF(Supply_Clean[Item_Code], B763, Supply_Clean[Available_Supply])</f>
        <v>5486</v>
      </c>
      <c r="L763">
        <f t="shared" si="56"/>
        <v>0.53307162360440363</v>
      </c>
      <c r="M763">
        <f t="shared" si="57"/>
        <v>275.97117953999981</v>
      </c>
      <c r="N763" t="str">
        <f t="shared" si="58"/>
        <v>ESCASEZ</v>
      </c>
      <c r="O763">
        <f t="shared" si="59"/>
        <v>241.72882046000024</v>
      </c>
    </row>
    <row r="764" spans="1:15" x14ac:dyDescent="0.45">
      <c r="A764" t="str">
        <v>CD-MOR</v>
      </c>
      <c r="B764" t="str">
        <v>PRO-1010</v>
      </c>
      <c r="C764">
        <v>3882</v>
      </c>
      <c r="D764">
        <v>246.6</v>
      </c>
      <c r="E764">
        <v>165.1</v>
      </c>
      <c r="F764">
        <v>2.2000000000000002</v>
      </c>
      <c r="G764">
        <v>0.5</v>
      </c>
      <c r="H764" t="str">
        <v>OK</v>
      </c>
      <c r="J764">
        <f t="shared" si="55"/>
        <v>6996.1000000000013</v>
      </c>
      <c r="K764">
        <f>SUMIF(Supply_Clean[Item_Code], B764, Supply_Clean[Available_Supply])</f>
        <v>18475</v>
      </c>
      <c r="L764">
        <f t="shared" si="56"/>
        <v>1</v>
      </c>
      <c r="M764">
        <f t="shared" si="57"/>
        <v>246.6</v>
      </c>
      <c r="N764" t="str">
        <f t="shared" si="58"/>
        <v>SUFICIENTE</v>
      </c>
      <c r="O764">
        <f t="shared" si="59"/>
        <v>0</v>
      </c>
    </row>
    <row r="765" spans="1:15" x14ac:dyDescent="0.45">
      <c r="A765" t="str">
        <v>CD-LEO</v>
      </c>
      <c r="B765" t="str">
        <v>BOT-1017</v>
      </c>
      <c r="C765">
        <v>3463</v>
      </c>
      <c r="D765">
        <v>654.20000000000005</v>
      </c>
      <c r="E765">
        <v>173.4</v>
      </c>
      <c r="F765">
        <v>1.8</v>
      </c>
      <c r="G765">
        <v>0.6</v>
      </c>
      <c r="H765" t="str">
        <v>OK</v>
      </c>
      <c r="J765">
        <f t="shared" si="55"/>
        <v>10291.300000000001</v>
      </c>
      <c r="K765">
        <f>SUMIF(Supply_Clean[Item_Code], B765, Supply_Clean[Available_Supply])</f>
        <v>5486</v>
      </c>
      <c r="L765">
        <f t="shared" si="56"/>
        <v>0.53307162360440363</v>
      </c>
      <c r="M765">
        <f t="shared" si="57"/>
        <v>348.7354561620009</v>
      </c>
      <c r="N765" t="str">
        <f t="shared" si="58"/>
        <v>ESCASEZ</v>
      </c>
      <c r="O765">
        <f t="shared" si="59"/>
        <v>305.46454383799914</v>
      </c>
    </row>
    <row r="766" spans="1:15" x14ac:dyDescent="0.45">
      <c r="A766" t="str">
        <v>CD-PUE</v>
      </c>
      <c r="B766" t="str">
        <v>BOT-1005</v>
      </c>
      <c r="C766">
        <v>4522</v>
      </c>
      <c r="D766">
        <v>593.5</v>
      </c>
      <c r="E766">
        <v>129.80000000000001</v>
      </c>
      <c r="F766">
        <v>1.1000000000000001</v>
      </c>
      <c r="G766">
        <v>0.3</v>
      </c>
      <c r="H766" t="str">
        <v>OK</v>
      </c>
      <c r="J766">
        <f t="shared" si="55"/>
        <v>8620.3000000000011</v>
      </c>
      <c r="K766">
        <f>SUMIF(Supply_Clean[Item_Code], B766, Supply_Clean[Available_Supply])</f>
        <v>23903</v>
      </c>
      <c r="L766">
        <f t="shared" si="56"/>
        <v>1</v>
      </c>
      <c r="M766">
        <f t="shared" si="57"/>
        <v>593.5</v>
      </c>
      <c r="N766" t="str">
        <f t="shared" si="58"/>
        <v>SUFICIENTE</v>
      </c>
      <c r="O766">
        <f t="shared" si="59"/>
        <v>0</v>
      </c>
    </row>
    <row r="767" spans="1:15" x14ac:dyDescent="0.45">
      <c r="A767" t="str">
        <v>CD-VER</v>
      </c>
      <c r="B767" t="str">
        <v>ABA-1006</v>
      </c>
      <c r="C767">
        <v>2324</v>
      </c>
      <c r="D767">
        <v>424.1</v>
      </c>
      <c r="E767">
        <v>40.200000000000003</v>
      </c>
      <c r="F767">
        <v>2.9</v>
      </c>
      <c r="G767">
        <v>0.9</v>
      </c>
      <c r="H767" t="str">
        <v>OK</v>
      </c>
      <c r="J767">
        <f t="shared" si="55"/>
        <v>4882.1000000000004</v>
      </c>
      <c r="K767">
        <f>SUMIF(Supply_Clean[Item_Code], B767, Supply_Clean[Available_Supply])</f>
        <v>15586</v>
      </c>
      <c r="L767">
        <f t="shared" si="56"/>
        <v>1</v>
      </c>
      <c r="M767">
        <f t="shared" si="57"/>
        <v>424.1</v>
      </c>
      <c r="N767" t="str">
        <f t="shared" si="58"/>
        <v>SUFICIENTE</v>
      </c>
      <c r="O767">
        <f t="shared" si="59"/>
        <v>0</v>
      </c>
    </row>
    <row r="768" spans="1:15" x14ac:dyDescent="0.45">
      <c r="A768" t="str">
        <v>CD-CDMX</v>
      </c>
      <c r="B768" t="str">
        <v>BEB-1002</v>
      </c>
      <c r="C768">
        <v>7941</v>
      </c>
      <c r="D768">
        <v>577.5</v>
      </c>
      <c r="E768">
        <v>79.7</v>
      </c>
      <c r="F768">
        <v>1.1000000000000001</v>
      </c>
      <c r="G768">
        <v>0.2</v>
      </c>
      <c r="H768" t="str">
        <v>OK</v>
      </c>
      <c r="J768">
        <f t="shared" si="55"/>
        <v>6246.8</v>
      </c>
      <c r="K768">
        <f>SUMIF(Supply_Clean[Item_Code], B768, Supply_Clean[Available_Supply])</f>
        <v>13052</v>
      </c>
      <c r="L768">
        <f t="shared" si="56"/>
        <v>1</v>
      </c>
      <c r="M768">
        <f t="shared" si="57"/>
        <v>577.5</v>
      </c>
      <c r="N768" t="str">
        <f t="shared" si="58"/>
        <v>SUFICIENTE</v>
      </c>
      <c r="O768">
        <f t="shared" si="59"/>
        <v>0</v>
      </c>
    </row>
    <row r="769" spans="1:15" x14ac:dyDescent="0.45">
      <c r="A769" t="str">
        <v>CD-VER</v>
      </c>
      <c r="B769" t="str">
        <v>BEB-1006</v>
      </c>
      <c r="C769">
        <v>1383</v>
      </c>
      <c r="D769">
        <v>385.3</v>
      </c>
      <c r="E769">
        <v>50.7</v>
      </c>
      <c r="F769">
        <v>2.8</v>
      </c>
      <c r="G769">
        <v>0.9</v>
      </c>
      <c r="H769" t="str">
        <v>OK</v>
      </c>
      <c r="J769">
        <f t="shared" si="55"/>
        <v>5154.2000000000016</v>
      </c>
      <c r="K769">
        <f>SUMIF(Supply_Clean[Item_Code], B769, Supply_Clean[Available_Supply])</f>
        <v>12324</v>
      </c>
      <c r="L769">
        <f t="shared" si="56"/>
        <v>1</v>
      </c>
      <c r="M769">
        <f t="shared" si="57"/>
        <v>385.3</v>
      </c>
      <c r="N769" t="str">
        <f t="shared" si="58"/>
        <v>SUFICIENTE</v>
      </c>
      <c r="O769">
        <f t="shared" si="59"/>
        <v>0</v>
      </c>
    </row>
    <row r="770" spans="1:15" x14ac:dyDescent="0.45">
      <c r="A770" t="str">
        <v>CD-SAL</v>
      </c>
      <c r="B770" t="str">
        <v>ABA-1007</v>
      </c>
      <c r="C770">
        <v>2270</v>
      </c>
      <c r="D770">
        <v>265.60000000000002</v>
      </c>
      <c r="E770">
        <v>39.5</v>
      </c>
      <c r="F770">
        <v>2.2999999999999998</v>
      </c>
      <c r="G770">
        <v>0.5</v>
      </c>
      <c r="H770" t="str">
        <v>OK</v>
      </c>
      <c r="J770">
        <f t="shared" si="55"/>
        <v>4867.3</v>
      </c>
      <c r="K770">
        <f>SUMIF(Supply_Clean[Item_Code], B770, Supply_Clean[Available_Supply])</f>
        <v>13182</v>
      </c>
      <c r="L770">
        <f t="shared" si="56"/>
        <v>1</v>
      </c>
      <c r="M770">
        <f t="shared" si="57"/>
        <v>265.60000000000002</v>
      </c>
      <c r="N770" t="str">
        <f t="shared" si="58"/>
        <v>SUFICIENTE</v>
      </c>
      <c r="O770">
        <f t="shared" si="59"/>
        <v>0</v>
      </c>
    </row>
    <row r="771" spans="1:15" x14ac:dyDescent="0.45">
      <c r="A771" t="str">
        <v>CD-LEO</v>
      </c>
      <c r="B771" t="str">
        <v>BOT-1018</v>
      </c>
      <c r="C771">
        <v>4905</v>
      </c>
      <c r="D771">
        <v>482.8</v>
      </c>
      <c r="E771">
        <v>140.69999999999999</v>
      </c>
      <c r="F771">
        <v>1.4</v>
      </c>
      <c r="G771">
        <v>0.6</v>
      </c>
      <c r="H771" t="str">
        <v>OK</v>
      </c>
      <c r="J771">
        <f t="shared" ref="J771:J834" si="60">SUMIF($B$2:$B$1501, B771, $D$2:$D$1501)</f>
        <v>8014.5000000000009</v>
      </c>
      <c r="K771">
        <f>SUMIF(Supply_Clean[Item_Code], B771, Supply_Clean[Available_Supply])</f>
        <v>15093</v>
      </c>
      <c r="L771">
        <f t="shared" ref="L771:L834" si="61">IFERROR(MIN(1, K771/J771), "")</f>
        <v>1</v>
      </c>
      <c r="M771">
        <f t="shared" ref="M771:M834" si="62">IFERROR(D771*L771, "")</f>
        <v>482.8</v>
      </c>
      <c r="N771" t="str">
        <f t="shared" ref="N771:N834" si="63">IF(L771&lt;1, "ESCASEZ", "SUFICIENTE")</f>
        <v>SUFICIENTE</v>
      </c>
      <c r="O771">
        <f t="shared" ref="O771:O834" si="64">IF(N771="ESCASEZ", D771-M771, 0)</f>
        <v>0</v>
      </c>
    </row>
    <row r="772" spans="1:15" x14ac:dyDescent="0.45">
      <c r="A772" t="str">
        <v>CD-MTY</v>
      </c>
      <c r="B772" t="str">
        <v>PRO-1004</v>
      </c>
      <c r="C772">
        <v>8757</v>
      </c>
      <c r="D772">
        <v>529.6</v>
      </c>
      <c r="E772">
        <v>251.8</v>
      </c>
      <c r="F772">
        <v>0.7</v>
      </c>
      <c r="G772">
        <v>0.3</v>
      </c>
      <c r="H772" t="str">
        <v>OK</v>
      </c>
      <c r="J772">
        <f t="shared" si="60"/>
        <v>5295.1999999999989</v>
      </c>
      <c r="K772">
        <f>SUMIF(Supply_Clean[Item_Code], B772, Supply_Clean[Available_Supply])</f>
        <v>13057</v>
      </c>
      <c r="L772">
        <f t="shared" si="61"/>
        <v>1</v>
      </c>
      <c r="M772">
        <f t="shared" si="62"/>
        <v>529.6</v>
      </c>
      <c r="N772" t="str">
        <f t="shared" si="63"/>
        <v>SUFICIENTE</v>
      </c>
      <c r="O772">
        <f t="shared" si="64"/>
        <v>0</v>
      </c>
    </row>
    <row r="773" spans="1:15" x14ac:dyDescent="0.45">
      <c r="A773" t="str">
        <v>CD-GDL</v>
      </c>
      <c r="B773" t="str">
        <v>ABA-1016</v>
      </c>
      <c r="C773">
        <v>5806</v>
      </c>
      <c r="D773">
        <v>363.4</v>
      </c>
      <c r="E773">
        <v>45.3</v>
      </c>
      <c r="F773">
        <v>1.2</v>
      </c>
      <c r="G773">
        <v>0.2</v>
      </c>
      <c r="H773" t="str">
        <v>OK</v>
      </c>
      <c r="J773">
        <f t="shared" si="60"/>
        <v>5056.7</v>
      </c>
      <c r="K773">
        <f>SUMIF(Supply_Clean[Item_Code], B773, Supply_Clean[Available_Supply])</f>
        <v>9151</v>
      </c>
      <c r="L773">
        <f t="shared" si="61"/>
        <v>1</v>
      </c>
      <c r="M773">
        <f t="shared" si="62"/>
        <v>363.4</v>
      </c>
      <c r="N773" t="str">
        <f t="shared" si="63"/>
        <v>SUFICIENTE</v>
      </c>
      <c r="O773">
        <f t="shared" si="64"/>
        <v>0</v>
      </c>
    </row>
    <row r="774" spans="1:15" x14ac:dyDescent="0.45">
      <c r="A774" t="str">
        <v>CD-SAL</v>
      </c>
      <c r="B774" t="str">
        <v>PRO-1000</v>
      </c>
      <c r="C774">
        <v>1802</v>
      </c>
      <c r="D774">
        <v>490.6</v>
      </c>
      <c r="E774">
        <v>314.10000000000002</v>
      </c>
      <c r="F774">
        <v>1.8</v>
      </c>
      <c r="G774">
        <v>0.5</v>
      </c>
      <c r="H774" t="str">
        <v>OK</v>
      </c>
      <c r="J774">
        <f t="shared" si="60"/>
        <v>5872.7</v>
      </c>
      <c r="K774">
        <f>SUMIF(Supply_Clean[Item_Code], B774, Supply_Clean[Available_Supply])</f>
        <v>2915</v>
      </c>
      <c r="L774">
        <f t="shared" si="61"/>
        <v>0.49636453420062326</v>
      </c>
      <c r="M774">
        <f t="shared" si="62"/>
        <v>243.51644047882579</v>
      </c>
      <c r="N774" t="str">
        <f t="shared" si="63"/>
        <v>ESCASEZ</v>
      </c>
      <c r="O774">
        <f t="shared" si="64"/>
        <v>247.08355952117424</v>
      </c>
    </row>
    <row r="775" spans="1:15" x14ac:dyDescent="0.45">
      <c r="A775" t="str">
        <v>CD-MOR</v>
      </c>
      <c r="B775" t="str">
        <v>PRO-1004</v>
      </c>
      <c r="C775">
        <v>2492</v>
      </c>
      <c r="D775">
        <v>183.2</v>
      </c>
      <c r="E775">
        <v>84.3</v>
      </c>
      <c r="F775">
        <v>2</v>
      </c>
      <c r="G775">
        <v>0.5</v>
      </c>
      <c r="H775" t="str">
        <v>OK</v>
      </c>
      <c r="J775">
        <f t="shared" si="60"/>
        <v>5295.1999999999989</v>
      </c>
      <c r="K775">
        <f>SUMIF(Supply_Clean[Item_Code], B775, Supply_Clean[Available_Supply])</f>
        <v>13057</v>
      </c>
      <c r="L775">
        <f t="shared" si="61"/>
        <v>1</v>
      </c>
      <c r="M775">
        <f t="shared" si="62"/>
        <v>183.2</v>
      </c>
      <c r="N775" t="str">
        <f t="shared" si="63"/>
        <v>SUFICIENTE</v>
      </c>
      <c r="O775">
        <f t="shared" si="64"/>
        <v>0</v>
      </c>
    </row>
    <row r="776" spans="1:15" x14ac:dyDescent="0.45">
      <c r="A776" t="str">
        <v>CD-PUE</v>
      </c>
      <c r="B776" t="str">
        <v>LAC-1007</v>
      </c>
      <c r="C776">
        <v>4842</v>
      </c>
      <c r="D776">
        <v>437.6</v>
      </c>
      <c r="E776">
        <v>181.3</v>
      </c>
      <c r="F776">
        <v>1.2</v>
      </c>
      <c r="G776">
        <v>0.3</v>
      </c>
      <c r="H776" t="str">
        <v>OK</v>
      </c>
      <c r="J776">
        <f t="shared" si="60"/>
        <v>4093.7999999999997</v>
      </c>
      <c r="K776">
        <f>SUMIF(Supply_Clean[Item_Code], B776, Supply_Clean[Available_Supply])</f>
        <v>11651</v>
      </c>
      <c r="L776">
        <f t="shared" si="61"/>
        <v>1</v>
      </c>
      <c r="M776">
        <f t="shared" si="62"/>
        <v>437.6</v>
      </c>
      <c r="N776" t="str">
        <f t="shared" si="63"/>
        <v>SUFICIENTE</v>
      </c>
      <c r="O776">
        <f t="shared" si="64"/>
        <v>0</v>
      </c>
    </row>
    <row r="777" spans="1:15" x14ac:dyDescent="0.45">
      <c r="A777" t="str">
        <v>CD-SAL</v>
      </c>
      <c r="B777" t="str">
        <v>BEB-1004</v>
      </c>
      <c r="C777">
        <v>6395</v>
      </c>
      <c r="D777">
        <v>373.2</v>
      </c>
      <c r="E777">
        <v>43.1</v>
      </c>
      <c r="F777">
        <v>2.1</v>
      </c>
      <c r="G777">
        <v>0.5</v>
      </c>
      <c r="H777" t="str">
        <v>OK</v>
      </c>
      <c r="J777">
        <f t="shared" si="60"/>
        <v>5324.2</v>
      </c>
      <c r="K777">
        <f>SUMIF(Supply_Clean[Item_Code], B777, Supply_Clean[Available_Supply])</f>
        <v>15672</v>
      </c>
      <c r="L777">
        <f t="shared" si="61"/>
        <v>1</v>
      </c>
      <c r="M777">
        <f t="shared" si="62"/>
        <v>373.2</v>
      </c>
      <c r="N777" t="str">
        <f t="shared" si="63"/>
        <v>SUFICIENTE</v>
      </c>
      <c r="O777">
        <f t="shared" si="64"/>
        <v>0</v>
      </c>
    </row>
    <row r="778" spans="1:15" x14ac:dyDescent="0.45">
      <c r="A778" t="str">
        <v>CD-GDL</v>
      </c>
      <c r="B778" t="str">
        <v>ABA-1013</v>
      </c>
      <c r="C778">
        <v>784</v>
      </c>
      <c r="D778">
        <v>228.7</v>
      </c>
      <c r="E778">
        <v>27</v>
      </c>
      <c r="F778">
        <v>1</v>
      </c>
      <c r="G778">
        <v>0.2</v>
      </c>
      <c r="H778" t="str">
        <v>OK</v>
      </c>
      <c r="J778">
        <f t="shared" si="60"/>
        <v>4213.8999999999996</v>
      </c>
      <c r="K778">
        <f>SUMIF(Supply_Clean[Item_Code], B778, Supply_Clean[Available_Supply])</f>
        <v>2568</v>
      </c>
      <c r="L778">
        <f t="shared" si="61"/>
        <v>0.60941170886826934</v>
      </c>
      <c r="M778">
        <f t="shared" si="62"/>
        <v>139.37245781817319</v>
      </c>
      <c r="N778" t="str">
        <f t="shared" si="63"/>
        <v>ESCASEZ</v>
      </c>
      <c r="O778">
        <f t="shared" si="64"/>
        <v>89.3275421818268</v>
      </c>
    </row>
    <row r="779" spans="1:15" x14ac:dyDescent="0.45">
      <c r="A779" t="str">
        <v>CD-MOR</v>
      </c>
      <c r="B779" t="str">
        <v>LAC-1010</v>
      </c>
      <c r="C779">
        <v>1747</v>
      </c>
      <c r="D779">
        <v>164.4</v>
      </c>
      <c r="E779">
        <v>64.900000000000006</v>
      </c>
      <c r="F779">
        <v>2</v>
      </c>
      <c r="G779">
        <v>0.5</v>
      </c>
      <c r="H779" t="str">
        <v>OK</v>
      </c>
      <c r="J779">
        <f t="shared" si="60"/>
        <v>4321.7</v>
      </c>
      <c r="K779">
        <f>SUMIF(Supply_Clean[Item_Code], B779, Supply_Clean[Available_Supply])</f>
        <v>11567</v>
      </c>
      <c r="L779">
        <f t="shared" si="61"/>
        <v>1</v>
      </c>
      <c r="M779">
        <f t="shared" si="62"/>
        <v>164.4</v>
      </c>
      <c r="N779" t="str">
        <f t="shared" si="63"/>
        <v>SUFICIENTE</v>
      </c>
      <c r="O779">
        <f t="shared" si="64"/>
        <v>0</v>
      </c>
    </row>
    <row r="780" spans="1:15" x14ac:dyDescent="0.45">
      <c r="A780" t="str">
        <v>CD-QRO</v>
      </c>
      <c r="B780" t="str">
        <v>ABA-1015</v>
      </c>
      <c r="C780">
        <v>2863</v>
      </c>
      <c r="D780">
        <v>194</v>
      </c>
      <c r="E780">
        <v>18</v>
      </c>
      <c r="F780">
        <v>2.5</v>
      </c>
      <c r="G780">
        <v>0.4</v>
      </c>
      <c r="H780" t="str">
        <v>OK</v>
      </c>
      <c r="J780">
        <f t="shared" si="60"/>
        <v>3986.4999999999991</v>
      </c>
      <c r="K780">
        <f>SUMIF(Supply_Clean[Item_Code], B780, Supply_Clean[Available_Supply])</f>
        <v>7969</v>
      </c>
      <c r="L780">
        <f t="shared" si="61"/>
        <v>1</v>
      </c>
      <c r="M780">
        <f t="shared" si="62"/>
        <v>194</v>
      </c>
      <c r="N780" t="str">
        <f t="shared" si="63"/>
        <v>SUFICIENTE</v>
      </c>
      <c r="O780">
        <f t="shared" si="64"/>
        <v>0</v>
      </c>
    </row>
    <row r="781" spans="1:15" x14ac:dyDescent="0.45">
      <c r="A781" t="str">
        <v>CD-CDMX</v>
      </c>
      <c r="B781" t="str">
        <v>BEB-1006</v>
      </c>
      <c r="C781">
        <v>4951</v>
      </c>
      <c r="D781">
        <v>593.4</v>
      </c>
      <c r="E781">
        <v>70</v>
      </c>
      <c r="F781">
        <v>1</v>
      </c>
      <c r="G781">
        <v>0.2</v>
      </c>
      <c r="H781" t="str">
        <v>OK</v>
      </c>
      <c r="J781">
        <f t="shared" si="60"/>
        <v>5154.2000000000016</v>
      </c>
      <c r="K781">
        <f>SUMIF(Supply_Clean[Item_Code], B781, Supply_Clean[Available_Supply])</f>
        <v>12324</v>
      </c>
      <c r="L781">
        <f t="shared" si="61"/>
        <v>1</v>
      </c>
      <c r="M781">
        <f t="shared" si="62"/>
        <v>593.4</v>
      </c>
      <c r="N781" t="str">
        <f t="shared" si="63"/>
        <v>SUFICIENTE</v>
      </c>
      <c r="O781">
        <f t="shared" si="64"/>
        <v>0</v>
      </c>
    </row>
    <row r="782" spans="1:15" x14ac:dyDescent="0.45">
      <c r="A782" t="str">
        <v>CD-LEO</v>
      </c>
      <c r="B782" t="str">
        <v>BEB-1006</v>
      </c>
      <c r="C782">
        <v>0</v>
      </c>
      <c r="D782">
        <v>456.9</v>
      </c>
      <c r="E782">
        <v>88.2</v>
      </c>
      <c r="F782">
        <v>3.2</v>
      </c>
      <c r="G782">
        <v>0.6</v>
      </c>
      <c r="H782">
        <v>0</v>
      </c>
      <c r="J782">
        <f t="shared" si="60"/>
        <v>5154.2000000000016</v>
      </c>
      <c r="K782">
        <f>SUMIF(Supply_Clean[Item_Code], B782, Supply_Clean[Available_Supply])</f>
        <v>12324</v>
      </c>
      <c r="L782">
        <f t="shared" si="61"/>
        <v>1</v>
      </c>
      <c r="M782">
        <f t="shared" si="62"/>
        <v>456.9</v>
      </c>
      <c r="N782" t="str">
        <f t="shared" si="63"/>
        <v>SUFICIENTE</v>
      </c>
      <c r="O782">
        <f t="shared" si="64"/>
        <v>0</v>
      </c>
    </row>
    <row r="783" spans="1:15" x14ac:dyDescent="0.45">
      <c r="A783" t="str">
        <v>CD-MER</v>
      </c>
      <c r="B783" t="str">
        <v>BOT-1022</v>
      </c>
      <c r="C783">
        <v>2596</v>
      </c>
      <c r="D783">
        <v>0</v>
      </c>
      <c r="E783">
        <v>82.4</v>
      </c>
      <c r="F783">
        <v>3.8</v>
      </c>
      <c r="G783">
        <v>1.3</v>
      </c>
      <c r="H783" t="str">
        <v>OK</v>
      </c>
      <c r="J783">
        <f t="shared" si="60"/>
        <v>9197.7000000000007</v>
      </c>
      <c r="K783">
        <f>SUMIF(Supply_Clean[Item_Code], B783, Supply_Clean[Available_Supply])</f>
        <v>23862</v>
      </c>
      <c r="L783">
        <f t="shared" si="61"/>
        <v>1</v>
      </c>
      <c r="M783">
        <f t="shared" si="62"/>
        <v>0</v>
      </c>
      <c r="N783" t="str">
        <f t="shared" si="63"/>
        <v>SUFICIENTE</v>
      </c>
      <c r="O783">
        <f t="shared" si="64"/>
        <v>0</v>
      </c>
    </row>
    <row r="784" spans="1:15" x14ac:dyDescent="0.45">
      <c r="A784" t="str">
        <v>CD-CAN</v>
      </c>
      <c r="B784" t="str">
        <v>ABA-1005</v>
      </c>
      <c r="C784">
        <v>1573</v>
      </c>
      <c r="D784">
        <v>570.4</v>
      </c>
      <c r="E784">
        <v>61.2</v>
      </c>
      <c r="F784">
        <v>2.9</v>
      </c>
      <c r="G784">
        <v>1.6</v>
      </c>
      <c r="H784" t="str">
        <v>OK</v>
      </c>
      <c r="J784">
        <f t="shared" si="60"/>
        <v>5173.5999999999995</v>
      </c>
      <c r="K784">
        <f>SUMIF(Supply_Clean[Item_Code], B784, Supply_Clean[Available_Supply])</f>
        <v>15028</v>
      </c>
      <c r="L784">
        <f t="shared" si="61"/>
        <v>1</v>
      </c>
      <c r="M784">
        <f t="shared" si="62"/>
        <v>570.4</v>
      </c>
      <c r="N784" t="str">
        <f t="shared" si="63"/>
        <v>SUFICIENTE</v>
      </c>
      <c r="O784">
        <f t="shared" si="64"/>
        <v>0</v>
      </c>
    </row>
    <row r="785" spans="1:15" x14ac:dyDescent="0.45">
      <c r="A785" t="str">
        <v>CD-VER</v>
      </c>
      <c r="B785" t="str">
        <v>BOT-1006</v>
      </c>
      <c r="C785">
        <v>1676</v>
      </c>
      <c r="D785">
        <v>571.1</v>
      </c>
      <c r="E785">
        <v>123.7</v>
      </c>
      <c r="F785">
        <v>2.2000000000000002</v>
      </c>
      <c r="G785">
        <v>0.9</v>
      </c>
      <c r="H785" t="str">
        <v>OK</v>
      </c>
      <c r="J785">
        <f t="shared" si="60"/>
        <v>7732.6000000000013</v>
      </c>
      <c r="K785">
        <f>SUMIF(Supply_Clean[Item_Code], B785, Supply_Clean[Available_Supply])</f>
        <v>16401</v>
      </c>
      <c r="L785">
        <f t="shared" si="61"/>
        <v>1</v>
      </c>
      <c r="M785">
        <f t="shared" si="62"/>
        <v>571.1</v>
      </c>
      <c r="N785" t="str">
        <f t="shared" si="63"/>
        <v>SUFICIENTE</v>
      </c>
      <c r="O785">
        <f t="shared" si="64"/>
        <v>0</v>
      </c>
    </row>
    <row r="786" spans="1:15" x14ac:dyDescent="0.45">
      <c r="A786" t="str">
        <v>CD-QRO</v>
      </c>
      <c r="B786" t="str">
        <v>BOT-1023</v>
      </c>
      <c r="C786">
        <v>3919</v>
      </c>
      <c r="D786">
        <v>388.3</v>
      </c>
      <c r="E786">
        <v>78</v>
      </c>
      <c r="F786">
        <v>1.6</v>
      </c>
      <c r="G786">
        <v>0.4</v>
      </c>
      <c r="H786" t="str">
        <v>OK</v>
      </c>
      <c r="J786">
        <f t="shared" si="60"/>
        <v>8227.6</v>
      </c>
      <c r="K786">
        <f>SUMIF(Supply_Clean[Item_Code], B786, Supply_Clean[Available_Supply])</f>
        <v>23663</v>
      </c>
      <c r="L786">
        <f t="shared" si="61"/>
        <v>1</v>
      </c>
      <c r="M786">
        <f t="shared" si="62"/>
        <v>388.3</v>
      </c>
      <c r="N786" t="str">
        <f t="shared" si="63"/>
        <v>SUFICIENTE</v>
      </c>
      <c r="O786">
        <f t="shared" si="64"/>
        <v>0</v>
      </c>
    </row>
    <row r="787" spans="1:15" x14ac:dyDescent="0.45">
      <c r="A787" t="str">
        <v>CD-TIJ</v>
      </c>
      <c r="B787" t="str">
        <v>BOT-1022</v>
      </c>
      <c r="C787">
        <v>3467</v>
      </c>
      <c r="D787">
        <v>416.7</v>
      </c>
      <c r="E787">
        <v>108.7</v>
      </c>
      <c r="F787">
        <v>6.6</v>
      </c>
      <c r="G787">
        <v>1.5</v>
      </c>
      <c r="H787" t="str">
        <v>OK</v>
      </c>
      <c r="J787">
        <f t="shared" si="60"/>
        <v>9197.7000000000007</v>
      </c>
      <c r="K787">
        <f>SUMIF(Supply_Clean[Item_Code], B787, Supply_Clean[Available_Supply])</f>
        <v>23862</v>
      </c>
      <c r="L787">
        <f t="shared" si="61"/>
        <v>1</v>
      </c>
      <c r="M787">
        <f t="shared" si="62"/>
        <v>416.7</v>
      </c>
      <c r="N787" t="str">
        <f t="shared" si="63"/>
        <v>SUFICIENTE</v>
      </c>
      <c r="O787">
        <f t="shared" si="64"/>
        <v>0</v>
      </c>
    </row>
    <row r="788" spans="1:15" x14ac:dyDescent="0.45">
      <c r="A788" t="str">
        <v>CD-CAN</v>
      </c>
      <c r="B788" t="str">
        <v>ABA-1013</v>
      </c>
      <c r="C788">
        <v>841</v>
      </c>
      <c r="D788">
        <v>0</v>
      </c>
      <c r="E788">
        <v>52.3</v>
      </c>
      <c r="F788">
        <v>4.4000000000000004</v>
      </c>
      <c r="G788">
        <v>1.6</v>
      </c>
      <c r="H788" t="str">
        <v>OK</v>
      </c>
      <c r="J788">
        <f t="shared" si="60"/>
        <v>4213.8999999999996</v>
      </c>
      <c r="K788">
        <f>SUMIF(Supply_Clean[Item_Code], B788, Supply_Clean[Available_Supply])</f>
        <v>2568</v>
      </c>
      <c r="L788">
        <f t="shared" si="61"/>
        <v>0.60941170886826934</v>
      </c>
      <c r="M788">
        <f t="shared" si="62"/>
        <v>0</v>
      </c>
      <c r="N788" t="str">
        <f t="shared" si="63"/>
        <v>ESCASEZ</v>
      </c>
      <c r="O788">
        <f t="shared" si="64"/>
        <v>0</v>
      </c>
    </row>
    <row r="789" spans="1:15" x14ac:dyDescent="0.45">
      <c r="A789" t="str">
        <v>CD-MOR</v>
      </c>
      <c r="B789" t="str">
        <v>ABA-1018</v>
      </c>
      <c r="C789">
        <v>872</v>
      </c>
      <c r="D789">
        <v>313.3</v>
      </c>
      <c r="E789">
        <v>39.700000000000003</v>
      </c>
      <c r="F789">
        <v>1.6</v>
      </c>
      <c r="G789">
        <v>0.5</v>
      </c>
      <c r="H789" t="str">
        <v>OK</v>
      </c>
      <c r="J789">
        <f t="shared" si="60"/>
        <v>4478</v>
      </c>
      <c r="K789">
        <f>SUMIF(Supply_Clean[Item_Code], B789, Supply_Clean[Available_Supply])</f>
        <v>6884</v>
      </c>
      <c r="L789">
        <f t="shared" si="61"/>
        <v>1</v>
      </c>
      <c r="M789">
        <f t="shared" si="62"/>
        <v>313.3</v>
      </c>
      <c r="N789" t="str">
        <f t="shared" si="63"/>
        <v>SUFICIENTE</v>
      </c>
      <c r="O789">
        <f t="shared" si="64"/>
        <v>0</v>
      </c>
    </row>
    <row r="790" spans="1:15" x14ac:dyDescent="0.45">
      <c r="A790" t="str">
        <v>CD-MOR</v>
      </c>
      <c r="B790" t="str">
        <v>ABA-1015</v>
      </c>
      <c r="C790">
        <v>2298</v>
      </c>
      <c r="D790">
        <v>209.7</v>
      </c>
      <c r="E790">
        <v>27</v>
      </c>
      <c r="F790">
        <v>1.7</v>
      </c>
      <c r="G790">
        <v>0.5</v>
      </c>
      <c r="H790" t="str">
        <v>OK</v>
      </c>
      <c r="J790">
        <f t="shared" si="60"/>
        <v>3986.4999999999991</v>
      </c>
      <c r="K790">
        <f>SUMIF(Supply_Clean[Item_Code], B790, Supply_Clean[Available_Supply])</f>
        <v>7969</v>
      </c>
      <c r="L790">
        <f t="shared" si="61"/>
        <v>1</v>
      </c>
      <c r="M790">
        <f t="shared" si="62"/>
        <v>209.7</v>
      </c>
      <c r="N790" t="str">
        <f t="shared" si="63"/>
        <v>SUFICIENTE</v>
      </c>
      <c r="O790">
        <f t="shared" si="64"/>
        <v>0</v>
      </c>
    </row>
    <row r="791" spans="1:15" x14ac:dyDescent="0.45">
      <c r="A791" t="str">
        <v>CD-CAN</v>
      </c>
      <c r="B791" t="str">
        <v>ABA-1002</v>
      </c>
      <c r="C791">
        <v>2592</v>
      </c>
      <c r="D791">
        <v>189.6</v>
      </c>
      <c r="E791">
        <v>24.2</v>
      </c>
      <c r="F791">
        <v>5.6</v>
      </c>
      <c r="G791">
        <v>1.6</v>
      </c>
      <c r="H791" t="str">
        <v>OK</v>
      </c>
      <c r="J791">
        <f t="shared" si="60"/>
        <v>4525.7</v>
      </c>
      <c r="K791">
        <f>SUMIF(Supply_Clean[Item_Code], B791, Supply_Clean[Available_Supply])</f>
        <v>8581</v>
      </c>
      <c r="L791">
        <f t="shared" si="61"/>
        <v>1</v>
      </c>
      <c r="M791">
        <f t="shared" si="62"/>
        <v>189.6</v>
      </c>
      <c r="N791" t="str">
        <f t="shared" si="63"/>
        <v>SUFICIENTE</v>
      </c>
      <c r="O791">
        <f t="shared" si="64"/>
        <v>0</v>
      </c>
    </row>
    <row r="792" spans="1:15" x14ac:dyDescent="0.45">
      <c r="A792" t="str">
        <v>CD-TOL</v>
      </c>
      <c r="B792" t="str">
        <v>ABA-1008</v>
      </c>
      <c r="C792">
        <v>0</v>
      </c>
      <c r="D792">
        <v>167.3</v>
      </c>
      <c r="E792">
        <v>18.8</v>
      </c>
      <c r="F792">
        <v>2.4</v>
      </c>
      <c r="G792">
        <v>0.5</v>
      </c>
      <c r="H792">
        <v>0</v>
      </c>
      <c r="J792">
        <f t="shared" si="60"/>
        <v>4717.2000000000007</v>
      </c>
      <c r="K792">
        <f>SUMIF(Supply_Clean[Item_Code], B792, Supply_Clean[Available_Supply])</f>
        <v>9747</v>
      </c>
      <c r="L792">
        <f t="shared" si="61"/>
        <v>1</v>
      </c>
      <c r="M792">
        <f t="shared" si="62"/>
        <v>167.3</v>
      </c>
      <c r="N792" t="str">
        <f t="shared" si="63"/>
        <v>SUFICIENTE</v>
      </c>
      <c r="O792">
        <f t="shared" si="64"/>
        <v>0</v>
      </c>
    </row>
    <row r="793" spans="1:15" x14ac:dyDescent="0.45">
      <c r="A793" t="str">
        <v>CD-MER</v>
      </c>
      <c r="B793" t="str">
        <v>ABA-1011</v>
      </c>
      <c r="C793">
        <v>3734</v>
      </c>
      <c r="D793">
        <v>311.3</v>
      </c>
      <c r="E793">
        <v>29</v>
      </c>
      <c r="F793">
        <v>2.4</v>
      </c>
      <c r="G793">
        <v>1.3</v>
      </c>
      <c r="H793" t="str">
        <v>OK</v>
      </c>
      <c r="J793">
        <f t="shared" si="60"/>
        <v>4892.0999999999995</v>
      </c>
      <c r="K793">
        <f>SUMIF(Supply_Clean[Item_Code], B793, Supply_Clean[Available_Supply])</f>
        <v>9079</v>
      </c>
      <c r="L793">
        <f t="shared" si="61"/>
        <v>1</v>
      </c>
      <c r="M793">
        <f t="shared" si="62"/>
        <v>311.3</v>
      </c>
      <c r="N793" t="str">
        <f t="shared" si="63"/>
        <v>SUFICIENTE</v>
      </c>
      <c r="O793">
        <f t="shared" si="64"/>
        <v>0</v>
      </c>
    </row>
    <row r="794" spans="1:15" x14ac:dyDescent="0.45">
      <c r="A794" t="str">
        <v>CD-LEO</v>
      </c>
      <c r="B794" t="str">
        <v>PRO-1014</v>
      </c>
      <c r="C794">
        <v>4612</v>
      </c>
      <c r="D794">
        <v>432.4</v>
      </c>
      <c r="E794">
        <v>238.5</v>
      </c>
      <c r="F794">
        <v>2.2999999999999998</v>
      </c>
      <c r="G794">
        <v>0.6</v>
      </c>
      <c r="H794" t="str">
        <v>OK</v>
      </c>
      <c r="J794">
        <f t="shared" si="60"/>
        <v>5634.0999999999995</v>
      </c>
      <c r="K794">
        <f>SUMIF(Supply_Clean[Item_Code], B794, Supply_Clean[Available_Supply])</f>
        <v>16301</v>
      </c>
      <c r="L794">
        <f t="shared" si="61"/>
        <v>1</v>
      </c>
      <c r="M794">
        <f t="shared" si="62"/>
        <v>432.4</v>
      </c>
      <c r="N794" t="str">
        <f t="shared" si="63"/>
        <v>SUFICIENTE</v>
      </c>
      <c r="O794">
        <f t="shared" si="64"/>
        <v>0</v>
      </c>
    </row>
    <row r="795" spans="1:15" x14ac:dyDescent="0.45">
      <c r="A795" t="str">
        <v>CD-TOL</v>
      </c>
      <c r="B795" t="str">
        <v>BOT-1023</v>
      </c>
      <c r="C795">
        <v>1844</v>
      </c>
      <c r="D795">
        <v>276.89999999999998</v>
      </c>
      <c r="E795">
        <v>64.599999999999994</v>
      </c>
      <c r="F795">
        <v>1.6</v>
      </c>
      <c r="G795">
        <v>0.5</v>
      </c>
      <c r="H795" t="str">
        <v>OK</v>
      </c>
      <c r="J795">
        <f t="shared" si="60"/>
        <v>8227.6</v>
      </c>
      <c r="K795">
        <f>SUMIF(Supply_Clean[Item_Code], B795, Supply_Clean[Available_Supply])</f>
        <v>23663</v>
      </c>
      <c r="L795">
        <f t="shared" si="61"/>
        <v>1</v>
      </c>
      <c r="M795">
        <f t="shared" si="62"/>
        <v>276.89999999999998</v>
      </c>
      <c r="N795" t="str">
        <f t="shared" si="63"/>
        <v>SUFICIENTE</v>
      </c>
      <c r="O795">
        <f t="shared" si="64"/>
        <v>0</v>
      </c>
    </row>
    <row r="796" spans="1:15" x14ac:dyDescent="0.45">
      <c r="A796" t="str">
        <v>CD-TOL</v>
      </c>
      <c r="B796" t="str">
        <v>BEB-1001</v>
      </c>
      <c r="C796">
        <v>3310</v>
      </c>
      <c r="D796">
        <v>224</v>
      </c>
      <c r="E796">
        <v>37.4</v>
      </c>
      <c r="F796">
        <v>1.2</v>
      </c>
      <c r="G796">
        <v>0.5</v>
      </c>
      <c r="H796" t="str">
        <v>OK</v>
      </c>
      <c r="J796">
        <f t="shared" si="60"/>
        <v>6941.9</v>
      </c>
      <c r="K796">
        <f>SUMIF(Supply_Clean[Item_Code], B796, Supply_Clean[Available_Supply])</f>
        <v>11725</v>
      </c>
      <c r="L796">
        <f t="shared" si="61"/>
        <v>1</v>
      </c>
      <c r="M796">
        <f t="shared" si="62"/>
        <v>224</v>
      </c>
      <c r="N796" t="str">
        <f t="shared" si="63"/>
        <v>SUFICIENTE</v>
      </c>
      <c r="O796">
        <f t="shared" si="64"/>
        <v>0</v>
      </c>
    </row>
    <row r="797" spans="1:15" x14ac:dyDescent="0.45">
      <c r="A797" t="str">
        <v>CD-MOR</v>
      </c>
      <c r="B797" t="str">
        <v>LAC-1012</v>
      </c>
      <c r="C797">
        <v>0</v>
      </c>
      <c r="D797">
        <v>522.29999999999995</v>
      </c>
      <c r="E797">
        <v>175.5</v>
      </c>
      <c r="F797">
        <v>2.2999999999999998</v>
      </c>
      <c r="G797">
        <v>0.5</v>
      </c>
      <c r="H797">
        <v>0</v>
      </c>
      <c r="J797">
        <f t="shared" si="60"/>
        <v>5447.0000000000009</v>
      </c>
      <c r="K797">
        <f>SUMIF(Supply_Clean[Item_Code], B797, Supply_Clean[Available_Supply])</f>
        <v>12033</v>
      </c>
      <c r="L797">
        <f t="shared" si="61"/>
        <v>1</v>
      </c>
      <c r="M797">
        <f t="shared" si="62"/>
        <v>522.29999999999995</v>
      </c>
      <c r="N797" t="str">
        <f t="shared" si="63"/>
        <v>SUFICIENTE</v>
      </c>
      <c r="O797">
        <f t="shared" si="64"/>
        <v>0</v>
      </c>
    </row>
    <row r="798" spans="1:15" x14ac:dyDescent="0.45">
      <c r="A798" t="str">
        <v>CD-PUE</v>
      </c>
      <c r="B798" t="str">
        <v>ABA-1003</v>
      </c>
      <c r="C798">
        <v>1169</v>
      </c>
      <c r="D798">
        <v>302.89999999999998</v>
      </c>
      <c r="E798">
        <v>33.1</v>
      </c>
      <c r="F798">
        <v>1</v>
      </c>
      <c r="G798">
        <v>0.3</v>
      </c>
      <c r="H798" t="str">
        <v>OK</v>
      </c>
      <c r="J798">
        <f t="shared" si="60"/>
        <v>4709.8000000000011</v>
      </c>
      <c r="K798">
        <f>SUMIF(Supply_Clean[Item_Code], B798, Supply_Clean[Available_Supply])</f>
        <v>11700</v>
      </c>
      <c r="L798">
        <f t="shared" si="61"/>
        <v>1</v>
      </c>
      <c r="M798">
        <f t="shared" si="62"/>
        <v>302.89999999999998</v>
      </c>
      <c r="N798" t="str">
        <f t="shared" si="63"/>
        <v>SUFICIENTE</v>
      </c>
      <c r="O798">
        <f t="shared" si="64"/>
        <v>0</v>
      </c>
    </row>
    <row r="799" spans="1:15" x14ac:dyDescent="0.45">
      <c r="A799" t="str">
        <v>CD-MOR</v>
      </c>
      <c r="B799" t="str">
        <v>BOT-1018</v>
      </c>
      <c r="C799">
        <v>5383</v>
      </c>
      <c r="D799">
        <v>307.7</v>
      </c>
      <c r="E799">
        <v>47.9</v>
      </c>
      <c r="F799">
        <v>2.4</v>
      </c>
      <c r="G799">
        <v>0.5</v>
      </c>
      <c r="H799" t="str">
        <v>OK</v>
      </c>
      <c r="J799">
        <f t="shared" si="60"/>
        <v>8014.5000000000009</v>
      </c>
      <c r="K799">
        <f>SUMIF(Supply_Clean[Item_Code], B799, Supply_Clean[Available_Supply])</f>
        <v>15093</v>
      </c>
      <c r="L799">
        <f t="shared" si="61"/>
        <v>1</v>
      </c>
      <c r="M799">
        <f t="shared" si="62"/>
        <v>307.7</v>
      </c>
      <c r="N799" t="str">
        <f t="shared" si="63"/>
        <v>SUFICIENTE</v>
      </c>
      <c r="O799">
        <f t="shared" si="64"/>
        <v>0</v>
      </c>
    </row>
    <row r="800" spans="1:15" x14ac:dyDescent="0.45">
      <c r="A800" t="str">
        <v>CD-PUE</v>
      </c>
      <c r="B800" t="str">
        <v>BOT-1003</v>
      </c>
      <c r="C800">
        <v>3460</v>
      </c>
      <c r="D800">
        <v>626</v>
      </c>
      <c r="E800">
        <v>157.1</v>
      </c>
      <c r="F800">
        <v>0.7</v>
      </c>
      <c r="G800">
        <v>0.3</v>
      </c>
      <c r="H800" t="str">
        <v>OK</v>
      </c>
      <c r="J800">
        <f t="shared" si="60"/>
        <v>8902.7999999999993</v>
      </c>
      <c r="K800">
        <f>SUMIF(Supply_Clean[Item_Code], B800, Supply_Clean[Available_Supply])</f>
        <v>24326</v>
      </c>
      <c r="L800">
        <f t="shared" si="61"/>
        <v>1</v>
      </c>
      <c r="M800">
        <f t="shared" si="62"/>
        <v>626</v>
      </c>
      <c r="N800" t="str">
        <f t="shared" si="63"/>
        <v>SUFICIENTE</v>
      </c>
      <c r="O800">
        <f t="shared" si="64"/>
        <v>0</v>
      </c>
    </row>
    <row r="801" spans="1:15" x14ac:dyDescent="0.45">
      <c r="A801" t="str">
        <v>CD-SAL</v>
      </c>
      <c r="B801" t="str">
        <v>PRO-1010</v>
      </c>
      <c r="C801">
        <v>5600</v>
      </c>
      <c r="D801">
        <v>705.6</v>
      </c>
      <c r="E801">
        <v>439.5</v>
      </c>
      <c r="F801">
        <v>1.1000000000000001</v>
      </c>
      <c r="G801">
        <v>0.5</v>
      </c>
      <c r="H801" t="str">
        <v>OK</v>
      </c>
      <c r="J801">
        <f t="shared" si="60"/>
        <v>6996.1000000000013</v>
      </c>
      <c r="K801">
        <f>SUMIF(Supply_Clean[Item_Code], B801, Supply_Clean[Available_Supply])</f>
        <v>18475</v>
      </c>
      <c r="L801">
        <f t="shared" si="61"/>
        <v>1</v>
      </c>
      <c r="M801">
        <f t="shared" si="62"/>
        <v>705.6</v>
      </c>
      <c r="N801" t="str">
        <f t="shared" si="63"/>
        <v>SUFICIENTE</v>
      </c>
      <c r="O801">
        <f t="shared" si="64"/>
        <v>0</v>
      </c>
    </row>
    <row r="802" spans="1:15" x14ac:dyDescent="0.45">
      <c r="A802" t="str">
        <v>CD-GDL</v>
      </c>
      <c r="B802" t="str">
        <v>LAC-1015</v>
      </c>
      <c r="C802">
        <v>2971</v>
      </c>
      <c r="D802">
        <v>220.4</v>
      </c>
      <c r="E802">
        <v>65.900000000000006</v>
      </c>
      <c r="F802">
        <v>1</v>
      </c>
      <c r="G802">
        <v>0.2</v>
      </c>
      <c r="H802" t="str">
        <v>OK</v>
      </c>
      <c r="J802">
        <f t="shared" si="60"/>
        <v>3982.7000000000007</v>
      </c>
      <c r="K802">
        <f>SUMIF(Supply_Clean[Item_Code], B802, Supply_Clean[Available_Supply])</f>
        <v>8604</v>
      </c>
      <c r="L802">
        <f t="shared" si="61"/>
        <v>1</v>
      </c>
      <c r="M802">
        <f t="shared" si="62"/>
        <v>220.4</v>
      </c>
      <c r="N802" t="str">
        <f t="shared" si="63"/>
        <v>SUFICIENTE</v>
      </c>
      <c r="O802">
        <f t="shared" si="64"/>
        <v>0</v>
      </c>
    </row>
    <row r="803" spans="1:15" x14ac:dyDescent="0.45">
      <c r="A803" t="str">
        <v>CD-MTY</v>
      </c>
      <c r="B803" t="str">
        <v>BEB-1004</v>
      </c>
      <c r="C803">
        <v>4748</v>
      </c>
      <c r="D803">
        <v>402.8</v>
      </c>
      <c r="E803">
        <v>78.7</v>
      </c>
      <c r="F803">
        <v>1.1000000000000001</v>
      </c>
      <c r="G803">
        <v>0.3</v>
      </c>
      <c r="H803" t="str">
        <v>OK</v>
      </c>
      <c r="J803">
        <f t="shared" si="60"/>
        <v>5324.2</v>
      </c>
      <c r="K803">
        <f>SUMIF(Supply_Clean[Item_Code], B803, Supply_Clean[Available_Supply])</f>
        <v>15672</v>
      </c>
      <c r="L803">
        <f t="shared" si="61"/>
        <v>1</v>
      </c>
      <c r="M803">
        <f t="shared" si="62"/>
        <v>402.8</v>
      </c>
      <c r="N803" t="str">
        <f t="shared" si="63"/>
        <v>SUFICIENTE</v>
      </c>
      <c r="O803">
        <f t="shared" si="64"/>
        <v>0</v>
      </c>
    </row>
    <row r="804" spans="1:15" x14ac:dyDescent="0.45">
      <c r="A804" t="str">
        <v>CD-SAL</v>
      </c>
      <c r="B804" t="str">
        <v>ABA-1014</v>
      </c>
      <c r="C804">
        <v>990</v>
      </c>
      <c r="D804">
        <v>313.60000000000002</v>
      </c>
      <c r="E804">
        <v>31.9</v>
      </c>
      <c r="F804">
        <v>1.9</v>
      </c>
      <c r="G804">
        <v>0.5</v>
      </c>
      <c r="H804" t="str">
        <v>OK</v>
      </c>
      <c r="J804">
        <f t="shared" si="60"/>
        <v>4779.0000000000009</v>
      </c>
      <c r="K804">
        <f>SUMIF(Supply_Clean[Item_Code], B804, Supply_Clean[Available_Supply])</f>
        <v>14629</v>
      </c>
      <c r="L804">
        <f t="shared" si="61"/>
        <v>1</v>
      </c>
      <c r="M804">
        <f t="shared" si="62"/>
        <v>313.60000000000002</v>
      </c>
      <c r="N804" t="str">
        <f t="shared" si="63"/>
        <v>SUFICIENTE</v>
      </c>
      <c r="O804">
        <f t="shared" si="64"/>
        <v>0</v>
      </c>
    </row>
    <row r="805" spans="1:15" x14ac:dyDescent="0.45">
      <c r="A805" t="str">
        <v>CD-MTY</v>
      </c>
      <c r="B805" t="str">
        <v>LAC-1015</v>
      </c>
      <c r="C805">
        <v>1037</v>
      </c>
      <c r="D805">
        <v>176.4</v>
      </c>
      <c r="E805">
        <v>62.9</v>
      </c>
      <c r="F805">
        <v>1.3</v>
      </c>
      <c r="G805">
        <v>0.3</v>
      </c>
      <c r="H805" t="str">
        <v>OK</v>
      </c>
      <c r="J805">
        <f t="shared" si="60"/>
        <v>3982.7000000000007</v>
      </c>
      <c r="K805">
        <f>SUMIF(Supply_Clean[Item_Code], B805, Supply_Clean[Available_Supply])</f>
        <v>8604</v>
      </c>
      <c r="L805">
        <f t="shared" si="61"/>
        <v>1</v>
      </c>
      <c r="M805">
        <f t="shared" si="62"/>
        <v>176.4</v>
      </c>
      <c r="N805" t="str">
        <f t="shared" si="63"/>
        <v>SUFICIENTE</v>
      </c>
      <c r="O805">
        <f t="shared" si="64"/>
        <v>0</v>
      </c>
    </row>
    <row r="806" spans="1:15" x14ac:dyDescent="0.45">
      <c r="A806" t="str">
        <v>CD-PUE</v>
      </c>
      <c r="B806" t="str">
        <v>ABA-1014</v>
      </c>
      <c r="C806">
        <v>3211</v>
      </c>
      <c r="D806">
        <v>445.8</v>
      </c>
      <c r="E806">
        <v>51.7</v>
      </c>
      <c r="F806">
        <v>1.2</v>
      </c>
      <c r="G806">
        <v>0.3</v>
      </c>
      <c r="H806" t="str">
        <v>OK</v>
      </c>
      <c r="J806">
        <f t="shared" si="60"/>
        <v>4779.0000000000009</v>
      </c>
      <c r="K806">
        <f>SUMIF(Supply_Clean[Item_Code], B806, Supply_Clean[Available_Supply])</f>
        <v>14629</v>
      </c>
      <c r="L806">
        <f t="shared" si="61"/>
        <v>1</v>
      </c>
      <c r="M806">
        <f t="shared" si="62"/>
        <v>445.8</v>
      </c>
      <c r="N806" t="str">
        <f t="shared" si="63"/>
        <v>SUFICIENTE</v>
      </c>
      <c r="O806">
        <f t="shared" si="64"/>
        <v>0</v>
      </c>
    </row>
    <row r="807" spans="1:15" x14ac:dyDescent="0.45">
      <c r="A807" t="str">
        <v>CD-CHI</v>
      </c>
      <c r="B807" t="str">
        <v>BOT-1017</v>
      </c>
      <c r="C807">
        <v>5910</v>
      </c>
      <c r="D807">
        <v>697.9</v>
      </c>
      <c r="E807">
        <v>177.5</v>
      </c>
      <c r="F807">
        <v>1.3</v>
      </c>
      <c r="G807">
        <v>1</v>
      </c>
      <c r="H807" t="str">
        <v>OK</v>
      </c>
      <c r="J807">
        <f t="shared" si="60"/>
        <v>10291.300000000001</v>
      </c>
      <c r="K807">
        <f>SUMIF(Supply_Clean[Item_Code], B807, Supply_Clean[Available_Supply])</f>
        <v>5486</v>
      </c>
      <c r="L807">
        <f t="shared" si="61"/>
        <v>0.53307162360440363</v>
      </c>
      <c r="M807">
        <f t="shared" si="62"/>
        <v>372.0306861135133</v>
      </c>
      <c r="N807" t="str">
        <f t="shared" si="63"/>
        <v>ESCASEZ</v>
      </c>
      <c r="O807">
        <f t="shared" si="64"/>
        <v>325.86931388648668</v>
      </c>
    </row>
    <row r="808" spans="1:15" x14ac:dyDescent="0.45">
      <c r="A808" t="str">
        <v>CD-TOL</v>
      </c>
      <c r="B808" t="str">
        <v>LAC-1017</v>
      </c>
      <c r="C808">
        <v>5604</v>
      </c>
      <c r="D808">
        <v>369.1</v>
      </c>
      <c r="E808">
        <v>119</v>
      </c>
      <c r="F808">
        <v>1.5</v>
      </c>
      <c r="G808">
        <v>0.5</v>
      </c>
      <c r="H808" t="str">
        <v>OK</v>
      </c>
      <c r="J808">
        <f t="shared" si="60"/>
        <v>4246.3999999999996</v>
      </c>
      <c r="K808">
        <f>SUMIF(Supply_Clean[Item_Code], B808, Supply_Clean[Available_Supply])</f>
        <v>12824</v>
      </c>
      <c r="L808">
        <f t="shared" si="61"/>
        <v>1</v>
      </c>
      <c r="M808">
        <f t="shared" si="62"/>
        <v>369.1</v>
      </c>
      <c r="N808" t="str">
        <f t="shared" si="63"/>
        <v>SUFICIENTE</v>
      </c>
      <c r="O808">
        <f t="shared" si="64"/>
        <v>0</v>
      </c>
    </row>
    <row r="809" spans="1:15" x14ac:dyDescent="0.45">
      <c r="A809" t="str">
        <v>CD-LEO</v>
      </c>
      <c r="B809" t="str">
        <v>ABA-1001</v>
      </c>
      <c r="C809">
        <v>799</v>
      </c>
      <c r="D809">
        <v>416.3</v>
      </c>
      <c r="E809">
        <v>40.299999999999997</v>
      </c>
      <c r="F809">
        <v>2.5</v>
      </c>
      <c r="G809">
        <v>0.6</v>
      </c>
      <c r="H809" t="str">
        <v>OK</v>
      </c>
      <c r="J809">
        <f t="shared" si="60"/>
        <v>4698.6999999999989</v>
      </c>
      <c r="K809">
        <f>SUMIF(Supply_Clean[Item_Code], B809, Supply_Clean[Available_Supply])</f>
        <v>8775</v>
      </c>
      <c r="L809">
        <f t="shared" si="61"/>
        <v>1</v>
      </c>
      <c r="M809">
        <f t="shared" si="62"/>
        <v>416.3</v>
      </c>
      <c r="N809" t="str">
        <f t="shared" si="63"/>
        <v>SUFICIENTE</v>
      </c>
      <c r="O809">
        <f t="shared" si="64"/>
        <v>0</v>
      </c>
    </row>
    <row r="810" spans="1:15" x14ac:dyDescent="0.45">
      <c r="A810" t="str">
        <v>CD-CHI</v>
      </c>
      <c r="B810" t="str">
        <v>ABA-1015</v>
      </c>
      <c r="C810">
        <v>457</v>
      </c>
      <c r="D810">
        <v>145.19999999999999</v>
      </c>
      <c r="E810">
        <v>18.899999999999999</v>
      </c>
      <c r="F810">
        <v>4.7</v>
      </c>
      <c r="G810">
        <v>1</v>
      </c>
      <c r="H810" t="str">
        <v>OK</v>
      </c>
      <c r="J810">
        <f t="shared" si="60"/>
        <v>3986.4999999999991</v>
      </c>
      <c r="K810">
        <f>SUMIF(Supply_Clean[Item_Code], B810, Supply_Clean[Available_Supply])</f>
        <v>7969</v>
      </c>
      <c r="L810">
        <f t="shared" si="61"/>
        <v>1</v>
      </c>
      <c r="M810">
        <f t="shared" si="62"/>
        <v>145.19999999999999</v>
      </c>
      <c r="N810" t="str">
        <f t="shared" si="63"/>
        <v>SUFICIENTE</v>
      </c>
      <c r="O810">
        <f t="shared" si="64"/>
        <v>0</v>
      </c>
    </row>
    <row r="811" spans="1:15" x14ac:dyDescent="0.45">
      <c r="A811" t="str">
        <v>CD-MTY</v>
      </c>
      <c r="B811" t="str">
        <v>PRO-1013</v>
      </c>
      <c r="C811">
        <v>4868</v>
      </c>
      <c r="D811">
        <v>526.9</v>
      </c>
      <c r="E811">
        <v>246.3</v>
      </c>
      <c r="F811">
        <v>1.2</v>
      </c>
      <c r="G811">
        <v>0.3</v>
      </c>
      <c r="H811" t="str">
        <v>OK</v>
      </c>
      <c r="J811">
        <f t="shared" si="60"/>
        <v>7113.8</v>
      </c>
      <c r="K811">
        <f>SUMIF(Supply_Clean[Item_Code], B811, Supply_Clean[Available_Supply])</f>
        <v>15134</v>
      </c>
      <c r="L811">
        <f t="shared" si="61"/>
        <v>1</v>
      </c>
      <c r="M811">
        <f t="shared" si="62"/>
        <v>526.9</v>
      </c>
      <c r="N811" t="str">
        <f t="shared" si="63"/>
        <v>SUFICIENTE</v>
      </c>
      <c r="O811">
        <f t="shared" si="64"/>
        <v>0</v>
      </c>
    </row>
    <row r="812" spans="1:15" x14ac:dyDescent="0.45">
      <c r="A812" t="str">
        <v>CD-CDMX</v>
      </c>
      <c r="B812" t="str">
        <v>BEB-1021</v>
      </c>
      <c r="C812">
        <v>3377</v>
      </c>
      <c r="D812">
        <v>263.5</v>
      </c>
      <c r="E812">
        <v>33</v>
      </c>
      <c r="F812">
        <v>1.2</v>
      </c>
      <c r="G812">
        <v>0.2</v>
      </c>
      <c r="H812" t="str">
        <v>OK</v>
      </c>
      <c r="J812">
        <f t="shared" si="60"/>
        <v>5254.7999999999993</v>
      </c>
      <c r="K812">
        <f>SUMIF(Supply_Clean[Item_Code], B812, Supply_Clean[Available_Supply])</f>
        <v>13235</v>
      </c>
      <c r="L812">
        <f t="shared" si="61"/>
        <v>1</v>
      </c>
      <c r="M812">
        <f t="shared" si="62"/>
        <v>263.5</v>
      </c>
      <c r="N812" t="str">
        <f t="shared" si="63"/>
        <v>SUFICIENTE</v>
      </c>
      <c r="O812">
        <f t="shared" si="64"/>
        <v>0</v>
      </c>
    </row>
    <row r="813" spans="1:15" x14ac:dyDescent="0.45">
      <c r="A813" t="str">
        <v>CD-SAL</v>
      </c>
      <c r="B813" t="str">
        <v>LAC-1011</v>
      </c>
      <c r="C813">
        <v>-10</v>
      </c>
      <c r="D813">
        <v>435.8</v>
      </c>
      <c r="E813">
        <v>169.7</v>
      </c>
      <c r="F813">
        <v>2.2000000000000002</v>
      </c>
      <c r="G813">
        <v>0.5</v>
      </c>
      <c r="H813" t="str">
        <v>NEGATIVO</v>
      </c>
      <c r="J813">
        <f t="shared" si="60"/>
        <v>4165</v>
      </c>
      <c r="K813">
        <f>SUMIF(Supply_Clean[Item_Code], B813, Supply_Clean[Available_Supply])</f>
        <v>2719</v>
      </c>
      <c r="L813">
        <f t="shared" si="61"/>
        <v>0.65282112845138052</v>
      </c>
      <c r="M813">
        <f t="shared" si="62"/>
        <v>284.49944777911162</v>
      </c>
      <c r="N813" t="str">
        <f t="shared" si="63"/>
        <v>ESCASEZ</v>
      </c>
      <c r="O813">
        <f t="shared" si="64"/>
        <v>151.30055222088839</v>
      </c>
    </row>
    <row r="814" spans="1:15" x14ac:dyDescent="0.45">
      <c r="A814" t="str">
        <v>CD-MER</v>
      </c>
      <c r="B814" t="str">
        <v>LAC-1013</v>
      </c>
      <c r="C814">
        <v>576</v>
      </c>
      <c r="D814">
        <v>198.7</v>
      </c>
      <c r="E814">
        <v>80.900000000000006</v>
      </c>
      <c r="F814">
        <v>2.8</v>
      </c>
      <c r="G814">
        <v>1.3</v>
      </c>
      <c r="H814" t="str">
        <v>OK</v>
      </c>
      <c r="J814">
        <f t="shared" si="60"/>
        <v>3650.7</v>
      </c>
      <c r="K814">
        <f>SUMIF(Supply_Clean[Item_Code], B814, Supply_Clean[Available_Supply])</f>
        <v>12026</v>
      </c>
      <c r="L814">
        <f t="shared" si="61"/>
        <v>1</v>
      </c>
      <c r="M814">
        <f t="shared" si="62"/>
        <v>198.7</v>
      </c>
      <c r="N814" t="str">
        <f t="shared" si="63"/>
        <v>SUFICIENTE</v>
      </c>
      <c r="O814">
        <f t="shared" si="64"/>
        <v>0</v>
      </c>
    </row>
    <row r="815" spans="1:15" x14ac:dyDescent="0.45">
      <c r="A815" t="str">
        <v>CD-MOR</v>
      </c>
      <c r="B815" t="str">
        <v>LAC-1017</v>
      </c>
      <c r="C815">
        <v>2326</v>
      </c>
      <c r="D815">
        <v>0</v>
      </c>
      <c r="E815">
        <v>88.2</v>
      </c>
      <c r="F815">
        <v>2.4</v>
      </c>
      <c r="G815">
        <v>0.5</v>
      </c>
      <c r="H815" t="str">
        <v>OK</v>
      </c>
      <c r="J815">
        <f t="shared" si="60"/>
        <v>4246.3999999999996</v>
      </c>
      <c r="K815">
        <f>SUMIF(Supply_Clean[Item_Code], B815, Supply_Clean[Available_Supply])</f>
        <v>12824</v>
      </c>
      <c r="L815">
        <f t="shared" si="61"/>
        <v>1</v>
      </c>
      <c r="M815">
        <f t="shared" si="62"/>
        <v>0</v>
      </c>
      <c r="N815" t="str">
        <f t="shared" si="63"/>
        <v>SUFICIENTE</v>
      </c>
      <c r="O815">
        <f t="shared" si="64"/>
        <v>0</v>
      </c>
    </row>
    <row r="816" spans="1:15" x14ac:dyDescent="0.45">
      <c r="A816" t="str">
        <v>CD-TIJ</v>
      </c>
      <c r="B816" t="str">
        <v>PRO-1000</v>
      </c>
      <c r="C816">
        <v>3190</v>
      </c>
      <c r="D816">
        <v>604.79999999999995</v>
      </c>
      <c r="E816">
        <v>383.5</v>
      </c>
      <c r="F816">
        <v>4.5</v>
      </c>
      <c r="G816">
        <v>1.5</v>
      </c>
      <c r="H816" t="str">
        <v>OK</v>
      </c>
      <c r="J816">
        <f t="shared" si="60"/>
        <v>5872.7</v>
      </c>
      <c r="K816">
        <f>SUMIF(Supply_Clean[Item_Code], B816, Supply_Clean[Available_Supply])</f>
        <v>2915</v>
      </c>
      <c r="L816">
        <f t="shared" si="61"/>
        <v>0.49636453420062326</v>
      </c>
      <c r="M816">
        <f t="shared" si="62"/>
        <v>300.20127028453692</v>
      </c>
      <c r="N816" t="str">
        <f t="shared" si="63"/>
        <v>ESCASEZ</v>
      </c>
      <c r="O816">
        <f t="shared" si="64"/>
        <v>304.59872971546304</v>
      </c>
    </row>
    <row r="817" spans="1:15" x14ac:dyDescent="0.45">
      <c r="A817" t="str">
        <v>CD-TOL</v>
      </c>
      <c r="B817" t="str">
        <v>ABA-1015</v>
      </c>
      <c r="C817">
        <v>4077</v>
      </c>
      <c r="D817">
        <v>291.7</v>
      </c>
      <c r="E817">
        <v>29.3</v>
      </c>
      <c r="F817">
        <v>2.2000000000000002</v>
      </c>
      <c r="G817">
        <v>0.5</v>
      </c>
      <c r="H817" t="str">
        <v>OK</v>
      </c>
      <c r="J817">
        <f t="shared" si="60"/>
        <v>3986.4999999999991</v>
      </c>
      <c r="K817">
        <f>SUMIF(Supply_Clean[Item_Code], B817, Supply_Clean[Available_Supply])</f>
        <v>7969</v>
      </c>
      <c r="L817">
        <f t="shared" si="61"/>
        <v>1</v>
      </c>
      <c r="M817">
        <f t="shared" si="62"/>
        <v>291.7</v>
      </c>
      <c r="N817" t="str">
        <f t="shared" si="63"/>
        <v>SUFICIENTE</v>
      </c>
      <c r="O817">
        <f t="shared" si="64"/>
        <v>0</v>
      </c>
    </row>
    <row r="818" spans="1:15" x14ac:dyDescent="0.45">
      <c r="A818" t="str">
        <v>CD-TIJ</v>
      </c>
      <c r="B818" t="str">
        <v>LAC-1012</v>
      </c>
      <c r="C818">
        <v>1391</v>
      </c>
      <c r="D818">
        <v>327.10000000000002</v>
      </c>
      <c r="E818">
        <v>105.7</v>
      </c>
      <c r="F818">
        <v>4</v>
      </c>
      <c r="G818">
        <v>1.5</v>
      </c>
      <c r="H818" t="str">
        <v>OK</v>
      </c>
      <c r="J818">
        <f t="shared" si="60"/>
        <v>5447.0000000000009</v>
      </c>
      <c r="K818">
        <f>SUMIF(Supply_Clean[Item_Code], B818, Supply_Clean[Available_Supply])</f>
        <v>12033</v>
      </c>
      <c r="L818">
        <f t="shared" si="61"/>
        <v>1</v>
      </c>
      <c r="M818">
        <f t="shared" si="62"/>
        <v>327.10000000000002</v>
      </c>
      <c r="N818" t="str">
        <f t="shared" si="63"/>
        <v>SUFICIENTE</v>
      </c>
      <c r="O818">
        <f t="shared" si="64"/>
        <v>0</v>
      </c>
    </row>
    <row r="819" spans="1:15" x14ac:dyDescent="0.45">
      <c r="A819" t="str">
        <v>CD-TIJ</v>
      </c>
      <c r="B819" t="str">
        <v>BEB-1000</v>
      </c>
      <c r="C819">
        <v>7945</v>
      </c>
      <c r="D819">
        <v>490</v>
      </c>
      <c r="E819">
        <v>63.2</v>
      </c>
      <c r="F819">
        <v>4.9000000000000004</v>
      </c>
      <c r="G819">
        <v>1.5</v>
      </c>
      <c r="H819" t="str">
        <v>OK</v>
      </c>
      <c r="J819">
        <f t="shared" si="60"/>
        <v>4843.5</v>
      </c>
      <c r="K819">
        <f>SUMIF(Supply_Clean[Item_Code], B819, Supply_Clean[Available_Supply])</f>
        <v>14592</v>
      </c>
      <c r="L819">
        <f t="shared" si="61"/>
        <v>1</v>
      </c>
      <c r="M819">
        <f t="shared" si="62"/>
        <v>490</v>
      </c>
      <c r="N819" t="str">
        <f t="shared" si="63"/>
        <v>SUFICIENTE</v>
      </c>
      <c r="O819">
        <f t="shared" si="64"/>
        <v>0</v>
      </c>
    </row>
    <row r="820" spans="1:15" x14ac:dyDescent="0.45">
      <c r="A820" t="str">
        <v>CD-PUE</v>
      </c>
      <c r="B820" t="str">
        <v>LAC-1004</v>
      </c>
      <c r="C820">
        <v>2209</v>
      </c>
      <c r="D820">
        <v>334.4</v>
      </c>
      <c r="E820">
        <v>91.6</v>
      </c>
      <c r="F820">
        <v>1.1000000000000001</v>
      </c>
      <c r="G820">
        <v>0.3</v>
      </c>
      <c r="H820" t="str">
        <v>OK</v>
      </c>
      <c r="J820">
        <f t="shared" si="60"/>
        <v>4211.5</v>
      </c>
      <c r="K820">
        <f>SUMIF(Supply_Clean[Item_Code], B820, Supply_Clean[Available_Supply])</f>
        <v>11968</v>
      </c>
      <c r="L820">
        <f t="shared" si="61"/>
        <v>1</v>
      </c>
      <c r="M820">
        <f t="shared" si="62"/>
        <v>334.4</v>
      </c>
      <c r="N820" t="str">
        <f t="shared" si="63"/>
        <v>SUFICIENTE</v>
      </c>
      <c r="O820">
        <f t="shared" si="64"/>
        <v>0</v>
      </c>
    </row>
    <row r="821" spans="1:15" x14ac:dyDescent="0.45">
      <c r="A821" t="str">
        <v>CD-MER</v>
      </c>
      <c r="B821" t="str">
        <v>BOT-1003</v>
      </c>
      <c r="C821">
        <v>2992</v>
      </c>
      <c r="D821">
        <v>284</v>
      </c>
      <c r="E821">
        <v>70.5</v>
      </c>
      <c r="F821">
        <v>4.4000000000000004</v>
      </c>
      <c r="G821">
        <v>1.3</v>
      </c>
      <c r="H821" t="str">
        <v>OK</v>
      </c>
      <c r="J821">
        <f t="shared" si="60"/>
        <v>8902.7999999999993</v>
      </c>
      <c r="K821">
        <f>SUMIF(Supply_Clean[Item_Code], B821, Supply_Clean[Available_Supply])</f>
        <v>24326</v>
      </c>
      <c r="L821">
        <f t="shared" si="61"/>
        <v>1</v>
      </c>
      <c r="M821">
        <f t="shared" si="62"/>
        <v>284</v>
      </c>
      <c r="N821" t="str">
        <f t="shared" si="63"/>
        <v>SUFICIENTE</v>
      </c>
      <c r="O821">
        <f t="shared" si="64"/>
        <v>0</v>
      </c>
    </row>
    <row r="822" spans="1:15" x14ac:dyDescent="0.45">
      <c r="A822" t="str">
        <v>CD-CHI</v>
      </c>
      <c r="B822" t="str">
        <v>ABA-1016</v>
      </c>
      <c r="C822">
        <v>967</v>
      </c>
      <c r="D822">
        <v>143.4</v>
      </c>
      <c r="E822">
        <v>21.1</v>
      </c>
      <c r="F822">
        <v>2.2000000000000002</v>
      </c>
      <c r="G822">
        <v>1</v>
      </c>
      <c r="H822" t="str">
        <v>OK</v>
      </c>
      <c r="J822">
        <f t="shared" si="60"/>
        <v>5056.7</v>
      </c>
      <c r="K822">
        <f>SUMIF(Supply_Clean[Item_Code], B822, Supply_Clean[Available_Supply])</f>
        <v>9151</v>
      </c>
      <c r="L822">
        <f t="shared" si="61"/>
        <v>1</v>
      </c>
      <c r="M822">
        <f t="shared" si="62"/>
        <v>143.4</v>
      </c>
      <c r="N822" t="str">
        <f t="shared" si="63"/>
        <v>SUFICIENTE</v>
      </c>
      <c r="O822">
        <f t="shared" si="64"/>
        <v>0</v>
      </c>
    </row>
    <row r="823" spans="1:15" x14ac:dyDescent="0.45">
      <c r="A823" t="str">
        <v>CD-CHI</v>
      </c>
      <c r="B823" t="str">
        <v>LAC-1001</v>
      </c>
      <c r="C823">
        <v>1313</v>
      </c>
      <c r="D823">
        <v>173.7</v>
      </c>
      <c r="E823">
        <v>69.7</v>
      </c>
      <c r="F823">
        <v>3.6</v>
      </c>
      <c r="G823">
        <v>1</v>
      </c>
      <c r="H823" t="str">
        <v>OK</v>
      </c>
      <c r="J823">
        <f t="shared" si="60"/>
        <v>3660.9999999999991</v>
      </c>
      <c r="K823">
        <f>SUMIF(Supply_Clean[Item_Code], B823, Supply_Clean[Available_Supply])</f>
        <v>9945</v>
      </c>
      <c r="L823">
        <f t="shared" si="61"/>
        <v>1</v>
      </c>
      <c r="M823">
        <f t="shared" si="62"/>
        <v>173.7</v>
      </c>
      <c r="N823" t="str">
        <f t="shared" si="63"/>
        <v>SUFICIENTE</v>
      </c>
      <c r="O823">
        <f t="shared" si="64"/>
        <v>0</v>
      </c>
    </row>
    <row r="824" spans="1:15" x14ac:dyDescent="0.45">
      <c r="A824" t="str">
        <v>CD-CAN</v>
      </c>
      <c r="B824" t="str">
        <v>LAC-1005</v>
      </c>
      <c r="C824">
        <v>1800</v>
      </c>
      <c r="D824">
        <v>294.3</v>
      </c>
      <c r="E824">
        <v>118.1</v>
      </c>
      <c r="F824">
        <v>5.5</v>
      </c>
      <c r="G824">
        <v>1.6</v>
      </c>
      <c r="H824" t="str">
        <v>OK</v>
      </c>
      <c r="J824">
        <f t="shared" si="60"/>
        <v>3868.9</v>
      </c>
      <c r="K824">
        <f>SUMIF(Supply_Clean[Item_Code], B824, Supply_Clean[Available_Supply])</f>
        <v>9953</v>
      </c>
      <c r="L824">
        <f t="shared" si="61"/>
        <v>1</v>
      </c>
      <c r="M824">
        <f t="shared" si="62"/>
        <v>294.3</v>
      </c>
      <c r="N824" t="str">
        <f t="shared" si="63"/>
        <v>SUFICIENTE</v>
      </c>
      <c r="O824">
        <f t="shared" si="64"/>
        <v>0</v>
      </c>
    </row>
    <row r="825" spans="1:15" x14ac:dyDescent="0.45">
      <c r="A825" t="str">
        <v>CD-TIJ</v>
      </c>
      <c r="B825" t="str">
        <v>LAC-1011</v>
      </c>
      <c r="C825">
        <v>5429</v>
      </c>
      <c r="D825">
        <v>506.9</v>
      </c>
      <c r="E825">
        <v>227.2</v>
      </c>
      <c r="F825">
        <v>4.9000000000000004</v>
      </c>
      <c r="G825">
        <v>1.5</v>
      </c>
      <c r="H825" t="str">
        <v>OK</v>
      </c>
      <c r="J825">
        <f t="shared" si="60"/>
        <v>4165</v>
      </c>
      <c r="K825">
        <f>SUMIF(Supply_Clean[Item_Code], B825, Supply_Clean[Available_Supply])</f>
        <v>2719</v>
      </c>
      <c r="L825">
        <f t="shared" si="61"/>
        <v>0.65282112845138052</v>
      </c>
      <c r="M825">
        <f t="shared" si="62"/>
        <v>330.91503001200476</v>
      </c>
      <c r="N825" t="str">
        <f t="shared" si="63"/>
        <v>ESCASEZ</v>
      </c>
      <c r="O825">
        <f t="shared" si="64"/>
        <v>175.98496998799521</v>
      </c>
    </row>
    <row r="826" spans="1:15" x14ac:dyDescent="0.45">
      <c r="A826" t="str">
        <v>CD-VER</v>
      </c>
      <c r="B826" t="str">
        <v>BEB-1004</v>
      </c>
      <c r="C826">
        <v>973</v>
      </c>
      <c r="D826">
        <v>0</v>
      </c>
      <c r="E826">
        <v>28.8</v>
      </c>
      <c r="F826">
        <v>4.0999999999999996</v>
      </c>
      <c r="G826">
        <v>0.9</v>
      </c>
      <c r="H826" t="str">
        <v>OK</v>
      </c>
      <c r="J826">
        <f t="shared" si="60"/>
        <v>5324.2</v>
      </c>
      <c r="K826">
        <f>SUMIF(Supply_Clean[Item_Code], B826, Supply_Clean[Available_Supply])</f>
        <v>15672</v>
      </c>
      <c r="L826">
        <f t="shared" si="61"/>
        <v>1</v>
      </c>
      <c r="M826">
        <f t="shared" si="62"/>
        <v>0</v>
      </c>
      <c r="N826" t="str">
        <f t="shared" si="63"/>
        <v>SUFICIENTE</v>
      </c>
      <c r="O826">
        <f t="shared" si="64"/>
        <v>0</v>
      </c>
    </row>
    <row r="827" spans="1:15" x14ac:dyDescent="0.45">
      <c r="A827" t="str">
        <v>CD-TIJ</v>
      </c>
      <c r="B827" t="str">
        <v>BOT-1010</v>
      </c>
      <c r="C827">
        <v>2356</v>
      </c>
      <c r="D827">
        <v>367.2</v>
      </c>
      <c r="E827">
        <v>89.8</v>
      </c>
      <c r="F827">
        <v>4.0999999999999996</v>
      </c>
      <c r="G827">
        <v>1.5</v>
      </c>
      <c r="H827" t="str">
        <v>OK</v>
      </c>
      <c r="J827">
        <f t="shared" si="60"/>
        <v>7108.7000000000007</v>
      </c>
      <c r="K827">
        <f>SUMIF(Supply_Clean[Item_Code], B827, Supply_Clean[Available_Supply])</f>
        <v>21582</v>
      </c>
      <c r="L827">
        <f t="shared" si="61"/>
        <v>1</v>
      </c>
      <c r="M827">
        <f t="shared" si="62"/>
        <v>367.2</v>
      </c>
      <c r="N827" t="str">
        <f t="shared" si="63"/>
        <v>SUFICIENTE</v>
      </c>
      <c r="O827">
        <f t="shared" si="64"/>
        <v>0</v>
      </c>
    </row>
    <row r="828" spans="1:15" x14ac:dyDescent="0.45">
      <c r="A828" t="str">
        <v>CD-TIJ</v>
      </c>
      <c r="B828" t="str">
        <v>LAC-1000</v>
      </c>
      <c r="C828">
        <v>2939</v>
      </c>
      <c r="D828">
        <v>191.3</v>
      </c>
      <c r="E828">
        <v>52.1</v>
      </c>
      <c r="F828">
        <v>2.4</v>
      </c>
      <c r="G828">
        <v>1.5</v>
      </c>
      <c r="H828" t="str">
        <v>OK</v>
      </c>
      <c r="J828">
        <f t="shared" si="60"/>
        <v>4987.8</v>
      </c>
      <c r="K828">
        <f>SUMIF(Supply_Clean[Item_Code], B828, Supply_Clean[Available_Supply])</f>
        <v>12568</v>
      </c>
      <c r="L828">
        <f t="shared" si="61"/>
        <v>1</v>
      </c>
      <c r="M828">
        <f t="shared" si="62"/>
        <v>191.3</v>
      </c>
      <c r="N828" t="str">
        <f t="shared" si="63"/>
        <v>SUFICIENTE</v>
      </c>
      <c r="O828">
        <f t="shared" si="64"/>
        <v>0</v>
      </c>
    </row>
    <row r="829" spans="1:15" x14ac:dyDescent="0.45">
      <c r="A829" t="str">
        <v>CD-MER</v>
      </c>
      <c r="B829" t="str">
        <v>ABA-1018</v>
      </c>
      <c r="C829">
        <v>1429</v>
      </c>
      <c r="D829">
        <v>274.7</v>
      </c>
      <c r="E829">
        <v>25.1</v>
      </c>
      <c r="F829">
        <v>4.2</v>
      </c>
      <c r="G829">
        <v>1.3</v>
      </c>
      <c r="H829" t="str">
        <v>OK</v>
      </c>
      <c r="J829">
        <f t="shared" si="60"/>
        <v>4478</v>
      </c>
      <c r="K829">
        <f>SUMIF(Supply_Clean[Item_Code], B829, Supply_Clean[Available_Supply])</f>
        <v>6884</v>
      </c>
      <c r="L829">
        <f t="shared" si="61"/>
        <v>1</v>
      </c>
      <c r="M829">
        <f t="shared" si="62"/>
        <v>274.7</v>
      </c>
      <c r="N829" t="str">
        <f t="shared" si="63"/>
        <v>SUFICIENTE</v>
      </c>
      <c r="O829">
        <f t="shared" si="64"/>
        <v>0</v>
      </c>
    </row>
    <row r="830" spans="1:15" x14ac:dyDescent="0.45">
      <c r="A830" t="str">
        <v>CD-MER</v>
      </c>
      <c r="B830" t="str">
        <v>ABA-1006</v>
      </c>
      <c r="C830">
        <v>3430</v>
      </c>
      <c r="D830">
        <v>412.9</v>
      </c>
      <c r="E830">
        <v>59.5</v>
      </c>
      <c r="F830">
        <v>5.3</v>
      </c>
      <c r="G830">
        <v>1.3</v>
      </c>
      <c r="H830" t="str">
        <v>OK</v>
      </c>
      <c r="J830">
        <f t="shared" si="60"/>
        <v>4882.1000000000004</v>
      </c>
      <c r="K830">
        <f>SUMIF(Supply_Clean[Item_Code], B830, Supply_Clean[Available_Supply])</f>
        <v>15586</v>
      </c>
      <c r="L830">
        <f t="shared" si="61"/>
        <v>1</v>
      </c>
      <c r="M830">
        <f t="shared" si="62"/>
        <v>412.9</v>
      </c>
      <c r="N830" t="str">
        <f t="shared" si="63"/>
        <v>SUFICIENTE</v>
      </c>
      <c r="O830">
        <f t="shared" si="64"/>
        <v>0</v>
      </c>
    </row>
    <row r="831" spans="1:15" x14ac:dyDescent="0.45">
      <c r="A831" t="str">
        <v>CD-LEO</v>
      </c>
      <c r="B831" t="str">
        <v>PRO-1015</v>
      </c>
      <c r="C831">
        <v>3554</v>
      </c>
      <c r="D831">
        <v>207.2</v>
      </c>
      <c r="E831">
        <v>140.80000000000001</v>
      </c>
      <c r="F831">
        <v>1.7</v>
      </c>
      <c r="G831">
        <v>0.6</v>
      </c>
      <c r="H831" t="str">
        <v>OK</v>
      </c>
      <c r="J831">
        <f t="shared" si="60"/>
        <v>5021.5</v>
      </c>
      <c r="K831">
        <f>SUMIF(Supply_Clean[Item_Code], B831, Supply_Clean[Available_Supply])</f>
        <v>15970</v>
      </c>
      <c r="L831">
        <f t="shared" si="61"/>
        <v>1</v>
      </c>
      <c r="M831">
        <f t="shared" si="62"/>
        <v>207.2</v>
      </c>
      <c r="N831" t="str">
        <f t="shared" si="63"/>
        <v>SUFICIENTE</v>
      </c>
      <c r="O831">
        <f t="shared" si="64"/>
        <v>0</v>
      </c>
    </row>
    <row r="832" spans="1:15" x14ac:dyDescent="0.45">
      <c r="A832" t="str">
        <v>CD-CHI</v>
      </c>
      <c r="B832" t="str">
        <v>LAC-1012</v>
      </c>
      <c r="C832">
        <v>5815</v>
      </c>
      <c r="D832">
        <v>408.5</v>
      </c>
      <c r="E832">
        <v>113</v>
      </c>
      <c r="F832">
        <v>5.5</v>
      </c>
      <c r="G832">
        <v>1</v>
      </c>
      <c r="H832" t="str">
        <v>OK</v>
      </c>
      <c r="J832">
        <f t="shared" si="60"/>
        <v>5447.0000000000009</v>
      </c>
      <c r="K832">
        <f>SUMIF(Supply_Clean[Item_Code], B832, Supply_Clean[Available_Supply])</f>
        <v>12033</v>
      </c>
      <c r="L832">
        <f t="shared" si="61"/>
        <v>1</v>
      </c>
      <c r="M832">
        <f t="shared" si="62"/>
        <v>408.5</v>
      </c>
      <c r="N832" t="str">
        <f t="shared" si="63"/>
        <v>SUFICIENTE</v>
      </c>
      <c r="O832">
        <f t="shared" si="64"/>
        <v>0</v>
      </c>
    </row>
    <row r="833" spans="1:15" x14ac:dyDescent="0.45">
      <c r="A833" t="str">
        <v>CD-CAN</v>
      </c>
      <c r="B833" t="str">
        <v>PRO-1003</v>
      </c>
      <c r="C833">
        <v>2811</v>
      </c>
      <c r="D833">
        <v>330.1</v>
      </c>
      <c r="E833">
        <v>151</v>
      </c>
      <c r="F833">
        <v>3.1</v>
      </c>
      <c r="G833">
        <v>1.6</v>
      </c>
      <c r="H833" t="str">
        <v>OK</v>
      </c>
      <c r="J833">
        <f t="shared" si="60"/>
        <v>6234.9</v>
      </c>
      <c r="K833">
        <f>SUMIF(Supply_Clean[Item_Code], B833, Supply_Clean[Available_Supply])</f>
        <v>10658</v>
      </c>
      <c r="L833">
        <f t="shared" si="61"/>
        <v>1</v>
      </c>
      <c r="M833">
        <f t="shared" si="62"/>
        <v>330.1</v>
      </c>
      <c r="N833" t="str">
        <f t="shared" si="63"/>
        <v>SUFICIENTE</v>
      </c>
      <c r="O833">
        <f t="shared" si="64"/>
        <v>0</v>
      </c>
    </row>
    <row r="834" spans="1:15" x14ac:dyDescent="0.45">
      <c r="A834" t="str">
        <v>CD-MOR</v>
      </c>
      <c r="B834" t="str">
        <v>LAC-1013</v>
      </c>
      <c r="C834">
        <v>2385</v>
      </c>
      <c r="D834">
        <v>315.7</v>
      </c>
      <c r="E834">
        <v>81.5</v>
      </c>
      <c r="F834">
        <v>1.9</v>
      </c>
      <c r="G834">
        <v>0.5</v>
      </c>
      <c r="H834" t="str">
        <v>OK</v>
      </c>
      <c r="J834">
        <f t="shared" si="60"/>
        <v>3650.7</v>
      </c>
      <c r="K834">
        <f>SUMIF(Supply_Clean[Item_Code], B834, Supply_Clean[Available_Supply])</f>
        <v>12026</v>
      </c>
      <c r="L834">
        <f t="shared" si="61"/>
        <v>1</v>
      </c>
      <c r="M834">
        <f t="shared" si="62"/>
        <v>315.7</v>
      </c>
      <c r="N834" t="str">
        <f t="shared" si="63"/>
        <v>SUFICIENTE</v>
      </c>
      <c r="O834">
        <f t="shared" si="64"/>
        <v>0</v>
      </c>
    </row>
    <row r="835" spans="1:15" x14ac:dyDescent="0.45">
      <c r="A835" t="str">
        <v>CD-SAL</v>
      </c>
      <c r="B835" t="str">
        <v>LAC-1010</v>
      </c>
      <c r="C835">
        <v>4483</v>
      </c>
      <c r="D835">
        <v>282.39999999999998</v>
      </c>
      <c r="E835">
        <v>115.6</v>
      </c>
      <c r="F835">
        <v>2.5</v>
      </c>
      <c r="G835">
        <v>0.5</v>
      </c>
      <c r="H835" t="str">
        <v>OK</v>
      </c>
      <c r="J835">
        <f t="shared" ref="J835:J898" si="65">SUMIF($B$2:$B$1501, B835, $D$2:$D$1501)</f>
        <v>4321.7</v>
      </c>
      <c r="K835">
        <f>SUMIF(Supply_Clean[Item_Code], B835, Supply_Clean[Available_Supply])</f>
        <v>11567</v>
      </c>
      <c r="L835">
        <f t="shared" ref="L835:L898" si="66">IFERROR(MIN(1, K835/J835), "")</f>
        <v>1</v>
      </c>
      <c r="M835">
        <f t="shared" ref="M835:M898" si="67">IFERROR(D835*L835, "")</f>
        <v>282.39999999999998</v>
      </c>
      <c r="N835" t="str">
        <f t="shared" ref="N835:N898" si="68">IF(L835&lt;1, "ESCASEZ", "SUFICIENTE")</f>
        <v>SUFICIENTE</v>
      </c>
      <c r="O835">
        <f t="shared" ref="O835:O898" si="69">IF(N835="ESCASEZ", D835-M835, 0)</f>
        <v>0</v>
      </c>
    </row>
    <row r="836" spans="1:15" x14ac:dyDescent="0.45">
      <c r="A836" t="str">
        <v>CD-GDL</v>
      </c>
      <c r="B836" t="str">
        <v>BOT-1017</v>
      </c>
      <c r="C836">
        <v>575</v>
      </c>
      <c r="D836">
        <v>643.70000000000005</v>
      </c>
      <c r="E836">
        <v>112.6</v>
      </c>
      <c r="F836">
        <v>0.9</v>
      </c>
      <c r="G836">
        <v>0.2</v>
      </c>
      <c r="H836" t="str">
        <v>OK</v>
      </c>
      <c r="J836">
        <f t="shared" si="65"/>
        <v>10291.300000000001</v>
      </c>
      <c r="K836">
        <f>SUMIF(Supply_Clean[Item_Code], B836, Supply_Clean[Available_Supply])</f>
        <v>5486</v>
      </c>
      <c r="L836">
        <f t="shared" si="66"/>
        <v>0.53307162360440363</v>
      </c>
      <c r="M836">
        <f t="shared" si="67"/>
        <v>343.13820411415463</v>
      </c>
      <c r="N836" t="str">
        <f t="shared" si="68"/>
        <v>ESCASEZ</v>
      </c>
      <c r="O836">
        <f t="shared" si="69"/>
        <v>300.56179588584541</v>
      </c>
    </row>
    <row r="837" spans="1:15" x14ac:dyDescent="0.45">
      <c r="A837" t="str">
        <v>CD-TIJ</v>
      </c>
      <c r="B837" t="str">
        <v>ABA-1004</v>
      </c>
      <c r="C837">
        <v>6041</v>
      </c>
      <c r="D837">
        <v>525.5</v>
      </c>
      <c r="E837">
        <v>63</v>
      </c>
      <c r="F837">
        <v>4.4000000000000004</v>
      </c>
      <c r="G837">
        <v>1.5</v>
      </c>
      <c r="H837" t="str">
        <v>OK</v>
      </c>
      <c r="J837">
        <f t="shared" si="65"/>
        <v>5236.7</v>
      </c>
      <c r="K837">
        <f>SUMIF(Supply_Clean[Item_Code], B837, Supply_Clean[Available_Supply])</f>
        <v>10879</v>
      </c>
      <c r="L837">
        <f t="shared" si="66"/>
        <v>1</v>
      </c>
      <c r="M837">
        <f t="shared" si="67"/>
        <v>525.5</v>
      </c>
      <c r="N837" t="str">
        <f t="shared" si="68"/>
        <v>SUFICIENTE</v>
      </c>
      <c r="O837">
        <f t="shared" si="69"/>
        <v>0</v>
      </c>
    </row>
    <row r="838" spans="1:15" x14ac:dyDescent="0.45">
      <c r="A838" t="str">
        <v>CD-VER</v>
      </c>
      <c r="B838" t="str">
        <v>LAC-1000</v>
      </c>
      <c r="C838">
        <v>999999</v>
      </c>
      <c r="D838">
        <v>546.70000000000005</v>
      </c>
      <c r="E838">
        <v>192.3</v>
      </c>
      <c r="F838">
        <v>1.4</v>
      </c>
      <c r="G838">
        <v>0.9</v>
      </c>
      <c r="H838" t="str">
        <v>ATIPICO</v>
      </c>
      <c r="J838">
        <f t="shared" si="65"/>
        <v>4987.8</v>
      </c>
      <c r="K838">
        <f>SUMIF(Supply_Clean[Item_Code], B838, Supply_Clean[Available_Supply])</f>
        <v>12568</v>
      </c>
      <c r="L838">
        <f t="shared" si="66"/>
        <v>1</v>
      </c>
      <c r="M838">
        <f t="shared" si="67"/>
        <v>546.70000000000005</v>
      </c>
      <c r="N838" t="str">
        <f t="shared" si="68"/>
        <v>SUFICIENTE</v>
      </c>
      <c r="O838">
        <f t="shared" si="69"/>
        <v>0</v>
      </c>
    </row>
    <row r="839" spans="1:15" x14ac:dyDescent="0.45">
      <c r="A839" t="str">
        <v>CD-CHI</v>
      </c>
      <c r="B839" t="str">
        <v>BOT-1021</v>
      </c>
      <c r="C839">
        <v>4276</v>
      </c>
      <c r="D839">
        <v>401.9</v>
      </c>
      <c r="E839">
        <v>74.400000000000006</v>
      </c>
      <c r="F839">
        <v>2.8</v>
      </c>
      <c r="G839">
        <v>1</v>
      </c>
      <c r="H839" t="str">
        <v>OK</v>
      </c>
      <c r="J839">
        <f t="shared" si="65"/>
        <v>6783.3</v>
      </c>
      <c r="K839">
        <f>SUMIF(Supply_Clean[Item_Code], B839, Supply_Clean[Available_Supply])</f>
        <v>13475</v>
      </c>
      <c r="L839">
        <f t="shared" si="66"/>
        <v>1</v>
      </c>
      <c r="M839">
        <f t="shared" si="67"/>
        <v>401.9</v>
      </c>
      <c r="N839" t="str">
        <f t="shared" si="68"/>
        <v>SUFICIENTE</v>
      </c>
      <c r="O839">
        <f t="shared" si="69"/>
        <v>0</v>
      </c>
    </row>
    <row r="840" spans="1:15" x14ac:dyDescent="0.45">
      <c r="A840" t="str">
        <v>CD-GDL</v>
      </c>
      <c r="B840" t="str">
        <v>ABA-1006</v>
      </c>
      <c r="C840">
        <v>351</v>
      </c>
      <c r="D840">
        <v>154.80000000000001</v>
      </c>
      <c r="E840">
        <v>18.2</v>
      </c>
      <c r="F840">
        <v>1.4</v>
      </c>
      <c r="G840">
        <v>0.2</v>
      </c>
      <c r="H840" t="str">
        <v>OK</v>
      </c>
      <c r="J840">
        <f t="shared" si="65"/>
        <v>4882.1000000000004</v>
      </c>
      <c r="K840">
        <f>SUMIF(Supply_Clean[Item_Code], B840, Supply_Clean[Available_Supply])</f>
        <v>15586</v>
      </c>
      <c r="L840">
        <f t="shared" si="66"/>
        <v>1</v>
      </c>
      <c r="M840">
        <f t="shared" si="67"/>
        <v>154.80000000000001</v>
      </c>
      <c r="N840" t="str">
        <f t="shared" si="68"/>
        <v>SUFICIENTE</v>
      </c>
      <c r="O840">
        <f t="shared" si="69"/>
        <v>0</v>
      </c>
    </row>
    <row r="841" spans="1:15" x14ac:dyDescent="0.45">
      <c r="A841" t="str">
        <v>CD-VER</v>
      </c>
      <c r="B841" t="str">
        <v>PRO-1008</v>
      </c>
      <c r="C841">
        <v>3434</v>
      </c>
      <c r="D841">
        <v>191.2</v>
      </c>
      <c r="E841">
        <v>92.3</v>
      </c>
      <c r="F841">
        <v>1.7</v>
      </c>
      <c r="G841">
        <v>0.9</v>
      </c>
      <c r="H841" t="str">
        <v>OK</v>
      </c>
      <c r="J841">
        <f t="shared" si="65"/>
        <v>5551.5999999999995</v>
      </c>
      <c r="K841">
        <f>SUMIF(Supply_Clean[Item_Code], B841, Supply_Clean[Available_Supply])</f>
        <v>9738</v>
      </c>
      <c r="L841">
        <f t="shared" si="66"/>
        <v>1</v>
      </c>
      <c r="M841">
        <f t="shared" si="67"/>
        <v>191.2</v>
      </c>
      <c r="N841" t="str">
        <f t="shared" si="68"/>
        <v>SUFICIENTE</v>
      </c>
      <c r="O841">
        <f t="shared" si="69"/>
        <v>0</v>
      </c>
    </row>
    <row r="842" spans="1:15" x14ac:dyDescent="0.45">
      <c r="A842" t="str">
        <v>CD-QRO</v>
      </c>
      <c r="B842" t="str">
        <v>BOT-1022</v>
      </c>
      <c r="C842">
        <v>12083</v>
      </c>
      <c r="D842">
        <v>690.1</v>
      </c>
      <c r="E842">
        <v>129.5</v>
      </c>
      <c r="F842">
        <v>2.1</v>
      </c>
      <c r="G842">
        <v>0.4</v>
      </c>
      <c r="H842" t="str">
        <v>OK</v>
      </c>
      <c r="J842">
        <f t="shared" si="65"/>
        <v>9197.7000000000007</v>
      </c>
      <c r="K842">
        <f>SUMIF(Supply_Clean[Item_Code], B842, Supply_Clean[Available_Supply])</f>
        <v>23862</v>
      </c>
      <c r="L842">
        <f t="shared" si="66"/>
        <v>1</v>
      </c>
      <c r="M842">
        <f t="shared" si="67"/>
        <v>690.1</v>
      </c>
      <c r="N842" t="str">
        <f t="shared" si="68"/>
        <v>SUFICIENTE</v>
      </c>
      <c r="O842">
        <f t="shared" si="69"/>
        <v>0</v>
      </c>
    </row>
    <row r="843" spans="1:15" x14ac:dyDescent="0.45">
      <c r="A843" t="str">
        <v>CD-TIJ</v>
      </c>
      <c r="B843" t="str">
        <v>PRO-1015</v>
      </c>
      <c r="C843">
        <v>11505</v>
      </c>
      <c r="D843">
        <v>728.8</v>
      </c>
      <c r="E843">
        <v>450.9</v>
      </c>
      <c r="F843">
        <v>6.5</v>
      </c>
      <c r="G843">
        <v>1.5</v>
      </c>
      <c r="H843" t="str">
        <v>OK</v>
      </c>
      <c r="J843">
        <f t="shared" si="65"/>
        <v>5021.5</v>
      </c>
      <c r="K843">
        <f>SUMIF(Supply_Clean[Item_Code], B843, Supply_Clean[Available_Supply])</f>
        <v>15970</v>
      </c>
      <c r="L843">
        <f t="shared" si="66"/>
        <v>1</v>
      </c>
      <c r="M843">
        <f t="shared" si="67"/>
        <v>728.8</v>
      </c>
      <c r="N843" t="str">
        <f t="shared" si="68"/>
        <v>SUFICIENTE</v>
      </c>
      <c r="O843">
        <f t="shared" si="69"/>
        <v>0</v>
      </c>
    </row>
    <row r="844" spans="1:15" x14ac:dyDescent="0.45">
      <c r="A844" t="str">
        <v>CD-MTY</v>
      </c>
      <c r="B844" t="str">
        <v>BOT-1006</v>
      </c>
      <c r="C844">
        <v>1424</v>
      </c>
      <c r="D844">
        <v>365.1</v>
      </c>
      <c r="E844">
        <v>55.4</v>
      </c>
      <c r="F844">
        <v>0.8</v>
      </c>
      <c r="G844">
        <v>0.3</v>
      </c>
      <c r="H844" t="str">
        <v>OK</v>
      </c>
      <c r="J844">
        <f t="shared" si="65"/>
        <v>7732.6000000000013</v>
      </c>
      <c r="K844">
        <f>SUMIF(Supply_Clean[Item_Code], B844, Supply_Clean[Available_Supply])</f>
        <v>16401</v>
      </c>
      <c r="L844">
        <f t="shared" si="66"/>
        <v>1</v>
      </c>
      <c r="M844">
        <f t="shared" si="67"/>
        <v>365.1</v>
      </c>
      <c r="N844" t="str">
        <f t="shared" si="68"/>
        <v>SUFICIENTE</v>
      </c>
      <c r="O844">
        <f t="shared" si="69"/>
        <v>0</v>
      </c>
    </row>
    <row r="845" spans="1:15" x14ac:dyDescent="0.45">
      <c r="A845" t="str">
        <v>CD-CHI</v>
      </c>
      <c r="B845" t="str">
        <v>ABA-1000</v>
      </c>
      <c r="C845">
        <v>873</v>
      </c>
      <c r="D845">
        <v>221.7</v>
      </c>
      <c r="E845">
        <v>33</v>
      </c>
      <c r="F845">
        <v>2.4</v>
      </c>
      <c r="G845">
        <v>1</v>
      </c>
      <c r="H845" t="str">
        <v>OK</v>
      </c>
      <c r="J845">
        <f t="shared" si="65"/>
        <v>4722.2</v>
      </c>
      <c r="K845">
        <f>SUMIF(Supply_Clean[Item_Code], B845, Supply_Clean[Available_Supply])</f>
        <v>10731</v>
      </c>
      <c r="L845">
        <f t="shared" si="66"/>
        <v>1</v>
      </c>
      <c r="M845">
        <f t="shared" si="67"/>
        <v>221.7</v>
      </c>
      <c r="N845" t="str">
        <f t="shared" si="68"/>
        <v>SUFICIENTE</v>
      </c>
      <c r="O845">
        <f t="shared" si="69"/>
        <v>0</v>
      </c>
    </row>
    <row r="846" spans="1:15" x14ac:dyDescent="0.45">
      <c r="A846" t="str">
        <v>CD-LEO</v>
      </c>
      <c r="B846" t="str">
        <v>BOT-1002</v>
      </c>
      <c r="C846">
        <v>3438</v>
      </c>
      <c r="D846">
        <v>364.6</v>
      </c>
      <c r="E846">
        <v>57.8</v>
      </c>
      <c r="F846">
        <v>1.9</v>
      </c>
      <c r="G846">
        <v>0.6</v>
      </c>
      <c r="H846" t="str">
        <v>OK</v>
      </c>
      <c r="J846">
        <f t="shared" si="65"/>
        <v>8527</v>
      </c>
      <c r="K846">
        <f>SUMIF(Supply_Clean[Item_Code], B846, Supply_Clean[Available_Supply])</f>
        <v>25048</v>
      </c>
      <c r="L846">
        <f t="shared" si="66"/>
        <v>1</v>
      </c>
      <c r="M846">
        <f t="shared" si="67"/>
        <v>364.6</v>
      </c>
      <c r="N846" t="str">
        <f t="shared" si="68"/>
        <v>SUFICIENTE</v>
      </c>
      <c r="O846">
        <f t="shared" si="69"/>
        <v>0</v>
      </c>
    </row>
    <row r="847" spans="1:15" x14ac:dyDescent="0.45">
      <c r="A847" t="str">
        <v>CD-SAL</v>
      </c>
      <c r="B847" t="str">
        <v>BOT-1016</v>
      </c>
      <c r="C847">
        <v>8659</v>
      </c>
      <c r="D847">
        <v>585.9</v>
      </c>
      <c r="E847">
        <v>164.8</v>
      </c>
      <c r="F847">
        <v>2.4</v>
      </c>
      <c r="G847">
        <v>0.5</v>
      </c>
      <c r="H847" t="str">
        <v>OK</v>
      </c>
      <c r="J847">
        <f t="shared" si="65"/>
        <v>9923.6999999999989</v>
      </c>
      <c r="K847">
        <f>SUMIF(Supply_Clean[Item_Code], B847, Supply_Clean[Available_Supply])</f>
        <v>18995</v>
      </c>
      <c r="L847">
        <f t="shared" si="66"/>
        <v>1</v>
      </c>
      <c r="M847">
        <f t="shared" si="67"/>
        <v>585.9</v>
      </c>
      <c r="N847" t="str">
        <f t="shared" si="68"/>
        <v>SUFICIENTE</v>
      </c>
      <c r="O847">
        <f t="shared" si="69"/>
        <v>0</v>
      </c>
    </row>
    <row r="848" spans="1:15" x14ac:dyDescent="0.45">
      <c r="A848" t="str">
        <v>CD-VER</v>
      </c>
      <c r="B848" t="str">
        <v>LAC-1005</v>
      </c>
      <c r="C848">
        <v>5110</v>
      </c>
      <c r="D848">
        <v>297.60000000000002</v>
      </c>
      <c r="E848">
        <v>122.7</v>
      </c>
      <c r="F848">
        <v>3.4</v>
      </c>
      <c r="G848">
        <v>0.9</v>
      </c>
      <c r="H848" t="str">
        <v>OK</v>
      </c>
      <c r="J848">
        <f t="shared" si="65"/>
        <v>3868.9</v>
      </c>
      <c r="K848">
        <f>SUMIF(Supply_Clean[Item_Code], B848, Supply_Clean[Available_Supply])</f>
        <v>9953</v>
      </c>
      <c r="L848">
        <f t="shared" si="66"/>
        <v>1</v>
      </c>
      <c r="M848">
        <f t="shared" si="67"/>
        <v>297.60000000000002</v>
      </c>
      <c r="N848" t="str">
        <f t="shared" si="68"/>
        <v>SUFICIENTE</v>
      </c>
      <c r="O848">
        <f t="shared" si="69"/>
        <v>0</v>
      </c>
    </row>
    <row r="849" spans="1:15" x14ac:dyDescent="0.45">
      <c r="A849" t="str">
        <v>CD-MER</v>
      </c>
      <c r="B849" t="str">
        <v>LAC-1017</v>
      </c>
      <c r="C849">
        <v>2922</v>
      </c>
      <c r="D849">
        <v>352.1</v>
      </c>
      <c r="E849">
        <v>116.5</v>
      </c>
      <c r="F849">
        <v>4</v>
      </c>
      <c r="G849">
        <v>1.3</v>
      </c>
      <c r="H849" t="str">
        <v>OK</v>
      </c>
      <c r="J849">
        <f t="shared" si="65"/>
        <v>4246.3999999999996</v>
      </c>
      <c r="K849">
        <f>SUMIF(Supply_Clean[Item_Code], B849, Supply_Clean[Available_Supply])</f>
        <v>12824</v>
      </c>
      <c r="L849">
        <f t="shared" si="66"/>
        <v>1</v>
      </c>
      <c r="M849">
        <f t="shared" si="67"/>
        <v>352.1</v>
      </c>
      <c r="N849" t="str">
        <f t="shared" si="68"/>
        <v>SUFICIENTE</v>
      </c>
      <c r="O849">
        <f t="shared" si="69"/>
        <v>0</v>
      </c>
    </row>
    <row r="850" spans="1:15" x14ac:dyDescent="0.45">
      <c r="A850" t="str">
        <v>CD-CHI</v>
      </c>
      <c r="B850" t="str">
        <v>BEB-1006</v>
      </c>
      <c r="C850">
        <v>3679</v>
      </c>
      <c r="D850">
        <v>216.6</v>
      </c>
      <c r="E850">
        <v>27.5</v>
      </c>
      <c r="F850">
        <v>3</v>
      </c>
      <c r="G850">
        <v>1</v>
      </c>
      <c r="H850" t="str">
        <v>OK</v>
      </c>
      <c r="J850">
        <f t="shared" si="65"/>
        <v>5154.2000000000016</v>
      </c>
      <c r="K850">
        <f>SUMIF(Supply_Clean[Item_Code], B850, Supply_Clean[Available_Supply])</f>
        <v>12324</v>
      </c>
      <c r="L850">
        <f t="shared" si="66"/>
        <v>1</v>
      </c>
      <c r="M850">
        <f t="shared" si="67"/>
        <v>216.6</v>
      </c>
      <c r="N850" t="str">
        <f t="shared" si="68"/>
        <v>SUFICIENTE</v>
      </c>
      <c r="O850">
        <f t="shared" si="69"/>
        <v>0</v>
      </c>
    </row>
    <row r="851" spans="1:15" x14ac:dyDescent="0.45">
      <c r="A851" t="str">
        <v>CD-TOL</v>
      </c>
      <c r="B851" t="str">
        <v>PRO-1011</v>
      </c>
      <c r="C851">
        <v>5262</v>
      </c>
      <c r="D851">
        <v>503.2</v>
      </c>
      <c r="E851">
        <v>275.2</v>
      </c>
      <c r="F851">
        <v>2.2000000000000002</v>
      </c>
      <c r="G851">
        <v>0.5</v>
      </c>
      <c r="H851" t="str">
        <v>OK</v>
      </c>
      <c r="J851">
        <f t="shared" si="65"/>
        <v>5674.6999999999989</v>
      </c>
      <c r="K851">
        <f>SUMIF(Supply_Clean[Item_Code], B851, Supply_Clean[Available_Supply])</f>
        <v>14178</v>
      </c>
      <c r="L851">
        <f t="shared" si="66"/>
        <v>1</v>
      </c>
      <c r="M851">
        <f t="shared" si="67"/>
        <v>503.2</v>
      </c>
      <c r="N851" t="str">
        <f t="shared" si="68"/>
        <v>SUFICIENTE</v>
      </c>
      <c r="O851">
        <f t="shared" si="69"/>
        <v>0</v>
      </c>
    </row>
    <row r="852" spans="1:15" x14ac:dyDescent="0.45">
      <c r="A852" t="str">
        <v>CD-TIJ</v>
      </c>
      <c r="B852" t="str">
        <v>ABA-1017</v>
      </c>
      <c r="C852">
        <v>1005</v>
      </c>
      <c r="D852">
        <v>154.19999999999999</v>
      </c>
      <c r="E852">
        <v>21.7</v>
      </c>
      <c r="F852">
        <v>5</v>
      </c>
      <c r="G852">
        <v>1.5</v>
      </c>
      <c r="H852" t="str">
        <v>OK</v>
      </c>
      <c r="J852">
        <f t="shared" si="65"/>
        <v>4720.2</v>
      </c>
      <c r="K852">
        <f>SUMIF(Supply_Clean[Item_Code], B852, Supply_Clean[Available_Supply])</f>
        <v>13946</v>
      </c>
      <c r="L852">
        <f t="shared" si="66"/>
        <v>1</v>
      </c>
      <c r="M852">
        <f t="shared" si="67"/>
        <v>154.19999999999999</v>
      </c>
      <c r="N852" t="str">
        <f t="shared" si="68"/>
        <v>SUFICIENTE</v>
      </c>
      <c r="O852">
        <f t="shared" si="69"/>
        <v>0</v>
      </c>
    </row>
    <row r="853" spans="1:15" x14ac:dyDescent="0.45">
      <c r="A853" t="str">
        <v>CD-MOR</v>
      </c>
      <c r="B853" t="str">
        <v>BOT-1009</v>
      </c>
      <c r="C853">
        <v>7229</v>
      </c>
      <c r="D853">
        <v>483.9</v>
      </c>
      <c r="E853">
        <v>110.8</v>
      </c>
      <c r="F853">
        <v>2.7</v>
      </c>
      <c r="G853">
        <v>0.5</v>
      </c>
      <c r="H853" t="str">
        <v>OK</v>
      </c>
      <c r="J853">
        <f t="shared" si="65"/>
        <v>8135.5</v>
      </c>
      <c r="K853">
        <f>SUMIF(Supply_Clean[Item_Code], B853, Supply_Clean[Available_Supply])</f>
        <v>17475</v>
      </c>
      <c r="L853">
        <f t="shared" si="66"/>
        <v>1</v>
      </c>
      <c r="M853">
        <f t="shared" si="67"/>
        <v>483.9</v>
      </c>
      <c r="N853" t="str">
        <f t="shared" si="68"/>
        <v>SUFICIENTE</v>
      </c>
      <c r="O853">
        <f t="shared" si="69"/>
        <v>0</v>
      </c>
    </row>
    <row r="854" spans="1:15" x14ac:dyDescent="0.45">
      <c r="A854" t="str">
        <v>CD-QRO</v>
      </c>
      <c r="B854" t="str">
        <v>BEB-1016</v>
      </c>
      <c r="C854">
        <v>1042</v>
      </c>
      <c r="D854">
        <v>217.5</v>
      </c>
      <c r="E854">
        <v>35.5</v>
      </c>
      <c r="F854">
        <v>2.6</v>
      </c>
      <c r="G854">
        <v>0.4</v>
      </c>
      <c r="H854" t="str">
        <v>OK</v>
      </c>
      <c r="J854">
        <f t="shared" si="65"/>
        <v>5569.2000000000007</v>
      </c>
      <c r="K854">
        <f>SUMIF(Supply_Clean[Item_Code], B854, Supply_Clean[Available_Supply])</f>
        <v>14537</v>
      </c>
      <c r="L854">
        <f t="shared" si="66"/>
        <v>1</v>
      </c>
      <c r="M854">
        <f t="shared" si="67"/>
        <v>217.5</v>
      </c>
      <c r="N854" t="str">
        <f t="shared" si="68"/>
        <v>SUFICIENTE</v>
      </c>
      <c r="O854">
        <f t="shared" si="69"/>
        <v>0</v>
      </c>
    </row>
    <row r="855" spans="1:15" x14ac:dyDescent="0.45">
      <c r="A855" t="str">
        <v>CD-GDL</v>
      </c>
      <c r="B855" t="str">
        <v>BOT-1008</v>
      </c>
      <c r="C855">
        <v>6880</v>
      </c>
      <c r="D855">
        <v>0</v>
      </c>
      <c r="E855">
        <v>131.80000000000001</v>
      </c>
      <c r="F855">
        <v>1</v>
      </c>
      <c r="G855">
        <v>0.2</v>
      </c>
      <c r="H855" t="str">
        <v>OK</v>
      </c>
      <c r="J855">
        <f t="shared" si="65"/>
        <v>7758.6</v>
      </c>
      <c r="K855">
        <f>SUMIF(Supply_Clean[Item_Code], B855, Supply_Clean[Available_Supply])</f>
        <v>25288</v>
      </c>
      <c r="L855">
        <f t="shared" si="66"/>
        <v>1</v>
      </c>
      <c r="M855">
        <f t="shared" si="67"/>
        <v>0</v>
      </c>
      <c r="N855" t="str">
        <f t="shared" si="68"/>
        <v>SUFICIENTE</v>
      </c>
      <c r="O855">
        <f t="shared" si="69"/>
        <v>0</v>
      </c>
    </row>
    <row r="856" spans="1:15" x14ac:dyDescent="0.45">
      <c r="A856" t="str">
        <v>CD-VER</v>
      </c>
      <c r="B856" t="str">
        <v>LAC-1017</v>
      </c>
      <c r="C856">
        <v>1703</v>
      </c>
      <c r="D856">
        <v>285.7</v>
      </c>
      <c r="E856">
        <v>126.2</v>
      </c>
      <c r="F856">
        <v>2.2000000000000002</v>
      </c>
      <c r="G856">
        <v>0.9</v>
      </c>
      <c r="H856" t="str">
        <v>OK</v>
      </c>
      <c r="J856">
        <f t="shared" si="65"/>
        <v>4246.3999999999996</v>
      </c>
      <c r="K856">
        <f>SUMIF(Supply_Clean[Item_Code], B856, Supply_Clean[Available_Supply])</f>
        <v>12824</v>
      </c>
      <c r="L856">
        <f t="shared" si="66"/>
        <v>1</v>
      </c>
      <c r="M856">
        <f t="shared" si="67"/>
        <v>285.7</v>
      </c>
      <c r="N856" t="str">
        <f t="shared" si="68"/>
        <v>SUFICIENTE</v>
      </c>
      <c r="O856">
        <f t="shared" si="69"/>
        <v>0</v>
      </c>
    </row>
    <row r="857" spans="1:15" x14ac:dyDescent="0.45">
      <c r="A857" t="str">
        <v>CD-SAL</v>
      </c>
      <c r="B857" t="str">
        <v>BEB-1000</v>
      </c>
      <c r="C857">
        <v>6214</v>
      </c>
      <c r="D857">
        <v>346.2</v>
      </c>
      <c r="E857">
        <v>39.799999999999997</v>
      </c>
      <c r="F857">
        <v>1.6</v>
      </c>
      <c r="G857">
        <v>0.5</v>
      </c>
      <c r="H857" t="str">
        <v>OK</v>
      </c>
      <c r="J857">
        <f t="shared" si="65"/>
        <v>4843.5</v>
      </c>
      <c r="K857">
        <f>SUMIF(Supply_Clean[Item_Code], B857, Supply_Clean[Available_Supply])</f>
        <v>14592</v>
      </c>
      <c r="L857">
        <f t="shared" si="66"/>
        <v>1</v>
      </c>
      <c r="M857">
        <f t="shared" si="67"/>
        <v>346.2</v>
      </c>
      <c r="N857" t="str">
        <f t="shared" si="68"/>
        <v>SUFICIENTE</v>
      </c>
      <c r="O857">
        <f t="shared" si="69"/>
        <v>0</v>
      </c>
    </row>
    <row r="858" spans="1:15" x14ac:dyDescent="0.45">
      <c r="A858" t="str">
        <v>CD-VER</v>
      </c>
      <c r="B858" t="str">
        <v>BOT-1008</v>
      </c>
      <c r="C858">
        <v>3454</v>
      </c>
      <c r="D858">
        <v>396.6</v>
      </c>
      <c r="E858">
        <v>94.2</v>
      </c>
      <c r="F858">
        <v>4.5</v>
      </c>
      <c r="G858">
        <v>0.9</v>
      </c>
      <c r="H858" t="str">
        <v>OK</v>
      </c>
      <c r="J858">
        <f t="shared" si="65"/>
        <v>7758.6</v>
      </c>
      <c r="K858">
        <f>SUMIF(Supply_Clean[Item_Code], B858, Supply_Clean[Available_Supply])</f>
        <v>25288</v>
      </c>
      <c r="L858">
        <f t="shared" si="66"/>
        <v>1</v>
      </c>
      <c r="M858">
        <f t="shared" si="67"/>
        <v>396.6</v>
      </c>
      <c r="N858" t="str">
        <f t="shared" si="68"/>
        <v>SUFICIENTE</v>
      </c>
      <c r="O858">
        <f t="shared" si="69"/>
        <v>0</v>
      </c>
    </row>
    <row r="859" spans="1:15" x14ac:dyDescent="0.45">
      <c r="A859" t="str">
        <v>CD-SAL</v>
      </c>
      <c r="B859" t="str">
        <v>BEB-1001</v>
      </c>
      <c r="C859">
        <v>5932</v>
      </c>
      <c r="D859">
        <v>423.8</v>
      </c>
      <c r="E859">
        <v>45.2</v>
      </c>
      <c r="F859">
        <v>1.9</v>
      </c>
      <c r="G859">
        <v>0.5</v>
      </c>
      <c r="H859" t="str">
        <v>OK</v>
      </c>
      <c r="J859">
        <f t="shared" si="65"/>
        <v>6941.9</v>
      </c>
      <c r="K859">
        <f>SUMIF(Supply_Clean[Item_Code], B859, Supply_Clean[Available_Supply])</f>
        <v>11725</v>
      </c>
      <c r="L859">
        <f t="shared" si="66"/>
        <v>1</v>
      </c>
      <c r="M859">
        <f t="shared" si="67"/>
        <v>423.8</v>
      </c>
      <c r="N859" t="str">
        <f t="shared" si="68"/>
        <v>SUFICIENTE</v>
      </c>
      <c r="O859">
        <f t="shared" si="69"/>
        <v>0</v>
      </c>
    </row>
    <row r="860" spans="1:15" x14ac:dyDescent="0.45">
      <c r="A860" t="str">
        <v>CD-SAL</v>
      </c>
      <c r="B860" t="str">
        <v>LAC-1005</v>
      </c>
      <c r="C860">
        <v>3088</v>
      </c>
      <c r="D860">
        <v>178.6</v>
      </c>
      <c r="E860">
        <v>76.400000000000006</v>
      </c>
      <c r="F860">
        <v>2.1</v>
      </c>
      <c r="G860">
        <v>0.5</v>
      </c>
      <c r="H860" t="str">
        <v>OK</v>
      </c>
      <c r="J860">
        <f t="shared" si="65"/>
        <v>3868.9</v>
      </c>
      <c r="K860">
        <f>SUMIF(Supply_Clean[Item_Code], B860, Supply_Clean[Available_Supply])</f>
        <v>9953</v>
      </c>
      <c r="L860">
        <f t="shared" si="66"/>
        <v>1</v>
      </c>
      <c r="M860">
        <f t="shared" si="67"/>
        <v>178.6</v>
      </c>
      <c r="N860" t="str">
        <f t="shared" si="68"/>
        <v>SUFICIENTE</v>
      </c>
      <c r="O860">
        <f t="shared" si="69"/>
        <v>0</v>
      </c>
    </row>
    <row r="861" spans="1:15" x14ac:dyDescent="0.45">
      <c r="A861" t="str">
        <v>CD-CDMX</v>
      </c>
      <c r="B861" t="str">
        <v>ABA-1005</v>
      </c>
      <c r="C861">
        <v>1559</v>
      </c>
      <c r="D861">
        <v>509</v>
      </c>
      <c r="E861">
        <v>60.3</v>
      </c>
      <c r="F861">
        <v>1.4</v>
      </c>
      <c r="G861">
        <v>0.2</v>
      </c>
      <c r="H861" t="str">
        <v>OK</v>
      </c>
      <c r="J861">
        <f t="shared" si="65"/>
        <v>5173.5999999999995</v>
      </c>
      <c r="K861">
        <f>SUMIF(Supply_Clean[Item_Code], B861, Supply_Clean[Available_Supply])</f>
        <v>15028</v>
      </c>
      <c r="L861">
        <f t="shared" si="66"/>
        <v>1</v>
      </c>
      <c r="M861">
        <f t="shared" si="67"/>
        <v>509</v>
      </c>
      <c r="N861" t="str">
        <f t="shared" si="68"/>
        <v>SUFICIENTE</v>
      </c>
      <c r="O861">
        <f t="shared" si="69"/>
        <v>0</v>
      </c>
    </row>
    <row r="862" spans="1:15" x14ac:dyDescent="0.45">
      <c r="A862" t="str">
        <v>CD-MER</v>
      </c>
      <c r="B862" t="str">
        <v>BEB-1006</v>
      </c>
      <c r="C862">
        <v>8966</v>
      </c>
      <c r="D862">
        <v>543.79999999999995</v>
      </c>
      <c r="E862">
        <v>90.4</v>
      </c>
      <c r="F862">
        <v>5.7</v>
      </c>
      <c r="G862">
        <v>1.3</v>
      </c>
      <c r="H862" t="str">
        <v>OK</v>
      </c>
      <c r="J862">
        <f t="shared" si="65"/>
        <v>5154.2000000000016</v>
      </c>
      <c r="K862">
        <f>SUMIF(Supply_Clean[Item_Code], B862, Supply_Clean[Available_Supply])</f>
        <v>12324</v>
      </c>
      <c r="L862">
        <f t="shared" si="66"/>
        <v>1</v>
      </c>
      <c r="M862">
        <f t="shared" si="67"/>
        <v>543.79999999999995</v>
      </c>
      <c r="N862" t="str">
        <f t="shared" si="68"/>
        <v>SUFICIENTE</v>
      </c>
      <c r="O862">
        <f t="shared" si="69"/>
        <v>0</v>
      </c>
    </row>
    <row r="863" spans="1:15" x14ac:dyDescent="0.45">
      <c r="A863" t="str">
        <v>CD-MER</v>
      </c>
      <c r="B863" t="str">
        <v>PRO-1012</v>
      </c>
      <c r="C863">
        <v>4168</v>
      </c>
      <c r="D863">
        <v>234.6</v>
      </c>
      <c r="E863">
        <v>98.9</v>
      </c>
      <c r="F863">
        <v>3.8</v>
      </c>
      <c r="G863">
        <v>1.3</v>
      </c>
      <c r="H863" t="str">
        <v>OK</v>
      </c>
      <c r="J863">
        <f t="shared" si="65"/>
        <v>4930.1000000000004</v>
      </c>
      <c r="K863">
        <f>SUMIF(Supply_Clean[Item_Code], B863, Supply_Clean[Available_Supply])</f>
        <v>9930</v>
      </c>
      <c r="L863">
        <f t="shared" si="66"/>
        <v>1</v>
      </c>
      <c r="M863">
        <f t="shared" si="67"/>
        <v>234.6</v>
      </c>
      <c r="N863" t="str">
        <f t="shared" si="68"/>
        <v>SUFICIENTE</v>
      </c>
      <c r="O863">
        <f t="shared" si="69"/>
        <v>0</v>
      </c>
    </row>
    <row r="864" spans="1:15" x14ac:dyDescent="0.45">
      <c r="A864" t="str">
        <v>CD-LEO</v>
      </c>
      <c r="B864" t="str">
        <v>BOT-1001</v>
      </c>
      <c r="C864">
        <v>586</v>
      </c>
      <c r="D864">
        <v>505.8</v>
      </c>
      <c r="E864">
        <v>148.80000000000001</v>
      </c>
      <c r="F864">
        <v>1</v>
      </c>
      <c r="G864">
        <v>0.6</v>
      </c>
      <c r="H864" t="str">
        <v>OK</v>
      </c>
      <c r="J864">
        <f t="shared" si="65"/>
        <v>8375.9</v>
      </c>
      <c r="K864">
        <f>SUMIF(Supply_Clean[Item_Code], B864, Supply_Clean[Available_Supply])</f>
        <v>20393</v>
      </c>
      <c r="L864">
        <f t="shared" si="66"/>
        <v>1</v>
      </c>
      <c r="M864">
        <f t="shared" si="67"/>
        <v>505.8</v>
      </c>
      <c r="N864" t="str">
        <f t="shared" si="68"/>
        <v>SUFICIENTE</v>
      </c>
      <c r="O864">
        <f t="shared" si="69"/>
        <v>0</v>
      </c>
    </row>
    <row r="865" spans="1:15" x14ac:dyDescent="0.45">
      <c r="A865" t="str">
        <v>CD-GDL</v>
      </c>
      <c r="B865" t="str">
        <v>BEB-1008</v>
      </c>
      <c r="C865">
        <v>3397</v>
      </c>
      <c r="D865">
        <v>300.89999999999998</v>
      </c>
      <c r="E865">
        <v>48</v>
      </c>
      <c r="F865">
        <v>1.1000000000000001</v>
      </c>
      <c r="G865">
        <v>0.2</v>
      </c>
      <c r="H865" t="str">
        <v>OK</v>
      </c>
      <c r="J865">
        <f t="shared" si="65"/>
        <v>6156.9999999999991</v>
      </c>
      <c r="K865">
        <f>SUMIF(Supply_Clean[Item_Code], B865, Supply_Clean[Available_Supply])</f>
        <v>18019</v>
      </c>
      <c r="L865">
        <f t="shared" si="66"/>
        <v>1</v>
      </c>
      <c r="M865">
        <f t="shared" si="67"/>
        <v>300.89999999999998</v>
      </c>
      <c r="N865" t="str">
        <f t="shared" si="68"/>
        <v>SUFICIENTE</v>
      </c>
      <c r="O865">
        <f t="shared" si="69"/>
        <v>0</v>
      </c>
    </row>
    <row r="866" spans="1:15" x14ac:dyDescent="0.45">
      <c r="A866" t="str">
        <v>CD-CDMX</v>
      </c>
      <c r="B866" t="str">
        <v>ABA-1007</v>
      </c>
      <c r="C866">
        <v>3441</v>
      </c>
      <c r="D866">
        <v>248</v>
      </c>
      <c r="E866">
        <v>30.6</v>
      </c>
      <c r="F866">
        <v>1.1000000000000001</v>
      </c>
      <c r="G866">
        <v>0.2</v>
      </c>
      <c r="H866" t="str">
        <v>OK</v>
      </c>
      <c r="J866">
        <f t="shared" si="65"/>
        <v>4867.3</v>
      </c>
      <c r="K866">
        <f>SUMIF(Supply_Clean[Item_Code], B866, Supply_Clean[Available_Supply])</f>
        <v>13182</v>
      </c>
      <c r="L866">
        <f t="shared" si="66"/>
        <v>1</v>
      </c>
      <c r="M866">
        <f t="shared" si="67"/>
        <v>248</v>
      </c>
      <c r="N866" t="str">
        <f t="shared" si="68"/>
        <v>SUFICIENTE</v>
      </c>
      <c r="O866">
        <f t="shared" si="69"/>
        <v>0</v>
      </c>
    </row>
    <row r="867" spans="1:15" x14ac:dyDescent="0.45">
      <c r="A867" t="str">
        <v>CD-CAN</v>
      </c>
      <c r="B867" t="str">
        <v>BEB-1008</v>
      </c>
      <c r="C867">
        <v>991</v>
      </c>
      <c r="D867">
        <v>0</v>
      </c>
      <c r="E867">
        <v>75.400000000000006</v>
      </c>
      <c r="F867">
        <v>0.5</v>
      </c>
      <c r="G867">
        <v>1.6</v>
      </c>
      <c r="H867" t="str">
        <v>OK</v>
      </c>
      <c r="J867">
        <f t="shared" si="65"/>
        <v>6156.9999999999991</v>
      </c>
      <c r="K867">
        <f>SUMIF(Supply_Clean[Item_Code], B867, Supply_Clean[Available_Supply])</f>
        <v>18019</v>
      </c>
      <c r="L867">
        <f t="shared" si="66"/>
        <v>1</v>
      </c>
      <c r="M867">
        <f t="shared" si="67"/>
        <v>0</v>
      </c>
      <c r="N867" t="str">
        <f t="shared" si="68"/>
        <v>SUFICIENTE</v>
      </c>
      <c r="O867">
        <f t="shared" si="69"/>
        <v>0</v>
      </c>
    </row>
    <row r="868" spans="1:15" x14ac:dyDescent="0.45">
      <c r="A868" t="str">
        <v>CD-HER</v>
      </c>
      <c r="B868" t="str">
        <v>PRO-1002</v>
      </c>
      <c r="C868">
        <v>2361</v>
      </c>
      <c r="D868">
        <v>601.1</v>
      </c>
      <c r="E868">
        <v>350.9</v>
      </c>
      <c r="F868">
        <v>4.5</v>
      </c>
      <c r="G868">
        <v>1.2</v>
      </c>
      <c r="H868" t="str">
        <v>OK</v>
      </c>
      <c r="J868">
        <f t="shared" si="65"/>
        <v>6123.6999999999989</v>
      </c>
      <c r="K868">
        <f>SUMIF(Supply_Clean[Item_Code], B868, Supply_Clean[Available_Supply])</f>
        <v>17616</v>
      </c>
      <c r="L868">
        <f t="shared" si="66"/>
        <v>1</v>
      </c>
      <c r="M868">
        <f t="shared" si="67"/>
        <v>601.1</v>
      </c>
      <c r="N868" t="str">
        <f t="shared" si="68"/>
        <v>SUFICIENTE</v>
      </c>
      <c r="O868">
        <f t="shared" si="69"/>
        <v>0</v>
      </c>
    </row>
    <row r="869" spans="1:15" x14ac:dyDescent="0.45">
      <c r="A869" t="str">
        <v>CD-MTY</v>
      </c>
      <c r="B869" t="str">
        <v>BEB-1010</v>
      </c>
      <c r="C869">
        <v>2776</v>
      </c>
      <c r="D869">
        <v>247.7</v>
      </c>
      <c r="E869">
        <v>25.4</v>
      </c>
      <c r="F869">
        <v>1.2</v>
      </c>
      <c r="G869">
        <v>0.3</v>
      </c>
      <c r="H869" t="str">
        <v>OK</v>
      </c>
      <c r="J869">
        <f t="shared" si="65"/>
        <v>4470.2999999999993</v>
      </c>
      <c r="K869">
        <f>SUMIF(Supply_Clean[Item_Code], B869, Supply_Clean[Available_Supply])</f>
        <v>3237</v>
      </c>
      <c r="L869">
        <f t="shared" si="66"/>
        <v>0.7241124756727737</v>
      </c>
      <c r="M869">
        <f t="shared" si="67"/>
        <v>179.36266022414603</v>
      </c>
      <c r="N869" t="str">
        <f t="shared" si="68"/>
        <v>ESCASEZ</v>
      </c>
      <c r="O869">
        <f t="shared" si="69"/>
        <v>68.337339775853962</v>
      </c>
    </row>
    <row r="870" spans="1:15" x14ac:dyDescent="0.45">
      <c r="A870" t="str">
        <v>CD-GDL</v>
      </c>
      <c r="B870" t="str">
        <v>BEB-1006</v>
      </c>
      <c r="C870">
        <v>3448</v>
      </c>
      <c r="D870">
        <v>223.3</v>
      </c>
      <c r="E870">
        <v>26.4</v>
      </c>
      <c r="F870">
        <v>1</v>
      </c>
      <c r="G870">
        <v>0.2</v>
      </c>
      <c r="H870" t="str">
        <v>OK</v>
      </c>
      <c r="J870">
        <f t="shared" si="65"/>
        <v>5154.2000000000016</v>
      </c>
      <c r="K870">
        <f>SUMIF(Supply_Clean[Item_Code], B870, Supply_Clean[Available_Supply])</f>
        <v>12324</v>
      </c>
      <c r="L870">
        <f t="shared" si="66"/>
        <v>1</v>
      </c>
      <c r="M870">
        <f t="shared" si="67"/>
        <v>223.3</v>
      </c>
      <c r="N870" t="str">
        <f t="shared" si="68"/>
        <v>SUFICIENTE</v>
      </c>
      <c r="O870">
        <f t="shared" si="69"/>
        <v>0</v>
      </c>
    </row>
    <row r="871" spans="1:15" x14ac:dyDescent="0.45">
      <c r="A871" t="str">
        <v>CD-GDL</v>
      </c>
      <c r="B871" t="str">
        <v>BEB-1013</v>
      </c>
      <c r="C871">
        <v>1027</v>
      </c>
      <c r="D871">
        <v>405.3</v>
      </c>
      <c r="E871">
        <v>79.400000000000006</v>
      </c>
      <c r="F871">
        <v>1.1000000000000001</v>
      </c>
      <c r="G871">
        <v>0.2</v>
      </c>
      <c r="H871" t="str">
        <v>OK</v>
      </c>
      <c r="J871">
        <f t="shared" si="65"/>
        <v>6158.7000000000007</v>
      </c>
      <c r="K871">
        <f>SUMIF(Supply_Clean[Item_Code], B871, Supply_Clean[Available_Supply])</f>
        <v>3246</v>
      </c>
      <c r="L871">
        <f t="shared" si="66"/>
        <v>0.52705928199132923</v>
      </c>
      <c r="M871">
        <f t="shared" si="67"/>
        <v>213.61712699108574</v>
      </c>
      <c r="N871" t="str">
        <f t="shared" si="68"/>
        <v>ESCASEZ</v>
      </c>
      <c r="O871">
        <f t="shared" si="69"/>
        <v>191.68287300891427</v>
      </c>
    </row>
    <row r="872" spans="1:15" x14ac:dyDescent="0.45">
      <c r="A872" t="str">
        <v>CD-TOL</v>
      </c>
      <c r="B872" t="str">
        <v>LAC-1008</v>
      </c>
      <c r="C872">
        <v>3957</v>
      </c>
      <c r="D872">
        <v>286.10000000000002</v>
      </c>
      <c r="E872">
        <v>89.3</v>
      </c>
      <c r="F872">
        <v>2.7</v>
      </c>
      <c r="G872">
        <v>0.5</v>
      </c>
      <c r="H872" t="str">
        <v>OK</v>
      </c>
      <c r="J872">
        <f t="shared" si="65"/>
        <v>4499.0999999999995</v>
      </c>
      <c r="K872">
        <f>SUMIF(Supply_Clean[Item_Code], B872, Supply_Clean[Available_Supply])</f>
        <v>9543</v>
      </c>
      <c r="L872">
        <f t="shared" si="66"/>
        <v>1</v>
      </c>
      <c r="M872">
        <f t="shared" si="67"/>
        <v>286.10000000000002</v>
      </c>
      <c r="N872" t="str">
        <f t="shared" si="68"/>
        <v>SUFICIENTE</v>
      </c>
      <c r="O872">
        <f t="shared" si="69"/>
        <v>0</v>
      </c>
    </row>
    <row r="873" spans="1:15" x14ac:dyDescent="0.45">
      <c r="A873" t="str">
        <v>CD-TIJ</v>
      </c>
      <c r="B873" t="str">
        <v>BEB-1011</v>
      </c>
      <c r="C873">
        <v>3836</v>
      </c>
      <c r="D873">
        <v>479.2</v>
      </c>
      <c r="E873">
        <v>76.099999999999994</v>
      </c>
      <c r="F873">
        <v>3.2</v>
      </c>
      <c r="G873">
        <v>1.5</v>
      </c>
      <c r="H873" t="str">
        <v>OK</v>
      </c>
      <c r="J873">
        <f t="shared" si="65"/>
        <v>5454.4999999999991</v>
      </c>
      <c r="K873">
        <f>SUMIF(Supply_Clean[Item_Code], B873, Supply_Clean[Available_Supply])</f>
        <v>13720</v>
      </c>
      <c r="L873">
        <f t="shared" si="66"/>
        <v>1</v>
      </c>
      <c r="M873">
        <f t="shared" si="67"/>
        <v>479.2</v>
      </c>
      <c r="N873" t="str">
        <f t="shared" si="68"/>
        <v>SUFICIENTE</v>
      </c>
      <c r="O873">
        <f t="shared" si="69"/>
        <v>0</v>
      </c>
    </row>
    <row r="874" spans="1:15" x14ac:dyDescent="0.45">
      <c r="A874" t="str">
        <v>CD-TOL</v>
      </c>
      <c r="B874" t="str">
        <v>BEB-1006</v>
      </c>
      <c r="C874">
        <v>1828</v>
      </c>
      <c r="D874">
        <v>341.4</v>
      </c>
      <c r="E874">
        <v>60.1</v>
      </c>
      <c r="F874">
        <v>1.6</v>
      </c>
      <c r="G874">
        <v>0.5</v>
      </c>
      <c r="H874" t="str">
        <v>OK</v>
      </c>
      <c r="J874">
        <f t="shared" si="65"/>
        <v>5154.2000000000016</v>
      </c>
      <c r="K874">
        <f>SUMIF(Supply_Clean[Item_Code], B874, Supply_Clean[Available_Supply])</f>
        <v>12324</v>
      </c>
      <c r="L874">
        <f t="shared" si="66"/>
        <v>1</v>
      </c>
      <c r="M874">
        <f t="shared" si="67"/>
        <v>341.4</v>
      </c>
      <c r="N874" t="str">
        <f t="shared" si="68"/>
        <v>SUFICIENTE</v>
      </c>
      <c r="O874">
        <f t="shared" si="69"/>
        <v>0</v>
      </c>
    </row>
    <row r="875" spans="1:15" x14ac:dyDescent="0.45">
      <c r="A875" t="str">
        <v>CD-TIJ</v>
      </c>
      <c r="B875" t="str">
        <v>BEB-1004</v>
      </c>
      <c r="C875">
        <v>5790</v>
      </c>
      <c r="D875">
        <v>331.6</v>
      </c>
      <c r="E875">
        <v>41.8</v>
      </c>
      <c r="F875">
        <v>3.1</v>
      </c>
      <c r="G875">
        <v>1.5</v>
      </c>
      <c r="H875" t="str">
        <v>OK</v>
      </c>
      <c r="J875">
        <f t="shared" si="65"/>
        <v>5324.2</v>
      </c>
      <c r="K875">
        <f>SUMIF(Supply_Clean[Item_Code], B875, Supply_Clean[Available_Supply])</f>
        <v>15672</v>
      </c>
      <c r="L875">
        <f t="shared" si="66"/>
        <v>1</v>
      </c>
      <c r="M875">
        <f t="shared" si="67"/>
        <v>331.6</v>
      </c>
      <c r="N875" t="str">
        <f t="shared" si="68"/>
        <v>SUFICIENTE</v>
      </c>
      <c r="O875">
        <f t="shared" si="69"/>
        <v>0</v>
      </c>
    </row>
    <row r="876" spans="1:15" x14ac:dyDescent="0.45">
      <c r="A876" t="str">
        <v>CD-CDMX</v>
      </c>
      <c r="B876" t="str">
        <v>PRO-1010</v>
      </c>
      <c r="C876">
        <v>6109</v>
      </c>
      <c r="D876">
        <v>468</v>
      </c>
      <c r="E876">
        <v>319.39999999999998</v>
      </c>
      <c r="F876">
        <v>1</v>
      </c>
      <c r="G876">
        <v>0.2</v>
      </c>
      <c r="H876" t="str">
        <v>OK</v>
      </c>
      <c r="J876">
        <f t="shared" si="65"/>
        <v>6996.1000000000013</v>
      </c>
      <c r="K876">
        <f>SUMIF(Supply_Clean[Item_Code], B876, Supply_Clean[Available_Supply])</f>
        <v>18475</v>
      </c>
      <c r="L876">
        <f t="shared" si="66"/>
        <v>1</v>
      </c>
      <c r="M876">
        <f t="shared" si="67"/>
        <v>468</v>
      </c>
      <c r="N876" t="str">
        <f t="shared" si="68"/>
        <v>SUFICIENTE</v>
      </c>
      <c r="O876">
        <f t="shared" si="69"/>
        <v>0</v>
      </c>
    </row>
    <row r="877" spans="1:15" x14ac:dyDescent="0.45">
      <c r="A877" t="str">
        <v>CD-CAN</v>
      </c>
      <c r="B877" t="str">
        <v>BOT-1015</v>
      </c>
      <c r="C877">
        <v>2345</v>
      </c>
      <c r="D877">
        <v>593.79999999999995</v>
      </c>
      <c r="E877">
        <v>112.5</v>
      </c>
      <c r="F877">
        <v>4.4000000000000004</v>
      </c>
      <c r="G877">
        <v>1.6</v>
      </c>
      <c r="H877" t="str">
        <v>OK</v>
      </c>
      <c r="J877">
        <f t="shared" si="65"/>
        <v>8666.4</v>
      </c>
      <c r="K877">
        <f>SUMIF(Supply_Clean[Item_Code], B877, Supply_Clean[Available_Supply])</f>
        <v>5719</v>
      </c>
      <c r="L877">
        <f t="shared" si="66"/>
        <v>0.65990492015138935</v>
      </c>
      <c r="M877">
        <f t="shared" si="67"/>
        <v>391.85154158589495</v>
      </c>
      <c r="N877" t="str">
        <f t="shared" si="68"/>
        <v>ESCASEZ</v>
      </c>
      <c r="O877">
        <f t="shared" si="69"/>
        <v>201.948458414105</v>
      </c>
    </row>
    <row r="878" spans="1:15" x14ac:dyDescent="0.45">
      <c r="A878" t="str">
        <v>CD-VER</v>
      </c>
      <c r="B878" t="str">
        <v>BOT-1016</v>
      </c>
      <c r="C878">
        <v>1893</v>
      </c>
      <c r="D878">
        <v>465.8</v>
      </c>
      <c r="E878">
        <v>129.80000000000001</v>
      </c>
      <c r="F878">
        <v>2.1</v>
      </c>
      <c r="G878">
        <v>0.9</v>
      </c>
      <c r="H878" t="str">
        <v>OK</v>
      </c>
      <c r="J878">
        <f t="shared" si="65"/>
        <v>9923.6999999999989</v>
      </c>
      <c r="K878">
        <f>SUMIF(Supply_Clean[Item_Code], B878, Supply_Clean[Available_Supply])</f>
        <v>18995</v>
      </c>
      <c r="L878">
        <f t="shared" si="66"/>
        <v>1</v>
      </c>
      <c r="M878">
        <f t="shared" si="67"/>
        <v>465.8</v>
      </c>
      <c r="N878" t="str">
        <f t="shared" si="68"/>
        <v>SUFICIENTE</v>
      </c>
      <c r="O878">
        <f t="shared" si="69"/>
        <v>0</v>
      </c>
    </row>
    <row r="879" spans="1:15" x14ac:dyDescent="0.45">
      <c r="A879" t="str">
        <v>CD-CDMX</v>
      </c>
      <c r="B879" t="str">
        <v>ABA-1000</v>
      </c>
      <c r="C879">
        <v>3835</v>
      </c>
      <c r="D879">
        <v>359.5</v>
      </c>
      <c r="E879">
        <v>51.5</v>
      </c>
      <c r="F879">
        <v>0.9</v>
      </c>
      <c r="G879">
        <v>0.2</v>
      </c>
      <c r="H879" t="str">
        <v>OK</v>
      </c>
      <c r="J879">
        <f t="shared" si="65"/>
        <v>4722.2</v>
      </c>
      <c r="K879">
        <f>SUMIF(Supply_Clean[Item_Code], B879, Supply_Clean[Available_Supply])</f>
        <v>10731</v>
      </c>
      <c r="L879">
        <f t="shared" si="66"/>
        <v>1</v>
      </c>
      <c r="M879">
        <f t="shared" si="67"/>
        <v>359.5</v>
      </c>
      <c r="N879" t="str">
        <f t="shared" si="68"/>
        <v>SUFICIENTE</v>
      </c>
      <c r="O879">
        <f t="shared" si="69"/>
        <v>0</v>
      </c>
    </row>
    <row r="880" spans="1:15" x14ac:dyDescent="0.45">
      <c r="A880" t="str">
        <v>CD-TOL</v>
      </c>
      <c r="B880" t="str">
        <v>PRO-1010</v>
      </c>
      <c r="C880">
        <v>8519</v>
      </c>
      <c r="D880">
        <v>672.6</v>
      </c>
      <c r="E880">
        <v>422.8</v>
      </c>
      <c r="F880">
        <v>1.4</v>
      </c>
      <c r="G880">
        <v>0.5</v>
      </c>
      <c r="H880" t="str">
        <v>OK</v>
      </c>
      <c r="J880">
        <f t="shared" si="65"/>
        <v>6996.1000000000013</v>
      </c>
      <c r="K880">
        <f>SUMIF(Supply_Clean[Item_Code], B880, Supply_Clean[Available_Supply])</f>
        <v>18475</v>
      </c>
      <c r="L880">
        <f t="shared" si="66"/>
        <v>1</v>
      </c>
      <c r="M880">
        <f t="shared" si="67"/>
        <v>672.6</v>
      </c>
      <c r="N880" t="str">
        <f t="shared" si="68"/>
        <v>SUFICIENTE</v>
      </c>
      <c r="O880">
        <f t="shared" si="69"/>
        <v>0</v>
      </c>
    </row>
    <row r="881" spans="1:15" x14ac:dyDescent="0.45">
      <c r="A881" t="str">
        <v>CD-TOL</v>
      </c>
      <c r="B881" t="str">
        <v>LAC-1006</v>
      </c>
      <c r="C881">
        <v>3336</v>
      </c>
      <c r="D881">
        <v>503.8</v>
      </c>
      <c r="E881">
        <v>215.4</v>
      </c>
      <c r="F881">
        <v>1.7</v>
      </c>
      <c r="G881">
        <v>0.5</v>
      </c>
      <c r="H881" t="str">
        <v>OK</v>
      </c>
      <c r="J881">
        <f t="shared" si="65"/>
        <v>4338.7</v>
      </c>
      <c r="K881">
        <f>SUMIF(Supply_Clean[Item_Code], B881, Supply_Clean[Available_Supply])</f>
        <v>10670</v>
      </c>
      <c r="L881">
        <f t="shared" si="66"/>
        <v>1</v>
      </c>
      <c r="M881">
        <f t="shared" si="67"/>
        <v>503.8</v>
      </c>
      <c r="N881" t="str">
        <f t="shared" si="68"/>
        <v>SUFICIENTE</v>
      </c>
      <c r="O881">
        <f t="shared" si="69"/>
        <v>0</v>
      </c>
    </row>
    <row r="882" spans="1:15" x14ac:dyDescent="0.45">
      <c r="A882" t="str">
        <v>CD-TIJ</v>
      </c>
      <c r="B882" t="str">
        <v>BOT-1019</v>
      </c>
      <c r="C882">
        <v>3307</v>
      </c>
      <c r="D882">
        <v>381.7</v>
      </c>
      <c r="E882">
        <v>101.2</v>
      </c>
      <c r="F882">
        <v>4.7</v>
      </c>
      <c r="G882">
        <v>1.5</v>
      </c>
      <c r="H882" t="str">
        <v>OK</v>
      </c>
      <c r="J882">
        <f t="shared" si="65"/>
        <v>9278.2999999999993</v>
      </c>
      <c r="K882">
        <f>SUMIF(Supply_Clean[Item_Code], B882, Supply_Clean[Available_Supply])</f>
        <v>4509</v>
      </c>
      <c r="L882">
        <f t="shared" si="66"/>
        <v>0.48597264585107192</v>
      </c>
      <c r="M882">
        <f t="shared" si="67"/>
        <v>185.49575892135414</v>
      </c>
      <c r="N882" t="str">
        <f t="shared" si="68"/>
        <v>ESCASEZ</v>
      </c>
      <c r="O882">
        <f t="shared" si="69"/>
        <v>196.20424107864585</v>
      </c>
    </row>
    <row r="883" spans="1:15" x14ac:dyDescent="0.45">
      <c r="A883" t="str">
        <v>CD-CAN</v>
      </c>
      <c r="B883" t="str">
        <v>LAC-1004</v>
      </c>
      <c r="C883">
        <v>5402</v>
      </c>
      <c r="D883">
        <v>322.3</v>
      </c>
      <c r="E883">
        <v>127</v>
      </c>
      <c r="F883">
        <v>4</v>
      </c>
      <c r="G883">
        <v>1.6</v>
      </c>
      <c r="H883" t="str">
        <v>OK</v>
      </c>
      <c r="J883">
        <f t="shared" si="65"/>
        <v>4211.5</v>
      </c>
      <c r="K883">
        <f>SUMIF(Supply_Clean[Item_Code], B883, Supply_Clean[Available_Supply])</f>
        <v>11968</v>
      </c>
      <c r="L883">
        <f t="shared" si="66"/>
        <v>1</v>
      </c>
      <c r="M883">
        <f t="shared" si="67"/>
        <v>322.3</v>
      </c>
      <c r="N883" t="str">
        <f t="shared" si="68"/>
        <v>SUFICIENTE</v>
      </c>
      <c r="O883">
        <f t="shared" si="69"/>
        <v>0</v>
      </c>
    </row>
    <row r="884" spans="1:15" x14ac:dyDescent="0.45">
      <c r="A884" t="str">
        <v>CD-SAL</v>
      </c>
      <c r="B884" t="str">
        <v>BEB-1012</v>
      </c>
      <c r="C884">
        <v>3370</v>
      </c>
      <c r="D884">
        <v>375.4</v>
      </c>
      <c r="E884">
        <v>61</v>
      </c>
      <c r="F884">
        <v>2.6</v>
      </c>
      <c r="G884">
        <v>0.5</v>
      </c>
      <c r="H884" t="str">
        <v>OK</v>
      </c>
      <c r="J884">
        <f t="shared" si="65"/>
        <v>5740.7</v>
      </c>
      <c r="K884">
        <f>SUMIF(Supply_Clean[Item_Code], B884, Supply_Clean[Available_Supply])</f>
        <v>12491</v>
      </c>
      <c r="L884">
        <f t="shared" si="66"/>
        <v>1</v>
      </c>
      <c r="M884">
        <f t="shared" si="67"/>
        <v>375.4</v>
      </c>
      <c r="N884" t="str">
        <f t="shared" si="68"/>
        <v>SUFICIENTE</v>
      </c>
      <c r="O884">
        <f t="shared" si="69"/>
        <v>0</v>
      </c>
    </row>
    <row r="885" spans="1:15" x14ac:dyDescent="0.45">
      <c r="A885" t="str">
        <v>CD-MOR</v>
      </c>
      <c r="B885" t="str">
        <v>BOT-1006</v>
      </c>
      <c r="C885">
        <v>5797</v>
      </c>
      <c r="D885">
        <v>360.1</v>
      </c>
      <c r="E885">
        <v>105.4</v>
      </c>
      <c r="F885">
        <v>2.4</v>
      </c>
      <c r="G885">
        <v>0.5</v>
      </c>
      <c r="H885" t="str">
        <v>OK</v>
      </c>
      <c r="J885">
        <f t="shared" si="65"/>
        <v>7732.6000000000013</v>
      </c>
      <c r="K885">
        <f>SUMIF(Supply_Clean[Item_Code], B885, Supply_Clean[Available_Supply])</f>
        <v>16401</v>
      </c>
      <c r="L885">
        <f t="shared" si="66"/>
        <v>1</v>
      </c>
      <c r="M885">
        <f t="shared" si="67"/>
        <v>360.1</v>
      </c>
      <c r="N885" t="str">
        <f t="shared" si="68"/>
        <v>SUFICIENTE</v>
      </c>
      <c r="O885">
        <f t="shared" si="69"/>
        <v>0</v>
      </c>
    </row>
    <row r="886" spans="1:15" x14ac:dyDescent="0.45">
      <c r="A886" t="str">
        <v>CD-SAL</v>
      </c>
      <c r="B886" t="str">
        <v>ABA-1009</v>
      </c>
      <c r="C886">
        <v>2232</v>
      </c>
      <c r="D886">
        <v>449.3</v>
      </c>
      <c r="E886">
        <v>66.400000000000006</v>
      </c>
      <c r="F886">
        <v>1.9</v>
      </c>
      <c r="G886">
        <v>0.5</v>
      </c>
      <c r="H886" t="str">
        <v>OK</v>
      </c>
      <c r="J886">
        <f t="shared" si="65"/>
        <v>5016.1000000000004</v>
      </c>
      <c r="K886">
        <f>SUMIF(Supply_Clean[Item_Code], B886, Supply_Clean[Available_Supply])</f>
        <v>13458</v>
      </c>
      <c r="L886">
        <f t="shared" si="66"/>
        <v>1</v>
      </c>
      <c r="M886">
        <f t="shared" si="67"/>
        <v>449.3</v>
      </c>
      <c r="N886" t="str">
        <f t="shared" si="68"/>
        <v>SUFICIENTE</v>
      </c>
      <c r="O886">
        <f t="shared" si="69"/>
        <v>0</v>
      </c>
    </row>
    <row r="887" spans="1:15" x14ac:dyDescent="0.45">
      <c r="A887" t="str">
        <v>CD-PUE</v>
      </c>
      <c r="B887" t="str">
        <v>LAC-1008</v>
      </c>
      <c r="C887">
        <v>1579</v>
      </c>
      <c r="D887">
        <v>430.1</v>
      </c>
      <c r="E887">
        <v>141.9</v>
      </c>
      <c r="F887">
        <v>1.1000000000000001</v>
      </c>
      <c r="G887">
        <v>0.3</v>
      </c>
      <c r="H887" t="str">
        <v>OK</v>
      </c>
      <c r="J887">
        <f t="shared" si="65"/>
        <v>4499.0999999999995</v>
      </c>
      <c r="K887">
        <f>SUMIF(Supply_Clean[Item_Code], B887, Supply_Clean[Available_Supply])</f>
        <v>9543</v>
      </c>
      <c r="L887">
        <f t="shared" si="66"/>
        <v>1</v>
      </c>
      <c r="M887">
        <f t="shared" si="67"/>
        <v>430.1</v>
      </c>
      <c r="N887" t="str">
        <f t="shared" si="68"/>
        <v>SUFICIENTE</v>
      </c>
      <c r="O887">
        <f t="shared" si="69"/>
        <v>0</v>
      </c>
    </row>
    <row r="888" spans="1:15" x14ac:dyDescent="0.45">
      <c r="A888" t="str">
        <v>CD-CHI</v>
      </c>
      <c r="B888" t="str">
        <v>BEB-1000</v>
      </c>
      <c r="C888">
        <v>2224</v>
      </c>
      <c r="D888">
        <v>362.9</v>
      </c>
      <c r="E888">
        <v>42.2</v>
      </c>
      <c r="F888">
        <v>3.4</v>
      </c>
      <c r="G888">
        <v>1</v>
      </c>
      <c r="H888" t="str">
        <v>OK</v>
      </c>
      <c r="J888">
        <f t="shared" si="65"/>
        <v>4843.5</v>
      </c>
      <c r="K888">
        <f>SUMIF(Supply_Clean[Item_Code], B888, Supply_Clean[Available_Supply])</f>
        <v>14592</v>
      </c>
      <c r="L888">
        <f t="shared" si="66"/>
        <v>1</v>
      </c>
      <c r="M888">
        <f t="shared" si="67"/>
        <v>362.9</v>
      </c>
      <c r="N888" t="str">
        <f t="shared" si="68"/>
        <v>SUFICIENTE</v>
      </c>
      <c r="O888">
        <f t="shared" si="69"/>
        <v>0</v>
      </c>
    </row>
    <row r="889" spans="1:15" x14ac:dyDescent="0.45">
      <c r="A889" t="str">
        <v>CD-MTY</v>
      </c>
      <c r="B889" t="str">
        <v>BEB-1012</v>
      </c>
      <c r="C889">
        <v>3816</v>
      </c>
      <c r="D889">
        <v>537.20000000000005</v>
      </c>
      <c r="E889">
        <v>105.4</v>
      </c>
      <c r="F889">
        <v>0.9</v>
      </c>
      <c r="G889">
        <v>0.3</v>
      </c>
      <c r="H889" t="str">
        <v>OK</v>
      </c>
      <c r="J889">
        <f t="shared" si="65"/>
        <v>5740.7</v>
      </c>
      <c r="K889">
        <f>SUMIF(Supply_Clean[Item_Code], B889, Supply_Clean[Available_Supply])</f>
        <v>12491</v>
      </c>
      <c r="L889">
        <f t="shared" si="66"/>
        <v>1</v>
      </c>
      <c r="M889">
        <f t="shared" si="67"/>
        <v>537.20000000000005</v>
      </c>
      <c r="N889" t="str">
        <f t="shared" si="68"/>
        <v>SUFICIENTE</v>
      </c>
      <c r="O889">
        <f t="shared" si="69"/>
        <v>0</v>
      </c>
    </row>
    <row r="890" spans="1:15" x14ac:dyDescent="0.45">
      <c r="A890" t="str">
        <v>CD-MER</v>
      </c>
      <c r="B890" t="str">
        <v>LAC-1012</v>
      </c>
      <c r="C890">
        <v>3721</v>
      </c>
      <c r="D890">
        <v>246</v>
      </c>
      <c r="E890">
        <v>91.3</v>
      </c>
      <c r="F890">
        <v>4.3</v>
      </c>
      <c r="G890">
        <v>1.3</v>
      </c>
      <c r="H890" t="str">
        <v>OK</v>
      </c>
      <c r="J890">
        <f t="shared" si="65"/>
        <v>5447.0000000000009</v>
      </c>
      <c r="K890">
        <f>SUMIF(Supply_Clean[Item_Code], B890, Supply_Clean[Available_Supply])</f>
        <v>12033</v>
      </c>
      <c r="L890">
        <f t="shared" si="66"/>
        <v>1</v>
      </c>
      <c r="M890">
        <f t="shared" si="67"/>
        <v>246</v>
      </c>
      <c r="N890" t="str">
        <f t="shared" si="68"/>
        <v>SUFICIENTE</v>
      </c>
      <c r="O890">
        <f t="shared" si="69"/>
        <v>0</v>
      </c>
    </row>
    <row r="891" spans="1:15" x14ac:dyDescent="0.45">
      <c r="A891" t="str">
        <v>CD-SAL</v>
      </c>
      <c r="B891" t="str">
        <v>ABA-1006</v>
      </c>
      <c r="C891">
        <v>4677</v>
      </c>
      <c r="D891">
        <v>382.9</v>
      </c>
      <c r="E891">
        <v>42.2</v>
      </c>
      <c r="F891">
        <v>1.9</v>
      </c>
      <c r="G891">
        <v>0.5</v>
      </c>
      <c r="H891" t="str">
        <v>OK</v>
      </c>
      <c r="J891">
        <f t="shared" si="65"/>
        <v>4882.1000000000004</v>
      </c>
      <c r="K891">
        <f>SUMIF(Supply_Clean[Item_Code], B891, Supply_Clean[Available_Supply])</f>
        <v>15586</v>
      </c>
      <c r="L891">
        <f t="shared" si="66"/>
        <v>1</v>
      </c>
      <c r="M891">
        <f t="shared" si="67"/>
        <v>382.9</v>
      </c>
      <c r="N891" t="str">
        <f t="shared" si="68"/>
        <v>SUFICIENTE</v>
      </c>
      <c r="O891">
        <f t="shared" si="69"/>
        <v>0</v>
      </c>
    </row>
    <row r="892" spans="1:15" x14ac:dyDescent="0.45">
      <c r="A892" t="str">
        <v>CD-TIJ</v>
      </c>
      <c r="B892" t="str">
        <v>BOT-1023</v>
      </c>
      <c r="C892">
        <v>3936</v>
      </c>
      <c r="D892">
        <v>596.6</v>
      </c>
      <c r="E892">
        <v>169.2</v>
      </c>
      <c r="F892">
        <v>2.9</v>
      </c>
      <c r="G892">
        <v>1.5</v>
      </c>
      <c r="H892" t="str">
        <v>OK</v>
      </c>
      <c r="J892">
        <f t="shared" si="65"/>
        <v>8227.6</v>
      </c>
      <c r="K892">
        <f>SUMIF(Supply_Clean[Item_Code], B892, Supply_Clean[Available_Supply])</f>
        <v>23663</v>
      </c>
      <c r="L892">
        <f t="shared" si="66"/>
        <v>1</v>
      </c>
      <c r="M892">
        <f t="shared" si="67"/>
        <v>596.6</v>
      </c>
      <c r="N892" t="str">
        <f t="shared" si="68"/>
        <v>SUFICIENTE</v>
      </c>
      <c r="O892">
        <f t="shared" si="69"/>
        <v>0</v>
      </c>
    </row>
    <row r="893" spans="1:15" x14ac:dyDescent="0.45">
      <c r="A893" t="str">
        <v>CD-SAL</v>
      </c>
      <c r="B893" t="str">
        <v>BEB-1018</v>
      </c>
      <c r="C893">
        <v>695</v>
      </c>
      <c r="D893">
        <v>319.7</v>
      </c>
      <c r="E893">
        <v>52.8</v>
      </c>
      <c r="F893">
        <v>1.8</v>
      </c>
      <c r="G893">
        <v>0.5</v>
      </c>
      <c r="H893" t="str">
        <v>OK</v>
      </c>
      <c r="J893">
        <f t="shared" si="65"/>
        <v>5898.0999999999995</v>
      </c>
      <c r="K893">
        <f>SUMIF(Supply_Clean[Item_Code], B893, Supply_Clean[Available_Supply])</f>
        <v>11472</v>
      </c>
      <c r="L893">
        <f t="shared" si="66"/>
        <v>1</v>
      </c>
      <c r="M893">
        <f t="shared" si="67"/>
        <v>319.7</v>
      </c>
      <c r="N893" t="str">
        <f t="shared" si="68"/>
        <v>SUFICIENTE</v>
      </c>
      <c r="O893">
        <f t="shared" si="69"/>
        <v>0</v>
      </c>
    </row>
    <row r="894" spans="1:15" x14ac:dyDescent="0.45">
      <c r="A894" t="str">
        <v>CD-CAN</v>
      </c>
      <c r="B894" t="str">
        <v>LAC-1000</v>
      </c>
      <c r="C894">
        <v>2293</v>
      </c>
      <c r="D894">
        <v>415.9</v>
      </c>
      <c r="E894">
        <v>120.6</v>
      </c>
      <c r="F894">
        <v>6.1</v>
      </c>
      <c r="G894">
        <v>1.6</v>
      </c>
      <c r="H894" t="str">
        <v>OK</v>
      </c>
      <c r="J894">
        <f t="shared" si="65"/>
        <v>4987.8</v>
      </c>
      <c r="K894">
        <f>SUMIF(Supply_Clean[Item_Code], B894, Supply_Clean[Available_Supply])</f>
        <v>12568</v>
      </c>
      <c r="L894">
        <f t="shared" si="66"/>
        <v>1</v>
      </c>
      <c r="M894">
        <f t="shared" si="67"/>
        <v>415.9</v>
      </c>
      <c r="N894" t="str">
        <f t="shared" si="68"/>
        <v>SUFICIENTE</v>
      </c>
      <c r="O894">
        <f t="shared" si="69"/>
        <v>0</v>
      </c>
    </row>
    <row r="895" spans="1:15" x14ac:dyDescent="0.45">
      <c r="A895" t="str">
        <v>CD-MTY</v>
      </c>
      <c r="B895" t="str">
        <v>PRO-1012</v>
      </c>
      <c r="C895">
        <v>2127</v>
      </c>
      <c r="D895">
        <v>281.8</v>
      </c>
      <c r="E895">
        <v>158.19999999999999</v>
      </c>
      <c r="F895">
        <v>0.9</v>
      </c>
      <c r="G895">
        <v>0.3</v>
      </c>
      <c r="H895" t="str">
        <v>OK</v>
      </c>
      <c r="J895">
        <f t="shared" si="65"/>
        <v>4930.1000000000004</v>
      </c>
      <c r="K895">
        <f>SUMIF(Supply_Clean[Item_Code], B895, Supply_Clean[Available_Supply])</f>
        <v>9930</v>
      </c>
      <c r="L895">
        <f t="shared" si="66"/>
        <v>1</v>
      </c>
      <c r="M895">
        <f t="shared" si="67"/>
        <v>281.8</v>
      </c>
      <c r="N895" t="str">
        <f t="shared" si="68"/>
        <v>SUFICIENTE</v>
      </c>
      <c r="O895">
        <f t="shared" si="69"/>
        <v>0</v>
      </c>
    </row>
    <row r="896" spans="1:15" x14ac:dyDescent="0.45">
      <c r="A896" t="str">
        <v>CD-MER</v>
      </c>
      <c r="B896" t="str">
        <v>LAC-1016</v>
      </c>
      <c r="C896">
        <v>1788</v>
      </c>
      <c r="D896">
        <v>135.30000000000001</v>
      </c>
      <c r="E896">
        <v>39.9</v>
      </c>
      <c r="F896">
        <v>5.6</v>
      </c>
      <c r="G896">
        <v>1.3</v>
      </c>
      <c r="H896" t="str">
        <v>OK</v>
      </c>
      <c r="J896">
        <f t="shared" si="65"/>
        <v>4542.5</v>
      </c>
      <c r="K896">
        <f>SUMIF(Supply_Clean[Item_Code], B896, Supply_Clean[Available_Supply])</f>
        <v>12760</v>
      </c>
      <c r="L896">
        <f t="shared" si="66"/>
        <v>1</v>
      </c>
      <c r="M896">
        <f t="shared" si="67"/>
        <v>135.30000000000001</v>
      </c>
      <c r="N896" t="str">
        <f t="shared" si="68"/>
        <v>SUFICIENTE</v>
      </c>
      <c r="O896">
        <f t="shared" si="69"/>
        <v>0</v>
      </c>
    </row>
    <row r="897" spans="1:15" x14ac:dyDescent="0.45">
      <c r="A897" t="str">
        <v>CD-PUE</v>
      </c>
      <c r="B897" t="str">
        <v>PRO-1006</v>
      </c>
      <c r="C897">
        <v>1047</v>
      </c>
      <c r="D897">
        <v>125.2</v>
      </c>
      <c r="E897">
        <v>61.6</v>
      </c>
      <c r="F897">
        <v>1</v>
      </c>
      <c r="G897">
        <v>0.3</v>
      </c>
      <c r="H897" t="str">
        <v>OK</v>
      </c>
      <c r="J897">
        <f t="shared" si="65"/>
        <v>5801.8</v>
      </c>
      <c r="K897">
        <f>SUMIF(Supply_Clean[Item_Code], B897, Supply_Clean[Available_Supply])</f>
        <v>9270</v>
      </c>
      <c r="L897">
        <f t="shared" si="66"/>
        <v>1</v>
      </c>
      <c r="M897">
        <f t="shared" si="67"/>
        <v>125.2</v>
      </c>
      <c r="N897" t="str">
        <f t="shared" si="68"/>
        <v>SUFICIENTE</v>
      </c>
      <c r="O897">
        <f t="shared" si="69"/>
        <v>0</v>
      </c>
    </row>
    <row r="898" spans="1:15" x14ac:dyDescent="0.45">
      <c r="A898" t="str">
        <v>CD-CHI</v>
      </c>
      <c r="B898" t="str">
        <v>BOT-1003</v>
      </c>
      <c r="C898">
        <v>1316</v>
      </c>
      <c r="D898">
        <v>620.9</v>
      </c>
      <c r="E898">
        <v>111.4</v>
      </c>
      <c r="F898">
        <v>3.6</v>
      </c>
      <c r="G898">
        <v>1</v>
      </c>
      <c r="H898" t="str">
        <v>OK</v>
      </c>
      <c r="J898">
        <f t="shared" si="65"/>
        <v>8902.7999999999993</v>
      </c>
      <c r="K898">
        <f>SUMIF(Supply_Clean[Item_Code], B898, Supply_Clean[Available_Supply])</f>
        <v>24326</v>
      </c>
      <c r="L898">
        <f t="shared" si="66"/>
        <v>1</v>
      </c>
      <c r="M898">
        <f t="shared" si="67"/>
        <v>620.9</v>
      </c>
      <c r="N898" t="str">
        <f t="shared" si="68"/>
        <v>SUFICIENTE</v>
      </c>
      <c r="O898">
        <f t="shared" si="69"/>
        <v>0</v>
      </c>
    </row>
    <row r="899" spans="1:15" x14ac:dyDescent="0.45">
      <c r="A899" t="str">
        <v>CD-CAN</v>
      </c>
      <c r="B899" t="str">
        <v>LAC-1007</v>
      </c>
      <c r="C899">
        <v>4881</v>
      </c>
      <c r="D899">
        <v>0</v>
      </c>
      <c r="E899">
        <v>141.6</v>
      </c>
      <c r="F899">
        <v>3.7</v>
      </c>
      <c r="G899">
        <v>1.6</v>
      </c>
      <c r="H899" t="str">
        <v>OK</v>
      </c>
      <c r="J899">
        <f t="shared" ref="J899:J962" si="70">SUMIF($B$2:$B$1501, B899, $D$2:$D$1501)</f>
        <v>4093.7999999999997</v>
      </c>
      <c r="K899">
        <f>SUMIF(Supply_Clean[Item_Code], B899, Supply_Clean[Available_Supply])</f>
        <v>11651</v>
      </c>
      <c r="L899">
        <f t="shared" ref="L899:L962" si="71">IFERROR(MIN(1, K899/J899), "")</f>
        <v>1</v>
      </c>
      <c r="M899">
        <f t="shared" ref="M899:M962" si="72">IFERROR(D899*L899, "")</f>
        <v>0</v>
      </c>
      <c r="N899" t="str">
        <f t="shared" ref="N899:N962" si="73">IF(L899&lt;1, "ESCASEZ", "SUFICIENTE")</f>
        <v>SUFICIENTE</v>
      </c>
      <c r="O899">
        <f t="shared" ref="O899:O962" si="74">IF(N899="ESCASEZ", D899-M899, 0)</f>
        <v>0</v>
      </c>
    </row>
    <row r="900" spans="1:15" x14ac:dyDescent="0.45">
      <c r="A900" t="str">
        <v>CD-CDMX</v>
      </c>
      <c r="B900" t="str">
        <v>BEB-1020</v>
      </c>
      <c r="C900">
        <v>1512</v>
      </c>
      <c r="D900">
        <v>240.9</v>
      </c>
      <c r="E900">
        <v>38.5</v>
      </c>
      <c r="F900">
        <v>1.3</v>
      </c>
      <c r="G900">
        <v>0.2</v>
      </c>
      <c r="H900" t="str">
        <v>OK</v>
      </c>
      <c r="J900">
        <f t="shared" si="70"/>
        <v>6114.4000000000005</v>
      </c>
      <c r="K900">
        <f>SUMIF(Supply_Clean[Item_Code], B900, Supply_Clean[Available_Supply])</f>
        <v>16621</v>
      </c>
      <c r="L900">
        <f t="shared" si="71"/>
        <v>1</v>
      </c>
      <c r="M900">
        <f t="shared" si="72"/>
        <v>240.9</v>
      </c>
      <c r="N900" t="str">
        <f t="shared" si="73"/>
        <v>SUFICIENTE</v>
      </c>
      <c r="O900">
        <f t="shared" si="74"/>
        <v>0</v>
      </c>
    </row>
    <row r="901" spans="1:15" x14ac:dyDescent="0.45">
      <c r="A901" t="str">
        <v>CD-MTY</v>
      </c>
      <c r="B901" t="str">
        <v>BEB-1002</v>
      </c>
      <c r="C901">
        <v>1339</v>
      </c>
      <c r="D901">
        <v>280.60000000000002</v>
      </c>
      <c r="E901">
        <v>28.8</v>
      </c>
      <c r="F901">
        <v>0.8</v>
      </c>
      <c r="G901">
        <v>0.3</v>
      </c>
      <c r="H901" t="str">
        <v>OK</v>
      </c>
      <c r="J901">
        <f t="shared" si="70"/>
        <v>6246.8</v>
      </c>
      <c r="K901">
        <f>SUMIF(Supply_Clean[Item_Code], B901, Supply_Clean[Available_Supply])</f>
        <v>13052</v>
      </c>
      <c r="L901">
        <f t="shared" si="71"/>
        <v>1</v>
      </c>
      <c r="M901">
        <f t="shared" si="72"/>
        <v>280.60000000000002</v>
      </c>
      <c r="N901" t="str">
        <f t="shared" si="73"/>
        <v>SUFICIENTE</v>
      </c>
      <c r="O901">
        <f t="shared" si="74"/>
        <v>0</v>
      </c>
    </row>
    <row r="902" spans="1:15" x14ac:dyDescent="0.45">
      <c r="A902" t="str">
        <v>CD-CDMX</v>
      </c>
      <c r="B902" t="str">
        <v>BOT-1003</v>
      </c>
      <c r="C902">
        <v>2338</v>
      </c>
      <c r="D902">
        <v>386.5</v>
      </c>
      <c r="E902">
        <v>91.8</v>
      </c>
      <c r="F902">
        <v>1.1000000000000001</v>
      </c>
      <c r="G902">
        <v>0.2</v>
      </c>
      <c r="H902" t="str">
        <v>OK</v>
      </c>
      <c r="J902">
        <f t="shared" si="70"/>
        <v>8902.7999999999993</v>
      </c>
      <c r="K902">
        <f>SUMIF(Supply_Clean[Item_Code], B902, Supply_Clean[Available_Supply])</f>
        <v>24326</v>
      </c>
      <c r="L902">
        <f t="shared" si="71"/>
        <v>1</v>
      </c>
      <c r="M902">
        <f t="shared" si="72"/>
        <v>386.5</v>
      </c>
      <c r="N902" t="str">
        <f t="shared" si="73"/>
        <v>SUFICIENTE</v>
      </c>
      <c r="O902">
        <f t="shared" si="74"/>
        <v>0</v>
      </c>
    </row>
    <row r="903" spans="1:15" x14ac:dyDescent="0.45">
      <c r="A903" t="str">
        <v>CD-HER</v>
      </c>
      <c r="B903" t="str">
        <v>PRO-1006</v>
      </c>
      <c r="C903">
        <v>3800</v>
      </c>
      <c r="D903">
        <v>593.29999999999995</v>
      </c>
      <c r="E903">
        <v>360.6</v>
      </c>
      <c r="F903">
        <v>6.2</v>
      </c>
      <c r="G903">
        <v>1.2</v>
      </c>
      <c r="H903" t="str">
        <v>OK</v>
      </c>
      <c r="J903">
        <f t="shared" si="70"/>
        <v>5801.8</v>
      </c>
      <c r="K903">
        <f>SUMIF(Supply_Clean[Item_Code], B903, Supply_Clean[Available_Supply])</f>
        <v>9270</v>
      </c>
      <c r="L903">
        <f t="shared" si="71"/>
        <v>1</v>
      </c>
      <c r="M903">
        <f t="shared" si="72"/>
        <v>593.29999999999995</v>
      </c>
      <c r="N903" t="str">
        <f t="shared" si="73"/>
        <v>SUFICIENTE</v>
      </c>
      <c r="O903">
        <f t="shared" si="74"/>
        <v>0</v>
      </c>
    </row>
    <row r="904" spans="1:15" x14ac:dyDescent="0.45">
      <c r="A904" t="str">
        <v>CD-HER</v>
      </c>
      <c r="B904" t="str">
        <v>BEB-1017</v>
      </c>
      <c r="C904">
        <v>371</v>
      </c>
      <c r="D904">
        <v>402.6</v>
      </c>
      <c r="E904">
        <v>64.8</v>
      </c>
      <c r="F904">
        <v>3.8</v>
      </c>
      <c r="G904">
        <v>1.2</v>
      </c>
      <c r="H904" t="str">
        <v>OK</v>
      </c>
      <c r="J904">
        <f t="shared" si="70"/>
        <v>6231.7000000000007</v>
      </c>
      <c r="K904">
        <f>SUMIF(Supply_Clean[Item_Code], B904, Supply_Clean[Available_Supply])</f>
        <v>18257</v>
      </c>
      <c r="L904">
        <f t="shared" si="71"/>
        <v>1</v>
      </c>
      <c r="M904">
        <f t="shared" si="72"/>
        <v>402.6</v>
      </c>
      <c r="N904" t="str">
        <f t="shared" si="73"/>
        <v>SUFICIENTE</v>
      </c>
      <c r="O904">
        <f t="shared" si="74"/>
        <v>0</v>
      </c>
    </row>
    <row r="905" spans="1:15" x14ac:dyDescent="0.45">
      <c r="A905" t="str">
        <v>CD-HER</v>
      </c>
      <c r="B905" t="str">
        <v>ABA-1017</v>
      </c>
      <c r="C905">
        <v>1143</v>
      </c>
      <c r="D905">
        <v>564.70000000000005</v>
      </c>
      <c r="E905">
        <v>77.599999999999994</v>
      </c>
      <c r="F905">
        <v>5.8</v>
      </c>
      <c r="G905">
        <v>1.2</v>
      </c>
      <c r="H905" t="str">
        <v>OK</v>
      </c>
      <c r="J905">
        <f t="shared" si="70"/>
        <v>4720.2</v>
      </c>
      <c r="K905">
        <f>SUMIF(Supply_Clean[Item_Code], B905, Supply_Clean[Available_Supply])</f>
        <v>13946</v>
      </c>
      <c r="L905">
        <f t="shared" si="71"/>
        <v>1</v>
      </c>
      <c r="M905">
        <f t="shared" si="72"/>
        <v>564.70000000000005</v>
      </c>
      <c r="N905" t="str">
        <f t="shared" si="73"/>
        <v>SUFICIENTE</v>
      </c>
      <c r="O905">
        <f t="shared" si="74"/>
        <v>0</v>
      </c>
    </row>
    <row r="906" spans="1:15" x14ac:dyDescent="0.45">
      <c r="A906" t="str">
        <v>CD-TIJ</v>
      </c>
      <c r="B906" t="str">
        <v>BOT-1001</v>
      </c>
      <c r="C906">
        <v>2969</v>
      </c>
      <c r="D906">
        <v>437.2</v>
      </c>
      <c r="E906">
        <v>99.9</v>
      </c>
      <c r="F906">
        <v>4.8</v>
      </c>
      <c r="G906">
        <v>1.5</v>
      </c>
      <c r="H906" t="str">
        <v>OK</v>
      </c>
      <c r="J906">
        <f t="shared" si="70"/>
        <v>8375.9</v>
      </c>
      <c r="K906">
        <f>SUMIF(Supply_Clean[Item_Code], B906, Supply_Clean[Available_Supply])</f>
        <v>20393</v>
      </c>
      <c r="L906">
        <f t="shared" si="71"/>
        <v>1</v>
      </c>
      <c r="M906">
        <f t="shared" si="72"/>
        <v>437.2</v>
      </c>
      <c r="N906" t="str">
        <f t="shared" si="73"/>
        <v>SUFICIENTE</v>
      </c>
      <c r="O906">
        <f t="shared" si="74"/>
        <v>0</v>
      </c>
    </row>
    <row r="907" spans="1:15" x14ac:dyDescent="0.45">
      <c r="A907" t="str">
        <v>CD-CDMX</v>
      </c>
      <c r="B907" t="str">
        <v>BOT-1002</v>
      </c>
      <c r="C907">
        <v>11753</v>
      </c>
      <c r="D907">
        <v>912.4</v>
      </c>
      <c r="E907">
        <v>164.6</v>
      </c>
      <c r="F907">
        <v>1.3</v>
      </c>
      <c r="G907">
        <v>0.2</v>
      </c>
      <c r="H907" t="str">
        <v>OK</v>
      </c>
      <c r="J907">
        <f t="shared" si="70"/>
        <v>8527</v>
      </c>
      <c r="K907">
        <f>SUMIF(Supply_Clean[Item_Code], B907, Supply_Clean[Available_Supply])</f>
        <v>25048</v>
      </c>
      <c r="L907">
        <f t="shared" si="71"/>
        <v>1</v>
      </c>
      <c r="M907">
        <f t="shared" si="72"/>
        <v>912.4</v>
      </c>
      <c r="N907" t="str">
        <f t="shared" si="73"/>
        <v>SUFICIENTE</v>
      </c>
      <c r="O907">
        <f t="shared" si="74"/>
        <v>0</v>
      </c>
    </row>
    <row r="908" spans="1:15" x14ac:dyDescent="0.45">
      <c r="A908" t="str">
        <v>CD-PUE</v>
      </c>
      <c r="B908" t="str">
        <v>BEB-1003</v>
      </c>
      <c r="C908">
        <v>5143</v>
      </c>
      <c r="D908">
        <v>0</v>
      </c>
      <c r="E908">
        <v>81.599999999999994</v>
      </c>
      <c r="F908">
        <v>1.3</v>
      </c>
      <c r="G908">
        <v>0.3</v>
      </c>
      <c r="H908" t="str">
        <v>OK</v>
      </c>
      <c r="J908">
        <f t="shared" si="70"/>
        <v>5232</v>
      </c>
      <c r="K908">
        <f>SUMIF(Supply_Clean[Item_Code], B908, Supply_Clean[Available_Supply])</f>
        <v>16426</v>
      </c>
      <c r="L908">
        <f t="shared" si="71"/>
        <v>1</v>
      </c>
      <c r="M908">
        <f t="shared" si="72"/>
        <v>0</v>
      </c>
      <c r="N908" t="str">
        <f t="shared" si="73"/>
        <v>SUFICIENTE</v>
      </c>
      <c r="O908">
        <f t="shared" si="74"/>
        <v>0</v>
      </c>
    </row>
    <row r="909" spans="1:15" x14ac:dyDescent="0.45">
      <c r="A909" t="str">
        <v>CD-CHI</v>
      </c>
      <c r="B909" t="str">
        <v>BOT-1019</v>
      </c>
      <c r="C909">
        <v>0</v>
      </c>
      <c r="D909">
        <v>347.3</v>
      </c>
      <c r="E909">
        <v>56.6</v>
      </c>
      <c r="F909">
        <v>2.5</v>
      </c>
      <c r="G909">
        <v>1</v>
      </c>
      <c r="H909">
        <v>0</v>
      </c>
      <c r="J909">
        <f t="shared" si="70"/>
        <v>9278.2999999999993</v>
      </c>
      <c r="K909">
        <f>SUMIF(Supply_Clean[Item_Code], B909, Supply_Clean[Available_Supply])</f>
        <v>4509</v>
      </c>
      <c r="L909">
        <f t="shared" si="71"/>
        <v>0.48597264585107192</v>
      </c>
      <c r="M909">
        <f t="shared" si="72"/>
        <v>168.77829990407727</v>
      </c>
      <c r="N909" t="str">
        <f t="shared" si="73"/>
        <v>ESCASEZ</v>
      </c>
      <c r="O909">
        <f t="shared" si="74"/>
        <v>178.52170009592274</v>
      </c>
    </row>
    <row r="910" spans="1:15" x14ac:dyDescent="0.45">
      <c r="A910" t="str">
        <v>CD-PUE</v>
      </c>
      <c r="B910" t="str">
        <v>LAC-1010</v>
      </c>
      <c r="C910">
        <v>579</v>
      </c>
      <c r="D910">
        <v>158.69999999999999</v>
      </c>
      <c r="E910">
        <v>58.6</v>
      </c>
      <c r="F910">
        <v>1.1000000000000001</v>
      </c>
      <c r="G910">
        <v>0.3</v>
      </c>
      <c r="H910" t="str">
        <v>OK</v>
      </c>
      <c r="J910">
        <f t="shared" si="70"/>
        <v>4321.7</v>
      </c>
      <c r="K910">
        <f>SUMIF(Supply_Clean[Item_Code], B910, Supply_Clean[Available_Supply])</f>
        <v>11567</v>
      </c>
      <c r="L910">
        <f t="shared" si="71"/>
        <v>1</v>
      </c>
      <c r="M910">
        <f t="shared" si="72"/>
        <v>158.69999999999999</v>
      </c>
      <c r="N910" t="str">
        <f t="shared" si="73"/>
        <v>SUFICIENTE</v>
      </c>
      <c r="O910">
        <f t="shared" si="74"/>
        <v>0</v>
      </c>
    </row>
    <row r="911" spans="1:15" x14ac:dyDescent="0.45">
      <c r="A911" t="str">
        <v>CD-QRO</v>
      </c>
      <c r="B911" t="str">
        <v>ABA-1019</v>
      </c>
      <c r="C911">
        <v>4894</v>
      </c>
      <c r="D911">
        <v>329.2</v>
      </c>
      <c r="E911">
        <v>45.5</v>
      </c>
      <c r="F911">
        <v>2.4</v>
      </c>
      <c r="G911">
        <v>0.4</v>
      </c>
      <c r="H911" t="str">
        <v>OK</v>
      </c>
      <c r="J911">
        <f t="shared" si="70"/>
        <v>4484.9000000000005</v>
      </c>
      <c r="K911">
        <f>SUMIF(Supply_Clean[Item_Code], B911, Supply_Clean[Available_Supply])</f>
        <v>12013</v>
      </c>
      <c r="L911">
        <f t="shared" si="71"/>
        <v>1</v>
      </c>
      <c r="M911">
        <f t="shared" si="72"/>
        <v>329.2</v>
      </c>
      <c r="N911" t="str">
        <f t="shared" si="73"/>
        <v>SUFICIENTE</v>
      </c>
      <c r="O911">
        <f t="shared" si="74"/>
        <v>0</v>
      </c>
    </row>
    <row r="912" spans="1:15" x14ac:dyDescent="0.45">
      <c r="A912" t="str">
        <v>CD-SAL</v>
      </c>
      <c r="B912" t="str">
        <v>ABA-1011</v>
      </c>
      <c r="C912">
        <v>1895</v>
      </c>
      <c r="D912">
        <v>159.69999999999999</v>
      </c>
      <c r="E912">
        <v>23.1</v>
      </c>
      <c r="F912">
        <v>2.2999999999999998</v>
      </c>
      <c r="G912">
        <v>0.5</v>
      </c>
      <c r="H912" t="str">
        <v>OK</v>
      </c>
      <c r="J912">
        <f t="shared" si="70"/>
        <v>4892.0999999999995</v>
      </c>
      <c r="K912">
        <f>SUMIF(Supply_Clean[Item_Code], B912, Supply_Clean[Available_Supply])</f>
        <v>9079</v>
      </c>
      <c r="L912">
        <f t="shared" si="71"/>
        <v>1</v>
      </c>
      <c r="M912">
        <f t="shared" si="72"/>
        <v>159.69999999999999</v>
      </c>
      <c r="N912" t="str">
        <f t="shared" si="73"/>
        <v>SUFICIENTE</v>
      </c>
      <c r="O912">
        <f t="shared" si="74"/>
        <v>0</v>
      </c>
    </row>
    <row r="913" spans="1:15" x14ac:dyDescent="0.45">
      <c r="A913" t="str">
        <v>CD-MOR</v>
      </c>
      <c r="B913" t="str">
        <v>LAC-1003</v>
      </c>
      <c r="C913">
        <v>0</v>
      </c>
      <c r="D913">
        <v>258.3</v>
      </c>
      <c r="E913">
        <v>67.7</v>
      </c>
      <c r="F913">
        <v>2.4</v>
      </c>
      <c r="G913">
        <v>0.5</v>
      </c>
      <c r="H913">
        <v>0</v>
      </c>
      <c r="J913">
        <f t="shared" si="70"/>
        <v>3701.4999999999995</v>
      </c>
      <c r="K913">
        <f>SUMIF(Supply_Clean[Item_Code], B913, Supply_Clean[Available_Supply])</f>
        <v>7244</v>
      </c>
      <c r="L913">
        <f t="shared" si="71"/>
        <v>1</v>
      </c>
      <c r="M913">
        <f t="shared" si="72"/>
        <v>258.3</v>
      </c>
      <c r="N913" t="str">
        <f t="shared" si="73"/>
        <v>SUFICIENTE</v>
      </c>
      <c r="O913">
        <f t="shared" si="74"/>
        <v>0</v>
      </c>
    </row>
    <row r="914" spans="1:15" x14ac:dyDescent="0.45">
      <c r="A914" t="str">
        <v>CD-MER</v>
      </c>
      <c r="B914" t="str">
        <v>BOT-1018</v>
      </c>
      <c r="C914">
        <v>5740</v>
      </c>
      <c r="D914">
        <v>0</v>
      </c>
      <c r="E914">
        <v>101</v>
      </c>
      <c r="F914">
        <v>3.9</v>
      </c>
      <c r="G914">
        <v>1.3</v>
      </c>
      <c r="H914" t="str">
        <v>OK</v>
      </c>
      <c r="J914">
        <f t="shared" si="70"/>
        <v>8014.5000000000009</v>
      </c>
      <c r="K914">
        <f>SUMIF(Supply_Clean[Item_Code], B914, Supply_Clean[Available_Supply])</f>
        <v>15093</v>
      </c>
      <c r="L914">
        <f t="shared" si="71"/>
        <v>1</v>
      </c>
      <c r="M914">
        <f t="shared" si="72"/>
        <v>0</v>
      </c>
      <c r="N914" t="str">
        <f t="shared" si="73"/>
        <v>SUFICIENTE</v>
      </c>
      <c r="O914">
        <f t="shared" si="74"/>
        <v>0</v>
      </c>
    </row>
    <row r="915" spans="1:15" x14ac:dyDescent="0.45">
      <c r="A915" t="str">
        <v>CD-HER</v>
      </c>
      <c r="B915" t="str">
        <v>PRO-1013</v>
      </c>
      <c r="C915">
        <v>1298</v>
      </c>
      <c r="D915">
        <v>673.7</v>
      </c>
      <c r="E915">
        <v>408.6</v>
      </c>
      <c r="F915">
        <v>5.5</v>
      </c>
      <c r="G915">
        <v>1.2</v>
      </c>
      <c r="H915" t="str">
        <v>OK</v>
      </c>
      <c r="J915">
        <f t="shared" si="70"/>
        <v>7113.8</v>
      </c>
      <c r="K915">
        <f>SUMIF(Supply_Clean[Item_Code], B915, Supply_Clean[Available_Supply])</f>
        <v>15134</v>
      </c>
      <c r="L915">
        <f t="shared" si="71"/>
        <v>1</v>
      </c>
      <c r="M915">
        <f t="shared" si="72"/>
        <v>673.7</v>
      </c>
      <c r="N915" t="str">
        <f t="shared" si="73"/>
        <v>SUFICIENTE</v>
      </c>
      <c r="O915">
        <f t="shared" si="74"/>
        <v>0</v>
      </c>
    </row>
    <row r="916" spans="1:15" x14ac:dyDescent="0.45">
      <c r="A916" t="str">
        <v>CD-HER</v>
      </c>
      <c r="B916" t="str">
        <v>PRO-1012</v>
      </c>
      <c r="C916">
        <v>1682</v>
      </c>
      <c r="D916">
        <v>306.60000000000002</v>
      </c>
      <c r="E916">
        <v>184.9</v>
      </c>
      <c r="F916">
        <v>2</v>
      </c>
      <c r="G916">
        <v>1.2</v>
      </c>
      <c r="H916" t="str">
        <v>OK</v>
      </c>
      <c r="J916">
        <f t="shared" si="70"/>
        <v>4930.1000000000004</v>
      </c>
      <c r="K916">
        <f>SUMIF(Supply_Clean[Item_Code], B916, Supply_Clean[Available_Supply])</f>
        <v>9930</v>
      </c>
      <c r="L916">
        <f t="shared" si="71"/>
        <v>1</v>
      </c>
      <c r="M916">
        <f t="shared" si="72"/>
        <v>306.60000000000002</v>
      </c>
      <c r="N916" t="str">
        <f t="shared" si="73"/>
        <v>SUFICIENTE</v>
      </c>
      <c r="O916">
        <f t="shared" si="74"/>
        <v>0</v>
      </c>
    </row>
    <row r="917" spans="1:15" x14ac:dyDescent="0.45">
      <c r="A917" t="str">
        <v>CD-CAN</v>
      </c>
      <c r="B917" t="str">
        <v>BOT-1008</v>
      </c>
      <c r="C917">
        <v>11613</v>
      </c>
      <c r="D917">
        <v>718.7</v>
      </c>
      <c r="E917">
        <v>183.9</v>
      </c>
      <c r="F917">
        <v>2.2999999999999998</v>
      </c>
      <c r="G917">
        <v>1.6</v>
      </c>
      <c r="H917" t="str">
        <v>OK</v>
      </c>
      <c r="J917">
        <f t="shared" si="70"/>
        <v>7758.6</v>
      </c>
      <c r="K917">
        <f>SUMIF(Supply_Clean[Item_Code], B917, Supply_Clean[Available_Supply])</f>
        <v>25288</v>
      </c>
      <c r="L917">
        <f t="shared" si="71"/>
        <v>1</v>
      </c>
      <c r="M917">
        <f t="shared" si="72"/>
        <v>718.7</v>
      </c>
      <c r="N917" t="str">
        <f t="shared" si="73"/>
        <v>SUFICIENTE</v>
      </c>
      <c r="O917">
        <f t="shared" si="74"/>
        <v>0</v>
      </c>
    </row>
    <row r="918" spans="1:15" x14ac:dyDescent="0.45">
      <c r="A918" t="str">
        <v>CD-TIJ</v>
      </c>
      <c r="B918" t="str">
        <v>ABA-1012</v>
      </c>
      <c r="C918">
        <v>6123</v>
      </c>
      <c r="D918">
        <v>366.4</v>
      </c>
      <c r="E918">
        <v>32.4</v>
      </c>
      <c r="F918">
        <v>3.9</v>
      </c>
      <c r="G918">
        <v>1.5</v>
      </c>
      <c r="H918" t="str">
        <v>OK</v>
      </c>
      <c r="J918">
        <f t="shared" si="70"/>
        <v>5104.3999999999996</v>
      </c>
      <c r="K918">
        <f>SUMIF(Supply_Clean[Item_Code], B918, Supply_Clean[Available_Supply])</f>
        <v>8396</v>
      </c>
      <c r="L918">
        <f t="shared" si="71"/>
        <v>1</v>
      </c>
      <c r="M918">
        <f t="shared" si="72"/>
        <v>366.4</v>
      </c>
      <c r="N918" t="str">
        <f t="shared" si="73"/>
        <v>SUFICIENTE</v>
      </c>
      <c r="O918">
        <f t="shared" si="74"/>
        <v>0</v>
      </c>
    </row>
    <row r="919" spans="1:15" x14ac:dyDescent="0.45">
      <c r="A919" t="str">
        <v>CD-QRO</v>
      </c>
      <c r="B919" t="str">
        <v>BOT-1010</v>
      </c>
      <c r="C919">
        <v>5417</v>
      </c>
      <c r="D919">
        <v>410.1</v>
      </c>
      <c r="E919">
        <v>69.400000000000006</v>
      </c>
      <c r="F919">
        <v>2.7</v>
      </c>
      <c r="G919">
        <v>0.4</v>
      </c>
      <c r="H919" t="str">
        <v>OK</v>
      </c>
      <c r="J919">
        <f t="shared" si="70"/>
        <v>7108.7000000000007</v>
      </c>
      <c r="K919">
        <f>SUMIF(Supply_Clean[Item_Code], B919, Supply_Clean[Available_Supply])</f>
        <v>21582</v>
      </c>
      <c r="L919">
        <f t="shared" si="71"/>
        <v>1</v>
      </c>
      <c r="M919">
        <f t="shared" si="72"/>
        <v>410.1</v>
      </c>
      <c r="N919" t="str">
        <f t="shared" si="73"/>
        <v>SUFICIENTE</v>
      </c>
      <c r="O919">
        <f t="shared" si="74"/>
        <v>0</v>
      </c>
    </row>
    <row r="920" spans="1:15" x14ac:dyDescent="0.45">
      <c r="A920" t="str">
        <v>CD-SAL</v>
      </c>
      <c r="B920" t="str">
        <v>LAC-1016</v>
      </c>
      <c r="C920">
        <v>6556</v>
      </c>
      <c r="D920">
        <v>387.7</v>
      </c>
      <c r="E920">
        <v>171.6</v>
      </c>
      <c r="F920">
        <v>2.6</v>
      </c>
      <c r="G920">
        <v>0.5</v>
      </c>
      <c r="H920" t="str">
        <v>OK</v>
      </c>
      <c r="J920">
        <f t="shared" si="70"/>
        <v>4542.5</v>
      </c>
      <c r="K920">
        <f>SUMIF(Supply_Clean[Item_Code], B920, Supply_Clean[Available_Supply])</f>
        <v>12760</v>
      </c>
      <c r="L920">
        <f t="shared" si="71"/>
        <v>1</v>
      </c>
      <c r="M920">
        <f t="shared" si="72"/>
        <v>387.7</v>
      </c>
      <c r="N920" t="str">
        <f t="shared" si="73"/>
        <v>SUFICIENTE</v>
      </c>
      <c r="O920">
        <f t="shared" si="74"/>
        <v>0</v>
      </c>
    </row>
    <row r="921" spans="1:15" x14ac:dyDescent="0.45">
      <c r="A921" t="str">
        <v>CD-CDMX</v>
      </c>
      <c r="B921" t="str">
        <v>LAC-1012</v>
      </c>
      <c r="C921">
        <v>2982</v>
      </c>
      <c r="D921">
        <v>294.60000000000002</v>
      </c>
      <c r="E921">
        <v>96.7</v>
      </c>
      <c r="F921">
        <v>1</v>
      </c>
      <c r="G921">
        <v>0.2</v>
      </c>
      <c r="H921" t="str">
        <v>OK</v>
      </c>
      <c r="J921">
        <f t="shared" si="70"/>
        <v>5447.0000000000009</v>
      </c>
      <c r="K921">
        <f>SUMIF(Supply_Clean[Item_Code], B921, Supply_Clean[Available_Supply])</f>
        <v>12033</v>
      </c>
      <c r="L921">
        <f t="shared" si="71"/>
        <v>1</v>
      </c>
      <c r="M921">
        <f t="shared" si="72"/>
        <v>294.60000000000002</v>
      </c>
      <c r="N921" t="str">
        <f t="shared" si="73"/>
        <v>SUFICIENTE</v>
      </c>
      <c r="O921">
        <f t="shared" si="74"/>
        <v>0</v>
      </c>
    </row>
    <row r="922" spans="1:15" x14ac:dyDescent="0.45">
      <c r="A922" t="str">
        <v>CD-CHI</v>
      </c>
      <c r="B922" t="str">
        <v>PRO-1003</v>
      </c>
      <c r="C922">
        <v>4760</v>
      </c>
      <c r="D922">
        <v>642.20000000000005</v>
      </c>
      <c r="E922">
        <v>281.60000000000002</v>
      </c>
      <c r="F922">
        <v>4.8</v>
      </c>
      <c r="G922">
        <v>1</v>
      </c>
      <c r="H922" t="str">
        <v>OK</v>
      </c>
      <c r="J922">
        <f t="shared" si="70"/>
        <v>6234.9</v>
      </c>
      <c r="K922">
        <f>SUMIF(Supply_Clean[Item_Code], B922, Supply_Clean[Available_Supply])</f>
        <v>10658</v>
      </c>
      <c r="L922">
        <f t="shared" si="71"/>
        <v>1</v>
      </c>
      <c r="M922">
        <f t="shared" si="72"/>
        <v>642.20000000000005</v>
      </c>
      <c r="N922" t="str">
        <f t="shared" si="73"/>
        <v>SUFICIENTE</v>
      </c>
      <c r="O922">
        <f t="shared" si="74"/>
        <v>0</v>
      </c>
    </row>
    <row r="923" spans="1:15" x14ac:dyDescent="0.45">
      <c r="A923" t="str">
        <v>CD-TIJ</v>
      </c>
      <c r="B923" t="str">
        <v>BOT-1012</v>
      </c>
      <c r="C923">
        <v>3244</v>
      </c>
      <c r="D923">
        <v>512.9</v>
      </c>
      <c r="E923">
        <v>101.3</v>
      </c>
      <c r="F923">
        <v>4.5999999999999996</v>
      </c>
      <c r="G923">
        <v>1.5</v>
      </c>
      <c r="H923" t="str">
        <v>OK</v>
      </c>
      <c r="J923">
        <f t="shared" si="70"/>
        <v>9259.4</v>
      </c>
      <c r="K923">
        <f>SUMIF(Supply_Clean[Item_Code], B923, Supply_Clean[Available_Supply])</f>
        <v>13943</v>
      </c>
      <c r="L923">
        <f t="shared" si="71"/>
        <v>1</v>
      </c>
      <c r="M923">
        <f t="shared" si="72"/>
        <v>512.9</v>
      </c>
      <c r="N923" t="str">
        <f t="shared" si="73"/>
        <v>SUFICIENTE</v>
      </c>
      <c r="O923">
        <f t="shared" si="74"/>
        <v>0</v>
      </c>
    </row>
    <row r="924" spans="1:15" x14ac:dyDescent="0.45">
      <c r="A924" t="str">
        <v>CD-GDL</v>
      </c>
      <c r="B924" t="str">
        <v>BOT-1011</v>
      </c>
      <c r="C924">
        <v>5663</v>
      </c>
      <c r="D924">
        <v>667.6</v>
      </c>
      <c r="E924">
        <v>165.5</v>
      </c>
      <c r="F924">
        <v>0.7</v>
      </c>
      <c r="G924">
        <v>0.2</v>
      </c>
      <c r="H924" t="str">
        <v>OK</v>
      </c>
      <c r="J924">
        <f t="shared" si="70"/>
        <v>9886.2999999999993</v>
      </c>
      <c r="K924">
        <f>SUMIF(Supply_Clean[Item_Code], B924, Supply_Clean[Available_Supply])</f>
        <v>19886</v>
      </c>
      <c r="L924">
        <f t="shared" si="71"/>
        <v>1</v>
      </c>
      <c r="M924">
        <f t="shared" si="72"/>
        <v>667.6</v>
      </c>
      <c r="N924" t="str">
        <f t="shared" si="73"/>
        <v>SUFICIENTE</v>
      </c>
      <c r="O924">
        <f t="shared" si="74"/>
        <v>0</v>
      </c>
    </row>
    <row r="925" spans="1:15" x14ac:dyDescent="0.45">
      <c r="A925" t="str">
        <v>CD-MER</v>
      </c>
      <c r="B925" t="str">
        <v>ABA-1001</v>
      </c>
      <c r="C925">
        <v>4305</v>
      </c>
      <c r="D925">
        <v>456.2</v>
      </c>
      <c r="E925">
        <v>57.6</v>
      </c>
      <c r="F925">
        <v>3.3</v>
      </c>
      <c r="G925">
        <v>1.3</v>
      </c>
      <c r="H925" t="str">
        <v>OK</v>
      </c>
      <c r="J925">
        <f t="shared" si="70"/>
        <v>4698.6999999999989</v>
      </c>
      <c r="K925">
        <f>SUMIF(Supply_Clean[Item_Code], B925, Supply_Clean[Available_Supply])</f>
        <v>8775</v>
      </c>
      <c r="L925">
        <f t="shared" si="71"/>
        <v>1</v>
      </c>
      <c r="M925">
        <f t="shared" si="72"/>
        <v>456.2</v>
      </c>
      <c r="N925" t="str">
        <f t="shared" si="73"/>
        <v>SUFICIENTE</v>
      </c>
      <c r="O925">
        <f t="shared" si="74"/>
        <v>0</v>
      </c>
    </row>
    <row r="926" spans="1:15" x14ac:dyDescent="0.45">
      <c r="A926" t="str">
        <v>CD-QRO</v>
      </c>
      <c r="B926" t="str">
        <v>ABA-1006</v>
      </c>
      <c r="C926">
        <v>2513</v>
      </c>
      <c r="D926">
        <v>227.3</v>
      </c>
      <c r="E926">
        <v>19.2</v>
      </c>
      <c r="F926">
        <v>2.1</v>
      </c>
      <c r="G926">
        <v>0.4</v>
      </c>
      <c r="H926" t="str">
        <v>OK</v>
      </c>
      <c r="J926">
        <f t="shared" si="70"/>
        <v>4882.1000000000004</v>
      </c>
      <c r="K926">
        <f>SUMIF(Supply_Clean[Item_Code], B926, Supply_Clean[Available_Supply])</f>
        <v>15586</v>
      </c>
      <c r="L926">
        <f t="shared" si="71"/>
        <v>1</v>
      </c>
      <c r="M926">
        <f t="shared" si="72"/>
        <v>227.3</v>
      </c>
      <c r="N926" t="str">
        <f t="shared" si="73"/>
        <v>SUFICIENTE</v>
      </c>
      <c r="O926">
        <f t="shared" si="74"/>
        <v>0</v>
      </c>
    </row>
    <row r="927" spans="1:15" x14ac:dyDescent="0.45">
      <c r="A927" t="str">
        <v>CD-VER</v>
      </c>
      <c r="B927" t="str">
        <v>ABA-1014</v>
      </c>
      <c r="C927">
        <v>0</v>
      </c>
      <c r="D927">
        <v>366.8</v>
      </c>
      <c r="E927">
        <v>47.1</v>
      </c>
      <c r="F927">
        <v>4</v>
      </c>
      <c r="G927">
        <v>0.9</v>
      </c>
      <c r="H927">
        <v>0</v>
      </c>
      <c r="J927">
        <f t="shared" si="70"/>
        <v>4779.0000000000009</v>
      </c>
      <c r="K927">
        <f>SUMIF(Supply_Clean[Item_Code], B927, Supply_Clean[Available_Supply])</f>
        <v>14629</v>
      </c>
      <c r="L927">
        <f t="shared" si="71"/>
        <v>1</v>
      </c>
      <c r="M927">
        <f t="shared" si="72"/>
        <v>366.8</v>
      </c>
      <c r="N927" t="str">
        <f t="shared" si="73"/>
        <v>SUFICIENTE</v>
      </c>
      <c r="O927">
        <f t="shared" si="74"/>
        <v>0</v>
      </c>
    </row>
    <row r="928" spans="1:15" x14ac:dyDescent="0.45">
      <c r="A928" t="str">
        <v>CD-CDMX</v>
      </c>
      <c r="B928" t="str">
        <v>LAC-1003</v>
      </c>
      <c r="C928">
        <v>3839</v>
      </c>
      <c r="D928">
        <v>300.5</v>
      </c>
      <c r="E928">
        <v>84.8</v>
      </c>
      <c r="F928">
        <v>1</v>
      </c>
      <c r="G928">
        <v>0.2</v>
      </c>
      <c r="H928" t="str">
        <v>OK</v>
      </c>
      <c r="J928">
        <f t="shared" si="70"/>
        <v>3701.4999999999995</v>
      </c>
      <c r="K928">
        <f>SUMIF(Supply_Clean[Item_Code], B928, Supply_Clean[Available_Supply])</f>
        <v>7244</v>
      </c>
      <c r="L928">
        <f t="shared" si="71"/>
        <v>1</v>
      </c>
      <c r="M928">
        <f t="shared" si="72"/>
        <v>300.5</v>
      </c>
      <c r="N928" t="str">
        <f t="shared" si="73"/>
        <v>SUFICIENTE</v>
      </c>
      <c r="O928">
        <f t="shared" si="74"/>
        <v>0</v>
      </c>
    </row>
    <row r="929" spans="1:15" x14ac:dyDescent="0.45">
      <c r="A929" t="str">
        <v>CD-LEO</v>
      </c>
      <c r="B929" t="str">
        <v>BOT-1003</v>
      </c>
      <c r="C929">
        <v>5827</v>
      </c>
      <c r="D929">
        <v>660.6</v>
      </c>
      <c r="E929">
        <v>172.4</v>
      </c>
      <c r="F929">
        <v>1.8</v>
      </c>
      <c r="G929">
        <v>0.6</v>
      </c>
      <c r="H929" t="str">
        <v>OK</v>
      </c>
      <c r="J929">
        <f t="shared" si="70"/>
        <v>8902.7999999999993</v>
      </c>
      <c r="K929">
        <f>SUMIF(Supply_Clean[Item_Code], B929, Supply_Clean[Available_Supply])</f>
        <v>24326</v>
      </c>
      <c r="L929">
        <f t="shared" si="71"/>
        <v>1</v>
      </c>
      <c r="M929">
        <f t="shared" si="72"/>
        <v>660.6</v>
      </c>
      <c r="N929" t="str">
        <f t="shared" si="73"/>
        <v>SUFICIENTE</v>
      </c>
      <c r="O929">
        <f t="shared" si="74"/>
        <v>0</v>
      </c>
    </row>
    <row r="930" spans="1:15" x14ac:dyDescent="0.45">
      <c r="A930" t="str">
        <v>CD-QRO</v>
      </c>
      <c r="B930" t="str">
        <v>LAC-1003</v>
      </c>
      <c r="C930">
        <v>2180</v>
      </c>
      <c r="D930">
        <v>192.8</v>
      </c>
      <c r="E930">
        <v>71.400000000000006</v>
      </c>
      <c r="F930">
        <v>2.2000000000000002</v>
      </c>
      <c r="G930">
        <v>0.4</v>
      </c>
      <c r="H930" t="str">
        <v>OK</v>
      </c>
      <c r="J930">
        <f t="shared" si="70"/>
        <v>3701.4999999999995</v>
      </c>
      <c r="K930">
        <f>SUMIF(Supply_Clean[Item_Code], B930, Supply_Clean[Available_Supply])</f>
        <v>7244</v>
      </c>
      <c r="L930">
        <f t="shared" si="71"/>
        <v>1</v>
      </c>
      <c r="M930">
        <f t="shared" si="72"/>
        <v>192.8</v>
      </c>
      <c r="N930" t="str">
        <f t="shared" si="73"/>
        <v>SUFICIENTE</v>
      </c>
      <c r="O930">
        <f t="shared" si="74"/>
        <v>0</v>
      </c>
    </row>
    <row r="931" spans="1:15" x14ac:dyDescent="0.45">
      <c r="A931" t="str">
        <v>CD-MER</v>
      </c>
      <c r="B931" t="str">
        <v>LAC-1006</v>
      </c>
      <c r="C931">
        <v>1133</v>
      </c>
      <c r="D931">
        <v>269</v>
      </c>
      <c r="E931">
        <v>103.2</v>
      </c>
      <c r="F931">
        <v>1.4</v>
      </c>
      <c r="G931">
        <v>1.3</v>
      </c>
      <c r="H931" t="str">
        <v>OK</v>
      </c>
      <c r="J931">
        <f t="shared" si="70"/>
        <v>4338.7</v>
      </c>
      <c r="K931">
        <f>SUMIF(Supply_Clean[Item_Code], B931, Supply_Clean[Available_Supply])</f>
        <v>10670</v>
      </c>
      <c r="L931">
        <f t="shared" si="71"/>
        <v>1</v>
      </c>
      <c r="M931">
        <f t="shared" si="72"/>
        <v>269</v>
      </c>
      <c r="N931" t="str">
        <f t="shared" si="73"/>
        <v>SUFICIENTE</v>
      </c>
      <c r="O931">
        <f t="shared" si="74"/>
        <v>0</v>
      </c>
    </row>
    <row r="932" spans="1:15" x14ac:dyDescent="0.45">
      <c r="A932" t="str">
        <v>CD-TIJ</v>
      </c>
      <c r="B932" t="str">
        <v>PRO-1008</v>
      </c>
      <c r="C932">
        <v>1763</v>
      </c>
      <c r="D932">
        <v>257.5</v>
      </c>
      <c r="E932">
        <v>160.30000000000001</v>
      </c>
      <c r="F932">
        <v>4.5999999999999996</v>
      </c>
      <c r="G932">
        <v>1.5</v>
      </c>
      <c r="H932" t="str">
        <v>OK</v>
      </c>
      <c r="J932">
        <f t="shared" si="70"/>
        <v>5551.5999999999995</v>
      </c>
      <c r="K932">
        <f>SUMIF(Supply_Clean[Item_Code], B932, Supply_Clean[Available_Supply])</f>
        <v>9738</v>
      </c>
      <c r="L932">
        <f t="shared" si="71"/>
        <v>1</v>
      </c>
      <c r="M932">
        <f t="shared" si="72"/>
        <v>257.5</v>
      </c>
      <c r="N932" t="str">
        <f t="shared" si="73"/>
        <v>SUFICIENTE</v>
      </c>
      <c r="O932">
        <f t="shared" si="74"/>
        <v>0</v>
      </c>
    </row>
    <row r="933" spans="1:15" x14ac:dyDescent="0.45">
      <c r="A933" t="str">
        <v>CD-VER</v>
      </c>
      <c r="B933" t="str">
        <v>ABA-1004</v>
      </c>
      <c r="C933">
        <v>4535</v>
      </c>
      <c r="D933">
        <v>337.1</v>
      </c>
      <c r="E933">
        <v>50.2</v>
      </c>
      <c r="F933">
        <v>3.7</v>
      </c>
      <c r="G933">
        <v>0.9</v>
      </c>
      <c r="H933" t="str">
        <v>OK</v>
      </c>
      <c r="J933">
        <f t="shared" si="70"/>
        <v>5236.7</v>
      </c>
      <c r="K933">
        <f>SUMIF(Supply_Clean[Item_Code], B933, Supply_Clean[Available_Supply])</f>
        <v>10879</v>
      </c>
      <c r="L933">
        <f t="shared" si="71"/>
        <v>1</v>
      </c>
      <c r="M933">
        <f t="shared" si="72"/>
        <v>337.1</v>
      </c>
      <c r="N933" t="str">
        <f t="shared" si="73"/>
        <v>SUFICIENTE</v>
      </c>
      <c r="O933">
        <f t="shared" si="74"/>
        <v>0</v>
      </c>
    </row>
    <row r="934" spans="1:15" x14ac:dyDescent="0.45">
      <c r="A934" t="str">
        <v>CD-CDMX</v>
      </c>
      <c r="B934" t="str">
        <v>LAC-1005</v>
      </c>
      <c r="C934">
        <v>2025</v>
      </c>
      <c r="D934">
        <v>124.6</v>
      </c>
      <c r="E934">
        <v>35.299999999999997</v>
      </c>
      <c r="F934">
        <v>1.3</v>
      </c>
      <c r="G934">
        <v>0.2</v>
      </c>
      <c r="H934" t="str">
        <v>OK</v>
      </c>
      <c r="J934">
        <f t="shared" si="70"/>
        <v>3868.9</v>
      </c>
      <c r="K934">
        <f>SUMIF(Supply_Clean[Item_Code], B934, Supply_Clean[Available_Supply])</f>
        <v>9953</v>
      </c>
      <c r="L934">
        <f t="shared" si="71"/>
        <v>1</v>
      </c>
      <c r="M934">
        <f t="shared" si="72"/>
        <v>124.6</v>
      </c>
      <c r="N934" t="str">
        <f t="shared" si="73"/>
        <v>SUFICIENTE</v>
      </c>
      <c r="O934">
        <f t="shared" si="74"/>
        <v>0</v>
      </c>
    </row>
    <row r="935" spans="1:15" x14ac:dyDescent="0.45">
      <c r="A935" t="str">
        <v>CD-PUE</v>
      </c>
      <c r="B935" t="str">
        <v>ABA-1011</v>
      </c>
      <c r="C935">
        <v>3796</v>
      </c>
      <c r="D935">
        <v>428.7</v>
      </c>
      <c r="E935">
        <v>54.6</v>
      </c>
      <c r="F935">
        <v>1.4</v>
      </c>
      <c r="G935">
        <v>0.3</v>
      </c>
      <c r="H935" t="str">
        <v>OK</v>
      </c>
      <c r="J935">
        <f t="shared" si="70"/>
        <v>4892.0999999999995</v>
      </c>
      <c r="K935">
        <f>SUMIF(Supply_Clean[Item_Code], B935, Supply_Clean[Available_Supply])</f>
        <v>9079</v>
      </c>
      <c r="L935">
        <f t="shared" si="71"/>
        <v>1</v>
      </c>
      <c r="M935">
        <f t="shared" si="72"/>
        <v>428.7</v>
      </c>
      <c r="N935" t="str">
        <f t="shared" si="73"/>
        <v>SUFICIENTE</v>
      </c>
      <c r="O935">
        <f t="shared" si="74"/>
        <v>0</v>
      </c>
    </row>
    <row r="936" spans="1:15" x14ac:dyDescent="0.45">
      <c r="A936" t="str">
        <v>CD-CHI</v>
      </c>
      <c r="B936" t="str">
        <v>BOT-1023</v>
      </c>
      <c r="C936">
        <v>13464</v>
      </c>
      <c r="D936">
        <v>983.5</v>
      </c>
      <c r="E936">
        <v>229.8</v>
      </c>
      <c r="F936">
        <v>1.8</v>
      </c>
      <c r="G936">
        <v>1</v>
      </c>
      <c r="H936" t="str">
        <v>OK</v>
      </c>
      <c r="J936">
        <f t="shared" si="70"/>
        <v>8227.6</v>
      </c>
      <c r="K936">
        <f>SUMIF(Supply_Clean[Item_Code], B936, Supply_Clean[Available_Supply])</f>
        <v>23663</v>
      </c>
      <c r="L936">
        <f t="shared" si="71"/>
        <v>1</v>
      </c>
      <c r="M936">
        <f t="shared" si="72"/>
        <v>983.5</v>
      </c>
      <c r="N936" t="str">
        <f t="shared" si="73"/>
        <v>SUFICIENTE</v>
      </c>
      <c r="O936">
        <f t="shared" si="74"/>
        <v>0</v>
      </c>
    </row>
    <row r="937" spans="1:15" x14ac:dyDescent="0.45">
      <c r="A937" t="str">
        <v>CD-TOL</v>
      </c>
      <c r="B937" t="str">
        <v>ABA-1006</v>
      </c>
      <c r="C937">
        <v>2163</v>
      </c>
      <c r="D937">
        <v>291.5</v>
      </c>
      <c r="E937">
        <v>30</v>
      </c>
      <c r="F937">
        <v>2.7</v>
      </c>
      <c r="G937">
        <v>0.5</v>
      </c>
      <c r="H937" t="str">
        <v>OK</v>
      </c>
      <c r="J937">
        <f t="shared" si="70"/>
        <v>4882.1000000000004</v>
      </c>
      <c r="K937">
        <f>SUMIF(Supply_Clean[Item_Code], B937, Supply_Clean[Available_Supply])</f>
        <v>15586</v>
      </c>
      <c r="L937">
        <f t="shared" si="71"/>
        <v>1</v>
      </c>
      <c r="M937">
        <f t="shared" si="72"/>
        <v>291.5</v>
      </c>
      <c r="N937" t="str">
        <f t="shared" si="73"/>
        <v>SUFICIENTE</v>
      </c>
      <c r="O937">
        <f t="shared" si="74"/>
        <v>0</v>
      </c>
    </row>
    <row r="938" spans="1:15" x14ac:dyDescent="0.45">
      <c r="A938" t="str">
        <v>CD-PUE</v>
      </c>
      <c r="B938" t="str">
        <v>ABA-1016</v>
      </c>
      <c r="C938">
        <v>6822</v>
      </c>
      <c r="D938">
        <v>458.3</v>
      </c>
      <c r="E938">
        <v>60</v>
      </c>
      <c r="F938">
        <v>1.4</v>
      </c>
      <c r="G938">
        <v>0.3</v>
      </c>
      <c r="H938" t="str">
        <v>OK</v>
      </c>
      <c r="J938">
        <f t="shared" si="70"/>
        <v>5056.7</v>
      </c>
      <c r="K938">
        <f>SUMIF(Supply_Clean[Item_Code], B938, Supply_Clean[Available_Supply])</f>
        <v>9151</v>
      </c>
      <c r="L938">
        <f t="shared" si="71"/>
        <v>1</v>
      </c>
      <c r="M938">
        <f t="shared" si="72"/>
        <v>458.3</v>
      </c>
      <c r="N938" t="str">
        <f t="shared" si="73"/>
        <v>SUFICIENTE</v>
      </c>
      <c r="O938">
        <f t="shared" si="74"/>
        <v>0</v>
      </c>
    </row>
    <row r="939" spans="1:15" x14ac:dyDescent="0.45">
      <c r="A939" t="str">
        <v>CD-CDMX</v>
      </c>
      <c r="B939" t="str">
        <v>ABA-1003</v>
      </c>
      <c r="C939">
        <v>2091</v>
      </c>
      <c r="D939">
        <v>221.8</v>
      </c>
      <c r="E939">
        <v>23.5</v>
      </c>
      <c r="F939">
        <v>0.9</v>
      </c>
      <c r="G939">
        <v>0.2</v>
      </c>
      <c r="H939" t="str">
        <v>OK</v>
      </c>
      <c r="J939">
        <f t="shared" si="70"/>
        <v>4709.8000000000011</v>
      </c>
      <c r="K939">
        <f>SUMIF(Supply_Clean[Item_Code], B939, Supply_Clean[Available_Supply])</f>
        <v>11700</v>
      </c>
      <c r="L939">
        <f t="shared" si="71"/>
        <v>1</v>
      </c>
      <c r="M939">
        <f t="shared" si="72"/>
        <v>221.8</v>
      </c>
      <c r="N939" t="str">
        <f t="shared" si="73"/>
        <v>SUFICIENTE</v>
      </c>
      <c r="O939">
        <f t="shared" si="74"/>
        <v>0</v>
      </c>
    </row>
    <row r="940" spans="1:15" x14ac:dyDescent="0.45">
      <c r="A940" t="str">
        <v>CD-CHI</v>
      </c>
      <c r="B940" t="str">
        <v>ABA-1012</v>
      </c>
      <c r="C940">
        <v>4697</v>
      </c>
      <c r="D940">
        <v>385.2</v>
      </c>
      <c r="E940">
        <v>37.700000000000003</v>
      </c>
      <c r="F940">
        <v>2.9</v>
      </c>
      <c r="G940">
        <v>1</v>
      </c>
      <c r="H940" t="str">
        <v>OK</v>
      </c>
      <c r="J940">
        <f t="shared" si="70"/>
        <v>5104.3999999999996</v>
      </c>
      <c r="K940">
        <f>SUMIF(Supply_Clean[Item_Code], B940, Supply_Clean[Available_Supply])</f>
        <v>8396</v>
      </c>
      <c r="L940">
        <f t="shared" si="71"/>
        <v>1</v>
      </c>
      <c r="M940">
        <f t="shared" si="72"/>
        <v>385.2</v>
      </c>
      <c r="N940" t="str">
        <f t="shared" si="73"/>
        <v>SUFICIENTE</v>
      </c>
      <c r="O940">
        <f t="shared" si="74"/>
        <v>0</v>
      </c>
    </row>
    <row r="941" spans="1:15" x14ac:dyDescent="0.45">
      <c r="A941" t="str">
        <v>CD-CAN</v>
      </c>
      <c r="B941" t="str">
        <v>LAC-1002</v>
      </c>
      <c r="C941">
        <v>3282</v>
      </c>
      <c r="D941">
        <v>466.4</v>
      </c>
      <c r="E941">
        <v>177.7</v>
      </c>
      <c r="F941">
        <v>3.8</v>
      </c>
      <c r="G941">
        <v>1.6</v>
      </c>
      <c r="H941" t="str">
        <v>OK</v>
      </c>
      <c r="J941">
        <f t="shared" si="70"/>
        <v>4442.1000000000004</v>
      </c>
      <c r="K941">
        <f>SUMIF(Supply_Clean[Item_Code], B941, Supply_Clean[Available_Supply])</f>
        <v>7796</v>
      </c>
      <c r="L941">
        <f t="shared" si="71"/>
        <v>1</v>
      </c>
      <c r="M941">
        <f t="shared" si="72"/>
        <v>466.4</v>
      </c>
      <c r="N941" t="str">
        <f t="shared" si="73"/>
        <v>SUFICIENTE</v>
      </c>
      <c r="O941">
        <f t="shared" si="74"/>
        <v>0</v>
      </c>
    </row>
    <row r="942" spans="1:15" x14ac:dyDescent="0.45">
      <c r="A942" t="str">
        <v>CD-MTY</v>
      </c>
      <c r="B942" t="str">
        <v>ABA-1019</v>
      </c>
      <c r="C942">
        <v>5045</v>
      </c>
      <c r="D942">
        <v>343.1</v>
      </c>
      <c r="E942">
        <v>30.8</v>
      </c>
      <c r="F942">
        <v>1.1000000000000001</v>
      </c>
      <c r="G942">
        <v>0.3</v>
      </c>
      <c r="H942" t="str">
        <v>OK</v>
      </c>
      <c r="J942">
        <f t="shared" si="70"/>
        <v>4484.9000000000005</v>
      </c>
      <c r="K942">
        <f>SUMIF(Supply_Clean[Item_Code], B942, Supply_Clean[Available_Supply])</f>
        <v>12013</v>
      </c>
      <c r="L942">
        <f t="shared" si="71"/>
        <v>1</v>
      </c>
      <c r="M942">
        <f t="shared" si="72"/>
        <v>343.1</v>
      </c>
      <c r="N942" t="str">
        <f t="shared" si="73"/>
        <v>SUFICIENTE</v>
      </c>
      <c r="O942">
        <f t="shared" si="74"/>
        <v>0</v>
      </c>
    </row>
    <row r="943" spans="1:15" x14ac:dyDescent="0.45">
      <c r="A943" t="str">
        <v>CD-SAL</v>
      </c>
      <c r="B943" t="str">
        <v>BOT-1010</v>
      </c>
      <c r="C943">
        <v>7453</v>
      </c>
      <c r="D943">
        <v>0</v>
      </c>
      <c r="E943">
        <v>122.1</v>
      </c>
      <c r="F943">
        <v>2.2000000000000002</v>
      </c>
      <c r="G943">
        <v>0.5</v>
      </c>
      <c r="H943" t="str">
        <v>OK</v>
      </c>
      <c r="J943">
        <f t="shared" si="70"/>
        <v>7108.7000000000007</v>
      </c>
      <c r="K943">
        <f>SUMIF(Supply_Clean[Item_Code], B943, Supply_Clean[Available_Supply])</f>
        <v>21582</v>
      </c>
      <c r="L943">
        <f t="shared" si="71"/>
        <v>1</v>
      </c>
      <c r="M943">
        <f t="shared" si="72"/>
        <v>0</v>
      </c>
      <c r="N943" t="str">
        <f t="shared" si="73"/>
        <v>SUFICIENTE</v>
      </c>
      <c r="O943">
        <f t="shared" si="74"/>
        <v>0</v>
      </c>
    </row>
    <row r="944" spans="1:15" x14ac:dyDescent="0.45">
      <c r="A944" t="str">
        <v>CD-CHI</v>
      </c>
      <c r="B944" t="str">
        <v>BEB-1008</v>
      </c>
      <c r="C944">
        <v>5209</v>
      </c>
      <c r="D944">
        <v>327.9</v>
      </c>
      <c r="E944">
        <v>34.200000000000003</v>
      </c>
      <c r="F944">
        <v>3.1</v>
      </c>
      <c r="G944">
        <v>1</v>
      </c>
      <c r="H944" t="str">
        <v>OK</v>
      </c>
      <c r="J944">
        <f t="shared" si="70"/>
        <v>6156.9999999999991</v>
      </c>
      <c r="K944">
        <f>SUMIF(Supply_Clean[Item_Code], B944, Supply_Clean[Available_Supply])</f>
        <v>18019</v>
      </c>
      <c r="L944">
        <f t="shared" si="71"/>
        <v>1</v>
      </c>
      <c r="M944">
        <f t="shared" si="72"/>
        <v>327.9</v>
      </c>
      <c r="N944" t="str">
        <f t="shared" si="73"/>
        <v>SUFICIENTE</v>
      </c>
      <c r="O944">
        <f t="shared" si="74"/>
        <v>0</v>
      </c>
    </row>
    <row r="945" spans="1:15" x14ac:dyDescent="0.45">
      <c r="A945" t="str">
        <v>CD-LEO</v>
      </c>
      <c r="B945" t="str">
        <v>LAC-1011</v>
      </c>
      <c r="C945">
        <v>4603</v>
      </c>
      <c r="D945">
        <v>301.89999999999998</v>
      </c>
      <c r="E945">
        <v>120.7</v>
      </c>
      <c r="F945">
        <v>2.1</v>
      </c>
      <c r="G945">
        <v>0.6</v>
      </c>
      <c r="H945" t="str">
        <v>OK</v>
      </c>
      <c r="J945">
        <f t="shared" si="70"/>
        <v>4165</v>
      </c>
      <c r="K945">
        <f>SUMIF(Supply_Clean[Item_Code], B945, Supply_Clean[Available_Supply])</f>
        <v>2719</v>
      </c>
      <c r="L945">
        <f t="shared" si="71"/>
        <v>0.65282112845138052</v>
      </c>
      <c r="M945">
        <f t="shared" si="72"/>
        <v>197.08669867947177</v>
      </c>
      <c r="N945" t="str">
        <f t="shared" si="73"/>
        <v>ESCASEZ</v>
      </c>
      <c r="O945">
        <f t="shared" si="74"/>
        <v>104.81330132052821</v>
      </c>
    </row>
    <row r="946" spans="1:15" x14ac:dyDescent="0.45">
      <c r="A946" t="str">
        <v>CD-TOL</v>
      </c>
      <c r="B946" t="str">
        <v>BOT-1001</v>
      </c>
      <c r="C946">
        <v>13848</v>
      </c>
      <c r="D946">
        <v>898</v>
      </c>
      <c r="E946">
        <v>148.9</v>
      </c>
      <c r="F946">
        <v>3.1</v>
      </c>
      <c r="G946">
        <v>0.5</v>
      </c>
      <c r="H946" t="str">
        <v>OK</v>
      </c>
      <c r="J946">
        <f t="shared" si="70"/>
        <v>8375.9</v>
      </c>
      <c r="K946">
        <f>SUMIF(Supply_Clean[Item_Code], B946, Supply_Clean[Available_Supply])</f>
        <v>20393</v>
      </c>
      <c r="L946">
        <f t="shared" si="71"/>
        <v>1</v>
      </c>
      <c r="M946">
        <f t="shared" si="72"/>
        <v>898</v>
      </c>
      <c r="N946" t="str">
        <f t="shared" si="73"/>
        <v>SUFICIENTE</v>
      </c>
      <c r="O946">
        <f t="shared" si="74"/>
        <v>0</v>
      </c>
    </row>
    <row r="947" spans="1:15" x14ac:dyDescent="0.45">
      <c r="A947" t="str">
        <v>CD-MOR</v>
      </c>
      <c r="B947" t="str">
        <v>ABA-1012</v>
      </c>
      <c r="C947">
        <v>2307</v>
      </c>
      <c r="D947">
        <v>254.3</v>
      </c>
      <c r="E947">
        <v>30.3</v>
      </c>
      <c r="F947">
        <v>1.4</v>
      </c>
      <c r="G947">
        <v>0.5</v>
      </c>
      <c r="H947" t="str">
        <v>OK</v>
      </c>
      <c r="J947">
        <f t="shared" si="70"/>
        <v>5104.3999999999996</v>
      </c>
      <c r="K947">
        <f>SUMIF(Supply_Clean[Item_Code], B947, Supply_Clean[Available_Supply])</f>
        <v>8396</v>
      </c>
      <c r="L947">
        <f t="shared" si="71"/>
        <v>1</v>
      </c>
      <c r="M947">
        <f t="shared" si="72"/>
        <v>254.3</v>
      </c>
      <c r="N947" t="str">
        <f t="shared" si="73"/>
        <v>SUFICIENTE</v>
      </c>
      <c r="O947">
        <f t="shared" si="74"/>
        <v>0</v>
      </c>
    </row>
    <row r="948" spans="1:15" x14ac:dyDescent="0.45">
      <c r="A948" t="str">
        <v>CD-LEO</v>
      </c>
      <c r="B948" t="str">
        <v>ABA-1005</v>
      </c>
      <c r="C948">
        <v>3237</v>
      </c>
      <c r="D948">
        <v>256.60000000000002</v>
      </c>
      <c r="E948">
        <v>30.2</v>
      </c>
      <c r="F948">
        <v>3.3</v>
      </c>
      <c r="G948">
        <v>0.6</v>
      </c>
      <c r="H948" t="str">
        <v>OK</v>
      </c>
      <c r="J948">
        <f t="shared" si="70"/>
        <v>5173.5999999999995</v>
      </c>
      <c r="K948">
        <f>SUMIF(Supply_Clean[Item_Code], B948, Supply_Clean[Available_Supply])</f>
        <v>15028</v>
      </c>
      <c r="L948">
        <f t="shared" si="71"/>
        <v>1</v>
      </c>
      <c r="M948">
        <f t="shared" si="72"/>
        <v>256.60000000000002</v>
      </c>
      <c r="N948" t="str">
        <f t="shared" si="73"/>
        <v>SUFICIENTE</v>
      </c>
      <c r="O948">
        <f t="shared" si="74"/>
        <v>0</v>
      </c>
    </row>
    <row r="949" spans="1:15" x14ac:dyDescent="0.45">
      <c r="A949" t="str">
        <v>CD-PUE</v>
      </c>
      <c r="B949" t="str">
        <v>PRO-1009</v>
      </c>
      <c r="C949">
        <v>0</v>
      </c>
      <c r="D949">
        <v>709.3</v>
      </c>
      <c r="E949">
        <v>331.5</v>
      </c>
      <c r="F949">
        <v>1</v>
      </c>
      <c r="G949">
        <v>0.3</v>
      </c>
      <c r="H949">
        <v>0</v>
      </c>
      <c r="J949">
        <f t="shared" si="70"/>
        <v>5962.0999999999995</v>
      </c>
      <c r="K949">
        <f>SUMIF(Supply_Clean[Item_Code], B949, Supply_Clean[Available_Supply])</f>
        <v>10685</v>
      </c>
      <c r="L949">
        <f t="shared" si="71"/>
        <v>1</v>
      </c>
      <c r="M949">
        <f t="shared" si="72"/>
        <v>709.3</v>
      </c>
      <c r="N949" t="str">
        <f t="shared" si="73"/>
        <v>SUFICIENTE</v>
      </c>
      <c r="O949">
        <f t="shared" si="74"/>
        <v>0</v>
      </c>
    </row>
    <row r="950" spans="1:15" x14ac:dyDescent="0.45">
      <c r="A950" t="str">
        <v>CD-LEO</v>
      </c>
      <c r="B950" t="str">
        <v>LAC-1012</v>
      </c>
      <c r="C950">
        <v>4236</v>
      </c>
      <c r="D950">
        <v>275.8</v>
      </c>
      <c r="E950">
        <v>79.7</v>
      </c>
      <c r="F950">
        <v>2.4</v>
      </c>
      <c r="G950">
        <v>0.6</v>
      </c>
      <c r="H950" t="str">
        <v>OK</v>
      </c>
      <c r="J950">
        <f t="shared" si="70"/>
        <v>5447.0000000000009</v>
      </c>
      <c r="K950">
        <f>SUMIF(Supply_Clean[Item_Code], B950, Supply_Clean[Available_Supply])</f>
        <v>12033</v>
      </c>
      <c r="L950">
        <f t="shared" si="71"/>
        <v>1</v>
      </c>
      <c r="M950">
        <f t="shared" si="72"/>
        <v>275.8</v>
      </c>
      <c r="N950" t="str">
        <f t="shared" si="73"/>
        <v>SUFICIENTE</v>
      </c>
      <c r="O950">
        <f t="shared" si="74"/>
        <v>0</v>
      </c>
    </row>
    <row r="951" spans="1:15" x14ac:dyDescent="0.45">
      <c r="A951" t="str">
        <v>CD-HER</v>
      </c>
      <c r="B951" t="str">
        <v>BOT-1019</v>
      </c>
      <c r="C951">
        <v>9722</v>
      </c>
      <c r="D951">
        <v>603.20000000000005</v>
      </c>
      <c r="E951">
        <v>98</v>
      </c>
      <c r="F951">
        <v>4.9000000000000004</v>
      </c>
      <c r="G951">
        <v>1.2</v>
      </c>
      <c r="H951" t="str">
        <v>OK</v>
      </c>
      <c r="J951">
        <f t="shared" si="70"/>
        <v>9278.2999999999993</v>
      </c>
      <c r="K951">
        <f>SUMIF(Supply_Clean[Item_Code], B951, Supply_Clean[Available_Supply])</f>
        <v>4509</v>
      </c>
      <c r="L951">
        <f t="shared" si="71"/>
        <v>0.48597264585107192</v>
      </c>
      <c r="M951">
        <f t="shared" si="72"/>
        <v>293.13869997736663</v>
      </c>
      <c r="N951" t="str">
        <f t="shared" si="73"/>
        <v>ESCASEZ</v>
      </c>
      <c r="O951">
        <f t="shared" si="74"/>
        <v>310.06130002263342</v>
      </c>
    </row>
    <row r="952" spans="1:15" x14ac:dyDescent="0.45">
      <c r="A952" t="str">
        <v>CD-SAL</v>
      </c>
      <c r="B952" t="str">
        <v>ABA-1004</v>
      </c>
      <c r="C952">
        <v>1698</v>
      </c>
      <c r="D952">
        <v>307.10000000000002</v>
      </c>
      <c r="E952">
        <v>28.1</v>
      </c>
      <c r="F952">
        <v>2.2999999999999998</v>
      </c>
      <c r="G952">
        <v>0.5</v>
      </c>
      <c r="H952" t="str">
        <v>OK</v>
      </c>
      <c r="J952">
        <f t="shared" si="70"/>
        <v>5236.7</v>
      </c>
      <c r="K952">
        <f>SUMIF(Supply_Clean[Item_Code], B952, Supply_Clean[Available_Supply])</f>
        <v>10879</v>
      </c>
      <c r="L952">
        <f t="shared" si="71"/>
        <v>1</v>
      </c>
      <c r="M952">
        <f t="shared" si="72"/>
        <v>307.10000000000002</v>
      </c>
      <c r="N952" t="str">
        <f t="shared" si="73"/>
        <v>SUFICIENTE</v>
      </c>
      <c r="O952">
        <f t="shared" si="74"/>
        <v>0</v>
      </c>
    </row>
    <row r="953" spans="1:15" x14ac:dyDescent="0.45">
      <c r="A953" t="str">
        <v>CD-MER</v>
      </c>
      <c r="B953" t="str">
        <v>BOT-1000</v>
      </c>
      <c r="C953">
        <v>9510</v>
      </c>
      <c r="D953">
        <v>0</v>
      </c>
      <c r="E953">
        <v>134.19999999999999</v>
      </c>
      <c r="F953">
        <v>2</v>
      </c>
      <c r="G953">
        <v>1.3</v>
      </c>
      <c r="H953" t="str">
        <v>OK</v>
      </c>
      <c r="J953">
        <f t="shared" si="70"/>
        <v>8310.6</v>
      </c>
      <c r="K953">
        <f>SUMIF(Supply_Clean[Item_Code], B953, Supply_Clean[Available_Supply])</f>
        <v>21762</v>
      </c>
      <c r="L953">
        <f t="shared" si="71"/>
        <v>1</v>
      </c>
      <c r="M953">
        <f t="shared" si="72"/>
        <v>0</v>
      </c>
      <c r="N953" t="str">
        <f t="shared" si="73"/>
        <v>SUFICIENTE</v>
      </c>
      <c r="O953">
        <f t="shared" si="74"/>
        <v>0</v>
      </c>
    </row>
    <row r="954" spans="1:15" x14ac:dyDescent="0.45">
      <c r="A954" t="str">
        <v>CD-SAL</v>
      </c>
      <c r="B954" t="str">
        <v>PRO-1007</v>
      </c>
      <c r="C954">
        <v>6682</v>
      </c>
      <c r="D954">
        <v>494.7</v>
      </c>
      <c r="E954">
        <v>280.3</v>
      </c>
      <c r="F954">
        <v>1.7</v>
      </c>
      <c r="G954">
        <v>0.5</v>
      </c>
      <c r="H954" t="str">
        <v>OK</v>
      </c>
      <c r="J954">
        <f t="shared" si="70"/>
        <v>5354.8</v>
      </c>
      <c r="K954">
        <f>SUMIF(Supply_Clean[Item_Code], B954, Supply_Clean[Available_Supply])</f>
        <v>10360</v>
      </c>
      <c r="L954">
        <f t="shared" si="71"/>
        <v>1</v>
      </c>
      <c r="M954">
        <f t="shared" si="72"/>
        <v>494.7</v>
      </c>
      <c r="N954" t="str">
        <f t="shared" si="73"/>
        <v>SUFICIENTE</v>
      </c>
      <c r="O954">
        <f t="shared" si="74"/>
        <v>0</v>
      </c>
    </row>
    <row r="955" spans="1:15" x14ac:dyDescent="0.45">
      <c r="A955" t="str">
        <v>CD-MOR</v>
      </c>
      <c r="B955" t="str">
        <v>ABA-1017</v>
      </c>
      <c r="C955">
        <v>5307</v>
      </c>
      <c r="D955">
        <v>310.89999999999998</v>
      </c>
      <c r="E955">
        <v>44.1</v>
      </c>
      <c r="F955">
        <v>2.1</v>
      </c>
      <c r="G955">
        <v>0.5</v>
      </c>
      <c r="H955" t="str">
        <v>OK</v>
      </c>
      <c r="J955">
        <f t="shared" si="70"/>
        <v>4720.2</v>
      </c>
      <c r="K955">
        <f>SUMIF(Supply_Clean[Item_Code], B955, Supply_Clean[Available_Supply])</f>
        <v>13946</v>
      </c>
      <c r="L955">
        <f t="shared" si="71"/>
        <v>1</v>
      </c>
      <c r="M955">
        <f t="shared" si="72"/>
        <v>310.89999999999998</v>
      </c>
      <c r="N955" t="str">
        <f t="shared" si="73"/>
        <v>SUFICIENTE</v>
      </c>
      <c r="O955">
        <f t="shared" si="74"/>
        <v>0</v>
      </c>
    </row>
    <row r="956" spans="1:15" x14ac:dyDescent="0.45">
      <c r="A956" t="str">
        <v>CD-LEO</v>
      </c>
      <c r="B956" t="str">
        <v>PRO-1007</v>
      </c>
      <c r="C956">
        <v>4536</v>
      </c>
      <c r="D956">
        <v>401.6</v>
      </c>
      <c r="E956">
        <v>198.5</v>
      </c>
      <c r="F956">
        <v>2.2999999999999998</v>
      </c>
      <c r="G956">
        <v>0.6</v>
      </c>
      <c r="H956" t="str">
        <v>OK</v>
      </c>
      <c r="J956">
        <f t="shared" si="70"/>
        <v>5354.8</v>
      </c>
      <c r="K956">
        <f>SUMIF(Supply_Clean[Item_Code], B956, Supply_Clean[Available_Supply])</f>
        <v>10360</v>
      </c>
      <c r="L956">
        <f t="shared" si="71"/>
        <v>1</v>
      </c>
      <c r="M956">
        <f t="shared" si="72"/>
        <v>401.6</v>
      </c>
      <c r="N956" t="str">
        <f t="shared" si="73"/>
        <v>SUFICIENTE</v>
      </c>
      <c r="O956">
        <f t="shared" si="74"/>
        <v>0</v>
      </c>
    </row>
    <row r="957" spans="1:15" x14ac:dyDescent="0.45">
      <c r="A957" t="str">
        <v>CD-CHI</v>
      </c>
      <c r="B957" t="str">
        <v>BEB-1005</v>
      </c>
      <c r="C957">
        <v>10112</v>
      </c>
      <c r="D957">
        <v>636.29999999999995</v>
      </c>
      <c r="E957">
        <v>100.9</v>
      </c>
      <c r="F957">
        <v>4.2</v>
      </c>
      <c r="G957">
        <v>1</v>
      </c>
      <c r="H957" t="str">
        <v>OK</v>
      </c>
      <c r="J957">
        <f t="shared" si="70"/>
        <v>6220.1999999999989</v>
      </c>
      <c r="K957">
        <f>SUMIF(Supply_Clean[Item_Code], B957, Supply_Clean[Available_Supply])</f>
        <v>14054</v>
      </c>
      <c r="L957">
        <f t="shared" si="71"/>
        <v>1</v>
      </c>
      <c r="M957">
        <f t="shared" si="72"/>
        <v>636.29999999999995</v>
      </c>
      <c r="N957" t="str">
        <f t="shared" si="73"/>
        <v>SUFICIENTE</v>
      </c>
      <c r="O957">
        <f t="shared" si="74"/>
        <v>0</v>
      </c>
    </row>
    <row r="958" spans="1:15" x14ac:dyDescent="0.45">
      <c r="A958" t="str">
        <v>CD-VER</v>
      </c>
      <c r="B958" t="str">
        <v>ABA-1018</v>
      </c>
      <c r="C958">
        <v>2128</v>
      </c>
      <c r="D958">
        <v>225.9</v>
      </c>
      <c r="E958">
        <v>26</v>
      </c>
      <c r="F958">
        <v>2</v>
      </c>
      <c r="G958">
        <v>0.9</v>
      </c>
      <c r="H958" t="str">
        <v>OK</v>
      </c>
      <c r="J958">
        <f t="shared" si="70"/>
        <v>4478</v>
      </c>
      <c r="K958">
        <f>SUMIF(Supply_Clean[Item_Code], B958, Supply_Clean[Available_Supply])</f>
        <v>6884</v>
      </c>
      <c r="L958">
        <f t="shared" si="71"/>
        <v>1</v>
      </c>
      <c r="M958">
        <f t="shared" si="72"/>
        <v>225.9</v>
      </c>
      <c r="N958" t="str">
        <f t="shared" si="73"/>
        <v>SUFICIENTE</v>
      </c>
      <c r="O958">
        <f t="shared" si="74"/>
        <v>0</v>
      </c>
    </row>
    <row r="959" spans="1:15" x14ac:dyDescent="0.45">
      <c r="A959" t="str">
        <v>CD-HER</v>
      </c>
      <c r="B959" t="str">
        <v>PRO-1001</v>
      </c>
      <c r="C959">
        <v>1005</v>
      </c>
      <c r="D959">
        <v>465.2</v>
      </c>
      <c r="E959">
        <v>268.89999999999998</v>
      </c>
      <c r="F959">
        <v>3.8</v>
      </c>
      <c r="G959">
        <v>1.2</v>
      </c>
      <c r="H959" t="str">
        <v>OK</v>
      </c>
      <c r="J959">
        <f t="shared" si="70"/>
        <v>6433.2999999999993</v>
      </c>
      <c r="K959">
        <f>SUMIF(Supply_Clean[Item_Code], B959, Supply_Clean[Available_Supply])</f>
        <v>10011</v>
      </c>
      <c r="L959">
        <f t="shared" si="71"/>
        <v>1</v>
      </c>
      <c r="M959">
        <f t="shared" si="72"/>
        <v>465.2</v>
      </c>
      <c r="N959" t="str">
        <f t="shared" si="73"/>
        <v>SUFICIENTE</v>
      </c>
      <c r="O959">
        <f t="shared" si="74"/>
        <v>0</v>
      </c>
    </row>
    <row r="960" spans="1:15" x14ac:dyDescent="0.45">
      <c r="A960" t="str">
        <v>CD-HER</v>
      </c>
      <c r="B960" t="str">
        <v>BEB-1011</v>
      </c>
      <c r="C960">
        <v>1905</v>
      </c>
      <c r="D960">
        <v>234</v>
      </c>
      <c r="E960">
        <v>43.1</v>
      </c>
      <c r="F960">
        <v>2.7</v>
      </c>
      <c r="G960">
        <v>1.2</v>
      </c>
      <c r="H960" t="str">
        <v>OK</v>
      </c>
      <c r="J960">
        <f t="shared" si="70"/>
        <v>5454.4999999999991</v>
      </c>
      <c r="K960">
        <f>SUMIF(Supply_Clean[Item_Code], B960, Supply_Clean[Available_Supply])</f>
        <v>13720</v>
      </c>
      <c r="L960">
        <f t="shared" si="71"/>
        <v>1</v>
      </c>
      <c r="M960">
        <f t="shared" si="72"/>
        <v>234</v>
      </c>
      <c r="N960" t="str">
        <f t="shared" si="73"/>
        <v>SUFICIENTE</v>
      </c>
      <c r="O960">
        <f t="shared" si="74"/>
        <v>0</v>
      </c>
    </row>
    <row r="961" spans="1:15" x14ac:dyDescent="0.45">
      <c r="A961" t="str">
        <v>CD-MOR</v>
      </c>
      <c r="B961" t="str">
        <v>ABA-1007</v>
      </c>
      <c r="C961">
        <v>2111</v>
      </c>
      <c r="D961">
        <v>391.8</v>
      </c>
      <c r="E961">
        <v>37.5</v>
      </c>
      <c r="F961">
        <v>1.8</v>
      </c>
      <c r="G961">
        <v>0.5</v>
      </c>
      <c r="H961" t="str">
        <v>OK</v>
      </c>
      <c r="J961">
        <f t="shared" si="70"/>
        <v>4867.3</v>
      </c>
      <c r="K961">
        <f>SUMIF(Supply_Clean[Item_Code], B961, Supply_Clean[Available_Supply])</f>
        <v>13182</v>
      </c>
      <c r="L961">
        <f t="shared" si="71"/>
        <v>1</v>
      </c>
      <c r="M961">
        <f t="shared" si="72"/>
        <v>391.8</v>
      </c>
      <c r="N961" t="str">
        <f t="shared" si="73"/>
        <v>SUFICIENTE</v>
      </c>
      <c r="O961">
        <f t="shared" si="74"/>
        <v>0</v>
      </c>
    </row>
    <row r="962" spans="1:15" x14ac:dyDescent="0.45">
      <c r="A962" t="str">
        <v>CD-CDMX</v>
      </c>
      <c r="B962" t="str">
        <v>LAC-1009</v>
      </c>
      <c r="C962">
        <v>1657</v>
      </c>
      <c r="D962">
        <v>349.1</v>
      </c>
      <c r="E962">
        <v>136.30000000000001</v>
      </c>
      <c r="F962">
        <v>1.3</v>
      </c>
      <c r="G962">
        <v>0.2</v>
      </c>
      <c r="H962" t="str">
        <v>OK</v>
      </c>
      <c r="J962">
        <f t="shared" si="70"/>
        <v>4163.3999999999996</v>
      </c>
      <c r="K962">
        <f>SUMIF(Supply_Clean[Item_Code], B962, Supply_Clean[Available_Supply])</f>
        <v>6523</v>
      </c>
      <c r="L962">
        <f t="shared" si="71"/>
        <v>1</v>
      </c>
      <c r="M962">
        <f t="shared" si="72"/>
        <v>349.1</v>
      </c>
      <c r="N962" t="str">
        <f t="shared" si="73"/>
        <v>SUFICIENTE</v>
      </c>
      <c r="O962">
        <f t="shared" si="74"/>
        <v>0</v>
      </c>
    </row>
    <row r="963" spans="1:15" x14ac:dyDescent="0.45">
      <c r="A963" t="str">
        <v>CD-VER</v>
      </c>
      <c r="B963" t="str">
        <v>BOT-1009</v>
      </c>
      <c r="C963">
        <v>1444</v>
      </c>
      <c r="D963">
        <v>682.1</v>
      </c>
      <c r="E963">
        <v>153.9</v>
      </c>
      <c r="F963">
        <v>3.9</v>
      </c>
      <c r="G963">
        <v>0.9</v>
      </c>
      <c r="H963" t="str">
        <v>OK</v>
      </c>
      <c r="J963">
        <f t="shared" ref="J963:J1026" si="75">SUMIF($B$2:$B$1501, B963, $D$2:$D$1501)</f>
        <v>8135.5</v>
      </c>
      <c r="K963">
        <f>SUMIF(Supply_Clean[Item_Code], B963, Supply_Clean[Available_Supply])</f>
        <v>17475</v>
      </c>
      <c r="L963">
        <f t="shared" ref="L963:L1026" si="76">IFERROR(MIN(1, K963/J963), "")</f>
        <v>1</v>
      </c>
      <c r="M963">
        <f t="shared" ref="M963:M1026" si="77">IFERROR(D963*L963, "")</f>
        <v>682.1</v>
      </c>
      <c r="N963" t="str">
        <f t="shared" ref="N963:N1026" si="78">IF(L963&lt;1, "ESCASEZ", "SUFICIENTE")</f>
        <v>SUFICIENTE</v>
      </c>
      <c r="O963">
        <f t="shared" ref="O963:O1026" si="79">IF(N963="ESCASEZ", D963-M963, 0)</f>
        <v>0</v>
      </c>
    </row>
    <row r="964" spans="1:15" x14ac:dyDescent="0.45">
      <c r="A964" t="str">
        <v>CD-MOR</v>
      </c>
      <c r="B964" t="str">
        <v>BEB-1017</v>
      </c>
      <c r="C964">
        <v>5260</v>
      </c>
      <c r="D964">
        <v>423.8</v>
      </c>
      <c r="E964">
        <v>69.7</v>
      </c>
      <c r="F964">
        <v>2.4</v>
      </c>
      <c r="G964">
        <v>0.5</v>
      </c>
      <c r="H964" t="str">
        <v>OK</v>
      </c>
      <c r="J964">
        <f t="shared" si="75"/>
        <v>6231.7000000000007</v>
      </c>
      <c r="K964">
        <f>SUMIF(Supply_Clean[Item_Code], B964, Supply_Clean[Available_Supply])</f>
        <v>18257</v>
      </c>
      <c r="L964">
        <f t="shared" si="76"/>
        <v>1</v>
      </c>
      <c r="M964">
        <f t="shared" si="77"/>
        <v>423.8</v>
      </c>
      <c r="N964" t="str">
        <f t="shared" si="78"/>
        <v>SUFICIENTE</v>
      </c>
      <c r="O964">
        <f t="shared" si="79"/>
        <v>0</v>
      </c>
    </row>
    <row r="965" spans="1:15" x14ac:dyDescent="0.45">
      <c r="A965" t="str">
        <v>CD-TIJ</v>
      </c>
      <c r="B965" t="str">
        <v>BOT-1002</v>
      </c>
      <c r="C965">
        <v>1096</v>
      </c>
      <c r="D965">
        <v>346.2</v>
      </c>
      <c r="E965">
        <v>93.2</v>
      </c>
      <c r="F965">
        <v>4.7</v>
      </c>
      <c r="G965">
        <v>1.5</v>
      </c>
      <c r="H965" t="str">
        <v>OK</v>
      </c>
      <c r="J965">
        <f t="shared" si="75"/>
        <v>8527</v>
      </c>
      <c r="K965">
        <f>SUMIF(Supply_Clean[Item_Code], B965, Supply_Clean[Available_Supply])</f>
        <v>25048</v>
      </c>
      <c r="L965">
        <f t="shared" si="76"/>
        <v>1</v>
      </c>
      <c r="M965">
        <f t="shared" si="77"/>
        <v>346.2</v>
      </c>
      <c r="N965" t="str">
        <f t="shared" si="78"/>
        <v>SUFICIENTE</v>
      </c>
      <c r="O965">
        <f t="shared" si="79"/>
        <v>0</v>
      </c>
    </row>
    <row r="966" spans="1:15" x14ac:dyDescent="0.45">
      <c r="A966" t="str">
        <v>CD-PUE</v>
      </c>
      <c r="B966" t="str">
        <v>LAC-1016</v>
      </c>
      <c r="C966">
        <v>3412</v>
      </c>
      <c r="D966">
        <v>351.3</v>
      </c>
      <c r="E966">
        <v>102.5</v>
      </c>
      <c r="F966">
        <v>1</v>
      </c>
      <c r="G966">
        <v>0.3</v>
      </c>
      <c r="H966" t="str">
        <v>OK</v>
      </c>
      <c r="J966">
        <f t="shared" si="75"/>
        <v>4542.5</v>
      </c>
      <c r="K966">
        <f>SUMIF(Supply_Clean[Item_Code], B966, Supply_Clean[Available_Supply])</f>
        <v>12760</v>
      </c>
      <c r="L966">
        <f t="shared" si="76"/>
        <v>1</v>
      </c>
      <c r="M966">
        <f t="shared" si="77"/>
        <v>351.3</v>
      </c>
      <c r="N966" t="str">
        <f t="shared" si="78"/>
        <v>SUFICIENTE</v>
      </c>
      <c r="O966">
        <f t="shared" si="79"/>
        <v>0</v>
      </c>
    </row>
    <row r="967" spans="1:15" x14ac:dyDescent="0.45">
      <c r="A967" t="str">
        <v>CD-SAL</v>
      </c>
      <c r="B967" t="str">
        <v>BOT-1011</v>
      </c>
      <c r="C967">
        <v>13235</v>
      </c>
      <c r="D967">
        <v>853.2</v>
      </c>
      <c r="E967">
        <v>238.3</v>
      </c>
      <c r="F967">
        <v>1.9</v>
      </c>
      <c r="G967">
        <v>0.5</v>
      </c>
      <c r="H967" t="str">
        <v>OK</v>
      </c>
      <c r="J967">
        <f t="shared" si="75"/>
        <v>9886.2999999999993</v>
      </c>
      <c r="K967">
        <f>SUMIF(Supply_Clean[Item_Code], B967, Supply_Clean[Available_Supply])</f>
        <v>19886</v>
      </c>
      <c r="L967">
        <f t="shared" si="76"/>
        <v>1</v>
      </c>
      <c r="M967">
        <f t="shared" si="77"/>
        <v>853.2</v>
      </c>
      <c r="N967" t="str">
        <f t="shared" si="78"/>
        <v>SUFICIENTE</v>
      </c>
      <c r="O967">
        <f t="shared" si="79"/>
        <v>0</v>
      </c>
    </row>
    <row r="968" spans="1:15" x14ac:dyDescent="0.45">
      <c r="A968" t="str">
        <v>CD-MTY</v>
      </c>
      <c r="B968" t="str">
        <v>LAC-1017</v>
      </c>
      <c r="C968">
        <v>0</v>
      </c>
      <c r="D968">
        <v>229.5</v>
      </c>
      <c r="E968">
        <v>84.6</v>
      </c>
      <c r="F968">
        <v>0.8</v>
      </c>
      <c r="G968">
        <v>0.3</v>
      </c>
      <c r="H968">
        <v>0</v>
      </c>
      <c r="J968">
        <f t="shared" si="75"/>
        <v>4246.3999999999996</v>
      </c>
      <c r="K968">
        <f>SUMIF(Supply_Clean[Item_Code], B968, Supply_Clean[Available_Supply])</f>
        <v>12824</v>
      </c>
      <c r="L968">
        <f t="shared" si="76"/>
        <v>1</v>
      </c>
      <c r="M968">
        <f t="shared" si="77"/>
        <v>229.5</v>
      </c>
      <c r="N968" t="str">
        <f t="shared" si="78"/>
        <v>SUFICIENTE</v>
      </c>
      <c r="O968">
        <f t="shared" si="79"/>
        <v>0</v>
      </c>
    </row>
    <row r="969" spans="1:15" x14ac:dyDescent="0.45">
      <c r="A969" t="str">
        <v>CD-SAL</v>
      </c>
      <c r="B969" t="str">
        <v>PRO-1002</v>
      </c>
      <c r="C969">
        <v>1992</v>
      </c>
      <c r="D969">
        <v>134.4</v>
      </c>
      <c r="E969">
        <v>82.3</v>
      </c>
      <c r="F969">
        <v>2.2000000000000002</v>
      </c>
      <c r="G969">
        <v>0.5</v>
      </c>
      <c r="H969" t="str">
        <v>OK</v>
      </c>
      <c r="J969">
        <f t="shared" si="75"/>
        <v>6123.6999999999989</v>
      </c>
      <c r="K969">
        <f>SUMIF(Supply_Clean[Item_Code], B969, Supply_Clean[Available_Supply])</f>
        <v>17616</v>
      </c>
      <c r="L969">
        <f t="shared" si="76"/>
        <v>1</v>
      </c>
      <c r="M969">
        <f t="shared" si="77"/>
        <v>134.4</v>
      </c>
      <c r="N969" t="str">
        <f t="shared" si="78"/>
        <v>SUFICIENTE</v>
      </c>
      <c r="O969">
        <f t="shared" si="79"/>
        <v>0</v>
      </c>
    </row>
    <row r="970" spans="1:15" x14ac:dyDescent="0.45">
      <c r="A970" t="str">
        <v>CD-CHI</v>
      </c>
      <c r="B970" t="str">
        <v>ABA-1005</v>
      </c>
      <c r="C970">
        <v>2921</v>
      </c>
      <c r="D970">
        <v>301.10000000000002</v>
      </c>
      <c r="E970">
        <v>32.9</v>
      </c>
      <c r="F970">
        <v>2.7</v>
      </c>
      <c r="G970">
        <v>1</v>
      </c>
      <c r="H970" t="str">
        <v>OK</v>
      </c>
      <c r="J970">
        <f t="shared" si="75"/>
        <v>5173.5999999999995</v>
      </c>
      <c r="K970">
        <f>SUMIF(Supply_Clean[Item_Code], B970, Supply_Clean[Available_Supply])</f>
        <v>15028</v>
      </c>
      <c r="L970">
        <f t="shared" si="76"/>
        <v>1</v>
      </c>
      <c r="M970">
        <f t="shared" si="77"/>
        <v>301.10000000000002</v>
      </c>
      <c r="N970" t="str">
        <f t="shared" si="78"/>
        <v>SUFICIENTE</v>
      </c>
      <c r="O970">
        <f t="shared" si="79"/>
        <v>0</v>
      </c>
    </row>
    <row r="971" spans="1:15" x14ac:dyDescent="0.45">
      <c r="A971" t="str">
        <v>CD-MER</v>
      </c>
      <c r="B971" t="str">
        <v>PRO-1013</v>
      </c>
      <c r="C971">
        <v>7603</v>
      </c>
      <c r="D971">
        <v>544.20000000000005</v>
      </c>
      <c r="E971">
        <v>218.6</v>
      </c>
      <c r="F971">
        <v>5</v>
      </c>
      <c r="G971">
        <v>1.3</v>
      </c>
      <c r="H971" t="str">
        <v>OK</v>
      </c>
      <c r="J971">
        <f t="shared" si="75"/>
        <v>7113.8</v>
      </c>
      <c r="K971">
        <f>SUMIF(Supply_Clean[Item_Code], B971, Supply_Clean[Available_Supply])</f>
        <v>15134</v>
      </c>
      <c r="L971">
        <f t="shared" si="76"/>
        <v>1</v>
      </c>
      <c r="M971">
        <f t="shared" si="77"/>
        <v>544.20000000000005</v>
      </c>
      <c r="N971" t="str">
        <f t="shared" si="78"/>
        <v>SUFICIENTE</v>
      </c>
      <c r="O971">
        <f t="shared" si="79"/>
        <v>0</v>
      </c>
    </row>
    <row r="972" spans="1:15" x14ac:dyDescent="0.45">
      <c r="A972" t="str">
        <v>CD-VER</v>
      </c>
      <c r="B972" t="str">
        <v>ABA-1007</v>
      </c>
      <c r="C972">
        <v>1469</v>
      </c>
      <c r="D972">
        <v>283.39999999999998</v>
      </c>
      <c r="E972">
        <v>24.1</v>
      </c>
      <c r="F972">
        <v>4.0999999999999996</v>
      </c>
      <c r="G972">
        <v>0.9</v>
      </c>
      <c r="H972" t="str">
        <v>OK</v>
      </c>
      <c r="J972">
        <f t="shared" si="75"/>
        <v>4867.3</v>
      </c>
      <c r="K972">
        <f>SUMIF(Supply_Clean[Item_Code], B972, Supply_Clean[Available_Supply])</f>
        <v>13182</v>
      </c>
      <c r="L972">
        <f t="shared" si="76"/>
        <v>1</v>
      </c>
      <c r="M972">
        <f t="shared" si="77"/>
        <v>283.39999999999998</v>
      </c>
      <c r="N972" t="str">
        <f t="shared" si="78"/>
        <v>SUFICIENTE</v>
      </c>
      <c r="O972">
        <f t="shared" si="79"/>
        <v>0</v>
      </c>
    </row>
    <row r="973" spans="1:15" x14ac:dyDescent="0.45">
      <c r="A973" t="str">
        <v>CD-HER</v>
      </c>
      <c r="B973" t="str">
        <v>BEB-1006</v>
      </c>
      <c r="C973">
        <v>1799</v>
      </c>
      <c r="D973">
        <v>556.70000000000005</v>
      </c>
      <c r="E973">
        <v>70.7</v>
      </c>
      <c r="F973">
        <v>4</v>
      </c>
      <c r="G973">
        <v>1.2</v>
      </c>
      <c r="H973" t="str">
        <v>OK</v>
      </c>
      <c r="J973">
        <f t="shared" si="75"/>
        <v>5154.2000000000016</v>
      </c>
      <c r="K973">
        <f>SUMIF(Supply_Clean[Item_Code], B973, Supply_Clean[Available_Supply])</f>
        <v>12324</v>
      </c>
      <c r="L973">
        <f t="shared" si="76"/>
        <v>1</v>
      </c>
      <c r="M973">
        <f t="shared" si="77"/>
        <v>556.70000000000005</v>
      </c>
      <c r="N973" t="str">
        <f t="shared" si="78"/>
        <v>SUFICIENTE</v>
      </c>
      <c r="O973">
        <f t="shared" si="79"/>
        <v>0</v>
      </c>
    </row>
    <row r="974" spans="1:15" x14ac:dyDescent="0.45">
      <c r="A974" t="str">
        <v>CD-MTY</v>
      </c>
      <c r="B974" t="str">
        <v>PRO-1005</v>
      </c>
      <c r="C974">
        <v>633</v>
      </c>
      <c r="D974">
        <v>423.3</v>
      </c>
      <c r="E974">
        <v>228</v>
      </c>
      <c r="F974">
        <v>0.8</v>
      </c>
      <c r="G974">
        <v>0.3</v>
      </c>
      <c r="H974" t="str">
        <v>OK</v>
      </c>
      <c r="J974">
        <f t="shared" si="75"/>
        <v>4399.3</v>
      </c>
      <c r="K974">
        <f>SUMIF(Supply_Clean[Item_Code], B974, Supply_Clean[Available_Supply])</f>
        <v>8407</v>
      </c>
      <c r="L974">
        <f t="shared" si="76"/>
        <v>1</v>
      </c>
      <c r="M974">
        <f t="shared" si="77"/>
        <v>423.3</v>
      </c>
      <c r="N974" t="str">
        <f t="shared" si="78"/>
        <v>SUFICIENTE</v>
      </c>
      <c r="O974">
        <f t="shared" si="79"/>
        <v>0</v>
      </c>
    </row>
    <row r="975" spans="1:15" x14ac:dyDescent="0.45">
      <c r="A975" t="str">
        <v>CD-VER</v>
      </c>
      <c r="B975" t="str">
        <v>LAC-1001</v>
      </c>
      <c r="C975">
        <v>1306</v>
      </c>
      <c r="D975">
        <v>202.1</v>
      </c>
      <c r="E975">
        <v>61.9</v>
      </c>
      <c r="F975">
        <v>2.7</v>
      </c>
      <c r="G975">
        <v>0.9</v>
      </c>
      <c r="H975" t="str">
        <v>OK</v>
      </c>
      <c r="J975">
        <f t="shared" si="75"/>
        <v>3660.9999999999991</v>
      </c>
      <c r="K975">
        <f>SUMIF(Supply_Clean[Item_Code], B975, Supply_Clean[Available_Supply])</f>
        <v>9945</v>
      </c>
      <c r="L975">
        <f t="shared" si="76"/>
        <v>1</v>
      </c>
      <c r="M975">
        <f t="shared" si="77"/>
        <v>202.1</v>
      </c>
      <c r="N975" t="str">
        <f t="shared" si="78"/>
        <v>SUFICIENTE</v>
      </c>
      <c r="O975">
        <f t="shared" si="79"/>
        <v>0</v>
      </c>
    </row>
    <row r="976" spans="1:15" x14ac:dyDescent="0.45">
      <c r="A976" t="str">
        <v>CD-MER</v>
      </c>
      <c r="B976" t="str">
        <v>BEB-1012</v>
      </c>
      <c r="C976">
        <v>4489</v>
      </c>
      <c r="D976">
        <v>257.7</v>
      </c>
      <c r="E976">
        <v>38.299999999999997</v>
      </c>
      <c r="F976">
        <v>2.2000000000000002</v>
      </c>
      <c r="G976">
        <v>1.3</v>
      </c>
      <c r="H976" t="str">
        <v>OK</v>
      </c>
      <c r="J976">
        <f t="shared" si="75"/>
        <v>5740.7</v>
      </c>
      <c r="K976">
        <f>SUMIF(Supply_Clean[Item_Code], B976, Supply_Clean[Available_Supply])</f>
        <v>12491</v>
      </c>
      <c r="L976">
        <f t="shared" si="76"/>
        <v>1</v>
      </c>
      <c r="M976">
        <f t="shared" si="77"/>
        <v>257.7</v>
      </c>
      <c r="N976" t="str">
        <f t="shared" si="78"/>
        <v>SUFICIENTE</v>
      </c>
      <c r="O976">
        <f t="shared" si="79"/>
        <v>0</v>
      </c>
    </row>
    <row r="977" spans="1:15" x14ac:dyDescent="0.45">
      <c r="A977" t="str">
        <v>CD-GDL</v>
      </c>
      <c r="B977" t="str">
        <v>PRO-1005</v>
      </c>
      <c r="C977">
        <v>6872</v>
      </c>
      <c r="D977">
        <v>393.9</v>
      </c>
      <c r="E977">
        <v>210.4</v>
      </c>
      <c r="F977">
        <v>1</v>
      </c>
      <c r="G977">
        <v>0.2</v>
      </c>
      <c r="H977" t="str">
        <v>OK</v>
      </c>
      <c r="J977">
        <f t="shared" si="75"/>
        <v>4399.3</v>
      </c>
      <c r="K977">
        <f>SUMIF(Supply_Clean[Item_Code], B977, Supply_Clean[Available_Supply])</f>
        <v>8407</v>
      </c>
      <c r="L977">
        <f t="shared" si="76"/>
        <v>1</v>
      </c>
      <c r="M977">
        <f t="shared" si="77"/>
        <v>393.9</v>
      </c>
      <c r="N977" t="str">
        <f t="shared" si="78"/>
        <v>SUFICIENTE</v>
      </c>
      <c r="O977">
        <f t="shared" si="79"/>
        <v>0</v>
      </c>
    </row>
    <row r="978" spans="1:15" x14ac:dyDescent="0.45">
      <c r="A978" t="str">
        <v>CD-MOR</v>
      </c>
      <c r="B978" t="str">
        <v>PRO-1005</v>
      </c>
      <c r="C978">
        <v>1688</v>
      </c>
      <c r="D978">
        <v>158.5</v>
      </c>
      <c r="E978">
        <v>86.5</v>
      </c>
      <c r="F978">
        <v>0.8</v>
      </c>
      <c r="G978">
        <v>0.5</v>
      </c>
      <c r="H978" t="str">
        <v>OK</v>
      </c>
      <c r="J978">
        <f t="shared" si="75"/>
        <v>4399.3</v>
      </c>
      <c r="K978">
        <f>SUMIF(Supply_Clean[Item_Code], B978, Supply_Clean[Available_Supply])</f>
        <v>8407</v>
      </c>
      <c r="L978">
        <f t="shared" si="76"/>
        <v>1</v>
      </c>
      <c r="M978">
        <f t="shared" si="77"/>
        <v>158.5</v>
      </c>
      <c r="N978" t="str">
        <f t="shared" si="78"/>
        <v>SUFICIENTE</v>
      </c>
      <c r="O978">
        <f t="shared" si="79"/>
        <v>0</v>
      </c>
    </row>
    <row r="979" spans="1:15" x14ac:dyDescent="0.45">
      <c r="A979" t="str">
        <v>CD-MTY</v>
      </c>
      <c r="B979" t="str">
        <v>ABA-1018</v>
      </c>
      <c r="C979">
        <v>5295</v>
      </c>
      <c r="D979">
        <v>310.8</v>
      </c>
      <c r="E979">
        <v>44.6</v>
      </c>
      <c r="F979">
        <v>0.7</v>
      </c>
      <c r="G979">
        <v>0.3</v>
      </c>
      <c r="H979" t="str">
        <v>OK</v>
      </c>
      <c r="J979">
        <f t="shared" si="75"/>
        <v>4478</v>
      </c>
      <c r="K979">
        <f>SUMIF(Supply_Clean[Item_Code], B979, Supply_Clean[Available_Supply])</f>
        <v>6884</v>
      </c>
      <c r="L979">
        <f t="shared" si="76"/>
        <v>1</v>
      </c>
      <c r="M979">
        <f t="shared" si="77"/>
        <v>310.8</v>
      </c>
      <c r="N979" t="str">
        <f t="shared" si="78"/>
        <v>SUFICIENTE</v>
      </c>
      <c r="O979">
        <f t="shared" si="79"/>
        <v>0</v>
      </c>
    </row>
    <row r="980" spans="1:15" x14ac:dyDescent="0.45">
      <c r="A980" t="str">
        <v>CD-CAN</v>
      </c>
      <c r="B980" t="str">
        <v>BEB-1019</v>
      </c>
      <c r="C980">
        <v>3897</v>
      </c>
      <c r="D980">
        <v>431.5</v>
      </c>
      <c r="E980">
        <v>67.7</v>
      </c>
      <c r="F980">
        <v>3.5</v>
      </c>
      <c r="G980">
        <v>1.6</v>
      </c>
      <c r="H980" t="str">
        <v>OK</v>
      </c>
      <c r="J980">
        <f t="shared" si="75"/>
        <v>5453.6</v>
      </c>
      <c r="K980">
        <f>SUMIF(Supply_Clean[Item_Code], B980, Supply_Clean[Available_Supply])</f>
        <v>15099</v>
      </c>
      <c r="L980">
        <f t="shared" si="76"/>
        <v>1</v>
      </c>
      <c r="M980">
        <f t="shared" si="77"/>
        <v>431.5</v>
      </c>
      <c r="N980" t="str">
        <f t="shared" si="78"/>
        <v>SUFICIENTE</v>
      </c>
      <c r="O980">
        <f t="shared" si="79"/>
        <v>0</v>
      </c>
    </row>
    <row r="981" spans="1:15" x14ac:dyDescent="0.45">
      <c r="A981" t="str">
        <v>CD-SAL</v>
      </c>
      <c r="B981" t="str">
        <v>LAC-1013</v>
      </c>
      <c r="C981">
        <v>2388</v>
      </c>
      <c r="D981">
        <v>236</v>
      </c>
      <c r="E981">
        <v>98.3</v>
      </c>
      <c r="F981">
        <v>1.6</v>
      </c>
      <c r="G981">
        <v>0.5</v>
      </c>
      <c r="H981" t="str">
        <v>OK</v>
      </c>
      <c r="J981">
        <f t="shared" si="75"/>
        <v>3650.7</v>
      </c>
      <c r="K981">
        <f>SUMIF(Supply_Clean[Item_Code], B981, Supply_Clean[Available_Supply])</f>
        <v>12026</v>
      </c>
      <c r="L981">
        <f t="shared" si="76"/>
        <v>1</v>
      </c>
      <c r="M981">
        <f t="shared" si="77"/>
        <v>236</v>
      </c>
      <c r="N981" t="str">
        <f t="shared" si="78"/>
        <v>SUFICIENTE</v>
      </c>
      <c r="O981">
        <f t="shared" si="79"/>
        <v>0</v>
      </c>
    </row>
    <row r="982" spans="1:15" x14ac:dyDescent="0.45">
      <c r="A982" t="str">
        <v>CD-VER</v>
      </c>
      <c r="B982" t="str">
        <v>BOT-1015</v>
      </c>
      <c r="C982">
        <v>4743</v>
      </c>
      <c r="D982">
        <v>0</v>
      </c>
      <c r="E982">
        <v>137.5</v>
      </c>
      <c r="F982">
        <v>3.3</v>
      </c>
      <c r="G982">
        <v>0.9</v>
      </c>
      <c r="H982" t="str">
        <v>OK</v>
      </c>
      <c r="J982">
        <f t="shared" si="75"/>
        <v>8666.4</v>
      </c>
      <c r="K982">
        <f>SUMIF(Supply_Clean[Item_Code], B982, Supply_Clean[Available_Supply])</f>
        <v>5719</v>
      </c>
      <c r="L982">
        <f t="shared" si="76"/>
        <v>0.65990492015138935</v>
      </c>
      <c r="M982">
        <f t="shared" si="77"/>
        <v>0</v>
      </c>
      <c r="N982" t="str">
        <f t="shared" si="78"/>
        <v>ESCASEZ</v>
      </c>
      <c r="O982">
        <f t="shared" si="79"/>
        <v>0</v>
      </c>
    </row>
    <row r="983" spans="1:15" x14ac:dyDescent="0.45">
      <c r="A983" t="str">
        <v>CD-PUE</v>
      </c>
      <c r="B983" t="str">
        <v>LAC-1005</v>
      </c>
      <c r="C983">
        <v>2343</v>
      </c>
      <c r="D983">
        <v>262.10000000000002</v>
      </c>
      <c r="E983">
        <v>96.8</v>
      </c>
      <c r="F983">
        <v>1.5</v>
      </c>
      <c r="G983">
        <v>0.3</v>
      </c>
      <c r="H983" t="str">
        <v>OK</v>
      </c>
      <c r="J983">
        <f t="shared" si="75"/>
        <v>3868.9</v>
      </c>
      <c r="K983">
        <f>SUMIF(Supply_Clean[Item_Code], B983, Supply_Clean[Available_Supply])</f>
        <v>9953</v>
      </c>
      <c r="L983">
        <f t="shared" si="76"/>
        <v>1</v>
      </c>
      <c r="M983">
        <f t="shared" si="77"/>
        <v>262.10000000000002</v>
      </c>
      <c r="N983" t="str">
        <f t="shared" si="78"/>
        <v>SUFICIENTE</v>
      </c>
      <c r="O983">
        <f t="shared" si="79"/>
        <v>0</v>
      </c>
    </row>
    <row r="984" spans="1:15" x14ac:dyDescent="0.45">
      <c r="A984" t="str">
        <v>CD-MOR</v>
      </c>
      <c r="B984" t="str">
        <v>PRO-1011</v>
      </c>
      <c r="C984">
        <v>906</v>
      </c>
      <c r="D984">
        <v>0</v>
      </c>
      <c r="E984">
        <v>92.7</v>
      </c>
      <c r="F984">
        <v>2.2999999999999998</v>
      </c>
      <c r="G984">
        <v>0.5</v>
      </c>
      <c r="H984" t="str">
        <v>OK</v>
      </c>
      <c r="J984">
        <f t="shared" si="75"/>
        <v>5674.6999999999989</v>
      </c>
      <c r="K984">
        <f>SUMIF(Supply_Clean[Item_Code], B984, Supply_Clean[Available_Supply])</f>
        <v>14178</v>
      </c>
      <c r="L984">
        <f t="shared" si="76"/>
        <v>1</v>
      </c>
      <c r="M984">
        <f t="shared" si="77"/>
        <v>0</v>
      </c>
      <c r="N984" t="str">
        <f t="shared" si="78"/>
        <v>SUFICIENTE</v>
      </c>
      <c r="O984">
        <f t="shared" si="79"/>
        <v>0</v>
      </c>
    </row>
    <row r="985" spans="1:15" x14ac:dyDescent="0.45">
      <c r="A985" t="str">
        <v>CD-CDMX</v>
      </c>
      <c r="B985" t="str">
        <v>ABA-1014</v>
      </c>
      <c r="C985">
        <v>2175</v>
      </c>
      <c r="D985">
        <v>0</v>
      </c>
      <c r="E985">
        <v>50.2</v>
      </c>
      <c r="F985">
        <v>0.7</v>
      </c>
      <c r="G985">
        <v>0.2</v>
      </c>
      <c r="H985" t="str">
        <v>OK</v>
      </c>
      <c r="J985">
        <f t="shared" si="75"/>
        <v>4779.0000000000009</v>
      </c>
      <c r="K985">
        <f>SUMIF(Supply_Clean[Item_Code], B985, Supply_Clean[Available_Supply])</f>
        <v>14629</v>
      </c>
      <c r="L985">
        <f t="shared" si="76"/>
        <v>1</v>
      </c>
      <c r="M985">
        <f t="shared" si="77"/>
        <v>0</v>
      </c>
      <c r="N985" t="str">
        <f t="shared" si="78"/>
        <v>SUFICIENTE</v>
      </c>
      <c r="O985">
        <f t="shared" si="79"/>
        <v>0</v>
      </c>
    </row>
    <row r="986" spans="1:15" x14ac:dyDescent="0.45">
      <c r="A986" t="str">
        <v>CD-PUE</v>
      </c>
      <c r="B986" t="str">
        <v>BEB-1008</v>
      </c>
      <c r="C986">
        <v>10058</v>
      </c>
      <c r="D986">
        <v>680.9</v>
      </c>
      <c r="E986">
        <v>134</v>
      </c>
      <c r="F986">
        <v>0.5</v>
      </c>
      <c r="G986">
        <v>0.3</v>
      </c>
      <c r="H986" t="str">
        <v>OK</v>
      </c>
      <c r="J986">
        <f t="shared" si="75"/>
        <v>6156.9999999999991</v>
      </c>
      <c r="K986">
        <f>SUMIF(Supply_Clean[Item_Code], B986, Supply_Clean[Available_Supply])</f>
        <v>18019</v>
      </c>
      <c r="L986">
        <f t="shared" si="76"/>
        <v>1</v>
      </c>
      <c r="M986">
        <f t="shared" si="77"/>
        <v>680.9</v>
      </c>
      <c r="N986" t="str">
        <f t="shared" si="78"/>
        <v>SUFICIENTE</v>
      </c>
      <c r="O986">
        <f t="shared" si="79"/>
        <v>0</v>
      </c>
    </row>
    <row r="987" spans="1:15" x14ac:dyDescent="0.45">
      <c r="A987" t="str">
        <v>CD-MOR</v>
      </c>
      <c r="B987" t="str">
        <v>BOT-1008</v>
      </c>
      <c r="C987">
        <v>6756</v>
      </c>
      <c r="D987">
        <v>743.3</v>
      </c>
      <c r="E987">
        <v>165.6</v>
      </c>
      <c r="F987">
        <v>1.7</v>
      </c>
      <c r="G987">
        <v>0.5</v>
      </c>
      <c r="H987" t="str">
        <v>OK</v>
      </c>
      <c r="J987">
        <f t="shared" si="75"/>
        <v>7758.6</v>
      </c>
      <c r="K987">
        <f>SUMIF(Supply_Clean[Item_Code], B987, Supply_Clean[Available_Supply])</f>
        <v>25288</v>
      </c>
      <c r="L987">
        <f t="shared" si="76"/>
        <v>1</v>
      </c>
      <c r="M987">
        <f t="shared" si="77"/>
        <v>743.3</v>
      </c>
      <c r="N987" t="str">
        <f t="shared" si="78"/>
        <v>SUFICIENTE</v>
      </c>
      <c r="O987">
        <f t="shared" si="79"/>
        <v>0</v>
      </c>
    </row>
    <row r="988" spans="1:15" x14ac:dyDescent="0.45">
      <c r="A988" t="str">
        <v>CD-CDMX</v>
      </c>
      <c r="B988" t="str">
        <v>BEB-1019</v>
      </c>
      <c r="C988">
        <v>5673</v>
      </c>
      <c r="D988">
        <v>329.4</v>
      </c>
      <c r="E988">
        <v>35.4</v>
      </c>
      <c r="F988">
        <v>0.7</v>
      </c>
      <c r="G988">
        <v>0.2</v>
      </c>
      <c r="H988" t="str">
        <v>OK</v>
      </c>
      <c r="J988">
        <f t="shared" si="75"/>
        <v>5453.6</v>
      </c>
      <c r="K988">
        <f>SUMIF(Supply_Clean[Item_Code], B988, Supply_Clean[Available_Supply])</f>
        <v>15099</v>
      </c>
      <c r="L988">
        <f t="shared" si="76"/>
        <v>1</v>
      </c>
      <c r="M988">
        <f t="shared" si="77"/>
        <v>329.4</v>
      </c>
      <c r="N988" t="str">
        <f t="shared" si="78"/>
        <v>SUFICIENTE</v>
      </c>
      <c r="O988">
        <f t="shared" si="79"/>
        <v>0</v>
      </c>
    </row>
    <row r="989" spans="1:15" x14ac:dyDescent="0.45">
      <c r="A989" t="str">
        <v>CD-GDL</v>
      </c>
      <c r="B989" t="str">
        <v>LAC-1017</v>
      </c>
      <c r="C989">
        <v>1640</v>
      </c>
      <c r="D989">
        <v>304.10000000000002</v>
      </c>
      <c r="E989">
        <v>117.7</v>
      </c>
      <c r="F989">
        <v>0.8</v>
      </c>
      <c r="G989">
        <v>0.2</v>
      </c>
      <c r="H989" t="str">
        <v>OK</v>
      </c>
      <c r="J989">
        <f t="shared" si="75"/>
        <v>4246.3999999999996</v>
      </c>
      <c r="K989">
        <f>SUMIF(Supply_Clean[Item_Code], B989, Supply_Clean[Available_Supply])</f>
        <v>12824</v>
      </c>
      <c r="L989">
        <f t="shared" si="76"/>
        <v>1</v>
      </c>
      <c r="M989">
        <f t="shared" si="77"/>
        <v>304.10000000000002</v>
      </c>
      <c r="N989" t="str">
        <f t="shared" si="78"/>
        <v>SUFICIENTE</v>
      </c>
      <c r="O989">
        <f t="shared" si="79"/>
        <v>0</v>
      </c>
    </row>
    <row r="990" spans="1:15" x14ac:dyDescent="0.45">
      <c r="A990" t="str">
        <v>CD-CDMX</v>
      </c>
      <c r="B990" t="str">
        <v>LAC-1006</v>
      </c>
      <c r="C990">
        <v>2379</v>
      </c>
      <c r="D990">
        <v>203</v>
      </c>
      <c r="E990">
        <v>55</v>
      </c>
      <c r="F990">
        <v>1</v>
      </c>
      <c r="G990">
        <v>0.2</v>
      </c>
      <c r="H990" t="str">
        <v>OK</v>
      </c>
      <c r="J990">
        <f t="shared" si="75"/>
        <v>4338.7</v>
      </c>
      <c r="K990">
        <f>SUMIF(Supply_Clean[Item_Code], B990, Supply_Clean[Available_Supply])</f>
        <v>10670</v>
      </c>
      <c r="L990">
        <f t="shared" si="76"/>
        <v>1</v>
      </c>
      <c r="M990">
        <f t="shared" si="77"/>
        <v>203</v>
      </c>
      <c r="N990" t="str">
        <f t="shared" si="78"/>
        <v>SUFICIENTE</v>
      </c>
      <c r="O990">
        <f t="shared" si="79"/>
        <v>0</v>
      </c>
    </row>
    <row r="991" spans="1:15" x14ac:dyDescent="0.45">
      <c r="A991" t="str">
        <v>CD-CAN</v>
      </c>
      <c r="B991" t="str">
        <v>BOT-1019</v>
      </c>
      <c r="C991">
        <v>13027</v>
      </c>
      <c r="D991">
        <v>851.2</v>
      </c>
      <c r="E991">
        <v>213.1</v>
      </c>
      <c r="F991">
        <v>4</v>
      </c>
      <c r="G991">
        <v>1.6</v>
      </c>
      <c r="H991" t="str">
        <v>OK</v>
      </c>
      <c r="J991">
        <f t="shared" si="75"/>
        <v>9278.2999999999993</v>
      </c>
      <c r="K991">
        <f>SUMIF(Supply_Clean[Item_Code], B991, Supply_Clean[Available_Supply])</f>
        <v>4509</v>
      </c>
      <c r="L991">
        <f t="shared" si="76"/>
        <v>0.48597264585107192</v>
      </c>
      <c r="M991">
        <f t="shared" si="77"/>
        <v>413.65991614843244</v>
      </c>
      <c r="N991" t="str">
        <f t="shared" si="78"/>
        <v>ESCASEZ</v>
      </c>
      <c r="O991">
        <f t="shared" si="79"/>
        <v>437.5400838515676</v>
      </c>
    </row>
    <row r="992" spans="1:15" x14ac:dyDescent="0.45">
      <c r="A992" t="str">
        <v>CD-SAL</v>
      </c>
      <c r="B992" t="str">
        <v>BEB-1013</v>
      </c>
      <c r="C992">
        <v>1710</v>
      </c>
      <c r="D992">
        <v>403.3</v>
      </c>
      <c r="E992">
        <v>71.099999999999994</v>
      </c>
      <c r="F992">
        <v>0.9</v>
      </c>
      <c r="G992">
        <v>0.5</v>
      </c>
      <c r="H992" t="str">
        <v>OK</v>
      </c>
      <c r="J992">
        <f t="shared" si="75"/>
        <v>6158.7000000000007</v>
      </c>
      <c r="K992">
        <f>SUMIF(Supply_Clean[Item_Code], B992, Supply_Clean[Available_Supply])</f>
        <v>3246</v>
      </c>
      <c r="L992">
        <f t="shared" si="76"/>
        <v>0.52705928199132923</v>
      </c>
      <c r="M992">
        <f t="shared" si="77"/>
        <v>212.56300842710309</v>
      </c>
      <c r="N992" t="str">
        <f t="shared" si="78"/>
        <v>ESCASEZ</v>
      </c>
      <c r="O992">
        <f t="shared" si="79"/>
        <v>190.73699157289693</v>
      </c>
    </row>
    <row r="993" spans="1:15" x14ac:dyDescent="0.45">
      <c r="A993" t="str">
        <v>CD-MOR</v>
      </c>
      <c r="B993" t="str">
        <v>ABA-1008</v>
      </c>
      <c r="C993">
        <v>5447</v>
      </c>
      <c r="D993">
        <v>352.2</v>
      </c>
      <c r="E993">
        <v>29.8</v>
      </c>
      <c r="F993">
        <v>1.8</v>
      </c>
      <c r="G993">
        <v>0.5</v>
      </c>
      <c r="H993" t="str">
        <v>OK</v>
      </c>
      <c r="J993">
        <f t="shared" si="75"/>
        <v>4717.2000000000007</v>
      </c>
      <c r="K993">
        <f>SUMIF(Supply_Clean[Item_Code], B993, Supply_Clean[Available_Supply])</f>
        <v>9747</v>
      </c>
      <c r="L993">
        <f t="shared" si="76"/>
        <v>1</v>
      </c>
      <c r="M993">
        <f t="shared" si="77"/>
        <v>352.2</v>
      </c>
      <c r="N993" t="str">
        <f t="shared" si="78"/>
        <v>SUFICIENTE</v>
      </c>
      <c r="O993">
        <f t="shared" si="79"/>
        <v>0</v>
      </c>
    </row>
    <row r="994" spans="1:15" x14ac:dyDescent="0.45">
      <c r="A994" t="str">
        <v>CD-PUE</v>
      </c>
      <c r="B994" t="str">
        <v>BOT-1006</v>
      </c>
      <c r="C994">
        <v>5841</v>
      </c>
      <c r="D994">
        <v>353.3</v>
      </c>
      <c r="E994">
        <v>101.8</v>
      </c>
      <c r="F994">
        <v>0.8</v>
      </c>
      <c r="G994">
        <v>0.3</v>
      </c>
      <c r="H994" t="str">
        <v>OK</v>
      </c>
      <c r="J994">
        <f t="shared" si="75"/>
        <v>7732.6000000000013</v>
      </c>
      <c r="K994">
        <f>SUMIF(Supply_Clean[Item_Code], B994, Supply_Clean[Available_Supply])</f>
        <v>16401</v>
      </c>
      <c r="L994">
        <f t="shared" si="76"/>
        <v>1</v>
      </c>
      <c r="M994">
        <f t="shared" si="77"/>
        <v>353.3</v>
      </c>
      <c r="N994" t="str">
        <f t="shared" si="78"/>
        <v>SUFICIENTE</v>
      </c>
      <c r="O994">
        <f t="shared" si="79"/>
        <v>0</v>
      </c>
    </row>
    <row r="995" spans="1:15" x14ac:dyDescent="0.45">
      <c r="A995" t="str">
        <v>CD-CHI</v>
      </c>
      <c r="B995" t="str">
        <v>BEB-1019</v>
      </c>
      <c r="C995">
        <v>2311</v>
      </c>
      <c r="D995">
        <v>293.89999999999998</v>
      </c>
      <c r="E995">
        <v>38.9</v>
      </c>
      <c r="F995">
        <v>2.7</v>
      </c>
      <c r="G995">
        <v>1</v>
      </c>
      <c r="H995" t="str">
        <v>OK</v>
      </c>
      <c r="J995">
        <f t="shared" si="75"/>
        <v>5453.6</v>
      </c>
      <c r="K995">
        <f>SUMIF(Supply_Clean[Item_Code], B995, Supply_Clean[Available_Supply])</f>
        <v>15099</v>
      </c>
      <c r="L995">
        <f t="shared" si="76"/>
        <v>1</v>
      </c>
      <c r="M995">
        <f t="shared" si="77"/>
        <v>293.89999999999998</v>
      </c>
      <c r="N995" t="str">
        <f t="shared" si="78"/>
        <v>SUFICIENTE</v>
      </c>
      <c r="O995">
        <f t="shared" si="79"/>
        <v>0</v>
      </c>
    </row>
    <row r="996" spans="1:15" x14ac:dyDescent="0.45">
      <c r="A996" t="str">
        <v>CD-SAL</v>
      </c>
      <c r="B996" t="str">
        <v>BEB-1006</v>
      </c>
      <c r="C996">
        <v>925</v>
      </c>
      <c r="D996">
        <v>166.8</v>
      </c>
      <c r="E996">
        <v>28.6</v>
      </c>
      <c r="F996">
        <v>2</v>
      </c>
      <c r="G996">
        <v>0.5</v>
      </c>
      <c r="H996" t="str">
        <v>OK</v>
      </c>
      <c r="J996">
        <f t="shared" si="75"/>
        <v>5154.2000000000016</v>
      </c>
      <c r="K996">
        <f>SUMIF(Supply_Clean[Item_Code], B996, Supply_Clean[Available_Supply])</f>
        <v>12324</v>
      </c>
      <c r="L996">
        <f t="shared" si="76"/>
        <v>1</v>
      </c>
      <c r="M996">
        <f t="shared" si="77"/>
        <v>166.8</v>
      </c>
      <c r="N996" t="str">
        <f t="shared" si="78"/>
        <v>SUFICIENTE</v>
      </c>
      <c r="O996">
        <f t="shared" si="79"/>
        <v>0</v>
      </c>
    </row>
    <row r="997" spans="1:15" x14ac:dyDescent="0.45">
      <c r="A997" t="str">
        <v>CD-HER</v>
      </c>
      <c r="B997" t="str">
        <v>BOT-1013</v>
      </c>
      <c r="C997">
        <v>7785</v>
      </c>
      <c r="D997">
        <v>622.4</v>
      </c>
      <c r="E997">
        <v>103.2</v>
      </c>
      <c r="F997">
        <v>3.1</v>
      </c>
      <c r="G997">
        <v>1.2</v>
      </c>
      <c r="H997" t="str">
        <v>OK</v>
      </c>
      <c r="J997">
        <f t="shared" si="75"/>
        <v>8336.1999999999989</v>
      </c>
      <c r="K997">
        <f>SUMIF(Supply_Clean[Item_Code], B997, Supply_Clean[Available_Supply])</f>
        <v>20545</v>
      </c>
      <c r="L997">
        <f t="shared" si="76"/>
        <v>1</v>
      </c>
      <c r="M997">
        <f t="shared" si="77"/>
        <v>622.4</v>
      </c>
      <c r="N997" t="str">
        <f t="shared" si="78"/>
        <v>SUFICIENTE</v>
      </c>
      <c r="O997">
        <f t="shared" si="79"/>
        <v>0</v>
      </c>
    </row>
    <row r="998" spans="1:15" x14ac:dyDescent="0.45">
      <c r="A998" t="str">
        <v>CD-PUE</v>
      </c>
      <c r="B998" t="str">
        <v>BEB-1018</v>
      </c>
      <c r="C998">
        <v>5948</v>
      </c>
      <c r="D998">
        <v>418.9</v>
      </c>
      <c r="E998">
        <v>58.9</v>
      </c>
      <c r="F998">
        <v>0.8</v>
      </c>
      <c r="G998">
        <v>0.3</v>
      </c>
      <c r="H998" t="str">
        <v>OK</v>
      </c>
      <c r="J998">
        <f t="shared" si="75"/>
        <v>5898.0999999999995</v>
      </c>
      <c r="K998">
        <f>SUMIF(Supply_Clean[Item_Code], B998, Supply_Clean[Available_Supply])</f>
        <v>11472</v>
      </c>
      <c r="L998">
        <f t="shared" si="76"/>
        <v>1</v>
      </c>
      <c r="M998">
        <f t="shared" si="77"/>
        <v>418.9</v>
      </c>
      <c r="N998" t="str">
        <f t="shared" si="78"/>
        <v>SUFICIENTE</v>
      </c>
      <c r="O998">
        <f t="shared" si="79"/>
        <v>0</v>
      </c>
    </row>
    <row r="999" spans="1:15" x14ac:dyDescent="0.45">
      <c r="A999" t="str">
        <v>CD-HER</v>
      </c>
      <c r="B999" t="str">
        <v>PRO-1009</v>
      </c>
      <c r="C999">
        <v>229</v>
      </c>
      <c r="D999">
        <v>342.3</v>
      </c>
      <c r="E999">
        <v>209.4</v>
      </c>
      <c r="F999">
        <v>3.2</v>
      </c>
      <c r="G999">
        <v>1.2</v>
      </c>
      <c r="H999" t="str">
        <v>OK</v>
      </c>
      <c r="J999">
        <f t="shared" si="75"/>
        <v>5962.0999999999995</v>
      </c>
      <c r="K999">
        <f>SUMIF(Supply_Clean[Item_Code], B999, Supply_Clean[Available_Supply])</f>
        <v>10685</v>
      </c>
      <c r="L999">
        <f t="shared" si="76"/>
        <v>1</v>
      </c>
      <c r="M999">
        <f t="shared" si="77"/>
        <v>342.3</v>
      </c>
      <c r="N999" t="str">
        <f t="shared" si="78"/>
        <v>SUFICIENTE</v>
      </c>
      <c r="O999">
        <f t="shared" si="79"/>
        <v>0</v>
      </c>
    </row>
    <row r="1000" spans="1:15" x14ac:dyDescent="0.45">
      <c r="A1000" t="str">
        <v>CD-HER</v>
      </c>
      <c r="B1000" t="str">
        <v>LAC-1002</v>
      </c>
      <c r="C1000">
        <v>1524</v>
      </c>
      <c r="D1000">
        <v>201.5</v>
      </c>
      <c r="E1000">
        <v>79.099999999999994</v>
      </c>
      <c r="F1000">
        <v>3.3</v>
      </c>
      <c r="G1000">
        <v>1.2</v>
      </c>
      <c r="H1000" t="str">
        <v>OK</v>
      </c>
      <c r="J1000">
        <f t="shared" si="75"/>
        <v>4442.1000000000004</v>
      </c>
      <c r="K1000">
        <f>SUMIF(Supply_Clean[Item_Code], B1000, Supply_Clean[Available_Supply])</f>
        <v>7796</v>
      </c>
      <c r="L1000">
        <f t="shared" si="76"/>
        <v>1</v>
      </c>
      <c r="M1000">
        <f t="shared" si="77"/>
        <v>201.5</v>
      </c>
      <c r="N1000" t="str">
        <f t="shared" si="78"/>
        <v>SUFICIENTE</v>
      </c>
      <c r="O1000">
        <f t="shared" si="79"/>
        <v>0</v>
      </c>
    </row>
    <row r="1001" spans="1:15" x14ac:dyDescent="0.45">
      <c r="A1001" t="str">
        <v>CD-GDL</v>
      </c>
      <c r="B1001" t="str">
        <v>BEB-1001</v>
      </c>
      <c r="C1001">
        <v>6323</v>
      </c>
      <c r="D1001">
        <v>676.4</v>
      </c>
      <c r="E1001">
        <v>98</v>
      </c>
      <c r="F1001">
        <v>1</v>
      </c>
      <c r="G1001">
        <v>0.2</v>
      </c>
      <c r="H1001" t="str">
        <v>OK</v>
      </c>
      <c r="J1001">
        <f t="shared" si="75"/>
        <v>6941.9</v>
      </c>
      <c r="K1001">
        <f>SUMIF(Supply_Clean[Item_Code], B1001, Supply_Clean[Available_Supply])</f>
        <v>11725</v>
      </c>
      <c r="L1001">
        <f t="shared" si="76"/>
        <v>1</v>
      </c>
      <c r="M1001">
        <f t="shared" si="77"/>
        <v>676.4</v>
      </c>
      <c r="N1001" t="str">
        <f t="shared" si="78"/>
        <v>SUFICIENTE</v>
      </c>
      <c r="O1001">
        <f t="shared" si="79"/>
        <v>0</v>
      </c>
    </row>
    <row r="1002" spans="1:15" x14ac:dyDescent="0.45">
      <c r="A1002" t="str">
        <v>CD-CAN</v>
      </c>
      <c r="B1002" t="str">
        <v>BEB-1006</v>
      </c>
      <c r="C1002">
        <v>3870</v>
      </c>
      <c r="D1002">
        <v>290.10000000000002</v>
      </c>
      <c r="E1002">
        <v>32</v>
      </c>
      <c r="F1002">
        <v>5.0999999999999996</v>
      </c>
      <c r="G1002">
        <v>1.6</v>
      </c>
      <c r="H1002" t="str">
        <v>OK</v>
      </c>
      <c r="J1002">
        <f t="shared" si="75"/>
        <v>5154.2000000000016</v>
      </c>
      <c r="K1002">
        <f>SUMIF(Supply_Clean[Item_Code], B1002, Supply_Clean[Available_Supply])</f>
        <v>12324</v>
      </c>
      <c r="L1002">
        <f t="shared" si="76"/>
        <v>1</v>
      </c>
      <c r="M1002">
        <f t="shared" si="77"/>
        <v>290.10000000000002</v>
      </c>
      <c r="N1002" t="str">
        <f t="shared" si="78"/>
        <v>SUFICIENTE</v>
      </c>
      <c r="O1002">
        <f t="shared" si="79"/>
        <v>0</v>
      </c>
    </row>
    <row r="1003" spans="1:15" x14ac:dyDescent="0.45">
      <c r="A1003" t="str">
        <v>CD-TIJ</v>
      </c>
      <c r="B1003" t="str">
        <v>ABA-1015</v>
      </c>
      <c r="C1003">
        <v>574</v>
      </c>
      <c r="D1003">
        <v>367.5</v>
      </c>
      <c r="E1003">
        <v>43.9</v>
      </c>
      <c r="F1003">
        <v>5.9</v>
      </c>
      <c r="G1003">
        <v>1.5</v>
      </c>
      <c r="H1003" t="str">
        <v>OK</v>
      </c>
      <c r="J1003">
        <f t="shared" si="75"/>
        <v>3986.4999999999991</v>
      </c>
      <c r="K1003">
        <f>SUMIF(Supply_Clean[Item_Code], B1003, Supply_Clean[Available_Supply])</f>
        <v>7969</v>
      </c>
      <c r="L1003">
        <f t="shared" si="76"/>
        <v>1</v>
      </c>
      <c r="M1003">
        <f t="shared" si="77"/>
        <v>367.5</v>
      </c>
      <c r="N1003" t="str">
        <f t="shared" si="78"/>
        <v>SUFICIENTE</v>
      </c>
      <c r="O1003">
        <f t="shared" si="79"/>
        <v>0</v>
      </c>
    </row>
    <row r="1004" spans="1:15" x14ac:dyDescent="0.45">
      <c r="A1004" t="str">
        <v>CD-MTY</v>
      </c>
      <c r="B1004" t="str">
        <v>LAC-1011</v>
      </c>
      <c r="C1004">
        <v>3318</v>
      </c>
      <c r="D1004">
        <v>516.1</v>
      </c>
      <c r="E1004">
        <v>135.30000000000001</v>
      </c>
      <c r="F1004">
        <v>1.4</v>
      </c>
      <c r="G1004">
        <v>0.3</v>
      </c>
      <c r="H1004" t="str">
        <v>OK</v>
      </c>
      <c r="J1004">
        <f t="shared" si="75"/>
        <v>4165</v>
      </c>
      <c r="K1004">
        <f>SUMIF(Supply_Clean[Item_Code], B1004, Supply_Clean[Available_Supply])</f>
        <v>2719</v>
      </c>
      <c r="L1004">
        <f t="shared" si="76"/>
        <v>0.65282112845138052</v>
      </c>
      <c r="M1004">
        <f t="shared" si="77"/>
        <v>336.92098439375752</v>
      </c>
      <c r="N1004" t="str">
        <f t="shared" si="78"/>
        <v>ESCASEZ</v>
      </c>
      <c r="O1004">
        <f t="shared" si="79"/>
        <v>179.1790156062425</v>
      </c>
    </row>
    <row r="1005" spans="1:15" x14ac:dyDescent="0.45">
      <c r="A1005" t="str">
        <v>CD-PUE</v>
      </c>
      <c r="B1005" t="str">
        <v>BEB-1021</v>
      </c>
      <c r="C1005">
        <v>4260</v>
      </c>
      <c r="D1005">
        <v>382.7</v>
      </c>
      <c r="E1005">
        <v>43.7</v>
      </c>
      <c r="F1005">
        <v>1.2</v>
      </c>
      <c r="G1005">
        <v>0.3</v>
      </c>
      <c r="H1005" t="str">
        <v>OK</v>
      </c>
      <c r="J1005">
        <f t="shared" si="75"/>
        <v>5254.7999999999993</v>
      </c>
      <c r="K1005">
        <f>SUMIF(Supply_Clean[Item_Code], B1005, Supply_Clean[Available_Supply])</f>
        <v>13235</v>
      </c>
      <c r="L1005">
        <f t="shared" si="76"/>
        <v>1</v>
      </c>
      <c r="M1005">
        <f t="shared" si="77"/>
        <v>382.7</v>
      </c>
      <c r="N1005" t="str">
        <f t="shared" si="78"/>
        <v>SUFICIENTE</v>
      </c>
      <c r="O1005">
        <f t="shared" si="79"/>
        <v>0</v>
      </c>
    </row>
    <row r="1006" spans="1:15" x14ac:dyDescent="0.45">
      <c r="A1006" t="str">
        <v>CD-MER</v>
      </c>
      <c r="B1006" t="str">
        <v>PRO-1009</v>
      </c>
      <c r="C1006">
        <v>3718</v>
      </c>
      <c r="D1006">
        <v>265.39999999999998</v>
      </c>
      <c r="E1006">
        <v>185.5</v>
      </c>
      <c r="F1006">
        <v>6.3</v>
      </c>
      <c r="G1006">
        <v>1.3</v>
      </c>
      <c r="H1006" t="str">
        <v>OK</v>
      </c>
      <c r="J1006">
        <f t="shared" si="75"/>
        <v>5962.0999999999995</v>
      </c>
      <c r="K1006">
        <f>SUMIF(Supply_Clean[Item_Code], B1006, Supply_Clean[Available_Supply])</f>
        <v>10685</v>
      </c>
      <c r="L1006">
        <f t="shared" si="76"/>
        <v>1</v>
      </c>
      <c r="M1006">
        <f t="shared" si="77"/>
        <v>265.39999999999998</v>
      </c>
      <c r="N1006" t="str">
        <f t="shared" si="78"/>
        <v>SUFICIENTE</v>
      </c>
      <c r="O1006">
        <f t="shared" si="79"/>
        <v>0</v>
      </c>
    </row>
    <row r="1007" spans="1:15" x14ac:dyDescent="0.45">
      <c r="A1007" t="str">
        <v>CD-LEO</v>
      </c>
      <c r="B1007" t="str">
        <v>ABA-1016</v>
      </c>
      <c r="C1007">
        <v>953</v>
      </c>
      <c r="D1007">
        <v>310.5</v>
      </c>
      <c r="E1007">
        <v>43</v>
      </c>
      <c r="F1007">
        <v>1.1000000000000001</v>
      </c>
      <c r="G1007">
        <v>0.6</v>
      </c>
      <c r="H1007" t="str">
        <v>OK</v>
      </c>
      <c r="J1007">
        <f t="shared" si="75"/>
        <v>5056.7</v>
      </c>
      <c r="K1007">
        <f>SUMIF(Supply_Clean[Item_Code], B1007, Supply_Clean[Available_Supply])</f>
        <v>9151</v>
      </c>
      <c r="L1007">
        <f t="shared" si="76"/>
        <v>1</v>
      </c>
      <c r="M1007">
        <f t="shared" si="77"/>
        <v>310.5</v>
      </c>
      <c r="N1007" t="str">
        <f t="shared" si="78"/>
        <v>SUFICIENTE</v>
      </c>
      <c r="O1007">
        <f t="shared" si="79"/>
        <v>0</v>
      </c>
    </row>
    <row r="1008" spans="1:15" x14ac:dyDescent="0.45">
      <c r="A1008" t="str">
        <v>CD-TOL</v>
      </c>
      <c r="B1008" t="str">
        <v>PRO-1005</v>
      </c>
      <c r="C1008">
        <v>1288</v>
      </c>
      <c r="D1008">
        <v>180.2</v>
      </c>
      <c r="E1008">
        <v>74.3</v>
      </c>
      <c r="F1008">
        <v>2.9</v>
      </c>
      <c r="G1008">
        <v>0.5</v>
      </c>
      <c r="H1008" t="str">
        <v>OK</v>
      </c>
      <c r="J1008">
        <f t="shared" si="75"/>
        <v>4399.3</v>
      </c>
      <c r="K1008">
        <f>SUMIF(Supply_Clean[Item_Code], B1008, Supply_Clean[Available_Supply])</f>
        <v>8407</v>
      </c>
      <c r="L1008">
        <f t="shared" si="76"/>
        <v>1</v>
      </c>
      <c r="M1008">
        <f t="shared" si="77"/>
        <v>180.2</v>
      </c>
      <c r="N1008" t="str">
        <f t="shared" si="78"/>
        <v>SUFICIENTE</v>
      </c>
      <c r="O1008">
        <f t="shared" si="79"/>
        <v>0</v>
      </c>
    </row>
    <row r="1009" spans="1:15" x14ac:dyDescent="0.45">
      <c r="A1009" t="str">
        <v>CD-MTY</v>
      </c>
      <c r="B1009" t="str">
        <v>BOT-1005</v>
      </c>
      <c r="C1009">
        <v>13087</v>
      </c>
      <c r="D1009">
        <v>793.1</v>
      </c>
      <c r="E1009">
        <v>169.4</v>
      </c>
      <c r="F1009">
        <v>1.4</v>
      </c>
      <c r="G1009">
        <v>0.3</v>
      </c>
      <c r="H1009" t="str">
        <v>OK</v>
      </c>
      <c r="J1009">
        <f t="shared" si="75"/>
        <v>8620.3000000000011</v>
      </c>
      <c r="K1009">
        <f>SUMIF(Supply_Clean[Item_Code], B1009, Supply_Clean[Available_Supply])</f>
        <v>23903</v>
      </c>
      <c r="L1009">
        <f t="shared" si="76"/>
        <v>1</v>
      </c>
      <c r="M1009">
        <f t="shared" si="77"/>
        <v>793.1</v>
      </c>
      <c r="N1009" t="str">
        <f t="shared" si="78"/>
        <v>SUFICIENTE</v>
      </c>
      <c r="O1009">
        <f t="shared" si="79"/>
        <v>0</v>
      </c>
    </row>
    <row r="1010" spans="1:15" x14ac:dyDescent="0.45">
      <c r="A1010" t="str">
        <v>CD-CAN</v>
      </c>
      <c r="B1010" t="str">
        <v>BOT-1014</v>
      </c>
      <c r="C1010">
        <v>14152</v>
      </c>
      <c r="D1010">
        <v>989.1</v>
      </c>
      <c r="E1010">
        <v>263</v>
      </c>
      <c r="F1010">
        <v>5.6</v>
      </c>
      <c r="G1010">
        <v>1.6</v>
      </c>
      <c r="H1010" t="str">
        <v>OK</v>
      </c>
      <c r="J1010">
        <f t="shared" si="75"/>
        <v>8056.4000000000005</v>
      </c>
      <c r="K1010">
        <f>SUMIF(Supply_Clean[Item_Code], B1010, Supply_Clean[Available_Supply])</f>
        <v>14373</v>
      </c>
      <c r="L1010">
        <f t="shared" si="76"/>
        <v>1</v>
      </c>
      <c r="M1010">
        <f t="shared" si="77"/>
        <v>989.1</v>
      </c>
      <c r="N1010" t="str">
        <f t="shared" si="78"/>
        <v>SUFICIENTE</v>
      </c>
      <c r="O1010">
        <f t="shared" si="79"/>
        <v>0</v>
      </c>
    </row>
    <row r="1011" spans="1:15" x14ac:dyDescent="0.45">
      <c r="A1011" t="str">
        <v>CD-LEO</v>
      </c>
      <c r="B1011" t="str">
        <v>BEB-1018</v>
      </c>
      <c r="C1011">
        <v>2297</v>
      </c>
      <c r="D1011">
        <v>495.6</v>
      </c>
      <c r="E1011">
        <v>55.2</v>
      </c>
      <c r="F1011">
        <v>2.2000000000000002</v>
      </c>
      <c r="G1011">
        <v>0.6</v>
      </c>
      <c r="H1011" t="str">
        <v>OK</v>
      </c>
      <c r="J1011">
        <f t="shared" si="75"/>
        <v>5898.0999999999995</v>
      </c>
      <c r="K1011">
        <f>SUMIF(Supply_Clean[Item_Code], B1011, Supply_Clean[Available_Supply])</f>
        <v>11472</v>
      </c>
      <c r="L1011">
        <f t="shared" si="76"/>
        <v>1</v>
      </c>
      <c r="M1011">
        <f t="shared" si="77"/>
        <v>495.6</v>
      </c>
      <c r="N1011" t="str">
        <f t="shared" si="78"/>
        <v>SUFICIENTE</v>
      </c>
      <c r="O1011">
        <f t="shared" si="79"/>
        <v>0</v>
      </c>
    </row>
    <row r="1012" spans="1:15" x14ac:dyDescent="0.45">
      <c r="A1012" t="str">
        <v>CD-MOR</v>
      </c>
      <c r="B1012" t="str">
        <v>ABA-1009</v>
      </c>
      <c r="C1012">
        <v>951</v>
      </c>
      <c r="D1012">
        <v>443.6</v>
      </c>
      <c r="E1012">
        <v>64.2</v>
      </c>
      <c r="F1012">
        <v>2.5</v>
      </c>
      <c r="G1012">
        <v>0.5</v>
      </c>
      <c r="H1012" t="str">
        <v>OK</v>
      </c>
      <c r="J1012">
        <f t="shared" si="75"/>
        <v>5016.1000000000004</v>
      </c>
      <c r="K1012">
        <f>SUMIF(Supply_Clean[Item_Code], B1012, Supply_Clean[Available_Supply])</f>
        <v>13458</v>
      </c>
      <c r="L1012">
        <f t="shared" si="76"/>
        <v>1</v>
      </c>
      <c r="M1012">
        <f t="shared" si="77"/>
        <v>443.6</v>
      </c>
      <c r="N1012" t="str">
        <f t="shared" si="78"/>
        <v>SUFICIENTE</v>
      </c>
      <c r="O1012">
        <f t="shared" si="79"/>
        <v>0</v>
      </c>
    </row>
    <row r="1013" spans="1:15" x14ac:dyDescent="0.45">
      <c r="A1013" t="str">
        <v>CD-CAN</v>
      </c>
      <c r="B1013" t="str">
        <v>BEB-1018</v>
      </c>
      <c r="C1013">
        <v>423</v>
      </c>
      <c r="D1013">
        <v>265.60000000000002</v>
      </c>
      <c r="E1013">
        <v>32</v>
      </c>
      <c r="F1013">
        <v>8.6</v>
      </c>
      <c r="G1013">
        <v>1.6</v>
      </c>
      <c r="H1013" t="str">
        <v>OK</v>
      </c>
      <c r="J1013">
        <f t="shared" si="75"/>
        <v>5898.0999999999995</v>
      </c>
      <c r="K1013">
        <f>SUMIF(Supply_Clean[Item_Code], B1013, Supply_Clean[Available_Supply])</f>
        <v>11472</v>
      </c>
      <c r="L1013">
        <f t="shared" si="76"/>
        <v>1</v>
      </c>
      <c r="M1013">
        <f t="shared" si="77"/>
        <v>265.60000000000002</v>
      </c>
      <c r="N1013" t="str">
        <f t="shared" si="78"/>
        <v>SUFICIENTE</v>
      </c>
      <c r="O1013">
        <f t="shared" si="79"/>
        <v>0</v>
      </c>
    </row>
    <row r="1014" spans="1:15" x14ac:dyDescent="0.45">
      <c r="A1014" t="str">
        <v>CD-TIJ</v>
      </c>
      <c r="B1014" t="str">
        <v>BEB-1015</v>
      </c>
      <c r="C1014">
        <v>2813</v>
      </c>
      <c r="D1014">
        <v>276.7</v>
      </c>
      <c r="E1014">
        <v>40.1</v>
      </c>
      <c r="F1014">
        <v>4.7</v>
      </c>
      <c r="G1014">
        <v>1.5</v>
      </c>
      <c r="H1014" t="str">
        <v>OK</v>
      </c>
      <c r="J1014">
        <f t="shared" si="75"/>
        <v>5073.0999999999995</v>
      </c>
      <c r="K1014">
        <f>SUMIF(Supply_Clean[Item_Code], B1014, Supply_Clean[Available_Supply])</f>
        <v>14801</v>
      </c>
      <c r="L1014">
        <f t="shared" si="76"/>
        <v>1</v>
      </c>
      <c r="M1014">
        <f t="shared" si="77"/>
        <v>276.7</v>
      </c>
      <c r="N1014" t="str">
        <f t="shared" si="78"/>
        <v>SUFICIENTE</v>
      </c>
      <c r="O1014">
        <f t="shared" si="79"/>
        <v>0</v>
      </c>
    </row>
    <row r="1015" spans="1:15" x14ac:dyDescent="0.45">
      <c r="A1015" t="str">
        <v>CD-MTY</v>
      </c>
      <c r="B1015" t="str">
        <v>BOT-1010</v>
      </c>
      <c r="C1015">
        <v>8285</v>
      </c>
      <c r="D1015">
        <v>799</v>
      </c>
      <c r="E1015">
        <v>128.69999999999999</v>
      </c>
      <c r="F1015">
        <v>1.1000000000000001</v>
      </c>
      <c r="G1015">
        <v>0.3</v>
      </c>
      <c r="H1015" t="str">
        <v>OK</v>
      </c>
      <c r="J1015">
        <f t="shared" si="75"/>
        <v>7108.7000000000007</v>
      </c>
      <c r="K1015">
        <f>SUMIF(Supply_Clean[Item_Code], B1015, Supply_Clean[Available_Supply])</f>
        <v>21582</v>
      </c>
      <c r="L1015">
        <f t="shared" si="76"/>
        <v>1</v>
      </c>
      <c r="M1015">
        <f t="shared" si="77"/>
        <v>799</v>
      </c>
      <c r="N1015" t="str">
        <f t="shared" si="78"/>
        <v>SUFICIENTE</v>
      </c>
      <c r="O1015">
        <f t="shared" si="79"/>
        <v>0</v>
      </c>
    </row>
    <row r="1016" spans="1:15" x14ac:dyDescent="0.45">
      <c r="A1016" t="str">
        <v>CD-QRO</v>
      </c>
      <c r="B1016" t="str">
        <v>LAC-1015</v>
      </c>
      <c r="C1016">
        <v>880</v>
      </c>
      <c r="D1016">
        <v>306.3</v>
      </c>
      <c r="E1016">
        <v>99.9</v>
      </c>
      <c r="F1016">
        <v>2.2999999999999998</v>
      </c>
      <c r="G1016">
        <v>0.4</v>
      </c>
      <c r="H1016" t="str">
        <v>OK</v>
      </c>
      <c r="J1016">
        <f t="shared" si="75"/>
        <v>3982.7000000000007</v>
      </c>
      <c r="K1016">
        <f>SUMIF(Supply_Clean[Item_Code], B1016, Supply_Clean[Available_Supply])</f>
        <v>8604</v>
      </c>
      <c r="L1016">
        <f t="shared" si="76"/>
        <v>1</v>
      </c>
      <c r="M1016">
        <f t="shared" si="77"/>
        <v>306.3</v>
      </c>
      <c r="N1016" t="str">
        <f t="shared" si="78"/>
        <v>SUFICIENTE</v>
      </c>
      <c r="O1016">
        <f t="shared" si="79"/>
        <v>0</v>
      </c>
    </row>
    <row r="1017" spans="1:15" x14ac:dyDescent="0.45">
      <c r="A1017" t="str">
        <v>CD-TOL</v>
      </c>
      <c r="B1017" t="str">
        <v>BOT-1021</v>
      </c>
      <c r="C1017">
        <v>4328</v>
      </c>
      <c r="D1017">
        <v>286.60000000000002</v>
      </c>
      <c r="E1017">
        <v>53.1</v>
      </c>
      <c r="F1017">
        <v>1.7</v>
      </c>
      <c r="G1017">
        <v>0.5</v>
      </c>
      <c r="H1017" t="str">
        <v>OK</v>
      </c>
      <c r="J1017">
        <f t="shared" si="75"/>
        <v>6783.3</v>
      </c>
      <c r="K1017">
        <f>SUMIF(Supply_Clean[Item_Code], B1017, Supply_Clean[Available_Supply])</f>
        <v>13475</v>
      </c>
      <c r="L1017">
        <f t="shared" si="76"/>
        <v>1</v>
      </c>
      <c r="M1017">
        <f t="shared" si="77"/>
        <v>286.60000000000002</v>
      </c>
      <c r="N1017" t="str">
        <f t="shared" si="78"/>
        <v>SUFICIENTE</v>
      </c>
      <c r="O1017">
        <f t="shared" si="79"/>
        <v>0</v>
      </c>
    </row>
    <row r="1018" spans="1:15" x14ac:dyDescent="0.45">
      <c r="A1018" t="str">
        <v>CD-QRO</v>
      </c>
      <c r="B1018" t="str">
        <v>BOT-1013</v>
      </c>
      <c r="C1018">
        <v>11536</v>
      </c>
      <c r="D1018">
        <v>662.4</v>
      </c>
      <c r="E1018">
        <v>111.8</v>
      </c>
      <c r="F1018">
        <v>1.3</v>
      </c>
      <c r="G1018">
        <v>0.4</v>
      </c>
      <c r="H1018" t="str">
        <v>OK</v>
      </c>
      <c r="J1018">
        <f t="shared" si="75"/>
        <v>8336.1999999999989</v>
      </c>
      <c r="K1018">
        <f>SUMIF(Supply_Clean[Item_Code], B1018, Supply_Clean[Available_Supply])</f>
        <v>20545</v>
      </c>
      <c r="L1018">
        <f t="shared" si="76"/>
        <v>1</v>
      </c>
      <c r="M1018">
        <f t="shared" si="77"/>
        <v>662.4</v>
      </c>
      <c r="N1018" t="str">
        <f t="shared" si="78"/>
        <v>SUFICIENTE</v>
      </c>
      <c r="O1018">
        <f t="shared" si="79"/>
        <v>0</v>
      </c>
    </row>
    <row r="1019" spans="1:15" x14ac:dyDescent="0.45">
      <c r="A1019" t="str">
        <v>CD-LEO</v>
      </c>
      <c r="B1019" t="str">
        <v>PRO-1012</v>
      </c>
      <c r="C1019">
        <v>3805</v>
      </c>
      <c r="D1019">
        <v>227.1</v>
      </c>
      <c r="E1019">
        <v>144</v>
      </c>
      <c r="F1019">
        <v>1.6</v>
      </c>
      <c r="G1019">
        <v>0.6</v>
      </c>
      <c r="H1019" t="str">
        <v>OK</v>
      </c>
      <c r="J1019">
        <f t="shared" si="75"/>
        <v>4930.1000000000004</v>
      </c>
      <c r="K1019">
        <f>SUMIF(Supply_Clean[Item_Code], B1019, Supply_Clean[Available_Supply])</f>
        <v>9930</v>
      </c>
      <c r="L1019">
        <f t="shared" si="76"/>
        <v>1</v>
      </c>
      <c r="M1019">
        <f t="shared" si="77"/>
        <v>227.1</v>
      </c>
      <c r="N1019" t="str">
        <f t="shared" si="78"/>
        <v>SUFICIENTE</v>
      </c>
      <c r="O1019">
        <f t="shared" si="79"/>
        <v>0</v>
      </c>
    </row>
    <row r="1020" spans="1:15" x14ac:dyDescent="0.45">
      <c r="A1020" t="str">
        <v>CD-QRO</v>
      </c>
      <c r="B1020" t="str">
        <v>BOT-1004</v>
      </c>
      <c r="C1020">
        <v>10381</v>
      </c>
      <c r="D1020">
        <v>664.7</v>
      </c>
      <c r="E1020">
        <v>125.1</v>
      </c>
      <c r="F1020">
        <v>2</v>
      </c>
      <c r="G1020">
        <v>0.4</v>
      </c>
      <c r="H1020" t="str">
        <v>OK</v>
      </c>
      <c r="J1020">
        <f t="shared" si="75"/>
        <v>9421.7999999999993</v>
      </c>
      <c r="K1020">
        <f>SUMIF(Supply_Clean[Item_Code], B1020, Supply_Clean[Available_Supply])</f>
        <v>15860</v>
      </c>
      <c r="L1020">
        <f t="shared" si="76"/>
        <v>1</v>
      </c>
      <c r="M1020">
        <f t="shared" si="77"/>
        <v>664.7</v>
      </c>
      <c r="N1020" t="str">
        <f t="shared" si="78"/>
        <v>SUFICIENTE</v>
      </c>
      <c r="O1020">
        <f t="shared" si="79"/>
        <v>0</v>
      </c>
    </row>
    <row r="1021" spans="1:15" x14ac:dyDescent="0.45">
      <c r="A1021" t="str">
        <v>CD-CAN</v>
      </c>
      <c r="B1021" t="str">
        <v>PRO-1001</v>
      </c>
      <c r="C1021">
        <v>3150</v>
      </c>
      <c r="D1021">
        <v>378.7</v>
      </c>
      <c r="E1021">
        <v>250.7</v>
      </c>
      <c r="F1021">
        <v>4</v>
      </c>
      <c r="G1021">
        <v>1.6</v>
      </c>
      <c r="H1021" t="str">
        <v>OK</v>
      </c>
      <c r="J1021">
        <f t="shared" si="75"/>
        <v>6433.2999999999993</v>
      </c>
      <c r="K1021">
        <f>SUMIF(Supply_Clean[Item_Code], B1021, Supply_Clean[Available_Supply])</f>
        <v>10011</v>
      </c>
      <c r="L1021">
        <f t="shared" si="76"/>
        <v>1</v>
      </c>
      <c r="M1021">
        <f t="shared" si="77"/>
        <v>378.7</v>
      </c>
      <c r="N1021" t="str">
        <f t="shared" si="78"/>
        <v>SUFICIENTE</v>
      </c>
      <c r="O1021">
        <f t="shared" si="79"/>
        <v>0</v>
      </c>
    </row>
    <row r="1022" spans="1:15" x14ac:dyDescent="0.45">
      <c r="A1022" t="str">
        <v>CD-TIJ</v>
      </c>
      <c r="B1022" t="str">
        <v>BOT-1009</v>
      </c>
      <c r="C1022">
        <v>4471</v>
      </c>
      <c r="D1022">
        <v>449.5</v>
      </c>
      <c r="E1022">
        <v>85.7</v>
      </c>
      <c r="F1022">
        <v>7.1</v>
      </c>
      <c r="G1022">
        <v>1.5</v>
      </c>
      <c r="H1022" t="str">
        <v>OK</v>
      </c>
      <c r="J1022">
        <f t="shared" si="75"/>
        <v>8135.5</v>
      </c>
      <c r="K1022">
        <f>SUMIF(Supply_Clean[Item_Code], B1022, Supply_Clean[Available_Supply])</f>
        <v>17475</v>
      </c>
      <c r="L1022">
        <f t="shared" si="76"/>
        <v>1</v>
      </c>
      <c r="M1022">
        <f t="shared" si="77"/>
        <v>449.5</v>
      </c>
      <c r="N1022" t="str">
        <f t="shared" si="78"/>
        <v>SUFICIENTE</v>
      </c>
      <c r="O1022">
        <f t="shared" si="79"/>
        <v>0</v>
      </c>
    </row>
    <row r="1023" spans="1:15" x14ac:dyDescent="0.45">
      <c r="A1023" t="str">
        <v>CD-MTY</v>
      </c>
      <c r="B1023" t="str">
        <v>BOT-1013</v>
      </c>
      <c r="C1023">
        <v>2901</v>
      </c>
      <c r="D1023">
        <v>379.1</v>
      </c>
      <c r="E1023">
        <v>83.2</v>
      </c>
      <c r="F1023">
        <v>1.3</v>
      </c>
      <c r="G1023">
        <v>0.3</v>
      </c>
      <c r="H1023" t="str">
        <v>OK</v>
      </c>
      <c r="J1023">
        <f t="shared" si="75"/>
        <v>8336.1999999999989</v>
      </c>
      <c r="K1023">
        <f>SUMIF(Supply_Clean[Item_Code], B1023, Supply_Clean[Available_Supply])</f>
        <v>20545</v>
      </c>
      <c r="L1023">
        <f t="shared" si="76"/>
        <v>1</v>
      </c>
      <c r="M1023">
        <f t="shared" si="77"/>
        <v>379.1</v>
      </c>
      <c r="N1023" t="str">
        <f t="shared" si="78"/>
        <v>SUFICIENTE</v>
      </c>
      <c r="O1023">
        <f t="shared" si="79"/>
        <v>0</v>
      </c>
    </row>
    <row r="1024" spans="1:15" x14ac:dyDescent="0.45">
      <c r="A1024" t="str">
        <v>CD-PUE</v>
      </c>
      <c r="B1024" t="str">
        <v>BOT-1023</v>
      </c>
      <c r="C1024">
        <v>5420</v>
      </c>
      <c r="D1024">
        <v>568.5</v>
      </c>
      <c r="E1024">
        <v>106.3</v>
      </c>
      <c r="F1024">
        <v>1.1000000000000001</v>
      </c>
      <c r="G1024">
        <v>0.3</v>
      </c>
      <c r="H1024" t="str">
        <v>OK</v>
      </c>
      <c r="J1024">
        <f t="shared" si="75"/>
        <v>8227.6</v>
      </c>
      <c r="K1024">
        <f>SUMIF(Supply_Clean[Item_Code], B1024, Supply_Clean[Available_Supply])</f>
        <v>23663</v>
      </c>
      <c r="L1024">
        <f t="shared" si="76"/>
        <v>1</v>
      </c>
      <c r="M1024">
        <f t="shared" si="77"/>
        <v>568.5</v>
      </c>
      <c r="N1024" t="str">
        <f t="shared" si="78"/>
        <v>SUFICIENTE</v>
      </c>
      <c r="O1024">
        <f t="shared" si="79"/>
        <v>0</v>
      </c>
    </row>
    <row r="1025" spans="1:15" x14ac:dyDescent="0.45">
      <c r="A1025" t="str">
        <v>CD-MOR</v>
      </c>
      <c r="B1025" t="str">
        <v>ABA-1001</v>
      </c>
      <c r="C1025">
        <v>2418</v>
      </c>
      <c r="D1025">
        <v>356.5</v>
      </c>
      <c r="E1025">
        <v>43.6</v>
      </c>
      <c r="F1025">
        <v>2</v>
      </c>
      <c r="G1025">
        <v>0.5</v>
      </c>
      <c r="H1025" t="str">
        <v>OK</v>
      </c>
      <c r="J1025">
        <f t="shared" si="75"/>
        <v>4698.6999999999989</v>
      </c>
      <c r="K1025">
        <f>SUMIF(Supply_Clean[Item_Code], B1025, Supply_Clean[Available_Supply])</f>
        <v>8775</v>
      </c>
      <c r="L1025">
        <f t="shared" si="76"/>
        <v>1</v>
      </c>
      <c r="M1025">
        <f t="shared" si="77"/>
        <v>356.5</v>
      </c>
      <c r="N1025" t="str">
        <f t="shared" si="78"/>
        <v>SUFICIENTE</v>
      </c>
      <c r="O1025">
        <f t="shared" si="79"/>
        <v>0</v>
      </c>
    </row>
    <row r="1026" spans="1:15" x14ac:dyDescent="0.45">
      <c r="A1026" t="str">
        <v>CD-TOL</v>
      </c>
      <c r="B1026" t="str">
        <v>ABA-1012</v>
      </c>
      <c r="C1026">
        <v>8519</v>
      </c>
      <c r="D1026">
        <v>548.9</v>
      </c>
      <c r="E1026">
        <v>67.900000000000006</v>
      </c>
      <c r="F1026">
        <v>2.4</v>
      </c>
      <c r="G1026">
        <v>0.5</v>
      </c>
      <c r="H1026" t="str">
        <v>OK</v>
      </c>
      <c r="J1026">
        <f t="shared" si="75"/>
        <v>5104.3999999999996</v>
      </c>
      <c r="K1026">
        <f>SUMIF(Supply_Clean[Item_Code], B1026, Supply_Clean[Available_Supply])</f>
        <v>8396</v>
      </c>
      <c r="L1026">
        <f t="shared" si="76"/>
        <v>1</v>
      </c>
      <c r="M1026">
        <f t="shared" si="77"/>
        <v>548.9</v>
      </c>
      <c r="N1026" t="str">
        <f t="shared" si="78"/>
        <v>SUFICIENTE</v>
      </c>
      <c r="O1026">
        <f t="shared" si="79"/>
        <v>0</v>
      </c>
    </row>
    <row r="1027" spans="1:15" x14ac:dyDescent="0.45">
      <c r="A1027" t="str">
        <v>CD-HER</v>
      </c>
      <c r="B1027" t="str">
        <v>BOT-1008</v>
      </c>
      <c r="C1027">
        <v>0</v>
      </c>
      <c r="D1027">
        <v>546.79999999999995</v>
      </c>
      <c r="E1027">
        <v>135.4</v>
      </c>
      <c r="F1027">
        <v>3.1</v>
      </c>
      <c r="G1027">
        <v>1.2</v>
      </c>
      <c r="H1027">
        <v>0</v>
      </c>
      <c r="J1027">
        <f t="shared" ref="J1027:J1090" si="80">SUMIF($B$2:$B$1501, B1027, $D$2:$D$1501)</f>
        <v>7758.6</v>
      </c>
      <c r="K1027">
        <f>SUMIF(Supply_Clean[Item_Code], B1027, Supply_Clean[Available_Supply])</f>
        <v>25288</v>
      </c>
      <c r="L1027">
        <f t="shared" ref="L1027:L1090" si="81">IFERROR(MIN(1, K1027/J1027), "")</f>
        <v>1</v>
      </c>
      <c r="M1027">
        <f t="shared" ref="M1027:M1090" si="82">IFERROR(D1027*L1027, "")</f>
        <v>546.79999999999995</v>
      </c>
      <c r="N1027" t="str">
        <f t="shared" ref="N1027:N1090" si="83">IF(L1027&lt;1, "ESCASEZ", "SUFICIENTE")</f>
        <v>SUFICIENTE</v>
      </c>
      <c r="O1027">
        <f t="shared" ref="O1027:O1090" si="84">IF(N1027="ESCASEZ", D1027-M1027, 0)</f>
        <v>0</v>
      </c>
    </row>
    <row r="1028" spans="1:15" x14ac:dyDescent="0.45">
      <c r="A1028" t="str">
        <v>CD-TOL</v>
      </c>
      <c r="B1028" t="str">
        <v>BOT-1022</v>
      </c>
      <c r="C1028">
        <v>3448</v>
      </c>
      <c r="D1028">
        <v>601.1</v>
      </c>
      <c r="E1028">
        <v>90.2</v>
      </c>
      <c r="F1028">
        <v>1.5</v>
      </c>
      <c r="G1028">
        <v>0.5</v>
      </c>
      <c r="H1028" t="str">
        <v>OK</v>
      </c>
      <c r="J1028">
        <f t="shared" si="80"/>
        <v>9197.7000000000007</v>
      </c>
      <c r="K1028">
        <f>SUMIF(Supply_Clean[Item_Code], B1028, Supply_Clean[Available_Supply])</f>
        <v>23862</v>
      </c>
      <c r="L1028">
        <f t="shared" si="81"/>
        <v>1</v>
      </c>
      <c r="M1028">
        <f t="shared" si="82"/>
        <v>601.1</v>
      </c>
      <c r="N1028" t="str">
        <f t="shared" si="83"/>
        <v>SUFICIENTE</v>
      </c>
      <c r="O1028">
        <f t="shared" si="84"/>
        <v>0</v>
      </c>
    </row>
    <row r="1029" spans="1:15" x14ac:dyDescent="0.45">
      <c r="A1029" t="str">
        <v>CD-CAN</v>
      </c>
      <c r="B1029" t="str">
        <v>PRO-1008</v>
      </c>
      <c r="C1029">
        <v>788</v>
      </c>
      <c r="D1029">
        <v>196.4</v>
      </c>
      <c r="E1029">
        <v>99.2</v>
      </c>
      <c r="F1029">
        <v>1.7</v>
      </c>
      <c r="G1029">
        <v>1.6</v>
      </c>
      <c r="H1029" t="str">
        <v>OK</v>
      </c>
      <c r="J1029">
        <f t="shared" si="80"/>
        <v>5551.5999999999995</v>
      </c>
      <c r="K1029">
        <f>SUMIF(Supply_Clean[Item_Code], B1029, Supply_Clean[Available_Supply])</f>
        <v>9738</v>
      </c>
      <c r="L1029">
        <f t="shared" si="81"/>
        <v>1</v>
      </c>
      <c r="M1029">
        <f t="shared" si="82"/>
        <v>196.4</v>
      </c>
      <c r="N1029" t="str">
        <f t="shared" si="83"/>
        <v>SUFICIENTE</v>
      </c>
      <c r="O1029">
        <f t="shared" si="84"/>
        <v>0</v>
      </c>
    </row>
    <row r="1030" spans="1:15" x14ac:dyDescent="0.45">
      <c r="A1030" t="str">
        <v>CD-TOL</v>
      </c>
      <c r="B1030" t="str">
        <v>BOT-1005</v>
      </c>
      <c r="C1030">
        <v>4772</v>
      </c>
      <c r="D1030">
        <v>271</v>
      </c>
      <c r="E1030">
        <v>62.8</v>
      </c>
      <c r="F1030">
        <v>1.6</v>
      </c>
      <c r="G1030">
        <v>0.5</v>
      </c>
      <c r="H1030" t="str">
        <v>OK</v>
      </c>
      <c r="J1030">
        <f t="shared" si="80"/>
        <v>8620.3000000000011</v>
      </c>
      <c r="K1030">
        <f>SUMIF(Supply_Clean[Item_Code], B1030, Supply_Clean[Available_Supply])</f>
        <v>23903</v>
      </c>
      <c r="L1030">
        <f t="shared" si="81"/>
        <v>1</v>
      </c>
      <c r="M1030">
        <f t="shared" si="82"/>
        <v>271</v>
      </c>
      <c r="N1030" t="str">
        <f t="shared" si="83"/>
        <v>SUFICIENTE</v>
      </c>
      <c r="O1030">
        <f t="shared" si="84"/>
        <v>0</v>
      </c>
    </row>
    <row r="1031" spans="1:15" x14ac:dyDescent="0.45">
      <c r="A1031" t="str">
        <v>CD-CDMX</v>
      </c>
      <c r="B1031" t="str">
        <v>BOT-1004</v>
      </c>
      <c r="C1031">
        <v>9272</v>
      </c>
      <c r="D1031">
        <v>726.7</v>
      </c>
      <c r="E1031">
        <v>152.5</v>
      </c>
      <c r="F1031">
        <v>0.9</v>
      </c>
      <c r="G1031">
        <v>0.2</v>
      </c>
      <c r="H1031" t="str">
        <v>OK</v>
      </c>
      <c r="J1031">
        <f t="shared" si="80"/>
        <v>9421.7999999999993</v>
      </c>
      <c r="K1031">
        <f>SUMIF(Supply_Clean[Item_Code], B1031, Supply_Clean[Available_Supply])</f>
        <v>15860</v>
      </c>
      <c r="L1031">
        <f t="shared" si="81"/>
        <v>1</v>
      </c>
      <c r="M1031">
        <f t="shared" si="82"/>
        <v>726.7</v>
      </c>
      <c r="N1031" t="str">
        <f t="shared" si="83"/>
        <v>SUFICIENTE</v>
      </c>
      <c r="O1031">
        <f t="shared" si="84"/>
        <v>0</v>
      </c>
    </row>
    <row r="1032" spans="1:15" x14ac:dyDescent="0.45">
      <c r="A1032" t="str">
        <v>CD-TIJ</v>
      </c>
      <c r="B1032" t="str">
        <v>PRO-1011</v>
      </c>
      <c r="C1032">
        <v>706</v>
      </c>
      <c r="D1032">
        <v>151</v>
      </c>
      <c r="E1032">
        <v>92.5</v>
      </c>
      <c r="F1032">
        <v>2.4</v>
      </c>
      <c r="G1032">
        <v>1.5</v>
      </c>
      <c r="H1032" t="str">
        <v>OK</v>
      </c>
      <c r="J1032">
        <f t="shared" si="80"/>
        <v>5674.6999999999989</v>
      </c>
      <c r="K1032">
        <f>SUMIF(Supply_Clean[Item_Code], B1032, Supply_Clean[Available_Supply])</f>
        <v>14178</v>
      </c>
      <c r="L1032">
        <f t="shared" si="81"/>
        <v>1</v>
      </c>
      <c r="M1032">
        <f t="shared" si="82"/>
        <v>151</v>
      </c>
      <c r="N1032" t="str">
        <f t="shared" si="83"/>
        <v>SUFICIENTE</v>
      </c>
      <c r="O1032">
        <f t="shared" si="84"/>
        <v>0</v>
      </c>
    </row>
    <row r="1033" spans="1:15" x14ac:dyDescent="0.45">
      <c r="A1033" t="str">
        <v>CD-QRO</v>
      </c>
      <c r="B1033" t="str">
        <v>PRO-1001</v>
      </c>
      <c r="C1033">
        <v>1439</v>
      </c>
      <c r="D1033">
        <v>345.7</v>
      </c>
      <c r="E1033">
        <v>241.6</v>
      </c>
      <c r="F1033">
        <v>1.6</v>
      </c>
      <c r="G1033">
        <v>0.4</v>
      </c>
      <c r="H1033" t="str">
        <v>OK</v>
      </c>
      <c r="J1033">
        <f t="shared" si="80"/>
        <v>6433.2999999999993</v>
      </c>
      <c r="K1033">
        <f>SUMIF(Supply_Clean[Item_Code], B1033, Supply_Clean[Available_Supply])</f>
        <v>10011</v>
      </c>
      <c r="L1033">
        <f t="shared" si="81"/>
        <v>1</v>
      </c>
      <c r="M1033">
        <f t="shared" si="82"/>
        <v>345.7</v>
      </c>
      <c r="N1033" t="str">
        <f t="shared" si="83"/>
        <v>SUFICIENTE</v>
      </c>
      <c r="O1033">
        <f t="shared" si="84"/>
        <v>0</v>
      </c>
    </row>
    <row r="1034" spans="1:15" x14ac:dyDescent="0.45">
      <c r="A1034" t="str">
        <v>CD-TIJ</v>
      </c>
      <c r="B1034" t="str">
        <v>BOT-1013</v>
      </c>
      <c r="C1034">
        <v>11639</v>
      </c>
      <c r="D1034">
        <v>715.4</v>
      </c>
      <c r="E1034">
        <v>192</v>
      </c>
      <c r="F1034">
        <v>3.8</v>
      </c>
      <c r="G1034">
        <v>1.5</v>
      </c>
      <c r="H1034" t="str">
        <v>OK</v>
      </c>
      <c r="J1034">
        <f t="shared" si="80"/>
        <v>8336.1999999999989</v>
      </c>
      <c r="K1034">
        <f>SUMIF(Supply_Clean[Item_Code], B1034, Supply_Clean[Available_Supply])</f>
        <v>20545</v>
      </c>
      <c r="L1034">
        <f t="shared" si="81"/>
        <v>1</v>
      </c>
      <c r="M1034">
        <f t="shared" si="82"/>
        <v>715.4</v>
      </c>
      <c r="N1034" t="str">
        <f t="shared" si="83"/>
        <v>SUFICIENTE</v>
      </c>
      <c r="O1034">
        <f t="shared" si="84"/>
        <v>0</v>
      </c>
    </row>
    <row r="1035" spans="1:15" x14ac:dyDescent="0.45">
      <c r="A1035" t="str">
        <v>CD-MER</v>
      </c>
      <c r="B1035" t="str">
        <v>LAC-1009</v>
      </c>
      <c r="C1035">
        <v>475</v>
      </c>
      <c r="D1035">
        <v>261.5</v>
      </c>
      <c r="E1035">
        <v>110.4</v>
      </c>
      <c r="F1035">
        <v>4.0999999999999996</v>
      </c>
      <c r="G1035">
        <v>1.3</v>
      </c>
      <c r="H1035" t="str">
        <v>OK</v>
      </c>
      <c r="J1035">
        <f t="shared" si="80"/>
        <v>4163.3999999999996</v>
      </c>
      <c r="K1035">
        <f>SUMIF(Supply_Clean[Item_Code], B1035, Supply_Clean[Available_Supply])</f>
        <v>6523</v>
      </c>
      <c r="L1035">
        <f t="shared" si="81"/>
        <v>1</v>
      </c>
      <c r="M1035">
        <f t="shared" si="82"/>
        <v>261.5</v>
      </c>
      <c r="N1035" t="str">
        <f t="shared" si="83"/>
        <v>SUFICIENTE</v>
      </c>
      <c r="O1035">
        <f t="shared" si="84"/>
        <v>0</v>
      </c>
    </row>
    <row r="1036" spans="1:15" x14ac:dyDescent="0.45">
      <c r="A1036" t="str">
        <v>CD-MER</v>
      </c>
      <c r="B1036" t="str">
        <v>PRO-1003</v>
      </c>
      <c r="C1036">
        <v>6190</v>
      </c>
      <c r="D1036">
        <v>563.70000000000005</v>
      </c>
      <c r="E1036">
        <v>355.7</v>
      </c>
      <c r="F1036">
        <v>2.2999999999999998</v>
      </c>
      <c r="G1036">
        <v>1.3</v>
      </c>
      <c r="H1036" t="str">
        <v>OK</v>
      </c>
      <c r="J1036">
        <f t="shared" si="80"/>
        <v>6234.9</v>
      </c>
      <c r="K1036">
        <f>SUMIF(Supply_Clean[Item_Code], B1036, Supply_Clean[Available_Supply])</f>
        <v>10658</v>
      </c>
      <c r="L1036">
        <f t="shared" si="81"/>
        <v>1</v>
      </c>
      <c r="M1036">
        <f t="shared" si="82"/>
        <v>563.70000000000005</v>
      </c>
      <c r="N1036" t="str">
        <f t="shared" si="83"/>
        <v>SUFICIENTE</v>
      </c>
      <c r="O1036">
        <f t="shared" si="84"/>
        <v>0</v>
      </c>
    </row>
    <row r="1037" spans="1:15" x14ac:dyDescent="0.45">
      <c r="A1037" t="str">
        <v>CD-MOR</v>
      </c>
      <c r="B1037" t="str">
        <v>LAC-1002</v>
      </c>
      <c r="C1037">
        <v>4332</v>
      </c>
      <c r="D1037">
        <v>268.8</v>
      </c>
      <c r="E1037">
        <v>90.9</v>
      </c>
      <c r="F1037">
        <v>2.2000000000000002</v>
      </c>
      <c r="G1037">
        <v>0.5</v>
      </c>
      <c r="H1037" t="str">
        <v>OK</v>
      </c>
      <c r="J1037">
        <f t="shared" si="80"/>
        <v>4442.1000000000004</v>
      </c>
      <c r="K1037">
        <f>SUMIF(Supply_Clean[Item_Code], B1037, Supply_Clean[Available_Supply])</f>
        <v>7796</v>
      </c>
      <c r="L1037">
        <f t="shared" si="81"/>
        <v>1</v>
      </c>
      <c r="M1037">
        <f t="shared" si="82"/>
        <v>268.8</v>
      </c>
      <c r="N1037" t="str">
        <f t="shared" si="83"/>
        <v>SUFICIENTE</v>
      </c>
      <c r="O1037">
        <f t="shared" si="84"/>
        <v>0</v>
      </c>
    </row>
    <row r="1038" spans="1:15" x14ac:dyDescent="0.45">
      <c r="A1038" t="str">
        <v>CD-VER</v>
      </c>
      <c r="B1038" t="str">
        <v>LAC-1003</v>
      </c>
      <c r="C1038">
        <v>2003</v>
      </c>
      <c r="D1038">
        <v>283.60000000000002</v>
      </c>
      <c r="E1038">
        <v>85.6</v>
      </c>
      <c r="F1038">
        <v>3.1</v>
      </c>
      <c r="G1038">
        <v>0.9</v>
      </c>
      <c r="H1038" t="str">
        <v>OK</v>
      </c>
      <c r="J1038">
        <f t="shared" si="80"/>
        <v>3701.4999999999995</v>
      </c>
      <c r="K1038">
        <f>SUMIF(Supply_Clean[Item_Code], B1038, Supply_Clean[Available_Supply])</f>
        <v>7244</v>
      </c>
      <c r="L1038">
        <f t="shared" si="81"/>
        <v>1</v>
      </c>
      <c r="M1038">
        <f t="shared" si="82"/>
        <v>283.60000000000002</v>
      </c>
      <c r="N1038" t="str">
        <f t="shared" si="83"/>
        <v>SUFICIENTE</v>
      </c>
      <c r="O1038">
        <f t="shared" si="84"/>
        <v>0</v>
      </c>
    </row>
    <row r="1039" spans="1:15" x14ac:dyDescent="0.45">
      <c r="A1039" t="str">
        <v>CD-MTY</v>
      </c>
      <c r="B1039" t="str">
        <v>PRO-1002</v>
      </c>
      <c r="C1039">
        <v>3006</v>
      </c>
      <c r="D1039">
        <v>683.5</v>
      </c>
      <c r="E1039">
        <v>343.5</v>
      </c>
      <c r="F1039">
        <v>1.4</v>
      </c>
      <c r="G1039">
        <v>0.3</v>
      </c>
      <c r="H1039" t="str">
        <v>OK</v>
      </c>
      <c r="J1039">
        <f t="shared" si="80"/>
        <v>6123.6999999999989</v>
      </c>
      <c r="K1039">
        <f>SUMIF(Supply_Clean[Item_Code], B1039, Supply_Clean[Available_Supply])</f>
        <v>17616</v>
      </c>
      <c r="L1039">
        <f t="shared" si="81"/>
        <v>1</v>
      </c>
      <c r="M1039">
        <f t="shared" si="82"/>
        <v>683.5</v>
      </c>
      <c r="N1039" t="str">
        <f t="shared" si="83"/>
        <v>SUFICIENTE</v>
      </c>
      <c r="O1039">
        <f t="shared" si="84"/>
        <v>0</v>
      </c>
    </row>
    <row r="1040" spans="1:15" x14ac:dyDescent="0.45">
      <c r="A1040" t="str">
        <v>CD-SAL</v>
      </c>
      <c r="B1040" t="str">
        <v>BEB-1017</v>
      </c>
      <c r="C1040">
        <v>2905</v>
      </c>
      <c r="D1040">
        <v>258.89999999999998</v>
      </c>
      <c r="E1040">
        <v>28.9</v>
      </c>
      <c r="F1040">
        <v>2.1</v>
      </c>
      <c r="G1040">
        <v>0.5</v>
      </c>
      <c r="H1040" t="str">
        <v>OK</v>
      </c>
      <c r="J1040">
        <f t="shared" si="80"/>
        <v>6231.7000000000007</v>
      </c>
      <c r="K1040">
        <f>SUMIF(Supply_Clean[Item_Code], B1040, Supply_Clean[Available_Supply])</f>
        <v>18257</v>
      </c>
      <c r="L1040">
        <f t="shared" si="81"/>
        <v>1</v>
      </c>
      <c r="M1040">
        <f t="shared" si="82"/>
        <v>258.89999999999998</v>
      </c>
      <c r="N1040" t="str">
        <f t="shared" si="83"/>
        <v>SUFICIENTE</v>
      </c>
      <c r="O1040">
        <f t="shared" si="84"/>
        <v>0</v>
      </c>
    </row>
    <row r="1041" spans="1:15" x14ac:dyDescent="0.45">
      <c r="A1041" t="str">
        <v>CD-GDL</v>
      </c>
      <c r="B1041" t="str">
        <v>BEB-1003</v>
      </c>
      <c r="C1041">
        <v>2367</v>
      </c>
      <c r="D1041">
        <v>466</v>
      </c>
      <c r="E1041">
        <v>72.3</v>
      </c>
      <c r="F1041">
        <v>0.7</v>
      </c>
      <c r="G1041">
        <v>0.2</v>
      </c>
      <c r="H1041" t="str">
        <v>OK</v>
      </c>
      <c r="J1041">
        <f t="shared" si="80"/>
        <v>5232</v>
      </c>
      <c r="K1041">
        <f>SUMIF(Supply_Clean[Item_Code], B1041, Supply_Clean[Available_Supply])</f>
        <v>16426</v>
      </c>
      <c r="L1041">
        <f t="shared" si="81"/>
        <v>1</v>
      </c>
      <c r="M1041">
        <f t="shared" si="82"/>
        <v>466</v>
      </c>
      <c r="N1041" t="str">
        <f t="shared" si="83"/>
        <v>SUFICIENTE</v>
      </c>
      <c r="O1041">
        <f t="shared" si="84"/>
        <v>0</v>
      </c>
    </row>
    <row r="1042" spans="1:15" x14ac:dyDescent="0.45">
      <c r="A1042" t="str">
        <v>CD-TOL</v>
      </c>
      <c r="B1042" t="str">
        <v>BEB-1005</v>
      </c>
      <c r="C1042">
        <v>3970</v>
      </c>
      <c r="D1042">
        <v>310.2</v>
      </c>
      <c r="E1042">
        <v>46.5</v>
      </c>
      <c r="F1042">
        <v>2.2000000000000002</v>
      </c>
      <c r="G1042">
        <v>0.5</v>
      </c>
      <c r="H1042" t="str">
        <v>OK</v>
      </c>
      <c r="J1042">
        <f t="shared" si="80"/>
        <v>6220.1999999999989</v>
      </c>
      <c r="K1042">
        <f>SUMIF(Supply_Clean[Item_Code], B1042, Supply_Clean[Available_Supply])</f>
        <v>14054</v>
      </c>
      <c r="L1042">
        <f t="shared" si="81"/>
        <v>1</v>
      </c>
      <c r="M1042">
        <f t="shared" si="82"/>
        <v>310.2</v>
      </c>
      <c r="N1042" t="str">
        <f t="shared" si="83"/>
        <v>SUFICIENTE</v>
      </c>
      <c r="O1042">
        <f t="shared" si="84"/>
        <v>0</v>
      </c>
    </row>
    <row r="1043" spans="1:15" x14ac:dyDescent="0.45">
      <c r="A1043" t="str">
        <v>CD-MER</v>
      </c>
      <c r="B1043" t="str">
        <v>BEB-1004</v>
      </c>
      <c r="C1043">
        <v>2021</v>
      </c>
      <c r="D1043">
        <v>222.7</v>
      </c>
      <c r="E1043">
        <v>42.2</v>
      </c>
      <c r="F1043">
        <v>3.8</v>
      </c>
      <c r="G1043">
        <v>1.3</v>
      </c>
      <c r="H1043" t="str">
        <v>OK</v>
      </c>
      <c r="J1043">
        <f t="shared" si="80"/>
        <v>5324.2</v>
      </c>
      <c r="K1043">
        <f>SUMIF(Supply_Clean[Item_Code], B1043, Supply_Clean[Available_Supply])</f>
        <v>15672</v>
      </c>
      <c r="L1043">
        <f t="shared" si="81"/>
        <v>1</v>
      </c>
      <c r="M1043">
        <f t="shared" si="82"/>
        <v>222.7</v>
      </c>
      <c r="N1043" t="str">
        <f t="shared" si="83"/>
        <v>SUFICIENTE</v>
      </c>
      <c r="O1043">
        <f t="shared" si="84"/>
        <v>0</v>
      </c>
    </row>
    <row r="1044" spans="1:15" x14ac:dyDescent="0.45">
      <c r="A1044" t="str">
        <v>CD-TOL</v>
      </c>
      <c r="B1044" t="str">
        <v>LAC-1007</v>
      </c>
      <c r="C1044">
        <v>1122</v>
      </c>
      <c r="D1044">
        <v>246.3</v>
      </c>
      <c r="E1044">
        <v>88.4</v>
      </c>
      <c r="F1044">
        <v>1.6</v>
      </c>
      <c r="G1044">
        <v>0.5</v>
      </c>
      <c r="H1044" t="str">
        <v>OK</v>
      </c>
      <c r="J1044">
        <f t="shared" si="80"/>
        <v>4093.7999999999997</v>
      </c>
      <c r="K1044">
        <f>SUMIF(Supply_Clean[Item_Code], B1044, Supply_Clean[Available_Supply])</f>
        <v>11651</v>
      </c>
      <c r="L1044">
        <f t="shared" si="81"/>
        <v>1</v>
      </c>
      <c r="M1044">
        <f t="shared" si="82"/>
        <v>246.3</v>
      </c>
      <c r="N1044" t="str">
        <f t="shared" si="83"/>
        <v>SUFICIENTE</v>
      </c>
      <c r="O1044">
        <f t="shared" si="84"/>
        <v>0</v>
      </c>
    </row>
    <row r="1045" spans="1:15" x14ac:dyDescent="0.45">
      <c r="A1045" t="str">
        <v>CD-MOR</v>
      </c>
      <c r="B1045" t="str">
        <v>BEB-1006</v>
      </c>
      <c r="C1045">
        <v>4357</v>
      </c>
      <c r="D1045">
        <v>248.7</v>
      </c>
      <c r="E1045">
        <v>39.6</v>
      </c>
      <c r="F1045">
        <v>1.8</v>
      </c>
      <c r="G1045">
        <v>0.5</v>
      </c>
      <c r="H1045" t="str">
        <v>OK</v>
      </c>
      <c r="J1045">
        <f t="shared" si="80"/>
        <v>5154.2000000000016</v>
      </c>
      <c r="K1045">
        <f>SUMIF(Supply_Clean[Item_Code], B1045, Supply_Clean[Available_Supply])</f>
        <v>12324</v>
      </c>
      <c r="L1045">
        <f t="shared" si="81"/>
        <v>1</v>
      </c>
      <c r="M1045">
        <f t="shared" si="82"/>
        <v>248.7</v>
      </c>
      <c r="N1045" t="str">
        <f t="shared" si="83"/>
        <v>SUFICIENTE</v>
      </c>
      <c r="O1045">
        <f t="shared" si="84"/>
        <v>0</v>
      </c>
    </row>
    <row r="1046" spans="1:15" x14ac:dyDescent="0.45">
      <c r="A1046" t="str">
        <v>CD-GDL</v>
      </c>
      <c r="B1046" t="str">
        <v>BEB-1018</v>
      </c>
      <c r="C1046">
        <v>2744</v>
      </c>
      <c r="D1046">
        <v>357.7</v>
      </c>
      <c r="E1046">
        <v>71</v>
      </c>
      <c r="F1046">
        <v>0.8</v>
      </c>
      <c r="G1046">
        <v>0.2</v>
      </c>
      <c r="H1046" t="str">
        <v>OK</v>
      </c>
      <c r="J1046">
        <f t="shared" si="80"/>
        <v>5898.0999999999995</v>
      </c>
      <c r="K1046">
        <f>SUMIF(Supply_Clean[Item_Code], B1046, Supply_Clean[Available_Supply])</f>
        <v>11472</v>
      </c>
      <c r="L1046">
        <f t="shared" si="81"/>
        <v>1</v>
      </c>
      <c r="M1046">
        <f t="shared" si="82"/>
        <v>357.7</v>
      </c>
      <c r="N1046" t="str">
        <f t="shared" si="83"/>
        <v>SUFICIENTE</v>
      </c>
      <c r="O1046">
        <f t="shared" si="84"/>
        <v>0</v>
      </c>
    </row>
    <row r="1047" spans="1:15" x14ac:dyDescent="0.45">
      <c r="A1047" t="str">
        <v>CD-TIJ</v>
      </c>
      <c r="B1047" t="str">
        <v>BEB-1014</v>
      </c>
      <c r="C1047">
        <v>10022</v>
      </c>
      <c r="D1047">
        <v>615.29999999999995</v>
      </c>
      <c r="E1047">
        <v>96.8</v>
      </c>
      <c r="F1047">
        <v>6.7</v>
      </c>
      <c r="G1047">
        <v>1.5</v>
      </c>
      <c r="H1047" t="str">
        <v>OK</v>
      </c>
      <c r="J1047">
        <f t="shared" si="80"/>
        <v>6274.9000000000005</v>
      </c>
      <c r="K1047">
        <f>SUMIF(Supply_Clean[Item_Code], B1047, Supply_Clean[Available_Supply])</f>
        <v>14205</v>
      </c>
      <c r="L1047">
        <f t="shared" si="81"/>
        <v>1</v>
      </c>
      <c r="M1047">
        <f t="shared" si="82"/>
        <v>615.29999999999995</v>
      </c>
      <c r="N1047" t="str">
        <f t="shared" si="83"/>
        <v>SUFICIENTE</v>
      </c>
      <c r="O1047">
        <f t="shared" si="84"/>
        <v>0</v>
      </c>
    </row>
    <row r="1048" spans="1:15" x14ac:dyDescent="0.45">
      <c r="A1048" t="str">
        <v>CD-VER</v>
      </c>
      <c r="B1048" t="str">
        <v>BEB-1005</v>
      </c>
      <c r="C1048">
        <v>3000</v>
      </c>
      <c r="D1048">
        <v>266.89999999999998</v>
      </c>
      <c r="E1048">
        <v>38.700000000000003</v>
      </c>
      <c r="F1048">
        <v>2.8</v>
      </c>
      <c r="G1048">
        <v>0.9</v>
      </c>
      <c r="H1048" t="str">
        <v>OK</v>
      </c>
      <c r="J1048">
        <f t="shared" si="80"/>
        <v>6220.1999999999989</v>
      </c>
      <c r="K1048">
        <f>SUMIF(Supply_Clean[Item_Code], B1048, Supply_Clean[Available_Supply])</f>
        <v>14054</v>
      </c>
      <c r="L1048">
        <f t="shared" si="81"/>
        <v>1</v>
      </c>
      <c r="M1048">
        <f t="shared" si="82"/>
        <v>266.89999999999998</v>
      </c>
      <c r="N1048" t="str">
        <f t="shared" si="83"/>
        <v>SUFICIENTE</v>
      </c>
      <c r="O1048">
        <f t="shared" si="84"/>
        <v>0</v>
      </c>
    </row>
    <row r="1049" spans="1:15" x14ac:dyDescent="0.45">
      <c r="A1049" t="str">
        <v>CD-LEO</v>
      </c>
      <c r="B1049" t="str">
        <v>ABA-1002</v>
      </c>
      <c r="C1049">
        <v>3341</v>
      </c>
      <c r="D1049">
        <v>337.7</v>
      </c>
      <c r="E1049">
        <v>40</v>
      </c>
      <c r="F1049">
        <v>2.2999999999999998</v>
      </c>
      <c r="G1049">
        <v>0.6</v>
      </c>
      <c r="H1049" t="str">
        <v>OK</v>
      </c>
      <c r="J1049">
        <f t="shared" si="80"/>
        <v>4525.7</v>
      </c>
      <c r="K1049">
        <f>SUMIF(Supply_Clean[Item_Code], B1049, Supply_Clean[Available_Supply])</f>
        <v>8581</v>
      </c>
      <c r="L1049">
        <f t="shared" si="81"/>
        <v>1</v>
      </c>
      <c r="M1049">
        <f t="shared" si="82"/>
        <v>337.7</v>
      </c>
      <c r="N1049" t="str">
        <f t="shared" si="83"/>
        <v>SUFICIENTE</v>
      </c>
      <c r="O1049">
        <f t="shared" si="84"/>
        <v>0</v>
      </c>
    </row>
    <row r="1050" spans="1:15" x14ac:dyDescent="0.45">
      <c r="A1050" t="str">
        <v>CD-HER</v>
      </c>
      <c r="B1050" t="str">
        <v>LAC-1007</v>
      </c>
      <c r="C1050">
        <v>1950</v>
      </c>
      <c r="D1050">
        <v>361</v>
      </c>
      <c r="E1050">
        <v>112.3</v>
      </c>
      <c r="F1050">
        <v>4.9000000000000004</v>
      </c>
      <c r="G1050">
        <v>1.2</v>
      </c>
      <c r="H1050" t="str">
        <v>OK</v>
      </c>
      <c r="J1050">
        <f t="shared" si="80"/>
        <v>4093.7999999999997</v>
      </c>
      <c r="K1050">
        <f>SUMIF(Supply_Clean[Item_Code], B1050, Supply_Clean[Available_Supply])</f>
        <v>11651</v>
      </c>
      <c r="L1050">
        <f t="shared" si="81"/>
        <v>1</v>
      </c>
      <c r="M1050">
        <f t="shared" si="82"/>
        <v>361</v>
      </c>
      <c r="N1050" t="str">
        <f t="shared" si="83"/>
        <v>SUFICIENTE</v>
      </c>
      <c r="O1050">
        <f t="shared" si="84"/>
        <v>0</v>
      </c>
    </row>
    <row r="1051" spans="1:15" x14ac:dyDescent="0.45">
      <c r="A1051" t="str">
        <v>CD-PUE</v>
      </c>
      <c r="B1051" t="str">
        <v>ABA-1009</v>
      </c>
      <c r="C1051">
        <v>4117</v>
      </c>
      <c r="D1051">
        <v>300.5</v>
      </c>
      <c r="E1051">
        <v>34.6</v>
      </c>
      <c r="F1051">
        <v>0.9</v>
      </c>
      <c r="G1051">
        <v>0.3</v>
      </c>
      <c r="H1051" t="str">
        <v>OK</v>
      </c>
      <c r="J1051">
        <f t="shared" si="80"/>
        <v>5016.1000000000004</v>
      </c>
      <c r="K1051">
        <f>SUMIF(Supply_Clean[Item_Code], B1051, Supply_Clean[Available_Supply])</f>
        <v>13458</v>
      </c>
      <c r="L1051">
        <f t="shared" si="81"/>
        <v>1</v>
      </c>
      <c r="M1051">
        <f t="shared" si="82"/>
        <v>300.5</v>
      </c>
      <c r="N1051" t="str">
        <f t="shared" si="83"/>
        <v>SUFICIENTE</v>
      </c>
      <c r="O1051">
        <f t="shared" si="84"/>
        <v>0</v>
      </c>
    </row>
    <row r="1052" spans="1:15" x14ac:dyDescent="0.45">
      <c r="A1052" t="str">
        <v>CD-VER</v>
      </c>
      <c r="B1052" t="str">
        <v>BOT-1011</v>
      </c>
      <c r="C1052">
        <v>8473</v>
      </c>
      <c r="D1052">
        <v>749</v>
      </c>
      <c r="E1052">
        <v>192.9</v>
      </c>
      <c r="F1052">
        <v>3</v>
      </c>
      <c r="G1052">
        <v>0.9</v>
      </c>
      <c r="H1052" t="str">
        <v>OK</v>
      </c>
      <c r="J1052">
        <f t="shared" si="80"/>
        <v>9886.2999999999993</v>
      </c>
      <c r="K1052">
        <f>SUMIF(Supply_Clean[Item_Code], B1052, Supply_Clean[Available_Supply])</f>
        <v>19886</v>
      </c>
      <c r="L1052">
        <f t="shared" si="81"/>
        <v>1</v>
      </c>
      <c r="M1052">
        <f t="shared" si="82"/>
        <v>749</v>
      </c>
      <c r="N1052" t="str">
        <f t="shared" si="83"/>
        <v>SUFICIENTE</v>
      </c>
      <c r="O1052">
        <f t="shared" si="84"/>
        <v>0</v>
      </c>
    </row>
    <row r="1053" spans="1:15" x14ac:dyDescent="0.45">
      <c r="A1053" t="str">
        <v>CD-PUE</v>
      </c>
      <c r="B1053" t="str">
        <v>BEB-1014</v>
      </c>
      <c r="C1053">
        <v>3091</v>
      </c>
      <c r="D1053">
        <v>227.3</v>
      </c>
      <c r="E1053">
        <v>29.7</v>
      </c>
      <c r="F1053">
        <v>0.6</v>
      </c>
      <c r="G1053">
        <v>0.3</v>
      </c>
      <c r="H1053" t="str">
        <v>OK</v>
      </c>
      <c r="J1053">
        <f t="shared" si="80"/>
        <v>6274.9000000000005</v>
      </c>
      <c r="K1053">
        <f>SUMIF(Supply_Clean[Item_Code], B1053, Supply_Clean[Available_Supply])</f>
        <v>14205</v>
      </c>
      <c r="L1053">
        <f t="shared" si="81"/>
        <v>1</v>
      </c>
      <c r="M1053">
        <f t="shared" si="82"/>
        <v>227.3</v>
      </c>
      <c r="N1053" t="str">
        <f t="shared" si="83"/>
        <v>SUFICIENTE</v>
      </c>
      <c r="O1053">
        <f t="shared" si="84"/>
        <v>0</v>
      </c>
    </row>
    <row r="1054" spans="1:15" x14ac:dyDescent="0.45">
      <c r="A1054" t="str">
        <v>CD-GDL</v>
      </c>
      <c r="B1054" t="str">
        <v>BOT-1022</v>
      </c>
      <c r="C1054">
        <v>9934</v>
      </c>
      <c r="D1054">
        <v>822.4</v>
      </c>
      <c r="E1054">
        <v>232.7</v>
      </c>
      <c r="F1054">
        <v>1.3</v>
      </c>
      <c r="G1054">
        <v>0.2</v>
      </c>
      <c r="H1054" t="str">
        <v>OK</v>
      </c>
      <c r="J1054">
        <f t="shared" si="80"/>
        <v>9197.7000000000007</v>
      </c>
      <c r="K1054">
        <f>SUMIF(Supply_Clean[Item_Code], B1054, Supply_Clean[Available_Supply])</f>
        <v>23862</v>
      </c>
      <c r="L1054">
        <f t="shared" si="81"/>
        <v>1</v>
      </c>
      <c r="M1054">
        <f t="shared" si="82"/>
        <v>822.4</v>
      </c>
      <c r="N1054" t="str">
        <f t="shared" si="83"/>
        <v>SUFICIENTE</v>
      </c>
      <c r="O1054">
        <f t="shared" si="84"/>
        <v>0</v>
      </c>
    </row>
    <row r="1055" spans="1:15" x14ac:dyDescent="0.45">
      <c r="A1055" t="str">
        <v>CD-MER</v>
      </c>
      <c r="B1055" t="str">
        <v>PRO-1010</v>
      </c>
      <c r="C1055">
        <v>6309</v>
      </c>
      <c r="D1055">
        <v>444.6</v>
      </c>
      <c r="E1055">
        <v>184.4</v>
      </c>
      <c r="F1055">
        <v>4.0999999999999996</v>
      </c>
      <c r="G1055">
        <v>1.3</v>
      </c>
      <c r="H1055" t="str">
        <v>OK</v>
      </c>
      <c r="J1055">
        <f t="shared" si="80"/>
        <v>6996.1000000000013</v>
      </c>
      <c r="K1055">
        <f>SUMIF(Supply_Clean[Item_Code], B1055, Supply_Clean[Available_Supply])</f>
        <v>18475</v>
      </c>
      <c r="L1055">
        <f t="shared" si="81"/>
        <v>1</v>
      </c>
      <c r="M1055">
        <f t="shared" si="82"/>
        <v>444.6</v>
      </c>
      <c r="N1055" t="str">
        <f t="shared" si="83"/>
        <v>SUFICIENTE</v>
      </c>
      <c r="O1055">
        <f t="shared" si="84"/>
        <v>0</v>
      </c>
    </row>
    <row r="1056" spans="1:15" x14ac:dyDescent="0.45">
      <c r="A1056" t="str">
        <v>CD-QRO</v>
      </c>
      <c r="B1056" t="str">
        <v>ABA-1013</v>
      </c>
      <c r="C1056">
        <v>1080</v>
      </c>
      <c r="D1056">
        <v>223.6</v>
      </c>
      <c r="E1056">
        <v>23.1</v>
      </c>
      <c r="F1056">
        <v>2.7</v>
      </c>
      <c r="G1056">
        <v>0.4</v>
      </c>
      <c r="H1056" t="str">
        <v>OK</v>
      </c>
      <c r="J1056">
        <f t="shared" si="80"/>
        <v>4213.8999999999996</v>
      </c>
      <c r="K1056">
        <f>SUMIF(Supply_Clean[Item_Code], B1056, Supply_Clean[Available_Supply])</f>
        <v>2568</v>
      </c>
      <c r="L1056">
        <f t="shared" si="81"/>
        <v>0.60941170886826934</v>
      </c>
      <c r="M1056">
        <f t="shared" si="82"/>
        <v>136.26445810294501</v>
      </c>
      <c r="N1056" t="str">
        <f t="shared" si="83"/>
        <v>ESCASEZ</v>
      </c>
      <c r="O1056">
        <f t="shared" si="84"/>
        <v>87.335541897054981</v>
      </c>
    </row>
    <row r="1057" spans="1:15" x14ac:dyDescent="0.45">
      <c r="A1057" t="str">
        <v>CD-GDL</v>
      </c>
      <c r="B1057" t="str">
        <v>PRO-1010</v>
      </c>
      <c r="C1057">
        <v>1521</v>
      </c>
      <c r="D1057">
        <v>142</v>
      </c>
      <c r="E1057">
        <v>77.8</v>
      </c>
      <c r="F1057">
        <v>1.1000000000000001</v>
      </c>
      <c r="G1057">
        <v>0.2</v>
      </c>
      <c r="H1057" t="str">
        <v>OK</v>
      </c>
      <c r="J1057">
        <f t="shared" si="80"/>
        <v>6996.1000000000013</v>
      </c>
      <c r="K1057">
        <f>SUMIF(Supply_Clean[Item_Code], B1057, Supply_Clean[Available_Supply])</f>
        <v>18475</v>
      </c>
      <c r="L1057">
        <f t="shared" si="81"/>
        <v>1</v>
      </c>
      <c r="M1057">
        <f t="shared" si="82"/>
        <v>142</v>
      </c>
      <c r="N1057" t="str">
        <f t="shared" si="83"/>
        <v>SUFICIENTE</v>
      </c>
      <c r="O1057">
        <f t="shared" si="84"/>
        <v>0</v>
      </c>
    </row>
    <row r="1058" spans="1:15" x14ac:dyDescent="0.45">
      <c r="A1058" t="str">
        <v>CD-TOL</v>
      </c>
      <c r="B1058" t="str">
        <v>BEB-1020</v>
      </c>
      <c r="C1058">
        <v>6859</v>
      </c>
      <c r="D1058">
        <v>440.1</v>
      </c>
      <c r="E1058">
        <v>46.4</v>
      </c>
      <c r="F1058">
        <v>1.9</v>
      </c>
      <c r="G1058">
        <v>0.5</v>
      </c>
      <c r="H1058" t="str">
        <v>OK</v>
      </c>
      <c r="J1058">
        <f t="shared" si="80"/>
        <v>6114.4000000000005</v>
      </c>
      <c r="K1058">
        <f>SUMIF(Supply_Clean[Item_Code], B1058, Supply_Clean[Available_Supply])</f>
        <v>16621</v>
      </c>
      <c r="L1058">
        <f t="shared" si="81"/>
        <v>1</v>
      </c>
      <c r="M1058">
        <f t="shared" si="82"/>
        <v>440.1</v>
      </c>
      <c r="N1058" t="str">
        <f t="shared" si="83"/>
        <v>SUFICIENTE</v>
      </c>
      <c r="O1058">
        <f t="shared" si="84"/>
        <v>0</v>
      </c>
    </row>
    <row r="1059" spans="1:15" x14ac:dyDescent="0.45">
      <c r="A1059" t="str">
        <v>CD-GDL</v>
      </c>
      <c r="B1059" t="str">
        <v>BOT-1010</v>
      </c>
      <c r="C1059">
        <v>3340</v>
      </c>
      <c r="D1059">
        <v>770.1</v>
      </c>
      <c r="E1059">
        <v>145.19999999999999</v>
      </c>
      <c r="F1059">
        <v>1.3</v>
      </c>
      <c r="G1059">
        <v>0.2</v>
      </c>
      <c r="H1059" t="str">
        <v>OK</v>
      </c>
      <c r="J1059">
        <f t="shared" si="80"/>
        <v>7108.7000000000007</v>
      </c>
      <c r="K1059">
        <f>SUMIF(Supply_Clean[Item_Code], B1059, Supply_Clean[Available_Supply])</f>
        <v>21582</v>
      </c>
      <c r="L1059">
        <f t="shared" si="81"/>
        <v>1</v>
      </c>
      <c r="M1059">
        <f t="shared" si="82"/>
        <v>770.1</v>
      </c>
      <c r="N1059" t="str">
        <f t="shared" si="83"/>
        <v>SUFICIENTE</v>
      </c>
      <c r="O1059">
        <f t="shared" si="84"/>
        <v>0</v>
      </c>
    </row>
    <row r="1060" spans="1:15" x14ac:dyDescent="0.45">
      <c r="A1060" t="str">
        <v>CD-MTY</v>
      </c>
      <c r="B1060" t="str">
        <v>PRO-1007</v>
      </c>
      <c r="C1060">
        <v>11480</v>
      </c>
      <c r="D1060">
        <v>685</v>
      </c>
      <c r="E1060">
        <v>417.2</v>
      </c>
      <c r="F1060">
        <v>1</v>
      </c>
      <c r="G1060">
        <v>0.3</v>
      </c>
      <c r="H1060" t="str">
        <v>OK</v>
      </c>
      <c r="J1060">
        <f t="shared" si="80"/>
        <v>5354.8</v>
      </c>
      <c r="K1060">
        <f>SUMIF(Supply_Clean[Item_Code], B1060, Supply_Clean[Available_Supply])</f>
        <v>10360</v>
      </c>
      <c r="L1060">
        <f t="shared" si="81"/>
        <v>1</v>
      </c>
      <c r="M1060">
        <f t="shared" si="82"/>
        <v>685</v>
      </c>
      <c r="N1060" t="str">
        <f t="shared" si="83"/>
        <v>SUFICIENTE</v>
      </c>
      <c r="O1060">
        <f t="shared" si="84"/>
        <v>0</v>
      </c>
    </row>
    <row r="1061" spans="1:15" x14ac:dyDescent="0.45">
      <c r="A1061" t="str">
        <v>CD-LEO</v>
      </c>
      <c r="B1061" t="str">
        <v>PRO-1002</v>
      </c>
      <c r="C1061">
        <v>3637</v>
      </c>
      <c r="D1061">
        <v>263.3</v>
      </c>
      <c r="E1061">
        <v>158.30000000000001</v>
      </c>
      <c r="F1061">
        <v>2</v>
      </c>
      <c r="G1061">
        <v>0.6</v>
      </c>
      <c r="H1061" t="str">
        <v>OK</v>
      </c>
      <c r="J1061">
        <f t="shared" si="80"/>
        <v>6123.6999999999989</v>
      </c>
      <c r="K1061">
        <f>SUMIF(Supply_Clean[Item_Code], B1061, Supply_Clean[Available_Supply])</f>
        <v>17616</v>
      </c>
      <c r="L1061">
        <f t="shared" si="81"/>
        <v>1</v>
      </c>
      <c r="M1061">
        <f t="shared" si="82"/>
        <v>263.3</v>
      </c>
      <c r="N1061" t="str">
        <f t="shared" si="83"/>
        <v>SUFICIENTE</v>
      </c>
      <c r="O1061">
        <f t="shared" si="84"/>
        <v>0</v>
      </c>
    </row>
    <row r="1062" spans="1:15" x14ac:dyDescent="0.45">
      <c r="A1062" t="str">
        <v>CD-MTY</v>
      </c>
      <c r="B1062" t="str">
        <v>LAC-1007</v>
      </c>
      <c r="C1062">
        <v>1962</v>
      </c>
      <c r="D1062">
        <v>412.5</v>
      </c>
      <c r="E1062">
        <v>158.19999999999999</v>
      </c>
      <c r="F1062">
        <v>1.1000000000000001</v>
      </c>
      <c r="G1062">
        <v>0.3</v>
      </c>
      <c r="H1062" t="str">
        <v>OK</v>
      </c>
      <c r="J1062">
        <f t="shared" si="80"/>
        <v>4093.7999999999997</v>
      </c>
      <c r="K1062">
        <f>SUMIF(Supply_Clean[Item_Code], B1062, Supply_Clean[Available_Supply])</f>
        <v>11651</v>
      </c>
      <c r="L1062">
        <f t="shared" si="81"/>
        <v>1</v>
      </c>
      <c r="M1062">
        <f t="shared" si="82"/>
        <v>412.5</v>
      </c>
      <c r="N1062" t="str">
        <f t="shared" si="83"/>
        <v>SUFICIENTE</v>
      </c>
      <c r="O1062">
        <f t="shared" si="84"/>
        <v>0</v>
      </c>
    </row>
    <row r="1063" spans="1:15" x14ac:dyDescent="0.45">
      <c r="A1063" t="str">
        <v>CD-PUE</v>
      </c>
      <c r="B1063" t="str">
        <v>PRO-1003</v>
      </c>
      <c r="C1063">
        <v>571</v>
      </c>
      <c r="D1063">
        <v>137.19999999999999</v>
      </c>
      <c r="E1063">
        <v>95</v>
      </c>
      <c r="F1063">
        <v>1.1000000000000001</v>
      </c>
      <c r="G1063">
        <v>0.3</v>
      </c>
      <c r="H1063" t="str">
        <v>OK</v>
      </c>
      <c r="J1063">
        <f t="shared" si="80"/>
        <v>6234.9</v>
      </c>
      <c r="K1063">
        <f>SUMIF(Supply_Clean[Item_Code], B1063, Supply_Clean[Available_Supply])</f>
        <v>10658</v>
      </c>
      <c r="L1063">
        <f t="shared" si="81"/>
        <v>1</v>
      </c>
      <c r="M1063">
        <f t="shared" si="82"/>
        <v>137.19999999999999</v>
      </c>
      <c r="N1063" t="str">
        <f t="shared" si="83"/>
        <v>SUFICIENTE</v>
      </c>
      <c r="O1063">
        <f t="shared" si="84"/>
        <v>0</v>
      </c>
    </row>
    <row r="1064" spans="1:15" x14ac:dyDescent="0.45">
      <c r="A1064" t="str">
        <v>CD-PUE</v>
      </c>
      <c r="B1064" t="str">
        <v>BOT-1007</v>
      </c>
      <c r="C1064">
        <v>2544</v>
      </c>
      <c r="D1064">
        <v>0</v>
      </c>
      <c r="E1064">
        <v>150.30000000000001</v>
      </c>
      <c r="F1064">
        <v>0.8</v>
      </c>
      <c r="G1064">
        <v>0.3</v>
      </c>
      <c r="H1064" t="str">
        <v>OK</v>
      </c>
      <c r="J1064">
        <f t="shared" si="80"/>
        <v>7508.1</v>
      </c>
      <c r="K1064">
        <f>SUMIF(Supply_Clean[Item_Code], B1064, Supply_Clean[Available_Supply])</f>
        <v>16668</v>
      </c>
      <c r="L1064">
        <f t="shared" si="81"/>
        <v>1</v>
      </c>
      <c r="M1064">
        <f t="shared" si="82"/>
        <v>0</v>
      </c>
      <c r="N1064" t="str">
        <f t="shared" si="83"/>
        <v>SUFICIENTE</v>
      </c>
      <c r="O1064">
        <f t="shared" si="84"/>
        <v>0</v>
      </c>
    </row>
    <row r="1065" spans="1:15" x14ac:dyDescent="0.45">
      <c r="A1065" t="str">
        <v>CD-GDL</v>
      </c>
      <c r="B1065" t="str">
        <v>BEB-1010</v>
      </c>
      <c r="C1065">
        <v>718</v>
      </c>
      <c r="D1065">
        <v>194.8</v>
      </c>
      <c r="E1065">
        <v>32.700000000000003</v>
      </c>
      <c r="F1065">
        <v>0.8</v>
      </c>
      <c r="G1065">
        <v>0.2</v>
      </c>
      <c r="H1065" t="str">
        <v>OK</v>
      </c>
      <c r="J1065">
        <f t="shared" si="80"/>
        <v>4470.2999999999993</v>
      </c>
      <c r="K1065">
        <f>SUMIF(Supply_Clean[Item_Code], B1065, Supply_Clean[Available_Supply])</f>
        <v>3237</v>
      </c>
      <c r="L1065">
        <f t="shared" si="81"/>
        <v>0.7241124756727737</v>
      </c>
      <c r="M1065">
        <f t="shared" si="82"/>
        <v>141.05711026105632</v>
      </c>
      <c r="N1065" t="str">
        <f t="shared" si="83"/>
        <v>ESCASEZ</v>
      </c>
      <c r="O1065">
        <f t="shared" si="84"/>
        <v>53.742889738943688</v>
      </c>
    </row>
    <row r="1066" spans="1:15" x14ac:dyDescent="0.45">
      <c r="A1066" t="str">
        <v>CD-CAN</v>
      </c>
      <c r="B1066" t="str">
        <v>BOT-1000</v>
      </c>
      <c r="C1066">
        <v>3873</v>
      </c>
      <c r="D1066">
        <v>679.3</v>
      </c>
      <c r="E1066">
        <v>152.4</v>
      </c>
      <c r="F1066">
        <v>2.1</v>
      </c>
      <c r="G1066">
        <v>1.6</v>
      </c>
      <c r="H1066" t="str">
        <v>OK</v>
      </c>
      <c r="J1066">
        <f t="shared" si="80"/>
        <v>8310.6</v>
      </c>
      <c r="K1066">
        <f>SUMIF(Supply_Clean[Item_Code], B1066, Supply_Clean[Available_Supply])</f>
        <v>21762</v>
      </c>
      <c r="L1066">
        <f t="shared" si="81"/>
        <v>1</v>
      </c>
      <c r="M1066">
        <f t="shared" si="82"/>
        <v>679.3</v>
      </c>
      <c r="N1066" t="str">
        <f t="shared" si="83"/>
        <v>SUFICIENTE</v>
      </c>
      <c r="O1066">
        <f t="shared" si="84"/>
        <v>0</v>
      </c>
    </row>
    <row r="1067" spans="1:15" x14ac:dyDescent="0.45">
      <c r="A1067" t="str">
        <v>CD-VER</v>
      </c>
      <c r="B1067" t="str">
        <v>BOT-1018</v>
      </c>
      <c r="C1067">
        <v>5846</v>
      </c>
      <c r="D1067">
        <v>359.6</v>
      </c>
      <c r="E1067">
        <v>104.6</v>
      </c>
      <c r="F1067">
        <v>1.8</v>
      </c>
      <c r="G1067">
        <v>0.9</v>
      </c>
      <c r="H1067" t="str">
        <v>OK</v>
      </c>
      <c r="J1067">
        <f t="shared" si="80"/>
        <v>8014.5000000000009</v>
      </c>
      <c r="K1067">
        <f>SUMIF(Supply_Clean[Item_Code], B1067, Supply_Clean[Available_Supply])</f>
        <v>15093</v>
      </c>
      <c r="L1067">
        <f t="shared" si="81"/>
        <v>1</v>
      </c>
      <c r="M1067">
        <f t="shared" si="82"/>
        <v>359.6</v>
      </c>
      <c r="N1067" t="str">
        <f t="shared" si="83"/>
        <v>SUFICIENTE</v>
      </c>
      <c r="O1067">
        <f t="shared" si="84"/>
        <v>0</v>
      </c>
    </row>
    <row r="1068" spans="1:15" x14ac:dyDescent="0.45">
      <c r="A1068" t="str">
        <v>CD-GDL</v>
      </c>
      <c r="B1068" t="str">
        <v>LAC-1012</v>
      </c>
      <c r="C1068">
        <v>5575</v>
      </c>
      <c r="D1068">
        <v>331.4</v>
      </c>
      <c r="E1068">
        <v>97.5</v>
      </c>
      <c r="F1068">
        <v>0.9</v>
      </c>
      <c r="G1068">
        <v>0.2</v>
      </c>
      <c r="H1068" t="str">
        <v>OK</v>
      </c>
      <c r="J1068">
        <f t="shared" si="80"/>
        <v>5447.0000000000009</v>
      </c>
      <c r="K1068">
        <f>SUMIF(Supply_Clean[Item_Code], B1068, Supply_Clean[Available_Supply])</f>
        <v>12033</v>
      </c>
      <c r="L1068">
        <f t="shared" si="81"/>
        <v>1</v>
      </c>
      <c r="M1068">
        <f t="shared" si="82"/>
        <v>331.4</v>
      </c>
      <c r="N1068" t="str">
        <f t="shared" si="83"/>
        <v>SUFICIENTE</v>
      </c>
      <c r="O1068">
        <f t="shared" si="84"/>
        <v>0</v>
      </c>
    </row>
    <row r="1069" spans="1:15" x14ac:dyDescent="0.45">
      <c r="A1069" t="str">
        <v>CD-MOR</v>
      </c>
      <c r="B1069" t="str">
        <v>ABA-1002</v>
      </c>
      <c r="C1069">
        <v>624</v>
      </c>
      <c r="D1069">
        <v>258.7</v>
      </c>
      <c r="E1069">
        <v>38.200000000000003</v>
      </c>
      <c r="F1069">
        <v>1.8</v>
      </c>
      <c r="G1069">
        <v>0.5</v>
      </c>
      <c r="H1069" t="str">
        <v>OK</v>
      </c>
      <c r="J1069">
        <f t="shared" si="80"/>
        <v>4525.7</v>
      </c>
      <c r="K1069">
        <f>SUMIF(Supply_Clean[Item_Code], B1069, Supply_Clean[Available_Supply])</f>
        <v>8581</v>
      </c>
      <c r="L1069">
        <f t="shared" si="81"/>
        <v>1</v>
      </c>
      <c r="M1069">
        <f t="shared" si="82"/>
        <v>258.7</v>
      </c>
      <c r="N1069" t="str">
        <f t="shared" si="83"/>
        <v>SUFICIENTE</v>
      </c>
      <c r="O1069">
        <f t="shared" si="84"/>
        <v>0</v>
      </c>
    </row>
    <row r="1070" spans="1:15" x14ac:dyDescent="0.45">
      <c r="A1070" t="str">
        <v>CD-CAN</v>
      </c>
      <c r="B1070" t="str">
        <v>LAC-1012</v>
      </c>
      <c r="C1070">
        <v>1177</v>
      </c>
      <c r="D1070">
        <v>326</v>
      </c>
      <c r="E1070">
        <v>145.4</v>
      </c>
      <c r="F1070">
        <v>4.3</v>
      </c>
      <c r="G1070">
        <v>1.6</v>
      </c>
      <c r="H1070" t="str">
        <v>OK</v>
      </c>
      <c r="J1070">
        <f t="shared" si="80"/>
        <v>5447.0000000000009</v>
      </c>
      <c r="K1070">
        <f>SUMIF(Supply_Clean[Item_Code], B1070, Supply_Clean[Available_Supply])</f>
        <v>12033</v>
      </c>
      <c r="L1070">
        <f t="shared" si="81"/>
        <v>1</v>
      </c>
      <c r="M1070">
        <f t="shared" si="82"/>
        <v>326</v>
      </c>
      <c r="N1070" t="str">
        <f t="shared" si="83"/>
        <v>SUFICIENTE</v>
      </c>
      <c r="O1070">
        <f t="shared" si="84"/>
        <v>0</v>
      </c>
    </row>
    <row r="1071" spans="1:15" x14ac:dyDescent="0.45">
      <c r="A1071" t="str">
        <v>CD-TOL</v>
      </c>
      <c r="B1071" t="str">
        <v>BEB-1014</v>
      </c>
      <c r="C1071">
        <v>8368</v>
      </c>
      <c r="D1071">
        <v>641.5</v>
      </c>
      <c r="E1071">
        <v>83.6</v>
      </c>
      <c r="F1071">
        <v>1.7</v>
      </c>
      <c r="G1071">
        <v>0.5</v>
      </c>
      <c r="H1071" t="str">
        <v>OK</v>
      </c>
      <c r="J1071">
        <f t="shared" si="80"/>
        <v>6274.9000000000005</v>
      </c>
      <c r="K1071">
        <f>SUMIF(Supply_Clean[Item_Code], B1071, Supply_Clean[Available_Supply])</f>
        <v>14205</v>
      </c>
      <c r="L1071">
        <f t="shared" si="81"/>
        <v>1</v>
      </c>
      <c r="M1071">
        <f t="shared" si="82"/>
        <v>641.5</v>
      </c>
      <c r="N1071" t="str">
        <f t="shared" si="83"/>
        <v>SUFICIENTE</v>
      </c>
      <c r="O1071">
        <f t="shared" si="84"/>
        <v>0</v>
      </c>
    </row>
    <row r="1072" spans="1:15" x14ac:dyDescent="0.45">
      <c r="A1072" t="str">
        <v>CD-MTY</v>
      </c>
      <c r="B1072" t="str">
        <v>ABA-1005</v>
      </c>
      <c r="C1072">
        <v>3210</v>
      </c>
      <c r="D1072">
        <v>202.6</v>
      </c>
      <c r="E1072">
        <v>30</v>
      </c>
      <c r="F1072">
        <v>1.2</v>
      </c>
      <c r="G1072">
        <v>0.3</v>
      </c>
      <c r="H1072" t="str">
        <v>OK</v>
      </c>
      <c r="J1072">
        <f t="shared" si="80"/>
        <v>5173.5999999999995</v>
      </c>
      <c r="K1072">
        <f>SUMIF(Supply_Clean[Item_Code], B1072, Supply_Clean[Available_Supply])</f>
        <v>15028</v>
      </c>
      <c r="L1072">
        <f t="shared" si="81"/>
        <v>1</v>
      </c>
      <c r="M1072">
        <f t="shared" si="82"/>
        <v>202.6</v>
      </c>
      <c r="N1072" t="str">
        <f t="shared" si="83"/>
        <v>SUFICIENTE</v>
      </c>
      <c r="O1072">
        <f t="shared" si="84"/>
        <v>0</v>
      </c>
    </row>
    <row r="1073" spans="1:15" x14ac:dyDescent="0.45">
      <c r="A1073" t="str">
        <v>CD-GDL</v>
      </c>
      <c r="B1073" t="str">
        <v>LAC-1007</v>
      </c>
      <c r="C1073">
        <v>3266</v>
      </c>
      <c r="D1073">
        <v>334.2</v>
      </c>
      <c r="E1073">
        <v>115.6</v>
      </c>
      <c r="F1073">
        <v>1</v>
      </c>
      <c r="G1073">
        <v>0.2</v>
      </c>
      <c r="H1073" t="str">
        <v>OK</v>
      </c>
      <c r="J1073">
        <f t="shared" si="80"/>
        <v>4093.7999999999997</v>
      </c>
      <c r="K1073">
        <f>SUMIF(Supply_Clean[Item_Code], B1073, Supply_Clean[Available_Supply])</f>
        <v>11651</v>
      </c>
      <c r="L1073">
        <f t="shared" si="81"/>
        <v>1</v>
      </c>
      <c r="M1073">
        <f t="shared" si="82"/>
        <v>334.2</v>
      </c>
      <c r="N1073" t="str">
        <f t="shared" si="83"/>
        <v>SUFICIENTE</v>
      </c>
      <c r="O1073">
        <f t="shared" si="84"/>
        <v>0</v>
      </c>
    </row>
    <row r="1074" spans="1:15" x14ac:dyDescent="0.45">
      <c r="A1074" t="str">
        <v>CD-MOR</v>
      </c>
      <c r="B1074" t="str">
        <v>LAC-1016</v>
      </c>
      <c r="C1074">
        <v>1606</v>
      </c>
      <c r="D1074">
        <v>414.9</v>
      </c>
      <c r="E1074">
        <v>157.5</v>
      </c>
      <c r="F1074">
        <v>2</v>
      </c>
      <c r="G1074">
        <v>0.5</v>
      </c>
      <c r="H1074" t="str">
        <v>OK</v>
      </c>
      <c r="J1074">
        <f t="shared" si="80"/>
        <v>4542.5</v>
      </c>
      <c r="K1074">
        <f>SUMIF(Supply_Clean[Item_Code], B1074, Supply_Clean[Available_Supply])</f>
        <v>12760</v>
      </c>
      <c r="L1074">
        <f t="shared" si="81"/>
        <v>1</v>
      </c>
      <c r="M1074">
        <f t="shared" si="82"/>
        <v>414.9</v>
      </c>
      <c r="N1074" t="str">
        <f t="shared" si="83"/>
        <v>SUFICIENTE</v>
      </c>
      <c r="O1074">
        <f t="shared" si="84"/>
        <v>0</v>
      </c>
    </row>
    <row r="1075" spans="1:15" x14ac:dyDescent="0.45">
      <c r="A1075" t="str">
        <v>CD-TOL</v>
      </c>
      <c r="B1075" t="str">
        <v>LAC-1004</v>
      </c>
      <c r="C1075">
        <v>6374</v>
      </c>
      <c r="D1075">
        <v>407</v>
      </c>
      <c r="E1075">
        <v>108.1</v>
      </c>
      <c r="F1075">
        <v>1.9</v>
      </c>
      <c r="G1075">
        <v>0.5</v>
      </c>
      <c r="H1075" t="str">
        <v>OK</v>
      </c>
      <c r="J1075">
        <f t="shared" si="80"/>
        <v>4211.5</v>
      </c>
      <c r="K1075">
        <f>SUMIF(Supply_Clean[Item_Code], B1075, Supply_Clean[Available_Supply])</f>
        <v>11968</v>
      </c>
      <c r="L1075">
        <f t="shared" si="81"/>
        <v>1</v>
      </c>
      <c r="M1075">
        <f t="shared" si="82"/>
        <v>407</v>
      </c>
      <c r="N1075" t="str">
        <f t="shared" si="83"/>
        <v>SUFICIENTE</v>
      </c>
      <c r="O1075">
        <f t="shared" si="84"/>
        <v>0</v>
      </c>
    </row>
    <row r="1076" spans="1:15" x14ac:dyDescent="0.45">
      <c r="A1076" t="str">
        <v>CD-PUE</v>
      </c>
      <c r="B1076" t="str">
        <v>BEB-1000</v>
      </c>
      <c r="C1076">
        <v>5355</v>
      </c>
      <c r="D1076">
        <v>457.4</v>
      </c>
      <c r="E1076">
        <v>62</v>
      </c>
      <c r="F1076">
        <v>0.8</v>
      </c>
      <c r="G1076">
        <v>0.3</v>
      </c>
      <c r="H1076" t="str">
        <v>OK</v>
      </c>
      <c r="J1076">
        <f t="shared" si="80"/>
        <v>4843.5</v>
      </c>
      <c r="K1076">
        <f>SUMIF(Supply_Clean[Item_Code], B1076, Supply_Clean[Available_Supply])</f>
        <v>14592</v>
      </c>
      <c r="L1076">
        <f t="shared" si="81"/>
        <v>1</v>
      </c>
      <c r="M1076">
        <f t="shared" si="82"/>
        <v>457.4</v>
      </c>
      <c r="N1076" t="str">
        <f t="shared" si="83"/>
        <v>SUFICIENTE</v>
      </c>
      <c r="O1076">
        <f t="shared" si="84"/>
        <v>0</v>
      </c>
    </row>
    <row r="1077" spans="1:15" x14ac:dyDescent="0.45">
      <c r="A1077" t="str">
        <v>CD-CHI</v>
      </c>
      <c r="B1077" t="str">
        <v>BOT-1007</v>
      </c>
      <c r="C1077">
        <v>5466</v>
      </c>
      <c r="D1077">
        <v>423.8</v>
      </c>
      <c r="E1077">
        <v>75.099999999999994</v>
      </c>
      <c r="F1077">
        <v>3.8</v>
      </c>
      <c r="G1077">
        <v>1</v>
      </c>
      <c r="H1077" t="str">
        <v>OK</v>
      </c>
      <c r="J1077">
        <f t="shared" si="80"/>
        <v>7508.1</v>
      </c>
      <c r="K1077">
        <f>SUMIF(Supply_Clean[Item_Code], B1077, Supply_Clean[Available_Supply])</f>
        <v>16668</v>
      </c>
      <c r="L1077">
        <f t="shared" si="81"/>
        <v>1</v>
      </c>
      <c r="M1077">
        <f t="shared" si="82"/>
        <v>423.8</v>
      </c>
      <c r="N1077" t="str">
        <f t="shared" si="83"/>
        <v>SUFICIENTE</v>
      </c>
      <c r="O1077">
        <f t="shared" si="84"/>
        <v>0</v>
      </c>
    </row>
    <row r="1078" spans="1:15" x14ac:dyDescent="0.45">
      <c r="A1078" t="str">
        <v>CD-TIJ</v>
      </c>
      <c r="B1078" t="str">
        <v>PRO-1012</v>
      </c>
      <c r="C1078">
        <v>8016</v>
      </c>
      <c r="D1078">
        <v>596.9</v>
      </c>
      <c r="E1078">
        <v>409.3</v>
      </c>
      <c r="F1078">
        <v>2.6</v>
      </c>
      <c r="G1078">
        <v>1.5</v>
      </c>
      <c r="H1078" t="str">
        <v>OK</v>
      </c>
      <c r="J1078">
        <f t="shared" si="80"/>
        <v>4930.1000000000004</v>
      </c>
      <c r="K1078">
        <f>SUMIF(Supply_Clean[Item_Code], B1078, Supply_Clean[Available_Supply])</f>
        <v>9930</v>
      </c>
      <c r="L1078">
        <f t="shared" si="81"/>
        <v>1</v>
      </c>
      <c r="M1078">
        <f t="shared" si="82"/>
        <v>596.9</v>
      </c>
      <c r="N1078" t="str">
        <f t="shared" si="83"/>
        <v>SUFICIENTE</v>
      </c>
      <c r="O1078">
        <f t="shared" si="84"/>
        <v>0</v>
      </c>
    </row>
    <row r="1079" spans="1:15" x14ac:dyDescent="0.45">
      <c r="A1079" t="str">
        <v>CD-CHI</v>
      </c>
      <c r="B1079" t="str">
        <v>ABA-1017</v>
      </c>
      <c r="C1079">
        <v>323</v>
      </c>
      <c r="D1079">
        <v>340</v>
      </c>
      <c r="E1079">
        <v>42.9</v>
      </c>
      <c r="F1079">
        <v>4.3</v>
      </c>
      <c r="G1079">
        <v>1</v>
      </c>
      <c r="H1079" t="str">
        <v>OK</v>
      </c>
      <c r="J1079">
        <f t="shared" si="80"/>
        <v>4720.2</v>
      </c>
      <c r="K1079">
        <f>SUMIF(Supply_Clean[Item_Code], B1079, Supply_Clean[Available_Supply])</f>
        <v>13946</v>
      </c>
      <c r="L1079">
        <f t="shared" si="81"/>
        <v>1</v>
      </c>
      <c r="M1079">
        <f t="shared" si="82"/>
        <v>340</v>
      </c>
      <c r="N1079" t="str">
        <f t="shared" si="83"/>
        <v>SUFICIENTE</v>
      </c>
      <c r="O1079">
        <f t="shared" si="84"/>
        <v>0</v>
      </c>
    </row>
    <row r="1080" spans="1:15" x14ac:dyDescent="0.45">
      <c r="A1080" t="str">
        <v>CD-HER</v>
      </c>
      <c r="B1080" t="str">
        <v>BOT-1004</v>
      </c>
      <c r="C1080">
        <v>3199</v>
      </c>
      <c r="D1080">
        <v>291.39999999999998</v>
      </c>
      <c r="E1080">
        <v>53.6</v>
      </c>
      <c r="F1080">
        <v>4.8</v>
      </c>
      <c r="G1080">
        <v>1.2</v>
      </c>
      <c r="H1080" t="str">
        <v>OK</v>
      </c>
      <c r="J1080">
        <f t="shared" si="80"/>
        <v>9421.7999999999993</v>
      </c>
      <c r="K1080">
        <f>SUMIF(Supply_Clean[Item_Code], B1080, Supply_Clean[Available_Supply])</f>
        <v>15860</v>
      </c>
      <c r="L1080">
        <f t="shared" si="81"/>
        <v>1</v>
      </c>
      <c r="M1080">
        <f t="shared" si="82"/>
        <v>291.39999999999998</v>
      </c>
      <c r="N1080" t="str">
        <f t="shared" si="83"/>
        <v>SUFICIENTE</v>
      </c>
      <c r="O1080">
        <f t="shared" si="84"/>
        <v>0</v>
      </c>
    </row>
    <row r="1081" spans="1:15" x14ac:dyDescent="0.45">
      <c r="A1081" t="str">
        <v>CD-GDL</v>
      </c>
      <c r="B1081" t="str">
        <v>PRO-1009</v>
      </c>
      <c r="C1081">
        <v>212</v>
      </c>
      <c r="D1081">
        <v>0</v>
      </c>
      <c r="E1081">
        <v>175.1</v>
      </c>
      <c r="F1081">
        <v>1.1000000000000001</v>
      </c>
      <c r="G1081">
        <v>0.2</v>
      </c>
      <c r="H1081" t="str">
        <v>OK</v>
      </c>
      <c r="J1081">
        <f t="shared" si="80"/>
        <v>5962.0999999999995</v>
      </c>
      <c r="K1081">
        <f>SUMIF(Supply_Clean[Item_Code], B1081, Supply_Clean[Available_Supply])</f>
        <v>10685</v>
      </c>
      <c r="L1081">
        <f t="shared" si="81"/>
        <v>1</v>
      </c>
      <c r="M1081">
        <f t="shared" si="82"/>
        <v>0</v>
      </c>
      <c r="N1081" t="str">
        <f t="shared" si="83"/>
        <v>SUFICIENTE</v>
      </c>
      <c r="O1081">
        <f t="shared" si="84"/>
        <v>0</v>
      </c>
    </row>
    <row r="1082" spans="1:15" x14ac:dyDescent="0.45">
      <c r="A1082" t="str">
        <v>CD-VER</v>
      </c>
      <c r="B1082" t="str">
        <v>ABA-1003</v>
      </c>
      <c r="C1082">
        <v>1834</v>
      </c>
      <c r="D1082">
        <v>213.9</v>
      </c>
      <c r="E1082">
        <v>31.7</v>
      </c>
      <c r="F1082">
        <v>1.2</v>
      </c>
      <c r="G1082">
        <v>0.9</v>
      </c>
      <c r="H1082" t="str">
        <v>OK</v>
      </c>
      <c r="J1082">
        <f t="shared" si="80"/>
        <v>4709.8000000000011</v>
      </c>
      <c r="K1082">
        <f>SUMIF(Supply_Clean[Item_Code], B1082, Supply_Clean[Available_Supply])</f>
        <v>11700</v>
      </c>
      <c r="L1082">
        <f t="shared" si="81"/>
        <v>1</v>
      </c>
      <c r="M1082">
        <f t="shared" si="82"/>
        <v>213.9</v>
      </c>
      <c r="N1082" t="str">
        <f t="shared" si="83"/>
        <v>SUFICIENTE</v>
      </c>
      <c r="O1082">
        <f t="shared" si="84"/>
        <v>0</v>
      </c>
    </row>
    <row r="1083" spans="1:15" x14ac:dyDescent="0.45">
      <c r="A1083" t="str">
        <v>CD-HER</v>
      </c>
      <c r="B1083" t="str">
        <v>BEB-1002</v>
      </c>
      <c r="C1083">
        <v>3698</v>
      </c>
      <c r="D1083">
        <v>430</v>
      </c>
      <c r="E1083">
        <v>81.099999999999994</v>
      </c>
      <c r="F1083">
        <v>2</v>
      </c>
      <c r="G1083">
        <v>1.2</v>
      </c>
      <c r="H1083" t="str">
        <v>OK</v>
      </c>
      <c r="J1083">
        <f t="shared" si="80"/>
        <v>6246.8</v>
      </c>
      <c r="K1083">
        <f>SUMIF(Supply_Clean[Item_Code], B1083, Supply_Clean[Available_Supply])</f>
        <v>13052</v>
      </c>
      <c r="L1083">
        <f t="shared" si="81"/>
        <v>1</v>
      </c>
      <c r="M1083">
        <f t="shared" si="82"/>
        <v>430</v>
      </c>
      <c r="N1083" t="str">
        <f t="shared" si="83"/>
        <v>SUFICIENTE</v>
      </c>
      <c r="O1083">
        <f t="shared" si="84"/>
        <v>0</v>
      </c>
    </row>
    <row r="1084" spans="1:15" x14ac:dyDescent="0.45">
      <c r="A1084" t="str">
        <v>CD-HER</v>
      </c>
      <c r="B1084" t="str">
        <v>BEB-1003</v>
      </c>
      <c r="C1084">
        <v>2580</v>
      </c>
      <c r="D1084">
        <v>335.7</v>
      </c>
      <c r="E1084">
        <v>54.4</v>
      </c>
      <c r="F1084">
        <v>5.7</v>
      </c>
      <c r="G1084">
        <v>1.2</v>
      </c>
      <c r="H1084" t="str">
        <v>OK</v>
      </c>
      <c r="J1084">
        <f t="shared" si="80"/>
        <v>5232</v>
      </c>
      <c r="K1084">
        <f>SUMIF(Supply_Clean[Item_Code], B1084, Supply_Clean[Available_Supply])</f>
        <v>16426</v>
      </c>
      <c r="L1084">
        <f t="shared" si="81"/>
        <v>1</v>
      </c>
      <c r="M1084">
        <f t="shared" si="82"/>
        <v>335.7</v>
      </c>
      <c r="N1084" t="str">
        <f t="shared" si="83"/>
        <v>SUFICIENTE</v>
      </c>
      <c r="O1084">
        <f t="shared" si="84"/>
        <v>0</v>
      </c>
    </row>
    <row r="1085" spans="1:15" x14ac:dyDescent="0.45">
      <c r="A1085" t="str">
        <v>CD-HER</v>
      </c>
      <c r="B1085" t="str">
        <v>BOT-1009</v>
      </c>
      <c r="C1085">
        <v>11149</v>
      </c>
      <c r="D1085">
        <v>764.7</v>
      </c>
      <c r="E1085">
        <v>120.7</v>
      </c>
      <c r="F1085">
        <v>4.0999999999999996</v>
      </c>
      <c r="G1085">
        <v>1.2</v>
      </c>
      <c r="H1085" t="str">
        <v>OK</v>
      </c>
      <c r="J1085">
        <f t="shared" si="80"/>
        <v>8135.5</v>
      </c>
      <c r="K1085">
        <f>SUMIF(Supply_Clean[Item_Code], B1085, Supply_Clean[Available_Supply])</f>
        <v>17475</v>
      </c>
      <c r="L1085">
        <f t="shared" si="81"/>
        <v>1</v>
      </c>
      <c r="M1085">
        <f t="shared" si="82"/>
        <v>764.7</v>
      </c>
      <c r="N1085" t="str">
        <f t="shared" si="83"/>
        <v>SUFICIENTE</v>
      </c>
      <c r="O1085">
        <f t="shared" si="84"/>
        <v>0</v>
      </c>
    </row>
    <row r="1086" spans="1:15" x14ac:dyDescent="0.45">
      <c r="A1086" t="str">
        <v>CD-LEO</v>
      </c>
      <c r="B1086" t="str">
        <v>BEB-1000</v>
      </c>
      <c r="C1086">
        <v>3206</v>
      </c>
      <c r="D1086">
        <v>307.10000000000002</v>
      </c>
      <c r="E1086">
        <v>50.2</v>
      </c>
      <c r="F1086">
        <v>2.2000000000000002</v>
      </c>
      <c r="G1086">
        <v>0.6</v>
      </c>
      <c r="H1086" t="str">
        <v>OK</v>
      </c>
      <c r="J1086">
        <f t="shared" si="80"/>
        <v>4843.5</v>
      </c>
      <c r="K1086">
        <f>SUMIF(Supply_Clean[Item_Code], B1086, Supply_Clean[Available_Supply])</f>
        <v>14592</v>
      </c>
      <c r="L1086">
        <f t="shared" si="81"/>
        <v>1</v>
      </c>
      <c r="M1086">
        <f t="shared" si="82"/>
        <v>307.10000000000002</v>
      </c>
      <c r="N1086" t="str">
        <f t="shared" si="83"/>
        <v>SUFICIENTE</v>
      </c>
      <c r="O1086">
        <f t="shared" si="84"/>
        <v>0</v>
      </c>
    </row>
    <row r="1087" spans="1:15" x14ac:dyDescent="0.45">
      <c r="A1087" t="str">
        <v>CD-MOR</v>
      </c>
      <c r="B1087" t="str">
        <v>BEB-1019</v>
      </c>
      <c r="C1087">
        <v>7895</v>
      </c>
      <c r="D1087">
        <v>535</v>
      </c>
      <c r="E1087">
        <v>62.4</v>
      </c>
      <c r="F1087">
        <v>1.6</v>
      </c>
      <c r="G1087">
        <v>0.5</v>
      </c>
      <c r="H1087" t="str">
        <v>OK</v>
      </c>
      <c r="J1087">
        <f t="shared" si="80"/>
        <v>5453.6</v>
      </c>
      <c r="K1087">
        <f>SUMIF(Supply_Clean[Item_Code], B1087, Supply_Clean[Available_Supply])</f>
        <v>15099</v>
      </c>
      <c r="L1087">
        <f t="shared" si="81"/>
        <v>1</v>
      </c>
      <c r="M1087">
        <f t="shared" si="82"/>
        <v>535</v>
      </c>
      <c r="N1087" t="str">
        <f t="shared" si="83"/>
        <v>SUFICIENTE</v>
      </c>
      <c r="O1087">
        <f t="shared" si="84"/>
        <v>0</v>
      </c>
    </row>
    <row r="1088" spans="1:15" x14ac:dyDescent="0.45">
      <c r="A1088" t="str">
        <v>CD-SAL</v>
      </c>
      <c r="B1088" t="str">
        <v>LAC-1012</v>
      </c>
      <c r="C1088">
        <v>543</v>
      </c>
      <c r="D1088">
        <v>386.5</v>
      </c>
      <c r="E1088">
        <v>108.9</v>
      </c>
      <c r="F1088">
        <v>1.8</v>
      </c>
      <c r="G1088">
        <v>0.5</v>
      </c>
      <c r="H1088" t="str">
        <v>OK</v>
      </c>
      <c r="J1088">
        <f t="shared" si="80"/>
        <v>5447.0000000000009</v>
      </c>
      <c r="K1088">
        <f>SUMIF(Supply_Clean[Item_Code], B1088, Supply_Clean[Available_Supply])</f>
        <v>12033</v>
      </c>
      <c r="L1088">
        <f t="shared" si="81"/>
        <v>1</v>
      </c>
      <c r="M1088">
        <f t="shared" si="82"/>
        <v>386.5</v>
      </c>
      <c r="N1088" t="str">
        <f t="shared" si="83"/>
        <v>SUFICIENTE</v>
      </c>
      <c r="O1088">
        <f t="shared" si="84"/>
        <v>0</v>
      </c>
    </row>
    <row r="1089" spans="1:15" x14ac:dyDescent="0.45">
      <c r="A1089" t="str">
        <v>CD-GDL</v>
      </c>
      <c r="B1089" t="str">
        <v>BEB-1017</v>
      </c>
      <c r="C1089">
        <v>3475</v>
      </c>
      <c r="D1089">
        <v>500</v>
      </c>
      <c r="E1089">
        <v>87.7</v>
      </c>
      <c r="F1089">
        <v>1.1000000000000001</v>
      </c>
      <c r="G1089">
        <v>0.2</v>
      </c>
      <c r="H1089" t="str">
        <v>OK</v>
      </c>
      <c r="J1089">
        <f t="shared" si="80"/>
        <v>6231.7000000000007</v>
      </c>
      <c r="K1089">
        <f>SUMIF(Supply_Clean[Item_Code], B1089, Supply_Clean[Available_Supply])</f>
        <v>18257</v>
      </c>
      <c r="L1089">
        <f t="shared" si="81"/>
        <v>1</v>
      </c>
      <c r="M1089">
        <f t="shared" si="82"/>
        <v>500</v>
      </c>
      <c r="N1089" t="str">
        <f t="shared" si="83"/>
        <v>SUFICIENTE</v>
      </c>
      <c r="O1089">
        <f t="shared" si="84"/>
        <v>0</v>
      </c>
    </row>
    <row r="1090" spans="1:15" x14ac:dyDescent="0.45">
      <c r="A1090" t="str">
        <v>CD-CHI</v>
      </c>
      <c r="B1090" t="str">
        <v>LAC-1016</v>
      </c>
      <c r="C1090">
        <v>846</v>
      </c>
      <c r="D1090">
        <v>283.89999999999998</v>
      </c>
      <c r="E1090">
        <v>106.2</v>
      </c>
      <c r="F1090">
        <v>2</v>
      </c>
      <c r="G1090">
        <v>1</v>
      </c>
      <c r="H1090" t="str">
        <v>OK</v>
      </c>
      <c r="J1090">
        <f t="shared" si="80"/>
        <v>4542.5</v>
      </c>
      <c r="K1090">
        <f>SUMIF(Supply_Clean[Item_Code], B1090, Supply_Clean[Available_Supply])</f>
        <v>12760</v>
      </c>
      <c r="L1090">
        <f t="shared" si="81"/>
        <v>1</v>
      </c>
      <c r="M1090">
        <f t="shared" si="82"/>
        <v>283.89999999999998</v>
      </c>
      <c r="N1090" t="str">
        <f t="shared" si="83"/>
        <v>SUFICIENTE</v>
      </c>
      <c r="O1090">
        <f t="shared" si="84"/>
        <v>0</v>
      </c>
    </row>
    <row r="1091" spans="1:15" x14ac:dyDescent="0.45">
      <c r="A1091" t="str">
        <v>CD-QRO</v>
      </c>
      <c r="B1091" t="str">
        <v>PRO-1009</v>
      </c>
      <c r="C1091">
        <v>6591</v>
      </c>
      <c r="D1091">
        <v>386.3</v>
      </c>
      <c r="E1091">
        <v>222.3</v>
      </c>
      <c r="F1091">
        <v>1.9</v>
      </c>
      <c r="G1091">
        <v>0.4</v>
      </c>
      <c r="H1091" t="str">
        <v>OK</v>
      </c>
      <c r="J1091">
        <f t="shared" ref="J1091:J1154" si="85">SUMIF($B$2:$B$1501, B1091, $D$2:$D$1501)</f>
        <v>5962.0999999999995</v>
      </c>
      <c r="K1091">
        <f>SUMIF(Supply_Clean[Item_Code], B1091, Supply_Clean[Available_Supply])</f>
        <v>10685</v>
      </c>
      <c r="L1091">
        <f t="shared" ref="L1091:L1154" si="86">IFERROR(MIN(1, K1091/J1091), "")</f>
        <v>1</v>
      </c>
      <c r="M1091">
        <f t="shared" ref="M1091:M1154" si="87">IFERROR(D1091*L1091, "")</f>
        <v>386.3</v>
      </c>
      <c r="N1091" t="str">
        <f t="shared" ref="N1091:N1154" si="88">IF(L1091&lt;1, "ESCASEZ", "SUFICIENTE")</f>
        <v>SUFICIENTE</v>
      </c>
      <c r="O1091">
        <f t="shared" ref="O1091:O1154" si="89">IF(N1091="ESCASEZ", D1091-M1091, 0)</f>
        <v>0</v>
      </c>
    </row>
    <row r="1092" spans="1:15" x14ac:dyDescent="0.45">
      <c r="A1092" t="str">
        <v>CD-MTY</v>
      </c>
      <c r="B1092" t="str">
        <v>PRO-1014</v>
      </c>
      <c r="C1092">
        <v>1159</v>
      </c>
      <c r="D1092">
        <v>148.69999999999999</v>
      </c>
      <c r="E1092">
        <v>81.7</v>
      </c>
      <c r="F1092">
        <v>1.2</v>
      </c>
      <c r="G1092">
        <v>0.3</v>
      </c>
      <c r="H1092" t="str">
        <v>OK</v>
      </c>
      <c r="J1092">
        <f t="shared" si="85"/>
        <v>5634.0999999999995</v>
      </c>
      <c r="K1092">
        <f>SUMIF(Supply_Clean[Item_Code], B1092, Supply_Clean[Available_Supply])</f>
        <v>16301</v>
      </c>
      <c r="L1092">
        <f t="shared" si="86"/>
        <v>1</v>
      </c>
      <c r="M1092">
        <f t="shared" si="87"/>
        <v>148.69999999999999</v>
      </c>
      <c r="N1092" t="str">
        <f t="shared" si="88"/>
        <v>SUFICIENTE</v>
      </c>
      <c r="O1092">
        <f t="shared" si="89"/>
        <v>0</v>
      </c>
    </row>
    <row r="1093" spans="1:15" x14ac:dyDescent="0.45">
      <c r="A1093" t="str">
        <v>CD-VER</v>
      </c>
      <c r="B1093" t="str">
        <v>BEB-1000</v>
      </c>
      <c r="C1093">
        <v>1352</v>
      </c>
      <c r="D1093">
        <v>401.8</v>
      </c>
      <c r="E1093">
        <v>62.4</v>
      </c>
      <c r="F1093">
        <v>2.9</v>
      </c>
      <c r="G1093">
        <v>0.9</v>
      </c>
      <c r="H1093" t="str">
        <v>OK</v>
      </c>
      <c r="J1093">
        <f t="shared" si="85"/>
        <v>4843.5</v>
      </c>
      <c r="K1093">
        <f>SUMIF(Supply_Clean[Item_Code], B1093, Supply_Clean[Available_Supply])</f>
        <v>14592</v>
      </c>
      <c r="L1093">
        <f t="shared" si="86"/>
        <v>1</v>
      </c>
      <c r="M1093">
        <f t="shared" si="87"/>
        <v>401.8</v>
      </c>
      <c r="N1093" t="str">
        <f t="shared" si="88"/>
        <v>SUFICIENTE</v>
      </c>
      <c r="O1093">
        <f t="shared" si="89"/>
        <v>0</v>
      </c>
    </row>
    <row r="1094" spans="1:15" x14ac:dyDescent="0.45">
      <c r="A1094" t="str">
        <v>CD-QRO</v>
      </c>
      <c r="B1094" t="str">
        <v>ABA-1014</v>
      </c>
      <c r="C1094">
        <v>2234</v>
      </c>
      <c r="D1094">
        <v>269.5</v>
      </c>
      <c r="E1094">
        <v>32.9</v>
      </c>
      <c r="F1094">
        <v>1.6</v>
      </c>
      <c r="G1094">
        <v>0.4</v>
      </c>
      <c r="H1094" t="str">
        <v>OK</v>
      </c>
      <c r="J1094">
        <f t="shared" si="85"/>
        <v>4779.0000000000009</v>
      </c>
      <c r="K1094">
        <f>SUMIF(Supply_Clean[Item_Code], B1094, Supply_Clean[Available_Supply])</f>
        <v>14629</v>
      </c>
      <c r="L1094">
        <f t="shared" si="86"/>
        <v>1</v>
      </c>
      <c r="M1094">
        <f t="shared" si="87"/>
        <v>269.5</v>
      </c>
      <c r="N1094" t="str">
        <f t="shared" si="88"/>
        <v>SUFICIENTE</v>
      </c>
      <c r="O1094">
        <f t="shared" si="89"/>
        <v>0</v>
      </c>
    </row>
    <row r="1095" spans="1:15" x14ac:dyDescent="0.45">
      <c r="A1095" t="str">
        <v>CD-CHI</v>
      </c>
      <c r="B1095" t="str">
        <v>BEB-1021</v>
      </c>
      <c r="C1095">
        <v>2746</v>
      </c>
      <c r="D1095">
        <v>216.4</v>
      </c>
      <c r="E1095">
        <v>34.700000000000003</v>
      </c>
      <c r="F1095">
        <v>2.7</v>
      </c>
      <c r="G1095">
        <v>1</v>
      </c>
      <c r="H1095" t="str">
        <v>OK</v>
      </c>
      <c r="J1095">
        <f t="shared" si="85"/>
        <v>5254.7999999999993</v>
      </c>
      <c r="K1095">
        <f>SUMIF(Supply_Clean[Item_Code], B1095, Supply_Clean[Available_Supply])</f>
        <v>13235</v>
      </c>
      <c r="L1095">
        <f t="shared" si="86"/>
        <v>1</v>
      </c>
      <c r="M1095">
        <f t="shared" si="87"/>
        <v>216.4</v>
      </c>
      <c r="N1095" t="str">
        <f t="shared" si="88"/>
        <v>SUFICIENTE</v>
      </c>
      <c r="O1095">
        <f t="shared" si="89"/>
        <v>0</v>
      </c>
    </row>
    <row r="1096" spans="1:15" x14ac:dyDescent="0.45">
      <c r="A1096" t="str">
        <v>CD-MOR</v>
      </c>
      <c r="B1096" t="str">
        <v>LAC-1006</v>
      </c>
      <c r="C1096">
        <v>2352</v>
      </c>
      <c r="D1096">
        <v>379.7</v>
      </c>
      <c r="E1096">
        <v>170</v>
      </c>
      <c r="F1096">
        <v>1.7</v>
      </c>
      <c r="G1096">
        <v>0.5</v>
      </c>
      <c r="H1096" t="str">
        <v>OK</v>
      </c>
      <c r="J1096">
        <f t="shared" si="85"/>
        <v>4338.7</v>
      </c>
      <c r="K1096">
        <f>SUMIF(Supply_Clean[Item_Code], B1096, Supply_Clean[Available_Supply])</f>
        <v>10670</v>
      </c>
      <c r="L1096">
        <f t="shared" si="86"/>
        <v>1</v>
      </c>
      <c r="M1096">
        <f t="shared" si="87"/>
        <v>379.7</v>
      </c>
      <c r="N1096" t="str">
        <f t="shared" si="88"/>
        <v>SUFICIENTE</v>
      </c>
      <c r="O1096">
        <f t="shared" si="89"/>
        <v>0</v>
      </c>
    </row>
    <row r="1097" spans="1:15" x14ac:dyDescent="0.45">
      <c r="A1097" t="str">
        <v>CD-QRO</v>
      </c>
      <c r="B1097" t="str">
        <v>ABA-1009</v>
      </c>
      <c r="C1097">
        <v>1882</v>
      </c>
      <c r="D1097">
        <v>581.79999999999995</v>
      </c>
      <c r="E1097">
        <v>58.6</v>
      </c>
      <c r="F1097">
        <v>2.2000000000000002</v>
      </c>
      <c r="G1097">
        <v>0.4</v>
      </c>
      <c r="H1097" t="str">
        <v>OK</v>
      </c>
      <c r="J1097">
        <f t="shared" si="85"/>
        <v>5016.1000000000004</v>
      </c>
      <c r="K1097">
        <f>SUMIF(Supply_Clean[Item_Code], B1097, Supply_Clean[Available_Supply])</f>
        <v>13458</v>
      </c>
      <c r="L1097">
        <f t="shared" si="86"/>
        <v>1</v>
      </c>
      <c r="M1097">
        <f t="shared" si="87"/>
        <v>581.79999999999995</v>
      </c>
      <c r="N1097" t="str">
        <f t="shared" si="88"/>
        <v>SUFICIENTE</v>
      </c>
      <c r="O1097">
        <f t="shared" si="89"/>
        <v>0</v>
      </c>
    </row>
    <row r="1098" spans="1:15" x14ac:dyDescent="0.45">
      <c r="A1098" t="str">
        <v>CD-MTY</v>
      </c>
      <c r="B1098" t="str">
        <v>LAC-1012</v>
      </c>
      <c r="C1098">
        <v>4390</v>
      </c>
      <c r="D1098">
        <v>450.2</v>
      </c>
      <c r="E1098">
        <v>129.19999999999999</v>
      </c>
      <c r="F1098">
        <v>0.8</v>
      </c>
      <c r="G1098">
        <v>0.3</v>
      </c>
      <c r="H1098" t="str">
        <v>OK</v>
      </c>
      <c r="J1098">
        <f t="shared" si="85"/>
        <v>5447.0000000000009</v>
      </c>
      <c r="K1098">
        <f>SUMIF(Supply_Clean[Item_Code], B1098, Supply_Clean[Available_Supply])</f>
        <v>12033</v>
      </c>
      <c r="L1098">
        <f t="shared" si="86"/>
        <v>1</v>
      </c>
      <c r="M1098">
        <f t="shared" si="87"/>
        <v>450.2</v>
      </c>
      <c r="N1098" t="str">
        <f t="shared" si="88"/>
        <v>SUFICIENTE</v>
      </c>
      <c r="O1098">
        <f t="shared" si="89"/>
        <v>0</v>
      </c>
    </row>
    <row r="1099" spans="1:15" x14ac:dyDescent="0.45">
      <c r="A1099" t="str">
        <v>CD-PUE</v>
      </c>
      <c r="B1099" t="str">
        <v>BEB-1020</v>
      </c>
      <c r="C1099">
        <v>4850</v>
      </c>
      <c r="D1099">
        <v>447.4</v>
      </c>
      <c r="E1099">
        <v>66.599999999999994</v>
      </c>
      <c r="F1099">
        <v>0.6</v>
      </c>
      <c r="G1099">
        <v>0.3</v>
      </c>
      <c r="H1099" t="str">
        <v>OK</v>
      </c>
      <c r="J1099">
        <f t="shared" si="85"/>
        <v>6114.4000000000005</v>
      </c>
      <c r="K1099">
        <f>SUMIF(Supply_Clean[Item_Code], B1099, Supply_Clean[Available_Supply])</f>
        <v>16621</v>
      </c>
      <c r="L1099">
        <f t="shared" si="86"/>
        <v>1</v>
      </c>
      <c r="M1099">
        <f t="shared" si="87"/>
        <v>447.4</v>
      </c>
      <c r="N1099" t="str">
        <f t="shared" si="88"/>
        <v>SUFICIENTE</v>
      </c>
      <c r="O1099">
        <f t="shared" si="89"/>
        <v>0</v>
      </c>
    </row>
    <row r="1100" spans="1:15" x14ac:dyDescent="0.45">
      <c r="A1100" t="str">
        <v>CD-LEO</v>
      </c>
      <c r="B1100" t="str">
        <v>BEB-1020</v>
      </c>
      <c r="C1100">
        <v>3080</v>
      </c>
      <c r="D1100">
        <v>436.6</v>
      </c>
      <c r="E1100">
        <v>59.2</v>
      </c>
      <c r="F1100">
        <v>2.4</v>
      </c>
      <c r="G1100">
        <v>0.6</v>
      </c>
      <c r="H1100" t="str">
        <v>OK</v>
      </c>
      <c r="J1100">
        <f t="shared" si="85"/>
        <v>6114.4000000000005</v>
      </c>
      <c r="K1100">
        <f>SUMIF(Supply_Clean[Item_Code], B1100, Supply_Clean[Available_Supply])</f>
        <v>16621</v>
      </c>
      <c r="L1100">
        <f t="shared" si="86"/>
        <v>1</v>
      </c>
      <c r="M1100">
        <f t="shared" si="87"/>
        <v>436.6</v>
      </c>
      <c r="N1100" t="str">
        <f t="shared" si="88"/>
        <v>SUFICIENTE</v>
      </c>
      <c r="O1100">
        <f t="shared" si="89"/>
        <v>0</v>
      </c>
    </row>
    <row r="1101" spans="1:15" x14ac:dyDescent="0.45">
      <c r="A1101" t="str">
        <v>CD-CAN</v>
      </c>
      <c r="B1101" t="str">
        <v>ABA-1001</v>
      </c>
      <c r="C1101">
        <v>1262</v>
      </c>
      <c r="D1101">
        <v>295.8</v>
      </c>
      <c r="E1101">
        <v>30.2</v>
      </c>
      <c r="F1101">
        <v>2.7</v>
      </c>
      <c r="G1101">
        <v>1.6</v>
      </c>
      <c r="H1101" t="str">
        <v>OK</v>
      </c>
      <c r="J1101">
        <f t="shared" si="85"/>
        <v>4698.6999999999989</v>
      </c>
      <c r="K1101">
        <f>SUMIF(Supply_Clean[Item_Code], B1101, Supply_Clean[Available_Supply])</f>
        <v>8775</v>
      </c>
      <c r="L1101">
        <f t="shared" si="86"/>
        <v>1</v>
      </c>
      <c r="M1101">
        <f t="shared" si="87"/>
        <v>295.8</v>
      </c>
      <c r="N1101" t="str">
        <f t="shared" si="88"/>
        <v>SUFICIENTE</v>
      </c>
      <c r="O1101">
        <f t="shared" si="89"/>
        <v>0</v>
      </c>
    </row>
    <row r="1102" spans="1:15" x14ac:dyDescent="0.45">
      <c r="A1102" t="str">
        <v>CD-QRO</v>
      </c>
      <c r="B1102" t="str">
        <v>BOT-1009</v>
      </c>
      <c r="C1102">
        <v>4210</v>
      </c>
      <c r="D1102">
        <v>597.70000000000005</v>
      </c>
      <c r="E1102">
        <v>150.80000000000001</v>
      </c>
      <c r="F1102">
        <v>2.4</v>
      </c>
      <c r="G1102">
        <v>0.4</v>
      </c>
      <c r="H1102" t="str">
        <v>OK</v>
      </c>
      <c r="J1102">
        <f t="shared" si="85"/>
        <v>8135.5</v>
      </c>
      <c r="K1102">
        <f>SUMIF(Supply_Clean[Item_Code], B1102, Supply_Clean[Available_Supply])</f>
        <v>17475</v>
      </c>
      <c r="L1102">
        <f t="shared" si="86"/>
        <v>1</v>
      </c>
      <c r="M1102">
        <f t="shared" si="87"/>
        <v>597.70000000000005</v>
      </c>
      <c r="N1102" t="str">
        <f t="shared" si="88"/>
        <v>SUFICIENTE</v>
      </c>
      <c r="O1102">
        <f t="shared" si="89"/>
        <v>0</v>
      </c>
    </row>
    <row r="1103" spans="1:15" x14ac:dyDescent="0.45">
      <c r="A1103" t="str">
        <v>CD-CAN</v>
      </c>
      <c r="B1103" t="str">
        <v>BOT-1001</v>
      </c>
      <c r="C1103">
        <v>1614</v>
      </c>
      <c r="D1103">
        <v>0</v>
      </c>
      <c r="E1103">
        <v>49.4</v>
      </c>
      <c r="F1103">
        <v>2.5</v>
      </c>
      <c r="G1103">
        <v>1.6</v>
      </c>
      <c r="H1103" t="str">
        <v>OK</v>
      </c>
      <c r="J1103">
        <f t="shared" si="85"/>
        <v>8375.9</v>
      </c>
      <c r="K1103">
        <f>SUMIF(Supply_Clean[Item_Code], B1103, Supply_Clean[Available_Supply])</f>
        <v>20393</v>
      </c>
      <c r="L1103">
        <f t="shared" si="86"/>
        <v>1</v>
      </c>
      <c r="M1103">
        <f t="shared" si="87"/>
        <v>0</v>
      </c>
      <c r="N1103" t="str">
        <f t="shared" si="88"/>
        <v>SUFICIENTE</v>
      </c>
      <c r="O1103">
        <f t="shared" si="89"/>
        <v>0</v>
      </c>
    </row>
    <row r="1104" spans="1:15" x14ac:dyDescent="0.45">
      <c r="A1104" t="str">
        <v>CD-CHI</v>
      </c>
      <c r="B1104" t="str">
        <v>LAC-1005</v>
      </c>
      <c r="C1104">
        <v>2964</v>
      </c>
      <c r="D1104">
        <v>432.8</v>
      </c>
      <c r="E1104">
        <v>111.3</v>
      </c>
      <c r="F1104">
        <v>3.4</v>
      </c>
      <c r="G1104">
        <v>1</v>
      </c>
      <c r="H1104" t="str">
        <v>OK</v>
      </c>
      <c r="J1104">
        <f t="shared" si="85"/>
        <v>3868.9</v>
      </c>
      <c r="K1104">
        <f>SUMIF(Supply_Clean[Item_Code], B1104, Supply_Clean[Available_Supply])</f>
        <v>9953</v>
      </c>
      <c r="L1104">
        <f t="shared" si="86"/>
        <v>1</v>
      </c>
      <c r="M1104">
        <f t="shared" si="87"/>
        <v>432.8</v>
      </c>
      <c r="N1104" t="str">
        <f t="shared" si="88"/>
        <v>SUFICIENTE</v>
      </c>
      <c r="O1104">
        <f t="shared" si="89"/>
        <v>0</v>
      </c>
    </row>
    <row r="1105" spans="1:15" x14ac:dyDescent="0.45">
      <c r="A1105" t="str">
        <v>CD-MTY</v>
      </c>
      <c r="B1105" t="str">
        <v>BOT-1018</v>
      </c>
      <c r="C1105">
        <v>10912</v>
      </c>
      <c r="D1105">
        <v>0</v>
      </c>
      <c r="E1105">
        <v>168.6</v>
      </c>
      <c r="F1105">
        <v>1.1000000000000001</v>
      </c>
      <c r="G1105">
        <v>0.3</v>
      </c>
      <c r="H1105" t="str">
        <v>OK</v>
      </c>
      <c r="J1105">
        <f t="shared" si="85"/>
        <v>8014.5000000000009</v>
      </c>
      <c r="K1105">
        <f>SUMIF(Supply_Clean[Item_Code], B1105, Supply_Clean[Available_Supply])</f>
        <v>15093</v>
      </c>
      <c r="L1105">
        <f t="shared" si="86"/>
        <v>1</v>
      </c>
      <c r="M1105">
        <f t="shared" si="87"/>
        <v>0</v>
      </c>
      <c r="N1105" t="str">
        <f t="shared" si="88"/>
        <v>SUFICIENTE</v>
      </c>
      <c r="O1105">
        <f t="shared" si="89"/>
        <v>0</v>
      </c>
    </row>
    <row r="1106" spans="1:15" x14ac:dyDescent="0.45">
      <c r="A1106" t="str">
        <v>CD-SAL</v>
      </c>
      <c r="B1106" t="str">
        <v>BEB-1015</v>
      </c>
      <c r="C1106">
        <v>1930</v>
      </c>
      <c r="D1106">
        <v>315.2</v>
      </c>
      <c r="E1106">
        <v>51.5</v>
      </c>
      <c r="F1106">
        <v>2.7</v>
      </c>
      <c r="G1106">
        <v>0.5</v>
      </c>
      <c r="H1106" t="str">
        <v>OK</v>
      </c>
      <c r="J1106">
        <f t="shared" si="85"/>
        <v>5073.0999999999995</v>
      </c>
      <c r="K1106">
        <f>SUMIF(Supply_Clean[Item_Code], B1106, Supply_Clean[Available_Supply])</f>
        <v>14801</v>
      </c>
      <c r="L1106">
        <f t="shared" si="86"/>
        <v>1</v>
      </c>
      <c r="M1106">
        <f t="shared" si="87"/>
        <v>315.2</v>
      </c>
      <c r="N1106" t="str">
        <f t="shared" si="88"/>
        <v>SUFICIENTE</v>
      </c>
      <c r="O1106">
        <f t="shared" si="89"/>
        <v>0</v>
      </c>
    </row>
    <row r="1107" spans="1:15" x14ac:dyDescent="0.45">
      <c r="A1107" t="str">
        <v>CD-CAN</v>
      </c>
      <c r="B1107" t="str">
        <v>PRO-1015</v>
      </c>
      <c r="C1107">
        <v>2717</v>
      </c>
      <c r="D1107">
        <v>0</v>
      </c>
      <c r="E1107">
        <v>234.4</v>
      </c>
      <c r="F1107">
        <v>6</v>
      </c>
      <c r="G1107">
        <v>1.6</v>
      </c>
      <c r="H1107" t="str">
        <v>OK</v>
      </c>
      <c r="J1107">
        <f t="shared" si="85"/>
        <v>5021.5</v>
      </c>
      <c r="K1107">
        <f>SUMIF(Supply_Clean[Item_Code], B1107, Supply_Clean[Available_Supply])</f>
        <v>15970</v>
      </c>
      <c r="L1107">
        <f t="shared" si="86"/>
        <v>1</v>
      </c>
      <c r="M1107">
        <f t="shared" si="87"/>
        <v>0</v>
      </c>
      <c r="N1107" t="str">
        <f t="shared" si="88"/>
        <v>SUFICIENTE</v>
      </c>
      <c r="O1107">
        <f t="shared" si="89"/>
        <v>0</v>
      </c>
    </row>
    <row r="1108" spans="1:15" x14ac:dyDescent="0.45">
      <c r="A1108" t="str">
        <v>CD-PUE</v>
      </c>
      <c r="B1108" t="str">
        <v>BOT-1017</v>
      </c>
      <c r="C1108">
        <v>6030</v>
      </c>
      <c r="D1108">
        <v>965.2</v>
      </c>
      <c r="E1108">
        <v>279.89999999999998</v>
      </c>
      <c r="F1108">
        <v>0.6</v>
      </c>
      <c r="G1108">
        <v>0.3</v>
      </c>
      <c r="H1108" t="str">
        <v>OK</v>
      </c>
      <c r="J1108">
        <f t="shared" si="85"/>
        <v>10291.300000000001</v>
      </c>
      <c r="K1108">
        <f>SUMIF(Supply_Clean[Item_Code], B1108, Supply_Clean[Available_Supply])</f>
        <v>5486</v>
      </c>
      <c r="L1108">
        <f t="shared" si="86"/>
        <v>0.53307162360440363</v>
      </c>
      <c r="M1108">
        <f t="shared" si="87"/>
        <v>514.52073110297044</v>
      </c>
      <c r="N1108" t="str">
        <f t="shared" si="88"/>
        <v>ESCASEZ</v>
      </c>
      <c r="O1108">
        <f t="shared" si="89"/>
        <v>450.6792688970296</v>
      </c>
    </row>
    <row r="1109" spans="1:15" x14ac:dyDescent="0.45">
      <c r="A1109" t="str">
        <v>CD-MTY</v>
      </c>
      <c r="B1109" t="str">
        <v>BEB-1015</v>
      </c>
      <c r="C1109">
        <v>3761</v>
      </c>
      <c r="D1109">
        <v>252.3</v>
      </c>
      <c r="E1109">
        <v>44.2</v>
      </c>
      <c r="F1109">
        <v>1.2</v>
      </c>
      <c r="G1109">
        <v>0.3</v>
      </c>
      <c r="H1109" t="str">
        <v>OK</v>
      </c>
      <c r="J1109">
        <f t="shared" si="85"/>
        <v>5073.0999999999995</v>
      </c>
      <c r="K1109">
        <f>SUMIF(Supply_Clean[Item_Code], B1109, Supply_Clean[Available_Supply])</f>
        <v>14801</v>
      </c>
      <c r="L1109">
        <f t="shared" si="86"/>
        <v>1</v>
      </c>
      <c r="M1109">
        <f t="shared" si="87"/>
        <v>252.3</v>
      </c>
      <c r="N1109" t="str">
        <f t="shared" si="88"/>
        <v>SUFICIENTE</v>
      </c>
      <c r="O1109">
        <f t="shared" si="89"/>
        <v>0</v>
      </c>
    </row>
    <row r="1110" spans="1:15" x14ac:dyDescent="0.45">
      <c r="A1110" t="str">
        <v>CD-LEO</v>
      </c>
      <c r="B1110" t="str">
        <v>ABA-1014</v>
      </c>
      <c r="C1110">
        <v>1064</v>
      </c>
      <c r="D1110">
        <v>315.5</v>
      </c>
      <c r="E1110">
        <v>39.6</v>
      </c>
      <c r="F1110">
        <v>1.1000000000000001</v>
      </c>
      <c r="G1110">
        <v>0.6</v>
      </c>
      <c r="H1110" t="str">
        <v>OK</v>
      </c>
      <c r="J1110">
        <f t="shared" si="85"/>
        <v>4779.0000000000009</v>
      </c>
      <c r="K1110">
        <f>SUMIF(Supply_Clean[Item_Code], B1110, Supply_Clean[Available_Supply])</f>
        <v>14629</v>
      </c>
      <c r="L1110">
        <f t="shared" si="86"/>
        <v>1</v>
      </c>
      <c r="M1110">
        <f t="shared" si="87"/>
        <v>315.5</v>
      </c>
      <c r="N1110" t="str">
        <f t="shared" si="88"/>
        <v>SUFICIENTE</v>
      </c>
      <c r="O1110">
        <f t="shared" si="89"/>
        <v>0</v>
      </c>
    </row>
    <row r="1111" spans="1:15" x14ac:dyDescent="0.45">
      <c r="A1111" t="str">
        <v>CD-CDMX</v>
      </c>
      <c r="B1111" t="str">
        <v>LAC-1011</v>
      </c>
      <c r="C1111">
        <v>1094</v>
      </c>
      <c r="D1111">
        <v>255.5</v>
      </c>
      <c r="E1111">
        <v>81.099999999999994</v>
      </c>
      <c r="F1111">
        <v>1.4</v>
      </c>
      <c r="G1111">
        <v>0.2</v>
      </c>
      <c r="H1111" t="str">
        <v>OK</v>
      </c>
      <c r="J1111">
        <f t="shared" si="85"/>
        <v>4165</v>
      </c>
      <c r="K1111">
        <f>SUMIF(Supply_Clean[Item_Code], B1111, Supply_Clean[Available_Supply])</f>
        <v>2719</v>
      </c>
      <c r="L1111">
        <f t="shared" si="86"/>
        <v>0.65282112845138052</v>
      </c>
      <c r="M1111">
        <f t="shared" si="87"/>
        <v>166.79579831932773</v>
      </c>
      <c r="N1111" t="str">
        <f t="shared" si="88"/>
        <v>ESCASEZ</v>
      </c>
      <c r="O1111">
        <f t="shared" si="89"/>
        <v>88.70420168067227</v>
      </c>
    </row>
    <row r="1112" spans="1:15" x14ac:dyDescent="0.45">
      <c r="A1112" t="str">
        <v>CD-CDMX</v>
      </c>
      <c r="B1112" t="str">
        <v>LAC-1007</v>
      </c>
      <c r="C1112">
        <v>944</v>
      </c>
      <c r="D1112">
        <v>0</v>
      </c>
      <c r="E1112">
        <v>53.9</v>
      </c>
      <c r="F1112">
        <v>0.7</v>
      </c>
      <c r="G1112">
        <v>0.2</v>
      </c>
      <c r="H1112" t="str">
        <v>OK</v>
      </c>
      <c r="J1112">
        <f t="shared" si="85"/>
        <v>4093.7999999999997</v>
      </c>
      <c r="K1112">
        <f>SUMIF(Supply_Clean[Item_Code], B1112, Supply_Clean[Available_Supply])</f>
        <v>11651</v>
      </c>
      <c r="L1112">
        <f t="shared" si="86"/>
        <v>1</v>
      </c>
      <c r="M1112">
        <f t="shared" si="87"/>
        <v>0</v>
      </c>
      <c r="N1112" t="str">
        <f t="shared" si="88"/>
        <v>SUFICIENTE</v>
      </c>
      <c r="O1112">
        <f t="shared" si="89"/>
        <v>0</v>
      </c>
    </row>
    <row r="1113" spans="1:15" x14ac:dyDescent="0.45">
      <c r="A1113" t="str">
        <v>CD-CAN</v>
      </c>
      <c r="B1113" t="str">
        <v>ABA-1019</v>
      </c>
      <c r="C1113">
        <v>4591</v>
      </c>
      <c r="D1113">
        <v>335.4</v>
      </c>
      <c r="E1113">
        <v>32.4</v>
      </c>
      <c r="F1113">
        <v>7.3</v>
      </c>
      <c r="G1113">
        <v>1.6</v>
      </c>
      <c r="H1113" t="str">
        <v>OK</v>
      </c>
      <c r="J1113">
        <f t="shared" si="85"/>
        <v>4484.9000000000005</v>
      </c>
      <c r="K1113">
        <f>SUMIF(Supply_Clean[Item_Code], B1113, Supply_Clean[Available_Supply])</f>
        <v>12013</v>
      </c>
      <c r="L1113">
        <f t="shared" si="86"/>
        <v>1</v>
      </c>
      <c r="M1113">
        <f t="shared" si="87"/>
        <v>335.4</v>
      </c>
      <c r="N1113" t="str">
        <f t="shared" si="88"/>
        <v>SUFICIENTE</v>
      </c>
      <c r="O1113">
        <f t="shared" si="89"/>
        <v>0</v>
      </c>
    </row>
    <row r="1114" spans="1:15" x14ac:dyDescent="0.45">
      <c r="A1114" t="str">
        <v>CD-MER</v>
      </c>
      <c r="B1114" t="str">
        <v>ABA-1013</v>
      </c>
      <c r="C1114">
        <v>2918</v>
      </c>
      <c r="D1114">
        <v>324</v>
      </c>
      <c r="E1114">
        <v>47.9</v>
      </c>
      <c r="F1114">
        <v>3.2</v>
      </c>
      <c r="G1114">
        <v>1.3</v>
      </c>
      <c r="H1114" t="str">
        <v>OK</v>
      </c>
      <c r="J1114">
        <f t="shared" si="85"/>
        <v>4213.8999999999996</v>
      </c>
      <c r="K1114">
        <f>SUMIF(Supply_Clean[Item_Code], B1114, Supply_Clean[Available_Supply])</f>
        <v>2568</v>
      </c>
      <c r="L1114">
        <f t="shared" si="86"/>
        <v>0.60941170886826934</v>
      </c>
      <c r="M1114">
        <f t="shared" si="87"/>
        <v>197.44939367331926</v>
      </c>
      <c r="N1114" t="str">
        <f t="shared" si="88"/>
        <v>ESCASEZ</v>
      </c>
      <c r="O1114">
        <f t="shared" si="89"/>
        <v>126.55060632668074</v>
      </c>
    </row>
    <row r="1115" spans="1:15" x14ac:dyDescent="0.45">
      <c r="A1115" t="str">
        <v>CD-PUE</v>
      </c>
      <c r="B1115" t="str">
        <v>ABA-1019</v>
      </c>
      <c r="C1115">
        <v>2160</v>
      </c>
      <c r="D1115">
        <v>388.4</v>
      </c>
      <c r="E1115">
        <v>48</v>
      </c>
      <c r="F1115">
        <v>1.3</v>
      </c>
      <c r="G1115">
        <v>0.3</v>
      </c>
      <c r="H1115" t="str">
        <v>OK</v>
      </c>
      <c r="J1115">
        <f t="shared" si="85"/>
        <v>4484.9000000000005</v>
      </c>
      <c r="K1115">
        <f>SUMIF(Supply_Clean[Item_Code], B1115, Supply_Clean[Available_Supply])</f>
        <v>12013</v>
      </c>
      <c r="L1115">
        <f t="shared" si="86"/>
        <v>1</v>
      </c>
      <c r="M1115">
        <f t="shared" si="87"/>
        <v>388.4</v>
      </c>
      <c r="N1115" t="str">
        <f t="shared" si="88"/>
        <v>SUFICIENTE</v>
      </c>
      <c r="O1115">
        <f t="shared" si="89"/>
        <v>0</v>
      </c>
    </row>
    <row r="1116" spans="1:15" x14ac:dyDescent="0.45">
      <c r="A1116" t="str">
        <v>CD-CDMX</v>
      </c>
      <c r="B1116" t="str">
        <v>LAC-1017</v>
      </c>
      <c r="C1116">
        <v>1604</v>
      </c>
      <c r="D1116">
        <v>499.8</v>
      </c>
      <c r="E1116">
        <v>171.6</v>
      </c>
      <c r="F1116">
        <v>1.3</v>
      </c>
      <c r="G1116">
        <v>0.2</v>
      </c>
      <c r="H1116" t="str">
        <v>OK</v>
      </c>
      <c r="J1116">
        <f t="shared" si="85"/>
        <v>4246.3999999999996</v>
      </c>
      <c r="K1116">
        <f>SUMIF(Supply_Clean[Item_Code], B1116, Supply_Clean[Available_Supply])</f>
        <v>12824</v>
      </c>
      <c r="L1116">
        <f t="shared" si="86"/>
        <v>1</v>
      </c>
      <c r="M1116">
        <f t="shared" si="87"/>
        <v>499.8</v>
      </c>
      <c r="N1116" t="str">
        <f t="shared" si="88"/>
        <v>SUFICIENTE</v>
      </c>
      <c r="O1116">
        <f t="shared" si="89"/>
        <v>0</v>
      </c>
    </row>
    <row r="1117" spans="1:15" x14ac:dyDescent="0.45">
      <c r="A1117" t="str">
        <v>CD-CDMX</v>
      </c>
      <c r="B1117" t="str">
        <v>BOT-1005</v>
      </c>
      <c r="C1117">
        <v>6028</v>
      </c>
      <c r="D1117">
        <v>674.5</v>
      </c>
      <c r="E1117">
        <v>102</v>
      </c>
      <c r="F1117">
        <v>1.1000000000000001</v>
      </c>
      <c r="G1117">
        <v>0.2</v>
      </c>
      <c r="H1117" t="str">
        <v>OK</v>
      </c>
      <c r="J1117">
        <f t="shared" si="85"/>
        <v>8620.3000000000011</v>
      </c>
      <c r="K1117">
        <f>SUMIF(Supply_Clean[Item_Code], B1117, Supply_Clean[Available_Supply])</f>
        <v>23903</v>
      </c>
      <c r="L1117">
        <f t="shared" si="86"/>
        <v>1</v>
      </c>
      <c r="M1117">
        <f t="shared" si="87"/>
        <v>674.5</v>
      </c>
      <c r="N1117" t="str">
        <f t="shared" si="88"/>
        <v>SUFICIENTE</v>
      </c>
      <c r="O1117">
        <f t="shared" si="89"/>
        <v>0</v>
      </c>
    </row>
    <row r="1118" spans="1:15" x14ac:dyDescent="0.45">
      <c r="A1118" t="str">
        <v>CD-MOR</v>
      </c>
      <c r="B1118" t="str">
        <v>BEB-1008</v>
      </c>
      <c r="C1118">
        <v>3403</v>
      </c>
      <c r="D1118">
        <v>200.2</v>
      </c>
      <c r="E1118">
        <v>34</v>
      </c>
      <c r="F1118">
        <v>2.6</v>
      </c>
      <c r="G1118">
        <v>0.5</v>
      </c>
      <c r="H1118" t="str">
        <v>OK</v>
      </c>
      <c r="J1118">
        <f t="shared" si="85"/>
        <v>6156.9999999999991</v>
      </c>
      <c r="K1118">
        <f>SUMIF(Supply_Clean[Item_Code], B1118, Supply_Clean[Available_Supply])</f>
        <v>18019</v>
      </c>
      <c r="L1118">
        <f t="shared" si="86"/>
        <v>1</v>
      </c>
      <c r="M1118">
        <f t="shared" si="87"/>
        <v>200.2</v>
      </c>
      <c r="N1118" t="str">
        <f t="shared" si="88"/>
        <v>SUFICIENTE</v>
      </c>
      <c r="O1118">
        <f t="shared" si="89"/>
        <v>0</v>
      </c>
    </row>
    <row r="1119" spans="1:15" x14ac:dyDescent="0.45">
      <c r="A1119" t="str">
        <v>CD-QRO</v>
      </c>
      <c r="B1119" t="str">
        <v>BEB-1018</v>
      </c>
      <c r="C1119">
        <v>2000</v>
      </c>
      <c r="D1119">
        <v>0</v>
      </c>
      <c r="E1119">
        <v>91</v>
      </c>
      <c r="F1119">
        <v>1.7</v>
      </c>
      <c r="G1119">
        <v>0.4</v>
      </c>
      <c r="H1119" t="str">
        <v>OK</v>
      </c>
      <c r="J1119">
        <f t="shared" si="85"/>
        <v>5898.0999999999995</v>
      </c>
      <c r="K1119">
        <f>SUMIF(Supply_Clean[Item_Code], B1119, Supply_Clean[Available_Supply])</f>
        <v>11472</v>
      </c>
      <c r="L1119">
        <f t="shared" si="86"/>
        <v>1</v>
      </c>
      <c r="M1119">
        <f t="shared" si="87"/>
        <v>0</v>
      </c>
      <c r="N1119" t="str">
        <f t="shared" si="88"/>
        <v>SUFICIENTE</v>
      </c>
      <c r="O1119">
        <f t="shared" si="89"/>
        <v>0</v>
      </c>
    </row>
    <row r="1120" spans="1:15" x14ac:dyDescent="0.45">
      <c r="A1120" t="str">
        <v>CD-LEO</v>
      </c>
      <c r="B1120" t="str">
        <v>BEB-1002</v>
      </c>
      <c r="C1120">
        <v>1072</v>
      </c>
      <c r="D1120">
        <v>339</v>
      </c>
      <c r="E1120">
        <v>46.5</v>
      </c>
      <c r="F1120">
        <v>2.4</v>
      </c>
      <c r="G1120">
        <v>0.6</v>
      </c>
      <c r="H1120" t="str">
        <v>OK</v>
      </c>
      <c r="J1120">
        <f t="shared" si="85"/>
        <v>6246.8</v>
      </c>
      <c r="K1120">
        <f>SUMIF(Supply_Clean[Item_Code], B1120, Supply_Clean[Available_Supply])</f>
        <v>13052</v>
      </c>
      <c r="L1120">
        <f t="shared" si="86"/>
        <v>1</v>
      </c>
      <c r="M1120">
        <f t="shared" si="87"/>
        <v>339</v>
      </c>
      <c r="N1120" t="str">
        <f t="shared" si="88"/>
        <v>SUFICIENTE</v>
      </c>
      <c r="O1120">
        <f t="shared" si="89"/>
        <v>0</v>
      </c>
    </row>
    <row r="1121" spans="1:15" x14ac:dyDescent="0.45">
      <c r="A1121" t="str">
        <v>CD-SAL</v>
      </c>
      <c r="B1121" t="str">
        <v>BOT-1019</v>
      </c>
      <c r="C1121">
        <v>2240</v>
      </c>
      <c r="D1121">
        <v>339.7</v>
      </c>
      <c r="E1121">
        <v>69</v>
      </c>
      <c r="F1121">
        <v>1.1000000000000001</v>
      </c>
      <c r="G1121">
        <v>0.5</v>
      </c>
      <c r="H1121" t="str">
        <v>OK</v>
      </c>
      <c r="J1121">
        <f t="shared" si="85"/>
        <v>9278.2999999999993</v>
      </c>
      <c r="K1121">
        <f>SUMIF(Supply_Clean[Item_Code], B1121, Supply_Clean[Available_Supply])</f>
        <v>4509</v>
      </c>
      <c r="L1121">
        <f t="shared" si="86"/>
        <v>0.48597264585107192</v>
      </c>
      <c r="M1121">
        <f t="shared" si="87"/>
        <v>165.08490779560913</v>
      </c>
      <c r="N1121" t="str">
        <f t="shared" si="88"/>
        <v>ESCASEZ</v>
      </c>
      <c r="O1121">
        <f t="shared" si="89"/>
        <v>174.61509220439086</v>
      </c>
    </row>
    <row r="1122" spans="1:15" x14ac:dyDescent="0.45">
      <c r="A1122" t="str">
        <v>CD-QRO</v>
      </c>
      <c r="B1122" t="str">
        <v>BEB-1002</v>
      </c>
      <c r="C1122">
        <v>4354</v>
      </c>
      <c r="D1122">
        <v>560.6</v>
      </c>
      <c r="E1122">
        <v>78.3</v>
      </c>
      <c r="F1122">
        <v>2.2000000000000002</v>
      </c>
      <c r="G1122">
        <v>0.4</v>
      </c>
      <c r="H1122" t="str">
        <v>OK</v>
      </c>
      <c r="J1122">
        <f t="shared" si="85"/>
        <v>6246.8</v>
      </c>
      <c r="K1122">
        <f>SUMIF(Supply_Clean[Item_Code], B1122, Supply_Clean[Available_Supply])</f>
        <v>13052</v>
      </c>
      <c r="L1122">
        <f t="shared" si="86"/>
        <v>1</v>
      </c>
      <c r="M1122">
        <f t="shared" si="87"/>
        <v>560.6</v>
      </c>
      <c r="N1122" t="str">
        <f t="shared" si="88"/>
        <v>SUFICIENTE</v>
      </c>
      <c r="O1122">
        <f t="shared" si="89"/>
        <v>0</v>
      </c>
    </row>
    <row r="1123" spans="1:15" x14ac:dyDescent="0.45">
      <c r="A1123" t="str">
        <v>CD-PUE</v>
      </c>
      <c r="B1123" t="str">
        <v>LAC-1000</v>
      </c>
      <c r="C1123">
        <v>6047</v>
      </c>
      <c r="D1123">
        <v>401.1</v>
      </c>
      <c r="E1123">
        <v>160.80000000000001</v>
      </c>
      <c r="F1123">
        <v>1.3</v>
      </c>
      <c r="G1123">
        <v>0.3</v>
      </c>
      <c r="H1123" t="str">
        <v>OK</v>
      </c>
      <c r="J1123">
        <f t="shared" si="85"/>
        <v>4987.8</v>
      </c>
      <c r="K1123">
        <f>SUMIF(Supply_Clean[Item_Code], B1123, Supply_Clean[Available_Supply])</f>
        <v>12568</v>
      </c>
      <c r="L1123">
        <f t="shared" si="86"/>
        <v>1</v>
      </c>
      <c r="M1123">
        <f t="shared" si="87"/>
        <v>401.1</v>
      </c>
      <c r="N1123" t="str">
        <f t="shared" si="88"/>
        <v>SUFICIENTE</v>
      </c>
      <c r="O1123">
        <f t="shared" si="89"/>
        <v>0</v>
      </c>
    </row>
    <row r="1124" spans="1:15" x14ac:dyDescent="0.45">
      <c r="A1124" t="str">
        <v>CD-MTY</v>
      </c>
      <c r="B1124" t="str">
        <v>ABA-1000</v>
      </c>
      <c r="C1124">
        <v>6017</v>
      </c>
      <c r="D1124">
        <v>432.1</v>
      </c>
      <c r="E1124">
        <v>37.200000000000003</v>
      </c>
      <c r="F1124">
        <v>1.7</v>
      </c>
      <c r="G1124">
        <v>0.3</v>
      </c>
      <c r="H1124" t="str">
        <v>OK</v>
      </c>
      <c r="J1124">
        <f t="shared" si="85"/>
        <v>4722.2</v>
      </c>
      <c r="K1124">
        <f>SUMIF(Supply_Clean[Item_Code], B1124, Supply_Clean[Available_Supply])</f>
        <v>10731</v>
      </c>
      <c r="L1124">
        <f t="shared" si="86"/>
        <v>1</v>
      </c>
      <c r="M1124">
        <f t="shared" si="87"/>
        <v>432.1</v>
      </c>
      <c r="N1124" t="str">
        <f t="shared" si="88"/>
        <v>SUFICIENTE</v>
      </c>
      <c r="O1124">
        <f t="shared" si="89"/>
        <v>0</v>
      </c>
    </row>
    <row r="1125" spans="1:15" x14ac:dyDescent="0.45">
      <c r="A1125" t="str">
        <v>CD-SAL</v>
      </c>
      <c r="B1125" t="str">
        <v>ABA-1015</v>
      </c>
      <c r="C1125">
        <v>2012</v>
      </c>
      <c r="D1125">
        <v>0</v>
      </c>
      <c r="E1125">
        <v>36.799999999999997</v>
      </c>
      <c r="F1125">
        <v>2</v>
      </c>
      <c r="G1125">
        <v>0.5</v>
      </c>
      <c r="H1125" t="str">
        <v>OK</v>
      </c>
      <c r="J1125">
        <f t="shared" si="85"/>
        <v>3986.4999999999991</v>
      </c>
      <c r="K1125">
        <f>SUMIF(Supply_Clean[Item_Code], B1125, Supply_Clean[Available_Supply])</f>
        <v>7969</v>
      </c>
      <c r="L1125">
        <f t="shared" si="86"/>
        <v>1</v>
      </c>
      <c r="M1125">
        <f t="shared" si="87"/>
        <v>0</v>
      </c>
      <c r="N1125" t="str">
        <f t="shared" si="88"/>
        <v>SUFICIENTE</v>
      </c>
      <c r="O1125">
        <f t="shared" si="89"/>
        <v>0</v>
      </c>
    </row>
    <row r="1126" spans="1:15" x14ac:dyDescent="0.45">
      <c r="A1126" t="str">
        <v>CD-VER</v>
      </c>
      <c r="B1126" t="str">
        <v>BOT-1004</v>
      </c>
      <c r="C1126">
        <v>4013</v>
      </c>
      <c r="D1126">
        <v>820.7</v>
      </c>
      <c r="E1126">
        <v>221.8</v>
      </c>
      <c r="F1126">
        <v>3.9</v>
      </c>
      <c r="G1126">
        <v>0.9</v>
      </c>
      <c r="H1126" t="str">
        <v>OK</v>
      </c>
      <c r="J1126">
        <f t="shared" si="85"/>
        <v>9421.7999999999993</v>
      </c>
      <c r="K1126">
        <f>SUMIF(Supply_Clean[Item_Code], B1126, Supply_Clean[Available_Supply])</f>
        <v>15860</v>
      </c>
      <c r="L1126">
        <f t="shared" si="86"/>
        <v>1</v>
      </c>
      <c r="M1126">
        <f t="shared" si="87"/>
        <v>820.7</v>
      </c>
      <c r="N1126" t="str">
        <f t="shared" si="88"/>
        <v>SUFICIENTE</v>
      </c>
      <c r="O1126">
        <f t="shared" si="89"/>
        <v>0</v>
      </c>
    </row>
    <row r="1127" spans="1:15" x14ac:dyDescent="0.45">
      <c r="A1127" t="str">
        <v>CD-CAN</v>
      </c>
      <c r="B1127" t="str">
        <v>BEB-1020</v>
      </c>
      <c r="C1127">
        <v>2199</v>
      </c>
      <c r="D1127">
        <v>222.1</v>
      </c>
      <c r="E1127">
        <v>40.4</v>
      </c>
      <c r="F1127">
        <v>6.8</v>
      </c>
      <c r="G1127">
        <v>1.6</v>
      </c>
      <c r="H1127" t="str">
        <v>OK</v>
      </c>
      <c r="J1127">
        <f t="shared" si="85"/>
        <v>6114.4000000000005</v>
      </c>
      <c r="K1127">
        <f>SUMIF(Supply_Clean[Item_Code], B1127, Supply_Clean[Available_Supply])</f>
        <v>16621</v>
      </c>
      <c r="L1127">
        <f t="shared" si="86"/>
        <v>1</v>
      </c>
      <c r="M1127">
        <f t="shared" si="87"/>
        <v>222.1</v>
      </c>
      <c r="N1127" t="str">
        <f t="shared" si="88"/>
        <v>SUFICIENTE</v>
      </c>
      <c r="O1127">
        <f t="shared" si="89"/>
        <v>0</v>
      </c>
    </row>
    <row r="1128" spans="1:15" x14ac:dyDescent="0.45">
      <c r="A1128" t="str">
        <v>CD-TOL</v>
      </c>
      <c r="B1128" t="str">
        <v>BOT-1014</v>
      </c>
      <c r="C1128">
        <v>1076</v>
      </c>
      <c r="D1128">
        <v>275.7</v>
      </c>
      <c r="E1128">
        <v>71.3</v>
      </c>
      <c r="F1128">
        <v>1.9</v>
      </c>
      <c r="G1128">
        <v>0.5</v>
      </c>
      <c r="H1128" t="str">
        <v>OK</v>
      </c>
      <c r="J1128">
        <f t="shared" si="85"/>
        <v>8056.4000000000005</v>
      </c>
      <c r="K1128">
        <f>SUMIF(Supply_Clean[Item_Code], B1128, Supply_Clean[Available_Supply])</f>
        <v>14373</v>
      </c>
      <c r="L1128">
        <f t="shared" si="86"/>
        <v>1</v>
      </c>
      <c r="M1128">
        <f t="shared" si="87"/>
        <v>275.7</v>
      </c>
      <c r="N1128" t="str">
        <f t="shared" si="88"/>
        <v>SUFICIENTE</v>
      </c>
      <c r="O1128">
        <f t="shared" si="89"/>
        <v>0</v>
      </c>
    </row>
    <row r="1129" spans="1:15" x14ac:dyDescent="0.45">
      <c r="A1129" t="str">
        <v>CD-GDL</v>
      </c>
      <c r="B1129" t="str">
        <v>LAC-1002</v>
      </c>
      <c r="C1129">
        <v>3239</v>
      </c>
      <c r="D1129">
        <v>314.89999999999998</v>
      </c>
      <c r="E1129">
        <v>87.8</v>
      </c>
      <c r="F1129">
        <v>0.8</v>
      </c>
      <c r="G1129">
        <v>0.2</v>
      </c>
      <c r="H1129" t="str">
        <v>OK</v>
      </c>
      <c r="J1129">
        <f t="shared" si="85"/>
        <v>4442.1000000000004</v>
      </c>
      <c r="K1129">
        <f>SUMIF(Supply_Clean[Item_Code], B1129, Supply_Clean[Available_Supply])</f>
        <v>7796</v>
      </c>
      <c r="L1129">
        <f t="shared" si="86"/>
        <v>1</v>
      </c>
      <c r="M1129">
        <f t="shared" si="87"/>
        <v>314.89999999999998</v>
      </c>
      <c r="N1129" t="str">
        <f t="shared" si="88"/>
        <v>SUFICIENTE</v>
      </c>
      <c r="O1129">
        <f t="shared" si="89"/>
        <v>0</v>
      </c>
    </row>
    <row r="1130" spans="1:15" x14ac:dyDescent="0.45">
      <c r="A1130" t="str">
        <v>CD-MOR</v>
      </c>
      <c r="B1130" t="str">
        <v>BEB-1011</v>
      </c>
      <c r="C1130">
        <v>2215</v>
      </c>
      <c r="D1130">
        <v>299.60000000000002</v>
      </c>
      <c r="E1130">
        <v>37.700000000000003</v>
      </c>
      <c r="F1130">
        <v>1.9</v>
      </c>
      <c r="G1130">
        <v>0.5</v>
      </c>
      <c r="H1130" t="str">
        <v>OK</v>
      </c>
      <c r="J1130">
        <f t="shared" si="85"/>
        <v>5454.4999999999991</v>
      </c>
      <c r="K1130">
        <f>SUMIF(Supply_Clean[Item_Code], B1130, Supply_Clean[Available_Supply])</f>
        <v>13720</v>
      </c>
      <c r="L1130">
        <f t="shared" si="86"/>
        <v>1</v>
      </c>
      <c r="M1130">
        <f t="shared" si="87"/>
        <v>299.60000000000002</v>
      </c>
      <c r="N1130" t="str">
        <f t="shared" si="88"/>
        <v>SUFICIENTE</v>
      </c>
      <c r="O1130">
        <f t="shared" si="89"/>
        <v>0</v>
      </c>
    </row>
    <row r="1131" spans="1:15" x14ac:dyDescent="0.45">
      <c r="A1131" t="str">
        <v>CD-MOR</v>
      </c>
      <c r="B1131" t="str">
        <v>LAC-1005</v>
      </c>
      <c r="C1131">
        <v>3334</v>
      </c>
      <c r="D1131">
        <v>200.3</v>
      </c>
      <c r="E1131">
        <v>65.5</v>
      </c>
      <c r="F1131">
        <v>1.8</v>
      </c>
      <c r="G1131">
        <v>0.5</v>
      </c>
      <c r="H1131" t="str">
        <v>OK</v>
      </c>
      <c r="J1131">
        <f t="shared" si="85"/>
        <v>3868.9</v>
      </c>
      <c r="K1131">
        <f>SUMIF(Supply_Clean[Item_Code], B1131, Supply_Clean[Available_Supply])</f>
        <v>9953</v>
      </c>
      <c r="L1131">
        <f t="shared" si="86"/>
        <v>1</v>
      </c>
      <c r="M1131">
        <f t="shared" si="87"/>
        <v>200.3</v>
      </c>
      <c r="N1131" t="str">
        <f t="shared" si="88"/>
        <v>SUFICIENTE</v>
      </c>
      <c r="O1131">
        <f t="shared" si="89"/>
        <v>0</v>
      </c>
    </row>
    <row r="1132" spans="1:15" x14ac:dyDescent="0.45">
      <c r="A1132" t="str">
        <v>CD-VER</v>
      </c>
      <c r="B1132" t="str">
        <v>BEB-1018</v>
      </c>
      <c r="C1132">
        <v>4637</v>
      </c>
      <c r="D1132">
        <v>324.2</v>
      </c>
      <c r="E1132">
        <v>37.200000000000003</v>
      </c>
      <c r="F1132">
        <v>2.7</v>
      </c>
      <c r="G1132">
        <v>0.9</v>
      </c>
      <c r="H1132" t="str">
        <v>OK</v>
      </c>
      <c r="J1132">
        <f t="shared" si="85"/>
        <v>5898.0999999999995</v>
      </c>
      <c r="K1132">
        <f>SUMIF(Supply_Clean[Item_Code], B1132, Supply_Clean[Available_Supply])</f>
        <v>11472</v>
      </c>
      <c r="L1132">
        <f t="shared" si="86"/>
        <v>1</v>
      </c>
      <c r="M1132">
        <f t="shared" si="87"/>
        <v>324.2</v>
      </c>
      <c r="N1132" t="str">
        <f t="shared" si="88"/>
        <v>SUFICIENTE</v>
      </c>
      <c r="O1132">
        <f t="shared" si="89"/>
        <v>0</v>
      </c>
    </row>
    <row r="1133" spans="1:15" x14ac:dyDescent="0.45">
      <c r="A1133" t="str">
        <v>CD-TIJ</v>
      </c>
      <c r="B1133" t="str">
        <v>LAC-1003</v>
      </c>
      <c r="C1133">
        <v>1542</v>
      </c>
      <c r="D1133">
        <v>149.69999999999999</v>
      </c>
      <c r="E1133">
        <v>66.3</v>
      </c>
      <c r="F1133">
        <v>1.4</v>
      </c>
      <c r="G1133">
        <v>1.5</v>
      </c>
      <c r="H1133" t="str">
        <v>OK</v>
      </c>
      <c r="J1133">
        <f t="shared" si="85"/>
        <v>3701.4999999999995</v>
      </c>
      <c r="K1133">
        <f>SUMIF(Supply_Clean[Item_Code], B1133, Supply_Clean[Available_Supply])</f>
        <v>7244</v>
      </c>
      <c r="L1133">
        <f t="shared" si="86"/>
        <v>1</v>
      </c>
      <c r="M1133">
        <f t="shared" si="87"/>
        <v>149.69999999999999</v>
      </c>
      <c r="N1133" t="str">
        <f t="shared" si="88"/>
        <v>SUFICIENTE</v>
      </c>
      <c r="O1133">
        <f t="shared" si="89"/>
        <v>0</v>
      </c>
    </row>
    <row r="1134" spans="1:15" x14ac:dyDescent="0.45">
      <c r="A1134" t="str">
        <v>CD-QRO</v>
      </c>
      <c r="B1134" t="str">
        <v>BEB-1019</v>
      </c>
      <c r="C1134">
        <v>3387</v>
      </c>
      <c r="D1134">
        <v>398.3</v>
      </c>
      <c r="E1134">
        <v>76.400000000000006</v>
      </c>
      <c r="F1134">
        <v>2</v>
      </c>
      <c r="G1134">
        <v>0.4</v>
      </c>
      <c r="H1134" t="str">
        <v>OK</v>
      </c>
      <c r="J1134">
        <f t="shared" si="85"/>
        <v>5453.6</v>
      </c>
      <c r="K1134">
        <f>SUMIF(Supply_Clean[Item_Code], B1134, Supply_Clean[Available_Supply])</f>
        <v>15099</v>
      </c>
      <c r="L1134">
        <f t="shared" si="86"/>
        <v>1</v>
      </c>
      <c r="M1134">
        <f t="shared" si="87"/>
        <v>398.3</v>
      </c>
      <c r="N1134" t="str">
        <f t="shared" si="88"/>
        <v>SUFICIENTE</v>
      </c>
      <c r="O1134">
        <f t="shared" si="89"/>
        <v>0</v>
      </c>
    </row>
    <row r="1135" spans="1:15" x14ac:dyDescent="0.45">
      <c r="A1135" t="str">
        <v>CD-HER</v>
      </c>
      <c r="B1135" t="str">
        <v>ABA-1003</v>
      </c>
      <c r="C1135">
        <v>4275</v>
      </c>
      <c r="D1135">
        <v>481.1</v>
      </c>
      <c r="E1135">
        <v>55.9</v>
      </c>
      <c r="F1135">
        <v>4.8</v>
      </c>
      <c r="G1135">
        <v>1.2</v>
      </c>
      <c r="H1135" t="str">
        <v>OK</v>
      </c>
      <c r="J1135">
        <f t="shared" si="85"/>
        <v>4709.8000000000011</v>
      </c>
      <c r="K1135">
        <f>SUMIF(Supply_Clean[Item_Code], B1135, Supply_Clean[Available_Supply])</f>
        <v>11700</v>
      </c>
      <c r="L1135">
        <f t="shared" si="86"/>
        <v>1</v>
      </c>
      <c r="M1135">
        <f t="shared" si="87"/>
        <v>481.1</v>
      </c>
      <c r="N1135" t="str">
        <f t="shared" si="88"/>
        <v>SUFICIENTE</v>
      </c>
      <c r="O1135">
        <f t="shared" si="89"/>
        <v>0</v>
      </c>
    </row>
    <row r="1136" spans="1:15" x14ac:dyDescent="0.45">
      <c r="A1136" t="str">
        <v>CD-CHI</v>
      </c>
      <c r="B1136" t="str">
        <v>BEB-1012</v>
      </c>
      <c r="C1136">
        <v>5243</v>
      </c>
      <c r="D1136">
        <v>441.2</v>
      </c>
      <c r="E1136">
        <v>74.7</v>
      </c>
      <c r="F1136">
        <v>3</v>
      </c>
      <c r="G1136">
        <v>1</v>
      </c>
      <c r="H1136" t="str">
        <v>OK</v>
      </c>
      <c r="J1136">
        <f t="shared" si="85"/>
        <v>5740.7</v>
      </c>
      <c r="K1136">
        <f>SUMIF(Supply_Clean[Item_Code], B1136, Supply_Clean[Available_Supply])</f>
        <v>12491</v>
      </c>
      <c r="L1136">
        <f t="shared" si="86"/>
        <v>1</v>
      </c>
      <c r="M1136">
        <f t="shared" si="87"/>
        <v>441.2</v>
      </c>
      <c r="N1136" t="str">
        <f t="shared" si="88"/>
        <v>SUFICIENTE</v>
      </c>
      <c r="O1136">
        <f t="shared" si="89"/>
        <v>0</v>
      </c>
    </row>
    <row r="1137" spans="1:15" x14ac:dyDescent="0.45">
      <c r="A1137" t="str">
        <v>CD-VER</v>
      </c>
      <c r="B1137" t="str">
        <v>ABA-1016</v>
      </c>
      <c r="C1137">
        <v>3616</v>
      </c>
      <c r="D1137">
        <v>298.7</v>
      </c>
      <c r="E1137">
        <v>36</v>
      </c>
      <c r="F1137">
        <v>3.2</v>
      </c>
      <c r="G1137">
        <v>0.9</v>
      </c>
      <c r="H1137" t="str">
        <v>OK</v>
      </c>
      <c r="J1137">
        <f t="shared" si="85"/>
        <v>5056.7</v>
      </c>
      <c r="K1137">
        <f>SUMIF(Supply_Clean[Item_Code], B1137, Supply_Clean[Available_Supply])</f>
        <v>9151</v>
      </c>
      <c r="L1137">
        <f t="shared" si="86"/>
        <v>1</v>
      </c>
      <c r="M1137">
        <f t="shared" si="87"/>
        <v>298.7</v>
      </c>
      <c r="N1137" t="str">
        <f t="shared" si="88"/>
        <v>SUFICIENTE</v>
      </c>
      <c r="O1137">
        <f t="shared" si="89"/>
        <v>0</v>
      </c>
    </row>
    <row r="1138" spans="1:15" x14ac:dyDescent="0.45">
      <c r="A1138" t="str">
        <v>CD-CHI</v>
      </c>
      <c r="B1138" t="str">
        <v>PRO-1005</v>
      </c>
      <c r="C1138">
        <v>2901</v>
      </c>
      <c r="D1138">
        <v>562.29999999999995</v>
      </c>
      <c r="E1138">
        <v>245.4</v>
      </c>
      <c r="F1138">
        <v>1.1000000000000001</v>
      </c>
      <c r="G1138">
        <v>1</v>
      </c>
      <c r="H1138" t="str">
        <v>OK</v>
      </c>
      <c r="J1138">
        <f t="shared" si="85"/>
        <v>4399.3</v>
      </c>
      <c r="K1138">
        <f>SUMIF(Supply_Clean[Item_Code], B1138, Supply_Clean[Available_Supply])</f>
        <v>8407</v>
      </c>
      <c r="L1138">
        <f t="shared" si="86"/>
        <v>1</v>
      </c>
      <c r="M1138">
        <f t="shared" si="87"/>
        <v>562.29999999999995</v>
      </c>
      <c r="N1138" t="str">
        <f t="shared" si="88"/>
        <v>SUFICIENTE</v>
      </c>
      <c r="O1138">
        <f t="shared" si="89"/>
        <v>0</v>
      </c>
    </row>
    <row r="1139" spans="1:15" x14ac:dyDescent="0.45">
      <c r="A1139" t="str">
        <v>CD-LEO</v>
      </c>
      <c r="B1139" t="str">
        <v>PRO-1000</v>
      </c>
      <c r="C1139">
        <v>4841</v>
      </c>
      <c r="D1139">
        <v>498.5</v>
      </c>
      <c r="E1139">
        <v>279.3</v>
      </c>
      <c r="F1139">
        <v>1.9</v>
      </c>
      <c r="G1139">
        <v>0.6</v>
      </c>
      <c r="H1139" t="str">
        <v>OK</v>
      </c>
      <c r="J1139">
        <f t="shared" si="85"/>
        <v>5872.7</v>
      </c>
      <c r="K1139">
        <f>SUMIF(Supply_Clean[Item_Code], B1139, Supply_Clean[Available_Supply])</f>
        <v>2915</v>
      </c>
      <c r="L1139">
        <f t="shared" si="86"/>
        <v>0.49636453420062326</v>
      </c>
      <c r="M1139">
        <f t="shared" si="87"/>
        <v>247.43772029901069</v>
      </c>
      <c r="N1139" t="str">
        <f t="shared" si="88"/>
        <v>ESCASEZ</v>
      </c>
      <c r="O1139">
        <f t="shared" si="89"/>
        <v>251.06227970098931</v>
      </c>
    </row>
    <row r="1140" spans="1:15" x14ac:dyDescent="0.45">
      <c r="A1140" t="str">
        <v>CD-CDMX</v>
      </c>
      <c r="B1140" t="str">
        <v>BOT-1022</v>
      </c>
      <c r="C1140">
        <v>3163</v>
      </c>
      <c r="D1140">
        <v>413</v>
      </c>
      <c r="E1140">
        <v>93.9</v>
      </c>
      <c r="F1140">
        <v>0.6</v>
      </c>
      <c r="G1140">
        <v>0.2</v>
      </c>
      <c r="H1140" t="str">
        <v>OK</v>
      </c>
      <c r="J1140">
        <f t="shared" si="85"/>
        <v>9197.7000000000007</v>
      </c>
      <c r="K1140">
        <f>SUMIF(Supply_Clean[Item_Code], B1140, Supply_Clean[Available_Supply])</f>
        <v>23862</v>
      </c>
      <c r="L1140">
        <f t="shared" si="86"/>
        <v>1</v>
      </c>
      <c r="M1140">
        <f t="shared" si="87"/>
        <v>413</v>
      </c>
      <c r="N1140" t="str">
        <f t="shared" si="88"/>
        <v>SUFICIENTE</v>
      </c>
      <c r="O1140">
        <f t="shared" si="89"/>
        <v>0</v>
      </c>
    </row>
    <row r="1141" spans="1:15" x14ac:dyDescent="0.45">
      <c r="A1141" t="str">
        <v>CD-LEO</v>
      </c>
      <c r="B1141" t="str">
        <v>PRO-1009</v>
      </c>
      <c r="C1141">
        <v>3523</v>
      </c>
      <c r="D1141">
        <v>600.4</v>
      </c>
      <c r="E1141">
        <v>287.39999999999998</v>
      </c>
      <c r="F1141">
        <v>2.6</v>
      </c>
      <c r="G1141">
        <v>0.6</v>
      </c>
      <c r="H1141" t="str">
        <v>OK</v>
      </c>
      <c r="J1141">
        <f t="shared" si="85"/>
        <v>5962.0999999999995</v>
      </c>
      <c r="K1141">
        <f>SUMIF(Supply_Clean[Item_Code], B1141, Supply_Clean[Available_Supply])</f>
        <v>10685</v>
      </c>
      <c r="L1141">
        <f t="shared" si="86"/>
        <v>1</v>
      </c>
      <c r="M1141">
        <f t="shared" si="87"/>
        <v>600.4</v>
      </c>
      <c r="N1141" t="str">
        <f t="shared" si="88"/>
        <v>SUFICIENTE</v>
      </c>
      <c r="O1141">
        <f t="shared" si="89"/>
        <v>0</v>
      </c>
    </row>
    <row r="1142" spans="1:15" x14ac:dyDescent="0.45">
      <c r="A1142" t="str">
        <v>CD-LEO</v>
      </c>
      <c r="B1142" t="str">
        <v>BEB-1019</v>
      </c>
      <c r="C1142">
        <v>3003</v>
      </c>
      <c r="D1142">
        <v>324.5</v>
      </c>
      <c r="E1142">
        <v>56.4</v>
      </c>
      <c r="F1142">
        <v>2.5</v>
      </c>
      <c r="G1142">
        <v>0.6</v>
      </c>
      <c r="H1142" t="str">
        <v>OK</v>
      </c>
      <c r="J1142">
        <f t="shared" si="85"/>
        <v>5453.6</v>
      </c>
      <c r="K1142">
        <f>SUMIF(Supply_Clean[Item_Code], B1142, Supply_Clean[Available_Supply])</f>
        <v>15099</v>
      </c>
      <c r="L1142">
        <f t="shared" si="86"/>
        <v>1</v>
      </c>
      <c r="M1142">
        <f t="shared" si="87"/>
        <v>324.5</v>
      </c>
      <c r="N1142" t="str">
        <f t="shared" si="88"/>
        <v>SUFICIENTE</v>
      </c>
      <c r="O1142">
        <f t="shared" si="89"/>
        <v>0</v>
      </c>
    </row>
    <row r="1143" spans="1:15" x14ac:dyDescent="0.45">
      <c r="A1143" t="str">
        <v>CD-MER</v>
      </c>
      <c r="B1143" t="str">
        <v>ABA-1019</v>
      </c>
      <c r="C1143">
        <v>1298</v>
      </c>
      <c r="D1143">
        <v>297.8</v>
      </c>
      <c r="E1143">
        <v>25.3</v>
      </c>
      <c r="F1143">
        <v>6.6</v>
      </c>
      <c r="G1143">
        <v>1.3</v>
      </c>
      <c r="H1143" t="str">
        <v>OK</v>
      </c>
      <c r="J1143">
        <f t="shared" si="85"/>
        <v>4484.9000000000005</v>
      </c>
      <c r="K1143">
        <f>SUMIF(Supply_Clean[Item_Code], B1143, Supply_Clean[Available_Supply])</f>
        <v>12013</v>
      </c>
      <c r="L1143">
        <f t="shared" si="86"/>
        <v>1</v>
      </c>
      <c r="M1143">
        <f t="shared" si="87"/>
        <v>297.8</v>
      </c>
      <c r="N1143" t="str">
        <f t="shared" si="88"/>
        <v>SUFICIENTE</v>
      </c>
      <c r="O1143">
        <f t="shared" si="89"/>
        <v>0</v>
      </c>
    </row>
    <row r="1144" spans="1:15" x14ac:dyDescent="0.45">
      <c r="A1144" t="str">
        <v>CD-MTY</v>
      </c>
      <c r="B1144" t="str">
        <v>BEB-1007</v>
      </c>
      <c r="C1144">
        <v>3489</v>
      </c>
      <c r="D1144">
        <v>390.3</v>
      </c>
      <c r="E1144">
        <v>45.8</v>
      </c>
      <c r="F1144">
        <v>1.6</v>
      </c>
      <c r="G1144">
        <v>0.3</v>
      </c>
      <c r="H1144" t="str">
        <v>OK</v>
      </c>
      <c r="J1144">
        <f t="shared" si="85"/>
        <v>5039.5</v>
      </c>
      <c r="K1144">
        <f>SUMIF(Supply_Clean[Item_Code], B1144, Supply_Clean[Available_Supply])</f>
        <v>12912</v>
      </c>
      <c r="L1144">
        <f t="shared" si="86"/>
        <v>1</v>
      </c>
      <c r="M1144">
        <f t="shared" si="87"/>
        <v>390.3</v>
      </c>
      <c r="N1144" t="str">
        <f t="shared" si="88"/>
        <v>SUFICIENTE</v>
      </c>
      <c r="O1144">
        <f t="shared" si="89"/>
        <v>0</v>
      </c>
    </row>
    <row r="1145" spans="1:15" x14ac:dyDescent="0.45">
      <c r="A1145" t="str">
        <v>CD-TOL</v>
      </c>
      <c r="B1145" t="str">
        <v>PRO-1001</v>
      </c>
      <c r="C1145">
        <v>1265</v>
      </c>
      <c r="D1145">
        <v>174.7</v>
      </c>
      <c r="E1145">
        <v>76.099999999999994</v>
      </c>
      <c r="F1145">
        <v>2.4</v>
      </c>
      <c r="G1145">
        <v>0.5</v>
      </c>
      <c r="H1145" t="str">
        <v>OK</v>
      </c>
      <c r="J1145">
        <f t="shared" si="85"/>
        <v>6433.2999999999993</v>
      </c>
      <c r="K1145">
        <f>SUMIF(Supply_Clean[Item_Code], B1145, Supply_Clean[Available_Supply])</f>
        <v>10011</v>
      </c>
      <c r="L1145">
        <f t="shared" si="86"/>
        <v>1</v>
      </c>
      <c r="M1145">
        <f t="shared" si="87"/>
        <v>174.7</v>
      </c>
      <c r="N1145" t="str">
        <f t="shared" si="88"/>
        <v>SUFICIENTE</v>
      </c>
      <c r="O1145">
        <f t="shared" si="89"/>
        <v>0</v>
      </c>
    </row>
    <row r="1146" spans="1:15" x14ac:dyDescent="0.45">
      <c r="A1146" t="str">
        <v>CD-LEO</v>
      </c>
      <c r="B1146" t="str">
        <v>BOT-1006</v>
      </c>
      <c r="C1146">
        <v>3231</v>
      </c>
      <c r="D1146">
        <v>596.5</v>
      </c>
      <c r="E1146">
        <v>176.7</v>
      </c>
      <c r="F1146">
        <v>1.7</v>
      </c>
      <c r="G1146">
        <v>0.6</v>
      </c>
      <c r="H1146" t="str">
        <v>OK</v>
      </c>
      <c r="J1146">
        <f t="shared" si="85"/>
        <v>7732.6000000000013</v>
      </c>
      <c r="K1146">
        <f>SUMIF(Supply_Clean[Item_Code], B1146, Supply_Clean[Available_Supply])</f>
        <v>16401</v>
      </c>
      <c r="L1146">
        <f t="shared" si="86"/>
        <v>1</v>
      </c>
      <c r="M1146">
        <f t="shared" si="87"/>
        <v>596.5</v>
      </c>
      <c r="N1146" t="str">
        <f t="shared" si="88"/>
        <v>SUFICIENTE</v>
      </c>
      <c r="O1146">
        <f t="shared" si="89"/>
        <v>0</v>
      </c>
    </row>
    <row r="1147" spans="1:15" x14ac:dyDescent="0.45">
      <c r="A1147" t="str">
        <v>CD-QRO</v>
      </c>
      <c r="B1147" t="str">
        <v>BOT-1000</v>
      </c>
      <c r="C1147">
        <v>4061</v>
      </c>
      <c r="D1147">
        <v>334.6</v>
      </c>
      <c r="E1147">
        <v>63.8</v>
      </c>
      <c r="F1147">
        <v>2.2999999999999998</v>
      </c>
      <c r="G1147">
        <v>0.4</v>
      </c>
      <c r="H1147" t="str">
        <v>OK</v>
      </c>
      <c r="J1147">
        <f t="shared" si="85"/>
        <v>8310.6</v>
      </c>
      <c r="K1147">
        <f>SUMIF(Supply_Clean[Item_Code], B1147, Supply_Clean[Available_Supply])</f>
        <v>21762</v>
      </c>
      <c r="L1147">
        <f t="shared" si="86"/>
        <v>1</v>
      </c>
      <c r="M1147">
        <f t="shared" si="87"/>
        <v>334.6</v>
      </c>
      <c r="N1147" t="str">
        <f t="shared" si="88"/>
        <v>SUFICIENTE</v>
      </c>
      <c r="O1147">
        <f t="shared" si="89"/>
        <v>0</v>
      </c>
    </row>
    <row r="1148" spans="1:15" x14ac:dyDescent="0.45">
      <c r="A1148" t="str">
        <v>CD-CDMX</v>
      </c>
      <c r="B1148" t="str">
        <v>BEB-1017</v>
      </c>
      <c r="C1148">
        <v>2087</v>
      </c>
      <c r="D1148">
        <v>335.1</v>
      </c>
      <c r="E1148">
        <v>46.8</v>
      </c>
      <c r="F1148">
        <v>0.9</v>
      </c>
      <c r="G1148">
        <v>0.2</v>
      </c>
      <c r="H1148" t="str">
        <v>OK</v>
      </c>
      <c r="J1148">
        <f t="shared" si="85"/>
        <v>6231.7000000000007</v>
      </c>
      <c r="K1148">
        <f>SUMIF(Supply_Clean[Item_Code], B1148, Supply_Clean[Available_Supply])</f>
        <v>18257</v>
      </c>
      <c r="L1148">
        <f t="shared" si="86"/>
        <v>1</v>
      </c>
      <c r="M1148">
        <f t="shared" si="87"/>
        <v>335.1</v>
      </c>
      <c r="N1148" t="str">
        <f t="shared" si="88"/>
        <v>SUFICIENTE</v>
      </c>
      <c r="O1148">
        <f t="shared" si="89"/>
        <v>0</v>
      </c>
    </row>
    <row r="1149" spans="1:15" x14ac:dyDescent="0.45">
      <c r="A1149" t="str">
        <v>CD-TIJ</v>
      </c>
      <c r="B1149" t="str">
        <v>BEB-1002</v>
      </c>
      <c r="C1149">
        <v>2437</v>
      </c>
      <c r="D1149">
        <v>545.70000000000005</v>
      </c>
      <c r="E1149">
        <v>75.599999999999994</v>
      </c>
      <c r="F1149">
        <v>5.8</v>
      </c>
      <c r="G1149">
        <v>1.5</v>
      </c>
      <c r="H1149" t="str">
        <v>OK</v>
      </c>
      <c r="J1149">
        <f t="shared" si="85"/>
        <v>6246.8</v>
      </c>
      <c r="K1149">
        <f>SUMIF(Supply_Clean[Item_Code], B1149, Supply_Clean[Available_Supply])</f>
        <v>13052</v>
      </c>
      <c r="L1149">
        <f t="shared" si="86"/>
        <v>1</v>
      </c>
      <c r="M1149">
        <f t="shared" si="87"/>
        <v>545.70000000000005</v>
      </c>
      <c r="N1149" t="str">
        <f t="shared" si="88"/>
        <v>SUFICIENTE</v>
      </c>
      <c r="O1149">
        <f t="shared" si="89"/>
        <v>0</v>
      </c>
    </row>
    <row r="1150" spans="1:15" x14ac:dyDescent="0.45">
      <c r="A1150" t="str">
        <v>CD-QRO</v>
      </c>
      <c r="B1150" t="str">
        <v>BOT-1011</v>
      </c>
      <c r="C1150">
        <v>12593</v>
      </c>
      <c r="D1150">
        <v>920.3</v>
      </c>
      <c r="E1150">
        <v>207.1</v>
      </c>
      <c r="F1150">
        <v>2.2999999999999998</v>
      </c>
      <c r="G1150">
        <v>0.4</v>
      </c>
      <c r="H1150" t="str">
        <v>OK</v>
      </c>
      <c r="J1150">
        <f t="shared" si="85"/>
        <v>9886.2999999999993</v>
      </c>
      <c r="K1150">
        <f>SUMIF(Supply_Clean[Item_Code], B1150, Supply_Clean[Available_Supply])</f>
        <v>19886</v>
      </c>
      <c r="L1150">
        <f t="shared" si="86"/>
        <v>1</v>
      </c>
      <c r="M1150">
        <f t="shared" si="87"/>
        <v>920.3</v>
      </c>
      <c r="N1150" t="str">
        <f t="shared" si="88"/>
        <v>SUFICIENTE</v>
      </c>
      <c r="O1150">
        <f t="shared" si="89"/>
        <v>0</v>
      </c>
    </row>
    <row r="1151" spans="1:15" x14ac:dyDescent="0.45">
      <c r="A1151" t="str">
        <v>CD-SAL</v>
      </c>
      <c r="B1151" t="str">
        <v>BOT-1021</v>
      </c>
      <c r="C1151">
        <v>1877</v>
      </c>
      <c r="D1151">
        <v>547.29999999999995</v>
      </c>
      <c r="E1151">
        <v>146.6</v>
      </c>
      <c r="F1151">
        <v>1.4</v>
      </c>
      <c r="G1151">
        <v>0.5</v>
      </c>
      <c r="H1151" t="str">
        <v>OK</v>
      </c>
      <c r="J1151">
        <f t="shared" si="85"/>
        <v>6783.3</v>
      </c>
      <c r="K1151">
        <f>SUMIF(Supply_Clean[Item_Code], B1151, Supply_Clean[Available_Supply])</f>
        <v>13475</v>
      </c>
      <c r="L1151">
        <f t="shared" si="86"/>
        <v>1</v>
      </c>
      <c r="M1151">
        <f t="shared" si="87"/>
        <v>547.29999999999995</v>
      </c>
      <c r="N1151" t="str">
        <f t="shared" si="88"/>
        <v>SUFICIENTE</v>
      </c>
      <c r="O1151">
        <f t="shared" si="89"/>
        <v>0</v>
      </c>
    </row>
    <row r="1152" spans="1:15" x14ac:dyDescent="0.45">
      <c r="A1152" t="str">
        <v>CD-TOL</v>
      </c>
      <c r="B1152" t="str">
        <v>BEB-1018</v>
      </c>
      <c r="C1152">
        <v>2441</v>
      </c>
      <c r="D1152">
        <v>594.5</v>
      </c>
      <c r="E1152">
        <v>115.7</v>
      </c>
      <c r="F1152">
        <v>2.4</v>
      </c>
      <c r="G1152">
        <v>0.5</v>
      </c>
      <c r="H1152" t="str">
        <v>OK</v>
      </c>
      <c r="J1152">
        <f t="shared" si="85"/>
        <v>5898.0999999999995</v>
      </c>
      <c r="K1152">
        <f>SUMIF(Supply_Clean[Item_Code], B1152, Supply_Clean[Available_Supply])</f>
        <v>11472</v>
      </c>
      <c r="L1152">
        <f t="shared" si="86"/>
        <v>1</v>
      </c>
      <c r="M1152">
        <f t="shared" si="87"/>
        <v>594.5</v>
      </c>
      <c r="N1152" t="str">
        <f t="shared" si="88"/>
        <v>SUFICIENTE</v>
      </c>
      <c r="O1152">
        <f t="shared" si="89"/>
        <v>0</v>
      </c>
    </row>
    <row r="1153" spans="1:15" x14ac:dyDescent="0.45">
      <c r="A1153" t="str">
        <v>CD-CDMX</v>
      </c>
      <c r="B1153" t="str">
        <v>LAC-1013</v>
      </c>
      <c r="C1153">
        <v>608</v>
      </c>
      <c r="D1153">
        <v>196</v>
      </c>
      <c r="E1153">
        <v>80.099999999999994</v>
      </c>
      <c r="F1153">
        <v>1</v>
      </c>
      <c r="G1153">
        <v>0.2</v>
      </c>
      <c r="H1153" t="str">
        <v>OK</v>
      </c>
      <c r="J1153">
        <f t="shared" si="85"/>
        <v>3650.7</v>
      </c>
      <c r="K1153">
        <f>SUMIF(Supply_Clean[Item_Code], B1153, Supply_Clean[Available_Supply])</f>
        <v>12026</v>
      </c>
      <c r="L1153">
        <f t="shared" si="86"/>
        <v>1</v>
      </c>
      <c r="M1153">
        <f t="shared" si="87"/>
        <v>196</v>
      </c>
      <c r="N1153" t="str">
        <f t="shared" si="88"/>
        <v>SUFICIENTE</v>
      </c>
      <c r="O1153">
        <f t="shared" si="89"/>
        <v>0</v>
      </c>
    </row>
    <row r="1154" spans="1:15" x14ac:dyDescent="0.45">
      <c r="A1154" t="str">
        <v>CD-MOR</v>
      </c>
      <c r="B1154" t="str">
        <v>ABA-1006</v>
      </c>
      <c r="C1154">
        <v>7245</v>
      </c>
      <c r="D1154">
        <v>531.4</v>
      </c>
      <c r="E1154">
        <v>61.4</v>
      </c>
      <c r="F1154">
        <v>2.2999999999999998</v>
      </c>
      <c r="G1154">
        <v>0.5</v>
      </c>
      <c r="H1154" t="str">
        <v>OK</v>
      </c>
      <c r="J1154">
        <f t="shared" si="85"/>
        <v>4882.1000000000004</v>
      </c>
      <c r="K1154">
        <f>SUMIF(Supply_Clean[Item_Code], B1154, Supply_Clean[Available_Supply])</f>
        <v>15586</v>
      </c>
      <c r="L1154">
        <f t="shared" si="86"/>
        <v>1</v>
      </c>
      <c r="M1154">
        <f t="shared" si="87"/>
        <v>531.4</v>
      </c>
      <c r="N1154" t="str">
        <f t="shared" si="88"/>
        <v>SUFICIENTE</v>
      </c>
      <c r="O1154">
        <f t="shared" si="89"/>
        <v>0</v>
      </c>
    </row>
    <row r="1155" spans="1:15" x14ac:dyDescent="0.45">
      <c r="A1155" t="str">
        <v>CD-HER</v>
      </c>
      <c r="B1155" t="str">
        <v>LAC-1013</v>
      </c>
      <c r="C1155">
        <v>7745</v>
      </c>
      <c r="D1155">
        <v>445</v>
      </c>
      <c r="E1155">
        <v>112.9</v>
      </c>
      <c r="F1155">
        <v>4.9000000000000004</v>
      </c>
      <c r="G1155">
        <v>1.2</v>
      </c>
      <c r="H1155" t="str">
        <v>OK</v>
      </c>
      <c r="J1155">
        <f t="shared" ref="J1155:J1218" si="90">SUMIF($B$2:$B$1501, B1155, $D$2:$D$1501)</f>
        <v>3650.7</v>
      </c>
      <c r="K1155">
        <f>SUMIF(Supply_Clean[Item_Code], B1155, Supply_Clean[Available_Supply])</f>
        <v>12026</v>
      </c>
      <c r="L1155">
        <f t="shared" ref="L1155:L1218" si="91">IFERROR(MIN(1, K1155/J1155), "")</f>
        <v>1</v>
      </c>
      <c r="M1155">
        <f t="shared" ref="M1155:M1218" si="92">IFERROR(D1155*L1155, "")</f>
        <v>445</v>
      </c>
      <c r="N1155" t="str">
        <f t="shared" ref="N1155:N1218" si="93">IF(L1155&lt;1, "ESCASEZ", "SUFICIENTE")</f>
        <v>SUFICIENTE</v>
      </c>
      <c r="O1155">
        <f t="shared" ref="O1155:O1218" si="94">IF(N1155="ESCASEZ", D1155-M1155, 0)</f>
        <v>0</v>
      </c>
    </row>
    <row r="1156" spans="1:15" x14ac:dyDescent="0.45">
      <c r="A1156" t="str">
        <v>CD-MOR</v>
      </c>
      <c r="B1156" t="str">
        <v>BOT-1001</v>
      </c>
      <c r="C1156">
        <v>0</v>
      </c>
      <c r="D1156">
        <v>805.9</v>
      </c>
      <c r="E1156">
        <v>239.5</v>
      </c>
      <c r="F1156">
        <v>2.1</v>
      </c>
      <c r="G1156">
        <v>0.5</v>
      </c>
      <c r="H1156">
        <v>0</v>
      </c>
      <c r="J1156">
        <f t="shared" si="90"/>
        <v>8375.9</v>
      </c>
      <c r="K1156">
        <f>SUMIF(Supply_Clean[Item_Code], B1156, Supply_Clean[Available_Supply])</f>
        <v>20393</v>
      </c>
      <c r="L1156">
        <f t="shared" si="91"/>
        <v>1</v>
      </c>
      <c r="M1156">
        <f t="shared" si="92"/>
        <v>805.9</v>
      </c>
      <c r="N1156" t="str">
        <f t="shared" si="93"/>
        <v>SUFICIENTE</v>
      </c>
      <c r="O1156">
        <f t="shared" si="94"/>
        <v>0</v>
      </c>
    </row>
    <row r="1157" spans="1:15" x14ac:dyDescent="0.45">
      <c r="A1157" t="str">
        <v>CD-QRO</v>
      </c>
      <c r="B1157" t="str">
        <v>BEB-1003</v>
      </c>
      <c r="C1157">
        <v>7224</v>
      </c>
      <c r="D1157">
        <v>404</v>
      </c>
      <c r="E1157">
        <v>43.7</v>
      </c>
      <c r="F1157">
        <v>1.7</v>
      </c>
      <c r="G1157">
        <v>0.4</v>
      </c>
      <c r="H1157" t="str">
        <v>OK</v>
      </c>
      <c r="J1157">
        <f t="shared" si="90"/>
        <v>5232</v>
      </c>
      <c r="K1157">
        <f>SUMIF(Supply_Clean[Item_Code], B1157, Supply_Clean[Available_Supply])</f>
        <v>16426</v>
      </c>
      <c r="L1157">
        <f t="shared" si="91"/>
        <v>1</v>
      </c>
      <c r="M1157">
        <f t="shared" si="92"/>
        <v>404</v>
      </c>
      <c r="N1157" t="str">
        <f t="shared" si="93"/>
        <v>SUFICIENTE</v>
      </c>
      <c r="O1157">
        <f t="shared" si="94"/>
        <v>0</v>
      </c>
    </row>
    <row r="1158" spans="1:15" x14ac:dyDescent="0.45">
      <c r="A1158" t="str">
        <v>CD-MTY</v>
      </c>
      <c r="B1158" t="str">
        <v>LAC-1013</v>
      </c>
      <c r="C1158">
        <v>4314</v>
      </c>
      <c r="D1158">
        <v>0</v>
      </c>
      <c r="E1158">
        <v>105.9</v>
      </c>
      <c r="F1158">
        <v>0.6</v>
      </c>
      <c r="G1158">
        <v>0.3</v>
      </c>
      <c r="H1158" t="str">
        <v>OK</v>
      </c>
      <c r="J1158">
        <f t="shared" si="90"/>
        <v>3650.7</v>
      </c>
      <c r="K1158">
        <f>SUMIF(Supply_Clean[Item_Code], B1158, Supply_Clean[Available_Supply])</f>
        <v>12026</v>
      </c>
      <c r="L1158">
        <f t="shared" si="91"/>
        <v>1</v>
      </c>
      <c r="M1158">
        <f t="shared" si="92"/>
        <v>0</v>
      </c>
      <c r="N1158" t="str">
        <f t="shared" si="93"/>
        <v>SUFICIENTE</v>
      </c>
      <c r="O1158">
        <f t="shared" si="94"/>
        <v>0</v>
      </c>
    </row>
    <row r="1159" spans="1:15" x14ac:dyDescent="0.45">
      <c r="A1159" t="str">
        <v>CD-VER</v>
      </c>
      <c r="B1159" t="str">
        <v>BOT-1003</v>
      </c>
      <c r="C1159">
        <v>0</v>
      </c>
      <c r="D1159">
        <v>622.6</v>
      </c>
      <c r="E1159">
        <v>153.4</v>
      </c>
      <c r="F1159">
        <v>2.4</v>
      </c>
      <c r="G1159">
        <v>0.9</v>
      </c>
      <c r="H1159">
        <v>0</v>
      </c>
      <c r="J1159">
        <f t="shared" si="90"/>
        <v>8902.7999999999993</v>
      </c>
      <c r="K1159">
        <f>SUMIF(Supply_Clean[Item_Code], B1159, Supply_Clean[Available_Supply])</f>
        <v>24326</v>
      </c>
      <c r="L1159">
        <f t="shared" si="91"/>
        <v>1</v>
      </c>
      <c r="M1159">
        <f t="shared" si="92"/>
        <v>622.6</v>
      </c>
      <c r="N1159" t="str">
        <f t="shared" si="93"/>
        <v>SUFICIENTE</v>
      </c>
      <c r="O1159">
        <f t="shared" si="94"/>
        <v>0</v>
      </c>
    </row>
    <row r="1160" spans="1:15" x14ac:dyDescent="0.45">
      <c r="A1160" t="str">
        <v>CD-TOL</v>
      </c>
      <c r="B1160" t="str">
        <v>ABA-1014</v>
      </c>
      <c r="C1160">
        <v>5211</v>
      </c>
      <c r="D1160">
        <v>372.5</v>
      </c>
      <c r="E1160">
        <v>39.1</v>
      </c>
      <c r="F1160">
        <v>1.4</v>
      </c>
      <c r="G1160">
        <v>0.5</v>
      </c>
      <c r="H1160" t="str">
        <v>OK</v>
      </c>
      <c r="J1160">
        <f t="shared" si="90"/>
        <v>4779.0000000000009</v>
      </c>
      <c r="K1160">
        <f>SUMIF(Supply_Clean[Item_Code], B1160, Supply_Clean[Available_Supply])</f>
        <v>14629</v>
      </c>
      <c r="L1160">
        <f t="shared" si="91"/>
        <v>1</v>
      </c>
      <c r="M1160">
        <f t="shared" si="92"/>
        <v>372.5</v>
      </c>
      <c r="N1160" t="str">
        <f t="shared" si="93"/>
        <v>SUFICIENTE</v>
      </c>
      <c r="O1160">
        <f t="shared" si="94"/>
        <v>0</v>
      </c>
    </row>
    <row r="1161" spans="1:15" x14ac:dyDescent="0.45">
      <c r="A1161" t="str">
        <v>CD-MTY</v>
      </c>
      <c r="B1161" t="str">
        <v>BEB-1011</v>
      </c>
      <c r="C1161">
        <v>4139</v>
      </c>
      <c r="D1161">
        <v>385.8</v>
      </c>
      <c r="E1161">
        <v>56.3</v>
      </c>
      <c r="F1161">
        <v>1</v>
      </c>
      <c r="G1161">
        <v>0.3</v>
      </c>
      <c r="H1161" t="str">
        <v>OK</v>
      </c>
      <c r="J1161">
        <f t="shared" si="90"/>
        <v>5454.4999999999991</v>
      </c>
      <c r="K1161">
        <f>SUMIF(Supply_Clean[Item_Code], B1161, Supply_Clean[Available_Supply])</f>
        <v>13720</v>
      </c>
      <c r="L1161">
        <f t="shared" si="91"/>
        <v>1</v>
      </c>
      <c r="M1161">
        <f t="shared" si="92"/>
        <v>385.8</v>
      </c>
      <c r="N1161" t="str">
        <f t="shared" si="93"/>
        <v>SUFICIENTE</v>
      </c>
      <c r="O1161">
        <f t="shared" si="94"/>
        <v>0</v>
      </c>
    </row>
    <row r="1162" spans="1:15" x14ac:dyDescent="0.45">
      <c r="A1162" t="str">
        <v>CD-CDMX</v>
      </c>
      <c r="B1162" t="str">
        <v>BOT-1016</v>
      </c>
      <c r="C1162">
        <v>2092</v>
      </c>
      <c r="D1162">
        <v>691.9</v>
      </c>
      <c r="E1162">
        <v>149.69999999999999</v>
      </c>
      <c r="F1162">
        <v>1.1000000000000001</v>
      </c>
      <c r="G1162">
        <v>0.2</v>
      </c>
      <c r="H1162" t="str">
        <v>OK</v>
      </c>
      <c r="J1162">
        <f t="shared" si="90"/>
        <v>9923.6999999999989</v>
      </c>
      <c r="K1162">
        <f>SUMIF(Supply_Clean[Item_Code], B1162, Supply_Clean[Available_Supply])</f>
        <v>18995</v>
      </c>
      <c r="L1162">
        <f t="shared" si="91"/>
        <v>1</v>
      </c>
      <c r="M1162">
        <f t="shared" si="92"/>
        <v>691.9</v>
      </c>
      <c r="N1162" t="str">
        <f t="shared" si="93"/>
        <v>SUFICIENTE</v>
      </c>
      <c r="O1162">
        <f t="shared" si="94"/>
        <v>0</v>
      </c>
    </row>
    <row r="1163" spans="1:15" x14ac:dyDescent="0.45">
      <c r="A1163" t="str">
        <v>CD-TIJ</v>
      </c>
      <c r="B1163" t="str">
        <v>BEB-1013</v>
      </c>
      <c r="C1163">
        <v>4477</v>
      </c>
      <c r="D1163">
        <v>525.4</v>
      </c>
      <c r="E1163">
        <v>104.1</v>
      </c>
      <c r="F1163">
        <v>1.4</v>
      </c>
      <c r="G1163">
        <v>1.5</v>
      </c>
      <c r="H1163" t="str">
        <v>OK</v>
      </c>
      <c r="J1163">
        <f t="shared" si="90"/>
        <v>6158.7000000000007</v>
      </c>
      <c r="K1163">
        <f>SUMIF(Supply_Clean[Item_Code], B1163, Supply_Clean[Available_Supply])</f>
        <v>3246</v>
      </c>
      <c r="L1163">
        <f t="shared" si="91"/>
        <v>0.52705928199132923</v>
      </c>
      <c r="M1163">
        <f t="shared" si="92"/>
        <v>276.91694675824436</v>
      </c>
      <c r="N1163" t="str">
        <f t="shared" si="93"/>
        <v>ESCASEZ</v>
      </c>
      <c r="O1163">
        <f t="shared" si="94"/>
        <v>248.48305324175561</v>
      </c>
    </row>
    <row r="1164" spans="1:15" x14ac:dyDescent="0.45">
      <c r="A1164" t="str">
        <v>CD-MOR</v>
      </c>
      <c r="B1164" t="str">
        <v>PRO-1000</v>
      </c>
      <c r="C1164">
        <v>2417</v>
      </c>
      <c r="D1164">
        <v>400.7</v>
      </c>
      <c r="E1164">
        <v>250.3</v>
      </c>
      <c r="F1164">
        <v>1.7</v>
      </c>
      <c r="G1164">
        <v>0.5</v>
      </c>
      <c r="H1164" t="str">
        <v>OK</v>
      </c>
      <c r="J1164">
        <f t="shared" si="90"/>
        <v>5872.7</v>
      </c>
      <c r="K1164">
        <f>SUMIF(Supply_Clean[Item_Code], B1164, Supply_Clean[Available_Supply])</f>
        <v>2915</v>
      </c>
      <c r="L1164">
        <f t="shared" si="91"/>
        <v>0.49636453420062326</v>
      </c>
      <c r="M1164">
        <f t="shared" si="92"/>
        <v>198.89326885418973</v>
      </c>
      <c r="N1164" t="str">
        <f t="shared" si="93"/>
        <v>ESCASEZ</v>
      </c>
      <c r="O1164">
        <f t="shared" si="94"/>
        <v>201.80673114581026</v>
      </c>
    </row>
    <row r="1165" spans="1:15" x14ac:dyDescent="0.45">
      <c r="A1165" t="str">
        <v>CD-MTY</v>
      </c>
      <c r="B1165" t="str">
        <v>ABA-1010</v>
      </c>
      <c r="C1165">
        <v>3306</v>
      </c>
      <c r="D1165">
        <v>256.2</v>
      </c>
      <c r="E1165">
        <v>26.5</v>
      </c>
      <c r="F1165">
        <v>0.8</v>
      </c>
      <c r="G1165">
        <v>0.3</v>
      </c>
      <c r="H1165" t="str">
        <v>OK</v>
      </c>
      <c r="J1165">
        <f t="shared" si="90"/>
        <v>4871.7</v>
      </c>
      <c r="K1165">
        <f>SUMIF(Supply_Clean[Item_Code], B1165, Supply_Clean[Available_Supply])</f>
        <v>9875</v>
      </c>
      <c r="L1165">
        <f t="shared" si="91"/>
        <v>1</v>
      </c>
      <c r="M1165">
        <f t="shared" si="92"/>
        <v>256.2</v>
      </c>
      <c r="N1165" t="str">
        <f t="shared" si="93"/>
        <v>SUFICIENTE</v>
      </c>
      <c r="O1165">
        <f t="shared" si="94"/>
        <v>0</v>
      </c>
    </row>
    <row r="1166" spans="1:15" x14ac:dyDescent="0.45">
      <c r="A1166" t="str">
        <v>CD-CDMX</v>
      </c>
      <c r="B1166" t="str">
        <v>PRO-1000</v>
      </c>
      <c r="C1166">
        <v>6360</v>
      </c>
      <c r="D1166">
        <v>566.5</v>
      </c>
      <c r="E1166">
        <v>379.7</v>
      </c>
      <c r="F1166">
        <v>0.9</v>
      </c>
      <c r="G1166">
        <v>0.2</v>
      </c>
      <c r="H1166" t="str">
        <v>OK</v>
      </c>
      <c r="J1166">
        <f t="shared" si="90"/>
        <v>5872.7</v>
      </c>
      <c r="K1166">
        <f>SUMIF(Supply_Clean[Item_Code], B1166, Supply_Clean[Available_Supply])</f>
        <v>2915</v>
      </c>
      <c r="L1166">
        <f t="shared" si="91"/>
        <v>0.49636453420062326</v>
      </c>
      <c r="M1166">
        <f t="shared" si="92"/>
        <v>281.19050862465309</v>
      </c>
      <c r="N1166" t="str">
        <f t="shared" si="93"/>
        <v>ESCASEZ</v>
      </c>
      <c r="O1166">
        <f t="shared" si="94"/>
        <v>285.30949137534691</v>
      </c>
    </row>
    <row r="1167" spans="1:15" x14ac:dyDescent="0.45">
      <c r="A1167" t="str">
        <v>CD-MOR</v>
      </c>
      <c r="B1167" t="str">
        <v>BEB-1010</v>
      </c>
      <c r="C1167">
        <v>2617</v>
      </c>
      <c r="D1167">
        <v>211</v>
      </c>
      <c r="E1167">
        <v>35.9</v>
      </c>
      <c r="F1167">
        <v>2.4</v>
      </c>
      <c r="G1167">
        <v>0.5</v>
      </c>
      <c r="H1167" t="str">
        <v>OK</v>
      </c>
      <c r="J1167">
        <f t="shared" si="90"/>
        <v>4470.2999999999993</v>
      </c>
      <c r="K1167">
        <f>SUMIF(Supply_Clean[Item_Code], B1167, Supply_Clean[Available_Supply])</f>
        <v>3237</v>
      </c>
      <c r="L1167">
        <f t="shared" si="91"/>
        <v>0.7241124756727737</v>
      </c>
      <c r="M1167">
        <f t="shared" si="92"/>
        <v>152.78773236695525</v>
      </c>
      <c r="N1167" t="str">
        <f t="shared" si="93"/>
        <v>ESCASEZ</v>
      </c>
      <c r="O1167">
        <f t="shared" si="94"/>
        <v>58.212267633044746</v>
      </c>
    </row>
    <row r="1168" spans="1:15" x14ac:dyDescent="0.45">
      <c r="A1168" t="str">
        <v>CD-SAL</v>
      </c>
      <c r="B1168" t="str">
        <v>ABA-1013</v>
      </c>
      <c r="C1168">
        <v>2747</v>
      </c>
      <c r="D1168">
        <v>242.9</v>
      </c>
      <c r="E1168">
        <v>20.5</v>
      </c>
      <c r="F1168">
        <v>1.6</v>
      </c>
      <c r="G1168">
        <v>0.5</v>
      </c>
      <c r="H1168" t="str">
        <v>OK</v>
      </c>
      <c r="J1168">
        <f t="shared" si="90"/>
        <v>4213.8999999999996</v>
      </c>
      <c r="K1168">
        <f>SUMIF(Supply_Clean[Item_Code], B1168, Supply_Clean[Available_Supply])</f>
        <v>2568</v>
      </c>
      <c r="L1168">
        <f t="shared" si="91"/>
        <v>0.60941170886826934</v>
      </c>
      <c r="M1168">
        <f t="shared" si="92"/>
        <v>148.02610408410263</v>
      </c>
      <c r="N1168" t="str">
        <f t="shared" si="93"/>
        <v>ESCASEZ</v>
      </c>
      <c r="O1168">
        <f t="shared" si="94"/>
        <v>94.873895915897378</v>
      </c>
    </row>
    <row r="1169" spans="1:15" x14ac:dyDescent="0.45">
      <c r="A1169" t="str">
        <v>CD-MOR</v>
      </c>
      <c r="B1169" t="str">
        <v>LAC-1000</v>
      </c>
      <c r="C1169">
        <v>3132</v>
      </c>
      <c r="D1169">
        <v>363.4</v>
      </c>
      <c r="E1169">
        <v>111.2</v>
      </c>
      <c r="F1169">
        <v>1.6</v>
      </c>
      <c r="G1169">
        <v>0.5</v>
      </c>
      <c r="H1169" t="str">
        <v>OK</v>
      </c>
      <c r="J1169">
        <f t="shared" si="90"/>
        <v>4987.8</v>
      </c>
      <c r="K1169">
        <f>SUMIF(Supply_Clean[Item_Code], B1169, Supply_Clean[Available_Supply])</f>
        <v>12568</v>
      </c>
      <c r="L1169">
        <f t="shared" si="91"/>
        <v>1</v>
      </c>
      <c r="M1169">
        <f t="shared" si="92"/>
        <v>363.4</v>
      </c>
      <c r="N1169" t="str">
        <f t="shared" si="93"/>
        <v>SUFICIENTE</v>
      </c>
      <c r="O1169">
        <f t="shared" si="94"/>
        <v>0</v>
      </c>
    </row>
    <row r="1170" spans="1:15" x14ac:dyDescent="0.45">
      <c r="A1170" t="str">
        <v>CD-LEO</v>
      </c>
      <c r="B1170" t="str">
        <v>ABA-1006</v>
      </c>
      <c r="C1170">
        <v>938</v>
      </c>
      <c r="D1170">
        <v>403.7</v>
      </c>
      <c r="E1170">
        <v>50.6</v>
      </c>
      <c r="F1170">
        <v>2.9</v>
      </c>
      <c r="G1170">
        <v>0.6</v>
      </c>
      <c r="H1170" t="str">
        <v>OK</v>
      </c>
      <c r="J1170">
        <f t="shared" si="90"/>
        <v>4882.1000000000004</v>
      </c>
      <c r="K1170">
        <f>SUMIF(Supply_Clean[Item_Code], B1170, Supply_Clean[Available_Supply])</f>
        <v>15586</v>
      </c>
      <c r="L1170">
        <f t="shared" si="91"/>
        <v>1</v>
      </c>
      <c r="M1170">
        <f t="shared" si="92"/>
        <v>403.7</v>
      </c>
      <c r="N1170" t="str">
        <f t="shared" si="93"/>
        <v>SUFICIENTE</v>
      </c>
      <c r="O1170">
        <f t="shared" si="94"/>
        <v>0</v>
      </c>
    </row>
    <row r="1171" spans="1:15" x14ac:dyDescent="0.45">
      <c r="A1171" t="str">
        <v>CD-PUE</v>
      </c>
      <c r="B1171" t="str">
        <v>BEB-1004</v>
      </c>
      <c r="C1171">
        <v>1772</v>
      </c>
      <c r="D1171">
        <v>577</v>
      </c>
      <c r="E1171">
        <v>106.6</v>
      </c>
      <c r="F1171">
        <v>0.9</v>
      </c>
      <c r="G1171">
        <v>0.3</v>
      </c>
      <c r="H1171" t="str">
        <v>OK</v>
      </c>
      <c r="J1171">
        <f t="shared" si="90"/>
        <v>5324.2</v>
      </c>
      <c r="K1171">
        <f>SUMIF(Supply_Clean[Item_Code], B1171, Supply_Clean[Available_Supply])</f>
        <v>15672</v>
      </c>
      <c r="L1171">
        <f t="shared" si="91"/>
        <v>1</v>
      </c>
      <c r="M1171">
        <f t="shared" si="92"/>
        <v>577</v>
      </c>
      <c r="N1171" t="str">
        <f t="shared" si="93"/>
        <v>SUFICIENTE</v>
      </c>
      <c r="O1171">
        <f t="shared" si="94"/>
        <v>0</v>
      </c>
    </row>
    <row r="1172" spans="1:15" x14ac:dyDescent="0.45">
      <c r="A1172" t="str">
        <v>CD-TIJ</v>
      </c>
      <c r="B1172" t="str">
        <v>PRO-1005</v>
      </c>
      <c r="C1172">
        <v>169</v>
      </c>
      <c r="D1172">
        <v>256.60000000000002</v>
      </c>
      <c r="E1172">
        <v>112.5</v>
      </c>
      <c r="F1172">
        <v>6.6</v>
      </c>
      <c r="G1172">
        <v>1.5</v>
      </c>
      <c r="H1172" t="str">
        <v>OK</v>
      </c>
      <c r="J1172">
        <f t="shared" si="90"/>
        <v>4399.3</v>
      </c>
      <c r="K1172">
        <f>SUMIF(Supply_Clean[Item_Code], B1172, Supply_Clean[Available_Supply])</f>
        <v>8407</v>
      </c>
      <c r="L1172">
        <f t="shared" si="91"/>
        <v>1</v>
      </c>
      <c r="M1172">
        <f t="shared" si="92"/>
        <v>256.60000000000002</v>
      </c>
      <c r="N1172" t="str">
        <f t="shared" si="93"/>
        <v>SUFICIENTE</v>
      </c>
      <c r="O1172">
        <f t="shared" si="94"/>
        <v>0</v>
      </c>
    </row>
    <row r="1173" spans="1:15" x14ac:dyDescent="0.45">
      <c r="A1173" t="str">
        <v>CD-QRO</v>
      </c>
      <c r="B1173" t="str">
        <v>ABA-1000</v>
      </c>
      <c r="C1173">
        <v>5211</v>
      </c>
      <c r="D1173">
        <v>450.2</v>
      </c>
      <c r="E1173">
        <v>62</v>
      </c>
      <c r="F1173">
        <v>2.5</v>
      </c>
      <c r="G1173">
        <v>0.4</v>
      </c>
      <c r="H1173" t="str">
        <v>OK</v>
      </c>
      <c r="J1173">
        <f t="shared" si="90"/>
        <v>4722.2</v>
      </c>
      <c r="K1173">
        <f>SUMIF(Supply_Clean[Item_Code], B1173, Supply_Clean[Available_Supply])</f>
        <v>10731</v>
      </c>
      <c r="L1173">
        <f t="shared" si="91"/>
        <v>1</v>
      </c>
      <c r="M1173">
        <f t="shared" si="92"/>
        <v>450.2</v>
      </c>
      <c r="N1173" t="str">
        <f t="shared" si="93"/>
        <v>SUFICIENTE</v>
      </c>
      <c r="O1173">
        <f t="shared" si="94"/>
        <v>0</v>
      </c>
    </row>
    <row r="1174" spans="1:15" x14ac:dyDescent="0.45">
      <c r="A1174" t="str">
        <v>CD-VER</v>
      </c>
      <c r="B1174" t="str">
        <v>LAC-1009</v>
      </c>
      <c r="C1174">
        <v>2286</v>
      </c>
      <c r="D1174">
        <v>405.6</v>
      </c>
      <c r="E1174">
        <v>150.30000000000001</v>
      </c>
      <c r="F1174">
        <v>2.7</v>
      </c>
      <c r="G1174">
        <v>0.9</v>
      </c>
      <c r="H1174" t="str">
        <v>OK</v>
      </c>
      <c r="J1174">
        <f t="shared" si="90"/>
        <v>4163.3999999999996</v>
      </c>
      <c r="K1174">
        <f>SUMIF(Supply_Clean[Item_Code], B1174, Supply_Clean[Available_Supply])</f>
        <v>6523</v>
      </c>
      <c r="L1174">
        <f t="shared" si="91"/>
        <v>1</v>
      </c>
      <c r="M1174">
        <f t="shared" si="92"/>
        <v>405.6</v>
      </c>
      <c r="N1174" t="str">
        <f t="shared" si="93"/>
        <v>SUFICIENTE</v>
      </c>
      <c r="O1174">
        <f t="shared" si="94"/>
        <v>0</v>
      </c>
    </row>
    <row r="1175" spans="1:15" x14ac:dyDescent="0.45">
      <c r="A1175" t="str">
        <v>CD-QRO</v>
      </c>
      <c r="B1175" t="str">
        <v>LAC-1001</v>
      </c>
      <c r="C1175">
        <v>0</v>
      </c>
      <c r="D1175">
        <v>227</v>
      </c>
      <c r="E1175">
        <v>75.599999999999994</v>
      </c>
      <c r="F1175">
        <v>1.7</v>
      </c>
      <c r="G1175">
        <v>0.4</v>
      </c>
      <c r="H1175">
        <v>0</v>
      </c>
      <c r="J1175">
        <f t="shared" si="90"/>
        <v>3660.9999999999991</v>
      </c>
      <c r="K1175">
        <f>SUMIF(Supply_Clean[Item_Code], B1175, Supply_Clean[Available_Supply])</f>
        <v>9945</v>
      </c>
      <c r="L1175">
        <f t="shared" si="91"/>
        <v>1</v>
      </c>
      <c r="M1175">
        <f t="shared" si="92"/>
        <v>227</v>
      </c>
      <c r="N1175" t="str">
        <f t="shared" si="93"/>
        <v>SUFICIENTE</v>
      </c>
      <c r="O1175">
        <f t="shared" si="94"/>
        <v>0</v>
      </c>
    </row>
    <row r="1176" spans="1:15" x14ac:dyDescent="0.45">
      <c r="A1176" t="str">
        <v>CD-CAN</v>
      </c>
      <c r="B1176" t="str">
        <v>PRO-1012</v>
      </c>
      <c r="C1176">
        <v>1243</v>
      </c>
      <c r="D1176">
        <v>108.6</v>
      </c>
      <c r="E1176">
        <v>54.3</v>
      </c>
      <c r="F1176">
        <v>3.2</v>
      </c>
      <c r="G1176">
        <v>1.6</v>
      </c>
      <c r="H1176" t="str">
        <v>OK</v>
      </c>
      <c r="J1176">
        <f t="shared" si="90"/>
        <v>4930.1000000000004</v>
      </c>
      <c r="K1176">
        <f>SUMIF(Supply_Clean[Item_Code], B1176, Supply_Clean[Available_Supply])</f>
        <v>9930</v>
      </c>
      <c r="L1176">
        <f t="shared" si="91"/>
        <v>1</v>
      </c>
      <c r="M1176">
        <f t="shared" si="92"/>
        <v>108.6</v>
      </c>
      <c r="N1176" t="str">
        <f t="shared" si="93"/>
        <v>SUFICIENTE</v>
      </c>
      <c r="O1176">
        <f t="shared" si="94"/>
        <v>0</v>
      </c>
    </row>
    <row r="1177" spans="1:15" x14ac:dyDescent="0.45">
      <c r="A1177" t="str">
        <v>CD-QRO</v>
      </c>
      <c r="B1177" t="str">
        <v>BEB-1007</v>
      </c>
      <c r="C1177">
        <v>6963</v>
      </c>
      <c r="D1177">
        <v>638.9</v>
      </c>
      <c r="E1177">
        <v>116.5</v>
      </c>
      <c r="F1177">
        <v>2.1</v>
      </c>
      <c r="G1177">
        <v>0.4</v>
      </c>
      <c r="H1177" t="str">
        <v>OK</v>
      </c>
      <c r="J1177">
        <f t="shared" si="90"/>
        <v>5039.5</v>
      </c>
      <c r="K1177">
        <f>SUMIF(Supply_Clean[Item_Code], B1177, Supply_Clean[Available_Supply])</f>
        <v>12912</v>
      </c>
      <c r="L1177">
        <f t="shared" si="91"/>
        <v>1</v>
      </c>
      <c r="M1177">
        <f t="shared" si="92"/>
        <v>638.9</v>
      </c>
      <c r="N1177" t="str">
        <f t="shared" si="93"/>
        <v>SUFICIENTE</v>
      </c>
      <c r="O1177">
        <f t="shared" si="94"/>
        <v>0</v>
      </c>
    </row>
    <row r="1178" spans="1:15" x14ac:dyDescent="0.45">
      <c r="A1178" t="str">
        <v>CD-MTY</v>
      </c>
      <c r="B1178" t="str">
        <v>ABA-1016</v>
      </c>
      <c r="C1178">
        <v>2480</v>
      </c>
      <c r="D1178">
        <v>363.6</v>
      </c>
      <c r="E1178">
        <v>40.299999999999997</v>
      </c>
      <c r="F1178">
        <v>0.8</v>
      </c>
      <c r="G1178">
        <v>0.3</v>
      </c>
      <c r="H1178" t="str">
        <v>OK</v>
      </c>
      <c r="J1178">
        <f t="shared" si="90"/>
        <v>5056.7</v>
      </c>
      <c r="K1178">
        <f>SUMIF(Supply_Clean[Item_Code], B1178, Supply_Clean[Available_Supply])</f>
        <v>9151</v>
      </c>
      <c r="L1178">
        <f t="shared" si="91"/>
        <v>1</v>
      </c>
      <c r="M1178">
        <f t="shared" si="92"/>
        <v>363.6</v>
      </c>
      <c r="N1178" t="str">
        <f t="shared" si="93"/>
        <v>SUFICIENTE</v>
      </c>
      <c r="O1178">
        <f t="shared" si="94"/>
        <v>0</v>
      </c>
    </row>
    <row r="1179" spans="1:15" x14ac:dyDescent="0.45">
      <c r="A1179" t="str">
        <v>CD-TIJ</v>
      </c>
      <c r="B1179" t="str">
        <v>ABA-1009</v>
      </c>
      <c r="C1179">
        <v>1852</v>
      </c>
      <c r="D1179">
        <v>240.2</v>
      </c>
      <c r="E1179">
        <v>19.399999999999999</v>
      </c>
      <c r="F1179">
        <v>3.2</v>
      </c>
      <c r="G1179">
        <v>1.5</v>
      </c>
      <c r="H1179" t="str">
        <v>OK</v>
      </c>
      <c r="J1179">
        <f t="shared" si="90"/>
        <v>5016.1000000000004</v>
      </c>
      <c r="K1179">
        <f>SUMIF(Supply_Clean[Item_Code], B1179, Supply_Clean[Available_Supply])</f>
        <v>13458</v>
      </c>
      <c r="L1179">
        <f t="shared" si="91"/>
        <v>1</v>
      </c>
      <c r="M1179">
        <f t="shared" si="92"/>
        <v>240.2</v>
      </c>
      <c r="N1179" t="str">
        <f t="shared" si="93"/>
        <v>SUFICIENTE</v>
      </c>
      <c r="O1179">
        <f t="shared" si="94"/>
        <v>0</v>
      </c>
    </row>
    <row r="1180" spans="1:15" x14ac:dyDescent="0.45">
      <c r="A1180" t="str">
        <v>CD-TIJ</v>
      </c>
      <c r="B1180" t="str">
        <v>ABA-1008</v>
      </c>
      <c r="C1180">
        <v>4031</v>
      </c>
      <c r="D1180">
        <v>281</v>
      </c>
      <c r="E1180">
        <v>35.6</v>
      </c>
      <c r="F1180">
        <v>5.3</v>
      </c>
      <c r="G1180">
        <v>1.5</v>
      </c>
      <c r="H1180" t="str">
        <v>OK</v>
      </c>
      <c r="J1180">
        <f t="shared" si="90"/>
        <v>4717.2000000000007</v>
      </c>
      <c r="K1180">
        <f>SUMIF(Supply_Clean[Item_Code], B1180, Supply_Clean[Available_Supply])</f>
        <v>9747</v>
      </c>
      <c r="L1180">
        <f t="shared" si="91"/>
        <v>1</v>
      </c>
      <c r="M1180">
        <f t="shared" si="92"/>
        <v>281</v>
      </c>
      <c r="N1180" t="str">
        <f t="shared" si="93"/>
        <v>SUFICIENTE</v>
      </c>
      <c r="O1180">
        <f t="shared" si="94"/>
        <v>0</v>
      </c>
    </row>
    <row r="1181" spans="1:15" x14ac:dyDescent="0.45">
      <c r="A1181" t="str">
        <v>CD-CHI</v>
      </c>
      <c r="B1181" t="str">
        <v>BOT-1006</v>
      </c>
      <c r="C1181">
        <v>5090</v>
      </c>
      <c r="D1181">
        <v>800.2</v>
      </c>
      <c r="E1181">
        <v>157.4</v>
      </c>
      <c r="F1181">
        <v>4.5</v>
      </c>
      <c r="G1181">
        <v>1</v>
      </c>
      <c r="H1181" t="str">
        <v>OK</v>
      </c>
      <c r="J1181">
        <f t="shared" si="90"/>
        <v>7732.6000000000013</v>
      </c>
      <c r="K1181">
        <f>SUMIF(Supply_Clean[Item_Code], B1181, Supply_Clean[Available_Supply])</f>
        <v>16401</v>
      </c>
      <c r="L1181">
        <f t="shared" si="91"/>
        <v>1</v>
      </c>
      <c r="M1181">
        <f t="shared" si="92"/>
        <v>800.2</v>
      </c>
      <c r="N1181" t="str">
        <f t="shared" si="93"/>
        <v>SUFICIENTE</v>
      </c>
      <c r="O1181">
        <f t="shared" si="94"/>
        <v>0</v>
      </c>
    </row>
    <row r="1182" spans="1:15" x14ac:dyDescent="0.45">
      <c r="A1182" t="str">
        <v>CD-GDL</v>
      </c>
      <c r="B1182" t="str">
        <v>BEB-1012</v>
      </c>
      <c r="C1182">
        <v>3801</v>
      </c>
      <c r="D1182">
        <v>577.9</v>
      </c>
      <c r="E1182">
        <v>61</v>
      </c>
      <c r="F1182">
        <v>1.1000000000000001</v>
      </c>
      <c r="G1182">
        <v>0.2</v>
      </c>
      <c r="H1182" t="str">
        <v>OK</v>
      </c>
      <c r="J1182">
        <f t="shared" si="90"/>
        <v>5740.7</v>
      </c>
      <c r="K1182">
        <f>SUMIF(Supply_Clean[Item_Code], B1182, Supply_Clean[Available_Supply])</f>
        <v>12491</v>
      </c>
      <c r="L1182">
        <f t="shared" si="91"/>
        <v>1</v>
      </c>
      <c r="M1182">
        <f t="shared" si="92"/>
        <v>577.9</v>
      </c>
      <c r="N1182" t="str">
        <f t="shared" si="93"/>
        <v>SUFICIENTE</v>
      </c>
      <c r="O1182">
        <f t="shared" si="94"/>
        <v>0</v>
      </c>
    </row>
    <row r="1183" spans="1:15" x14ac:dyDescent="0.45">
      <c r="A1183" t="str">
        <v>CD-VER</v>
      </c>
      <c r="B1183" t="str">
        <v>BOT-1019</v>
      </c>
      <c r="C1183">
        <v>1818</v>
      </c>
      <c r="D1183">
        <v>648.70000000000005</v>
      </c>
      <c r="E1183">
        <v>193</v>
      </c>
      <c r="F1183">
        <v>2.9</v>
      </c>
      <c r="G1183">
        <v>0.9</v>
      </c>
      <c r="H1183" t="str">
        <v>OK</v>
      </c>
      <c r="J1183">
        <f t="shared" si="90"/>
        <v>9278.2999999999993</v>
      </c>
      <c r="K1183">
        <f>SUMIF(Supply_Clean[Item_Code], B1183, Supply_Clean[Available_Supply])</f>
        <v>4509</v>
      </c>
      <c r="L1183">
        <f t="shared" si="91"/>
        <v>0.48597264585107192</v>
      </c>
      <c r="M1183">
        <f t="shared" si="92"/>
        <v>315.25045536359039</v>
      </c>
      <c r="N1183" t="str">
        <f t="shared" si="93"/>
        <v>ESCASEZ</v>
      </c>
      <c r="O1183">
        <f t="shared" si="94"/>
        <v>333.44954463640966</v>
      </c>
    </row>
    <row r="1184" spans="1:15" x14ac:dyDescent="0.45">
      <c r="A1184" t="str">
        <v>CD-QRO</v>
      </c>
      <c r="B1184" t="str">
        <v>ABA-1018</v>
      </c>
      <c r="C1184">
        <v>332</v>
      </c>
      <c r="D1184">
        <v>236.7</v>
      </c>
      <c r="E1184">
        <v>25.7</v>
      </c>
      <c r="F1184">
        <v>1.8</v>
      </c>
      <c r="G1184">
        <v>0.4</v>
      </c>
      <c r="H1184" t="str">
        <v>OK</v>
      </c>
      <c r="J1184">
        <f t="shared" si="90"/>
        <v>4478</v>
      </c>
      <c r="K1184">
        <f>SUMIF(Supply_Clean[Item_Code], B1184, Supply_Clean[Available_Supply])</f>
        <v>6884</v>
      </c>
      <c r="L1184">
        <f t="shared" si="91"/>
        <v>1</v>
      </c>
      <c r="M1184">
        <f t="shared" si="92"/>
        <v>236.7</v>
      </c>
      <c r="N1184" t="str">
        <f t="shared" si="93"/>
        <v>SUFICIENTE</v>
      </c>
      <c r="O1184">
        <f t="shared" si="94"/>
        <v>0</v>
      </c>
    </row>
    <row r="1185" spans="1:15" x14ac:dyDescent="0.45">
      <c r="A1185" t="str">
        <v>CD-TOL</v>
      </c>
      <c r="B1185" t="str">
        <v>ABA-1019</v>
      </c>
      <c r="C1185">
        <v>3273</v>
      </c>
      <c r="D1185">
        <v>282.10000000000002</v>
      </c>
      <c r="E1185">
        <v>36.9</v>
      </c>
      <c r="F1185">
        <v>1.4</v>
      </c>
      <c r="G1185">
        <v>0.5</v>
      </c>
      <c r="H1185" t="str">
        <v>OK</v>
      </c>
      <c r="J1185">
        <f t="shared" si="90"/>
        <v>4484.9000000000005</v>
      </c>
      <c r="K1185">
        <f>SUMIF(Supply_Clean[Item_Code], B1185, Supply_Clean[Available_Supply])</f>
        <v>12013</v>
      </c>
      <c r="L1185">
        <f t="shared" si="91"/>
        <v>1</v>
      </c>
      <c r="M1185">
        <f t="shared" si="92"/>
        <v>282.10000000000002</v>
      </c>
      <c r="N1185" t="str">
        <f t="shared" si="93"/>
        <v>SUFICIENTE</v>
      </c>
      <c r="O1185">
        <f t="shared" si="94"/>
        <v>0</v>
      </c>
    </row>
    <row r="1186" spans="1:15" x14ac:dyDescent="0.45">
      <c r="A1186" t="str">
        <v>CD-MER</v>
      </c>
      <c r="B1186" t="str">
        <v>BOT-1021</v>
      </c>
      <c r="C1186">
        <v>4038</v>
      </c>
      <c r="D1186">
        <v>319.2</v>
      </c>
      <c r="E1186">
        <v>79.7</v>
      </c>
      <c r="F1186">
        <v>0.8</v>
      </c>
      <c r="G1186">
        <v>1.3</v>
      </c>
      <c r="H1186" t="str">
        <v>OK</v>
      </c>
      <c r="J1186">
        <f t="shared" si="90"/>
        <v>6783.3</v>
      </c>
      <c r="K1186">
        <f>SUMIF(Supply_Clean[Item_Code], B1186, Supply_Clean[Available_Supply])</f>
        <v>13475</v>
      </c>
      <c r="L1186">
        <f t="shared" si="91"/>
        <v>1</v>
      </c>
      <c r="M1186">
        <f t="shared" si="92"/>
        <v>319.2</v>
      </c>
      <c r="N1186" t="str">
        <f t="shared" si="93"/>
        <v>SUFICIENTE</v>
      </c>
      <c r="O1186">
        <f t="shared" si="94"/>
        <v>0</v>
      </c>
    </row>
    <row r="1187" spans="1:15" x14ac:dyDescent="0.45">
      <c r="A1187" t="str">
        <v>CD-PUE</v>
      </c>
      <c r="B1187" t="str">
        <v>LAC-1001</v>
      </c>
      <c r="C1187">
        <v>1493</v>
      </c>
      <c r="D1187">
        <v>276.60000000000002</v>
      </c>
      <c r="E1187">
        <v>69.5</v>
      </c>
      <c r="F1187">
        <v>1</v>
      </c>
      <c r="G1187">
        <v>0.3</v>
      </c>
      <c r="H1187" t="str">
        <v>OK</v>
      </c>
      <c r="J1187">
        <f t="shared" si="90"/>
        <v>3660.9999999999991</v>
      </c>
      <c r="K1187">
        <f>SUMIF(Supply_Clean[Item_Code], B1187, Supply_Clean[Available_Supply])</f>
        <v>9945</v>
      </c>
      <c r="L1187">
        <f t="shared" si="91"/>
        <v>1</v>
      </c>
      <c r="M1187">
        <f t="shared" si="92"/>
        <v>276.60000000000002</v>
      </c>
      <c r="N1187" t="str">
        <f t="shared" si="93"/>
        <v>SUFICIENTE</v>
      </c>
      <c r="O1187">
        <f t="shared" si="94"/>
        <v>0</v>
      </c>
    </row>
    <row r="1188" spans="1:15" x14ac:dyDescent="0.45">
      <c r="A1188" t="str">
        <v>CD-CHI</v>
      </c>
      <c r="B1188" t="str">
        <v>LAC-1007</v>
      </c>
      <c r="C1188">
        <v>2671</v>
      </c>
      <c r="D1188">
        <v>260.60000000000002</v>
      </c>
      <c r="E1188">
        <v>96.5</v>
      </c>
      <c r="F1188">
        <v>3.7</v>
      </c>
      <c r="G1188">
        <v>1</v>
      </c>
      <c r="H1188" t="str">
        <v>OK</v>
      </c>
      <c r="J1188">
        <f t="shared" si="90"/>
        <v>4093.7999999999997</v>
      </c>
      <c r="K1188">
        <f>SUMIF(Supply_Clean[Item_Code], B1188, Supply_Clean[Available_Supply])</f>
        <v>11651</v>
      </c>
      <c r="L1188">
        <f t="shared" si="91"/>
        <v>1</v>
      </c>
      <c r="M1188">
        <f t="shared" si="92"/>
        <v>260.60000000000002</v>
      </c>
      <c r="N1188" t="str">
        <f t="shared" si="93"/>
        <v>SUFICIENTE</v>
      </c>
      <c r="O1188">
        <f t="shared" si="94"/>
        <v>0</v>
      </c>
    </row>
    <row r="1189" spans="1:15" x14ac:dyDescent="0.45">
      <c r="A1189" t="str">
        <v>CD-LEO</v>
      </c>
      <c r="B1189" t="str">
        <v>PRO-1001</v>
      </c>
      <c r="C1189">
        <v>2111</v>
      </c>
      <c r="D1189">
        <v>123.3</v>
      </c>
      <c r="E1189">
        <v>61.3</v>
      </c>
      <c r="F1189">
        <v>2.6</v>
      </c>
      <c r="G1189">
        <v>0.6</v>
      </c>
      <c r="H1189" t="str">
        <v>OK</v>
      </c>
      <c r="J1189">
        <f t="shared" si="90"/>
        <v>6433.2999999999993</v>
      </c>
      <c r="K1189">
        <f>SUMIF(Supply_Clean[Item_Code], B1189, Supply_Clean[Available_Supply])</f>
        <v>10011</v>
      </c>
      <c r="L1189">
        <f t="shared" si="91"/>
        <v>1</v>
      </c>
      <c r="M1189">
        <f t="shared" si="92"/>
        <v>123.3</v>
      </c>
      <c r="N1189" t="str">
        <f t="shared" si="93"/>
        <v>SUFICIENTE</v>
      </c>
      <c r="O1189">
        <f t="shared" si="94"/>
        <v>0</v>
      </c>
    </row>
    <row r="1190" spans="1:15" x14ac:dyDescent="0.45">
      <c r="A1190" t="str">
        <v>CD-QRO</v>
      </c>
      <c r="B1190" t="str">
        <v>LAC-1017</v>
      </c>
      <c r="C1190">
        <v>3623</v>
      </c>
      <c r="D1190">
        <v>473.7</v>
      </c>
      <c r="E1190">
        <v>174.1</v>
      </c>
      <c r="F1190">
        <v>1.4</v>
      </c>
      <c r="G1190">
        <v>0.4</v>
      </c>
      <c r="H1190" t="str">
        <v>OK</v>
      </c>
      <c r="J1190">
        <f t="shared" si="90"/>
        <v>4246.3999999999996</v>
      </c>
      <c r="K1190">
        <f>SUMIF(Supply_Clean[Item_Code], B1190, Supply_Clean[Available_Supply])</f>
        <v>12824</v>
      </c>
      <c r="L1190">
        <f t="shared" si="91"/>
        <v>1</v>
      </c>
      <c r="M1190">
        <f t="shared" si="92"/>
        <v>473.7</v>
      </c>
      <c r="N1190" t="str">
        <f t="shared" si="93"/>
        <v>SUFICIENTE</v>
      </c>
      <c r="O1190">
        <f t="shared" si="94"/>
        <v>0</v>
      </c>
    </row>
    <row r="1191" spans="1:15" x14ac:dyDescent="0.45">
      <c r="A1191" t="str">
        <v>CD-QRO</v>
      </c>
      <c r="B1191" t="str">
        <v>ABA-1001</v>
      </c>
      <c r="C1191">
        <v>4653</v>
      </c>
      <c r="D1191">
        <v>398.4</v>
      </c>
      <c r="E1191">
        <v>47</v>
      </c>
      <c r="F1191">
        <v>2.2000000000000002</v>
      </c>
      <c r="G1191">
        <v>0.4</v>
      </c>
      <c r="H1191" t="str">
        <v>OK</v>
      </c>
      <c r="J1191">
        <f t="shared" si="90"/>
        <v>4698.6999999999989</v>
      </c>
      <c r="K1191">
        <f>SUMIF(Supply_Clean[Item_Code], B1191, Supply_Clean[Available_Supply])</f>
        <v>8775</v>
      </c>
      <c r="L1191">
        <f t="shared" si="91"/>
        <v>1</v>
      </c>
      <c r="M1191">
        <f t="shared" si="92"/>
        <v>398.4</v>
      </c>
      <c r="N1191" t="str">
        <f t="shared" si="93"/>
        <v>SUFICIENTE</v>
      </c>
      <c r="O1191">
        <f t="shared" si="94"/>
        <v>0</v>
      </c>
    </row>
    <row r="1192" spans="1:15" x14ac:dyDescent="0.45">
      <c r="A1192" t="str">
        <v>CD-QRO</v>
      </c>
      <c r="B1192" t="str">
        <v>BOT-1008</v>
      </c>
      <c r="C1192">
        <v>3978</v>
      </c>
      <c r="D1192">
        <v>577.29999999999995</v>
      </c>
      <c r="E1192">
        <v>162.19999999999999</v>
      </c>
      <c r="F1192">
        <v>1.8</v>
      </c>
      <c r="G1192">
        <v>0.4</v>
      </c>
      <c r="H1192" t="str">
        <v>OK</v>
      </c>
      <c r="J1192">
        <f t="shared" si="90"/>
        <v>7758.6</v>
      </c>
      <c r="K1192">
        <f>SUMIF(Supply_Clean[Item_Code], B1192, Supply_Clean[Available_Supply])</f>
        <v>25288</v>
      </c>
      <c r="L1192">
        <f t="shared" si="91"/>
        <v>1</v>
      </c>
      <c r="M1192">
        <f t="shared" si="92"/>
        <v>577.29999999999995</v>
      </c>
      <c r="N1192" t="str">
        <f t="shared" si="93"/>
        <v>SUFICIENTE</v>
      </c>
      <c r="O1192">
        <f t="shared" si="94"/>
        <v>0</v>
      </c>
    </row>
    <row r="1193" spans="1:15" x14ac:dyDescent="0.45">
      <c r="A1193" t="str">
        <v>CD-CDMX</v>
      </c>
      <c r="B1193" t="str">
        <v>PRO-1009</v>
      </c>
      <c r="C1193">
        <v>4270</v>
      </c>
      <c r="D1193">
        <v>0</v>
      </c>
      <c r="E1193">
        <v>179</v>
      </c>
      <c r="F1193">
        <v>1.1000000000000001</v>
      </c>
      <c r="G1193">
        <v>0.2</v>
      </c>
      <c r="H1193" t="str">
        <v>OK</v>
      </c>
      <c r="J1193">
        <f t="shared" si="90"/>
        <v>5962.0999999999995</v>
      </c>
      <c r="K1193">
        <f>SUMIF(Supply_Clean[Item_Code], B1193, Supply_Clean[Available_Supply])</f>
        <v>10685</v>
      </c>
      <c r="L1193">
        <f t="shared" si="91"/>
        <v>1</v>
      </c>
      <c r="M1193">
        <f t="shared" si="92"/>
        <v>0</v>
      </c>
      <c r="N1193" t="str">
        <f t="shared" si="93"/>
        <v>SUFICIENTE</v>
      </c>
      <c r="O1193">
        <f t="shared" si="94"/>
        <v>0</v>
      </c>
    </row>
    <row r="1194" spans="1:15" x14ac:dyDescent="0.45">
      <c r="A1194" t="str">
        <v>CD-CAN</v>
      </c>
      <c r="B1194" t="str">
        <v>ABA-1015</v>
      </c>
      <c r="C1194">
        <v>1321</v>
      </c>
      <c r="D1194">
        <v>269.60000000000002</v>
      </c>
      <c r="E1194">
        <v>36.6</v>
      </c>
      <c r="F1194">
        <v>2.4</v>
      </c>
      <c r="G1194">
        <v>1.6</v>
      </c>
      <c r="H1194" t="str">
        <v>OK</v>
      </c>
      <c r="J1194">
        <f t="shared" si="90"/>
        <v>3986.4999999999991</v>
      </c>
      <c r="K1194">
        <f>SUMIF(Supply_Clean[Item_Code], B1194, Supply_Clean[Available_Supply])</f>
        <v>7969</v>
      </c>
      <c r="L1194">
        <f t="shared" si="91"/>
        <v>1</v>
      </c>
      <c r="M1194">
        <f t="shared" si="92"/>
        <v>269.60000000000002</v>
      </c>
      <c r="N1194" t="str">
        <f t="shared" si="93"/>
        <v>SUFICIENTE</v>
      </c>
      <c r="O1194">
        <f t="shared" si="94"/>
        <v>0</v>
      </c>
    </row>
    <row r="1195" spans="1:15" x14ac:dyDescent="0.45">
      <c r="A1195" t="str">
        <v>CD-TIJ</v>
      </c>
      <c r="B1195" t="str">
        <v>BOT-1015</v>
      </c>
      <c r="C1195">
        <v>-10</v>
      </c>
      <c r="D1195">
        <v>762.8</v>
      </c>
      <c r="E1195">
        <v>114.9</v>
      </c>
      <c r="F1195">
        <v>8</v>
      </c>
      <c r="G1195">
        <v>1.5</v>
      </c>
      <c r="H1195" t="str">
        <v>NEGATIVO</v>
      </c>
      <c r="J1195">
        <f t="shared" si="90"/>
        <v>8666.4</v>
      </c>
      <c r="K1195">
        <f>SUMIF(Supply_Clean[Item_Code], B1195, Supply_Clean[Available_Supply])</f>
        <v>5719</v>
      </c>
      <c r="L1195">
        <f t="shared" si="91"/>
        <v>0.65990492015138935</v>
      </c>
      <c r="M1195">
        <f t="shared" si="92"/>
        <v>503.37547309147976</v>
      </c>
      <c r="N1195" t="str">
        <f t="shared" si="93"/>
        <v>ESCASEZ</v>
      </c>
      <c r="O1195">
        <f t="shared" si="94"/>
        <v>259.42452690852019</v>
      </c>
    </row>
    <row r="1196" spans="1:15" x14ac:dyDescent="0.45">
      <c r="A1196" t="str">
        <v>CD-SAL</v>
      </c>
      <c r="B1196" t="str">
        <v>BEB-1005</v>
      </c>
      <c r="C1196">
        <v>2573</v>
      </c>
      <c r="D1196">
        <v>301.3</v>
      </c>
      <c r="E1196">
        <v>49.5</v>
      </c>
      <c r="F1196">
        <v>1.9</v>
      </c>
      <c r="G1196">
        <v>0.5</v>
      </c>
      <c r="H1196" t="str">
        <v>OK</v>
      </c>
      <c r="J1196">
        <f t="shared" si="90"/>
        <v>6220.1999999999989</v>
      </c>
      <c r="K1196">
        <f>SUMIF(Supply_Clean[Item_Code], B1196, Supply_Clean[Available_Supply])</f>
        <v>14054</v>
      </c>
      <c r="L1196">
        <f t="shared" si="91"/>
        <v>1</v>
      </c>
      <c r="M1196">
        <f t="shared" si="92"/>
        <v>301.3</v>
      </c>
      <c r="N1196" t="str">
        <f t="shared" si="93"/>
        <v>SUFICIENTE</v>
      </c>
      <c r="O1196">
        <f t="shared" si="94"/>
        <v>0</v>
      </c>
    </row>
    <row r="1197" spans="1:15" x14ac:dyDescent="0.45">
      <c r="A1197" t="str">
        <v>CD-QRO</v>
      </c>
      <c r="B1197" t="str">
        <v>LAC-1006</v>
      </c>
      <c r="C1197">
        <v>1407</v>
      </c>
      <c r="D1197">
        <v>430.6</v>
      </c>
      <c r="E1197">
        <v>137.4</v>
      </c>
      <c r="F1197">
        <v>2.1</v>
      </c>
      <c r="G1197">
        <v>0.4</v>
      </c>
      <c r="H1197" t="str">
        <v>OK</v>
      </c>
      <c r="J1197">
        <f t="shared" si="90"/>
        <v>4338.7</v>
      </c>
      <c r="K1197">
        <f>SUMIF(Supply_Clean[Item_Code], B1197, Supply_Clean[Available_Supply])</f>
        <v>10670</v>
      </c>
      <c r="L1197">
        <f t="shared" si="91"/>
        <v>1</v>
      </c>
      <c r="M1197">
        <f t="shared" si="92"/>
        <v>430.6</v>
      </c>
      <c r="N1197" t="str">
        <f t="shared" si="93"/>
        <v>SUFICIENTE</v>
      </c>
      <c r="O1197">
        <f t="shared" si="94"/>
        <v>0</v>
      </c>
    </row>
    <row r="1198" spans="1:15" x14ac:dyDescent="0.45">
      <c r="A1198" t="str">
        <v>CD-QRO</v>
      </c>
      <c r="B1198" t="str">
        <v>ABA-1010</v>
      </c>
      <c r="C1198">
        <v>1406</v>
      </c>
      <c r="D1198">
        <v>181.9</v>
      </c>
      <c r="E1198">
        <v>16.100000000000001</v>
      </c>
      <c r="F1198">
        <v>1.3</v>
      </c>
      <c r="G1198">
        <v>0.4</v>
      </c>
      <c r="H1198" t="str">
        <v>OK</v>
      </c>
      <c r="J1198">
        <f t="shared" si="90"/>
        <v>4871.7</v>
      </c>
      <c r="K1198">
        <f>SUMIF(Supply_Clean[Item_Code], B1198, Supply_Clean[Available_Supply])</f>
        <v>9875</v>
      </c>
      <c r="L1198">
        <f t="shared" si="91"/>
        <v>1</v>
      </c>
      <c r="M1198">
        <f t="shared" si="92"/>
        <v>181.9</v>
      </c>
      <c r="N1198" t="str">
        <f t="shared" si="93"/>
        <v>SUFICIENTE</v>
      </c>
      <c r="O1198">
        <f t="shared" si="94"/>
        <v>0</v>
      </c>
    </row>
    <row r="1199" spans="1:15" x14ac:dyDescent="0.45">
      <c r="A1199" t="str">
        <v>CD-CDMX</v>
      </c>
      <c r="B1199" t="str">
        <v>ABA-1004</v>
      </c>
      <c r="C1199">
        <v>938</v>
      </c>
      <c r="D1199">
        <v>450</v>
      </c>
      <c r="E1199">
        <v>58.3</v>
      </c>
      <c r="F1199">
        <v>1</v>
      </c>
      <c r="G1199">
        <v>0.2</v>
      </c>
      <c r="H1199" t="str">
        <v>OK</v>
      </c>
      <c r="J1199">
        <f t="shared" si="90"/>
        <v>5236.7</v>
      </c>
      <c r="K1199">
        <f>SUMIF(Supply_Clean[Item_Code], B1199, Supply_Clean[Available_Supply])</f>
        <v>10879</v>
      </c>
      <c r="L1199">
        <f t="shared" si="91"/>
        <v>1</v>
      </c>
      <c r="M1199">
        <f t="shared" si="92"/>
        <v>450</v>
      </c>
      <c r="N1199" t="str">
        <f t="shared" si="93"/>
        <v>SUFICIENTE</v>
      </c>
      <c r="O1199">
        <f t="shared" si="94"/>
        <v>0</v>
      </c>
    </row>
    <row r="1200" spans="1:15" x14ac:dyDescent="0.45">
      <c r="A1200" t="str">
        <v>CD-CAN</v>
      </c>
      <c r="B1200" t="str">
        <v>BOT-1013</v>
      </c>
      <c r="C1200">
        <v>1878</v>
      </c>
      <c r="D1200">
        <v>304.39999999999998</v>
      </c>
      <c r="E1200">
        <v>88.6</v>
      </c>
      <c r="F1200">
        <v>3.3</v>
      </c>
      <c r="G1200">
        <v>1.6</v>
      </c>
      <c r="H1200" t="str">
        <v>OK</v>
      </c>
      <c r="J1200">
        <f t="shared" si="90"/>
        <v>8336.1999999999989</v>
      </c>
      <c r="K1200">
        <f>SUMIF(Supply_Clean[Item_Code], B1200, Supply_Clean[Available_Supply])</f>
        <v>20545</v>
      </c>
      <c r="L1200">
        <f t="shared" si="91"/>
        <v>1</v>
      </c>
      <c r="M1200">
        <f t="shared" si="92"/>
        <v>304.39999999999998</v>
      </c>
      <c r="N1200" t="str">
        <f t="shared" si="93"/>
        <v>SUFICIENTE</v>
      </c>
      <c r="O1200">
        <f t="shared" si="94"/>
        <v>0</v>
      </c>
    </row>
    <row r="1201" spans="1:15" x14ac:dyDescent="0.45">
      <c r="A1201" t="str">
        <v>CD-MTY</v>
      </c>
      <c r="B1201" t="str">
        <v>BOT-1002</v>
      </c>
      <c r="C1201">
        <v>6761</v>
      </c>
      <c r="D1201">
        <v>0</v>
      </c>
      <c r="E1201">
        <v>108.3</v>
      </c>
      <c r="F1201">
        <v>0.9</v>
      </c>
      <c r="G1201">
        <v>0.3</v>
      </c>
      <c r="H1201" t="str">
        <v>OK</v>
      </c>
      <c r="J1201">
        <f t="shared" si="90"/>
        <v>8527</v>
      </c>
      <c r="K1201">
        <f>SUMIF(Supply_Clean[Item_Code], B1201, Supply_Clean[Available_Supply])</f>
        <v>25048</v>
      </c>
      <c r="L1201">
        <f t="shared" si="91"/>
        <v>1</v>
      </c>
      <c r="M1201">
        <f t="shared" si="92"/>
        <v>0</v>
      </c>
      <c r="N1201" t="str">
        <f t="shared" si="93"/>
        <v>SUFICIENTE</v>
      </c>
      <c r="O1201">
        <f t="shared" si="94"/>
        <v>0</v>
      </c>
    </row>
    <row r="1202" spans="1:15" x14ac:dyDescent="0.45">
      <c r="A1202" t="str">
        <v>CD-MER</v>
      </c>
      <c r="B1202" t="str">
        <v>ABA-1017</v>
      </c>
      <c r="C1202">
        <v>1036</v>
      </c>
      <c r="D1202">
        <v>141.5</v>
      </c>
      <c r="E1202">
        <v>15.8</v>
      </c>
      <c r="F1202">
        <v>3.6</v>
      </c>
      <c r="G1202">
        <v>1.3</v>
      </c>
      <c r="H1202" t="str">
        <v>OK</v>
      </c>
      <c r="J1202">
        <f t="shared" si="90"/>
        <v>4720.2</v>
      </c>
      <c r="K1202">
        <f>SUMIF(Supply_Clean[Item_Code], B1202, Supply_Clean[Available_Supply])</f>
        <v>13946</v>
      </c>
      <c r="L1202">
        <f t="shared" si="91"/>
        <v>1</v>
      </c>
      <c r="M1202">
        <f t="shared" si="92"/>
        <v>141.5</v>
      </c>
      <c r="N1202" t="str">
        <f t="shared" si="93"/>
        <v>SUFICIENTE</v>
      </c>
      <c r="O1202">
        <f t="shared" si="94"/>
        <v>0</v>
      </c>
    </row>
    <row r="1203" spans="1:15" x14ac:dyDescent="0.45">
      <c r="A1203" t="str">
        <v>CD-SAL</v>
      </c>
      <c r="B1203" t="str">
        <v>LAC-1017</v>
      </c>
      <c r="C1203">
        <v>704</v>
      </c>
      <c r="D1203">
        <v>228.2</v>
      </c>
      <c r="E1203">
        <v>88.4</v>
      </c>
      <c r="F1203">
        <v>1.3</v>
      </c>
      <c r="G1203">
        <v>0.5</v>
      </c>
      <c r="H1203" t="str">
        <v>OK</v>
      </c>
      <c r="J1203">
        <f t="shared" si="90"/>
        <v>4246.3999999999996</v>
      </c>
      <c r="K1203">
        <f>SUMIF(Supply_Clean[Item_Code], B1203, Supply_Clean[Available_Supply])</f>
        <v>12824</v>
      </c>
      <c r="L1203">
        <f t="shared" si="91"/>
        <v>1</v>
      </c>
      <c r="M1203">
        <f t="shared" si="92"/>
        <v>228.2</v>
      </c>
      <c r="N1203" t="str">
        <f t="shared" si="93"/>
        <v>SUFICIENTE</v>
      </c>
      <c r="O1203">
        <f t="shared" si="94"/>
        <v>0</v>
      </c>
    </row>
    <row r="1204" spans="1:15" x14ac:dyDescent="0.45">
      <c r="A1204" t="str">
        <v>CD-PUE</v>
      </c>
      <c r="B1204" t="str">
        <v>BOT-1012</v>
      </c>
      <c r="C1204">
        <v>1984</v>
      </c>
      <c r="D1204">
        <v>305.39999999999998</v>
      </c>
      <c r="E1204">
        <v>56.7</v>
      </c>
      <c r="F1204">
        <v>1.1000000000000001</v>
      </c>
      <c r="G1204">
        <v>0.3</v>
      </c>
      <c r="H1204" t="str">
        <v>OK</v>
      </c>
      <c r="J1204">
        <f t="shared" si="90"/>
        <v>9259.4</v>
      </c>
      <c r="K1204">
        <f>SUMIF(Supply_Clean[Item_Code], B1204, Supply_Clean[Available_Supply])</f>
        <v>13943</v>
      </c>
      <c r="L1204">
        <f t="shared" si="91"/>
        <v>1</v>
      </c>
      <c r="M1204">
        <f t="shared" si="92"/>
        <v>305.39999999999998</v>
      </c>
      <c r="N1204" t="str">
        <f t="shared" si="93"/>
        <v>SUFICIENTE</v>
      </c>
      <c r="O1204">
        <f t="shared" si="94"/>
        <v>0</v>
      </c>
    </row>
    <row r="1205" spans="1:15" x14ac:dyDescent="0.45">
      <c r="A1205" t="str">
        <v>CD-HER</v>
      </c>
      <c r="B1205" t="str">
        <v>ABA-1000</v>
      </c>
      <c r="C1205">
        <v>1061</v>
      </c>
      <c r="D1205">
        <v>415.7</v>
      </c>
      <c r="E1205">
        <v>59.2</v>
      </c>
      <c r="F1205">
        <v>4.9000000000000004</v>
      </c>
      <c r="G1205">
        <v>1.2</v>
      </c>
      <c r="H1205" t="str">
        <v>OK</v>
      </c>
      <c r="J1205">
        <f t="shared" si="90"/>
        <v>4722.2</v>
      </c>
      <c r="K1205">
        <f>SUMIF(Supply_Clean[Item_Code], B1205, Supply_Clean[Available_Supply])</f>
        <v>10731</v>
      </c>
      <c r="L1205">
        <f t="shared" si="91"/>
        <v>1</v>
      </c>
      <c r="M1205">
        <f t="shared" si="92"/>
        <v>415.7</v>
      </c>
      <c r="N1205" t="str">
        <f t="shared" si="93"/>
        <v>SUFICIENTE</v>
      </c>
      <c r="O1205">
        <f t="shared" si="94"/>
        <v>0</v>
      </c>
    </row>
    <row r="1206" spans="1:15" x14ac:dyDescent="0.45">
      <c r="A1206" t="str">
        <v>CD-PUE</v>
      </c>
      <c r="B1206" t="str">
        <v>PRO-1010</v>
      </c>
      <c r="C1206">
        <v>11833</v>
      </c>
      <c r="D1206">
        <v>742.8</v>
      </c>
      <c r="E1206">
        <v>318.39999999999998</v>
      </c>
      <c r="F1206">
        <v>0.5</v>
      </c>
      <c r="G1206">
        <v>0.3</v>
      </c>
      <c r="H1206" t="str">
        <v>OK</v>
      </c>
      <c r="J1206">
        <f t="shared" si="90"/>
        <v>6996.1000000000013</v>
      </c>
      <c r="K1206">
        <f>SUMIF(Supply_Clean[Item_Code], B1206, Supply_Clean[Available_Supply])</f>
        <v>18475</v>
      </c>
      <c r="L1206">
        <f t="shared" si="91"/>
        <v>1</v>
      </c>
      <c r="M1206">
        <f t="shared" si="92"/>
        <v>742.8</v>
      </c>
      <c r="N1206" t="str">
        <f t="shared" si="93"/>
        <v>SUFICIENTE</v>
      </c>
      <c r="O1206">
        <f t="shared" si="94"/>
        <v>0</v>
      </c>
    </row>
    <row r="1207" spans="1:15" x14ac:dyDescent="0.45">
      <c r="A1207" t="str">
        <v>CD-CAN</v>
      </c>
      <c r="B1207" t="str">
        <v>PRO-1009</v>
      </c>
      <c r="C1207">
        <v>4249</v>
      </c>
      <c r="D1207">
        <v>460.4</v>
      </c>
      <c r="E1207">
        <v>212.2</v>
      </c>
      <c r="F1207">
        <v>6.2</v>
      </c>
      <c r="G1207">
        <v>1.6</v>
      </c>
      <c r="H1207" t="str">
        <v>OK</v>
      </c>
      <c r="J1207">
        <f t="shared" si="90"/>
        <v>5962.0999999999995</v>
      </c>
      <c r="K1207">
        <f>SUMIF(Supply_Clean[Item_Code], B1207, Supply_Clean[Available_Supply])</f>
        <v>10685</v>
      </c>
      <c r="L1207">
        <f t="shared" si="91"/>
        <v>1</v>
      </c>
      <c r="M1207">
        <f t="shared" si="92"/>
        <v>460.4</v>
      </c>
      <c r="N1207" t="str">
        <f t="shared" si="93"/>
        <v>SUFICIENTE</v>
      </c>
      <c r="O1207">
        <f t="shared" si="94"/>
        <v>0</v>
      </c>
    </row>
    <row r="1208" spans="1:15" x14ac:dyDescent="0.45">
      <c r="A1208" t="str">
        <v>CD-HER</v>
      </c>
      <c r="B1208" t="str">
        <v>PRO-1015</v>
      </c>
      <c r="C1208">
        <v>262</v>
      </c>
      <c r="D1208">
        <v>110.6</v>
      </c>
      <c r="E1208">
        <v>49.5</v>
      </c>
      <c r="F1208">
        <v>4.5</v>
      </c>
      <c r="G1208">
        <v>1.2</v>
      </c>
      <c r="H1208" t="str">
        <v>OK</v>
      </c>
      <c r="J1208">
        <f t="shared" si="90"/>
        <v>5021.5</v>
      </c>
      <c r="K1208">
        <f>SUMIF(Supply_Clean[Item_Code], B1208, Supply_Clean[Available_Supply])</f>
        <v>15970</v>
      </c>
      <c r="L1208">
        <f t="shared" si="91"/>
        <v>1</v>
      </c>
      <c r="M1208">
        <f t="shared" si="92"/>
        <v>110.6</v>
      </c>
      <c r="N1208" t="str">
        <f t="shared" si="93"/>
        <v>SUFICIENTE</v>
      </c>
      <c r="O1208">
        <f t="shared" si="94"/>
        <v>0</v>
      </c>
    </row>
    <row r="1209" spans="1:15" x14ac:dyDescent="0.45">
      <c r="A1209" t="str">
        <v>CD-MER</v>
      </c>
      <c r="B1209" t="str">
        <v>BOT-1002</v>
      </c>
      <c r="C1209">
        <v>2480</v>
      </c>
      <c r="D1209">
        <v>431.7</v>
      </c>
      <c r="E1209">
        <v>78.7</v>
      </c>
      <c r="F1209">
        <v>1.2</v>
      </c>
      <c r="G1209">
        <v>1.3</v>
      </c>
      <c r="H1209" t="str">
        <v>OK</v>
      </c>
      <c r="J1209">
        <f t="shared" si="90"/>
        <v>8527</v>
      </c>
      <c r="K1209">
        <f>SUMIF(Supply_Clean[Item_Code], B1209, Supply_Clean[Available_Supply])</f>
        <v>25048</v>
      </c>
      <c r="L1209">
        <f t="shared" si="91"/>
        <v>1</v>
      </c>
      <c r="M1209">
        <f t="shared" si="92"/>
        <v>431.7</v>
      </c>
      <c r="N1209" t="str">
        <f t="shared" si="93"/>
        <v>SUFICIENTE</v>
      </c>
      <c r="O1209">
        <f t="shared" si="94"/>
        <v>0</v>
      </c>
    </row>
    <row r="1210" spans="1:15" x14ac:dyDescent="0.45">
      <c r="A1210" t="str">
        <v>CD-CAN</v>
      </c>
      <c r="B1210" t="str">
        <v>LAC-1013</v>
      </c>
      <c r="C1210">
        <v>1098</v>
      </c>
      <c r="D1210">
        <v>0</v>
      </c>
      <c r="E1210">
        <v>110.4</v>
      </c>
      <c r="F1210">
        <v>7.9</v>
      </c>
      <c r="G1210">
        <v>1.6</v>
      </c>
      <c r="H1210" t="str">
        <v>OK</v>
      </c>
      <c r="J1210">
        <f t="shared" si="90"/>
        <v>3650.7</v>
      </c>
      <c r="K1210">
        <f>SUMIF(Supply_Clean[Item_Code], B1210, Supply_Clean[Available_Supply])</f>
        <v>12026</v>
      </c>
      <c r="L1210">
        <f t="shared" si="91"/>
        <v>1</v>
      </c>
      <c r="M1210">
        <f t="shared" si="92"/>
        <v>0</v>
      </c>
      <c r="N1210" t="str">
        <f t="shared" si="93"/>
        <v>SUFICIENTE</v>
      </c>
      <c r="O1210">
        <f t="shared" si="94"/>
        <v>0</v>
      </c>
    </row>
    <row r="1211" spans="1:15" x14ac:dyDescent="0.45">
      <c r="A1211" t="str">
        <v>CD-GDL</v>
      </c>
      <c r="B1211" t="str">
        <v>LAC-1010</v>
      </c>
      <c r="C1211">
        <v>4087</v>
      </c>
      <c r="D1211">
        <v>382.5</v>
      </c>
      <c r="E1211">
        <v>168.5</v>
      </c>
      <c r="F1211">
        <v>1.4</v>
      </c>
      <c r="G1211">
        <v>0.2</v>
      </c>
      <c r="H1211" t="str">
        <v>OK</v>
      </c>
      <c r="J1211">
        <f t="shared" si="90"/>
        <v>4321.7</v>
      </c>
      <c r="K1211">
        <f>SUMIF(Supply_Clean[Item_Code], B1211, Supply_Clean[Available_Supply])</f>
        <v>11567</v>
      </c>
      <c r="L1211">
        <f t="shared" si="91"/>
        <v>1</v>
      </c>
      <c r="M1211">
        <f t="shared" si="92"/>
        <v>382.5</v>
      </c>
      <c r="N1211" t="str">
        <f t="shared" si="93"/>
        <v>SUFICIENTE</v>
      </c>
      <c r="O1211">
        <f t="shared" si="94"/>
        <v>0</v>
      </c>
    </row>
    <row r="1212" spans="1:15" x14ac:dyDescent="0.45">
      <c r="A1212" t="str">
        <v>CD-MER</v>
      </c>
      <c r="B1212" t="str">
        <v>PRO-1005</v>
      </c>
      <c r="C1212">
        <v>176</v>
      </c>
      <c r="D1212">
        <v>105.5</v>
      </c>
      <c r="E1212">
        <v>71.900000000000006</v>
      </c>
      <c r="F1212">
        <v>4.5999999999999996</v>
      </c>
      <c r="G1212">
        <v>1.3</v>
      </c>
      <c r="H1212" t="str">
        <v>OK</v>
      </c>
      <c r="J1212">
        <f t="shared" si="90"/>
        <v>4399.3</v>
      </c>
      <c r="K1212">
        <f>SUMIF(Supply_Clean[Item_Code], B1212, Supply_Clean[Available_Supply])</f>
        <v>8407</v>
      </c>
      <c r="L1212">
        <f t="shared" si="91"/>
        <v>1</v>
      </c>
      <c r="M1212">
        <f t="shared" si="92"/>
        <v>105.5</v>
      </c>
      <c r="N1212" t="str">
        <f t="shared" si="93"/>
        <v>SUFICIENTE</v>
      </c>
      <c r="O1212">
        <f t="shared" si="94"/>
        <v>0</v>
      </c>
    </row>
    <row r="1213" spans="1:15" x14ac:dyDescent="0.45">
      <c r="A1213" t="str">
        <v>CD-HER</v>
      </c>
      <c r="B1213" t="str">
        <v>BOT-1021</v>
      </c>
      <c r="C1213">
        <v>4812</v>
      </c>
      <c r="D1213">
        <v>0</v>
      </c>
      <c r="E1213">
        <v>153.69999999999999</v>
      </c>
      <c r="F1213">
        <v>3.9</v>
      </c>
      <c r="G1213">
        <v>1.2</v>
      </c>
      <c r="H1213" t="str">
        <v>OK</v>
      </c>
      <c r="J1213">
        <f t="shared" si="90"/>
        <v>6783.3</v>
      </c>
      <c r="K1213">
        <f>SUMIF(Supply_Clean[Item_Code], B1213, Supply_Clean[Available_Supply])</f>
        <v>13475</v>
      </c>
      <c r="L1213">
        <f t="shared" si="91"/>
        <v>1</v>
      </c>
      <c r="M1213">
        <f t="shared" si="92"/>
        <v>0</v>
      </c>
      <c r="N1213" t="str">
        <f t="shared" si="93"/>
        <v>SUFICIENTE</v>
      </c>
      <c r="O1213">
        <f t="shared" si="94"/>
        <v>0</v>
      </c>
    </row>
    <row r="1214" spans="1:15" x14ac:dyDescent="0.45">
      <c r="A1214" t="str">
        <v>CD-LEO</v>
      </c>
      <c r="B1214" t="str">
        <v>ABA-1018</v>
      </c>
      <c r="C1214">
        <v>8487</v>
      </c>
      <c r="D1214">
        <v>513.5</v>
      </c>
      <c r="E1214">
        <v>55.7</v>
      </c>
      <c r="F1214">
        <v>2</v>
      </c>
      <c r="G1214">
        <v>0.6</v>
      </c>
      <c r="H1214" t="str">
        <v>OK</v>
      </c>
      <c r="J1214">
        <f t="shared" si="90"/>
        <v>4478</v>
      </c>
      <c r="K1214">
        <f>SUMIF(Supply_Clean[Item_Code], B1214, Supply_Clean[Available_Supply])</f>
        <v>6884</v>
      </c>
      <c r="L1214">
        <f t="shared" si="91"/>
        <v>1</v>
      </c>
      <c r="M1214">
        <f t="shared" si="92"/>
        <v>513.5</v>
      </c>
      <c r="N1214" t="str">
        <f t="shared" si="93"/>
        <v>SUFICIENTE</v>
      </c>
      <c r="O1214">
        <f t="shared" si="94"/>
        <v>0</v>
      </c>
    </row>
    <row r="1215" spans="1:15" x14ac:dyDescent="0.45">
      <c r="A1215" t="str">
        <v>CD-CDMX</v>
      </c>
      <c r="B1215" t="str">
        <v>PRO-1004</v>
      </c>
      <c r="C1215">
        <v>824</v>
      </c>
      <c r="D1215">
        <v>0</v>
      </c>
      <c r="E1215">
        <v>147.6</v>
      </c>
      <c r="F1215">
        <v>1.3</v>
      </c>
      <c r="G1215">
        <v>0.2</v>
      </c>
      <c r="H1215" t="str">
        <v>OK</v>
      </c>
      <c r="J1215">
        <f t="shared" si="90"/>
        <v>5295.1999999999989</v>
      </c>
      <c r="K1215">
        <f>SUMIF(Supply_Clean[Item_Code], B1215, Supply_Clean[Available_Supply])</f>
        <v>13057</v>
      </c>
      <c r="L1215">
        <f t="shared" si="91"/>
        <v>1</v>
      </c>
      <c r="M1215">
        <f t="shared" si="92"/>
        <v>0</v>
      </c>
      <c r="N1215" t="str">
        <f t="shared" si="93"/>
        <v>SUFICIENTE</v>
      </c>
      <c r="O1215">
        <f t="shared" si="94"/>
        <v>0</v>
      </c>
    </row>
    <row r="1216" spans="1:15" x14ac:dyDescent="0.45">
      <c r="A1216" t="str">
        <v>CD-CDMX</v>
      </c>
      <c r="B1216" t="str">
        <v>BOT-1009</v>
      </c>
      <c r="C1216">
        <v>2218</v>
      </c>
      <c r="D1216">
        <v>372.1</v>
      </c>
      <c r="E1216">
        <v>70.900000000000006</v>
      </c>
      <c r="F1216">
        <v>1.1000000000000001</v>
      </c>
      <c r="G1216">
        <v>0.2</v>
      </c>
      <c r="H1216" t="str">
        <v>OK</v>
      </c>
      <c r="J1216">
        <f t="shared" si="90"/>
        <v>8135.5</v>
      </c>
      <c r="K1216">
        <f>SUMIF(Supply_Clean[Item_Code], B1216, Supply_Clean[Available_Supply])</f>
        <v>17475</v>
      </c>
      <c r="L1216">
        <f t="shared" si="91"/>
        <v>1</v>
      </c>
      <c r="M1216">
        <f t="shared" si="92"/>
        <v>372.1</v>
      </c>
      <c r="N1216" t="str">
        <f t="shared" si="93"/>
        <v>SUFICIENTE</v>
      </c>
      <c r="O1216">
        <f t="shared" si="94"/>
        <v>0</v>
      </c>
    </row>
    <row r="1217" spans="1:15" x14ac:dyDescent="0.45">
      <c r="A1217" t="str">
        <v>CD-MTY</v>
      </c>
      <c r="B1217" t="str">
        <v>BOT-1012</v>
      </c>
      <c r="C1217">
        <v>9623</v>
      </c>
      <c r="D1217">
        <v>807.2</v>
      </c>
      <c r="E1217">
        <v>126.6</v>
      </c>
      <c r="F1217">
        <v>1</v>
      </c>
      <c r="G1217">
        <v>0.3</v>
      </c>
      <c r="H1217" t="str">
        <v>OK</v>
      </c>
      <c r="J1217">
        <f t="shared" si="90"/>
        <v>9259.4</v>
      </c>
      <c r="K1217">
        <f>SUMIF(Supply_Clean[Item_Code], B1217, Supply_Clean[Available_Supply])</f>
        <v>13943</v>
      </c>
      <c r="L1217">
        <f t="shared" si="91"/>
        <v>1</v>
      </c>
      <c r="M1217">
        <f t="shared" si="92"/>
        <v>807.2</v>
      </c>
      <c r="N1217" t="str">
        <f t="shared" si="93"/>
        <v>SUFICIENTE</v>
      </c>
      <c r="O1217">
        <f t="shared" si="94"/>
        <v>0</v>
      </c>
    </row>
    <row r="1218" spans="1:15" x14ac:dyDescent="0.45">
      <c r="A1218" t="str">
        <v>CD-QRO</v>
      </c>
      <c r="B1218" t="str">
        <v>LAC-1013</v>
      </c>
      <c r="C1218">
        <v>5983</v>
      </c>
      <c r="D1218">
        <v>347.7</v>
      </c>
      <c r="E1218">
        <v>143.19999999999999</v>
      </c>
      <c r="F1218">
        <v>2.2000000000000002</v>
      </c>
      <c r="G1218">
        <v>0.4</v>
      </c>
      <c r="H1218" t="str">
        <v>OK</v>
      </c>
      <c r="J1218">
        <f t="shared" si="90"/>
        <v>3650.7</v>
      </c>
      <c r="K1218">
        <f>SUMIF(Supply_Clean[Item_Code], B1218, Supply_Clean[Available_Supply])</f>
        <v>12026</v>
      </c>
      <c r="L1218">
        <f t="shared" si="91"/>
        <v>1</v>
      </c>
      <c r="M1218">
        <f t="shared" si="92"/>
        <v>347.7</v>
      </c>
      <c r="N1218" t="str">
        <f t="shared" si="93"/>
        <v>SUFICIENTE</v>
      </c>
      <c r="O1218">
        <f t="shared" si="94"/>
        <v>0</v>
      </c>
    </row>
    <row r="1219" spans="1:15" x14ac:dyDescent="0.45">
      <c r="A1219" t="str">
        <v>CD-MER</v>
      </c>
      <c r="B1219" t="str">
        <v>BOT-1015</v>
      </c>
      <c r="C1219">
        <v>2949</v>
      </c>
      <c r="D1219">
        <v>491.7</v>
      </c>
      <c r="E1219">
        <v>124.4</v>
      </c>
      <c r="F1219">
        <v>4.4000000000000004</v>
      </c>
      <c r="G1219">
        <v>1.3</v>
      </c>
      <c r="H1219" t="str">
        <v>OK</v>
      </c>
      <c r="J1219">
        <f t="shared" ref="J1219:J1282" si="95">SUMIF($B$2:$B$1501, B1219, $D$2:$D$1501)</f>
        <v>8666.4</v>
      </c>
      <c r="K1219">
        <f>SUMIF(Supply_Clean[Item_Code], B1219, Supply_Clean[Available_Supply])</f>
        <v>5719</v>
      </c>
      <c r="L1219">
        <f t="shared" ref="L1219:L1282" si="96">IFERROR(MIN(1, K1219/J1219), "")</f>
        <v>0.65990492015138935</v>
      </c>
      <c r="M1219">
        <f t="shared" ref="M1219:M1282" si="97">IFERROR(D1219*L1219, "")</f>
        <v>324.47524923843815</v>
      </c>
      <c r="N1219" t="str">
        <f t="shared" ref="N1219:N1282" si="98">IF(L1219&lt;1, "ESCASEZ", "SUFICIENTE")</f>
        <v>ESCASEZ</v>
      </c>
      <c r="O1219">
        <f t="shared" ref="O1219:O1282" si="99">IF(N1219="ESCASEZ", D1219-M1219, 0)</f>
        <v>167.22475076156184</v>
      </c>
    </row>
    <row r="1220" spans="1:15" x14ac:dyDescent="0.45">
      <c r="A1220" t="str">
        <v>CD-HER</v>
      </c>
      <c r="B1220" t="str">
        <v>BEB-1014</v>
      </c>
      <c r="C1220">
        <v>6250</v>
      </c>
      <c r="D1220">
        <v>404</v>
      </c>
      <c r="E1220">
        <v>50.9</v>
      </c>
      <c r="F1220">
        <v>5.2</v>
      </c>
      <c r="G1220">
        <v>1.2</v>
      </c>
      <c r="H1220" t="str">
        <v>OK</v>
      </c>
      <c r="J1220">
        <f t="shared" si="95"/>
        <v>6274.9000000000005</v>
      </c>
      <c r="K1220">
        <f>SUMIF(Supply_Clean[Item_Code], B1220, Supply_Clean[Available_Supply])</f>
        <v>14205</v>
      </c>
      <c r="L1220">
        <f t="shared" si="96"/>
        <v>1</v>
      </c>
      <c r="M1220">
        <f t="shared" si="97"/>
        <v>404</v>
      </c>
      <c r="N1220" t="str">
        <f t="shared" si="98"/>
        <v>SUFICIENTE</v>
      </c>
      <c r="O1220">
        <f t="shared" si="99"/>
        <v>0</v>
      </c>
    </row>
    <row r="1221" spans="1:15" x14ac:dyDescent="0.45">
      <c r="A1221" t="str">
        <v>CD-CHI</v>
      </c>
      <c r="B1221" t="str">
        <v>BOT-1014</v>
      </c>
      <c r="C1221">
        <v>10348</v>
      </c>
      <c r="D1221">
        <v>654.79999999999995</v>
      </c>
      <c r="E1221">
        <v>155.80000000000001</v>
      </c>
      <c r="F1221">
        <v>3.5</v>
      </c>
      <c r="G1221">
        <v>1</v>
      </c>
      <c r="H1221" t="str">
        <v>OK</v>
      </c>
      <c r="J1221">
        <f t="shared" si="95"/>
        <v>8056.4000000000005</v>
      </c>
      <c r="K1221">
        <f>SUMIF(Supply_Clean[Item_Code], B1221, Supply_Clean[Available_Supply])</f>
        <v>14373</v>
      </c>
      <c r="L1221">
        <f t="shared" si="96"/>
        <v>1</v>
      </c>
      <c r="M1221">
        <f t="shared" si="97"/>
        <v>654.79999999999995</v>
      </c>
      <c r="N1221" t="str">
        <f t="shared" si="98"/>
        <v>SUFICIENTE</v>
      </c>
      <c r="O1221">
        <f t="shared" si="99"/>
        <v>0</v>
      </c>
    </row>
    <row r="1222" spans="1:15" x14ac:dyDescent="0.45">
      <c r="A1222" t="str">
        <v>CD-LEO</v>
      </c>
      <c r="B1222" t="str">
        <v>ABA-1015</v>
      </c>
      <c r="C1222">
        <v>147</v>
      </c>
      <c r="D1222">
        <v>262.2</v>
      </c>
      <c r="E1222">
        <v>33.6</v>
      </c>
      <c r="F1222">
        <v>2.6</v>
      </c>
      <c r="G1222">
        <v>0.6</v>
      </c>
      <c r="H1222" t="str">
        <v>OK</v>
      </c>
      <c r="J1222">
        <f t="shared" si="95"/>
        <v>3986.4999999999991</v>
      </c>
      <c r="K1222">
        <f>SUMIF(Supply_Clean[Item_Code], B1222, Supply_Clean[Available_Supply])</f>
        <v>7969</v>
      </c>
      <c r="L1222">
        <f t="shared" si="96"/>
        <v>1</v>
      </c>
      <c r="M1222">
        <f t="shared" si="97"/>
        <v>262.2</v>
      </c>
      <c r="N1222" t="str">
        <f t="shared" si="98"/>
        <v>SUFICIENTE</v>
      </c>
      <c r="O1222">
        <f t="shared" si="99"/>
        <v>0</v>
      </c>
    </row>
    <row r="1223" spans="1:15" x14ac:dyDescent="0.45">
      <c r="A1223" t="str">
        <v>CD-LEO</v>
      </c>
      <c r="B1223" t="str">
        <v>ABA-1000</v>
      </c>
      <c r="C1223">
        <v>1074</v>
      </c>
      <c r="D1223">
        <v>212.2</v>
      </c>
      <c r="E1223">
        <v>20.7</v>
      </c>
      <c r="F1223">
        <v>1.6</v>
      </c>
      <c r="G1223">
        <v>0.6</v>
      </c>
      <c r="H1223" t="str">
        <v>OK</v>
      </c>
      <c r="J1223">
        <f t="shared" si="95"/>
        <v>4722.2</v>
      </c>
      <c r="K1223">
        <f>SUMIF(Supply_Clean[Item_Code], B1223, Supply_Clean[Available_Supply])</f>
        <v>10731</v>
      </c>
      <c r="L1223">
        <f t="shared" si="96"/>
        <v>1</v>
      </c>
      <c r="M1223">
        <f t="shared" si="97"/>
        <v>212.2</v>
      </c>
      <c r="N1223" t="str">
        <f t="shared" si="98"/>
        <v>SUFICIENTE</v>
      </c>
      <c r="O1223">
        <f t="shared" si="99"/>
        <v>0</v>
      </c>
    </row>
    <row r="1224" spans="1:15" x14ac:dyDescent="0.45">
      <c r="A1224" t="str">
        <v>CD-MTY</v>
      </c>
      <c r="B1224" t="str">
        <v>PRO-1011</v>
      </c>
      <c r="C1224">
        <v>0</v>
      </c>
      <c r="D1224">
        <v>119.7</v>
      </c>
      <c r="E1224">
        <v>76.7</v>
      </c>
      <c r="F1224">
        <v>1.2</v>
      </c>
      <c r="G1224">
        <v>0.3</v>
      </c>
      <c r="H1224">
        <v>0</v>
      </c>
      <c r="J1224">
        <f t="shared" si="95"/>
        <v>5674.6999999999989</v>
      </c>
      <c r="K1224">
        <f>SUMIF(Supply_Clean[Item_Code], B1224, Supply_Clean[Available_Supply])</f>
        <v>14178</v>
      </c>
      <c r="L1224">
        <f t="shared" si="96"/>
        <v>1</v>
      </c>
      <c r="M1224">
        <f t="shared" si="97"/>
        <v>119.7</v>
      </c>
      <c r="N1224" t="str">
        <f t="shared" si="98"/>
        <v>SUFICIENTE</v>
      </c>
      <c r="O1224">
        <f t="shared" si="99"/>
        <v>0</v>
      </c>
    </row>
    <row r="1225" spans="1:15" x14ac:dyDescent="0.45">
      <c r="A1225" t="str">
        <v>CD-SAL</v>
      </c>
      <c r="B1225" t="str">
        <v>PRO-1001</v>
      </c>
      <c r="C1225">
        <v>9196</v>
      </c>
      <c r="D1225">
        <v>541.6</v>
      </c>
      <c r="E1225">
        <v>221.8</v>
      </c>
      <c r="F1225">
        <v>1.8</v>
      </c>
      <c r="G1225">
        <v>0.5</v>
      </c>
      <c r="H1225" t="str">
        <v>OK</v>
      </c>
      <c r="J1225">
        <f t="shared" si="95"/>
        <v>6433.2999999999993</v>
      </c>
      <c r="K1225">
        <f>SUMIF(Supply_Clean[Item_Code], B1225, Supply_Clean[Available_Supply])</f>
        <v>10011</v>
      </c>
      <c r="L1225">
        <f t="shared" si="96"/>
        <v>1</v>
      </c>
      <c r="M1225">
        <f t="shared" si="97"/>
        <v>541.6</v>
      </c>
      <c r="N1225" t="str">
        <f t="shared" si="98"/>
        <v>SUFICIENTE</v>
      </c>
      <c r="O1225">
        <f t="shared" si="99"/>
        <v>0</v>
      </c>
    </row>
    <row r="1226" spans="1:15" x14ac:dyDescent="0.45">
      <c r="A1226" t="str">
        <v>CD-CDMX</v>
      </c>
      <c r="B1226" t="str">
        <v>ABA-1008</v>
      </c>
      <c r="C1226">
        <v>2707</v>
      </c>
      <c r="D1226">
        <v>191.5</v>
      </c>
      <c r="E1226">
        <v>27.3</v>
      </c>
      <c r="F1226">
        <v>1.1000000000000001</v>
      </c>
      <c r="G1226">
        <v>0.2</v>
      </c>
      <c r="H1226" t="str">
        <v>OK</v>
      </c>
      <c r="J1226">
        <f t="shared" si="95"/>
        <v>4717.2000000000007</v>
      </c>
      <c r="K1226">
        <f>SUMIF(Supply_Clean[Item_Code], B1226, Supply_Clean[Available_Supply])</f>
        <v>9747</v>
      </c>
      <c r="L1226">
        <f t="shared" si="96"/>
        <v>1</v>
      </c>
      <c r="M1226">
        <f t="shared" si="97"/>
        <v>191.5</v>
      </c>
      <c r="N1226" t="str">
        <f t="shared" si="98"/>
        <v>SUFICIENTE</v>
      </c>
      <c r="O1226">
        <f t="shared" si="99"/>
        <v>0</v>
      </c>
    </row>
    <row r="1227" spans="1:15" x14ac:dyDescent="0.45">
      <c r="A1227" t="str">
        <v>CD-CDMX</v>
      </c>
      <c r="B1227" t="str">
        <v>BOT-1008</v>
      </c>
      <c r="C1227">
        <v>1280</v>
      </c>
      <c r="D1227">
        <v>577</v>
      </c>
      <c r="E1227">
        <v>148.4</v>
      </c>
      <c r="F1227">
        <v>1.1000000000000001</v>
      </c>
      <c r="G1227">
        <v>0.2</v>
      </c>
      <c r="H1227" t="str">
        <v>OK</v>
      </c>
      <c r="J1227">
        <f t="shared" si="95"/>
        <v>7758.6</v>
      </c>
      <c r="K1227">
        <f>SUMIF(Supply_Clean[Item_Code], B1227, Supply_Clean[Available_Supply])</f>
        <v>25288</v>
      </c>
      <c r="L1227">
        <f t="shared" si="96"/>
        <v>1</v>
      </c>
      <c r="M1227">
        <f t="shared" si="97"/>
        <v>577</v>
      </c>
      <c r="N1227" t="str">
        <f t="shared" si="98"/>
        <v>SUFICIENTE</v>
      </c>
      <c r="O1227">
        <f t="shared" si="99"/>
        <v>0</v>
      </c>
    </row>
    <row r="1228" spans="1:15" x14ac:dyDescent="0.45">
      <c r="A1228" t="str">
        <v>CD-TOL</v>
      </c>
      <c r="B1228" t="str">
        <v>BEB-1017</v>
      </c>
      <c r="C1228">
        <v>4082</v>
      </c>
      <c r="D1228">
        <v>324.10000000000002</v>
      </c>
      <c r="E1228">
        <v>43.1</v>
      </c>
      <c r="F1228">
        <v>1.7</v>
      </c>
      <c r="G1228">
        <v>0.5</v>
      </c>
      <c r="H1228" t="str">
        <v>OK</v>
      </c>
      <c r="J1228">
        <f t="shared" si="95"/>
        <v>6231.7000000000007</v>
      </c>
      <c r="K1228">
        <f>SUMIF(Supply_Clean[Item_Code], B1228, Supply_Clean[Available_Supply])</f>
        <v>18257</v>
      </c>
      <c r="L1228">
        <f t="shared" si="96"/>
        <v>1</v>
      </c>
      <c r="M1228">
        <f t="shared" si="97"/>
        <v>324.10000000000002</v>
      </c>
      <c r="N1228" t="str">
        <f t="shared" si="98"/>
        <v>SUFICIENTE</v>
      </c>
      <c r="O1228">
        <f t="shared" si="99"/>
        <v>0</v>
      </c>
    </row>
    <row r="1229" spans="1:15" x14ac:dyDescent="0.45">
      <c r="A1229" t="str">
        <v>CD-PUE</v>
      </c>
      <c r="B1229" t="str">
        <v>BEB-1009</v>
      </c>
      <c r="C1229">
        <v>1184</v>
      </c>
      <c r="D1229">
        <v>290.7</v>
      </c>
      <c r="E1229">
        <v>35.799999999999997</v>
      </c>
      <c r="F1229">
        <v>0.9</v>
      </c>
      <c r="G1229">
        <v>0.3</v>
      </c>
      <c r="H1229" t="str">
        <v>OK</v>
      </c>
      <c r="J1229">
        <f t="shared" si="95"/>
        <v>6226.9000000000005</v>
      </c>
      <c r="K1229">
        <f>SUMIF(Supply_Clean[Item_Code], B1229, Supply_Clean[Available_Supply])</f>
        <v>10475</v>
      </c>
      <c r="L1229">
        <f t="shared" si="96"/>
        <v>1</v>
      </c>
      <c r="M1229">
        <f t="shared" si="97"/>
        <v>290.7</v>
      </c>
      <c r="N1229" t="str">
        <f t="shared" si="98"/>
        <v>SUFICIENTE</v>
      </c>
      <c r="O1229">
        <f t="shared" si="99"/>
        <v>0</v>
      </c>
    </row>
    <row r="1230" spans="1:15" x14ac:dyDescent="0.45">
      <c r="A1230" t="str">
        <v>CD-HER</v>
      </c>
      <c r="B1230" t="str">
        <v>BOT-1017</v>
      </c>
      <c r="C1230">
        <v>523</v>
      </c>
      <c r="D1230">
        <v>1012.7</v>
      </c>
      <c r="E1230">
        <v>194</v>
      </c>
      <c r="F1230">
        <v>4.8</v>
      </c>
      <c r="G1230">
        <v>1.2</v>
      </c>
      <c r="H1230" t="str">
        <v>OK</v>
      </c>
      <c r="J1230">
        <f t="shared" si="95"/>
        <v>10291.300000000001</v>
      </c>
      <c r="K1230">
        <f>SUMIF(Supply_Clean[Item_Code], B1230, Supply_Clean[Available_Supply])</f>
        <v>5486</v>
      </c>
      <c r="L1230">
        <f t="shared" si="96"/>
        <v>0.53307162360440363</v>
      </c>
      <c r="M1230">
        <f t="shared" si="97"/>
        <v>539.84163322417953</v>
      </c>
      <c r="N1230" t="str">
        <f t="shared" si="98"/>
        <v>ESCASEZ</v>
      </c>
      <c r="O1230">
        <f t="shared" si="99"/>
        <v>472.85836677582051</v>
      </c>
    </row>
    <row r="1231" spans="1:15" x14ac:dyDescent="0.45">
      <c r="A1231" t="str">
        <v>CD-CHI</v>
      </c>
      <c r="B1231" t="str">
        <v>PRO-1010</v>
      </c>
      <c r="C1231">
        <v>3141</v>
      </c>
      <c r="D1231">
        <v>203.3</v>
      </c>
      <c r="E1231">
        <v>131.19999999999999</v>
      </c>
      <c r="F1231">
        <v>3</v>
      </c>
      <c r="G1231">
        <v>1</v>
      </c>
      <c r="H1231" t="str">
        <v>OK</v>
      </c>
      <c r="J1231">
        <f t="shared" si="95"/>
        <v>6996.1000000000013</v>
      </c>
      <c r="K1231">
        <f>SUMIF(Supply_Clean[Item_Code], B1231, Supply_Clean[Available_Supply])</f>
        <v>18475</v>
      </c>
      <c r="L1231">
        <f t="shared" si="96"/>
        <v>1</v>
      </c>
      <c r="M1231">
        <f t="shared" si="97"/>
        <v>203.3</v>
      </c>
      <c r="N1231" t="str">
        <f t="shared" si="98"/>
        <v>SUFICIENTE</v>
      </c>
      <c r="O1231">
        <f t="shared" si="99"/>
        <v>0</v>
      </c>
    </row>
    <row r="1232" spans="1:15" x14ac:dyDescent="0.45">
      <c r="A1232" t="str">
        <v>CD-MTY</v>
      </c>
      <c r="B1232" t="str">
        <v>BOT-1008</v>
      </c>
      <c r="C1232">
        <v>14127</v>
      </c>
      <c r="D1232">
        <v>811.4</v>
      </c>
      <c r="E1232">
        <v>156.5</v>
      </c>
      <c r="F1232">
        <v>0.9</v>
      </c>
      <c r="G1232">
        <v>0.3</v>
      </c>
      <c r="H1232" t="str">
        <v>OK</v>
      </c>
      <c r="J1232">
        <f t="shared" si="95"/>
        <v>7758.6</v>
      </c>
      <c r="K1232">
        <f>SUMIF(Supply_Clean[Item_Code], B1232, Supply_Clean[Available_Supply])</f>
        <v>25288</v>
      </c>
      <c r="L1232">
        <f t="shared" si="96"/>
        <v>1</v>
      </c>
      <c r="M1232">
        <f t="shared" si="97"/>
        <v>811.4</v>
      </c>
      <c r="N1232" t="str">
        <f t="shared" si="98"/>
        <v>SUFICIENTE</v>
      </c>
      <c r="O1232">
        <f t="shared" si="99"/>
        <v>0</v>
      </c>
    </row>
    <row r="1233" spans="1:15" x14ac:dyDescent="0.45">
      <c r="A1233" t="str">
        <v>CD-MER</v>
      </c>
      <c r="B1233" t="str">
        <v>BOT-1010</v>
      </c>
      <c r="C1233">
        <v>2479</v>
      </c>
      <c r="D1233">
        <v>760.8</v>
      </c>
      <c r="E1233">
        <v>125.5</v>
      </c>
      <c r="F1233">
        <v>2.8</v>
      </c>
      <c r="G1233">
        <v>1.3</v>
      </c>
      <c r="H1233" t="str">
        <v>OK</v>
      </c>
      <c r="J1233">
        <f t="shared" si="95"/>
        <v>7108.7000000000007</v>
      </c>
      <c r="K1233">
        <f>SUMIF(Supply_Clean[Item_Code], B1233, Supply_Clean[Available_Supply])</f>
        <v>21582</v>
      </c>
      <c r="L1233">
        <f t="shared" si="96"/>
        <v>1</v>
      </c>
      <c r="M1233">
        <f t="shared" si="97"/>
        <v>760.8</v>
      </c>
      <c r="N1233" t="str">
        <f t="shared" si="98"/>
        <v>SUFICIENTE</v>
      </c>
      <c r="O1233">
        <f t="shared" si="99"/>
        <v>0</v>
      </c>
    </row>
    <row r="1234" spans="1:15" x14ac:dyDescent="0.45">
      <c r="A1234" t="str">
        <v>CD-QRO</v>
      </c>
      <c r="B1234" t="str">
        <v>BOT-1021</v>
      </c>
      <c r="C1234">
        <v>6129</v>
      </c>
      <c r="D1234">
        <v>661.4</v>
      </c>
      <c r="E1234">
        <v>174.2</v>
      </c>
      <c r="F1234">
        <v>2.4</v>
      </c>
      <c r="G1234">
        <v>0.4</v>
      </c>
      <c r="H1234" t="str">
        <v>OK</v>
      </c>
      <c r="J1234">
        <f t="shared" si="95"/>
        <v>6783.3</v>
      </c>
      <c r="K1234">
        <f>SUMIF(Supply_Clean[Item_Code], B1234, Supply_Clean[Available_Supply])</f>
        <v>13475</v>
      </c>
      <c r="L1234">
        <f t="shared" si="96"/>
        <v>1</v>
      </c>
      <c r="M1234">
        <f t="shared" si="97"/>
        <v>661.4</v>
      </c>
      <c r="N1234" t="str">
        <f t="shared" si="98"/>
        <v>SUFICIENTE</v>
      </c>
      <c r="O1234">
        <f t="shared" si="99"/>
        <v>0</v>
      </c>
    </row>
    <row r="1235" spans="1:15" x14ac:dyDescent="0.45">
      <c r="A1235" t="str">
        <v>CD-CHI</v>
      </c>
      <c r="B1235" t="str">
        <v>LAC-1011</v>
      </c>
      <c r="C1235">
        <v>3974</v>
      </c>
      <c r="D1235">
        <v>225.7</v>
      </c>
      <c r="E1235">
        <v>72</v>
      </c>
      <c r="F1235">
        <v>2.8</v>
      </c>
      <c r="G1235">
        <v>1</v>
      </c>
      <c r="H1235" t="str">
        <v>OK</v>
      </c>
      <c r="J1235">
        <f t="shared" si="95"/>
        <v>4165</v>
      </c>
      <c r="K1235">
        <f>SUMIF(Supply_Clean[Item_Code], B1235, Supply_Clean[Available_Supply])</f>
        <v>2719</v>
      </c>
      <c r="L1235">
        <f t="shared" si="96"/>
        <v>0.65282112845138052</v>
      </c>
      <c r="M1235">
        <f t="shared" si="97"/>
        <v>147.34172869147656</v>
      </c>
      <c r="N1235" t="str">
        <f t="shared" si="98"/>
        <v>ESCASEZ</v>
      </c>
      <c r="O1235">
        <f t="shared" si="99"/>
        <v>78.358271308523427</v>
      </c>
    </row>
    <row r="1236" spans="1:15" x14ac:dyDescent="0.45">
      <c r="A1236" t="str">
        <v>CD-LEO</v>
      </c>
      <c r="B1236" t="str">
        <v>BOT-1000</v>
      </c>
      <c r="C1236">
        <v>5903</v>
      </c>
      <c r="D1236">
        <v>834.9</v>
      </c>
      <c r="E1236">
        <v>228.7</v>
      </c>
      <c r="F1236">
        <v>1.5</v>
      </c>
      <c r="G1236">
        <v>0.6</v>
      </c>
      <c r="H1236" t="str">
        <v>OK</v>
      </c>
      <c r="J1236">
        <f t="shared" si="95"/>
        <v>8310.6</v>
      </c>
      <c r="K1236">
        <f>SUMIF(Supply_Clean[Item_Code], B1236, Supply_Clean[Available_Supply])</f>
        <v>21762</v>
      </c>
      <c r="L1236">
        <f t="shared" si="96"/>
        <v>1</v>
      </c>
      <c r="M1236">
        <f t="shared" si="97"/>
        <v>834.9</v>
      </c>
      <c r="N1236" t="str">
        <f t="shared" si="98"/>
        <v>SUFICIENTE</v>
      </c>
      <c r="O1236">
        <f t="shared" si="99"/>
        <v>0</v>
      </c>
    </row>
    <row r="1237" spans="1:15" x14ac:dyDescent="0.45">
      <c r="A1237" t="str">
        <v>CD-MOR</v>
      </c>
      <c r="B1237" t="str">
        <v>ABA-1005</v>
      </c>
      <c r="C1237">
        <v>7310</v>
      </c>
      <c r="D1237">
        <v>503.3</v>
      </c>
      <c r="E1237">
        <v>42.1</v>
      </c>
      <c r="F1237">
        <v>2.2999999999999998</v>
      </c>
      <c r="G1237">
        <v>0.5</v>
      </c>
      <c r="H1237" t="str">
        <v>OK</v>
      </c>
      <c r="J1237">
        <f t="shared" si="95"/>
        <v>5173.5999999999995</v>
      </c>
      <c r="K1237">
        <f>SUMIF(Supply_Clean[Item_Code], B1237, Supply_Clean[Available_Supply])</f>
        <v>15028</v>
      </c>
      <c r="L1237">
        <f t="shared" si="96"/>
        <v>1</v>
      </c>
      <c r="M1237">
        <f t="shared" si="97"/>
        <v>503.3</v>
      </c>
      <c r="N1237" t="str">
        <f t="shared" si="98"/>
        <v>SUFICIENTE</v>
      </c>
      <c r="O1237">
        <f t="shared" si="99"/>
        <v>0</v>
      </c>
    </row>
    <row r="1238" spans="1:15" x14ac:dyDescent="0.45">
      <c r="A1238" t="str">
        <v>CD-LEO</v>
      </c>
      <c r="B1238" t="str">
        <v>ABA-1008</v>
      </c>
      <c r="C1238">
        <v>2814</v>
      </c>
      <c r="D1238">
        <v>472.9</v>
      </c>
      <c r="E1238">
        <v>54.1</v>
      </c>
      <c r="F1238">
        <v>2.1</v>
      </c>
      <c r="G1238">
        <v>0.6</v>
      </c>
      <c r="H1238" t="str">
        <v>OK</v>
      </c>
      <c r="J1238">
        <f t="shared" si="95"/>
        <v>4717.2000000000007</v>
      </c>
      <c r="K1238">
        <f>SUMIF(Supply_Clean[Item_Code], B1238, Supply_Clean[Available_Supply])</f>
        <v>9747</v>
      </c>
      <c r="L1238">
        <f t="shared" si="96"/>
        <v>1</v>
      </c>
      <c r="M1238">
        <f t="shared" si="97"/>
        <v>472.9</v>
      </c>
      <c r="N1238" t="str">
        <f t="shared" si="98"/>
        <v>SUFICIENTE</v>
      </c>
      <c r="O1238">
        <f t="shared" si="99"/>
        <v>0</v>
      </c>
    </row>
    <row r="1239" spans="1:15" x14ac:dyDescent="0.45">
      <c r="A1239" t="str">
        <v>CD-VER</v>
      </c>
      <c r="B1239" t="str">
        <v>BOT-1002</v>
      </c>
      <c r="C1239">
        <v>3252</v>
      </c>
      <c r="D1239">
        <v>498.5</v>
      </c>
      <c r="E1239">
        <v>130</v>
      </c>
      <c r="F1239">
        <v>2.9</v>
      </c>
      <c r="G1239">
        <v>0.9</v>
      </c>
      <c r="H1239" t="str">
        <v>OK</v>
      </c>
      <c r="J1239">
        <f t="shared" si="95"/>
        <v>8527</v>
      </c>
      <c r="K1239">
        <f>SUMIF(Supply_Clean[Item_Code], B1239, Supply_Clean[Available_Supply])</f>
        <v>25048</v>
      </c>
      <c r="L1239">
        <f t="shared" si="96"/>
        <v>1</v>
      </c>
      <c r="M1239">
        <f t="shared" si="97"/>
        <v>498.5</v>
      </c>
      <c r="N1239" t="str">
        <f t="shared" si="98"/>
        <v>SUFICIENTE</v>
      </c>
      <c r="O1239">
        <f t="shared" si="99"/>
        <v>0</v>
      </c>
    </row>
    <row r="1240" spans="1:15" x14ac:dyDescent="0.45">
      <c r="A1240" t="str">
        <v>CD-CAN</v>
      </c>
      <c r="B1240" t="str">
        <v>BOT-1007</v>
      </c>
      <c r="C1240">
        <v>3545</v>
      </c>
      <c r="D1240">
        <v>391.1</v>
      </c>
      <c r="E1240">
        <v>105.7</v>
      </c>
      <c r="F1240">
        <v>3.5</v>
      </c>
      <c r="G1240">
        <v>1.6</v>
      </c>
      <c r="H1240" t="str">
        <v>OK</v>
      </c>
      <c r="J1240">
        <f t="shared" si="95"/>
        <v>7508.1</v>
      </c>
      <c r="K1240">
        <f>SUMIF(Supply_Clean[Item_Code], B1240, Supply_Clean[Available_Supply])</f>
        <v>16668</v>
      </c>
      <c r="L1240">
        <f t="shared" si="96"/>
        <v>1</v>
      </c>
      <c r="M1240">
        <f t="shared" si="97"/>
        <v>391.1</v>
      </c>
      <c r="N1240" t="str">
        <f t="shared" si="98"/>
        <v>SUFICIENTE</v>
      </c>
      <c r="O1240">
        <f t="shared" si="99"/>
        <v>0</v>
      </c>
    </row>
    <row r="1241" spans="1:15" x14ac:dyDescent="0.45">
      <c r="A1241" t="str">
        <v>CD-TOL</v>
      </c>
      <c r="B1241" t="str">
        <v>PRO-1015</v>
      </c>
      <c r="C1241">
        <v>2889</v>
      </c>
      <c r="D1241">
        <v>391.5</v>
      </c>
      <c r="E1241">
        <v>212.4</v>
      </c>
      <c r="F1241">
        <v>2.4</v>
      </c>
      <c r="G1241">
        <v>0.5</v>
      </c>
      <c r="H1241" t="str">
        <v>OK</v>
      </c>
      <c r="J1241">
        <f t="shared" si="95"/>
        <v>5021.5</v>
      </c>
      <c r="K1241">
        <f>SUMIF(Supply_Clean[Item_Code], B1241, Supply_Clean[Available_Supply])</f>
        <v>15970</v>
      </c>
      <c r="L1241">
        <f t="shared" si="96"/>
        <v>1</v>
      </c>
      <c r="M1241">
        <f t="shared" si="97"/>
        <v>391.5</v>
      </c>
      <c r="N1241" t="str">
        <f t="shared" si="98"/>
        <v>SUFICIENTE</v>
      </c>
      <c r="O1241">
        <f t="shared" si="99"/>
        <v>0</v>
      </c>
    </row>
    <row r="1242" spans="1:15" x14ac:dyDescent="0.45">
      <c r="A1242" t="str">
        <v>CD-GDL</v>
      </c>
      <c r="B1242" t="str">
        <v>ABA-1014</v>
      </c>
      <c r="C1242">
        <v>741</v>
      </c>
      <c r="D1242">
        <v>380.3</v>
      </c>
      <c r="E1242">
        <v>53.2</v>
      </c>
      <c r="F1242">
        <v>1.1000000000000001</v>
      </c>
      <c r="G1242">
        <v>0.2</v>
      </c>
      <c r="H1242" t="str">
        <v>OK</v>
      </c>
      <c r="J1242">
        <f t="shared" si="95"/>
        <v>4779.0000000000009</v>
      </c>
      <c r="K1242">
        <f>SUMIF(Supply_Clean[Item_Code], B1242, Supply_Clean[Available_Supply])</f>
        <v>14629</v>
      </c>
      <c r="L1242">
        <f t="shared" si="96"/>
        <v>1</v>
      </c>
      <c r="M1242">
        <f t="shared" si="97"/>
        <v>380.3</v>
      </c>
      <c r="N1242" t="str">
        <f t="shared" si="98"/>
        <v>SUFICIENTE</v>
      </c>
      <c r="O1242">
        <f t="shared" si="99"/>
        <v>0</v>
      </c>
    </row>
    <row r="1243" spans="1:15" x14ac:dyDescent="0.45">
      <c r="A1243" t="str">
        <v>CD-LEO</v>
      </c>
      <c r="B1243" t="str">
        <v>BOT-1020</v>
      </c>
      <c r="C1243">
        <v>3824</v>
      </c>
      <c r="D1243">
        <v>736.5</v>
      </c>
      <c r="E1243">
        <v>199.6</v>
      </c>
      <c r="F1243">
        <v>1.1000000000000001</v>
      </c>
      <c r="G1243">
        <v>0.6</v>
      </c>
      <c r="H1243" t="str">
        <v>OK</v>
      </c>
      <c r="J1243">
        <f t="shared" si="95"/>
        <v>7693.4</v>
      </c>
      <c r="K1243">
        <f>SUMIF(Supply_Clean[Item_Code], B1243, Supply_Clean[Available_Supply])</f>
        <v>20558</v>
      </c>
      <c r="L1243">
        <f t="shared" si="96"/>
        <v>1</v>
      </c>
      <c r="M1243">
        <f t="shared" si="97"/>
        <v>736.5</v>
      </c>
      <c r="N1243" t="str">
        <f t="shared" si="98"/>
        <v>SUFICIENTE</v>
      </c>
      <c r="O1243">
        <f t="shared" si="99"/>
        <v>0</v>
      </c>
    </row>
    <row r="1244" spans="1:15" x14ac:dyDescent="0.45">
      <c r="A1244" t="str">
        <v>CD-PUE</v>
      </c>
      <c r="B1244" t="str">
        <v>BOT-1014</v>
      </c>
      <c r="C1244">
        <v>6430</v>
      </c>
      <c r="D1244">
        <v>581.79999999999995</v>
      </c>
      <c r="E1244">
        <v>154.69999999999999</v>
      </c>
      <c r="F1244">
        <v>1.2</v>
      </c>
      <c r="G1244">
        <v>0.3</v>
      </c>
      <c r="H1244" t="str">
        <v>OK</v>
      </c>
      <c r="J1244">
        <f t="shared" si="95"/>
        <v>8056.4000000000005</v>
      </c>
      <c r="K1244">
        <f>SUMIF(Supply_Clean[Item_Code], B1244, Supply_Clean[Available_Supply])</f>
        <v>14373</v>
      </c>
      <c r="L1244">
        <f t="shared" si="96"/>
        <v>1</v>
      </c>
      <c r="M1244">
        <f t="shared" si="97"/>
        <v>581.79999999999995</v>
      </c>
      <c r="N1244" t="str">
        <f t="shared" si="98"/>
        <v>SUFICIENTE</v>
      </c>
      <c r="O1244">
        <f t="shared" si="99"/>
        <v>0</v>
      </c>
    </row>
    <row r="1245" spans="1:15" x14ac:dyDescent="0.45">
      <c r="A1245" t="str">
        <v>CD-CAN</v>
      </c>
      <c r="B1245" t="str">
        <v>PRO-1005</v>
      </c>
      <c r="C1245">
        <v>3190</v>
      </c>
      <c r="D1245">
        <v>225.1</v>
      </c>
      <c r="E1245">
        <v>101.8</v>
      </c>
      <c r="F1245">
        <v>4.4000000000000004</v>
      </c>
      <c r="G1245">
        <v>1.6</v>
      </c>
      <c r="H1245" t="str">
        <v>OK</v>
      </c>
      <c r="J1245">
        <f t="shared" si="95"/>
        <v>4399.3</v>
      </c>
      <c r="K1245">
        <f>SUMIF(Supply_Clean[Item_Code], B1245, Supply_Clean[Available_Supply])</f>
        <v>8407</v>
      </c>
      <c r="L1245">
        <f t="shared" si="96"/>
        <v>1</v>
      </c>
      <c r="M1245">
        <f t="shared" si="97"/>
        <v>225.1</v>
      </c>
      <c r="N1245" t="str">
        <f t="shared" si="98"/>
        <v>SUFICIENTE</v>
      </c>
      <c r="O1245">
        <f t="shared" si="99"/>
        <v>0</v>
      </c>
    </row>
    <row r="1246" spans="1:15" x14ac:dyDescent="0.45">
      <c r="A1246" t="str">
        <v>CD-QRO</v>
      </c>
      <c r="B1246" t="str">
        <v>BEB-1004</v>
      </c>
      <c r="C1246">
        <v>0</v>
      </c>
      <c r="D1246">
        <v>339.4</v>
      </c>
      <c r="E1246">
        <v>67.099999999999994</v>
      </c>
      <c r="F1246">
        <v>2.2000000000000002</v>
      </c>
      <c r="G1246">
        <v>0.4</v>
      </c>
      <c r="H1246">
        <v>0</v>
      </c>
      <c r="J1246">
        <f t="shared" si="95"/>
        <v>5324.2</v>
      </c>
      <c r="K1246">
        <f>SUMIF(Supply_Clean[Item_Code], B1246, Supply_Clean[Available_Supply])</f>
        <v>15672</v>
      </c>
      <c r="L1246">
        <f t="shared" si="96"/>
        <v>1</v>
      </c>
      <c r="M1246">
        <f t="shared" si="97"/>
        <v>339.4</v>
      </c>
      <c r="N1246" t="str">
        <f t="shared" si="98"/>
        <v>SUFICIENTE</v>
      </c>
      <c r="O1246">
        <f t="shared" si="99"/>
        <v>0</v>
      </c>
    </row>
    <row r="1247" spans="1:15" x14ac:dyDescent="0.45">
      <c r="A1247" t="str">
        <v>CD-VER</v>
      </c>
      <c r="B1247" t="str">
        <v>BOT-1014</v>
      </c>
      <c r="C1247">
        <v>5349</v>
      </c>
      <c r="D1247">
        <v>351.4</v>
      </c>
      <c r="E1247">
        <v>74.7</v>
      </c>
      <c r="F1247">
        <v>2.8</v>
      </c>
      <c r="G1247">
        <v>0.9</v>
      </c>
      <c r="H1247" t="str">
        <v>OK</v>
      </c>
      <c r="J1247">
        <f t="shared" si="95"/>
        <v>8056.4000000000005</v>
      </c>
      <c r="K1247">
        <f>SUMIF(Supply_Clean[Item_Code], B1247, Supply_Clean[Available_Supply])</f>
        <v>14373</v>
      </c>
      <c r="L1247">
        <f t="shared" si="96"/>
        <v>1</v>
      </c>
      <c r="M1247">
        <f t="shared" si="97"/>
        <v>351.4</v>
      </c>
      <c r="N1247" t="str">
        <f t="shared" si="98"/>
        <v>SUFICIENTE</v>
      </c>
      <c r="O1247">
        <f t="shared" si="99"/>
        <v>0</v>
      </c>
    </row>
    <row r="1248" spans="1:15" x14ac:dyDescent="0.45">
      <c r="A1248" t="str">
        <v>CD-TIJ</v>
      </c>
      <c r="B1248" t="str">
        <v>BOT-1018</v>
      </c>
      <c r="C1248">
        <v>6906</v>
      </c>
      <c r="D1248">
        <v>874.3</v>
      </c>
      <c r="E1248">
        <v>187.9</v>
      </c>
      <c r="F1248">
        <v>2.8</v>
      </c>
      <c r="G1248">
        <v>1.5</v>
      </c>
      <c r="H1248" t="str">
        <v>OK</v>
      </c>
      <c r="J1248">
        <f t="shared" si="95"/>
        <v>8014.5000000000009</v>
      </c>
      <c r="K1248">
        <f>SUMIF(Supply_Clean[Item_Code], B1248, Supply_Clean[Available_Supply])</f>
        <v>15093</v>
      </c>
      <c r="L1248">
        <f t="shared" si="96"/>
        <v>1</v>
      </c>
      <c r="M1248">
        <f t="shared" si="97"/>
        <v>874.3</v>
      </c>
      <c r="N1248" t="str">
        <f t="shared" si="98"/>
        <v>SUFICIENTE</v>
      </c>
      <c r="O1248">
        <f t="shared" si="99"/>
        <v>0</v>
      </c>
    </row>
    <row r="1249" spans="1:15" x14ac:dyDescent="0.45">
      <c r="A1249" t="str">
        <v>CD-GDL</v>
      </c>
      <c r="B1249" t="str">
        <v>BOT-1005</v>
      </c>
      <c r="C1249">
        <v>7849</v>
      </c>
      <c r="D1249">
        <v>444</v>
      </c>
      <c r="E1249">
        <v>111.5</v>
      </c>
      <c r="F1249">
        <v>1.1000000000000001</v>
      </c>
      <c r="G1249">
        <v>0.2</v>
      </c>
      <c r="H1249" t="str">
        <v>OK</v>
      </c>
      <c r="J1249">
        <f t="shared" si="95"/>
        <v>8620.3000000000011</v>
      </c>
      <c r="K1249">
        <f>SUMIF(Supply_Clean[Item_Code], B1249, Supply_Clean[Available_Supply])</f>
        <v>23903</v>
      </c>
      <c r="L1249">
        <f t="shared" si="96"/>
        <v>1</v>
      </c>
      <c r="M1249">
        <f t="shared" si="97"/>
        <v>444</v>
      </c>
      <c r="N1249" t="str">
        <f t="shared" si="98"/>
        <v>SUFICIENTE</v>
      </c>
      <c r="O1249">
        <f t="shared" si="99"/>
        <v>0</v>
      </c>
    </row>
    <row r="1250" spans="1:15" x14ac:dyDescent="0.45">
      <c r="A1250" t="str">
        <v>CD-CHI</v>
      </c>
      <c r="B1250" t="str">
        <v>BEB-1020</v>
      </c>
      <c r="C1250">
        <v>3192</v>
      </c>
      <c r="D1250">
        <v>400.5</v>
      </c>
      <c r="E1250">
        <v>55.6</v>
      </c>
      <c r="F1250">
        <v>1.4</v>
      </c>
      <c r="G1250">
        <v>1</v>
      </c>
      <c r="H1250" t="str">
        <v>OK</v>
      </c>
      <c r="J1250">
        <f t="shared" si="95"/>
        <v>6114.4000000000005</v>
      </c>
      <c r="K1250">
        <f>SUMIF(Supply_Clean[Item_Code], B1250, Supply_Clean[Available_Supply])</f>
        <v>16621</v>
      </c>
      <c r="L1250">
        <f t="shared" si="96"/>
        <v>1</v>
      </c>
      <c r="M1250">
        <f t="shared" si="97"/>
        <v>400.5</v>
      </c>
      <c r="N1250" t="str">
        <f t="shared" si="98"/>
        <v>SUFICIENTE</v>
      </c>
      <c r="O1250">
        <f t="shared" si="99"/>
        <v>0</v>
      </c>
    </row>
    <row r="1251" spans="1:15" x14ac:dyDescent="0.45">
      <c r="A1251" t="str">
        <v>CD-VER</v>
      </c>
      <c r="B1251" t="str">
        <v>ABA-1009</v>
      </c>
      <c r="C1251">
        <v>1288</v>
      </c>
      <c r="D1251">
        <v>235.1</v>
      </c>
      <c r="E1251">
        <v>30.4</v>
      </c>
      <c r="F1251">
        <v>2.4</v>
      </c>
      <c r="G1251">
        <v>0.9</v>
      </c>
      <c r="H1251" t="str">
        <v>OK</v>
      </c>
      <c r="J1251">
        <f t="shared" si="95"/>
        <v>5016.1000000000004</v>
      </c>
      <c r="K1251">
        <f>SUMIF(Supply_Clean[Item_Code], B1251, Supply_Clean[Available_Supply])</f>
        <v>13458</v>
      </c>
      <c r="L1251">
        <f t="shared" si="96"/>
        <v>1</v>
      </c>
      <c r="M1251">
        <f t="shared" si="97"/>
        <v>235.1</v>
      </c>
      <c r="N1251" t="str">
        <f t="shared" si="98"/>
        <v>SUFICIENTE</v>
      </c>
      <c r="O1251">
        <f t="shared" si="99"/>
        <v>0</v>
      </c>
    </row>
    <row r="1252" spans="1:15" x14ac:dyDescent="0.45">
      <c r="A1252" t="str">
        <v>CD-VER</v>
      </c>
      <c r="B1252" t="str">
        <v>PRO-1015</v>
      </c>
      <c r="C1252">
        <v>4672</v>
      </c>
      <c r="D1252">
        <v>347.5</v>
      </c>
      <c r="E1252">
        <v>208</v>
      </c>
      <c r="F1252">
        <v>3.2</v>
      </c>
      <c r="G1252">
        <v>0.9</v>
      </c>
      <c r="H1252" t="str">
        <v>OK</v>
      </c>
      <c r="J1252">
        <f t="shared" si="95"/>
        <v>5021.5</v>
      </c>
      <c r="K1252">
        <f>SUMIF(Supply_Clean[Item_Code], B1252, Supply_Clean[Available_Supply])</f>
        <v>15970</v>
      </c>
      <c r="L1252">
        <f t="shared" si="96"/>
        <v>1</v>
      </c>
      <c r="M1252">
        <f t="shared" si="97"/>
        <v>347.5</v>
      </c>
      <c r="N1252" t="str">
        <f t="shared" si="98"/>
        <v>SUFICIENTE</v>
      </c>
      <c r="O1252">
        <f t="shared" si="99"/>
        <v>0</v>
      </c>
    </row>
    <row r="1253" spans="1:15" x14ac:dyDescent="0.45">
      <c r="A1253" t="str">
        <v>CD-LEO</v>
      </c>
      <c r="B1253" t="str">
        <v>LAC-1004</v>
      </c>
      <c r="C1253">
        <v>164</v>
      </c>
      <c r="D1253">
        <v>284.39999999999998</v>
      </c>
      <c r="E1253">
        <v>99.4</v>
      </c>
      <c r="F1253">
        <v>2.6</v>
      </c>
      <c r="G1253">
        <v>0.6</v>
      </c>
      <c r="H1253" t="str">
        <v>OK</v>
      </c>
      <c r="J1253">
        <f t="shared" si="95"/>
        <v>4211.5</v>
      </c>
      <c r="K1253">
        <f>SUMIF(Supply_Clean[Item_Code], B1253, Supply_Clean[Available_Supply])</f>
        <v>11968</v>
      </c>
      <c r="L1253">
        <f t="shared" si="96"/>
        <v>1</v>
      </c>
      <c r="M1253">
        <f t="shared" si="97"/>
        <v>284.39999999999998</v>
      </c>
      <c r="N1253" t="str">
        <f t="shared" si="98"/>
        <v>SUFICIENTE</v>
      </c>
      <c r="O1253">
        <f t="shared" si="99"/>
        <v>0</v>
      </c>
    </row>
    <row r="1254" spans="1:15" x14ac:dyDescent="0.45">
      <c r="A1254" t="str">
        <v>CD-HER</v>
      </c>
      <c r="B1254" t="str">
        <v>BOT-1005</v>
      </c>
      <c r="C1254">
        <v>6404</v>
      </c>
      <c r="D1254">
        <v>472.1</v>
      </c>
      <c r="E1254">
        <v>131.69999999999999</v>
      </c>
      <c r="F1254">
        <v>3.5</v>
      </c>
      <c r="G1254">
        <v>1.2</v>
      </c>
      <c r="H1254" t="str">
        <v>OK</v>
      </c>
      <c r="J1254">
        <f t="shared" si="95"/>
        <v>8620.3000000000011</v>
      </c>
      <c r="K1254">
        <f>SUMIF(Supply_Clean[Item_Code], B1254, Supply_Clean[Available_Supply])</f>
        <v>23903</v>
      </c>
      <c r="L1254">
        <f t="shared" si="96"/>
        <v>1</v>
      </c>
      <c r="M1254">
        <f t="shared" si="97"/>
        <v>472.1</v>
      </c>
      <c r="N1254" t="str">
        <f t="shared" si="98"/>
        <v>SUFICIENTE</v>
      </c>
      <c r="O1254">
        <f t="shared" si="99"/>
        <v>0</v>
      </c>
    </row>
    <row r="1255" spans="1:15" x14ac:dyDescent="0.45">
      <c r="A1255" t="str">
        <v>CD-PUE</v>
      </c>
      <c r="B1255" t="str">
        <v>PRO-1012</v>
      </c>
      <c r="C1255">
        <v>1749</v>
      </c>
      <c r="D1255">
        <v>381.8</v>
      </c>
      <c r="E1255">
        <v>191</v>
      </c>
      <c r="F1255">
        <v>1.2</v>
      </c>
      <c r="G1255">
        <v>0.3</v>
      </c>
      <c r="H1255" t="str">
        <v>OK</v>
      </c>
      <c r="J1255">
        <f t="shared" si="95"/>
        <v>4930.1000000000004</v>
      </c>
      <c r="K1255">
        <f>SUMIF(Supply_Clean[Item_Code], B1255, Supply_Clean[Available_Supply])</f>
        <v>9930</v>
      </c>
      <c r="L1255">
        <f t="shared" si="96"/>
        <v>1</v>
      </c>
      <c r="M1255">
        <f t="shared" si="97"/>
        <v>381.8</v>
      </c>
      <c r="N1255" t="str">
        <f t="shared" si="98"/>
        <v>SUFICIENTE</v>
      </c>
      <c r="O1255">
        <f t="shared" si="99"/>
        <v>0</v>
      </c>
    </row>
    <row r="1256" spans="1:15" x14ac:dyDescent="0.45">
      <c r="A1256" t="str">
        <v>CD-MOR</v>
      </c>
      <c r="B1256" t="str">
        <v>LAC-1007</v>
      </c>
      <c r="C1256">
        <v>3182</v>
      </c>
      <c r="D1256">
        <v>223</v>
      </c>
      <c r="E1256">
        <v>98</v>
      </c>
      <c r="F1256">
        <v>2</v>
      </c>
      <c r="G1256">
        <v>0.5</v>
      </c>
      <c r="H1256" t="str">
        <v>OK</v>
      </c>
      <c r="J1256">
        <f t="shared" si="95"/>
        <v>4093.7999999999997</v>
      </c>
      <c r="K1256">
        <f>SUMIF(Supply_Clean[Item_Code], B1256, Supply_Clean[Available_Supply])</f>
        <v>11651</v>
      </c>
      <c r="L1256">
        <f t="shared" si="96"/>
        <v>1</v>
      </c>
      <c r="M1256">
        <f t="shared" si="97"/>
        <v>223</v>
      </c>
      <c r="N1256" t="str">
        <f t="shared" si="98"/>
        <v>SUFICIENTE</v>
      </c>
      <c r="O1256">
        <f t="shared" si="99"/>
        <v>0</v>
      </c>
    </row>
    <row r="1257" spans="1:15" x14ac:dyDescent="0.45">
      <c r="A1257" t="str">
        <v>CD-HER</v>
      </c>
      <c r="B1257" t="str">
        <v>PRO-1005</v>
      </c>
      <c r="C1257">
        <v>2458</v>
      </c>
      <c r="D1257">
        <v>179.9</v>
      </c>
      <c r="E1257">
        <v>90.5</v>
      </c>
      <c r="F1257">
        <v>3.4</v>
      </c>
      <c r="G1257">
        <v>1.2</v>
      </c>
      <c r="H1257" t="str">
        <v>OK</v>
      </c>
      <c r="J1257">
        <f t="shared" si="95"/>
        <v>4399.3</v>
      </c>
      <c r="K1257">
        <f>SUMIF(Supply_Clean[Item_Code], B1257, Supply_Clean[Available_Supply])</f>
        <v>8407</v>
      </c>
      <c r="L1257">
        <f t="shared" si="96"/>
        <v>1</v>
      </c>
      <c r="M1257">
        <f t="shared" si="97"/>
        <v>179.9</v>
      </c>
      <c r="N1257" t="str">
        <f t="shared" si="98"/>
        <v>SUFICIENTE</v>
      </c>
      <c r="O1257">
        <f t="shared" si="99"/>
        <v>0</v>
      </c>
    </row>
    <row r="1258" spans="1:15" x14ac:dyDescent="0.45">
      <c r="A1258" t="str">
        <v>CD-GDL</v>
      </c>
      <c r="B1258" t="str">
        <v>PRO-1015</v>
      </c>
      <c r="C1258">
        <v>4436</v>
      </c>
      <c r="D1258">
        <v>569.79999999999995</v>
      </c>
      <c r="E1258">
        <v>307.60000000000002</v>
      </c>
      <c r="F1258">
        <v>0.8</v>
      </c>
      <c r="G1258">
        <v>0.2</v>
      </c>
      <c r="H1258" t="str">
        <v>OK</v>
      </c>
      <c r="J1258">
        <f t="shared" si="95"/>
        <v>5021.5</v>
      </c>
      <c r="K1258">
        <f>SUMIF(Supply_Clean[Item_Code], B1258, Supply_Clean[Available_Supply])</f>
        <v>15970</v>
      </c>
      <c r="L1258">
        <f t="shared" si="96"/>
        <v>1</v>
      </c>
      <c r="M1258">
        <f t="shared" si="97"/>
        <v>569.79999999999995</v>
      </c>
      <c r="N1258" t="str">
        <f t="shared" si="98"/>
        <v>SUFICIENTE</v>
      </c>
      <c r="O1258">
        <f t="shared" si="99"/>
        <v>0</v>
      </c>
    </row>
    <row r="1259" spans="1:15" x14ac:dyDescent="0.45">
      <c r="A1259" t="str">
        <v>CD-MER</v>
      </c>
      <c r="B1259" t="str">
        <v>BOT-1009</v>
      </c>
      <c r="C1259">
        <v>10245</v>
      </c>
      <c r="D1259">
        <v>624.20000000000005</v>
      </c>
      <c r="E1259">
        <v>111.3</v>
      </c>
      <c r="F1259">
        <v>5.5</v>
      </c>
      <c r="G1259">
        <v>1.3</v>
      </c>
      <c r="H1259" t="str">
        <v>OK</v>
      </c>
      <c r="J1259">
        <f t="shared" si="95"/>
        <v>8135.5</v>
      </c>
      <c r="K1259">
        <f>SUMIF(Supply_Clean[Item_Code], B1259, Supply_Clean[Available_Supply])</f>
        <v>17475</v>
      </c>
      <c r="L1259">
        <f t="shared" si="96"/>
        <v>1</v>
      </c>
      <c r="M1259">
        <f t="shared" si="97"/>
        <v>624.20000000000005</v>
      </c>
      <c r="N1259" t="str">
        <f t="shared" si="98"/>
        <v>SUFICIENTE</v>
      </c>
      <c r="O1259">
        <f t="shared" si="99"/>
        <v>0</v>
      </c>
    </row>
    <row r="1260" spans="1:15" x14ac:dyDescent="0.45">
      <c r="A1260" t="str">
        <v>CD-QRO</v>
      </c>
      <c r="B1260" t="str">
        <v>LAC-1014</v>
      </c>
      <c r="C1260">
        <v>831</v>
      </c>
      <c r="D1260">
        <v>202</v>
      </c>
      <c r="E1260">
        <v>54</v>
      </c>
      <c r="F1260">
        <v>1.8</v>
      </c>
      <c r="G1260">
        <v>0.4</v>
      </c>
      <c r="H1260" t="str">
        <v>OK</v>
      </c>
      <c r="J1260">
        <f t="shared" si="95"/>
        <v>4121.5</v>
      </c>
      <c r="K1260">
        <f>SUMIF(Supply_Clean[Item_Code], B1260, Supply_Clean[Available_Supply])</f>
        <v>8260</v>
      </c>
      <c r="L1260">
        <f t="shared" si="96"/>
        <v>1</v>
      </c>
      <c r="M1260">
        <f t="shared" si="97"/>
        <v>202</v>
      </c>
      <c r="N1260" t="str">
        <f t="shared" si="98"/>
        <v>SUFICIENTE</v>
      </c>
      <c r="O1260">
        <f t="shared" si="99"/>
        <v>0</v>
      </c>
    </row>
    <row r="1261" spans="1:15" x14ac:dyDescent="0.45">
      <c r="A1261" t="str">
        <v>CD-LEO</v>
      </c>
      <c r="B1261" t="str">
        <v>PRO-1005</v>
      </c>
      <c r="C1261">
        <v>5457</v>
      </c>
      <c r="D1261">
        <v>459.2</v>
      </c>
      <c r="E1261">
        <v>244.7</v>
      </c>
      <c r="F1261">
        <v>1.9</v>
      </c>
      <c r="G1261">
        <v>0.6</v>
      </c>
      <c r="H1261" t="str">
        <v>OK</v>
      </c>
      <c r="J1261">
        <f t="shared" si="95"/>
        <v>4399.3</v>
      </c>
      <c r="K1261">
        <f>SUMIF(Supply_Clean[Item_Code], B1261, Supply_Clean[Available_Supply])</f>
        <v>8407</v>
      </c>
      <c r="L1261">
        <f t="shared" si="96"/>
        <v>1</v>
      </c>
      <c r="M1261">
        <f t="shared" si="97"/>
        <v>459.2</v>
      </c>
      <c r="N1261" t="str">
        <f t="shared" si="98"/>
        <v>SUFICIENTE</v>
      </c>
      <c r="O1261">
        <f t="shared" si="99"/>
        <v>0</v>
      </c>
    </row>
    <row r="1262" spans="1:15" x14ac:dyDescent="0.45">
      <c r="A1262" t="str">
        <v>CD-MOR</v>
      </c>
      <c r="B1262" t="str">
        <v>BEB-1009</v>
      </c>
      <c r="C1262">
        <v>5854</v>
      </c>
      <c r="D1262">
        <v>378.3</v>
      </c>
      <c r="E1262">
        <v>47</v>
      </c>
      <c r="F1262">
        <v>2.2999999999999998</v>
      </c>
      <c r="G1262">
        <v>0.5</v>
      </c>
      <c r="H1262" t="str">
        <v>OK</v>
      </c>
      <c r="J1262">
        <f t="shared" si="95"/>
        <v>6226.9000000000005</v>
      </c>
      <c r="K1262">
        <f>SUMIF(Supply_Clean[Item_Code], B1262, Supply_Clean[Available_Supply])</f>
        <v>10475</v>
      </c>
      <c r="L1262">
        <f t="shared" si="96"/>
        <v>1</v>
      </c>
      <c r="M1262">
        <f t="shared" si="97"/>
        <v>378.3</v>
      </c>
      <c r="N1262" t="str">
        <f t="shared" si="98"/>
        <v>SUFICIENTE</v>
      </c>
      <c r="O1262">
        <f t="shared" si="99"/>
        <v>0</v>
      </c>
    </row>
    <row r="1263" spans="1:15" x14ac:dyDescent="0.45">
      <c r="A1263" t="str">
        <v>CD-CHI</v>
      </c>
      <c r="B1263" t="str">
        <v>BEB-1003</v>
      </c>
      <c r="C1263">
        <v>4208</v>
      </c>
      <c r="D1263">
        <v>316.2</v>
      </c>
      <c r="E1263">
        <v>51.1</v>
      </c>
      <c r="F1263">
        <v>3.3</v>
      </c>
      <c r="G1263">
        <v>1</v>
      </c>
      <c r="H1263" t="str">
        <v>OK</v>
      </c>
      <c r="J1263">
        <f t="shared" si="95"/>
        <v>5232</v>
      </c>
      <c r="K1263">
        <f>SUMIF(Supply_Clean[Item_Code], B1263, Supply_Clean[Available_Supply])</f>
        <v>16426</v>
      </c>
      <c r="L1263">
        <f t="shared" si="96"/>
        <v>1</v>
      </c>
      <c r="M1263">
        <f t="shared" si="97"/>
        <v>316.2</v>
      </c>
      <c r="N1263" t="str">
        <f t="shared" si="98"/>
        <v>SUFICIENTE</v>
      </c>
      <c r="O1263">
        <f t="shared" si="99"/>
        <v>0</v>
      </c>
    </row>
    <row r="1264" spans="1:15" x14ac:dyDescent="0.45">
      <c r="A1264" t="str">
        <v>CD-TOL</v>
      </c>
      <c r="B1264" t="str">
        <v>LAC-1010</v>
      </c>
      <c r="C1264">
        <v>671</v>
      </c>
      <c r="D1264">
        <v>249.6</v>
      </c>
      <c r="E1264">
        <v>64.400000000000006</v>
      </c>
      <c r="F1264">
        <v>1.9</v>
      </c>
      <c r="G1264">
        <v>0.5</v>
      </c>
      <c r="H1264" t="str">
        <v>OK</v>
      </c>
      <c r="J1264">
        <f t="shared" si="95"/>
        <v>4321.7</v>
      </c>
      <c r="K1264">
        <f>SUMIF(Supply_Clean[Item_Code], B1264, Supply_Clean[Available_Supply])</f>
        <v>11567</v>
      </c>
      <c r="L1264">
        <f t="shared" si="96"/>
        <v>1</v>
      </c>
      <c r="M1264">
        <f t="shared" si="97"/>
        <v>249.6</v>
      </c>
      <c r="N1264" t="str">
        <f t="shared" si="98"/>
        <v>SUFICIENTE</v>
      </c>
      <c r="O1264">
        <f t="shared" si="99"/>
        <v>0</v>
      </c>
    </row>
    <row r="1265" spans="1:15" x14ac:dyDescent="0.45">
      <c r="A1265" t="str">
        <v>CD-TOL</v>
      </c>
      <c r="B1265" t="str">
        <v>PRO-1013</v>
      </c>
      <c r="C1265">
        <v>2546</v>
      </c>
      <c r="D1265">
        <v>396.1</v>
      </c>
      <c r="E1265">
        <v>210.5</v>
      </c>
      <c r="F1265">
        <v>2.2999999999999998</v>
      </c>
      <c r="G1265">
        <v>0.5</v>
      </c>
      <c r="H1265" t="str">
        <v>OK</v>
      </c>
      <c r="J1265">
        <f t="shared" si="95"/>
        <v>7113.8</v>
      </c>
      <c r="K1265">
        <f>SUMIF(Supply_Clean[Item_Code], B1265, Supply_Clean[Available_Supply])</f>
        <v>15134</v>
      </c>
      <c r="L1265">
        <f t="shared" si="96"/>
        <v>1</v>
      </c>
      <c r="M1265">
        <f t="shared" si="97"/>
        <v>396.1</v>
      </c>
      <c r="N1265" t="str">
        <f t="shared" si="98"/>
        <v>SUFICIENTE</v>
      </c>
      <c r="O1265">
        <f t="shared" si="99"/>
        <v>0</v>
      </c>
    </row>
    <row r="1266" spans="1:15" x14ac:dyDescent="0.45">
      <c r="A1266" t="str">
        <v>CD-VER</v>
      </c>
      <c r="B1266" t="str">
        <v>BOT-1000</v>
      </c>
      <c r="C1266">
        <v>6086</v>
      </c>
      <c r="D1266">
        <v>949.7</v>
      </c>
      <c r="E1266">
        <v>238.8</v>
      </c>
      <c r="F1266">
        <v>3.5</v>
      </c>
      <c r="G1266">
        <v>0.9</v>
      </c>
      <c r="H1266" t="str">
        <v>OK</v>
      </c>
      <c r="J1266">
        <f t="shared" si="95"/>
        <v>8310.6</v>
      </c>
      <c r="K1266">
        <f>SUMIF(Supply_Clean[Item_Code], B1266, Supply_Clean[Available_Supply])</f>
        <v>21762</v>
      </c>
      <c r="L1266">
        <f t="shared" si="96"/>
        <v>1</v>
      </c>
      <c r="M1266">
        <f t="shared" si="97"/>
        <v>949.7</v>
      </c>
      <c r="N1266" t="str">
        <f t="shared" si="98"/>
        <v>SUFICIENTE</v>
      </c>
      <c r="O1266">
        <f t="shared" si="99"/>
        <v>0</v>
      </c>
    </row>
    <row r="1267" spans="1:15" x14ac:dyDescent="0.45">
      <c r="A1267" t="str">
        <v>CD-PUE</v>
      </c>
      <c r="B1267" t="str">
        <v>BEB-1013</v>
      </c>
      <c r="C1267">
        <v>2714</v>
      </c>
      <c r="D1267">
        <v>276.8</v>
      </c>
      <c r="E1267">
        <v>35.299999999999997</v>
      </c>
      <c r="F1267">
        <v>0.7</v>
      </c>
      <c r="G1267">
        <v>0.3</v>
      </c>
      <c r="H1267" t="str">
        <v>OK</v>
      </c>
      <c r="J1267">
        <f t="shared" si="95"/>
        <v>6158.7000000000007</v>
      </c>
      <c r="K1267">
        <f>SUMIF(Supply_Clean[Item_Code], B1267, Supply_Clean[Available_Supply])</f>
        <v>3246</v>
      </c>
      <c r="L1267">
        <f t="shared" si="96"/>
        <v>0.52705928199132923</v>
      </c>
      <c r="M1267">
        <f t="shared" si="97"/>
        <v>145.89000925519994</v>
      </c>
      <c r="N1267" t="str">
        <f t="shared" si="98"/>
        <v>ESCASEZ</v>
      </c>
      <c r="O1267">
        <f t="shared" si="99"/>
        <v>130.90999074480007</v>
      </c>
    </row>
    <row r="1268" spans="1:15" x14ac:dyDescent="0.45">
      <c r="A1268" t="str">
        <v>CD-MOR</v>
      </c>
      <c r="B1268" t="str">
        <v>PRO-1014</v>
      </c>
      <c r="C1268">
        <v>2998</v>
      </c>
      <c r="D1268">
        <v>734.1</v>
      </c>
      <c r="E1268">
        <v>366.8</v>
      </c>
      <c r="F1268">
        <v>1.7</v>
      </c>
      <c r="G1268">
        <v>0.5</v>
      </c>
      <c r="H1268" t="str">
        <v>OK</v>
      </c>
      <c r="J1268">
        <f t="shared" si="95"/>
        <v>5634.0999999999995</v>
      </c>
      <c r="K1268">
        <f>SUMIF(Supply_Clean[Item_Code], B1268, Supply_Clean[Available_Supply])</f>
        <v>16301</v>
      </c>
      <c r="L1268">
        <f t="shared" si="96"/>
        <v>1</v>
      </c>
      <c r="M1268">
        <f t="shared" si="97"/>
        <v>734.1</v>
      </c>
      <c r="N1268" t="str">
        <f t="shared" si="98"/>
        <v>SUFICIENTE</v>
      </c>
      <c r="O1268">
        <f t="shared" si="99"/>
        <v>0</v>
      </c>
    </row>
    <row r="1269" spans="1:15" x14ac:dyDescent="0.45">
      <c r="A1269" t="str">
        <v>CD-MTY</v>
      </c>
      <c r="B1269" t="str">
        <v>LAC-1010</v>
      </c>
      <c r="C1269">
        <v>1109</v>
      </c>
      <c r="D1269">
        <v>335.4</v>
      </c>
      <c r="E1269">
        <v>86.5</v>
      </c>
      <c r="F1269">
        <v>1.2</v>
      </c>
      <c r="G1269">
        <v>0.3</v>
      </c>
      <c r="H1269" t="str">
        <v>OK</v>
      </c>
      <c r="J1269">
        <f t="shared" si="95"/>
        <v>4321.7</v>
      </c>
      <c r="K1269">
        <f>SUMIF(Supply_Clean[Item_Code], B1269, Supply_Clean[Available_Supply])</f>
        <v>11567</v>
      </c>
      <c r="L1269">
        <f t="shared" si="96"/>
        <v>1</v>
      </c>
      <c r="M1269">
        <f t="shared" si="97"/>
        <v>335.4</v>
      </c>
      <c r="N1269" t="str">
        <f t="shared" si="98"/>
        <v>SUFICIENTE</v>
      </c>
      <c r="O1269">
        <f t="shared" si="99"/>
        <v>0</v>
      </c>
    </row>
    <row r="1270" spans="1:15" x14ac:dyDescent="0.45">
      <c r="A1270" t="str">
        <v>CD-GDL</v>
      </c>
      <c r="B1270" t="str">
        <v>PRO-1002</v>
      </c>
      <c r="C1270">
        <v>3028</v>
      </c>
      <c r="D1270">
        <v>412.4</v>
      </c>
      <c r="E1270">
        <v>194.4</v>
      </c>
      <c r="F1270">
        <v>1</v>
      </c>
      <c r="G1270">
        <v>0.2</v>
      </c>
      <c r="H1270" t="str">
        <v>OK</v>
      </c>
      <c r="J1270">
        <f t="shared" si="95"/>
        <v>6123.6999999999989</v>
      </c>
      <c r="K1270">
        <f>SUMIF(Supply_Clean[Item_Code], B1270, Supply_Clean[Available_Supply])</f>
        <v>17616</v>
      </c>
      <c r="L1270">
        <f t="shared" si="96"/>
        <v>1</v>
      </c>
      <c r="M1270">
        <f t="shared" si="97"/>
        <v>412.4</v>
      </c>
      <c r="N1270" t="str">
        <f t="shared" si="98"/>
        <v>SUFICIENTE</v>
      </c>
      <c r="O1270">
        <f t="shared" si="99"/>
        <v>0</v>
      </c>
    </row>
    <row r="1271" spans="1:15" x14ac:dyDescent="0.45">
      <c r="A1271" t="str">
        <v>CD-VER</v>
      </c>
      <c r="B1271" t="str">
        <v>BEB-1014</v>
      </c>
      <c r="C1271">
        <v>8223</v>
      </c>
      <c r="D1271">
        <v>501.8</v>
      </c>
      <c r="E1271">
        <v>70.599999999999994</v>
      </c>
      <c r="F1271">
        <v>3.3</v>
      </c>
      <c r="G1271">
        <v>0.9</v>
      </c>
      <c r="H1271" t="str">
        <v>OK</v>
      </c>
      <c r="J1271">
        <f t="shared" si="95"/>
        <v>6274.9000000000005</v>
      </c>
      <c r="K1271">
        <f>SUMIF(Supply_Clean[Item_Code], B1271, Supply_Clean[Available_Supply])</f>
        <v>14205</v>
      </c>
      <c r="L1271">
        <f t="shared" si="96"/>
        <v>1</v>
      </c>
      <c r="M1271">
        <f t="shared" si="97"/>
        <v>501.8</v>
      </c>
      <c r="N1271" t="str">
        <f t="shared" si="98"/>
        <v>SUFICIENTE</v>
      </c>
      <c r="O1271">
        <f t="shared" si="99"/>
        <v>0</v>
      </c>
    </row>
    <row r="1272" spans="1:15" x14ac:dyDescent="0.45">
      <c r="A1272" t="str">
        <v>CD-CHI</v>
      </c>
      <c r="B1272" t="str">
        <v>PRO-1004</v>
      </c>
      <c r="C1272">
        <v>6473</v>
      </c>
      <c r="D1272">
        <v>548.29999999999995</v>
      </c>
      <c r="E1272">
        <v>280.5</v>
      </c>
      <c r="F1272">
        <v>1.3</v>
      </c>
      <c r="G1272">
        <v>1</v>
      </c>
      <c r="H1272" t="str">
        <v>OK</v>
      </c>
      <c r="J1272">
        <f t="shared" si="95"/>
        <v>5295.1999999999989</v>
      </c>
      <c r="K1272">
        <f>SUMIF(Supply_Clean[Item_Code], B1272, Supply_Clean[Available_Supply])</f>
        <v>13057</v>
      </c>
      <c r="L1272">
        <f t="shared" si="96"/>
        <v>1</v>
      </c>
      <c r="M1272">
        <f t="shared" si="97"/>
        <v>548.29999999999995</v>
      </c>
      <c r="N1272" t="str">
        <f t="shared" si="98"/>
        <v>SUFICIENTE</v>
      </c>
      <c r="O1272">
        <f t="shared" si="99"/>
        <v>0</v>
      </c>
    </row>
    <row r="1273" spans="1:15" x14ac:dyDescent="0.45">
      <c r="A1273" t="str">
        <v>CD-HER</v>
      </c>
      <c r="B1273" t="str">
        <v>ABA-1013</v>
      </c>
      <c r="C1273">
        <v>5326</v>
      </c>
      <c r="D1273">
        <v>448.6</v>
      </c>
      <c r="E1273">
        <v>38.6</v>
      </c>
      <c r="F1273">
        <v>7.3</v>
      </c>
      <c r="G1273">
        <v>1.2</v>
      </c>
      <c r="H1273" t="str">
        <v>OK</v>
      </c>
      <c r="J1273">
        <f t="shared" si="95"/>
        <v>4213.8999999999996</v>
      </c>
      <c r="K1273">
        <f>SUMIF(Supply_Clean[Item_Code], B1273, Supply_Clean[Available_Supply])</f>
        <v>2568</v>
      </c>
      <c r="L1273">
        <f t="shared" si="96"/>
        <v>0.60941170886826934</v>
      </c>
      <c r="M1273">
        <f t="shared" si="97"/>
        <v>273.38209259830563</v>
      </c>
      <c r="N1273" t="str">
        <f t="shared" si="98"/>
        <v>ESCASEZ</v>
      </c>
      <c r="O1273">
        <f t="shared" si="99"/>
        <v>175.21790740169439</v>
      </c>
    </row>
    <row r="1274" spans="1:15" x14ac:dyDescent="0.45">
      <c r="A1274" t="str">
        <v>CD-GDL</v>
      </c>
      <c r="B1274" t="str">
        <v>PRO-1013</v>
      </c>
      <c r="C1274">
        <v>2342</v>
      </c>
      <c r="D1274">
        <v>166.1</v>
      </c>
      <c r="E1274">
        <v>85.2</v>
      </c>
      <c r="F1274">
        <v>1.3</v>
      </c>
      <c r="G1274">
        <v>0.2</v>
      </c>
      <c r="H1274" t="str">
        <v>OK</v>
      </c>
      <c r="J1274">
        <f t="shared" si="95"/>
        <v>7113.8</v>
      </c>
      <c r="K1274">
        <f>SUMIF(Supply_Clean[Item_Code], B1274, Supply_Clean[Available_Supply])</f>
        <v>15134</v>
      </c>
      <c r="L1274">
        <f t="shared" si="96"/>
        <v>1</v>
      </c>
      <c r="M1274">
        <f t="shared" si="97"/>
        <v>166.1</v>
      </c>
      <c r="N1274" t="str">
        <f t="shared" si="98"/>
        <v>SUFICIENTE</v>
      </c>
      <c r="O1274">
        <f t="shared" si="99"/>
        <v>0</v>
      </c>
    </row>
    <row r="1275" spans="1:15" x14ac:dyDescent="0.45">
      <c r="A1275" t="str">
        <v>CD-CHI</v>
      </c>
      <c r="B1275" t="str">
        <v>PRO-1011</v>
      </c>
      <c r="C1275">
        <v>5608</v>
      </c>
      <c r="D1275">
        <v>553.4</v>
      </c>
      <c r="E1275">
        <v>319.39999999999998</v>
      </c>
      <c r="F1275">
        <v>1.5</v>
      </c>
      <c r="G1275">
        <v>1</v>
      </c>
      <c r="H1275" t="str">
        <v>OK</v>
      </c>
      <c r="J1275">
        <f t="shared" si="95"/>
        <v>5674.6999999999989</v>
      </c>
      <c r="K1275">
        <f>SUMIF(Supply_Clean[Item_Code], B1275, Supply_Clean[Available_Supply])</f>
        <v>14178</v>
      </c>
      <c r="L1275">
        <f t="shared" si="96"/>
        <v>1</v>
      </c>
      <c r="M1275">
        <f t="shared" si="97"/>
        <v>553.4</v>
      </c>
      <c r="N1275" t="str">
        <f t="shared" si="98"/>
        <v>SUFICIENTE</v>
      </c>
      <c r="O1275">
        <f t="shared" si="99"/>
        <v>0</v>
      </c>
    </row>
    <row r="1276" spans="1:15" x14ac:dyDescent="0.45">
      <c r="A1276" t="str">
        <v>CD-TIJ</v>
      </c>
      <c r="B1276" t="str">
        <v>PRO-1007</v>
      </c>
      <c r="C1276">
        <v>2917</v>
      </c>
      <c r="D1276">
        <v>167</v>
      </c>
      <c r="E1276">
        <v>103.3</v>
      </c>
      <c r="F1276">
        <v>3.5</v>
      </c>
      <c r="G1276">
        <v>1.5</v>
      </c>
      <c r="H1276" t="str">
        <v>OK</v>
      </c>
      <c r="J1276">
        <f t="shared" si="95"/>
        <v>5354.8</v>
      </c>
      <c r="K1276">
        <f>SUMIF(Supply_Clean[Item_Code], B1276, Supply_Clean[Available_Supply])</f>
        <v>10360</v>
      </c>
      <c r="L1276">
        <f t="shared" si="96"/>
        <v>1</v>
      </c>
      <c r="M1276">
        <f t="shared" si="97"/>
        <v>167</v>
      </c>
      <c r="N1276" t="str">
        <f t="shared" si="98"/>
        <v>SUFICIENTE</v>
      </c>
      <c r="O1276">
        <f t="shared" si="99"/>
        <v>0</v>
      </c>
    </row>
    <row r="1277" spans="1:15" x14ac:dyDescent="0.45">
      <c r="A1277" t="str">
        <v>CD-GDL</v>
      </c>
      <c r="B1277" t="str">
        <v>BEB-1004</v>
      </c>
      <c r="C1277">
        <v>2244</v>
      </c>
      <c r="D1277">
        <v>300.10000000000002</v>
      </c>
      <c r="E1277">
        <v>54.6</v>
      </c>
      <c r="F1277">
        <v>1</v>
      </c>
      <c r="G1277">
        <v>0.2</v>
      </c>
      <c r="H1277" t="str">
        <v>OK</v>
      </c>
      <c r="J1277">
        <f t="shared" si="95"/>
        <v>5324.2</v>
      </c>
      <c r="K1277">
        <f>SUMIF(Supply_Clean[Item_Code], B1277, Supply_Clean[Available_Supply])</f>
        <v>15672</v>
      </c>
      <c r="L1277">
        <f t="shared" si="96"/>
        <v>1</v>
      </c>
      <c r="M1277">
        <f t="shared" si="97"/>
        <v>300.10000000000002</v>
      </c>
      <c r="N1277" t="str">
        <f t="shared" si="98"/>
        <v>SUFICIENTE</v>
      </c>
      <c r="O1277">
        <f t="shared" si="99"/>
        <v>0</v>
      </c>
    </row>
    <row r="1278" spans="1:15" x14ac:dyDescent="0.45">
      <c r="A1278" t="str">
        <v>CD-TIJ</v>
      </c>
      <c r="B1278" t="str">
        <v>LAC-1015</v>
      </c>
      <c r="C1278">
        <v>6038</v>
      </c>
      <c r="D1278">
        <v>371.8</v>
      </c>
      <c r="E1278">
        <v>127.9</v>
      </c>
      <c r="F1278">
        <v>6.3</v>
      </c>
      <c r="G1278">
        <v>1.5</v>
      </c>
      <c r="H1278" t="str">
        <v>OK</v>
      </c>
      <c r="J1278">
        <f t="shared" si="95"/>
        <v>3982.7000000000007</v>
      </c>
      <c r="K1278">
        <f>SUMIF(Supply_Clean[Item_Code], B1278, Supply_Clean[Available_Supply])</f>
        <v>8604</v>
      </c>
      <c r="L1278">
        <f t="shared" si="96"/>
        <v>1</v>
      </c>
      <c r="M1278">
        <f t="shared" si="97"/>
        <v>371.8</v>
      </c>
      <c r="N1278" t="str">
        <f t="shared" si="98"/>
        <v>SUFICIENTE</v>
      </c>
      <c r="O1278">
        <f t="shared" si="99"/>
        <v>0</v>
      </c>
    </row>
    <row r="1279" spans="1:15" x14ac:dyDescent="0.45">
      <c r="A1279" t="str">
        <v>CD-HER</v>
      </c>
      <c r="B1279" t="str">
        <v>LAC-1015</v>
      </c>
      <c r="C1279">
        <v>2171</v>
      </c>
      <c r="D1279">
        <v>369.9</v>
      </c>
      <c r="E1279">
        <v>99.6</v>
      </c>
      <c r="F1279">
        <v>3.5</v>
      </c>
      <c r="G1279">
        <v>1.2</v>
      </c>
      <c r="H1279" t="str">
        <v>OK</v>
      </c>
      <c r="J1279">
        <f t="shared" si="95"/>
        <v>3982.7000000000007</v>
      </c>
      <c r="K1279">
        <f>SUMIF(Supply_Clean[Item_Code], B1279, Supply_Clean[Available_Supply])</f>
        <v>8604</v>
      </c>
      <c r="L1279">
        <f t="shared" si="96"/>
        <v>1</v>
      </c>
      <c r="M1279">
        <f t="shared" si="97"/>
        <v>369.9</v>
      </c>
      <c r="N1279" t="str">
        <f t="shared" si="98"/>
        <v>SUFICIENTE</v>
      </c>
      <c r="O1279">
        <f t="shared" si="99"/>
        <v>0</v>
      </c>
    </row>
    <row r="1280" spans="1:15" x14ac:dyDescent="0.45">
      <c r="A1280" t="str">
        <v>CD-CDMX</v>
      </c>
      <c r="B1280" t="str">
        <v>PRO-1002</v>
      </c>
      <c r="C1280">
        <v>2652</v>
      </c>
      <c r="D1280">
        <v>649.9</v>
      </c>
      <c r="E1280">
        <v>427.2</v>
      </c>
      <c r="F1280">
        <v>1</v>
      </c>
      <c r="G1280">
        <v>0.2</v>
      </c>
      <c r="H1280" t="str">
        <v>OK</v>
      </c>
      <c r="J1280">
        <f t="shared" si="95"/>
        <v>6123.6999999999989</v>
      </c>
      <c r="K1280">
        <f>SUMIF(Supply_Clean[Item_Code], B1280, Supply_Clean[Available_Supply])</f>
        <v>17616</v>
      </c>
      <c r="L1280">
        <f t="shared" si="96"/>
        <v>1</v>
      </c>
      <c r="M1280">
        <f t="shared" si="97"/>
        <v>649.9</v>
      </c>
      <c r="N1280" t="str">
        <f t="shared" si="98"/>
        <v>SUFICIENTE</v>
      </c>
      <c r="O1280">
        <f t="shared" si="99"/>
        <v>0</v>
      </c>
    </row>
    <row r="1281" spans="1:15" x14ac:dyDescent="0.45">
      <c r="A1281" t="str">
        <v>CD-GDL</v>
      </c>
      <c r="B1281" t="str">
        <v>BOT-1023</v>
      </c>
      <c r="C1281">
        <v>981</v>
      </c>
      <c r="D1281">
        <v>433</v>
      </c>
      <c r="E1281">
        <v>71</v>
      </c>
      <c r="F1281">
        <v>0.7</v>
      </c>
      <c r="G1281">
        <v>0.2</v>
      </c>
      <c r="H1281" t="str">
        <v>OK</v>
      </c>
      <c r="J1281">
        <f t="shared" si="95"/>
        <v>8227.6</v>
      </c>
      <c r="K1281">
        <f>SUMIF(Supply_Clean[Item_Code], B1281, Supply_Clean[Available_Supply])</f>
        <v>23663</v>
      </c>
      <c r="L1281">
        <f t="shared" si="96"/>
        <v>1</v>
      </c>
      <c r="M1281">
        <f t="shared" si="97"/>
        <v>433</v>
      </c>
      <c r="N1281" t="str">
        <f t="shared" si="98"/>
        <v>SUFICIENTE</v>
      </c>
      <c r="O1281">
        <f t="shared" si="99"/>
        <v>0</v>
      </c>
    </row>
    <row r="1282" spans="1:15" x14ac:dyDescent="0.45">
      <c r="A1282" t="str">
        <v>CD-CHI</v>
      </c>
      <c r="B1282" t="str">
        <v>BEB-1014</v>
      </c>
      <c r="C1282">
        <v>6535</v>
      </c>
      <c r="D1282">
        <v>526.20000000000005</v>
      </c>
      <c r="E1282">
        <v>64</v>
      </c>
      <c r="F1282">
        <v>1.9</v>
      </c>
      <c r="G1282">
        <v>1</v>
      </c>
      <c r="H1282" t="str">
        <v>OK</v>
      </c>
      <c r="J1282">
        <f t="shared" si="95"/>
        <v>6274.9000000000005</v>
      </c>
      <c r="K1282">
        <f>SUMIF(Supply_Clean[Item_Code], B1282, Supply_Clean[Available_Supply])</f>
        <v>14205</v>
      </c>
      <c r="L1282">
        <f t="shared" si="96"/>
        <v>1</v>
      </c>
      <c r="M1282">
        <f t="shared" si="97"/>
        <v>526.20000000000005</v>
      </c>
      <c r="N1282" t="str">
        <f t="shared" si="98"/>
        <v>SUFICIENTE</v>
      </c>
      <c r="O1282">
        <f t="shared" si="99"/>
        <v>0</v>
      </c>
    </row>
    <row r="1283" spans="1:15" x14ac:dyDescent="0.45">
      <c r="A1283" t="str">
        <v>CD-SAL</v>
      </c>
      <c r="B1283" t="str">
        <v>PRO-1013</v>
      </c>
      <c r="C1283">
        <v>6476</v>
      </c>
      <c r="D1283">
        <v>535</v>
      </c>
      <c r="E1283">
        <v>314</v>
      </c>
      <c r="F1283">
        <v>1.7</v>
      </c>
      <c r="G1283">
        <v>0.5</v>
      </c>
      <c r="H1283" t="str">
        <v>OK</v>
      </c>
      <c r="J1283">
        <f t="shared" ref="J1283:J1346" si="100">SUMIF($B$2:$B$1501, B1283, $D$2:$D$1501)</f>
        <v>7113.8</v>
      </c>
      <c r="K1283">
        <f>SUMIF(Supply_Clean[Item_Code], B1283, Supply_Clean[Available_Supply])</f>
        <v>15134</v>
      </c>
      <c r="L1283">
        <f t="shared" ref="L1283:L1346" si="101">IFERROR(MIN(1, K1283/J1283), "")</f>
        <v>1</v>
      </c>
      <c r="M1283">
        <f t="shared" ref="M1283:M1346" si="102">IFERROR(D1283*L1283, "")</f>
        <v>535</v>
      </c>
      <c r="N1283" t="str">
        <f t="shared" ref="N1283:N1346" si="103">IF(L1283&lt;1, "ESCASEZ", "SUFICIENTE")</f>
        <v>SUFICIENTE</v>
      </c>
      <c r="O1283">
        <f t="shared" ref="O1283:O1346" si="104">IF(N1283="ESCASEZ", D1283-M1283, 0)</f>
        <v>0</v>
      </c>
    </row>
    <row r="1284" spans="1:15" x14ac:dyDescent="0.45">
      <c r="A1284" t="str">
        <v>CD-LEO</v>
      </c>
      <c r="B1284" t="str">
        <v>ABA-1017</v>
      </c>
      <c r="C1284">
        <v>1385</v>
      </c>
      <c r="D1284">
        <v>160.1</v>
      </c>
      <c r="E1284">
        <v>22.7</v>
      </c>
      <c r="F1284">
        <v>2.4</v>
      </c>
      <c r="G1284">
        <v>0.6</v>
      </c>
      <c r="H1284" t="str">
        <v>OK</v>
      </c>
      <c r="J1284">
        <f t="shared" si="100"/>
        <v>4720.2</v>
      </c>
      <c r="K1284">
        <f>SUMIF(Supply_Clean[Item_Code], B1284, Supply_Clean[Available_Supply])</f>
        <v>13946</v>
      </c>
      <c r="L1284">
        <f t="shared" si="101"/>
        <v>1</v>
      </c>
      <c r="M1284">
        <f t="shared" si="102"/>
        <v>160.1</v>
      </c>
      <c r="N1284" t="str">
        <f t="shared" si="103"/>
        <v>SUFICIENTE</v>
      </c>
      <c r="O1284">
        <f t="shared" si="104"/>
        <v>0</v>
      </c>
    </row>
    <row r="1285" spans="1:15" x14ac:dyDescent="0.45">
      <c r="A1285" t="str">
        <v>CD-MTY</v>
      </c>
      <c r="B1285" t="str">
        <v>BEB-1017</v>
      </c>
      <c r="C1285">
        <v>7320</v>
      </c>
      <c r="D1285">
        <v>520.20000000000005</v>
      </c>
      <c r="E1285">
        <v>91.1</v>
      </c>
      <c r="F1285">
        <v>1.3</v>
      </c>
      <c r="G1285">
        <v>0.3</v>
      </c>
      <c r="H1285" t="str">
        <v>OK</v>
      </c>
      <c r="J1285">
        <f t="shared" si="100"/>
        <v>6231.7000000000007</v>
      </c>
      <c r="K1285">
        <f>SUMIF(Supply_Clean[Item_Code], B1285, Supply_Clean[Available_Supply])</f>
        <v>18257</v>
      </c>
      <c r="L1285">
        <f t="shared" si="101"/>
        <v>1</v>
      </c>
      <c r="M1285">
        <f t="shared" si="102"/>
        <v>520.20000000000005</v>
      </c>
      <c r="N1285" t="str">
        <f t="shared" si="103"/>
        <v>SUFICIENTE</v>
      </c>
      <c r="O1285">
        <f t="shared" si="104"/>
        <v>0</v>
      </c>
    </row>
    <row r="1286" spans="1:15" x14ac:dyDescent="0.45">
      <c r="A1286" t="str">
        <v>CD-SAL</v>
      </c>
      <c r="B1286" t="str">
        <v>PRO-1008</v>
      </c>
      <c r="C1286">
        <v>3964</v>
      </c>
      <c r="D1286">
        <v>307.7</v>
      </c>
      <c r="E1286">
        <v>213.1</v>
      </c>
      <c r="F1286">
        <v>1.4</v>
      </c>
      <c r="G1286">
        <v>0.5</v>
      </c>
      <c r="H1286" t="str">
        <v>OK</v>
      </c>
      <c r="J1286">
        <f t="shared" si="100"/>
        <v>5551.5999999999995</v>
      </c>
      <c r="K1286">
        <f>SUMIF(Supply_Clean[Item_Code], B1286, Supply_Clean[Available_Supply])</f>
        <v>9738</v>
      </c>
      <c r="L1286">
        <f t="shared" si="101"/>
        <v>1</v>
      </c>
      <c r="M1286">
        <f t="shared" si="102"/>
        <v>307.7</v>
      </c>
      <c r="N1286" t="str">
        <f t="shared" si="103"/>
        <v>SUFICIENTE</v>
      </c>
      <c r="O1286">
        <f t="shared" si="104"/>
        <v>0</v>
      </c>
    </row>
    <row r="1287" spans="1:15" x14ac:dyDescent="0.45">
      <c r="A1287" t="str">
        <v>CD-SAL</v>
      </c>
      <c r="B1287" t="str">
        <v>LAC-1004</v>
      </c>
      <c r="C1287">
        <v>3560</v>
      </c>
      <c r="D1287">
        <v>222</v>
      </c>
      <c r="E1287">
        <v>81.8</v>
      </c>
      <c r="F1287">
        <v>1.6</v>
      </c>
      <c r="G1287">
        <v>0.5</v>
      </c>
      <c r="H1287" t="str">
        <v>OK</v>
      </c>
      <c r="J1287">
        <f t="shared" si="100"/>
        <v>4211.5</v>
      </c>
      <c r="K1287">
        <f>SUMIF(Supply_Clean[Item_Code], B1287, Supply_Clean[Available_Supply])</f>
        <v>11968</v>
      </c>
      <c r="L1287">
        <f t="shared" si="101"/>
        <v>1</v>
      </c>
      <c r="M1287">
        <f t="shared" si="102"/>
        <v>222</v>
      </c>
      <c r="N1287" t="str">
        <f t="shared" si="103"/>
        <v>SUFICIENTE</v>
      </c>
      <c r="O1287">
        <f t="shared" si="104"/>
        <v>0</v>
      </c>
    </row>
    <row r="1288" spans="1:15" x14ac:dyDescent="0.45">
      <c r="A1288" t="str">
        <v>CD-HER</v>
      </c>
      <c r="B1288" t="str">
        <v>ABA-1008</v>
      </c>
      <c r="C1288">
        <v>776</v>
      </c>
      <c r="D1288">
        <v>284.3</v>
      </c>
      <c r="E1288">
        <v>27.8</v>
      </c>
      <c r="F1288">
        <v>3.5</v>
      </c>
      <c r="G1288">
        <v>1.2</v>
      </c>
      <c r="H1288" t="str">
        <v>OK</v>
      </c>
      <c r="J1288">
        <f t="shared" si="100"/>
        <v>4717.2000000000007</v>
      </c>
      <c r="K1288">
        <f>SUMIF(Supply_Clean[Item_Code], B1288, Supply_Clean[Available_Supply])</f>
        <v>9747</v>
      </c>
      <c r="L1288">
        <f t="shared" si="101"/>
        <v>1</v>
      </c>
      <c r="M1288">
        <f t="shared" si="102"/>
        <v>284.3</v>
      </c>
      <c r="N1288" t="str">
        <f t="shared" si="103"/>
        <v>SUFICIENTE</v>
      </c>
      <c r="O1288">
        <f t="shared" si="104"/>
        <v>0</v>
      </c>
    </row>
    <row r="1289" spans="1:15" x14ac:dyDescent="0.45">
      <c r="A1289" t="str">
        <v>CD-CDMX</v>
      </c>
      <c r="B1289" t="str">
        <v>BOT-1021</v>
      </c>
      <c r="C1289">
        <v>5805</v>
      </c>
      <c r="D1289">
        <v>876.1</v>
      </c>
      <c r="E1289">
        <v>145.9</v>
      </c>
      <c r="F1289">
        <v>0.8</v>
      </c>
      <c r="G1289">
        <v>0.2</v>
      </c>
      <c r="H1289" t="str">
        <v>OK</v>
      </c>
      <c r="J1289">
        <f t="shared" si="100"/>
        <v>6783.3</v>
      </c>
      <c r="K1289">
        <f>SUMIF(Supply_Clean[Item_Code], B1289, Supply_Clean[Available_Supply])</f>
        <v>13475</v>
      </c>
      <c r="L1289">
        <f t="shared" si="101"/>
        <v>1</v>
      </c>
      <c r="M1289">
        <f t="shared" si="102"/>
        <v>876.1</v>
      </c>
      <c r="N1289" t="str">
        <f t="shared" si="103"/>
        <v>SUFICIENTE</v>
      </c>
      <c r="O1289">
        <f t="shared" si="104"/>
        <v>0</v>
      </c>
    </row>
    <row r="1290" spans="1:15" x14ac:dyDescent="0.45">
      <c r="A1290" t="str">
        <v>CD-LEO</v>
      </c>
      <c r="B1290" t="str">
        <v>LAC-1003</v>
      </c>
      <c r="C1290">
        <v>2076</v>
      </c>
      <c r="D1290">
        <v>216.2</v>
      </c>
      <c r="E1290">
        <v>95</v>
      </c>
      <c r="F1290">
        <v>2.7</v>
      </c>
      <c r="G1290">
        <v>0.6</v>
      </c>
      <c r="H1290" t="str">
        <v>OK</v>
      </c>
      <c r="J1290">
        <f t="shared" si="100"/>
        <v>3701.4999999999995</v>
      </c>
      <c r="K1290">
        <f>SUMIF(Supply_Clean[Item_Code], B1290, Supply_Clean[Available_Supply])</f>
        <v>7244</v>
      </c>
      <c r="L1290">
        <f t="shared" si="101"/>
        <v>1</v>
      </c>
      <c r="M1290">
        <f t="shared" si="102"/>
        <v>216.2</v>
      </c>
      <c r="N1290" t="str">
        <f t="shared" si="103"/>
        <v>SUFICIENTE</v>
      </c>
      <c r="O1290">
        <f t="shared" si="104"/>
        <v>0</v>
      </c>
    </row>
    <row r="1291" spans="1:15" x14ac:dyDescent="0.45">
      <c r="A1291" t="str">
        <v>CD-SAL</v>
      </c>
      <c r="B1291" t="str">
        <v>BEB-1011</v>
      </c>
      <c r="C1291">
        <v>0</v>
      </c>
      <c r="D1291">
        <v>477</v>
      </c>
      <c r="E1291">
        <v>60.1</v>
      </c>
      <c r="F1291">
        <v>2.9</v>
      </c>
      <c r="G1291">
        <v>0.5</v>
      </c>
      <c r="H1291">
        <v>0</v>
      </c>
      <c r="J1291">
        <f t="shared" si="100"/>
        <v>5454.4999999999991</v>
      </c>
      <c r="K1291">
        <f>SUMIF(Supply_Clean[Item_Code], B1291, Supply_Clean[Available_Supply])</f>
        <v>13720</v>
      </c>
      <c r="L1291">
        <f t="shared" si="101"/>
        <v>1</v>
      </c>
      <c r="M1291">
        <f t="shared" si="102"/>
        <v>477</v>
      </c>
      <c r="N1291" t="str">
        <f t="shared" si="103"/>
        <v>SUFICIENTE</v>
      </c>
      <c r="O1291">
        <f t="shared" si="104"/>
        <v>0</v>
      </c>
    </row>
    <row r="1292" spans="1:15" x14ac:dyDescent="0.45">
      <c r="A1292" t="str">
        <v>CD-MTY</v>
      </c>
      <c r="B1292" t="str">
        <v>ABA-1014</v>
      </c>
      <c r="C1292">
        <v>3976</v>
      </c>
      <c r="D1292">
        <v>264.5</v>
      </c>
      <c r="E1292">
        <v>24.9</v>
      </c>
      <c r="F1292">
        <v>0.9</v>
      </c>
      <c r="G1292">
        <v>0.3</v>
      </c>
      <c r="H1292" t="str">
        <v>OK</v>
      </c>
      <c r="J1292">
        <f t="shared" si="100"/>
        <v>4779.0000000000009</v>
      </c>
      <c r="K1292">
        <f>SUMIF(Supply_Clean[Item_Code], B1292, Supply_Clean[Available_Supply])</f>
        <v>14629</v>
      </c>
      <c r="L1292">
        <f t="shared" si="101"/>
        <v>1</v>
      </c>
      <c r="M1292">
        <f t="shared" si="102"/>
        <v>264.5</v>
      </c>
      <c r="N1292" t="str">
        <f t="shared" si="103"/>
        <v>SUFICIENTE</v>
      </c>
      <c r="O1292">
        <f t="shared" si="104"/>
        <v>0</v>
      </c>
    </row>
    <row r="1293" spans="1:15" x14ac:dyDescent="0.45">
      <c r="A1293" t="str">
        <v>CD-CDMX</v>
      </c>
      <c r="B1293" t="str">
        <v>BEB-1001</v>
      </c>
      <c r="C1293">
        <v>6684</v>
      </c>
      <c r="D1293">
        <v>608.1</v>
      </c>
      <c r="E1293">
        <v>105</v>
      </c>
      <c r="F1293">
        <v>0.8</v>
      </c>
      <c r="G1293">
        <v>0.2</v>
      </c>
      <c r="H1293" t="str">
        <v>OK</v>
      </c>
      <c r="J1293">
        <f t="shared" si="100"/>
        <v>6941.9</v>
      </c>
      <c r="K1293">
        <f>SUMIF(Supply_Clean[Item_Code], B1293, Supply_Clean[Available_Supply])</f>
        <v>11725</v>
      </c>
      <c r="L1293">
        <f t="shared" si="101"/>
        <v>1</v>
      </c>
      <c r="M1293">
        <f t="shared" si="102"/>
        <v>608.1</v>
      </c>
      <c r="N1293" t="str">
        <f t="shared" si="103"/>
        <v>SUFICIENTE</v>
      </c>
      <c r="O1293">
        <f t="shared" si="104"/>
        <v>0</v>
      </c>
    </row>
    <row r="1294" spans="1:15" x14ac:dyDescent="0.45">
      <c r="A1294" t="str">
        <v>CD-CDMX</v>
      </c>
      <c r="B1294" t="str">
        <v>PRO-1008</v>
      </c>
      <c r="C1294">
        <v>4169</v>
      </c>
      <c r="D1294">
        <v>310.2</v>
      </c>
      <c r="E1294">
        <v>143.80000000000001</v>
      </c>
      <c r="F1294">
        <v>1.2</v>
      </c>
      <c r="G1294">
        <v>0.2</v>
      </c>
      <c r="H1294" t="str">
        <v>OK</v>
      </c>
      <c r="J1294">
        <f t="shared" si="100"/>
        <v>5551.5999999999995</v>
      </c>
      <c r="K1294">
        <f>SUMIF(Supply_Clean[Item_Code], B1294, Supply_Clean[Available_Supply])</f>
        <v>9738</v>
      </c>
      <c r="L1294">
        <f t="shared" si="101"/>
        <v>1</v>
      </c>
      <c r="M1294">
        <f t="shared" si="102"/>
        <v>310.2</v>
      </c>
      <c r="N1294" t="str">
        <f t="shared" si="103"/>
        <v>SUFICIENTE</v>
      </c>
      <c r="O1294">
        <f t="shared" si="104"/>
        <v>0</v>
      </c>
    </row>
    <row r="1295" spans="1:15" x14ac:dyDescent="0.45">
      <c r="A1295" t="str">
        <v>CD-TIJ</v>
      </c>
      <c r="B1295" t="str">
        <v>ABA-1010</v>
      </c>
      <c r="C1295">
        <v>6208</v>
      </c>
      <c r="D1295">
        <v>398.8</v>
      </c>
      <c r="E1295">
        <v>49.6</v>
      </c>
      <c r="F1295">
        <v>4</v>
      </c>
      <c r="G1295">
        <v>1.5</v>
      </c>
      <c r="H1295" t="str">
        <v>OK</v>
      </c>
      <c r="J1295">
        <f t="shared" si="100"/>
        <v>4871.7</v>
      </c>
      <c r="K1295">
        <f>SUMIF(Supply_Clean[Item_Code], B1295, Supply_Clean[Available_Supply])</f>
        <v>9875</v>
      </c>
      <c r="L1295">
        <f t="shared" si="101"/>
        <v>1</v>
      </c>
      <c r="M1295">
        <f t="shared" si="102"/>
        <v>398.8</v>
      </c>
      <c r="N1295" t="str">
        <f t="shared" si="103"/>
        <v>SUFICIENTE</v>
      </c>
      <c r="O1295">
        <f t="shared" si="104"/>
        <v>0</v>
      </c>
    </row>
    <row r="1296" spans="1:15" x14ac:dyDescent="0.45">
      <c r="A1296" t="str">
        <v>CD-TOL</v>
      </c>
      <c r="B1296" t="str">
        <v>LAC-1009</v>
      </c>
      <c r="C1296">
        <v>926</v>
      </c>
      <c r="D1296">
        <v>272.7</v>
      </c>
      <c r="E1296">
        <v>98</v>
      </c>
      <c r="F1296">
        <v>2</v>
      </c>
      <c r="G1296">
        <v>0.5</v>
      </c>
      <c r="H1296" t="str">
        <v>OK</v>
      </c>
      <c r="J1296">
        <f t="shared" si="100"/>
        <v>4163.3999999999996</v>
      </c>
      <c r="K1296">
        <f>SUMIF(Supply_Clean[Item_Code], B1296, Supply_Clean[Available_Supply])</f>
        <v>6523</v>
      </c>
      <c r="L1296">
        <f t="shared" si="101"/>
        <v>1</v>
      </c>
      <c r="M1296">
        <f t="shared" si="102"/>
        <v>272.7</v>
      </c>
      <c r="N1296" t="str">
        <f t="shared" si="103"/>
        <v>SUFICIENTE</v>
      </c>
      <c r="O1296">
        <f t="shared" si="104"/>
        <v>0</v>
      </c>
    </row>
    <row r="1297" spans="1:15" x14ac:dyDescent="0.45">
      <c r="A1297" t="str">
        <v>CD-HER</v>
      </c>
      <c r="B1297" t="str">
        <v>ABA-1001</v>
      </c>
      <c r="C1297">
        <v>4917</v>
      </c>
      <c r="D1297">
        <v>475.4</v>
      </c>
      <c r="E1297">
        <v>66.5</v>
      </c>
      <c r="F1297">
        <v>3.2</v>
      </c>
      <c r="G1297">
        <v>1.2</v>
      </c>
      <c r="H1297" t="str">
        <v>OK</v>
      </c>
      <c r="J1297">
        <f t="shared" si="100"/>
        <v>4698.6999999999989</v>
      </c>
      <c r="K1297">
        <f>SUMIF(Supply_Clean[Item_Code], B1297, Supply_Clean[Available_Supply])</f>
        <v>8775</v>
      </c>
      <c r="L1297">
        <f t="shared" si="101"/>
        <v>1</v>
      </c>
      <c r="M1297">
        <f t="shared" si="102"/>
        <v>475.4</v>
      </c>
      <c r="N1297" t="str">
        <f t="shared" si="103"/>
        <v>SUFICIENTE</v>
      </c>
      <c r="O1297">
        <f t="shared" si="104"/>
        <v>0</v>
      </c>
    </row>
    <row r="1298" spans="1:15" x14ac:dyDescent="0.45">
      <c r="A1298" t="str">
        <v>CD-QRO</v>
      </c>
      <c r="B1298" t="str">
        <v>PRO-1012</v>
      </c>
      <c r="C1298">
        <v>5728</v>
      </c>
      <c r="D1298">
        <v>645.5</v>
      </c>
      <c r="E1298">
        <v>430.7</v>
      </c>
      <c r="F1298">
        <v>2.5</v>
      </c>
      <c r="G1298">
        <v>0.4</v>
      </c>
      <c r="H1298" t="str">
        <v>OK</v>
      </c>
      <c r="J1298">
        <f t="shared" si="100"/>
        <v>4930.1000000000004</v>
      </c>
      <c r="K1298">
        <f>SUMIF(Supply_Clean[Item_Code], B1298, Supply_Clean[Available_Supply])</f>
        <v>9930</v>
      </c>
      <c r="L1298">
        <f t="shared" si="101"/>
        <v>1</v>
      </c>
      <c r="M1298">
        <f t="shared" si="102"/>
        <v>645.5</v>
      </c>
      <c r="N1298" t="str">
        <f t="shared" si="103"/>
        <v>SUFICIENTE</v>
      </c>
      <c r="O1298">
        <f t="shared" si="104"/>
        <v>0</v>
      </c>
    </row>
    <row r="1299" spans="1:15" x14ac:dyDescent="0.45">
      <c r="A1299" t="str">
        <v>CD-GDL</v>
      </c>
      <c r="B1299" t="str">
        <v>BEB-1019</v>
      </c>
      <c r="C1299">
        <v>2266</v>
      </c>
      <c r="D1299">
        <v>362.6</v>
      </c>
      <c r="E1299">
        <v>69.400000000000006</v>
      </c>
      <c r="F1299">
        <v>0.8</v>
      </c>
      <c r="G1299">
        <v>0.2</v>
      </c>
      <c r="H1299" t="str">
        <v>OK</v>
      </c>
      <c r="J1299">
        <f t="shared" si="100"/>
        <v>5453.6</v>
      </c>
      <c r="K1299">
        <f>SUMIF(Supply_Clean[Item_Code], B1299, Supply_Clean[Available_Supply])</f>
        <v>15099</v>
      </c>
      <c r="L1299">
        <f t="shared" si="101"/>
        <v>1</v>
      </c>
      <c r="M1299">
        <f t="shared" si="102"/>
        <v>362.6</v>
      </c>
      <c r="N1299" t="str">
        <f t="shared" si="103"/>
        <v>SUFICIENTE</v>
      </c>
      <c r="O1299">
        <f t="shared" si="104"/>
        <v>0</v>
      </c>
    </row>
    <row r="1300" spans="1:15" x14ac:dyDescent="0.45">
      <c r="A1300" t="str">
        <v>CD-SAL</v>
      </c>
      <c r="B1300" t="str">
        <v>BEB-1020</v>
      </c>
      <c r="C1300">
        <v>3933</v>
      </c>
      <c r="D1300">
        <v>483.8</v>
      </c>
      <c r="E1300">
        <v>56.9</v>
      </c>
      <c r="F1300">
        <v>1.9</v>
      </c>
      <c r="G1300">
        <v>0.5</v>
      </c>
      <c r="H1300" t="str">
        <v>OK</v>
      </c>
      <c r="J1300">
        <f t="shared" si="100"/>
        <v>6114.4000000000005</v>
      </c>
      <c r="K1300">
        <f>SUMIF(Supply_Clean[Item_Code], B1300, Supply_Clean[Available_Supply])</f>
        <v>16621</v>
      </c>
      <c r="L1300">
        <f t="shared" si="101"/>
        <v>1</v>
      </c>
      <c r="M1300">
        <f t="shared" si="102"/>
        <v>483.8</v>
      </c>
      <c r="N1300" t="str">
        <f t="shared" si="103"/>
        <v>SUFICIENTE</v>
      </c>
      <c r="O1300">
        <f t="shared" si="104"/>
        <v>0</v>
      </c>
    </row>
    <row r="1301" spans="1:15" x14ac:dyDescent="0.45">
      <c r="A1301" t="str">
        <v>CD-CDMX</v>
      </c>
      <c r="B1301" t="str">
        <v>BEB-1014</v>
      </c>
      <c r="C1301">
        <v>1831</v>
      </c>
      <c r="D1301">
        <v>505.8</v>
      </c>
      <c r="E1301">
        <v>60.6</v>
      </c>
      <c r="F1301">
        <v>1.3</v>
      </c>
      <c r="G1301">
        <v>0.2</v>
      </c>
      <c r="H1301" t="str">
        <v>OK</v>
      </c>
      <c r="J1301">
        <f t="shared" si="100"/>
        <v>6274.9000000000005</v>
      </c>
      <c r="K1301">
        <f>SUMIF(Supply_Clean[Item_Code], B1301, Supply_Clean[Available_Supply])</f>
        <v>14205</v>
      </c>
      <c r="L1301">
        <f t="shared" si="101"/>
        <v>1</v>
      </c>
      <c r="M1301">
        <f t="shared" si="102"/>
        <v>505.8</v>
      </c>
      <c r="N1301" t="str">
        <f t="shared" si="103"/>
        <v>SUFICIENTE</v>
      </c>
      <c r="O1301">
        <f t="shared" si="104"/>
        <v>0</v>
      </c>
    </row>
    <row r="1302" spans="1:15" x14ac:dyDescent="0.45">
      <c r="A1302" t="str">
        <v>CD-CDMX</v>
      </c>
      <c r="B1302" t="str">
        <v>PRO-1007</v>
      </c>
      <c r="C1302">
        <v>4235</v>
      </c>
      <c r="D1302">
        <v>251.1</v>
      </c>
      <c r="E1302">
        <v>170.4</v>
      </c>
      <c r="F1302">
        <v>0.9</v>
      </c>
      <c r="G1302">
        <v>0.2</v>
      </c>
      <c r="H1302" t="str">
        <v>OK</v>
      </c>
      <c r="J1302">
        <f t="shared" si="100"/>
        <v>5354.8</v>
      </c>
      <c r="K1302">
        <f>SUMIF(Supply_Clean[Item_Code], B1302, Supply_Clean[Available_Supply])</f>
        <v>10360</v>
      </c>
      <c r="L1302">
        <f t="shared" si="101"/>
        <v>1</v>
      </c>
      <c r="M1302">
        <f t="shared" si="102"/>
        <v>251.1</v>
      </c>
      <c r="N1302" t="str">
        <f t="shared" si="103"/>
        <v>SUFICIENTE</v>
      </c>
      <c r="O1302">
        <f t="shared" si="104"/>
        <v>0</v>
      </c>
    </row>
    <row r="1303" spans="1:15" x14ac:dyDescent="0.45">
      <c r="A1303" t="str">
        <v>CD-QRO</v>
      </c>
      <c r="B1303" t="str">
        <v>ABA-1017</v>
      </c>
      <c r="C1303">
        <v>6424</v>
      </c>
      <c r="D1303">
        <v>420.2</v>
      </c>
      <c r="E1303">
        <v>59.3</v>
      </c>
      <c r="F1303">
        <v>1.5</v>
      </c>
      <c r="G1303">
        <v>0.4</v>
      </c>
      <c r="H1303" t="str">
        <v>OK</v>
      </c>
      <c r="J1303">
        <f t="shared" si="100"/>
        <v>4720.2</v>
      </c>
      <c r="K1303">
        <f>SUMIF(Supply_Clean[Item_Code], B1303, Supply_Clean[Available_Supply])</f>
        <v>13946</v>
      </c>
      <c r="L1303">
        <f t="shared" si="101"/>
        <v>1</v>
      </c>
      <c r="M1303">
        <f t="shared" si="102"/>
        <v>420.2</v>
      </c>
      <c r="N1303" t="str">
        <f t="shared" si="103"/>
        <v>SUFICIENTE</v>
      </c>
      <c r="O1303">
        <f t="shared" si="104"/>
        <v>0</v>
      </c>
    </row>
    <row r="1304" spans="1:15" x14ac:dyDescent="0.45">
      <c r="A1304" t="str">
        <v>CD-TIJ</v>
      </c>
      <c r="B1304" t="str">
        <v>PRO-1009</v>
      </c>
      <c r="C1304">
        <v>1632</v>
      </c>
      <c r="D1304">
        <v>332.8</v>
      </c>
      <c r="E1304">
        <v>214.7</v>
      </c>
      <c r="F1304">
        <v>6.7</v>
      </c>
      <c r="G1304">
        <v>1.5</v>
      </c>
      <c r="H1304" t="str">
        <v>OK</v>
      </c>
      <c r="J1304">
        <f t="shared" si="100"/>
        <v>5962.0999999999995</v>
      </c>
      <c r="K1304">
        <f>SUMIF(Supply_Clean[Item_Code], B1304, Supply_Clean[Available_Supply])</f>
        <v>10685</v>
      </c>
      <c r="L1304">
        <f t="shared" si="101"/>
        <v>1</v>
      </c>
      <c r="M1304">
        <f t="shared" si="102"/>
        <v>332.8</v>
      </c>
      <c r="N1304" t="str">
        <f t="shared" si="103"/>
        <v>SUFICIENTE</v>
      </c>
      <c r="O1304">
        <f t="shared" si="104"/>
        <v>0</v>
      </c>
    </row>
    <row r="1305" spans="1:15" x14ac:dyDescent="0.45">
      <c r="A1305" t="str">
        <v>CD-LEO</v>
      </c>
      <c r="B1305" t="str">
        <v>BEB-1017</v>
      </c>
      <c r="C1305">
        <v>3675</v>
      </c>
      <c r="D1305">
        <v>643</v>
      </c>
      <c r="E1305">
        <v>127</v>
      </c>
      <c r="F1305">
        <v>1.8</v>
      </c>
      <c r="G1305">
        <v>0.6</v>
      </c>
      <c r="H1305" t="str">
        <v>OK</v>
      </c>
      <c r="J1305">
        <f t="shared" si="100"/>
        <v>6231.7000000000007</v>
      </c>
      <c r="K1305">
        <f>SUMIF(Supply_Clean[Item_Code], B1305, Supply_Clean[Available_Supply])</f>
        <v>18257</v>
      </c>
      <c r="L1305">
        <f t="shared" si="101"/>
        <v>1</v>
      </c>
      <c r="M1305">
        <f t="shared" si="102"/>
        <v>643</v>
      </c>
      <c r="N1305" t="str">
        <f t="shared" si="103"/>
        <v>SUFICIENTE</v>
      </c>
      <c r="O1305">
        <f t="shared" si="104"/>
        <v>0</v>
      </c>
    </row>
    <row r="1306" spans="1:15" x14ac:dyDescent="0.45">
      <c r="A1306" t="str">
        <v>CD-MER</v>
      </c>
      <c r="B1306" t="str">
        <v>BOT-1014</v>
      </c>
      <c r="C1306">
        <v>1472</v>
      </c>
      <c r="D1306">
        <v>493.2</v>
      </c>
      <c r="E1306">
        <v>133.9</v>
      </c>
      <c r="F1306">
        <v>1.7</v>
      </c>
      <c r="G1306">
        <v>1.3</v>
      </c>
      <c r="H1306" t="str">
        <v>OK</v>
      </c>
      <c r="J1306">
        <f t="shared" si="100"/>
        <v>8056.4000000000005</v>
      </c>
      <c r="K1306">
        <f>SUMIF(Supply_Clean[Item_Code], B1306, Supply_Clean[Available_Supply])</f>
        <v>14373</v>
      </c>
      <c r="L1306">
        <f t="shared" si="101"/>
        <v>1</v>
      </c>
      <c r="M1306">
        <f t="shared" si="102"/>
        <v>493.2</v>
      </c>
      <c r="N1306" t="str">
        <f t="shared" si="103"/>
        <v>SUFICIENTE</v>
      </c>
      <c r="O1306">
        <f t="shared" si="104"/>
        <v>0</v>
      </c>
    </row>
    <row r="1307" spans="1:15" x14ac:dyDescent="0.45">
      <c r="A1307" t="str">
        <v>CD-PUE</v>
      </c>
      <c r="B1307" t="str">
        <v>BEB-1012</v>
      </c>
      <c r="C1307">
        <v>3361</v>
      </c>
      <c r="D1307">
        <v>333.2</v>
      </c>
      <c r="E1307">
        <v>60.1</v>
      </c>
      <c r="F1307">
        <v>1.1000000000000001</v>
      </c>
      <c r="G1307">
        <v>0.3</v>
      </c>
      <c r="H1307" t="str">
        <v>OK</v>
      </c>
      <c r="J1307">
        <f t="shared" si="100"/>
        <v>5740.7</v>
      </c>
      <c r="K1307">
        <f>SUMIF(Supply_Clean[Item_Code], B1307, Supply_Clean[Available_Supply])</f>
        <v>12491</v>
      </c>
      <c r="L1307">
        <f t="shared" si="101"/>
        <v>1</v>
      </c>
      <c r="M1307">
        <f t="shared" si="102"/>
        <v>333.2</v>
      </c>
      <c r="N1307" t="str">
        <f t="shared" si="103"/>
        <v>SUFICIENTE</v>
      </c>
      <c r="O1307">
        <f t="shared" si="104"/>
        <v>0</v>
      </c>
    </row>
    <row r="1308" spans="1:15" x14ac:dyDescent="0.45">
      <c r="A1308" t="str">
        <v>CD-LEO</v>
      </c>
      <c r="B1308" t="str">
        <v>BEB-1021</v>
      </c>
      <c r="C1308">
        <v>8963</v>
      </c>
      <c r="D1308">
        <v>602.29999999999995</v>
      </c>
      <c r="E1308">
        <v>116.8</v>
      </c>
      <c r="F1308">
        <v>0.5</v>
      </c>
      <c r="G1308">
        <v>0.6</v>
      </c>
      <c r="H1308" t="str">
        <v>OK</v>
      </c>
      <c r="J1308">
        <f t="shared" si="100"/>
        <v>5254.7999999999993</v>
      </c>
      <c r="K1308">
        <f>SUMIF(Supply_Clean[Item_Code], B1308, Supply_Clean[Available_Supply])</f>
        <v>13235</v>
      </c>
      <c r="L1308">
        <f t="shared" si="101"/>
        <v>1</v>
      </c>
      <c r="M1308">
        <f t="shared" si="102"/>
        <v>602.29999999999995</v>
      </c>
      <c r="N1308" t="str">
        <f t="shared" si="103"/>
        <v>SUFICIENTE</v>
      </c>
      <c r="O1308">
        <f t="shared" si="104"/>
        <v>0</v>
      </c>
    </row>
    <row r="1309" spans="1:15" x14ac:dyDescent="0.45">
      <c r="A1309" t="str">
        <v>CD-CHI</v>
      </c>
      <c r="B1309" t="str">
        <v>LAC-1004</v>
      </c>
      <c r="C1309">
        <v>5006</v>
      </c>
      <c r="D1309">
        <v>329</v>
      </c>
      <c r="E1309">
        <v>88.1</v>
      </c>
      <c r="F1309">
        <v>2.5</v>
      </c>
      <c r="G1309">
        <v>1</v>
      </c>
      <c r="H1309" t="str">
        <v>OK</v>
      </c>
      <c r="J1309">
        <f t="shared" si="100"/>
        <v>4211.5</v>
      </c>
      <c r="K1309">
        <f>SUMIF(Supply_Clean[Item_Code], B1309, Supply_Clean[Available_Supply])</f>
        <v>11968</v>
      </c>
      <c r="L1309">
        <f t="shared" si="101"/>
        <v>1</v>
      </c>
      <c r="M1309">
        <f t="shared" si="102"/>
        <v>329</v>
      </c>
      <c r="N1309" t="str">
        <f t="shared" si="103"/>
        <v>SUFICIENTE</v>
      </c>
      <c r="O1309">
        <f t="shared" si="104"/>
        <v>0</v>
      </c>
    </row>
    <row r="1310" spans="1:15" x14ac:dyDescent="0.45">
      <c r="A1310" t="str">
        <v>CD-MTY</v>
      </c>
      <c r="B1310" t="str">
        <v>BEB-1000</v>
      </c>
      <c r="C1310">
        <v>3959</v>
      </c>
      <c r="D1310">
        <v>224.8</v>
      </c>
      <c r="E1310">
        <v>34.6</v>
      </c>
      <c r="F1310">
        <v>1.4</v>
      </c>
      <c r="G1310">
        <v>0.3</v>
      </c>
      <c r="H1310" t="str">
        <v>OK</v>
      </c>
      <c r="J1310">
        <f t="shared" si="100"/>
        <v>4843.5</v>
      </c>
      <c r="K1310">
        <f>SUMIF(Supply_Clean[Item_Code], B1310, Supply_Clean[Available_Supply])</f>
        <v>14592</v>
      </c>
      <c r="L1310">
        <f t="shared" si="101"/>
        <v>1</v>
      </c>
      <c r="M1310">
        <f t="shared" si="102"/>
        <v>224.8</v>
      </c>
      <c r="N1310" t="str">
        <f t="shared" si="103"/>
        <v>SUFICIENTE</v>
      </c>
      <c r="O1310">
        <f t="shared" si="104"/>
        <v>0</v>
      </c>
    </row>
    <row r="1311" spans="1:15" x14ac:dyDescent="0.45">
      <c r="A1311" t="str">
        <v>CD-SAL</v>
      </c>
      <c r="B1311" t="str">
        <v>ABA-1003</v>
      </c>
      <c r="C1311">
        <v>6924</v>
      </c>
      <c r="D1311">
        <v>385.7</v>
      </c>
      <c r="E1311">
        <v>38.200000000000003</v>
      </c>
      <c r="F1311">
        <v>1</v>
      </c>
      <c r="G1311">
        <v>0.5</v>
      </c>
      <c r="H1311" t="str">
        <v>OK</v>
      </c>
      <c r="J1311">
        <f t="shared" si="100"/>
        <v>4709.8000000000011</v>
      </c>
      <c r="K1311">
        <f>SUMIF(Supply_Clean[Item_Code], B1311, Supply_Clean[Available_Supply])</f>
        <v>11700</v>
      </c>
      <c r="L1311">
        <f t="shared" si="101"/>
        <v>1</v>
      </c>
      <c r="M1311">
        <f t="shared" si="102"/>
        <v>385.7</v>
      </c>
      <c r="N1311" t="str">
        <f t="shared" si="103"/>
        <v>SUFICIENTE</v>
      </c>
      <c r="O1311">
        <f t="shared" si="104"/>
        <v>0</v>
      </c>
    </row>
    <row r="1312" spans="1:15" x14ac:dyDescent="0.45">
      <c r="A1312" t="str">
        <v>CD-HER</v>
      </c>
      <c r="B1312" t="str">
        <v>LAC-1008</v>
      </c>
      <c r="C1312">
        <v>1783</v>
      </c>
      <c r="D1312">
        <v>141.1</v>
      </c>
      <c r="E1312">
        <v>53.7</v>
      </c>
      <c r="F1312">
        <v>4.9000000000000004</v>
      </c>
      <c r="G1312">
        <v>1.2</v>
      </c>
      <c r="H1312" t="str">
        <v>OK</v>
      </c>
      <c r="J1312">
        <f t="shared" si="100"/>
        <v>4499.0999999999995</v>
      </c>
      <c r="K1312">
        <f>SUMIF(Supply_Clean[Item_Code], B1312, Supply_Clean[Available_Supply])</f>
        <v>9543</v>
      </c>
      <c r="L1312">
        <f t="shared" si="101"/>
        <v>1</v>
      </c>
      <c r="M1312">
        <f t="shared" si="102"/>
        <v>141.1</v>
      </c>
      <c r="N1312" t="str">
        <f t="shared" si="103"/>
        <v>SUFICIENTE</v>
      </c>
      <c r="O1312">
        <f t="shared" si="104"/>
        <v>0</v>
      </c>
    </row>
    <row r="1313" spans="1:15" x14ac:dyDescent="0.45">
      <c r="A1313" t="str">
        <v>CD-TIJ</v>
      </c>
      <c r="B1313" t="str">
        <v>ABA-1019</v>
      </c>
      <c r="C1313">
        <v>4227</v>
      </c>
      <c r="D1313">
        <v>246.6</v>
      </c>
      <c r="E1313">
        <v>35.200000000000003</v>
      </c>
      <c r="F1313">
        <v>9</v>
      </c>
      <c r="G1313">
        <v>1.5</v>
      </c>
      <c r="H1313" t="str">
        <v>OK</v>
      </c>
      <c r="J1313">
        <f t="shared" si="100"/>
        <v>4484.9000000000005</v>
      </c>
      <c r="K1313">
        <f>SUMIF(Supply_Clean[Item_Code], B1313, Supply_Clean[Available_Supply])</f>
        <v>12013</v>
      </c>
      <c r="L1313">
        <f t="shared" si="101"/>
        <v>1</v>
      </c>
      <c r="M1313">
        <f t="shared" si="102"/>
        <v>246.6</v>
      </c>
      <c r="N1313" t="str">
        <f t="shared" si="103"/>
        <v>SUFICIENTE</v>
      </c>
      <c r="O1313">
        <f t="shared" si="104"/>
        <v>0</v>
      </c>
    </row>
    <row r="1314" spans="1:15" x14ac:dyDescent="0.45">
      <c r="A1314" t="str">
        <v>CD-VER</v>
      </c>
      <c r="B1314" t="str">
        <v>BEB-1007</v>
      </c>
      <c r="C1314">
        <v>10271</v>
      </c>
      <c r="D1314">
        <v>648.4</v>
      </c>
      <c r="E1314">
        <v>127.7</v>
      </c>
      <c r="F1314">
        <v>2.2999999999999998</v>
      </c>
      <c r="G1314">
        <v>0.9</v>
      </c>
      <c r="H1314" t="str">
        <v>OK</v>
      </c>
      <c r="J1314">
        <f t="shared" si="100"/>
        <v>5039.5</v>
      </c>
      <c r="K1314">
        <f>SUMIF(Supply_Clean[Item_Code], B1314, Supply_Clean[Available_Supply])</f>
        <v>12912</v>
      </c>
      <c r="L1314">
        <f t="shared" si="101"/>
        <v>1</v>
      </c>
      <c r="M1314">
        <f t="shared" si="102"/>
        <v>648.4</v>
      </c>
      <c r="N1314" t="str">
        <f t="shared" si="103"/>
        <v>SUFICIENTE</v>
      </c>
      <c r="O1314">
        <f t="shared" si="104"/>
        <v>0</v>
      </c>
    </row>
    <row r="1315" spans="1:15" x14ac:dyDescent="0.45">
      <c r="A1315" t="str">
        <v>CD-QRO</v>
      </c>
      <c r="B1315" t="str">
        <v>PRO-1006</v>
      </c>
      <c r="C1315">
        <v>3372</v>
      </c>
      <c r="D1315">
        <v>286.7</v>
      </c>
      <c r="E1315">
        <v>163.5</v>
      </c>
      <c r="F1315">
        <v>2.2999999999999998</v>
      </c>
      <c r="G1315">
        <v>0.4</v>
      </c>
      <c r="H1315" t="str">
        <v>OK</v>
      </c>
      <c r="J1315">
        <f t="shared" si="100"/>
        <v>5801.8</v>
      </c>
      <c r="K1315">
        <f>SUMIF(Supply_Clean[Item_Code], B1315, Supply_Clean[Available_Supply])</f>
        <v>9270</v>
      </c>
      <c r="L1315">
        <f t="shared" si="101"/>
        <v>1</v>
      </c>
      <c r="M1315">
        <f t="shared" si="102"/>
        <v>286.7</v>
      </c>
      <c r="N1315" t="str">
        <f t="shared" si="103"/>
        <v>SUFICIENTE</v>
      </c>
      <c r="O1315">
        <f t="shared" si="104"/>
        <v>0</v>
      </c>
    </row>
    <row r="1316" spans="1:15" x14ac:dyDescent="0.45">
      <c r="A1316" t="str">
        <v>CD-LEO</v>
      </c>
      <c r="B1316" t="str">
        <v>ABA-1019</v>
      </c>
      <c r="C1316">
        <v>3607</v>
      </c>
      <c r="D1316">
        <v>323.5</v>
      </c>
      <c r="E1316">
        <v>41.6</v>
      </c>
      <c r="F1316">
        <v>1.2</v>
      </c>
      <c r="G1316">
        <v>0.6</v>
      </c>
      <c r="H1316" t="str">
        <v>OK</v>
      </c>
      <c r="J1316">
        <f t="shared" si="100"/>
        <v>4484.9000000000005</v>
      </c>
      <c r="K1316">
        <f>SUMIF(Supply_Clean[Item_Code], B1316, Supply_Clean[Available_Supply])</f>
        <v>12013</v>
      </c>
      <c r="L1316">
        <f t="shared" si="101"/>
        <v>1</v>
      </c>
      <c r="M1316">
        <f t="shared" si="102"/>
        <v>323.5</v>
      </c>
      <c r="N1316" t="str">
        <f t="shared" si="103"/>
        <v>SUFICIENTE</v>
      </c>
      <c r="O1316">
        <f t="shared" si="104"/>
        <v>0</v>
      </c>
    </row>
    <row r="1317" spans="1:15" x14ac:dyDescent="0.45">
      <c r="A1317" t="str">
        <v>CD-HER</v>
      </c>
      <c r="B1317" t="str">
        <v>BEB-1005</v>
      </c>
      <c r="C1317">
        <v>5220</v>
      </c>
      <c r="D1317">
        <v>447.9</v>
      </c>
      <c r="E1317">
        <v>69.900000000000006</v>
      </c>
      <c r="F1317">
        <v>3.6</v>
      </c>
      <c r="G1317">
        <v>1.2</v>
      </c>
      <c r="H1317" t="str">
        <v>OK</v>
      </c>
      <c r="J1317">
        <f t="shared" si="100"/>
        <v>6220.1999999999989</v>
      </c>
      <c r="K1317">
        <f>SUMIF(Supply_Clean[Item_Code], B1317, Supply_Clean[Available_Supply])</f>
        <v>14054</v>
      </c>
      <c r="L1317">
        <f t="shared" si="101"/>
        <v>1</v>
      </c>
      <c r="M1317">
        <f t="shared" si="102"/>
        <v>447.9</v>
      </c>
      <c r="N1317" t="str">
        <f t="shared" si="103"/>
        <v>SUFICIENTE</v>
      </c>
      <c r="O1317">
        <f t="shared" si="104"/>
        <v>0</v>
      </c>
    </row>
    <row r="1318" spans="1:15" x14ac:dyDescent="0.45">
      <c r="A1318" t="str">
        <v>CD-GDL</v>
      </c>
      <c r="B1318" t="str">
        <v>BEB-1002</v>
      </c>
      <c r="C1318">
        <v>3923</v>
      </c>
      <c r="D1318">
        <v>254.4</v>
      </c>
      <c r="E1318">
        <v>46.3</v>
      </c>
      <c r="F1318">
        <v>0.9</v>
      </c>
      <c r="G1318">
        <v>0.2</v>
      </c>
      <c r="H1318" t="str">
        <v>OK</v>
      </c>
      <c r="J1318">
        <f t="shared" si="100"/>
        <v>6246.8</v>
      </c>
      <c r="K1318">
        <f>SUMIF(Supply_Clean[Item_Code], B1318, Supply_Clean[Available_Supply])</f>
        <v>13052</v>
      </c>
      <c r="L1318">
        <f t="shared" si="101"/>
        <v>1</v>
      </c>
      <c r="M1318">
        <f t="shared" si="102"/>
        <v>254.4</v>
      </c>
      <c r="N1318" t="str">
        <f t="shared" si="103"/>
        <v>SUFICIENTE</v>
      </c>
      <c r="O1318">
        <f t="shared" si="104"/>
        <v>0</v>
      </c>
    </row>
    <row r="1319" spans="1:15" x14ac:dyDescent="0.45">
      <c r="A1319" t="str">
        <v>CD-CHI</v>
      </c>
      <c r="B1319" t="str">
        <v>BOT-1016</v>
      </c>
      <c r="C1319">
        <v>-50</v>
      </c>
      <c r="D1319">
        <v>682.9</v>
      </c>
      <c r="E1319">
        <v>126.2</v>
      </c>
      <c r="F1319">
        <v>4.5</v>
      </c>
      <c r="G1319">
        <v>1</v>
      </c>
      <c r="H1319" t="str">
        <v>NEGATIVO</v>
      </c>
      <c r="J1319">
        <f t="shared" si="100"/>
        <v>9923.6999999999989</v>
      </c>
      <c r="K1319">
        <f>SUMIF(Supply_Clean[Item_Code], B1319, Supply_Clean[Available_Supply])</f>
        <v>18995</v>
      </c>
      <c r="L1319">
        <f t="shared" si="101"/>
        <v>1</v>
      </c>
      <c r="M1319">
        <f t="shared" si="102"/>
        <v>682.9</v>
      </c>
      <c r="N1319" t="str">
        <f t="shared" si="103"/>
        <v>SUFICIENTE</v>
      </c>
      <c r="O1319">
        <f t="shared" si="104"/>
        <v>0</v>
      </c>
    </row>
    <row r="1320" spans="1:15" x14ac:dyDescent="0.45">
      <c r="A1320" t="str">
        <v>CD-CAN</v>
      </c>
      <c r="B1320" t="str">
        <v>PRO-1004</v>
      </c>
      <c r="C1320">
        <v>1801</v>
      </c>
      <c r="D1320">
        <v>613.4</v>
      </c>
      <c r="E1320">
        <v>367.6</v>
      </c>
      <c r="F1320">
        <v>4.0999999999999996</v>
      </c>
      <c r="G1320">
        <v>1.6</v>
      </c>
      <c r="H1320" t="str">
        <v>OK</v>
      </c>
      <c r="J1320">
        <f t="shared" si="100"/>
        <v>5295.1999999999989</v>
      </c>
      <c r="K1320">
        <f>SUMIF(Supply_Clean[Item_Code], B1320, Supply_Clean[Available_Supply])</f>
        <v>13057</v>
      </c>
      <c r="L1320">
        <f t="shared" si="101"/>
        <v>1</v>
      </c>
      <c r="M1320">
        <f t="shared" si="102"/>
        <v>613.4</v>
      </c>
      <c r="N1320" t="str">
        <f t="shared" si="103"/>
        <v>SUFICIENTE</v>
      </c>
      <c r="O1320">
        <f t="shared" si="104"/>
        <v>0</v>
      </c>
    </row>
    <row r="1321" spans="1:15" x14ac:dyDescent="0.45">
      <c r="A1321" t="str">
        <v>CD-TOL</v>
      </c>
      <c r="B1321" t="str">
        <v>BOT-1000</v>
      </c>
      <c r="C1321">
        <v>7144</v>
      </c>
      <c r="D1321">
        <v>468.2</v>
      </c>
      <c r="E1321">
        <v>106.1</v>
      </c>
      <c r="F1321">
        <v>1.6</v>
      </c>
      <c r="G1321">
        <v>0.5</v>
      </c>
      <c r="H1321" t="str">
        <v>OK</v>
      </c>
      <c r="J1321">
        <f t="shared" si="100"/>
        <v>8310.6</v>
      </c>
      <c r="K1321">
        <f>SUMIF(Supply_Clean[Item_Code], B1321, Supply_Clean[Available_Supply])</f>
        <v>21762</v>
      </c>
      <c r="L1321">
        <f t="shared" si="101"/>
        <v>1</v>
      </c>
      <c r="M1321">
        <f t="shared" si="102"/>
        <v>468.2</v>
      </c>
      <c r="N1321" t="str">
        <f t="shared" si="103"/>
        <v>SUFICIENTE</v>
      </c>
      <c r="O1321">
        <f t="shared" si="104"/>
        <v>0</v>
      </c>
    </row>
    <row r="1322" spans="1:15" x14ac:dyDescent="0.45">
      <c r="A1322" t="str">
        <v>CD-TOL</v>
      </c>
      <c r="B1322" t="str">
        <v>BOT-1011</v>
      </c>
      <c r="C1322">
        <v>14274</v>
      </c>
      <c r="D1322">
        <v>853.2</v>
      </c>
      <c r="E1322">
        <v>183.7</v>
      </c>
      <c r="F1322">
        <v>2.8</v>
      </c>
      <c r="G1322">
        <v>0.5</v>
      </c>
      <c r="H1322" t="str">
        <v>OK</v>
      </c>
      <c r="J1322">
        <f t="shared" si="100"/>
        <v>9886.2999999999993</v>
      </c>
      <c r="K1322">
        <f>SUMIF(Supply_Clean[Item_Code], B1322, Supply_Clean[Available_Supply])</f>
        <v>19886</v>
      </c>
      <c r="L1322">
        <f t="shared" si="101"/>
        <v>1</v>
      </c>
      <c r="M1322">
        <f t="shared" si="102"/>
        <v>853.2</v>
      </c>
      <c r="N1322" t="str">
        <f t="shared" si="103"/>
        <v>SUFICIENTE</v>
      </c>
      <c r="O1322">
        <f t="shared" si="104"/>
        <v>0</v>
      </c>
    </row>
    <row r="1323" spans="1:15" x14ac:dyDescent="0.45">
      <c r="A1323" t="str">
        <v>CD-CHI</v>
      </c>
      <c r="B1323" t="str">
        <v>ABA-1004</v>
      </c>
      <c r="C1323">
        <v>268</v>
      </c>
      <c r="D1323">
        <v>264.60000000000002</v>
      </c>
      <c r="E1323">
        <v>28</v>
      </c>
      <c r="F1323">
        <v>4.2</v>
      </c>
      <c r="G1323">
        <v>1</v>
      </c>
      <c r="H1323" t="str">
        <v>OK</v>
      </c>
      <c r="J1323">
        <f t="shared" si="100"/>
        <v>5236.7</v>
      </c>
      <c r="K1323">
        <f>SUMIF(Supply_Clean[Item_Code], B1323, Supply_Clean[Available_Supply])</f>
        <v>10879</v>
      </c>
      <c r="L1323">
        <f t="shared" si="101"/>
        <v>1</v>
      </c>
      <c r="M1323">
        <f t="shared" si="102"/>
        <v>264.60000000000002</v>
      </c>
      <c r="N1323" t="str">
        <f t="shared" si="103"/>
        <v>SUFICIENTE</v>
      </c>
      <c r="O1323">
        <f t="shared" si="104"/>
        <v>0</v>
      </c>
    </row>
    <row r="1324" spans="1:15" x14ac:dyDescent="0.45">
      <c r="A1324" t="str">
        <v>CD-SAL</v>
      </c>
      <c r="B1324" t="str">
        <v>LAC-1008</v>
      </c>
      <c r="C1324">
        <v>1664</v>
      </c>
      <c r="D1324">
        <v>145</v>
      </c>
      <c r="E1324">
        <v>56.1</v>
      </c>
      <c r="F1324">
        <v>0.5</v>
      </c>
      <c r="G1324">
        <v>0.5</v>
      </c>
      <c r="H1324" t="str">
        <v>OK</v>
      </c>
      <c r="J1324">
        <f t="shared" si="100"/>
        <v>4499.0999999999995</v>
      </c>
      <c r="K1324">
        <f>SUMIF(Supply_Clean[Item_Code], B1324, Supply_Clean[Available_Supply])</f>
        <v>9543</v>
      </c>
      <c r="L1324">
        <f t="shared" si="101"/>
        <v>1</v>
      </c>
      <c r="M1324">
        <f t="shared" si="102"/>
        <v>145</v>
      </c>
      <c r="N1324" t="str">
        <f t="shared" si="103"/>
        <v>SUFICIENTE</v>
      </c>
      <c r="O1324">
        <f t="shared" si="104"/>
        <v>0</v>
      </c>
    </row>
    <row r="1325" spans="1:15" x14ac:dyDescent="0.45">
      <c r="A1325" t="str">
        <v>CD-QRO</v>
      </c>
      <c r="B1325" t="str">
        <v>BOT-1020</v>
      </c>
      <c r="C1325">
        <v>224</v>
      </c>
      <c r="D1325">
        <v>278</v>
      </c>
      <c r="E1325">
        <v>44.1</v>
      </c>
      <c r="F1325">
        <v>2.2999999999999998</v>
      </c>
      <c r="G1325">
        <v>0.4</v>
      </c>
      <c r="H1325" t="str">
        <v>OK</v>
      </c>
      <c r="J1325">
        <f t="shared" si="100"/>
        <v>7693.4</v>
      </c>
      <c r="K1325">
        <f>SUMIF(Supply_Clean[Item_Code], B1325, Supply_Clean[Available_Supply])</f>
        <v>20558</v>
      </c>
      <c r="L1325">
        <f t="shared" si="101"/>
        <v>1</v>
      </c>
      <c r="M1325">
        <f t="shared" si="102"/>
        <v>278</v>
      </c>
      <c r="N1325" t="str">
        <f t="shared" si="103"/>
        <v>SUFICIENTE</v>
      </c>
      <c r="O1325">
        <f t="shared" si="104"/>
        <v>0</v>
      </c>
    </row>
    <row r="1326" spans="1:15" x14ac:dyDescent="0.45">
      <c r="A1326" t="str">
        <v>CD-TOL</v>
      </c>
      <c r="B1326" t="str">
        <v>PRO-1002</v>
      </c>
      <c r="C1326">
        <v>4641</v>
      </c>
      <c r="D1326">
        <v>623.9</v>
      </c>
      <c r="E1326">
        <v>323.2</v>
      </c>
      <c r="F1326">
        <v>2.6</v>
      </c>
      <c r="G1326">
        <v>0.5</v>
      </c>
      <c r="H1326" t="str">
        <v>OK</v>
      </c>
      <c r="J1326">
        <f t="shared" si="100"/>
        <v>6123.6999999999989</v>
      </c>
      <c r="K1326">
        <f>SUMIF(Supply_Clean[Item_Code], B1326, Supply_Clean[Available_Supply])</f>
        <v>17616</v>
      </c>
      <c r="L1326">
        <f t="shared" si="101"/>
        <v>1</v>
      </c>
      <c r="M1326">
        <f t="shared" si="102"/>
        <v>623.9</v>
      </c>
      <c r="N1326" t="str">
        <f t="shared" si="103"/>
        <v>SUFICIENTE</v>
      </c>
      <c r="O1326">
        <f t="shared" si="104"/>
        <v>0</v>
      </c>
    </row>
    <row r="1327" spans="1:15" x14ac:dyDescent="0.45">
      <c r="A1327" t="str">
        <v>CD-LEO</v>
      </c>
      <c r="B1327" t="str">
        <v>PRO-1010</v>
      </c>
      <c r="C1327">
        <v>4619</v>
      </c>
      <c r="D1327">
        <v>480.3</v>
      </c>
      <c r="E1327">
        <v>246.6</v>
      </c>
      <c r="F1327">
        <v>1.8</v>
      </c>
      <c r="G1327">
        <v>0.6</v>
      </c>
      <c r="H1327" t="str">
        <v>OK</v>
      </c>
      <c r="J1327">
        <f t="shared" si="100"/>
        <v>6996.1000000000013</v>
      </c>
      <c r="K1327">
        <f>SUMIF(Supply_Clean[Item_Code], B1327, Supply_Clean[Available_Supply])</f>
        <v>18475</v>
      </c>
      <c r="L1327">
        <f t="shared" si="101"/>
        <v>1</v>
      </c>
      <c r="M1327">
        <f t="shared" si="102"/>
        <v>480.3</v>
      </c>
      <c r="N1327" t="str">
        <f t="shared" si="103"/>
        <v>SUFICIENTE</v>
      </c>
      <c r="O1327">
        <f t="shared" si="104"/>
        <v>0</v>
      </c>
    </row>
    <row r="1328" spans="1:15" x14ac:dyDescent="0.45">
      <c r="A1328" t="str">
        <v>CD-SAL</v>
      </c>
      <c r="B1328" t="str">
        <v>BEB-1014</v>
      </c>
      <c r="C1328">
        <v>1281</v>
      </c>
      <c r="D1328">
        <v>543.29999999999995</v>
      </c>
      <c r="E1328">
        <v>102.9</v>
      </c>
      <c r="F1328">
        <v>1.8</v>
      </c>
      <c r="G1328">
        <v>0.5</v>
      </c>
      <c r="H1328" t="str">
        <v>OK</v>
      </c>
      <c r="J1328">
        <f t="shared" si="100"/>
        <v>6274.9000000000005</v>
      </c>
      <c r="K1328">
        <f>SUMIF(Supply_Clean[Item_Code], B1328, Supply_Clean[Available_Supply])</f>
        <v>14205</v>
      </c>
      <c r="L1328">
        <f t="shared" si="101"/>
        <v>1</v>
      </c>
      <c r="M1328">
        <f t="shared" si="102"/>
        <v>543.29999999999995</v>
      </c>
      <c r="N1328" t="str">
        <f t="shared" si="103"/>
        <v>SUFICIENTE</v>
      </c>
      <c r="O1328">
        <f t="shared" si="104"/>
        <v>0</v>
      </c>
    </row>
    <row r="1329" spans="1:15" x14ac:dyDescent="0.45">
      <c r="A1329" t="str">
        <v>CD-VER</v>
      </c>
      <c r="B1329" t="str">
        <v>ABA-1011</v>
      </c>
      <c r="C1329">
        <v>4041</v>
      </c>
      <c r="D1329">
        <v>521.1</v>
      </c>
      <c r="E1329">
        <v>72.5</v>
      </c>
      <c r="F1329">
        <v>2.2000000000000002</v>
      </c>
      <c r="G1329">
        <v>0.9</v>
      </c>
      <c r="H1329" t="str">
        <v>OK</v>
      </c>
      <c r="J1329">
        <f t="shared" si="100"/>
        <v>4892.0999999999995</v>
      </c>
      <c r="K1329">
        <f>SUMIF(Supply_Clean[Item_Code], B1329, Supply_Clean[Available_Supply])</f>
        <v>9079</v>
      </c>
      <c r="L1329">
        <f t="shared" si="101"/>
        <v>1</v>
      </c>
      <c r="M1329">
        <f t="shared" si="102"/>
        <v>521.1</v>
      </c>
      <c r="N1329" t="str">
        <f t="shared" si="103"/>
        <v>SUFICIENTE</v>
      </c>
      <c r="O1329">
        <f t="shared" si="104"/>
        <v>0</v>
      </c>
    </row>
    <row r="1330" spans="1:15" x14ac:dyDescent="0.45">
      <c r="A1330" t="str">
        <v>CD-CAN</v>
      </c>
      <c r="B1330" t="str">
        <v>ABA-1016</v>
      </c>
      <c r="C1330">
        <v>3681</v>
      </c>
      <c r="D1330">
        <v>379.7</v>
      </c>
      <c r="E1330">
        <v>41.1</v>
      </c>
      <c r="F1330">
        <v>4.7</v>
      </c>
      <c r="G1330">
        <v>1.6</v>
      </c>
      <c r="H1330" t="str">
        <v>OK</v>
      </c>
      <c r="J1330">
        <f t="shared" si="100"/>
        <v>5056.7</v>
      </c>
      <c r="K1330">
        <f>SUMIF(Supply_Clean[Item_Code], B1330, Supply_Clean[Available_Supply])</f>
        <v>9151</v>
      </c>
      <c r="L1330">
        <f t="shared" si="101"/>
        <v>1</v>
      </c>
      <c r="M1330">
        <f t="shared" si="102"/>
        <v>379.7</v>
      </c>
      <c r="N1330" t="str">
        <f t="shared" si="103"/>
        <v>SUFICIENTE</v>
      </c>
      <c r="O1330">
        <f t="shared" si="104"/>
        <v>0</v>
      </c>
    </row>
    <row r="1331" spans="1:15" x14ac:dyDescent="0.45">
      <c r="A1331" t="str">
        <v>CD-MOR</v>
      </c>
      <c r="B1331" t="str">
        <v>BEB-1014</v>
      </c>
      <c r="C1331">
        <v>2173</v>
      </c>
      <c r="D1331">
        <v>276.3</v>
      </c>
      <c r="E1331">
        <v>49.7</v>
      </c>
      <c r="F1331">
        <v>1.5</v>
      </c>
      <c r="G1331">
        <v>0.5</v>
      </c>
      <c r="H1331" t="str">
        <v>OK</v>
      </c>
      <c r="J1331">
        <f t="shared" si="100"/>
        <v>6274.9000000000005</v>
      </c>
      <c r="K1331">
        <f>SUMIF(Supply_Clean[Item_Code], B1331, Supply_Clean[Available_Supply])</f>
        <v>14205</v>
      </c>
      <c r="L1331">
        <f t="shared" si="101"/>
        <v>1</v>
      </c>
      <c r="M1331">
        <f t="shared" si="102"/>
        <v>276.3</v>
      </c>
      <c r="N1331" t="str">
        <f t="shared" si="103"/>
        <v>SUFICIENTE</v>
      </c>
      <c r="O1331">
        <f t="shared" si="104"/>
        <v>0</v>
      </c>
    </row>
    <row r="1332" spans="1:15" x14ac:dyDescent="0.45">
      <c r="A1332" t="str">
        <v>CD-CHI</v>
      </c>
      <c r="B1332" t="str">
        <v>BEB-1010</v>
      </c>
      <c r="C1332">
        <v>2346</v>
      </c>
      <c r="D1332">
        <v>183.7</v>
      </c>
      <c r="E1332">
        <v>24</v>
      </c>
      <c r="F1332">
        <v>2.1</v>
      </c>
      <c r="G1332">
        <v>1</v>
      </c>
      <c r="H1332" t="str">
        <v>OK</v>
      </c>
      <c r="J1332">
        <f t="shared" si="100"/>
        <v>4470.2999999999993</v>
      </c>
      <c r="K1332">
        <f>SUMIF(Supply_Clean[Item_Code], B1332, Supply_Clean[Available_Supply])</f>
        <v>3237</v>
      </c>
      <c r="L1332">
        <f t="shared" si="101"/>
        <v>0.7241124756727737</v>
      </c>
      <c r="M1332">
        <f t="shared" si="102"/>
        <v>133.01946178108852</v>
      </c>
      <c r="N1332" t="str">
        <f t="shared" si="103"/>
        <v>ESCASEZ</v>
      </c>
      <c r="O1332">
        <f t="shared" si="104"/>
        <v>50.680538218911465</v>
      </c>
    </row>
    <row r="1333" spans="1:15" x14ac:dyDescent="0.45">
      <c r="A1333" t="str">
        <v>CD-CHI</v>
      </c>
      <c r="B1333" t="str">
        <v>BOT-1004</v>
      </c>
      <c r="C1333">
        <v>3089</v>
      </c>
      <c r="D1333">
        <v>852.9</v>
      </c>
      <c r="E1333">
        <v>159.1</v>
      </c>
      <c r="F1333">
        <v>2.8</v>
      </c>
      <c r="G1333">
        <v>1</v>
      </c>
      <c r="H1333" t="str">
        <v>OK</v>
      </c>
      <c r="J1333">
        <f t="shared" si="100"/>
        <v>9421.7999999999993</v>
      </c>
      <c r="K1333">
        <f>SUMIF(Supply_Clean[Item_Code], B1333, Supply_Clean[Available_Supply])</f>
        <v>15860</v>
      </c>
      <c r="L1333">
        <f t="shared" si="101"/>
        <v>1</v>
      </c>
      <c r="M1333">
        <f t="shared" si="102"/>
        <v>852.9</v>
      </c>
      <c r="N1333" t="str">
        <f t="shared" si="103"/>
        <v>SUFICIENTE</v>
      </c>
      <c r="O1333">
        <f t="shared" si="104"/>
        <v>0</v>
      </c>
    </row>
    <row r="1334" spans="1:15" x14ac:dyDescent="0.45">
      <c r="A1334" t="str">
        <v>CD-CAN</v>
      </c>
      <c r="B1334" t="str">
        <v>LAC-1016</v>
      </c>
      <c r="C1334">
        <v>2127</v>
      </c>
      <c r="D1334">
        <v>290.10000000000002</v>
      </c>
      <c r="E1334">
        <v>127.6</v>
      </c>
      <c r="F1334">
        <v>5</v>
      </c>
      <c r="G1334">
        <v>1.6</v>
      </c>
      <c r="H1334" t="str">
        <v>OK</v>
      </c>
      <c r="J1334">
        <f t="shared" si="100"/>
        <v>4542.5</v>
      </c>
      <c r="K1334">
        <f>SUMIF(Supply_Clean[Item_Code], B1334, Supply_Clean[Available_Supply])</f>
        <v>12760</v>
      </c>
      <c r="L1334">
        <f t="shared" si="101"/>
        <v>1</v>
      </c>
      <c r="M1334">
        <f t="shared" si="102"/>
        <v>290.10000000000002</v>
      </c>
      <c r="N1334" t="str">
        <f t="shared" si="103"/>
        <v>SUFICIENTE</v>
      </c>
      <c r="O1334">
        <f t="shared" si="104"/>
        <v>0</v>
      </c>
    </row>
    <row r="1335" spans="1:15" x14ac:dyDescent="0.45">
      <c r="A1335" t="str">
        <v>CD-VER</v>
      </c>
      <c r="B1335" t="str">
        <v>BEB-1008</v>
      </c>
      <c r="C1335">
        <v>4792</v>
      </c>
      <c r="D1335">
        <v>493.4</v>
      </c>
      <c r="E1335">
        <v>63.4</v>
      </c>
      <c r="F1335">
        <v>2.2999999999999998</v>
      </c>
      <c r="G1335">
        <v>0.9</v>
      </c>
      <c r="H1335" t="str">
        <v>OK</v>
      </c>
      <c r="J1335">
        <f t="shared" si="100"/>
        <v>6156.9999999999991</v>
      </c>
      <c r="K1335">
        <f>SUMIF(Supply_Clean[Item_Code], B1335, Supply_Clean[Available_Supply])</f>
        <v>18019</v>
      </c>
      <c r="L1335">
        <f t="shared" si="101"/>
        <v>1</v>
      </c>
      <c r="M1335">
        <f t="shared" si="102"/>
        <v>493.4</v>
      </c>
      <c r="N1335" t="str">
        <f t="shared" si="103"/>
        <v>SUFICIENTE</v>
      </c>
      <c r="O1335">
        <f t="shared" si="104"/>
        <v>0</v>
      </c>
    </row>
    <row r="1336" spans="1:15" x14ac:dyDescent="0.45">
      <c r="A1336" t="str">
        <v>CD-TOL</v>
      </c>
      <c r="B1336" t="str">
        <v>ABA-1005</v>
      </c>
      <c r="C1336">
        <v>2450</v>
      </c>
      <c r="D1336">
        <v>478</v>
      </c>
      <c r="E1336">
        <v>56.1</v>
      </c>
      <c r="F1336">
        <v>1.6</v>
      </c>
      <c r="G1336">
        <v>0.5</v>
      </c>
      <c r="H1336" t="str">
        <v>OK</v>
      </c>
      <c r="J1336">
        <f t="shared" si="100"/>
        <v>5173.5999999999995</v>
      </c>
      <c r="K1336">
        <f>SUMIF(Supply_Clean[Item_Code], B1336, Supply_Clean[Available_Supply])</f>
        <v>15028</v>
      </c>
      <c r="L1336">
        <f t="shared" si="101"/>
        <v>1</v>
      </c>
      <c r="M1336">
        <f t="shared" si="102"/>
        <v>478</v>
      </c>
      <c r="N1336" t="str">
        <f t="shared" si="103"/>
        <v>SUFICIENTE</v>
      </c>
      <c r="O1336">
        <f t="shared" si="104"/>
        <v>0</v>
      </c>
    </row>
    <row r="1337" spans="1:15" x14ac:dyDescent="0.45">
      <c r="A1337" t="str">
        <v>CD-CAN</v>
      </c>
      <c r="B1337" t="str">
        <v>BEB-1014</v>
      </c>
      <c r="C1337">
        <v>2177</v>
      </c>
      <c r="D1337">
        <v>212.3</v>
      </c>
      <c r="E1337">
        <v>23.4</v>
      </c>
      <c r="F1337">
        <v>2.6</v>
      </c>
      <c r="G1337">
        <v>1.6</v>
      </c>
      <c r="H1337" t="str">
        <v>OK</v>
      </c>
      <c r="J1337">
        <f t="shared" si="100"/>
        <v>6274.9000000000005</v>
      </c>
      <c r="K1337">
        <f>SUMIF(Supply_Clean[Item_Code], B1337, Supply_Clean[Available_Supply])</f>
        <v>14205</v>
      </c>
      <c r="L1337">
        <f t="shared" si="101"/>
        <v>1</v>
      </c>
      <c r="M1337">
        <f t="shared" si="102"/>
        <v>212.3</v>
      </c>
      <c r="N1337" t="str">
        <f t="shared" si="103"/>
        <v>SUFICIENTE</v>
      </c>
      <c r="O1337">
        <f t="shared" si="104"/>
        <v>0</v>
      </c>
    </row>
    <row r="1338" spans="1:15" x14ac:dyDescent="0.45">
      <c r="A1338" t="str">
        <v>CD-CHI</v>
      </c>
      <c r="B1338" t="str">
        <v>PRO-1015</v>
      </c>
      <c r="C1338">
        <v>2472</v>
      </c>
      <c r="D1338">
        <v>493.6</v>
      </c>
      <c r="E1338">
        <v>288.7</v>
      </c>
      <c r="F1338">
        <v>2.6</v>
      </c>
      <c r="G1338">
        <v>1</v>
      </c>
      <c r="H1338" t="str">
        <v>OK</v>
      </c>
      <c r="J1338">
        <f t="shared" si="100"/>
        <v>5021.5</v>
      </c>
      <c r="K1338">
        <f>SUMIF(Supply_Clean[Item_Code], B1338, Supply_Clean[Available_Supply])</f>
        <v>15970</v>
      </c>
      <c r="L1338">
        <f t="shared" si="101"/>
        <v>1</v>
      </c>
      <c r="M1338">
        <f t="shared" si="102"/>
        <v>493.6</v>
      </c>
      <c r="N1338" t="str">
        <f t="shared" si="103"/>
        <v>SUFICIENTE</v>
      </c>
      <c r="O1338">
        <f t="shared" si="104"/>
        <v>0</v>
      </c>
    </row>
    <row r="1339" spans="1:15" x14ac:dyDescent="0.45">
      <c r="A1339" t="str">
        <v>CD-MOR</v>
      </c>
      <c r="B1339" t="str">
        <v>ABA-1011</v>
      </c>
      <c r="C1339">
        <v>1790</v>
      </c>
      <c r="D1339">
        <v>284.3</v>
      </c>
      <c r="E1339">
        <v>42</v>
      </c>
      <c r="F1339">
        <v>2.5</v>
      </c>
      <c r="G1339">
        <v>0.5</v>
      </c>
      <c r="H1339" t="str">
        <v>OK</v>
      </c>
      <c r="J1339">
        <f t="shared" si="100"/>
        <v>4892.0999999999995</v>
      </c>
      <c r="K1339">
        <f>SUMIF(Supply_Clean[Item_Code], B1339, Supply_Clean[Available_Supply])</f>
        <v>9079</v>
      </c>
      <c r="L1339">
        <f t="shared" si="101"/>
        <v>1</v>
      </c>
      <c r="M1339">
        <f t="shared" si="102"/>
        <v>284.3</v>
      </c>
      <c r="N1339" t="str">
        <f t="shared" si="103"/>
        <v>SUFICIENTE</v>
      </c>
      <c r="O1339">
        <f t="shared" si="104"/>
        <v>0</v>
      </c>
    </row>
    <row r="1340" spans="1:15" x14ac:dyDescent="0.45">
      <c r="A1340" t="str">
        <v>CD-TIJ</v>
      </c>
      <c r="B1340" t="str">
        <v>ABA-1013</v>
      </c>
      <c r="C1340">
        <v>2876</v>
      </c>
      <c r="D1340">
        <v>361.9</v>
      </c>
      <c r="E1340">
        <v>48.2</v>
      </c>
      <c r="F1340">
        <v>2.7</v>
      </c>
      <c r="G1340">
        <v>1.5</v>
      </c>
      <c r="H1340" t="str">
        <v>OK</v>
      </c>
      <c r="J1340">
        <f t="shared" si="100"/>
        <v>4213.8999999999996</v>
      </c>
      <c r="K1340">
        <f>SUMIF(Supply_Clean[Item_Code], B1340, Supply_Clean[Available_Supply])</f>
        <v>2568</v>
      </c>
      <c r="L1340">
        <f t="shared" si="101"/>
        <v>0.60941170886826934</v>
      </c>
      <c r="M1340">
        <f t="shared" si="102"/>
        <v>220.54609743942666</v>
      </c>
      <c r="N1340" t="str">
        <f t="shared" si="103"/>
        <v>ESCASEZ</v>
      </c>
      <c r="O1340">
        <f t="shared" si="104"/>
        <v>141.35390256057332</v>
      </c>
    </row>
    <row r="1341" spans="1:15" x14ac:dyDescent="0.45">
      <c r="A1341" t="str">
        <v>CD-MOR</v>
      </c>
      <c r="B1341" t="str">
        <v>BEB-1018</v>
      </c>
      <c r="C1341">
        <v>9361</v>
      </c>
      <c r="D1341">
        <v>676</v>
      </c>
      <c r="E1341">
        <v>129.80000000000001</v>
      </c>
      <c r="F1341">
        <v>2</v>
      </c>
      <c r="G1341">
        <v>0.5</v>
      </c>
      <c r="H1341" t="str">
        <v>OK</v>
      </c>
      <c r="J1341">
        <f t="shared" si="100"/>
        <v>5898.0999999999995</v>
      </c>
      <c r="K1341">
        <f>SUMIF(Supply_Clean[Item_Code], B1341, Supply_Clean[Available_Supply])</f>
        <v>11472</v>
      </c>
      <c r="L1341">
        <f t="shared" si="101"/>
        <v>1</v>
      </c>
      <c r="M1341">
        <f t="shared" si="102"/>
        <v>676</v>
      </c>
      <c r="N1341" t="str">
        <f t="shared" si="103"/>
        <v>SUFICIENTE</v>
      </c>
      <c r="O1341">
        <f t="shared" si="104"/>
        <v>0</v>
      </c>
    </row>
    <row r="1342" spans="1:15" x14ac:dyDescent="0.45">
      <c r="A1342" t="str">
        <v>CD-HER</v>
      </c>
      <c r="B1342" t="str">
        <v>LAC-1009</v>
      </c>
      <c r="C1342">
        <v>3112</v>
      </c>
      <c r="D1342">
        <v>283.8</v>
      </c>
      <c r="E1342">
        <v>109</v>
      </c>
      <c r="F1342">
        <v>4.8</v>
      </c>
      <c r="G1342">
        <v>1.2</v>
      </c>
      <c r="H1342" t="str">
        <v>OK</v>
      </c>
      <c r="J1342">
        <f t="shared" si="100"/>
        <v>4163.3999999999996</v>
      </c>
      <c r="K1342">
        <f>SUMIF(Supply_Clean[Item_Code], B1342, Supply_Clean[Available_Supply])</f>
        <v>6523</v>
      </c>
      <c r="L1342">
        <f t="shared" si="101"/>
        <v>1</v>
      </c>
      <c r="M1342">
        <f t="shared" si="102"/>
        <v>283.8</v>
      </c>
      <c r="N1342" t="str">
        <f t="shared" si="103"/>
        <v>SUFICIENTE</v>
      </c>
      <c r="O1342">
        <f t="shared" si="104"/>
        <v>0</v>
      </c>
    </row>
    <row r="1343" spans="1:15" x14ac:dyDescent="0.45">
      <c r="A1343" t="str">
        <v>CD-CAN</v>
      </c>
      <c r="B1343" t="str">
        <v>BOT-1010</v>
      </c>
      <c r="C1343">
        <v>4176</v>
      </c>
      <c r="D1343">
        <v>0</v>
      </c>
      <c r="E1343">
        <v>71.7</v>
      </c>
      <c r="F1343">
        <v>4.3</v>
      </c>
      <c r="G1343">
        <v>1.6</v>
      </c>
      <c r="H1343" t="str">
        <v>OK</v>
      </c>
      <c r="J1343">
        <f t="shared" si="100"/>
        <v>7108.7000000000007</v>
      </c>
      <c r="K1343">
        <f>SUMIF(Supply_Clean[Item_Code], B1343, Supply_Clean[Available_Supply])</f>
        <v>21582</v>
      </c>
      <c r="L1343">
        <f t="shared" si="101"/>
        <v>1</v>
      </c>
      <c r="M1343">
        <f t="shared" si="102"/>
        <v>0</v>
      </c>
      <c r="N1343" t="str">
        <f t="shared" si="103"/>
        <v>SUFICIENTE</v>
      </c>
      <c r="O1343">
        <f t="shared" si="104"/>
        <v>0</v>
      </c>
    </row>
    <row r="1344" spans="1:15" x14ac:dyDescent="0.45">
      <c r="A1344" t="str">
        <v>CD-PUE</v>
      </c>
      <c r="B1344" t="str">
        <v>ABA-1008</v>
      </c>
      <c r="C1344">
        <v>4425</v>
      </c>
      <c r="D1344">
        <v>275.39999999999998</v>
      </c>
      <c r="E1344">
        <v>22.8</v>
      </c>
      <c r="F1344">
        <v>0.6</v>
      </c>
      <c r="G1344">
        <v>0.3</v>
      </c>
      <c r="H1344" t="str">
        <v>OK</v>
      </c>
      <c r="J1344">
        <f t="shared" si="100"/>
        <v>4717.2000000000007</v>
      </c>
      <c r="K1344">
        <f>SUMIF(Supply_Clean[Item_Code], B1344, Supply_Clean[Available_Supply])</f>
        <v>9747</v>
      </c>
      <c r="L1344">
        <f t="shared" si="101"/>
        <v>1</v>
      </c>
      <c r="M1344">
        <f t="shared" si="102"/>
        <v>275.39999999999998</v>
      </c>
      <c r="N1344" t="str">
        <f t="shared" si="103"/>
        <v>SUFICIENTE</v>
      </c>
      <c r="O1344">
        <f t="shared" si="104"/>
        <v>0</v>
      </c>
    </row>
    <row r="1345" spans="1:15" x14ac:dyDescent="0.45">
      <c r="A1345" t="str">
        <v>CD-LEO</v>
      </c>
      <c r="B1345" t="str">
        <v>PRO-1003</v>
      </c>
      <c r="C1345">
        <v>2682</v>
      </c>
      <c r="D1345">
        <v>667.1</v>
      </c>
      <c r="E1345">
        <v>400.7</v>
      </c>
      <c r="F1345">
        <v>1.2</v>
      </c>
      <c r="G1345">
        <v>0.6</v>
      </c>
      <c r="H1345" t="str">
        <v>OK</v>
      </c>
      <c r="J1345">
        <f t="shared" si="100"/>
        <v>6234.9</v>
      </c>
      <c r="K1345">
        <f>SUMIF(Supply_Clean[Item_Code], B1345, Supply_Clean[Available_Supply])</f>
        <v>10658</v>
      </c>
      <c r="L1345">
        <f t="shared" si="101"/>
        <v>1</v>
      </c>
      <c r="M1345">
        <f t="shared" si="102"/>
        <v>667.1</v>
      </c>
      <c r="N1345" t="str">
        <f t="shared" si="103"/>
        <v>SUFICIENTE</v>
      </c>
      <c r="O1345">
        <f t="shared" si="104"/>
        <v>0</v>
      </c>
    </row>
    <row r="1346" spans="1:15" x14ac:dyDescent="0.45">
      <c r="A1346" t="str">
        <v>CD-CHI</v>
      </c>
      <c r="B1346" t="str">
        <v>LAC-1013</v>
      </c>
      <c r="C1346">
        <v>880</v>
      </c>
      <c r="D1346">
        <v>202.8</v>
      </c>
      <c r="E1346">
        <v>66.900000000000006</v>
      </c>
      <c r="F1346">
        <v>2.7</v>
      </c>
      <c r="G1346">
        <v>1</v>
      </c>
      <c r="H1346" t="str">
        <v>OK</v>
      </c>
      <c r="J1346">
        <f t="shared" si="100"/>
        <v>3650.7</v>
      </c>
      <c r="K1346">
        <f>SUMIF(Supply_Clean[Item_Code], B1346, Supply_Clean[Available_Supply])</f>
        <v>12026</v>
      </c>
      <c r="L1346">
        <f t="shared" si="101"/>
        <v>1</v>
      </c>
      <c r="M1346">
        <f t="shared" si="102"/>
        <v>202.8</v>
      </c>
      <c r="N1346" t="str">
        <f t="shared" si="103"/>
        <v>SUFICIENTE</v>
      </c>
      <c r="O1346">
        <f t="shared" si="104"/>
        <v>0</v>
      </c>
    </row>
    <row r="1347" spans="1:15" x14ac:dyDescent="0.45">
      <c r="A1347" t="str">
        <v>CD-TOL</v>
      </c>
      <c r="B1347" t="str">
        <v>PRO-1004</v>
      </c>
      <c r="C1347">
        <v>2437</v>
      </c>
      <c r="D1347">
        <v>200.4</v>
      </c>
      <c r="E1347">
        <v>90.1</v>
      </c>
      <c r="F1347">
        <v>2.2000000000000002</v>
      </c>
      <c r="G1347">
        <v>0.5</v>
      </c>
      <c r="H1347" t="str">
        <v>OK</v>
      </c>
      <c r="J1347">
        <f t="shared" ref="J1347:J1410" si="105">SUMIF($B$2:$B$1501, B1347, $D$2:$D$1501)</f>
        <v>5295.1999999999989</v>
      </c>
      <c r="K1347">
        <f>SUMIF(Supply_Clean[Item_Code], B1347, Supply_Clean[Available_Supply])</f>
        <v>13057</v>
      </c>
      <c r="L1347">
        <f t="shared" ref="L1347:L1410" si="106">IFERROR(MIN(1, K1347/J1347), "")</f>
        <v>1</v>
      </c>
      <c r="M1347">
        <f t="shared" ref="M1347:M1410" si="107">IFERROR(D1347*L1347, "")</f>
        <v>200.4</v>
      </c>
      <c r="N1347" t="str">
        <f t="shared" ref="N1347:N1410" si="108">IF(L1347&lt;1, "ESCASEZ", "SUFICIENTE")</f>
        <v>SUFICIENTE</v>
      </c>
      <c r="O1347">
        <f t="shared" ref="O1347:O1410" si="109">IF(N1347="ESCASEZ", D1347-M1347, 0)</f>
        <v>0</v>
      </c>
    </row>
    <row r="1348" spans="1:15" x14ac:dyDescent="0.45">
      <c r="A1348" t="str">
        <v>CD-PUE</v>
      </c>
      <c r="B1348" t="str">
        <v>BOT-1008</v>
      </c>
      <c r="C1348">
        <v>2685</v>
      </c>
      <c r="D1348">
        <v>567.5</v>
      </c>
      <c r="E1348">
        <v>135.9</v>
      </c>
      <c r="F1348">
        <v>1.4</v>
      </c>
      <c r="G1348">
        <v>0.3</v>
      </c>
      <c r="H1348" t="str">
        <v>OK</v>
      </c>
      <c r="J1348">
        <f t="shared" si="105"/>
        <v>7758.6</v>
      </c>
      <c r="K1348">
        <f>SUMIF(Supply_Clean[Item_Code], B1348, Supply_Clean[Available_Supply])</f>
        <v>25288</v>
      </c>
      <c r="L1348">
        <f t="shared" si="106"/>
        <v>1</v>
      </c>
      <c r="M1348">
        <f t="shared" si="107"/>
        <v>567.5</v>
      </c>
      <c r="N1348" t="str">
        <f t="shared" si="108"/>
        <v>SUFICIENTE</v>
      </c>
      <c r="O1348">
        <f t="shared" si="109"/>
        <v>0</v>
      </c>
    </row>
    <row r="1349" spans="1:15" x14ac:dyDescent="0.45">
      <c r="A1349" t="str">
        <v>CD-GDL</v>
      </c>
      <c r="B1349" t="str">
        <v>LAC-1014</v>
      </c>
      <c r="C1349">
        <v>8548</v>
      </c>
      <c r="D1349">
        <v>489.8</v>
      </c>
      <c r="E1349">
        <v>150.4</v>
      </c>
      <c r="F1349">
        <v>0.8</v>
      </c>
      <c r="G1349">
        <v>0.2</v>
      </c>
      <c r="H1349" t="str">
        <v>OK</v>
      </c>
      <c r="J1349">
        <f t="shared" si="105"/>
        <v>4121.5</v>
      </c>
      <c r="K1349">
        <f>SUMIF(Supply_Clean[Item_Code], B1349, Supply_Clean[Available_Supply])</f>
        <v>8260</v>
      </c>
      <c r="L1349">
        <f t="shared" si="106"/>
        <v>1</v>
      </c>
      <c r="M1349">
        <f t="shared" si="107"/>
        <v>489.8</v>
      </c>
      <c r="N1349" t="str">
        <f t="shared" si="108"/>
        <v>SUFICIENTE</v>
      </c>
      <c r="O1349">
        <f t="shared" si="109"/>
        <v>0</v>
      </c>
    </row>
    <row r="1350" spans="1:15" x14ac:dyDescent="0.45">
      <c r="A1350" t="str">
        <v>CD-MER</v>
      </c>
      <c r="B1350" t="str">
        <v>ABA-1005</v>
      </c>
      <c r="C1350">
        <v>1226</v>
      </c>
      <c r="D1350">
        <v>261</v>
      </c>
      <c r="E1350">
        <v>21</v>
      </c>
      <c r="F1350">
        <v>3.5</v>
      </c>
      <c r="G1350">
        <v>1.3</v>
      </c>
      <c r="H1350" t="str">
        <v>OK</v>
      </c>
      <c r="J1350">
        <f t="shared" si="105"/>
        <v>5173.5999999999995</v>
      </c>
      <c r="K1350">
        <f>SUMIF(Supply_Clean[Item_Code], B1350, Supply_Clean[Available_Supply])</f>
        <v>15028</v>
      </c>
      <c r="L1350">
        <f t="shared" si="106"/>
        <v>1</v>
      </c>
      <c r="M1350">
        <f t="shared" si="107"/>
        <v>261</v>
      </c>
      <c r="N1350" t="str">
        <f t="shared" si="108"/>
        <v>SUFICIENTE</v>
      </c>
      <c r="O1350">
        <f t="shared" si="109"/>
        <v>0</v>
      </c>
    </row>
    <row r="1351" spans="1:15" x14ac:dyDescent="0.45">
      <c r="A1351" t="str">
        <v>CD-HER</v>
      </c>
      <c r="B1351" t="str">
        <v>BOT-1012</v>
      </c>
      <c r="C1351">
        <v>7120</v>
      </c>
      <c r="D1351">
        <v>430.3</v>
      </c>
      <c r="E1351">
        <v>128.1</v>
      </c>
      <c r="F1351">
        <v>3.9</v>
      </c>
      <c r="G1351">
        <v>1.2</v>
      </c>
      <c r="H1351" t="str">
        <v>OK</v>
      </c>
      <c r="J1351">
        <f t="shared" si="105"/>
        <v>9259.4</v>
      </c>
      <c r="K1351">
        <f>SUMIF(Supply_Clean[Item_Code], B1351, Supply_Clean[Available_Supply])</f>
        <v>13943</v>
      </c>
      <c r="L1351">
        <f t="shared" si="106"/>
        <v>1</v>
      </c>
      <c r="M1351">
        <f t="shared" si="107"/>
        <v>430.3</v>
      </c>
      <c r="N1351" t="str">
        <f t="shared" si="108"/>
        <v>SUFICIENTE</v>
      </c>
      <c r="O1351">
        <f t="shared" si="109"/>
        <v>0</v>
      </c>
    </row>
    <row r="1352" spans="1:15" x14ac:dyDescent="0.45">
      <c r="A1352" t="str">
        <v>CD-GDL</v>
      </c>
      <c r="B1352" t="str">
        <v>BOT-1003</v>
      </c>
      <c r="C1352">
        <v>4904</v>
      </c>
      <c r="D1352">
        <v>783.7</v>
      </c>
      <c r="E1352">
        <v>191.5</v>
      </c>
      <c r="F1352">
        <v>0.7</v>
      </c>
      <c r="G1352">
        <v>0.2</v>
      </c>
      <c r="H1352" t="str">
        <v>OK</v>
      </c>
      <c r="J1352">
        <f t="shared" si="105"/>
        <v>8902.7999999999993</v>
      </c>
      <c r="K1352">
        <f>SUMIF(Supply_Clean[Item_Code], B1352, Supply_Clean[Available_Supply])</f>
        <v>24326</v>
      </c>
      <c r="L1352">
        <f t="shared" si="106"/>
        <v>1</v>
      </c>
      <c r="M1352">
        <f t="shared" si="107"/>
        <v>783.7</v>
      </c>
      <c r="N1352" t="str">
        <f t="shared" si="108"/>
        <v>SUFICIENTE</v>
      </c>
      <c r="O1352">
        <f t="shared" si="109"/>
        <v>0</v>
      </c>
    </row>
    <row r="1353" spans="1:15" x14ac:dyDescent="0.45">
      <c r="A1353" t="str">
        <v>CD-VER</v>
      </c>
      <c r="B1353" t="str">
        <v>ABA-1010</v>
      </c>
      <c r="C1353">
        <v>2805</v>
      </c>
      <c r="D1353">
        <v>277.89999999999998</v>
      </c>
      <c r="E1353">
        <v>41.2</v>
      </c>
      <c r="F1353">
        <v>2</v>
      </c>
      <c r="G1353">
        <v>0.9</v>
      </c>
      <c r="H1353" t="str">
        <v>OK</v>
      </c>
      <c r="J1353">
        <f t="shared" si="105"/>
        <v>4871.7</v>
      </c>
      <c r="K1353">
        <f>SUMIF(Supply_Clean[Item_Code], B1353, Supply_Clean[Available_Supply])</f>
        <v>9875</v>
      </c>
      <c r="L1353">
        <f t="shared" si="106"/>
        <v>1</v>
      </c>
      <c r="M1353">
        <f t="shared" si="107"/>
        <v>277.89999999999998</v>
      </c>
      <c r="N1353" t="str">
        <f t="shared" si="108"/>
        <v>SUFICIENTE</v>
      </c>
      <c r="O1353">
        <f t="shared" si="109"/>
        <v>0</v>
      </c>
    </row>
    <row r="1354" spans="1:15" x14ac:dyDescent="0.45">
      <c r="A1354" t="str">
        <v>CD-PUE</v>
      </c>
      <c r="B1354" t="str">
        <v>ABA-1006</v>
      </c>
      <c r="C1354">
        <v>3273</v>
      </c>
      <c r="D1354">
        <v>255.5</v>
      </c>
      <c r="E1354">
        <v>22.3</v>
      </c>
      <c r="F1354">
        <v>0.7</v>
      </c>
      <c r="G1354">
        <v>0.3</v>
      </c>
      <c r="H1354" t="str">
        <v>OK</v>
      </c>
      <c r="J1354">
        <f t="shared" si="105"/>
        <v>4882.1000000000004</v>
      </c>
      <c r="K1354">
        <f>SUMIF(Supply_Clean[Item_Code], B1354, Supply_Clean[Available_Supply])</f>
        <v>15586</v>
      </c>
      <c r="L1354">
        <f t="shared" si="106"/>
        <v>1</v>
      </c>
      <c r="M1354">
        <f t="shared" si="107"/>
        <v>255.5</v>
      </c>
      <c r="N1354" t="str">
        <f t="shared" si="108"/>
        <v>SUFICIENTE</v>
      </c>
      <c r="O1354">
        <f t="shared" si="109"/>
        <v>0</v>
      </c>
    </row>
    <row r="1355" spans="1:15" x14ac:dyDescent="0.45">
      <c r="A1355" t="str">
        <v>CD-CAN</v>
      </c>
      <c r="B1355" t="str">
        <v>ABA-1008</v>
      </c>
      <c r="C1355">
        <v>2825</v>
      </c>
      <c r="D1355">
        <v>269.7</v>
      </c>
      <c r="E1355">
        <v>35.4</v>
      </c>
      <c r="F1355">
        <v>3.9</v>
      </c>
      <c r="G1355">
        <v>1.6</v>
      </c>
      <c r="H1355" t="str">
        <v>OK</v>
      </c>
      <c r="J1355">
        <f t="shared" si="105"/>
        <v>4717.2000000000007</v>
      </c>
      <c r="K1355">
        <f>SUMIF(Supply_Clean[Item_Code], B1355, Supply_Clean[Available_Supply])</f>
        <v>9747</v>
      </c>
      <c r="L1355">
        <f t="shared" si="106"/>
        <v>1</v>
      </c>
      <c r="M1355">
        <f t="shared" si="107"/>
        <v>269.7</v>
      </c>
      <c r="N1355" t="str">
        <f t="shared" si="108"/>
        <v>SUFICIENTE</v>
      </c>
      <c r="O1355">
        <f t="shared" si="109"/>
        <v>0</v>
      </c>
    </row>
    <row r="1356" spans="1:15" x14ac:dyDescent="0.45">
      <c r="A1356" t="str">
        <v>CD-GDL</v>
      </c>
      <c r="B1356" t="str">
        <v>BOT-1002</v>
      </c>
      <c r="C1356">
        <v>5317</v>
      </c>
      <c r="D1356">
        <v>501.8</v>
      </c>
      <c r="E1356">
        <v>137.1</v>
      </c>
      <c r="F1356">
        <v>1.3</v>
      </c>
      <c r="G1356">
        <v>0.2</v>
      </c>
      <c r="H1356" t="str">
        <v>OK</v>
      </c>
      <c r="J1356">
        <f t="shared" si="105"/>
        <v>8527</v>
      </c>
      <c r="K1356">
        <f>SUMIF(Supply_Clean[Item_Code], B1356, Supply_Clean[Available_Supply])</f>
        <v>25048</v>
      </c>
      <c r="L1356">
        <f t="shared" si="106"/>
        <v>1</v>
      </c>
      <c r="M1356">
        <f t="shared" si="107"/>
        <v>501.8</v>
      </c>
      <c r="N1356" t="str">
        <f t="shared" si="108"/>
        <v>SUFICIENTE</v>
      </c>
      <c r="O1356">
        <f t="shared" si="109"/>
        <v>0</v>
      </c>
    </row>
    <row r="1357" spans="1:15" x14ac:dyDescent="0.45">
      <c r="A1357" t="str">
        <v>CD-GDL</v>
      </c>
      <c r="B1357" t="str">
        <v>ABA-1001</v>
      </c>
      <c r="C1357">
        <v>2164</v>
      </c>
      <c r="D1357">
        <v>0</v>
      </c>
      <c r="E1357">
        <v>42.9</v>
      </c>
      <c r="F1357">
        <v>0.8</v>
      </c>
      <c r="G1357">
        <v>0.2</v>
      </c>
      <c r="H1357" t="str">
        <v>OK</v>
      </c>
      <c r="J1357">
        <f t="shared" si="105"/>
        <v>4698.6999999999989</v>
      </c>
      <c r="K1357">
        <f>SUMIF(Supply_Clean[Item_Code], B1357, Supply_Clean[Available_Supply])</f>
        <v>8775</v>
      </c>
      <c r="L1357">
        <f t="shared" si="106"/>
        <v>1</v>
      </c>
      <c r="M1357">
        <f t="shared" si="107"/>
        <v>0</v>
      </c>
      <c r="N1357" t="str">
        <f t="shared" si="108"/>
        <v>SUFICIENTE</v>
      </c>
      <c r="O1357">
        <f t="shared" si="109"/>
        <v>0</v>
      </c>
    </row>
    <row r="1358" spans="1:15" x14ac:dyDescent="0.45">
      <c r="A1358" t="str">
        <v>CD-CDMX</v>
      </c>
      <c r="B1358" t="str">
        <v>LAC-1000</v>
      </c>
      <c r="C1358">
        <v>6256</v>
      </c>
      <c r="D1358">
        <v>390.5</v>
      </c>
      <c r="E1358">
        <v>125.3</v>
      </c>
      <c r="F1358">
        <v>1.1000000000000001</v>
      </c>
      <c r="G1358">
        <v>0.2</v>
      </c>
      <c r="H1358" t="str">
        <v>OK</v>
      </c>
      <c r="J1358">
        <f t="shared" si="105"/>
        <v>4987.8</v>
      </c>
      <c r="K1358">
        <f>SUMIF(Supply_Clean[Item_Code], B1358, Supply_Clean[Available_Supply])</f>
        <v>12568</v>
      </c>
      <c r="L1358">
        <f t="shared" si="106"/>
        <v>1</v>
      </c>
      <c r="M1358">
        <f t="shared" si="107"/>
        <v>390.5</v>
      </c>
      <c r="N1358" t="str">
        <f t="shared" si="108"/>
        <v>SUFICIENTE</v>
      </c>
      <c r="O1358">
        <f t="shared" si="109"/>
        <v>0</v>
      </c>
    </row>
    <row r="1359" spans="1:15" x14ac:dyDescent="0.45">
      <c r="A1359" t="str">
        <v>CD-SAL</v>
      </c>
      <c r="B1359" t="str">
        <v>BOT-1022</v>
      </c>
      <c r="C1359">
        <v>3157</v>
      </c>
      <c r="D1359">
        <v>675.8</v>
      </c>
      <c r="E1359">
        <v>197.1</v>
      </c>
      <c r="F1359">
        <v>3.2</v>
      </c>
      <c r="G1359">
        <v>0.5</v>
      </c>
      <c r="H1359" t="str">
        <v>OK</v>
      </c>
      <c r="J1359">
        <f t="shared" si="105"/>
        <v>9197.7000000000007</v>
      </c>
      <c r="K1359">
        <f>SUMIF(Supply_Clean[Item_Code], B1359, Supply_Clean[Available_Supply])</f>
        <v>23862</v>
      </c>
      <c r="L1359">
        <f t="shared" si="106"/>
        <v>1</v>
      </c>
      <c r="M1359">
        <f t="shared" si="107"/>
        <v>675.8</v>
      </c>
      <c r="N1359" t="str">
        <f t="shared" si="108"/>
        <v>SUFICIENTE</v>
      </c>
      <c r="O1359">
        <f t="shared" si="109"/>
        <v>0</v>
      </c>
    </row>
    <row r="1360" spans="1:15" x14ac:dyDescent="0.45">
      <c r="A1360" t="str">
        <v>CD-CDMX</v>
      </c>
      <c r="B1360" t="str">
        <v>ABA-1016</v>
      </c>
      <c r="C1360">
        <v>1453</v>
      </c>
      <c r="D1360">
        <v>290.39999999999998</v>
      </c>
      <c r="E1360">
        <v>39.799999999999997</v>
      </c>
      <c r="F1360">
        <v>1.1000000000000001</v>
      </c>
      <c r="G1360">
        <v>0.2</v>
      </c>
      <c r="H1360" t="str">
        <v>OK</v>
      </c>
      <c r="J1360">
        <f t="shared" si="105"/>
        <v>5056.7</v>
      </c>
      <c r="K1360">
        <f>SUMIF(Supply_Clean[Item_Code], B1360, Supply_Clean[Available_Supply])</f>
        <v>9151</v>
      </c>
      <c r="L1360">
        <f t="shared" si="106"/>
        <v>1</v>
      </c>
      <c r="M1360">
        <f t="shared" si="107"/>
        <v>290.39999999999998</v>
      </c>
      <c r="N1360" t="str">
        <f t="shared" si="108"/>
        <v>SUFICIENTE</v>
      </c>
      <c r="O1360">
        <f t="shared" si="109"/>
        <v>0</v>
      </c>
    </row>
    <row r="1361" spans="1:15" x14ac:dyDescent="0.45">
      <c r="A1361" t="str">
        <v>CD-HER</v>
      </c>
      <c r="B1361" t="str">
        <v>BOT-1007</v>
      </c>
      <c r="C1361">
        <v>6432</v>
      </c>
      <c r="D1361">
        <v>506.3</v>
      </c>
      <c r="E1361">
        <v>140.5</v>
      </c>
      <c r="F1361">
        <v>3</v>
      </c>
      <c r="G1361">
        <v>1.2</v>
      </c>
      <c r="H1361" t="str">
        <v>OK</v>
      </c>
      <c r="J1361">
        <f t="shared" si="105"/>
        <v>7508.1</v>
      </c>
      <c r="K1361">
        <f>SUMIF(Supply_Clean[Item_Code], B1361, Supply_Clean[Available_Supply])</f>
        <v>16668</v>
      </c>
      <c r="L1361">
        <f t="shared" si="106"/>
        <v>1</v>
      </c>
      <c r="M1361">
        <f t="shared" si="107"/>
        <v>506.3</v>
      </c>
      <c r="N1361" t="str">
        <f t="shared" si="108"/>
        <v>SUFICIENTE</v>
      </c>
      <c r="O1361">
        <f t="shared" si="109"/>
        <v>0</v>
      </c>
    </row>
    <row r="1362" spans="1:15" x14ac:dyDescent="0.45">
      <c r="A1362" t="str">
        <v>CD-GDL</v>
      </c>
      <c r="B1362" t="str">
        <v>BOT-1012</v>
      </c>
      <c r="C1362">
        <v>7598</v>
      </c>
      <c r="D1362">
        <v>502.7</v>
      </c>
      <c r="E1362">
        <v>76.7</v>
      </c>
      <c r="F1362">
        <v>1</v>
      </c>
      <c r="G1362">
        <v>0.2</v>
      </c>
      <c r="H1362" t="str">
        <v>OK</v>
      </c>
      <c r="J1362">
        <f t="shared" si="105"/>
        <v>9259.4</v>
      </c>
      <c r="K1362">
        <f>SUMIF(Supply_Clean[Item_Code], B1362, Supply_Clean[Available_Supply])</f>
        <v>13943</v>
      </c>
      <c r="L1362">
        <f t="shared" si="106"/>
        <v>1</v>
      </c>
      <c r="M1362">
        <f t="shared" si="107"/>
        <v>502.7</v>
      </c>
      <c r="N1362" t="str">
        <f t="shared" si="108"/>
        <v>SUFICIENTE</v>
      </c>
      <c r="O1362">
        <f t="shared" si="109"/>
        <v>0</v>
      </c>
    </row>
    <row r="1363" spans="1:15" x14ac:dyDescent="0.45">
      <c r="A1363" t="str">
        <v>CD-TIJ</v>
      </c>
      <c r="B1363" t="str">
        <v>BEB-1019</v>
      </c>
      <c r="C1363">
        <v>2547</v>
      </c>
      <c r="D1363">
        <v>594.4</v>
      </c>
      <c r="E1363">
        <v>103.5</v>
      </c>
      <c r="F1363">
        <v>6.3</v>
      </c>
      <c r="G1363">
        <v>1.5</v>
      </c>
      <c r="H1363" t="str">
        <v>OK</v>
      </c>
      <c r="J1363">
        <f t="shared" si="105"/>
        <v>5453.6</v>
      </c>
      <c r="K1363">
        <f>SUMIF(Supply_Clean[Item_Code], B1363, Supply_Clean[Available_Supply])</f>
        <v>15099</v>
      </c>
      <c r="L1363">
        <f t="shared" si="106"/>
        <v>1</v>
      </c>
      <c r="M1363">
        <f t="shared" si="107"/>
        <v>594.4</v>
      </c>
      <c r="N1363" t="str">
        <f t="shared" si="108"/>
        <v>SUFICIENTE</v>
      </c>
      <c r="O1363">
        <f t="shared" si="109"/>
        <v>0</v>
      </c>
    </row>
    <row r="1364" spans="1:15" x14ac:dyDescent="0.45">
      <c r="A1364" t="str">
        <v>CD-CAN</v>
      </c>
      <c r="B1364" t="str">
        <v>PRO-1010</v>
      </c>
      <c r="C1364">
        <v>8949</v>
      </c>
      <c r="D1364">
        <v>609.5</v>
      </c>
      <c r="E1364">
        <v>261.5</v>
      </c>
      <c r="F1364">
        <v>7.9</v>
      </c>
      <c r="G1364">
        <v>1.6</v>
      </c>
      <c r="H1364" t="str">
        <v>OK</v>
      </c>
      <c r="J1364">
        <f t="shared" si="105"/>
        <v>6996.1000000000013</v>
      </c>
      <c r="K1364">
        <f>SUMIF(Supply_Clean[Item_Code], B1364, Supply_Clean[Available_Supply])</f>
        <v>18475</v>
      </c>
      <c r="L1364">
        <f t="shared" si="106"/>
        <v>1</v>
      </c>
      <c r="M1364">
        <f t="shared" si="107"/>
        <v>609.5</v>
      </c>
      <c r="N1364" t="str">
        <f t="shared" si="108"/>
        <v>SUFICIENTE</v>
      </c>
      <c r="O1364">
        <f t="shared" si="109"/>
        <v>0</v>
      </c>
    </row>
    <row r="1365" spans="1:15" x14ac:dyDescent="0.45">
      <c r="A1365" t="str">
        <v>CD-LEO</v>
      </c>
      <c r="B1365" t="str">
        <v>LAC-1015</v>
      </c>
      <c r="C1365">
        <v>7448</v>
      </c>
      <c r="D1365">
        <v>0</v>
      </c>
      <c r="E1365">
        <v>172.2</v>
      </c>
      <c r="F1365">
        <v>1.5</v>
      </c>
      <c r="G1365">
        <v>0.6</v>
      </c>
      <c r="H1365" t="str">
        <v>OK</v>
      </c>
      <c r="J1365">
        <f t="shared" si="105"/>
        <v>3982.7000000000007</v>
      </c>
      <c r="K1365">
        <f>SUMIF(Supply_Clean[Item_Code], B1365, Supply_Clean[Available_Supply])</f>
        <v>8604</v>
      </c>
      <c r="L1365">
        <f t="shared" si="106"/>
        <v>1</v>
      </c>
      <c r="M1365">
        <f t="shared" si="107"/>
        <v>0</v>
      </c>
      <c r="N1365" t="str">
        <f t="shared" si="108"/>
        <v>SUFICIENTE</v>
      </c>
      <c r="O1365">
        <f t="shared" si="109"/>
        <v>0</v>
      </c>
    </row>
    <row r="1366" spans="1:15" x14ac:dyDescent="0.45">
      <c r="A1366" t="str">
        <v>CD-LEO</v>
      </c>
      <c r="B1366" t="str">
        <v>BEB-1013</v>
      </c>
      <c r="C1366">
        <v>1614</v>
      </c>
      <c r="D1366">
        <v>506.8</v>
      </c>
      <c r="E1366">
        <v>85.1</v>
      </c>
      <c r="F1366">
        <v>1.4</v>
      </c>
      <c r="G1366">
        <v>0.6</v>
      </c>
      <c r="H1366" t="str">
        <v>OK</v>
      </c>
      <c r="J1366">
        <f t="shared" si="105"/>
        <v>6158.7000000000007</v>
      </c>
      <c r="K1366">
        <f>SUMIF(Supply_Clean[Item_Code], B1366, Supply_Clean[Available_Supply])</f>
        <v>3246</v>
      </c>
      <c r="L1366">
        <f t="shared" si="106"/>
        <v>0.52705928199132923</v>
      </c>
      <c r="M1366">
        <f t="shared" si="107"/>
        <v>267.11364411320568</v>
      </c>
      <c r="N1366" t="str">
        <f t="shared" si="108"/>
        <v>ESCASEZ</v>
      </c>
      <c r="O1366">
        <f t="shared" si="109"/>
        <v>239.68635588679433</v>
      </c>
    </row>
    <row r="1367" spans="1:15" x14ac:dyDescent="0.45">
      <c r="A1367" t="str">
        <v>CD-CAN</v>
      </c>
      <c r="B1367" t="str">
        <v>LAC-1017</v>
      </c>
      <c r="C1367">
        <v>2563</v>
      </c>
      <c r="D1367">
        <v>296.8</v>
      </c>
      <c r="E1367">
        <v>100.1</v>
      </c>
      <c r="F1367">
        <v>4.5</v>
      </c>
      <c r="G1367">
        <v>1.6</v>
      </c>
      <c r="H1367" t="str">
        <v>OK</v>
      </c>
      <c r="J1367">
        <f t="shared" si="105"/>
        <v>4246.3999999999996</v>
      </c>
      <c r="K1367">
        <f>SUMIF(Supply_Clean[Item_Code], B1367, Supply_Clean[Available_Supply])</f>
        <v>12824</v>
      </c>
      <c r="L1367">
        <f t="shared" si="106"/>
        <v>1</v>
      </c>
      <c r="M1367">
        <f t="shared" si="107"/>
        <v>296.8</v>
      </c>
      <c r="N1367" t="str">
        <f t="shared" si="108"/>
        <v>SUFICIENTE</v>
      </c>
      <c r="O1367">
        <f t="shared" si="109"/>
        <v>0</v>
      </c>
    </row>
    <row r="1368" spans="1:15" x14ac:dyDescent="0.45">
      <c r="A1368" t="str">
        <v>CD-CAN</v>
      </c>
      <c r="B1368" t="str">
        <v>BEB-1017</v>
      </c>
      <c r="C1368">
        <v>1833</v>
      </c>
      <c r="D1368">
        <v>520.79999999999995</v>
      </c>
      <c r="E1368">
        <v>81.3</v>
      </c>
      <c r="F1368">
        <v>7.7</v>
      </c>
      <c r="G1368">
        <v>1.6</v>
      </c>
      <c r="H1368" t="str">
        <v>OK</v>
      </c>
      <c r="J1368">
        <f t="shared" si="105"/>
        <v>6231.7000000000007</v>
      </c>
      <c r="K1368">
        <f>SUMIF(Supply_Clean[Item_Code], B1368, Supply_Clean[Available_Supply])</f>
        <v>18257</v>
      </c>
      <c r="L1368">
        <f t="shared" si="106"/>
        <v>1</v>
      </c>
      <c r="M1368">
        <f t="shared" si="107"/>
        <v>520.79999999999995</v>
      </c>
      <c r="N1368" t="str">
        <f t="shared" si="108"/>
        <v>SUFICIENTE</v>
      </c>
      <c r="O1368">
        <f t="shared" si="109"/>
        <v>0</v>
      </c>
    </row>
    <row r="1369" spans="1:15" x14ac:dyDescent="0.45">
      <c r="A1369" t="str">
        <v>CD-QRO</v>
      </c>
      <c r="B1369" t="str">
        <v>ABA-1005</v>
      </c>
      <c r="C1369">
        <v>5249</v>
      </c>
      <c r="D1369">
        <v>340.3</v>
      </c>
      <c r="E1369">
        <v>36.299999999999997</v>
      </c>
      <c r="F1369">
        <v>1.9</v>
      </c>
      <c r="G1369">
        <v>0.4</v>
      </c>
      <c r="H1369" t="str">
        <v>OK</v>
      </c>
      <c r="J1369">
        <f t="shared" si="105"/>
        <v>5173.5999999999995</v>
      </c>
      <c r="K1369">
        <f>SUMIF(Supply_Clean[Item_Code], B1369, Supply_Clean[Available_Supply])</f>
        <v>15028</v>
      </c>
      <c r="L1369">
        <f t="shared" si="106"/>
        <v>1</v>
      </c>
      <c r="M1369">
        <f t="shared" si="107"/>
        <v>340.3</v>
      </c>
      <c r="N1369" t="str">
        <f t="shared" si="108"/>
        <v>SUFICIENTE</v>
      </c>
      <c r="O1369">
        <f t="shared" si="109"/>
        <v>0</v>
      </c>
    </row>
    <row r="1370" spans="1:15" x14ac:dyDescent="0.45">
      <c r="A1370" t="str">
        <v>CD-CHI</v>
      </c>
      <c r="B1370" t="str">
        <v>PRO-1013</v>
      </c>
      <c r="C1370">
        <v>1138</v>
      </c>
      <c r="D1370">
        <v>191.5</v>
      </c>
      <c r="E1370">
        <v>77.099999999999994</v>
      </c>
      <c r="F1370">
        <v>3.9</v>
      </c>
      <c r="G1370">
        <v>1</v>
      </c>
      <c r="H1370" t="str">
        <v>OK</v>
      </c>
      <c r="J1370">
        <f t="shared" si="105"/>
        <v>7113.8</v>
      </c>
      <c r="K1370">
        <f>SUMIF(Supply_Clean[Item_Code], B1370, Supply_Clean[Available_Supply])</f>
        <v>15134</v>
      </c>
      <c r="L1370">
        <f t="shared" si="106"/>
        <v>1</v>
      </c>
      <c r="M1370">
        <f t="shared" si="107"/>
        <v>191.5</v>
      </c>
      <c r="N1370" t="str">
        <f t="shared" si="108"/>
        <v>SUFICIENTE</v>
      </c>
      <c r="O1370">
        <f t="shared" si="109"/>
        <v>0</v>
      </c>
    </row>
    <row r="1371" spans="1:15" x14ac:dyDescent="0.45">
      <c r="A1371" t="str">
        <v>CD-QRO</v>
      </c>
      <c r="B1371" t="str">
        <v>BEB-1005</v>
      </c>
      <c r="C1371">
        <v>5685</v>
      </c>
      <c r="D1371">
        <v>477.4</v>
      </c>
      <c r="E1371">
        <v>70.099999999999994</v>
      </c>
      <c r="F1371">
        <v>2.4</v>
      </c>
      <c r="G1371">
        <v>0.4</v>
      </c>
      <c r="H1371" t="str">
        <v>OK</v>
      </c>
      <c r="J1371">
        <f t="shared" si="105"/>
        <v>6220.1999999999989</v>
      </c>
      <c r="K1371">
        <f>SUMIF(Supply_Clean[Item_Code], B1371, Supply_Clean[Available_Supply])</f>
        <v>14054</v>
      </c>
      <c r="L1371">
        <f t="shared" si="106"/>
        <v>1</v>
      </c>
      <c r="M1371">
        <f t="shared" si="107"/>
        <v>477.4</v>
      </c>
      <c r="N1371" t="str">
        <f t="shared" si="108"/>
        <v>SUFICIENTE</v>
      </c>
      <c r="O1371">
        <f t="shared" si="109"/>
        <v>0</v>
      </c>
    </row>
    <row r="1372" spans="1:15" x14ac:dyDescent="0.45">
      <c r="A1372" t="str">
        <v>CD-TIJ</v>
      </c>
      <c r="B1372" t="str">
        <v>BEB-1008</v>
      </c>
      <c r="C1372">
        <v>6372</v>
      </c>
      <c r="D1372">
        <v>400.3</v>
      </c>
      <c r="E1372">
        <v>49.1</v>
      </c>
      <c r="F1372">
        <v>5.4</v>
      </c>
      <c r="G1372">
        <v>1.5</v>
      </c>
      <c r="H1372" t="str">
        <v>OK</v>
      </c>
      <c r="J1372">
        <f t="shared" si="105"/>
        <v>6156.9999999999991</v>
      </c>
      <c r="K1372">
        <f>SUMIF(Supply_Clean[Item_Code], B1372, Supply_Clean[Available_Supply])</f>
        <v>18019</v>
      </c>
      <c r="L1372">
        <f t="shared" si="106"/>
        <v>1</v>
      </c>
      <c r="M1372">
        <f t="shared" si="107"/>
        <v>400.3</v>
      </c>
      <c r="N1372" t="str">
        <f t="shared" si="108"/>
        <v>SUFICIENTE</v>
      </c>
      <c r="O1372">
        <f t="shared" si="109"/>
        <v>0</v>
      </c>
    </row>
    <row r="1373" spans="1:15" x14ac:dyDescent="0.45">
      <c r="A1373" t="str">
        <v>CD-GDL</v>
      </c>
      <c r="B1373" t="str">
        <v>LAC-1016</v>
      </c>
      <c r="C1373">
        <v>7531</v>
      </c>
      <c r="D1373">
        <v>422.9</v>
      </c>
      <c r="E1373">
        <v>157.69999999999999</v>
      </c>
      <c r="F1373">
        <v>0.8</v>
      </c>
      <c r="G1373">
        <v>0.2</v>
      </c>
      <c r="H1373" t="str">
        <v>OK</v>
      </c>
      <c r="J1373">
        <f t="shared" si="105"/>
        <v>4542.5</v>
      </c>
      <c r="K1373">
        <f>SUMIF(Supply_Clean[Item_Code], B1373, Supply_Clean[Available_Supply])</f>
        <v>12760</v>
      </c>
      <c r="L1373">
        <f t="shared" si="106"/>
        <v>1</v>
      </c>
      <c r="M1373">
        <f t="shared" si="107"/>
        <v>422.9</v>
      </c>
      <c r="N1373" t="str">
        <f t="shared" si="108"/>
        <v>SUFICIENTE</v>
      </c>
      <c r="O1373">
        <f t="shared" si="109"/>
        <v>0</v>
      </c>
    </row>
    <row r="1374" spans="1:15" x14ac:dyDescent="0.45">
      <c r="A1374" t="str">
        <v>CD-PUE</v>
      </c>
      <c r="B1374" t="str">
        <v>BEB-1006</v>
      </c>
      <c r="C1374">
        <v>0</v>
      </c>
      <c r="D1374">
        <v>218</v>
      </c>
      <c r="E1374">
        <v>23.3</v>
      </c>
      <c r="F1374">
        <v>0.8</v>
      </c>
      <c r="G1374">
        <v>0.3</v>
      </c>
      <c r="H1374">
        <v>0</v>
      </c>
      <c r="J1374">
        <f t="shared" si="105"/>
        <v>5154.2000000000016</v>
      </c>
      <c r="K1374">
        <f>SUMIF(Supply_Clean[Item_Code], B1374, Supply_Clean[Available_Supply])</f>
        <v>12324</v>
      </c>
      <c r="L1374">
        <f t="shared" si="106"/>
        <v>1</v>
      </c>
      <c r="M1374">
        <f t="shared" si="107"/>
        <v>218</v>
      </c>
      <c r="N1374" t="str">
        <f t="shared" si="108"/>
        <v>SUFICIENTE</v>
      </c>
      <c r="O1374">
        <f t="shared" si="109"/>
        <v>0</v>
      </c>
    </row>
    <row r="1375" spans="1:15" x14ac:dyDescent="0.45">
      <c r="A1375" t="str">
        <v>CD-TOL</v>
      </c>
      <c r="B1375" t="str">
        <v>PRO-1008</v>
      </c>
      <c r="C1375">
        <v>4805</v>
      </c>
      <c r="D1375">
        <v>413.9</v>
      </c>
      <c r="E1375">
        <v>203.2</v>
      </c>
      <c r="F1375">
        <v>3.2</v>
      </c>
      <c r="G1375">
        <v>0.5</v>
      </c>
      <c r="H1375" t="str">
        <v>OK</v>
      </c>
      <c r="J1375">
        <f t="shared" si="105"/>
        <v>5551.5999999999995</v>
      </c>
      <c r="K1375">
        <f>SUMIF(Supply_Clean[Item_Code], B1375, Supply_Clean[Available_Supply])</f>
        <v>9738</v>
      </c>
      <c r="L1375">
        <f t="shared" si="106"/>
        <v>1</v>
      </c>
      <c r="M1375">
        <f t="shared" si="107"/>
        <v>413.9</v>
      </c>
      <c r="N1375" t="str">
        <f t="shared" si="108"/>
        <v>SUFICIENTE</v>
      </c>
      <c r="O1375">
        <f t="shared" si="109"/>
        <v>0</v>
      </c>
    </row>
    <row r="1376" spans="1:15" x14ac:dyDescent="0.45">
      <c r="A1376" t="str">
        <v>CD-TIJ</v>
      </c>
      <c r="B1376" t="str">
        <v>PRO-1013</v>
      </c>
      <c r="C1376">
        <v>4289</v>
      </c>
      <c r="D1376">
        <v>422.9</v>
      </c>
      <c r="E1376">
        <v>234.4</v>
      </c>
      <c r="F1376">
        <v>6.2</v>
      </c>
      <c r="G1376">
        <v>1.5</v>
      </c>
      <c r="H1376" t="str">
        <v>OK</v>
      </c>
      <c r="J1376">
        <f t="shared" si="105"/>
        <v>7113.8</v>
      </c>
      <c r="K1376">
        <f>SUMIF(Supply_Clean[Item_Code], B1376, Supply_Clean[Available_Supply])</f>
        <v>15134</v>
      </c>
      <c r="L1376">
        <f t="shared" si="106"/>
        <v>1</v>
      </c>
      <c r="M1376">
        <f t="shared" si="107"/>
        <v>422.9</v>
      </c>
      <c r="N1376" t="str">
        <f t="shared" si="108"/>
        <v>SUFICIENTE</v>
      </c>
      <c r="O1376">
        <f t="shared" si="109"/>
        <v>0</v>
      </c>
    </row>
    <row r="1377" spans="1:15" x14ac:dyDescent="0.45">
      <c r="A1377" t="str">
        <v>CD-SAL</v>
      </c>
      <c r="B1377" t="str">
        <v>BEB-1007</v>
      </c>
      <c r="C1377">
        <v>1182</v>
      </c>
      <c r="D1377">
        <v>322.60000000000002</v>
      </c>
      <c r="E1377">
        <v>32.9</v>
      </c>
      <c r="F1377">
        <v>2</v>
      </c>
      <c r="G1377">
        <v>0.5</v>
      </c>
      <c r="H1377" t="str">
        <v>OK</v>
      </c>
      <c r="J1377">
        <f t="shared" si="105"/>
        <v>5039.5</v>
      </c>
      <c r="K1377">
        <f>SUMIF(Supply_Clean[Item_Code], B1377, Supply_Clean[Available_Supply])</f>
        <v>12912</v>
      </c>
      <c r="L1377">
        <f t="shared" si="106"/>
        <v>1</v>
      </c>
      <c r="M1377">
        <f t="shared" si="107"/>
        <v>322.60000000000002</v>
      </c>
      <c r="N1377" t="str">
        <f t="shared" si="108"/>
        <v>SUFICIENTE</v>
      </c>
      <c r="O1377">
        <f t="shared" si="109"/>
        <v>0</v>
      </c>
    </row>
    <row r="1378" spans="1:15" x14ac:dyDescent="0.45">
      <c r="A1378" t="str">
        <v>CD-MER</v>
      </c>
      <c r="B1378" t="str">
        <v>BEB-1009</v>
      </c>
      <c r="C1378">
        <v>4121</v>
      </c>
      <c r="D1378">
        <v>380.3</v>
      </c>
      <c r="E1378">
        <v>50.2</v>
      </c>
      <c r="F1378">
        <v>4.4000000000000004</v>
      </c>
      <c r="G1378">
        <v>1.3</v>
      </c>
      <c r="H1378" t="str">
        <v>OK</v>
      </c>
      <c r="J1378">
        <f t="shared" si="105"/>
        <v>6226.9000000000005</v>
      </c>
      <c r="K1378">
        <f>SUMIF(Supply_Clean[Item_Code], B1378, Supply_Clean[Available_Supply])</f>
        <v>10475</v>
      </c>
      <c r="L1378">
        <f t="shared" si="106"/>
        <v>1</v>
      </c>
      <c r="M1378">
        <f t="shared" si="107"/>
        <v>380.3</v>
      </c>
      <c r="N1378" t="str">
        <f t="shared" si="108"/>
        <v>SUFICIENTE</v>
      </c>
      <c r="O1378">
        <f t="shared" si="109"/>
        <v>0</v>
      </c>
    </row>
    <row r="1379" spans="1:15" x14ac:dyDescent="0.45">
      <c r="A1379" t="str">
        <v>CD-MOR</v>
      </c>
      <c r="B1379" t="str">
        <v>BEB-1005</v>
      </c>
      <c r="C1379">
        <v>356</v>
      </c>
      <c r="D1379">
        <v>411.3</v>
      </c>
      <c r="E1379">
        <v>64.2</v>
      </c>
      <c r="F1379">
        <v>2.1</v>
      </c>
      <c r="G1379">
        <v>0.5</v>
      </c>
      <c r="H1379" t="str">
        <v>OK</v>
      </c>
      <c r="J1379">
        <f t="shared" si="105"/>
        <v>6220.1999999999989</v>
      </c>
      <c r="K1379">
        <f>SUMIF(Supply_Clean[Item_Code], B1379, Supply_Clean[Available_Supply])</f>
        <v>14054</v>
      </c>
      <c r="L1379">
        <f t="shared" si="106"/>
        <v>1</v>
      </c>
      <c r="M1379">
        <f t="shared" si="107"/>
        <v>411.3</v>
      </c>
      <c r="N1379" t="str">
        <f t="shared" si="108"/>
        <v>SUFICIENTE</v>
      </c>
      <c r="O1379">
        <f t="shared" si="109"/>
        <v>0</v>
      </c>
    </row>
    <row r="1380" spans="1:15" x14ac:dyDescent="0.45">
      <c r="A1380" t="str">
        <v>CD-SAL</v>
      </c>
      <c r="B1380" t="str">
        <v>BOT-1003</v>
      </c>
      <c r="C1380">
        <v>9068</v>
      </c>
      <c r="D1380">
        <v>632.6</v>
      </c>
      <c r="E1380">
        <v>126.6</v>
      </c>
      <c r="F1380">
        <v>1.2</v>
      </c>
      <c r="G1380">
        <v>0.5</v>
      </c>
      <c r="H1380" t="str">
        <v>OK</v>
      </c>
      <c r="J1380">
        <f t="shared" si="105"/>
        <v>8902.7999999999993</v>
      </c>
      <c r="K1380">
        <f>SUMIF(Supply_Clean[Item_Code], B1380, Supply_Clean[Available_Supply])</f>
        <v>24326</v>
      </c>
      <c r="L1380">
        <f t="shared" si="106"/>
        <v>1</v>
      </c>
      <c r="M1380">
        <f t="shared" si="107"/>
        <v>632.6</v>
      </c>
      <c r="N1380" t="str">
        <f t="shared" si="108"/>
        <v>SUFICIENTE</v>
      </c>
      <c r="O1380">
        <f t="shared" si="109"/>
        <v>0</v>
      </c>
    </row>
    <row r="1381" spans="1:15" x14ac:dyDescent="0.45">
      <c r="A1381" t="str">
        <v>CD-TIJ</v>
      </c>
      <c r="B1381" t="str">
        <v>ABA-1006</v>
      </c>
      <c r="C1381">
        <v>9520</v>
      </c>
      <c r="D1381">
        <v>539.79999999999995</v>
      </c>
      <c r="E1381">
        <v>78.8</v>
      </c>
      <c r="F1381">
        <v>5</v>
      </c>
      <c r="G1381">
        <v>1.5</v>
      </c>
      <c r="H1381" t="str">
        <v>OK</v>
      </c>
      <c r="J1381">
        <f t="shared" si="105"/>
        <v>4882.1000000000004</v>
      </c>
      <c r="K1381">
        <f>SUMIF(Supply_Clean[Item_Code], B1381, Supply_Clean[Available_Supply])</f>
        <v>15586</v>
      </c>
      <c r="L1381">
        <f t="shared" si="106"/>
        <v>1</v>
      </c>
      <c r="M1381">
        <f t="shared" si="107"/>
        <v>539.79999999999995</v>
      </c>
      <c r="N1381" t="str">
        <f t="shared" si="108"/>
        <v>SUFICIENTE</v>
      </c>
      <c r="O1381">
        <f t="shared" si="109"/>
        <v>0</v>
      </c>
    </row>
    <row r="1382" spans="1:15" x14ac:dyDescent="0.45">
      <c r="A1382" t="str">
        <v>CD-TIJ</v>
      </c>
      <c r="B1382" t="str">
        <v>BEB-1020</v>
      </c>
      <c r="C1382">
        <v>6881</v>
      </c>
      <c r="D1382">
        <v>582.29999999999995</v>
      </c>
      <c r="E1382">
        <v>96.6</v>
      </c>
      <c r="F1382">
        <v>5.9</v>
      </c>
      <c r="G1382">
        <v>1.5</v>
      </c>
      <c r="H1382" t="str">
        <v>OK</v>
      </c>
      <c r="J1382">
        <f t="shared" si="105"/>
        <v>6114.4000000000005</v>
      </c>
      <c r="K1382">
        <f>SUMIF(Supply_Clean[Item_Code], B1382, Supply_Clean[Available_Supply])</f>
        <v>16621</v>
      </c>
      <c r="L1382">
        <f t="shared" si="106"/>
        <v>1</v>
      </c>
      <c r="M1382">
        <f t="shared" si="107"/>
        <v>582.29999999999995</v>
      </c>
      <c r="N1382" t="str">
        <f t="shared" si="108"/>
        <v>SUFICIENTE</v>
      </c>
      <c r="O1382">
        <f t="shared" si="109"/>
        <v>0</v>
      </c>
    </row>
    <row r="1383" spans="1:15" x14ac:dyDescent="0.45">
      <c r="A1383" t="str">
        <v>CD-QRO</v>
      </c>
      <c r="B1383" t="str">
        <v>BOT-1019</v>
      </c>
      <c r="C1383">
        <v>1373</v>
      </c>
      <c r="D1383">
        <v>745.5</v>
      </c>
      <c r="E1383">
        <v>151.9</v>
      </c>
      <c r="F1383">
        <v>2.9</v>
      </c>
      <c r="G1383">
        <v>0.4</v>
      </c>
      <c r="H1383" t="str">
        <v>OK</v>
      </c>
      <c r="J1383">
        <f t="shared" si="105"/>
        <v>9278.2999999999993</v>
      </c>
      <c r="K1383">
        <f>SUMIF(Supply_Clean[Item_Code], B1383, Supply_Clean[Available_Supply])</f>
        <v>4509</v>
      </c>
      <c r="L1383">
        <f t="shared" si="106"/>
        <v>0.48597264585107192</v>
      </c>
      <c r="M1383">
        <f t="shared" si="107"/>
        <v>362.29260748197413</v>
      </c>
      <c r="N1383" t="str">
        <f t="shared" si="108"/>
        <v>ESCASEZ</v>
      </c>
      <c r="O1383">
        <f t="shared" si="109"/>
        <v>383.20739251802587</v>
      </c>
    </row>
    <row r="1384" spans="1:15" x14ac:dyDescent="0.45">
      <c r="A1384" t="str">
        <v>CD-LEO</v>
      </c>
      <c r="B1384" t="str">
        <v>BEB-1007</v>
      </c>
      <c r="C1384">
        <v>3049</v>
      </c>
      <c r="D1384">
        <v>200.9</v>
      </c>
      <c r="E1384">
        <v>34.299999999999997</v>
      </c>
      <c r="F1384">
        <v>2.2999999999999998</v>
      </c>
      <c r="G1384">
        <v>0.6</v>
      </c>
      <c r="H1384" t="str">
        <v>OK</v>
      </c>
      <c r="J1384">
        <f t="shared" si="105"/>
        <v>5039.5</v>
      </c>
      <c r="K1384">
        <f>SUMIF(Supply_Clean[Item_Code], B1384, Supply_Clean[Available_Supply])</f>
        <v>12912</v>
      </c>
      <c r="L1384">
        <f t="shared" si="106"/>
        <v>1</v>
      </c>
      <c r="M1384">
        <f t="shared" si="107"/>
        <v>200.9</v>
      </c>
      <c r="N1384" t="str">
        <f t="shared" si="108"/>
        <v>SUFICIENTE</v>
      </c>
      <c r="O1384">
        <f t="shared" si="109"/>
        <v>0</v>
      </c>
    </row>
    <row r="1385" spans="1:15" x14ac:dyDescent="0.45">
      <c r="A1385" t="str">
        <v>CD-CAN</v>
      </c>
      <c r="B1385" t="str">
        <v>BEB-1011</v>
      </c>
      <c r="C1385">
        <v>815</v>
      </c>
      <c r="D1385">
        <v>405.5</v>
      </c>
      <c r="E1385">
        <v>70</v>
      </c>
      <c r="F1385">
        <v>8.5</v>
      </c>
      <c r="G1385">
        <v>1.6</v>
      </c>
      <c r="H1385" t="str">
        <v>OK</v>
      </c>
      <c r="J1385">
        <f t="shared" si="105"/>
        <v>5454.4999999999991</v>
      </c>
      <c r="K1385">
        <f>SUMIF(Supply_Clean[Item_Code], B1385, Supply_Clean[Available_Supply])</f>
        <v>13720</v>
      </c>
      <c r="L1385">
        <f t="shared" si="106"/>
        <v>1</v>
      </c>
      <c r="M1385">
        <f t="shared" si="107"/>
        <v>405.5</v>
      </c>
      <c r="N1385" t="str">
        <f t="shared" si="108"/>
        <v>SUFICIENTE</v>
      </c>
      <c r="O1385">
        <f t="shared" si="109"/>
        <v>0</v>
      </c>
    </row>
    <row r="1386" spans="1:15" x14ac:dyDescent="0.45">
      <c r="A1386" t="str">
        <v>CD-CHI</v>
      </c>
      <c r="B1386" t="str">
        <v>LAC-1000</v>
      </c>
      <c r="C1386">
        <v>2253</v>
      </c>
      <c r="D1386">
        <v>213.1</v>
      </c>
      <c r="E1386">
        <v>77.2</v>
      </c>
      <c r="F1386">
        <v>2</v>
      </c>
      <c r="G1386">
        <v>1</v>
      </c>
      <c r="H1386" t="str">
        <v>OK</v>
      </c>
      <c r="J1386">
        <f t="shared" si="105"/>
        <v>4987.8</v>
      </c>
      <c r="K1386">
        <f>SUMIF(Supply_Clean[Item_Code], B1386, Supply_Clean[Available_Supply])</f>
        <v>12568</v>
      </c>
      <c r="L1386">
        <f t="shared" si="106"/>
        <v>1</v>
      </c>
      <c r="M1386">
        <f t="shared" si="107"/>
        <v>213.1</v>
      </c>
      <c r="N1386" t="str">
        <f t="shared" si="108"/>
        <v>SUFICIENTE</v>
      </c>
      <c r="O1386">
        <f t="shared" si="109"/>
        <v>0</v>
      </c>
    </row>
    <row r="1387" spans="1:15" x14ac:dyDescent="0.45">
      <c r="A1387" t="str">
        <v>CD-LEO</v>
      </c>
      <c r="B1387" t="str">
        <v>BOT-1007</v>
      </c>
      <c r="C1387">
        <v>2278</v>
      </c>
      <c r="D1387">
        <v>665.4</v>
      </c>
      <c r="E1387">
        <v>192.8</v>
      </c>
      <c r="F1387">
        <v>2.2999999999999998</v>
      </c>
      <c r="G1387">
        <v>0.6</v>
      </c>
      <c r="H1387" t="str">
        <v>OK</v>
      </c>
      <c r="J1387">
        <f t="shared" si="105"/>
        <v>7508.1</v>
      </c>
      <c r="K1387">
        <f>SUMIF(Supply_Clean[Item_Code], B1387, Supply_Clean[Available_Supply])</f>
        <v>16668</v>
      </c>
      <c r="L1387">
        <f t="shared" si="106"/>
        <v>1</v>
      </c>
      <c r="M1387">
        <f t="shared" si="107"/>
        <v>665.4</v>
      </c>
      <c r="N1387" t="str">
        <f t="shared" si="108"/>
        <v>SUFICIENTE</v>
      </c>
      <c r="O1387">
        <f t="shared" si="109"/>
        <v>0</v>
      </c>
    </row>
    <row r="1388" spans="1:15" x14ac:dyDescent="0.45">
      <c r="A1388" t="str">
        <v>CD-CHI</v>
      </c>
      <c r="B1388" t="str">
        <v>ABA-1003</v>
      </c>
      <c r="C1388">
        <v>5393</v>
      </c>
      <c r="D1388">
        <v>333.2</v>
      </c>
      <c r="E1388">
        <v>29.7</v>
      </c>
      <c r="F1388">
        <v>3.9</v>
      </c>
      <c r="G1388">
        <v>1</v>
      </c>
      <c r="H1388" t="str">
        <v>OK</v>
      </c>
      <c r="J1388">
        <f t="shared" si="105"/>
        <v>4709.8000000000011</v>
      </c>
      <c r="K1388">
        <f>SUMIF(Supply_Clean[Item_Code], B1388, Supply_Clean[Available_Supply])</f>
        <v>11700</v>
      </c>
      <c r="L1388">
        <f t="shared" si="106"/>
        <v>1</v>
      </c>
      <c r="M1388">
        <f t="shared" si="107"/>
        <v>333.2</v>
      </c>
      <c r="N1388" t="str">
        <f t="shared" si="108"/>
        <v>SUFICIENTE</v>
      </c>
      <c r="O1388">
        <f t="shared" si="109"/>
        <v>0</v>
      </c>
    </row>
    <row r="1389" spans="1:15" x14ac:dyDescent="0.45">
      <c r="A1389" t="str">
        <v>CD-CDMX</v>
      </c>
      <c r="B1389" t="str">
        <v>BOT-1023</v>
      </c>
      <c r="C1389">
        <v>15548</v>
      </c>
      <c r="D1389">
        <v>935.5</v>
      </c>
      <c r="E1389">
        <v>183.5</v>
      </c>
      <c r="F1389">
        <v>1.1000000000000001</v>
      </c>
      <c r="G1389">
        <v>0.2</v>
      </c>
      <c r="H1389" t="str">
        <v>OK</v>
      </c>
      <c r="J1389">
        <f t="shared" si="105"/>
        <v>8227.6</v>
      </c>
      <c r="K1389">
        <f>SUMIF(Supply_Clean[Item_Code], B1389, Supply_Clean[Available_Supply])</f>
        <v>23663</v>
      </c>
      <c r="L1389">
        <f t="shared" si="106"/>
        <v>1</v>
      </c>
      <c r="M1389">
        <f t="shared" si="107"/>
        <v>935.5</v>
      </c>
      <c r="N1389" t="str">
        <f t="shared" si="108"/>
        <v>SUFICIENTE</v>
      </c>
      <c r="O1389">
        <f t="shared" si="109"/>
        <v>0</v>
      </c>
    </row>
    <row r="1390" spans="1:15" x14ac:dyDescent="0.45">
      <c r="A1390" t="str">
        <v>CD-MTY</v>
      </c>
      <c r="B1390" t="str">
        <v>LAC-1003</v>
      </c>
      <c r="C1390">
        <v>5566</v>
      </c>
      <c r="D1390">
        <v>382.9</v>
      </c>
      <c r="E1390">
        <v>135.1</v>
      </c>
      <c r="F1390">
        <v>1.4</v>
      </c>
      <c r="G1390">
        <v>0.3</v>
      </c>
      <c r="H1390" t="str">
        <v>OK</v>
      </c>
      <c r="J1390">
        <f t="shared" si="105"/>
        <v>3701.4999999999995</v>
      </c>
      <c r="K1390">
        <f>SUMIF(Supply_Clean[Item_Code], B1390, Supply_Clean[Available_Supply])</f>
        <v>7244</v>
      </c>
      <c r="L1390">
        <f t="shared" si="106"/>
        <v>1</v>
      </c>
      <c r="M1390">
        <f t="shared" si="107"/>
        <v>382.9</v>
      </c>
      <c r="N1390" t="str">
        <f t="shared" si="108"/>
        <v>SUFICIENTE</v>
      </c>
      <c r="O1390">
        <f t="shared" si="109"/>
        <v>0</v>
      </c>
    </row>
    <row r="1391" spans="1:15" x14ac:dyDescent="0.45">
      <c r="A1391" t="str">
        <v>CD-SAL</v>
      </c>
      <c r="B1391" t="str">
        <v>LAC-1015</v>
      </c>
      <c r="C1391">
        <v>1293</v>
      </c>
      <c r="D1391">
        <v>348.4</v>
      </c>
      <c r="E1391">
        <v>141.4</v>
      </c>
      <c r="F1391">
        <v>2</v>
      </c>
      <c r="G1391">
        <v>0.5</v>
      </c>
      <c r="H1391" t="str">
        <v>OK</v>
      </c>
      <c r="J1391">
        <f t="shared" si="105"/>
        <v>3982.7000000000007</v>
      </c>
      <c r="K1391">
        <f>SUMIF(Supply_Clean[Item_Code], B1391, Supply_Clean[Available_Supply])</f>
        <v>8604</v>
      </c>
      <c r="L1391">
        <f t="shared" si="106"/>
        <v>1</v>
      </c>
      <c r="M1391">
        <f t="shared" si="107"/>
        <v>348.4</v>
      </c>
      <c r="N1391" t="str">
        <f t="shared" si="108"/>
        <v>SUFICIENTE</v>
      </c>
      <c r="O1391">
        <f t="shared" si="109"/>
        <v>0</v>
      </c>
    </row>
    <row r="1392" spans="1:15" x14ac:dyDescent="0.45">
      <c r="A1392" t="str">
        <v>CD-CHI</v>
      </c>
      <c r="B1392" t="str">
        <v>BEB-1007</v>
      </c>
      <c r="C1392">
        <v>273</v>
      </c>
      <c r="D1392">
        <v>166.8</v>
      </c>
      <c r="E1392">
        <v>24.2</v>
      </c>
      <c r="F1392">
        <v>2.2999999999999998</v>
      </c>
      <c r="G1392">
        <v>1</v>
      </c>
      <c r="H1392" t="str">
        <v>OK</v>
      </c>
      <c r="J1392">
        <f t="shared" si="105"/>
        <v>5039.5</v>
      </c>
      <c r="K1392">
        <f>SUMIF(Supply_Clean[Item_Code], B1392, Supply_Clean[Available_Supply])</f>
        <v>12912</v>
      </c>
      <c r="L1392">
        <f t="shared" si="106"/>
        <v>1</v>
      </c>
      <c r="M1392">
        <f t="shared" si="107"/>
        <v>166.8</v>
      </c>
      <c r="N1392" t="str">
        <f t="shared" si="108"/>
        <v>SUFICIENTE</v>
      </c>
      <c r="O1392">
        <f t="shared" si="109"/>
        <v>0</v>
      </c>
    </row>
    <row r="1393" spans="1:15" x14ac:dyDescent="0.45">
      <c r="A1393" t="str">
        <v>CD-CDMX</v>
      </c>
      <c r="B1393" t="str">
        <v>ABA-1013</v>
      </c>
      <c r="C1393">
        <v>932</v>
      </c>
      <c r="D1393">
        <v>485.4</v>
      </c>
      <c r="E1393">
        <v>65.900000000000006</v>
      </c>
      <c r="F1393">
        <v>0.9</v>
      </c>
      <c r="G1393">
        <v>0.2</v>
      </c>
      <c r="H1393" t="str">
        <v>OK</v>
      </c>
      <c r="J1393">
        <f t="shared" si="105"/>
        <v>4213.8999999999996</v>
      </c>
      <c r="K1393">
        <f>SUMIF(Supply_Clean[Item_Code], B1393, Supply_Clean[Available_Supply])</f>
        <v>2568</v>
      </c>
      <c r="L1393">
        <f t="shared" si="106"/>
        <v>0.60941170886826934</v>
      </c>
      <c r="M1393">
        <f t="shared" si="107"/>
        <v>295.80844348465791</v>
      </c>
      <c r="N1393" t="str">
        <f t="shared" si="108"/>
        <v>ESCASEZ</v>
      </c>
      <c r="O1393">
        <f t="shared" si="109"/>
        <v>189.59155651534206</v>
      </c>
    </row>
    <row r="1394" spans="1:15" x14ac:dyDescent="0.45">
      <c r="A1394" t="str">
        <v>CD-CDMX</v>
      </c>
      <c r="B1394" t="str">
        <v>BEB-1013</v>
      </c>
      <c r="C1394">
        <v>2524</v>
      </c>
      <c r="D1394">
        <v>205.8</v>
      </c>
      <c r="E1394">
        <v>40</v>
      </c>
      <c r="F1394">
        <v>0.9</v>
      </c>
      <c r="G1394">
        <v>0.2</v>
      </c>
      <c r="H1394" t="str">
        <v>OK</v>
      </c>
      <c r="J1394">
        <f t="shared" si="105"/>
        <v>6158.7000000000007</v>
      </c>
      <c r="K1394">
        <f>SUMIF(Supply_Clean[Item_Code], B1394, Supply_Clean[Available_Supply])</f>
        <v>3246</v>
      </c>
      <c r="L1394">
        <f t="shared" si="106"/>
        <v>0.52705928199132923</v>
      </c>
      <c r="M1394">
        <f t="shared" si="107"/>
        <v>108.46880023381556</v>
      </c>
      <c r="N1394" t="str">
        <f t="shared" si="108"/>
        <v>ESCASEZ</v>
      </c>
      <c r="O1394">
        <f t="shared" si="109"/>
        <v>97.331199766184454</v>
      </c>
    </row>
    <row r="1395" spans="1:15" x14ac:dyDescent="0.45">
      <c r="A1395" t="str">
        <v>CD-MTY</v>
      </c>
      <c r="B1395" t="str">
        <v>ABA-1003</v>
      </c>
      <c r="C1395">
        <v>769</v>
      </c>
      <c r="D1395">
        <v>168.3</v>
      </c>
      <c r="E1395">
        <v>16.399999999999999</v>
      </c>
      <c r="F1395">
        <v>1</v>
      </c>
      <c r="G1395">
        <v>0.3</v>
      </c>
      <c r="H1395" t="str">
        <v>OK</v>
      </c>
      <c r="J1395">
        <f t="shared" si="105"/>
        <v>4709.8000000000011</v>
      </c>
      <c r="K1395">
        <f>SUMIF(Supply_Clean[Item_Code], B1395, Supply_Clean[Available_Supply])</f>
        <v>11700</v>
      </c>
      <c r="L1395">
        <f t="shared" si="106"/>
        <v>1</v>
      </c>
      <c r="M1395">
        <f t="shared" si="107"/>
        <v>168.3</v>
      </c>
      <c r="N1395" t="str">
        <f t="shared" si="108"/>
        <v>SUFICIENTE</v>
      </c>
      <c r="O1395">
        <f t="shared" si="109"/>
        <v>0</v>
      </c>
    </row>
    <row r="1396" spans="1:15" x14ac:dyDescent="0.45">
      <c r="A1396" t="str">
        <v>CD-CAN</v>
      </c>
      <c r="B1396" t="str">
        <v>BOT-1009</v>
      </c>
      <c r="C1396">
        <v>7990</v>
      </c>
      <c r="D1396">
        <v>538.1</v>
      </c>
      <c r="E1396">
        <v>102.4</v>
      </c>
      <c r="F1396">
        <v>4.9000000000000004</v>
      </c>
      <c r="G1396">
        <v>1.6</v>
      </c>
      <c r="H1396" t="str">
        <v>OK</v>
      </c>
      <c r="J1396">
        <f t="shared" si="105"/>
        <v>8135.5</v>
      </c>
      <c r="K1396">
        <f>SUMIF(Supply_Clean[Item_Code], B1396, Supply_Clean[Available_Supply])</f>
        <v>17475</v>
      </c>
      <c r="L1396">
        <f t="shared" si="106"/>
        <v>1</v>
      </c>
      <c r="M1396">
        <f t="shared" si="107"/>
        <v>538.1</v>
      </c>
      <c r="N1396" t="str">
        <f t="shared" si="108"/>
        <v>SUFICIENTE</v>
      </c>
      <c r="O1396">
        <f t="shared" si="109"/>
        <v>0</v>
      </c>
    </row>
    <row r="1397" spans="1:15" x14ac:dyDescent="0.45">
      <c r="A1397" t="str">
        <v>CD-MER</v>
      </c>
      <c r="B1397" t="str">
        <v>LAC-1015</v>
      </c>
      <c r="C1397">
        <v>2060</v>
      </c>
      <c r="D1397">
        <v>334.9</v>
      </c>
      <c r="E1397">
        <v>126.6</v>
      </c>
      <c r="F1397">
        <v>5.7</v>
      </c>
      <c r="G1397">
        <v>1.3</v>
      </c>
      <c r="H1397" t="str">
        <v>OK</v>
      </c>
      <c r="J1397">
        <f t="shared" si="105"/>
        <v>3982.7000000000007</v>
      </c>
      <c r="K1397">
        <f>SUMIF(Supply_Clean[Item_Code], B1397, Supply_Clean[Available_Supply])</f>
        <v>8604</v>
      </c>
      <c r="L1397">
        <f t="shared" si="106"/>
        <v>1</v>
      </c>
      <c r="M1397">
        <f t="shared" si="107"/>
        <v>334.9</v>
      </c>
      <c r="N1397" t="str">
        <f t="shared" si="108"/>
        <v>SUFICIENTE</v>
      </c>
      <c r="O1397">
        <f t="shared" si="109"/>
        <v>0</v>
      </c>
    </row>
    <row r="1398" spans="1:15" x14ac:dyDescent="0.45">
      <c r="A1398" t="str">
        <v>CD-HER</v>
      </c>
      <c r="B1398" t="str">
        <v>BOT-1023</v>
      </c>
      <c r="C1398">
        <v>6227</v>
      </c>
      <c r="D1398">
        <v>395.9</v>
      </c>
      <c r="E1398">
        <v>70.5</v>
      </c>
      <c r="F1398">
        <v>4.3</v>
      </c>
      <c r="G1398">
        <v>1.2</v>
      </c>
      <c r="H1398" t="str">
        <v>OK</v>
      </c>
      <c r="J1398">
        <f t="shared" si="105"/>
        <v>8227.6</v>
      </c>
      <c r="K1398">
        <f>SUMIF(Supply_Clean[Item_Code], B1398, Supply_Clean[Available_Supply])</f>
        <v>23663</v>
      </c>
      <c r="L1398">
        <f t="shared" si="106"/>
        <v>1</v>
      </c>
      <c r="M1398">
        <f t="shared" si="107"/>
        <v>395.9</v>
      </c>
      <c r="N1398" t="str">
        <f t="shared" si="108"/>
        <v>SUFICIENTE</v>
      </c>
      <c r="O1398">
        <f t="shared" si="109"/>
        <v>0</v>
      </c>
    </row>
    <row r="1399" spans="1:15" x14ac:dyDescent="0.45">
      <c r="A1399" t="str">
        <v>CD-MER</v>
      </c>
      <c r="B1399" t="str">
        <v>LAC-1008</v>
      </c>
      <c r="C1399">
        <v>2948</v>
      </c>
      <c r="D1399">
        <v>352.8</v>
      </c>
      <c r="E1399">
        <v>130.5</v>
      </c>
      <c r="F1399">
        <v>3.8</v>
      </c>
      <c r="G1399">
        <v>1.3</v>
      </c>
      <c r="H1399" t="str">
        <v>OK</v>
      </c>
      <c r="J1399">
        <f t="shared" si="105"/>
        <v>4499.0999999999995</v>
      </c>
      <c r="K1399">
        <f>SUMIF(Supply_Clean[Item_Code], B1399, Supply_Clean[Available_Supply])</f>
        <v>9543</v>
      </c>
      <c r="L1399">
        <f t="shared" si="106"/>
        <v>1</v>
      </c>
      <c r="M1399">
        <f t="shared" si="107"/>
        <v>352.8</v>
      </c>
      <c r="N1399" t="str">
        <f t="shared" si="108"/>
        <v>SUFICIENTE</v>
      </c>
      <c r="O1399">
        <f t="shared" si="109"/>
        <v>0</v>
      </c>
    </row>
    <row r="1400" spans="1:15" x14ac:dyDescent="0.45">
      <c r="A1400" t="str">
        <v>CD-HER</v>
      </c>
      <c r="B1400" t="str">
        <v>BOT-1020</v>
      </c>
      <c r="C1400">
        <v>9954</v>
      </c>
      <c r="D1400">
        <v>784.6</v>
      </c>
      <c r="E1400">
        <v>231.5</v>
      </c>
      <c r="F1400">
        <v>4.3</v>
      </c>
      <c r="G1400">
        <v>1.2</v>
      </c>
      <c r="H1400" t="str">
        <v>OK</v>
      </c>
      <c r="J1400">
        <f t="shared" si="105"/>
        <v>7693.4</v>
      </c>
      <c r="K1400">
        <f>SUMIF(Supply_Clean[Item_Code], B1400, Supply_Clean[Available_Supply])</f>
        <v>20558</v>
      </c>
      <c r="L1400">
        <f t="shared" si="106"/>
        <v>1</v>
      </c>
      <c r="M1400">
        <f t="shared" si="107"/>
        <v>784.6</v>
      </c>
      <c r="N1400" t="str">
        <f t="shared" si="108"/>
        <v>SUFICIENTE</v>
      </c>
      <c r="O1400">
        <f t="shared" si="109"/>
        <v>0</v>
      </c>
    </row>
    <row r="1401" spans="1:15" x14ac:dyDescent="0.45">
      <c r="A1401" t="str">
        <v>CD-QRO</v>
      </c>
      <c r="B1401" t="str">
        <v>BEB-1006</v>
      </c>
      <c r="C1401">
        <v>1821</v>
      </c>
      <c r="D1401">
        <v>348.6</v>
      </c>
      <c r="E1401">
        <v>46.4</v>
      </c>
      <c r="F1401">
        <v>2.5</v>
      </c>
      <c r="G1401">
        <v>0.4</v>
      </c>
      <c r="H1401" t="str">
        <v>OK</v>
      </c>
      <c r="J1401">
        <f t="shared" si="105"/>
        <v>5154.2000000000016</v>
      </c>
      <c r="K1401">
        <f>SUMIF(Supply_Clean[Item_Code], B1401, Supply_Clean[Available_Supply])</f>
        <v>12324</v>
      </c>
      <c r="L1401">
        <f t="shared" si="106"/>
        <v>1</v>
      </c>
      <c r="M1401">
        <f t="shared" si="107"/>
        <v>348.6</v>
      </c>
      <c r="N1401" t="str">
        <f t="shared" si="108"/>
        <v>SUFICIENTE</v>
      </c>
      <c r="O1401">
        <f t="shared" si="109"/>
        <v>0</v>
      </c>
    </row>
    <row r="1402" spans="1:15" x14ac:dyDescent="0.45">
      <c r="A1402" t="str">
        <v>CD-QRO</v>
      </c>
      <c r="B1402" t="str">
        <v>PRO-1015</v>
      </c>
      <c r="C1402">
        <v>1295</v>
      </c>
      <c r="D1402">
        <v>380.5</v>
      </c>
      <c r="E1402">
        <v>161.5</v>
      </c>
      <c r="F1402">
        <v>1.3</v>
      </c>
      <c r="G1402">
        <v>0.4</v>
      </c>
      <c r="H1402" t="str">
        <v>OK</v>
      </c>
      <c r="J1402">
        <f t="shared" si="105"/>
        <v>5021.5</v>
      </c>
      <c r="K1402">
        <f>SUMIF(Supply_Clean[Item_Code], B1402, Supply_Clean[Available_Supply])</f>
        <v>15970</v>
      </c>
      <c r="L1402">
        <f t="shared" si="106"/>
        <v>1</v>
      </c>
      <c r="M1402">
        <f t="shared" si="107"/>
        <v>380.5</v>
      </c>
      <c r="N1402" t="str">
        <f t="shared" si="108"/>
        <v>SUFICIENTE</v>
      </c>
      <c r="O1402">
        <f t="shared" si="109"/>
        <v>0</v>
      </c>
    </row>
    <row r="1403" spans="1:15" x14ac:dyDescent="0.45">
      <c r="A1403" t="str">
        <v>CD-QRO</v>
      </c>
      <c r="B1403" t="str">
        <v>LAC-1012</v>
      </c>
      <c r="C1403">
        <v>4506</v>
      </c>
      <c r="D1403">
        <v>265.5</v>
      </c>
      <c r="E1403">
        <v>87.9</v>
      </c>
      <c r="F1403">
        <v>3.1</v>
      </c>
      <c r="G1403">
        <v>0.4</v>
      </c>
      <c r="H1403" t="str">
        <v>OK</v>
      </c>
      <c r="J1403">
        <f t="shared" si="105"/>
        <v>5447.0000000000009</v>
      </c>
      <c r="K1403">
        <f>SUMIF(Supply_Clean[Item_Code], B1403, Supply_Clean[Available_Supply])</f>
        <v>12033</v>
      </c>
      <c r="L1403">
        <f t="shared" si="106"/>
        <v>1</v>
      </c>
      <c r="M1403">
        <f t="shared" si="107"/>
        <v>265.5</v>
      </c>
      <c r="N1403" t="str">
        <f t="shared" si="108"/>
        <v>SUFICIENTE</v>
      </c>
      <c r="O1403">
        <f t="shared" si="109"/>
        <v>0</v>
      </c>
    </row>
    <row r="1404" spans="1:15" x14ac:dyDescent="0.45">
      <c r="A1404" t="str">
        <v>CD-MOR</v>
      </c>
      <c r="B1404" t="str">
        <v>PRO-1001</v>
      </c>
      <c r="C1404">
        <v>7899</v>
      </c>
      <c r="D1404">
        <v>684.4</v>
      </c>
      <c r="E1404">
        <v>383.3</v>
      </c>
      <c r="F1404">
        <v>1.8</v>
      </c>
      <c r="G1404">
        <v>0.5</v>
      </c>
      <c r="H1404" t="str">
        <v>OK</v>
      </c>
      <c r="J1404">
        <f t="shared" si="105"/>
        <v>6433.2999999999993</v>
      </c>
      <c r="K1404">
        <f>SUMIF(Supply_Clean[Item_Code], B1404, Supply_Clean[Available_Supply])</f>
        <v>10011</v>
      </c>
      <c r="L1404">
        <f t="shared" si="106"/>
        <v>1</v>
      </c>
      <c r="M1404">
        <f t="shared" si="107"/>
        <v>684.4</v>
      </c>
      <c r="N1404" t="str">
        <f t="shared" si="108"/>
        <v>SUFICIENTE</v>
      </c>
      <c r="O1404">
        <f t="shared" si="109"/>
        <v>0</v>
      </c>
    </row>
    <row r="1405" spans="1:15" x14ac:dyDescent="0.45">
      <c r="A1405" t="str">
        <v>CD-MTY</v>
      </c>
      <c r="B1405" t="str">
        <v>BEB-1001</v>
      </c>
      <c r="C1405">
        <v>2300</v>
      </c>
      <c r="D1405">
        <v>363.3</v>
      </c>
      <c r="E1405">
        <v>65.2</v>
      </c>
      <c r="F1405">
        <v>1.2</v>
      </c>
      <c r="G1405">
        <v>0.3</v>
      </c>
      <c r="H1405" t="str">
        <v>OK</v>
      </c>
      <c r="J1405">
        <f t="shared" si="105"/>
        <v>6941.9</v>
      </c>
      <c r="K1405">
        <f>SUMIF(Supply_Clean[Item_Code], B1405, Supply_Clean[Available_Supply])</f>
        <v>11725</v>
      </c>
      <c r="L1405">
        <f t="shared" si="106"/>
        <v>1</v>
      </c>
      <c r="M1405">
        <f t="shared" si="107"/>
        <v>363.3</v>
      </c>
      <c r="N1405" t="str">
        <f t="shared" si="108"/>
        <v>SUFICIENTE</v>
      </c>
      <c r="O1405">
        <f t="shared" si="109"/>
        <v>0</v>
      </c>
    </row>
    <row r="1406" spans="1:15" x14ac:dyDescent="0.45">
      <c r="A1406" t="str">
        <v>CD-HER</v>
      </c>
      <c r="B1406" t="str">
        <v>BEB-1007</v>
      </c>
      <c r="C1406">
        <v>2680</v>
      </c>
      <c r="D1406">
        <v>201.2</v>
      </c>
      <c r="E1406">
        <v>35.9</v>
      </c>
      <c r="F1406">
        <v>5.6</v>
      </c>
      <c r="G1406">
        <v>1.2</v>
      </c>
      <c r="H1406" t="str">
        <v>OK</v>
      </c>
      <c r="J1406">
        <f t="shared" si="105"/>
        <v>5039.5</v>
      </c>
      <c r="K1406">
        <f>SUMIF(Supply_Clean[Item_Code], B1406, Supply_Clean[Available_Supply])</f>
        <v>12912</v>
      </c>
      <c r="L1406">
        <f t="shared" si="106"/>
        <v>1</v>
      </c>
      <c r="M1406">
        <f t="shared" si="107"/>
        <v>201.2</v>
      </c>
      <c r="N1406" t="str">
        <f t="shared" si="108"/>
        <v>SUFICIENTE</v>
      </c>
      <c r="O1406">
        <f t="shared" si="109"/>
        <v>0</v>
      </c>
    </row>
    <row r="1407" spans="1:15" x14ac:dyDescent="0.45">
      <c r="A1407" t="str">
        <v>CD-LEO</v>
      </c>
      <c r="B1407" t="str">
        <v>LAC-1005</v>
      </c>
      <c r="C1407">
        <v>3641</v>
      </c>
      <c r="D1407">
        <v>256.2</v>
      </c>
      <c r="E1407">
        <v>93.1</v>
      </c>
      <c r="F1407">
        <v>1.7</v>
      </c>
      <c r="G1407">
        <v>0.6</v>
      </c>
      <c r="H1407" t="str">
        <v>OK</v>
      </c>
      <c r="J1407">
        <f t="shared" si="105"/>
        <v>3868.9</v>
      </c>
      <c r="K1407">
        <f>SUMIF(Supply_Clean[Item_Code], B1407, Supply_Clean[Available_Supply])</f>
        <v>9953</v>
      </c>
      <c r="L1407">
        <f t="shared" si="106"/>
        <v>1</v>
      </c>
      <c r="M1407">
        <f t="shared" si="107"/>
        <v>256.2</v>
      </c>
      <c r="N1407" t="str">
        <f t="shared" si="108"/>
        <v>SUFICIENTE</v>
      </c>
      <c r="O1407">
        <f t="shared" si="109"/>
        <v>0</v>
      </c>
    </row>
    <row r="1408" spans="1:15" x14ac:dyDescent="0.45">
      <c r="A1408" t="str">
        <v>CD-TOL</v>
      </c>
      <c r="B1408" t="str">
        <v>ABA-1017</v>
      </c>
      <c r="C1408">
        <v>3579</v>
      </c>
      <c r="D1408">
        <v>391.3</v>
      </c>
      <c r="E1408">
        <v>38.200000000000003</v>
      </c>
      <c r="F1408">
        <v>0.7</v>
      </c>
      <c r="G1408">
        <v>0.5</v>
      </c>
      <c r="H1408" t="str">
        <v>OK</v>
      </c>
      <c r="J1408">
        <f t="shared" si="105"/>
        <v>4720.2</v>
      </c>
      <c r="K1408">
        <f>SUMIF(Supply_Clean[Item_Code], B1408, Supply_Clean[Available_Supply])</f>
        <v>13946</v>
      </c>
      <c r="L1408">
        <f t="shared" si="106"/>
        <v>1</v>
      </c>
      <c r="M1408">
        <f t="shared" si="107"/>
        <v>391.3</v>
      </c>
      <c r="N1408" t="str">
        <f t="shared" si="108"/>
        <v>SUFICIENTE</v>
      </c>
      <c r="O1408">
        <f t="shared" si="109"/>
        <v>0</v>
      </c>
    </row>
    <row r="1409" spans="1:15" x14ac:dyDescent="0.45">
      <c r="A1409" t="str">
        <v>CD-TOL</v>
      </c>
      <c r="B1409" t="str">
        <v>BOT-1003</v>
      </c>
      <c r="C1409">
        <v>0</v>
      </c>
      <c r="D1409">
        <v>670.9</v>
      </c>
      <c r="E1409">
        <v>105.4</v>
      </c>
      <c r="F1409">
        <v>2.2999999999999998</v>
      </c>
      <c r="G1409">
        <v>0.5</v>
      </c>
      <c r="H1409">
        <v>0</v>
      </c>
      <c r="J1409">
        <f t="shared" si="105"/>
        <v>8902.7999999999993</v>
      </c>
      <c r="K1409">
        <f>SUMIF(Supply_Clean[Item_Code], B1409, Supply_Clean[Available_Supply])</f>
        <v>24326</v>
      </c>
      <c r="L1409">
        <f t="shared" si="106"/>
        <v>1</v>
      </c>
      <c r="M1409">
        <f t="shared" si="107"/>
        <v>670.9</v>
      </c>
      <c r="N1409" t="str">
        <f t="shared" si="108"/>
        <v>SUFICIENTE</v>
      </c>
      <c r="O1409">
        <f t="shared" si="109"/>
        <v>0</v>
      </c>
    </row>
    <row r="1410" spans="1:15" x14ac:dyDescent="0.45">
      <c r="A1410" t="str">
        <v>CD-GDL</v>
      </c>
      <c r="B1410" t="str">
        <v>ABA-1010</v>
      </c>
      <c r="C1410">
        <v>3127</v>
      </c>
      <c r="D1410">
        <v>264.8</v>
      </c>
      <c r="E1410">
        <v>33.200000000000003</v>
      </c>
      <c r="F1410">
        <v>1</v>
      </c>
      <c r="G1410">
        <v>0.2</v>
      </c>
      <c r="H1410" t="str">
        <v>OK</v>
      </c>
      <c r="J1410">
        <f t="shared" si="105"/>
        <v>4871.7</v>
      </c>
      <c r="K1410">
        <f>SUMIF(Supply_Clean[Item_Code], B1410, Supply_Clean[Available_Supply])</f>
        <v>9875</v>
      </c>
      <c r="L1410">
        <f t="shared" si="106"/>
        <v>1</v>
      </c>
      <c r="M1410">
        <f t="shared" si="107"/>
        <v>264.8</v>
      </c>
      <c r="N1410" t="str">
        <f t="shared" si="108"/>
        <v>SUFICIENTE</v>
      </c>
      <c r="O1410">
        <f t="shared" si="109"/>
        <v>0</v>
      </c>
    </row>
    <row r="1411" spans="1:15" x14ac:dyDescent="0.45">
      <c r="A1411" t="str">
        <v>CD-PUE</v>
      </c>
      <c r="B1411" t="str">
        <v>BOT-1022</v>
      </c>
      <c r="C1411">
        <v>12223</v>
      </c>
      <c r="D1411">
        <v>698.9</v>
      </c>
      <c r="E1411">
        <v>143.9</v>
      </c>
      <c r="F1411">
        <v>0.7</v>
      </c>
      <c r="G1411">
        <v>0.3</v>
      </c>
      <c r="H1411" t="str">
        <v>OK</v>
      </c>
      <c r="J1411">
        <f t="shared" ref="J1411:J1474" si="110">SUMIF($B$2:$B$1501, B1411, $D$2:$D$1501)</f>
        <v>9197.7000000000007</v>
      </c>
      <c r="K1411">
        <f>SUMIF(Supply_Clean[Item_Code], B1411, Supply_Clean[Available_Supply])</f>
        <v>23862</v>
      </c>
      <c r="L1411">
        <f t="shared" ref="L1411:L1474" si="111">IFERROR(MIN(1, K1411/J1411), "")</f>
        <v>1</v>
      </c>
      <c r="M1411">
        <f t="shared" ref="M1411:M1474" si="112">IFERROR(D1411*L1411, "")</f>
        <v>698.9</v>
      </c>
      <c r="N1411" t="str">
        <f t="shared" ref="N1411:N1474" si="113">IF(L1411&lt;1, "ESCASEZ", "SUFICIENTE")</f>
        <v>SUFICIENTE</v>
      </c>
      <c r="O1411">
        <f t="shared" ref="O1411:O1474" si="114">IF(N1411="ESCASEZ", D1411-M1411, 0)</f>
        <v>0</v>
      </c>
    </row>
    <row r="1412" spans="1:15" x14ac:dyDescent="0.45">
      <c r="A1412" t="str">
        <v>CD-MER</v>
      </c>
      <c r="B1412" t="str">
        <v>ABA-1012</v>
      </c>
      <c r="C1412">
        <v>2181</v>
      </c>
      <c r="D1412">
        <v>237.8</v>
      </c>
      <c r="E1412">
        <v>24.2</v>
      </c>
      <c r="F1412">
        <v>2.1</v>
      </c>
      <c r="G1412">
        <v>1.3</v>
      </c>
      <c r="H1412" t="str">
        <v>OK</v>
      </c>
      <c r="J1412">
        <f t="shared" si="110"/>
        <v>5104.3999999999996</v>
      </c>
      <c r="K1412">
        <f>SUMIF(Supply_Clean[Item_Code], B1412, Supply_Clean[Available_Supply])</f>
        <v>8396</v>
      </c>
      <c r="L1412">
        <f t="shared" si="111"/>
        <v>1</v>
      </c>
      <c r="M1412">
        <f t="shared" si="112"/>
        <v>237.8</v>
      </c>
      <c r="N1412" t="str">
        <f t="shared" si="113"/>
        <v>SUFICIENTE</v>
      </c>
      <c r="O1412">
        <f t="shared" si="114"/>
        <v>0</v>
      </c>
    </row>
    <row r="1413" spans="1:15" x14ac:dyDescent="0.45">
      <c r="A1413" t="str">
        <v>CD-QRO</v>
      </c>
      <c r="B1413" t="str">
        <v>LAC-1011</v>
      </c>
      <c r="C1413">
        <v>1109</v>
      </c>
      <c r="D1413">
        <v>229.5</v>
      </c>
      <c r="E1413">
        <v>101.9</v>
      </c>
      <c r="F1413">
        <v>2.4</v>
      </c>
      <c r="G1413">
        <v>0.4</v>
      </c>
      <c r="H1413" t="str">
        <v>OK</v>
      </c>
      <c r="J1413">
        <f t="shared" si="110"/>
        <v>4165</v>
      </c>
      <c r="K1413">
        <f>SUMIF(Supply_Clean[Item_Code], B1413, Supply_Clean[Available_Supply])</f>
        <v>2719</v>
      </c>
      <c r="L1413">
        <f t="shared" si="111"/>
        <v>0.65282112845138052</v>
      </c>
      <c r="M1413">
        <f t="shared" si="112"/>
        <v>149.82244897959183</v>
      </c>
      <c r="N1413" t="str">
        <f t="shared" si="113"/>
        <v>ESCASEZ</v>
      </c>
      <c r="O1413">
        <f t="shared" si="114"/>
        <v>79.677551020408174</v>
      </c>
    </row>
    <row r="1414" spans="1:15" x14ac:dyDescent="0.45">
      <c r="A1414" t="str">
        <v>CD-MER</v>
      </c>
      <c r="B1414" t="str">
        <v>BEB-1019</v>
      </c>
      <c r="C1414">
        <v>6348</v>
      </c>
      <c r="D1414">
        <v>382</v>
      </c>
      <c r="E1414">
        <v>39.799999999999997</v>
      </c>
      <c r="F1414">
        <v>4.4000000000000004</v>
      </c>
      <c r="G1414">
        <v>1.3</v>
      </c>
      <c r="H1414" t="str">
        <v>OK</v>
      </c>
      <c r="J1414">
        <f t="shared" si="110"/>
        <v>5453.6</v>
      </c>
      <c r="K1414">
        <f>SUMIF(Supply_Clean[Item_Code], B1414, Supply_Clean[Available_Supply])</f>
        <v>15099</v>
      </c>
      <c r="L1414">
        <f t="shared" si="111"/>
        <v>1</v>
      </c>
      <c r="M1414">
        <f t="shared" si="112"/>
        <v>382</v>
      </c>
      <c r="N1414" t="str">
        <f t="shared" si="113"/>
        <v>SUFICIENTE</v>
      </c>
      <c r="O1414">
        <f t="shared" si="114"/>
        <v>0</v>
      </c>
    </row>
    <row r="1415" spans="1:15" x14ac:dyDescent="0.45">
      <c r="A1415" t="str">
        <v>CD-MTY</v>
      </c>
      <c r="B1415" t="str">
        <v>BEB-1005</v>
      </c>
      <c r="C1415">
        <v>4409</v>
      </c>
      <c r="D1415">
        <v>312.2</v>
      </c>
      <c r="E1415">
        <v>42.3</v>
      </c>
      <c r="F1415">
        <v>1.5</v>
      </c>
      <c r="G1415">
        <v>0.3</v>
      </c>
      <c r="H1415" t="str">
        <v>OK</v>
      </c>
      <c r="J1415">
        <f t="shared" si="110"/>
        <v>6220.1999999999989</v>
      </c>
      <c r="K1415">
        <f>SUMIF(Supply_Clean[Item_Code], B1415, Supply_Clean[Available_Supply])</f>
        <v>14054</v>
      </c>
      <c r="L1415">
        <f t="shared" si="111"/>
        <v>1</v>
      </c>
      <c r="M1415">
        <f t="shared" si="112"/>
        <v>312.2</v>
      </c>
      <c r="N1415" t="str">
        <f t="shared" si="113"/>
        <v>SUFICIENTE</v>
      </c>
      <c r="O1415">
        <f t="shared" si="114"/>
        <v>0</v>
      </c>
    </row>
    <row r="1416" spans="1:15" x14ac:dyDescent="0.45">
      <c r="A1416" t="str">
        <v>CD-VER</v>
      </c>
      <c r="B1416" t="str">
        <v>BOT-1013</v>
      </c>
      <c r="C1416">
        <v>5219</v>
      </c>
      <c r="D1416">
        <v>538.70000000000005</v>
      </c>
      <c r="E1416">
        <v>150.5</v>
      </c>
      <c r="F1416">
        <v>2.5</v>
      </c>
      <c r="G1416">
        <v>0.9</v>
      </c>
      <c r="H1416" t="str">
        <v>OK</v>
      </c>
      <c r="J1416">
        <f t="shared" si="110"/>
        <v>8336.1999999999989</v>
      </c>
      <c r="K1416">
        <f>SUMIF(Supply_Clean[Item_Code], B1416, Supply_Clean[Available_Supply])</f>
        <v>20545</v>
      </c>
      <c r="L1416">
        <f t="shared" si="111"/>
        <v>1</v>
      </c>
      <c r="M1416">
        <f t="shared" si="112"/>
        <v>538.70000000000005</v>
      </c>
      <c r="N1416" t="str">
        <f t="shared" si="113"/>
        <v>SUFICIENTE</v>
      </c>
      <c r="O1416">
        <f t="shared" si="114"/>
        <v>0</v>
      </c>
    </row>
    <row r="1417" spans="1:15" x14ac:dyDescent="0.45">
      <c r="A1417" t="str">
        <v>CD-MER</v>
      </c>
      <c r="B1417" t="str">
        <v>BOT-1005</v>
      </c>
      <c r="C1417">
        <v>9597</v>
      </c>
      <c r="D1417">
        <v>562.9</v>
      </c>
      <c r="E1417">
        <v>144.1</v>
      </c>
      <c r="F1417">
        <v>0.9</v>
      </c>
      <c r="G1417">
        <v>1.3</v>
      </c>
      <c r="H1417" t="str">
        <v>OK</v>
      </c>
      <c r="J1417">
        <f t="shared" si="110"/>
        <v>8620.3000000000011</v>
      </c>
      <c r="K1417">
        <f>SUMIF(Supply_Clean[Item_Code], B1417, Supply_Clean[Available_Supply])</f>
        <v>23903</v>
      </c>
      <c r="L1417">
        <f t="shared" si="111"/>
        <v>1</v>
      </c>
      <c r="M1417">
        <f t="shared" si="112"/>
        <v>562.9</v>
      </c>
      <c r="N1417" t="str">
        <f t="shared" si="113"/>
        <v>SUFICIENTE</v>
      </c>
      <c r="O1417">
        <f t="shared" si="114"/>
        <v>0</v>
      </c>
    </row>
    <row r="1418" spans="1:15" x14ac:dyDescent="0.45">
      <c r="A1418" t="str">
        <v>CD-LEO</v>
      </c>
      <c r="B1418" t="str">
        <v>BOT-1008</v>
      </c>
      <c r="C1418">
        <v>9040</v>
      </c>
      <c r="D1418">
        <v>0</v>
      </c>
      <c r="E1418">
        <v>216.9</v>
      </c>
      <c r="F1418">
        <v>1.8</v>
      </c>
      <c r="G1418">
        <v>0.6</v>
      </c>
      <c r="H1418" t="str">
        <v>OK</v>
      </c>
      <c r="J1418">
        <f t="shared" si="110"/>
        <v>7758.6</v>
      </c>
      <c r="K1418">
        <f>SUMIF(Supply_Clean[Item_Code], B1418, Supply_Clean[Available_Supply])</f>
        <v>25288</v>
      </c>
      <c r="L1418">
        <f t="shared" si="111"/>
        <v>1</v>
      </c>
      <c r="M1418">
        <f t="shared" si="112"/>
        <v>0</v>
      </c>
      <c r="N1418" t="str">
        <f t="shared" si="113"/>
        <v>SUFICIENTE</v>
      </c>
      <c r="O1418">
        <f t="shared" si="114"/>
        <v>0</v>
      </c>
    </row>
    <row r="1419" spans="1:15" x14ac:dyDescent="0.45">
      <c r="A1419" t="str">
        <v>CD-LEO</v>
      </c>
      <c r="B1419" t="str">
        <v>BOT-1022</v>
      </c>
      <c r="C1419">
        <v>9140</v>
      </c>
      <c r="D1419">
        <v>518</v>
      </c>
      <c r="E1419">
        <v>143.9</v>
      </c>
      <c r="F1419">
        <v>0.5</v>
      </c>
      <c r="G1419">
        <v>0.6</v>
      </c>
      <c r="H1419" t="str">
        <v>OK</v>
      </c>
      <c r="J1419">
        <f t="shared" si="110"/>
        <v>9197.7000000000007</v>
      </c>
      <c r="K1419">
        <f>SUMIF(Supply_Clean[Item_Code], B1419, Supply_Clean[Available_Supply])</f>
        <v>23862</v>
      </c>
      <c r="L1419">
        <f t="shared" si="111"/>
        <v>1</v>
      </c>
      <c r="M1419">
        <f t="shared" si="112"/>
        <v>518</v>
      </c>
      <c r="N1419" t="str">
        <f t="shared" si="113"/>
        <v>SUFICIENTE</v>
      </c>
      <c r="O1419">
        <f t="shared" si="114"/>
        <v>0</v>
      </c>
    </row>
    <row r="1420" spans="1:15" x14ac:dyDescent="0.45">
      <c r="A1420" t="str">
        <v>CD-MOR</v>
      </c>
      <c r="B1420" t="str">
        <v>ABA-1013</v>
      </c>
      <c r="C1420">
        <v>620</v>
      </c>
      <c r="D1420">
        <v>290.7</v>
      </c>
      <c r="E1420">
        <v>35.200000000000003</v>
      </c>
      <c r="F1420">
        <v>2</v>
      </c>
      <c r="G1420">
        <v>0.5</v>
      </c>
      <c r="H1420" t="str">
        <v>OK</v>
      </c>
      <c r="J1420">
        <f t="shared" si="110"/>
        <v>4213.8999999999996</v>
      </c>
      <c r="K1420">
        <f>SUMIF(Supply_Clean[Item_Code], B1420, Supply_Clean[Available_Supply])</f>
        <v>2568</v>
      </c>
      <c r="L1420">
        <f t="shared" si="111"/>
        <v>0.60941170886826934</v>
      </c>
      <c r="M1420">
        <f t="shared" si="112"/>
        <v>177.15598376800588</v>
      </c>
      <c r="N1420" t="str">
        <f t="shared" si="113"/>
        <v>ESCASEZ</v>
      </c>
      <c r="O1420">
        <f t="shared" si="114"/>
        <v>113.54401623199411</v>
      </c>
    </row>
    <row r="1421" spans="1:15" x14ac:dyDescent="0.45">
      <c r="A1421" t="str">
        <v>CD-GDL</v>
      </c>
      <c r="B1421" t="str">
        <v>PRO-1004</v>
      </c>
      <c r="C1421">
        <v>2104</v>
      </c>
      <c r="D1421">
        <v>196.6</v>
      </c>
      <c r="E1421">
        <v>96.8</v>
      </c>
      <c r="F1421">
        <v>1</v>
      </c>
      <c r="G1421">
        <v>0.2</v>
      </c>
      <c r="H1421" t="str">
        <v>OK</v>
      </c>
      <c r="J1421">
        <f t="shared" si="110"/>
        <v>5295.1999999999989</v>
      </c>
      <c r="K1421">
        <f>SUMIF(Supply_Clean[Item_Code], B1421, Supply_Clean[Available_Supply])</f>
        <v>13057</v>
      </c>
      <c r="L1421">
        <f t="shared" si="111"/>
        <v>1</v>
      </c>
      <c r="M1421">
        <f t="shared" si="112"/>
        <v>196.6</v>
      </c>
      <c r="N1421" t="str">
        <f t="shared" si="113"/>
        <v>SUFICIENTE</v>
      </c>
      <c r="O1421">
        <f t="shared" si="114"/>
        <v>0</v>
      </c>
    </row>
    <row r="1422" spans="1:15" x14ac:dyDescent="0.45">
      <c r="A1422" t="str">
        <v>CD-PUE</v>
      </c>
      <c r="B1422" t="str">
        <v>BEB-1019</v>
      </c>
      <c r="C1422">
        <v>984</v>
      </c>
      <c r="D1422">
        <v>204.8</v>
      </c>
      <c r="E1422">
        <v>40</v>
      </c>
      <c r="F1422">
        <v>0.5</v>
      </c>
      <c r="G1422">
        <v>0.3</v>
      </c>
      <c r="H1422" t="str">
        <v>OK</v>
      </c>
      <c r="J1422">
        <f t="shared" si="110"/>
        <v>5453.6</v>
      </c>
      <c r="K1422">
        <f>SUMIF(Supply_Clean[Item_Code], B1422, Supply_Clean[Available_Supply])</f>
        <v>15099</v>
      </c>
      <c r="L1422">
        <f t="shared" si="111"/>
        <v>1</v>
      </c>
      <c r="M1422">
        <f t="shared" si="112"/>
        <v>204.8</v>
      </c>
      <c r="N1422" t="str">
        <f t="shared" si="113"/>
        <v>SUFICIENTE</v>
      </c>
      <c r="O1422">
        <f t="shared" si="114"/>
        <v>0</v>
      </c>
    </row>
    <row r="1423" spans="1:15" x14ac:dyDescent="0.45">
      <c r="A1423" t="str">
        <v>CD-PUE</v>
      </c>
      <c r="B1423" t="str">
        <v>BOT-1016</v>
      </c>
      <c r="C1423">
        <v>0</v>
      </c>
      <c r="D1423">
        <v>807.9</v>
      </c>
      <c r="E1423">
        <v>215.1</v>
      </c>
      <c r="F1423">
        <v>0.8</v>
      </c>
      <c r="G1423">
        <v>0.3</v>
      </c>
      <c r="H1423">
        <v>0</v>
      </c>
      <c r="J1423">
        <f t="shared" si="110"/>
        <v>9923.6999999999989</v>
      </c>
      <c r="K1423">
        <f>SUMIF(Supply_Clean[Item_Code], B1423, Supply_Clean[Available_Supply])</f>
        <v>18995</v>
      </c>
      <c r="L1423">
        <f t="shared" si="111"/>
        <v>1</v>
      </c>
      <c r="M1423">
        <f t="shared" si="112"/>
        <v>807.9</v>
      </c>
      <c r="N1423" t="str">
        <f t="shared" si="113"/>
        <v>SUFICIENTE</v>
      </c>
      <c r="O1423">
        <f t="shared" si="114"/>
        <v>0</v>
      </c>
    </row>
    <row r="1424" spans="1:15" x14ac:dyDescent="0.45">
      <c r="A1424" t="str">
        <v>CD-MER</v>
      </c>
      <c r="B1424" t="str">
        <v>BEB-1005</v>
      </c>
      <c r="C1424">
        <v>2146</v>
      </c>
      <c r="D1424">
        <v>224.2</v>
      </c>
      <c r="E1424">
        <v>30</v>
      </c>
      <c r="F1424">
        <v>4</v>
      </c>
      <c r="G1424">
        <v>1.3</v>
      </c>
      <c r="H1424" t="str">
        <v>OK</v>
      </c>
      <c r="J1424">
        <f t="shared" si="110"/>
        <v>6220.1999999999989</v>
      </c>
      <c r="K1424">
        <f>SUMIF(Supply_Clean[Item_Code], B1424, Supply_Clean[Available_Supply])</f>
        <v>14054</v>
      </c>
      <c r="L1424">
        <f t="shared" si="111"/>
        <v>1</v>
      </c>
      <c r="M1424">
        <f t="shared" si="112"/>
        <v>224.2</v>
      </c>
      <c r="N1424" t="str">
        <f t="shared" si="113"/>
        <v>SUFICIENTE</v>
      </c>
      <c r="O1424">
        <f t="shared" si="114"/>
        <v>0</v>
      </c>
    </row>
    <row r="1425" spans="1:15" x14ac:dyDescent="0.45">
      <c r="A1425" t="str">
        <v>CD-QRO</v>
      </c>
      <c r="B1425" t="str">
        <v>PRO-1008</v>
      </c>
      <c r="C1425">
        <v>3044</v>
      </c>
      <c r="D1425">
        <v>463.4</v>
      </c>
      <c r="E1425">
        <v>225.4</v>
      </c>
      <c r="F1425">
        <v>2</v>
      </c>
      <c r="G1425">
        <v>0.4</v>
      </c>
      <c r="H1425" t="str">
        <v>OK</v>
      </c>
      <c r="J1425">
        <f t="shared" si="110"/>
        <v>5551.5999999999995</v>
      </c>
      <c r="K1425">
        <f>SUMIF(Supply_Clean[Item_Code], B1425, Supply_Clean[Available_Supply])</f>
        <v>9738</v>
      </c>
      <c r="L1425">
        <f t="shared" si="111"/>
        <v>1</v>
      </c>
      <c r="M1425">
        <f t="shared" si="112"/>
        <v>463.4</v>
      </c>
      <c r="N1425" t="str">
        <f t="shared" si="113"/>
        <v>SUFICIENTE</v>
      </c>
      <c r="O1425">
        <f t="shared" si="114"/>
        <v>0</v>
      </c>
    </row>
    <row r="1426" spans="1:15" x14ac:dyDescent="0.45">
      <c r="A1426" t="str">
        <v>CD-VER</v>
      </c>
      <c r="B1426" t="str">
        <v>PRO-1006</v>
      </c>
      <c r="C1426">
        <v>2892</v>
      </c>
      <c r="D1426">
        <v>354.4</v>
      </c>
      <c r="E1426">
        <v>153.69999999999999</v>
      </c>
      <c r="F1426">
        <v>2.6</v>
      </c>
      <c r="G1426">
        <v>0.9</v>
      </c>
      <c r="H1426" t="str">
        <v>OK</v>
      </c>
      <c r="J1426">
        <f t="shared" si="110"/>
        <v>5801.8</v>
      </c>
      <c r="K1426">
        <f>SUMIF(Supply_Clean[Item_Code], B1426, Supply_Clean[Available_Supply])</f>
        <v>9270</v>
      </c>
      <c r="L1426">
        <f t="shared" si="111"/>
        <v>1</v>
      </c>
      <c r="M1426">
        <f t="shared" si="112"/>
        <v>354.4</v>
      </c>
      <c r="N1426" t="str">
        <f t="shared" si="113"/>
        <v>SUFICIENTE</v>
      </c>
      <c r="O1426">
        <f t="shared" si="114"/>
        <v>0</v>
      </c>
    </row>
    <row r="1427" spans="1:15" x14ac:dyDescent="0.45">
      <c r="A1427" t="str">
        <v>CD-PUE</v>
      </c>
      <c r="B1427" t="str">
        <v>BEB-1015</v>
      </c>
      <c r="C1427">
        <v>7467</v>
      </c>
      <c r="D1427">
        <v>472.8</v>
      </c>
      <c r="E1427">
        <v>84</v>
      </c>
      <c r="F1427">
        <v>0.5</v>
      </c>
      <c r="G1427">
        <v>0.3</v>
      </c>
      <c r="H1427" t="str">
        <v>OK</v>
      </c>
      <c r="J1427">
        <f t="shared" si="110"/>
        <v>5073.0999999999995</v>
      </c>
      <c r="K1427">
        <f>SUMIF(Supply_Clean[Item_Code], B1427, Supply_Clean[Available_Supply])</f>
        <v>14801</v>
      </c>
      <c r="L1427">
        <f t="shared" si="111"/>
        <v>1</v>
      </c>
      <c r="M1427">
        <f t="shared" si="112"/>
        <v>472.8</v>
      </c>
      <c r="N1427" t="str">
        <f t="shared" si="113"/>
        <v>SUFICIENTE</v>
      </c>
      <c r="O1427">
        <f t="shared" si="114"/>
        <v>0</v>
      </c>
    </row>
    <row r="1428" spans="1:15" x14ac:dyDescent="0.45">
      <c r="A1428" t="str">
        <v>CD-MTY</v>
      </c>
      <c r="B1428" t="str">
        <v>BEB-1008</v>
      </c>
      <c r="C1428">
        <v>4618</v>
      </c>
      <c r="D1428">
        <v>384.4</v>
      </c>
      <c r="E1428">
        <v>62.9</v>
      </c>
      <c r="F1428">
        <v>1</v>
      </c>
      <c r="G1428">
        <v>0.3</v>
      </c>
      <c r="H1428" t="str">
        <v>OK</v>
      </c>
      <c r="J1428">
        <f t="shared" si="110"/>
        <v>6156.9999999999991</v>
      </c>
      <c r="K1428">
        <f>SUMIF(Supply_Clean[Item_Code], B1428, Supply_Clean[Available_Supply])</f>
        <v>18019</v>
      </c>
      <c r="L1428">
        <f t="shared" si="111"/>
        <v>1</v>
      </c>
      <c r="M1428">
        <f t="shared" si="112"/>
        <v>384.4</v>
      </c>
      <c r="N1428" t="str">
        <f t="shared" si="113"/>
        <v>SUFICIENTE</v>
      </c>
      <c r="O1428">
        <f t="shared" si="114"/>
        <v>0</v>
      </c>
    </row>
    <row r="1429" spans="1:15" x14ac:dyDescent="0.45">
      <c r="A1429" t="str">
        <v>CD-MTY</v>
      </c>
      <c r="B1429" t="str">
        <v>BOT-1011</v>
      </c>
      <c r="C1429">
        <v>9117</v>
      </c>
      <c r="D1429">
        <v>757.2</v>
      </c>
      <c r="E1429">
        <v>165.2</v>
      </c>
      <c r="F1429">
        <v>1</v>
      </c>
      <c r="G1429">
        <v>0.3</v>
      </c>
      <c r="H1429" t="str">
        <v>OK</v>
      </c>
      <c r="J1429">
        <f t="shared" si="110"/>
        <v>9886.2999999999993</v>
      </c>
      <c r="K1429">
        <f>SUMIF(Supply_Clean[Item_Code], B1429, Supply_Clean[Available_Supply])</f>
        <v>19886</v>
      </c>
      <c r="L1429">
        <f t="shared" si="111"/>
        <v>1</v>
      </c>
      <c r="M1429">
        <f t="shared" si="112"/>
        <v>757.2</v>
      </c>
      <c r="N1429" t="str">
        <f t="shared" si="113"/>
        <v>SUFICIENTE</v>
      </c>
      <c r="O1429">
        <f t="shared" si="114"/>
        <v>0</v>
      </c>
    </row>
    <row r="1430" spans="1:15" x14ac:dyDescent="0.45">
      <c r="A1430" t="str">
        <v>CD-CDMX</v>
      </c>
      <c r="B1430" t="str">
        <v>ABA-1019</v>
      </c>
      <c r="C1430">
        <v>408</v>
      </c>
      <c r="D1430">
        <v>211.7</v>
      </c>
      <c r="E1430">
        <v>21.7</v>
      </c>
      <c r="F1430">
        <v>1.1000000000000001</v>
      </c>
      <c r="G1430">
        <v>0.2</v>
      </c>
      <c r="H1430" t="str">
        <v>OK</v>
      </c>
      <c r="J1430">
        <f t="shared" si="110"/>
        <v>4484.9000000000005</v>
      </c>
      <c r="K1430">
        <f>SUMIF(Supply_Clean[Item_Code], B1430, Supply_Clean[Available_Supply])</f>
        <v>12013</v>
      </c>
      <c r="L1430">
        <f t="shared" si="111"/>
        <v>1</v>
      </c>
      <c r="M1430">
        <f t="shared" si="112"/>
        <v>211.7</v>
      </c>
      <c r="N1430" t="str">
        <f t="shared" si="113"/>
        <v>SUFICIENTE</v>
      </c>
      <c r="O1430">
        <f t="shared" si="114"/>
        <v>0</v>
      </c>
    </row>
    <row r="1431" spans="1:15" x14ac:dyDescent="0.45">
      <c r="A1431" t="str">
        <v>CD-SAL</v>
      </c>
      <c r="B1431" t="str">
        <v>BEB-1021</v>
      </c>
      <c r="C1431">
        <v>4098</v>
      </c>
      <c r="D1431">
        <v>296.8</v>
      </c>
      <c r="E1431">
        <v>34.6</v>
      </c>
      <c r="F1431">
        <v>2.4</v>
      </c>
      <c r="G1431">
        <v>0.5</v>
      </c>
      <c r="H1431" t="str">
        <v>OK</v>
      </c>
      <c r="J1431">
        <f t="shared" si="110"/>
        <v>5254.7999999999993</v>
      </c>
      <c r="K1431">
        <f>SUMIF(Supply_Clean[Item_Code], B1431, Supply_Clean[Available_Supply])</f>
        <v>13235</v>
      </c>
      <c r="L1431">
        <f t="shared" si="111"/>
        <v>1</v>
      </c>
      <c r="M1431">
        <f t="shared" si="112"/>
        <v>296.8</v>
      </c>
      <c r="N1431" t="str">
        <f t="shared" si="113"/>
        <v>SUFICIENTE</v>
      </c>
      <c r="O1431">
        <f t="shared" si="114"/>
        <v>0</v>
      </c>
    </row>
    <row r="1432" spans="1:15" x14ac:dyDescent="0.45">
      <c r="A1432" t="str">
        <v>CD-MER</v>
      </c>
      <c r="B1432" t="str">
        <v>LAC-1000</v>
      </c>
      <c r="C1432">
        <v>1260</v>
      </c>
      <c r="D1432">
        <v>206.8</v>
      </c>
      <c r="E1432">
        <v>65.7</v>
      </c>
      <c r="F1432">
        <v>4.5999999999999996</v>
      </c>
      <c r="G1432">
        <v>1.3</v>
      </c>
      <c r="H1432" t="str">
        <v>OK</v>
      </c>
      <c r="J1432">
        <f t="shared" si="110"/>
        <v>4987.8</v>
      </c>
      <c r="K1432">
        <f>SUMIF(Supply_Clean[Item_Code], B1432, Supply_Clean[Available_Supply])</f>
        <v>12568</v>
      </c>
      <c r="L1432">
        <f t="shared" si="111"/>
        <v>1</v>
      </c>
      <c r="M1432">
        <f t="shared" si="112"/>
        <v>206.8</v>
      </c>
      <c r="N1432" t="str">
        <f t="shared" si="113"/>
        <v>SUFICIENTE</v>
      </c>
      <c r="O1432">
        <f t="shared" si="114"/>
        <v>0</v>
      </c>
    </row>
    <row r="1433" spans="1:15" x14ac:dyDescent="0.45">
      <c r="A1433" t="str">
        <v>CD-CDMX</v>
      </c>
      <c r="B1433" t="str">
        <v>BEB-1010</v>
      </c>
      <c r="C1433">
        <v>2625</v>
      </c>
      <c r="D1433">
        <v>0</v>
      </c>
      <c r="E1433">
        <v>53.2</v>
      </c>
      <c r="F1433">
        <v>0.8</v>
      </c>
      <c r="G1433">
        <v>0.2</v>
      </c>
      <c r="H1433" t="str">
        <v>OK</v>
      </c>
      <c r="J1433">
        <f t="shared" si="110"/>
        <v>4470.2999999999993</v>
      </c>
      <c r="K1433">
        <f>SUMIF(Supply_Clean[Item_Code], B1433, Supply_Clean[Available_Supply])</f>
        <v>3237</v>
      </c>
      <c r="L1433">
        <f t="shared" si="111"/>
        <v>0.7241124756727737</v>
      </c>
      <c r="M1433">
        <f t="shared" si="112"/>
        <v>0</v>
      </c>
      <c r="N1433" t="str">
        <f t="shared" si="113"/>
        <v>ESCASEZ</v>
      </c>
      <c r="O1433">
        <f t="shared" si="114"/>
        <v>0</v>
      </c>
    </row>
    <row r="1434" spans="1:15" x14ac:dyDescent="0.45">
      <c r="A1434" t="str">
        <v>CD-SAL</v>
      </c>
      <c r="B1434" t="str">
        <v>ABA-1017</v>
      </c>
      <c r="C1434">
        <v>3320</v>
      </c>
      <c r="D1434">
        <v>332.6</v>
      </c>
      <c r="E1434">
        <v>29.9</v>
      </c>
      <c r="F1434">
        <v>1.7</v>
      </c>
      <c r="G1434">
        <v>0.5</v>
      </c>
      <c r="H1434" t="str">
        <v>OK</v>
      </c>
      <c r="J1434">
        <f t="shared" si="110"/>
        <v>4720.2</v>
      </c>
      <c r="K1434">
        <f>SUMIF(Supply_Clean[Item_Code], B1434, Supply_Clean[Available_Supply])</f>
        <v>13946</v>
      </c>
      <c r="L1434">
        <f t="shared" si="111"/>
        <v>1</v>
      </c>
      <c r="M1434">
        <f t="shared" si="112"/>
        <v>332.6</v>
      </c>
      <c r="N1434" t="str">
        <f t="shared" si="113"/>
        <v>SUFICIENTE</v>
      </c>
      <c r="O1434">
        <f t="shared" si="114"/>
        <v>0</v>
      </c>
    </row>
    <row r="1435" spans="1:15" x14ac:dyDescent="0.45">
      <c r="A1435" t="str">
        <v>CD-CAN</v>
      </c>
      <c r="B1435" t="str">
        <v>PRO-1014</v>
      </c>
      <c r="C1435">
        <v>2020</v>
      </c>
      <c r="D1435">
        <v>114.2</v>
      </c>
      <c r="E1435">
        <v>59.8</v>
      </c>
      <c r="F1435">
        <v>4.3</v>
      </c>
      <c r="G1435">
        <v>1.6</v>
      </c>
      <c r="H1435" t="str">
        <v>OK</v>
      </c>
      <c r="J1435">
        <f t="shared" si="110"/>
        <v>5634.0999999999995</v>
      </c>
      <c r="K1435">
        <f>SUMIF(Supply_Clean[Item_Code], B1435, Supply_Clean[Available_Supply])</f>
        <v>16301</v>
      </c>
      <c r="L1435">
        <f t="shared" si="111"/>
        <v>1</v>
      </c>
      <c r="M1435">
        <f t="shared" si="112"/>
        <v>114.2</v>
      </c>
      <c r="N1435" t="str">
        <f t="shared" si="113"/>
        <v>SUFICIENTE</v>
      </c>
      <c r="O1435">
        <f t="shared" si="114"/>
        <v>0</v>
      </c>
    </row>
    <row r="1436" spans="1:15" x14ac:dyDescent="0.45">
      <c r="A1436" t="str">
        <v>CD-TIJ</v>
      </c>
      <c r="B1436" t="str">
        <v>BEB-1009</v>
      </c>
      <c r="C1436">
        <v>4356</v>
      </c>
      <c r="D1436">
        <v>296.2</v>
      </c>
      <c r="E1436">
        <v>33.299999999999997</v>
      </c>
      <c r="F1436">
        <v>7.7</v>
      </c>
      <c r="G1436">
        <v>1.5</v>
      </c>
      <c r="H1436" t="str">
        <v>OK</v>
      </c>
      <c r="J1436">
        <f t="shared" si="110"/>
        <v>6226.9000000000005</v>
      </c>
      <c r="K1436">
        <f>SUMIF(Supply_Clean[Item_Code], B1436, Supply_Clean[Available_Supply])</f>
        <v>10475</v>
      </c>
      <c r="L1436">
        <f t="shared" si="111"/>
        <v>1</v>
      </c>
      <c r="M1436">
        <f t="shared" si="112"/>
        <v>296.2</v>
      </c>
      <c r="N1436" t="str">
        <f t="shared" si="113"/>
        <v>SUFICIENTE</v>
      </c>
      <c r="O1436">
        <f t="shared" si="114"/>
        <v>0</v>
      </c>
    </row>
    <row r="1437" spans="1:15" x14ac:dyDescent="0.45">
      <c r="A1437" t="str">
        <v>CD-GDL</v>
      </c>
      <c r="B1437" t="str">
        <v>PRO-1003</v>
      </c>
      <c r="C1437">
        <v>952</v>
      </c>
      <c r="D1437">
        <v>138.4</v>
      </c>
      <c r="E1437">
        <v>94.8</v>
      </c>
      <c r="F1437">
        <v>1.3</v>
      </c>
      <c r="G1437">
        <v>0.2</v>
      </c>
      <c r="H1437" t="str">
        <v>OK</v>
      </c>
      <c r="J1437">
        <f t="shared" si="110"/>
        <v>6234.9</v>
      </c>
      <c r="K1437">
        <f>SUMIF(Supply_Clean[Item_Code], B1437, Supply_Clean[Available_Supply])</f>
        <v>10658</v>
      </c>
      <c r="L1437">
        <f t="shared" si="111"/>
        <v>1</v>
      </c>
      <c r="M1437">
        <f t="shared" si="112"/>
        <v>138.4</v>
      </c>
      <c r="N1437" t="str">
        <f t="shared" si="113"/>
        <v>SUFICIENTE</v>
      </c>
      <c r="O1437">
        <f t="shared" si="114"/>
        <v>0</v>
      </c>
    </row>
    <row r="1438" spans="1:15" x14ac:dyDescent="0.45">
      <c r="A1438" t="str">
        <v>CD-MOR</v>
      </c>
      <c r="B1438" t="str">
        <v>BOT-1014</v>
      </c>
      <c r="C1438">
        <v>5073</v>
      </c>
      <c r="D1438">
        <v>364.6</v>
      </c>
      <c r="E1438">
        <v>84.1</v>
      </c>
      <c r="F1438">
        <v>1.2</v>
      </c>
      <c r="G1438">
        <v>0.5</v>
      </c>
      <c r="H1438" t="str">
        <v>OK</v>
      </c>
      <c r="J1438">
        <f t="shared" si="110"/>
        <v>8056.4000000000005</v>
      </c>
      <c r="K1438">
        <f>SUMIF(Supply_Clean[Item_Code], B1438, Supply_Clean[Available_Supply])</f>
        <v>14373</v>
      </c>
      <c r="L1438">
        <f t="shared" si="111"/>
        <v>1</v>
      </c>
      <c r="M1438">
        <f t="shared" si="112"/>
        <v>364.6</v>
      </c>
      <c r="N1438" t="str">
        <f t="shared" si="113"/>
        <v>SUFICIENTE</v>
      </c>
      <c r="O1438">
        <f t="shared" si="114"/>
        <v>0</v>
      </c>
    </row>
    <row r="1439" spans="1:15" x14ac:dyDescent="0.45">
      <c r="A1439" t="str">
        <v>CD-SAL</v>
      </c>
      <c r="B1439" t="str">
        <v>LAC-1014</v>
      </c>
      <c r="C1439">
        <v>815</v>
      </c>
      <c r="D1439">
        <v>132.5</v>
      </c>
      <c r="E1439">
        <v>49.5</v>
      </c>
      <c r="F1439">
        <v>2</v>
      </c>
      <c r="G1439">
        <v>0.5</v>
      </c>
      <c r="H1439" t="str">
        <v>OK</v>
      </c>
      <c r="J1439">
        <f t="shared" si="110"/>
        <v>4121.5</v>
      </c>
      <c r="K1439">
        <f>SUMIF(Supply_Clean[Item_Code], B1439, Supply_Clean[Available_Supply])</f>
        <v>8260</v>
      </c>
      <c r="L1439">
        <f t="shared" si="111"/>
        <v>1</v>
      </c>
      <c r="M1439">
        <f t="shared" si="112"/>
        <v>132.5</v>
      </c>
      <c r="N1439" t="str">
        <f t="shared" si="113"/>
        <v>SUFICIENTE</v>
      </c>
      <c r="O1439">
        <f t="shared" si="114"/>
        <v>0</v>
      </c>
    </row>
    <row r="1440" spans="1:15" x14ac:dyDescent="0.45">
      <c r="A1440" t="str">
        <v>CD-CAN</v>
      </c>
      <c r="B1440" t="str">
        <v>ABA-1017</v>
      </c>
      <c r="C1440">
        <v>3576</v>
      </c>
      <c r="D1440">
        <v>275.8</v>
      </c>
      <c r="E1440">
        <v>23.1</v>
      </c>
      <c r="F1440">
        <v>3.4</v>
      </c>
      <c r="G1440">
        <v>1.6</v>
      </c>
      <c r="H1440" t="str">
        <v>OK</v>
      </c>
      <c r="J1440">
        <f t="shared" si="110"/>
        <v>4720.2</v>
      </c>
      <c r="K1440">
        <f>SUMIF(Supply_Clean[Item_Code], B1440, Supply_Clean[Available_Supply])</f>
        <v>13946</v>
      </c>
      <c r="L1440">
        <f t="shared" si="111"/>
        <v>1</v>
      </c>
      <c r="M1440">
        <f t="shared" si="112"/>
        <v>275.8</v>
      </c>
      <c r="N1440" t="str">
        <f t="shared" si="113"/>
        <v>SUFICIENTE</v>
      </c>
      <c r="O1440">
        <f t="shared" si="114"/>
        <v>0</v>
      </c>
    </row>
    <row r="1441" spans="1:15" x14ac:dyDescent="0.45">
      <c r="A1441" t="str">
        <v>CD-QRO</v>
      </c>
      <c r="B1441" t="str">
        <v>LAC-1016</v>
      </c>
      <c r="C1441">
        <v>1135</v>
      </c>
      <c r="D1441">
        <v>409.5</v>
      </c>
      <c r="E1441">
        <v>133.80000000000001</v>
      </c>
      <c r="F1441">
        <v>1.9</v>
      </c>
      <c r="G1441">
        <v>0.4</v>
      </c>
      <c r="H1441" t="str">
        <v>OK</v>
      </c>
      <c r="J1441">
        <f t="shared" si="110"/>
        <v>4542.5</v>
      </c>
      <c r="K1441">
        <f>SUMIF(Supply_Clean[Item_Code], B1441, Supply_Clean[Available_Supply])</f>
        <v>12760</v>
      </c>
      <c r="L1441">
        <f t="shared" si="111"/>
        <v>1</v>
      </c>
      <c r="M1441">
        <f t="shared" si="112"/>
        <v>409.5</v>
      </c>
      <c r="N1441" t="str">
        <f t="shared" si="113"/>
        <v>SUFICIENTE</v>
      </c>
      <c r="O1441">
        <f t="shared" si="114"/>
        <v>0</v>
      </c>
    </row>
    <row r="1442" spans="1:15" x14ac:dyDescent="0.45">
      <c r="A1442" t="str">
        <v>CD-CAN</v>
      </c>
      <c r="B1442" t="str">
        <v>BOT-1018</v>
      </c>
      <c r="C1442">
        <v>2237</v>
      </c>
      <c r="D1442">
        <v>767.7</v>
      </c>
      <c r="E1442">
        <v>222.5</v>
      </c>
      <c r="F1442">
        <v>5.2</v>
      </c>
      <c r="G1442">
        <v>1.6</v>
      </c>
      <c r="H1442" t="str">
        <v>OK</v>
      </c>
      <c r="J1442">
        <f t="shared" si="110"/>
        <v>8014.5000000000009</v>
      </c>
      <c r="K1442">
        <f>SUMIF(Supply_Clean[Item_Code], B1442, Supply_Clean[Available_Supply])</f>
        <v>15093</v>
      </c>
      <c r="L1442">
        <f t="shared" si="111"/>
        <v>1</v>
      </c>
      <c r="M1442">
        <f t="shared" si="112"/>
        <v>767.7</v>
      </c>
      <c r="N1442" t="str">
        <f t="shared" si="113"/>
        <v>SUFICIENTE</v>
      </c>
      <c r="O1442">
        <f t="shared" si="114"/>
        <v>0</v>
      </c>
    </row>
    <row r="1443" spans="1:15" x14ac:dyDescent="0.45">
      <c r="A1443" t="str">
        <v>CD-VER</v>
      </c>
      <c r="B1443" t="str">
        <v>BEB-1021</v>
      </c>
      <c r="C1443">
        <v>7217</v>
      </c>
      <c r="D1443">
        <v>425.4</v>
      </c>
      <c r="E1443">
        <v>48.2</v>
      </c>
      <c r="F1443">
        <v>2.2000000000000002</v>
      </c>
      <c r="G1443">
        <v>0.9</v>
      </c>
      <c r="H1443" t="str">
        <v>OK</v>
      </c>
      <c r="J1443">
        <f t="shared" si="110"/>
        <v>5254.7999999999993</v>
      </c>
      <c r="K1443">
        <f>SUMIF(Supply_Clean[Item_Code], B1443, Supply_Clean[Available_Supply])</f>
        <v>13235</v>
      </c>
      <c r="L1443">
        <f t="shared" si="111"/>
        <v>1</v>
      </c>
      <c r="M1443">
        <f t="shared" si="112"/>
        <v>425.4</v>
      </c>
      <c r="N1443" t="str">
        <f t="shared" si="113"/>
        <v>SUFICIENTE</v>
      </c>
      <c r="O1443">
        <f t="shared" si="114"/>
        <v>0</v>
      </c>
    </row>
    <row r="1444" spans="1:15" x14ac:dyDescent="0.45">
      <c r="A1444" t="str">
        <v>CD-VER</v>
      </c>
      <c r="B1444" t="str">
        <v>ABA-1008</v>
      </c>
      <c r="C1444">
        <v>1817</v>
      </c>
      <c r="D1444">
        <v>312.3</v>
      </c>
      <c r="E1444">
        <v>36.9</v>
      </c>
      <c r="F1444">
        <v>2.7</v>
      </c>
      <c r="G1444">
        <v>0.9</v>
      </c>
      <c r="H1444" t="str">
        <v>OK</v>
      </c>
      <c r="J1444">
        <f t="shared" si="110"/>
        <v>4717.2000000000007</v>
      </c>
      <c r="K1444">
        <f>SUMIF(Supply_Clean[Item_Code], B1444, Supply_Clean[Available_Supply])</f>
        <v>9747</v>
      </c>
      <c r="L1444">
        <f t="shared" si="111"/>
        <v>1</v>
      </c>
      <c r="M1444">
        <f t="shared" si="112"/>
        <v>312.3</v>
      </c>
      <c r="N1444" t="str">
        <f t="shared" si="113"/>
        <v>SUFICIENTE</v>
      </c>
      <c r="O1444">
        <f t="shared" si="114"/>
        <v>0</v>
      </c>
    </row>
    <row r="1445" spans="1:15" x14ac:dyDescent="0.45">
      <c r="A1445" t="str">
        <v>CD-MER</v>
      </c>
      <c r="B1445" t="str">
        <v>BEB-1010</v>
      </c>
      <c r="C1445">
        <v>806</v>
      </c>
      <c r="D1445">
        <v>159.9</v>
      </c>
      <c r="E1445">
        <v>27.5</v>
      </c>
      <c r="F1445">
        <v>1.9</v>
      </c>
      <c r="G1445">
        <v>1.3</v>
      </c>
      <c r="H1445" t="str">
        <v>OK</v>
      </c>
      <c r="J1445">
        <f t="shared" si="110"/>
        <v>4470.2999999999993</v>
      </c>
      <c r="K1445">
        <f>SUMIF(Supply_Clean[Item_Code], B1445, Supply_Clean[Available_Supply])</f>
        <v>3237</v>
      </c>
      <c r="L1445">
        <f t="shared" si="111"/>
        <v>0.7241124756727737</v>
      </c>
      <c r="M1445">
        <f t="shared" si="112"/>
        <v>115.78558486007653</v>
      </c>
      <c r="N1445" t="str">
        <f t="shared" si="113"/>
        <v>ESCASEZ</v>
      </c>
      <c r="O1445">
        <f t="shared" si="114"/>
        <v>44.11441513992348</v>
      </c>
    </row>
    <row r="1446" spans="1:15" x14ac:dyDescent="0.45">
      <c r="A1446" t="str">
        <v>CD-HER</v>
      </c>
      <c r="B1446" t="str">
        <v>PRO-1004</v>
      </c>
      <c r="C1446">
        <v>275</v>
      </c>
      <c r="D1446">
        <v>102</v>
      </c>
      <c r="E1446">
        <v>49.8</v>
      </c>
      <c r="F1446">
        <v>7.2</v>
      </c>
      <c r="G1446">
        <v>1.2</v>
      </c>
      <c r="H1446" t="str">
        <v>OK</v>
      </c>
      <c r="J1446">
        <f t="shared" si="110"/>
        <v>5295.1999999999989</v>
      </c>
      <c r="K1446">
        <f>SUMIF(Supply_Clean[Item_Code], B1446, Supply_Clean[Available_Supply])</f>
        <v>13057</v>
      </c>
      <c r="L1446">
        <f t="shared" si="111"/>
        <v>1</v>
      </c>
      <c r="M1446">
        <f t="shared" si="112"/>
        <v>102</v>
      </c>
      <c r="N1446" t="str">
        <f t="shared" si="113"/>
        <v>SUFICIENTE</v>
      </c>
      <c r="O1446">
        <f t="shared" si="114"/>
        <v>0</v>
      </c>
    </row>
    <row r="1447" spans="1:15" x14ac:dyDescent="0.45">
      <c r="A1447" t="str">
        <v>CD-VER</v>
      </c>
      <c r="B1447" t="str">
        <v>LAC-1007</v>
      </c>
      <c r="C1447">
        <v>5700</v>
      </c>
      <c r="D1447">
        <v>318</v>
      </c>
      <c r="E1447">
        <v>126.1</v>
      </c>
      <c r="F1447">
        <v>3</v>
      </c>
      <c r="G1447">
        <v>0.9</v>
      </c>
      <c r="H1447" t="str">
        <v>OK</v>
      </c>
      <c r="J1447">
        <f t="shared" si="110"/>
        <v>4093.7999999999997</v>
      </c>
      <c r="K1447">
        <f>SUMIF(Supply_Clean[Item_Code], B1447, Supply_Clean[Available_Supply])</f>
        <v>11651</v>
      </c>
      <c r="L1447">
        <f t="shared" si="111"/>
        <v>1</v>
      </c>
      <c r="M1447">
        <f t="shared" si="112"/>
        <v>318</v>
      </c>
      <c r="N1447" t="str">
        <f t="shared" si="113"/>
        <v>SUFICIENTE</v>
      </c>
      <c r="O1447">
        <f t="shared" si="114"/>
        <v>0</v>
      </c>
    </row>
    <row r="1448" spans="1:15" x14ac:dyDescent="0.45">
      <c r="A1448" t="str">
        <v>CD-CHI</v>
      </c>
      <c r="B1448" t="str">
        <v>BOT-1013</v>
      </c>
      <c r="C1448">
        <v>2672</v>
      </c>
      <c r="D1448">
        <v>757.3</v>
      </c>
      <c r="E1448">
        <v>189.4</v>
      </c>
      <c r="F1448">
        <v>2.2999999999999998</v>
      </c>
      <c r="G1448">
        <v>1</v>
      </c>
      <c r="H1448" t="str">
        <v>OK</v>
      </c>
      <c r="J1448">
        <f t="shared" si="110"/>
        <v>8336.1999999999989</v>
      </c>
      <c r="K1448">
        <f>SUMIF(Supply_Clean[Item_Code], B1448, Supply_Clean[Available_Supply])</f>
        <v>20545</v>
      </c>
      <c r="L1448">
        <f t="shared" si="111"/>
        <v>1</v>
      </c>
      <c r="M1448">
        <f t="shared" si="112"/>
        <v>757.3</v>
      </c>
      <c r="N1448" t="str">
        <f t="shared" si="113"/>
        <v>SUFICIENTE</v>
      </c>
      <c r="O1448">
        <f t="shared" si="114"/>
        <v>0</v>
      </c>
    </row>
    <row r="1449" spans="1:15" x14ac:dyDescent="0.45">
      <c r="A1449" t="str">
        <v>CD-MER</v>
      </c>
      <c r="B1449" t="str">
        <v>LAC-1003</v>
      </c>
      <c r="C1449">
        <v>2134</v>
      </c>
      <c r="D1449">
        <v>270.39999999999998</v>
      </c>
      <c r="E1449">
        <v>117</v>
      </c>
      <c r="F1449">
        <v>3.4</v>
      </c>
      <c r="G1449">
        <v>1.3</v>
      </c>
      <c r="H1449" t="str">
        <v>OK</v>
      </c>
      <c r="J1449">
        <f t="shared" si="110"/>
        <v>3701.4999999999995</v>
      </c>
      <c r="K1449">
        <f>SUMIF(Supply_Clean[Item_Code], B1449, Supply_Clean[Available_Supply])</f>
        <v>7244</v>
      </c>
      <c r="L1449">
        <f t="shared" si="111"/>
        <v>1</v>
      </c>
      <c r="M1449">
        <f t="shared" si="112"/>
        <v>270.39999999999998</v>
      </c>
      <c r="N1449" t="str">
        <f t="shared" si="113"/>
        <v>SUFICIENTE</v>
      </c>
      <c r="O1449">
        <f t="shared" si="114"/>
        <v>0</v>
      </c>
    </row>
    <row r="1450" spans="1:15" x14ac:dyDescent="0.45">
      <c r="A1450" t="str">
        <v>CD-MOR</v>
      </c>
      <c r="B1450" t="str">
        <v>LAC-1011</v>
      </c>
      <c r="C1450">
        <v>4725</v>
      </c>
      <c r="D1450">
        <v>436.5</v>
      </c>
      <c r="E1450">
        <v>114.7</v>
      </c>
      <c r="F1450">
        <v>1.8</v>
      </c>
      <c r="G1450">
        <v>0.5</v>
      </c>
      <c r="H1450" t="str">
        <v>OK</v>
      </c>
      <c r="J1450">
        <f t="shared" si="110"/>
        <v>4165</v>
      </c>
      <c r="K1450">
        <f>SUMIF(Supply_Clean[Item_Code], B1450, Supply_Clean[Available_Supply])</f>
        <v>2719</v>
      </c>
      <c r="L1450">
        <f t="shared" si="111"/>
        <v>0.65282112845138052</v>
      </c>
      <c r="M1450">
        <f t="shared" si="112"/>
        <v>284.95642256902761</v>
      </c>
      <c r="N1450" t="str">
        <f t="shared" si="113"/>
        <v>ESCASEZ</v>
      </c>
      <c r="O1450">
        <f t="shared" si="114"/>
        <v>151.54357743097239</v>
      </c>
    </row>
    <row r="1451" spans="1:15" x14ac:dyDescent="0.45">
      <c r="A1451" t="str">
        <v>CD-HER</v>
      </c>
      <c r="B1451" t="str">
        <v>PRO-1000</v>
      </c>
      <c r="C1451">
        <v>2084</v>
      </c>
      <c r="D1451">
        <v>164.2</v>
      </c>
      <c r="E1451">
        <v>102.7</v>
      </c>
      <c r="F1451">
        <v>4.5999999999999996</v>
      </c>
      <c r="G1451">
        <v>1.2</v>
      </c>
      <c r="H1451" t="str">
        <v>OK</v>
      </c>
      <c r="J1451">
        <f t="shared" si="110"/>
        <v>5872.7</v>
      </c>
      <c r="K1451">
        <f>SUMIF(Supply_Clean[Item_Code], B1451, Supply_Clean[Available_Supply])</f>
        <v>2915</v>
      </c>
      <c r="L1451">
        <f t="shared" si="111"/>
        <v>0.49636453420062326</v>
      </c>
      <c r="M1451">
        <f t="shared" si="112"/>
        <v>81.50305651574233</v>
      </c>
      <c r="N1451" t="str">
        <f t="shared" si="113"/>
        <v>ESCASEZ</v>
      </c>
      <c r="O1451">
        <f t="shared" si="114"/>
        <v>82.696943484257659</v>
      </c>
    </row>
    <row r="1452" spans="1:15" x14ac:dyDescent="0.45">
      <c r="A1452" t="str">
        <v>CD-TOL</v>
      </c>
      <c r="B1452" t="str">
        <v>ABA-1013</v>
      </c>
      <c r="C1452">
        <v>2861</v>
      </c>
      <c r="D1452">
        <v>223.9</v>
      </c>
      <c r="E1452">
        <v>24.2</v>
      </c>
      <c r="F1452">
        <v>2.2999999999999998</v>
      </c>
      <c r="G1452">
        <v>0.5</v>
      </c>
      <c r="H1452" t="str">
        <v>OK</v>
      </c>
      <c r="J1452">
        <f t="shared" si="110"/>
        <v>4213.8999999999996</v>
      </c>
      <c r="K1452">
        <f>SUMIF(Supply_Clean[Item_Code], B1452, Supply_Clean[Available_Supply])</f>
        <v>2568</v>
      </c>
      <c r="L1452">
        <f t="shared" si="111"/>
        <v>0.60941170886826934</v>
      </c>
      <c r="M1452">
        <f t="shared" si="112"/>
        <v>136.4472816156055</v>
      </c>
      <c r="N1452" t="str">
        <f t="shared" si="113"/>
        <v>ESCASEZ</v>
      </c>
      <c r="O1452">
        <f t="shared" si="114"/>
        <v>87.452718384394501</v>
      </c>
    </row>
    <row r="1453" spans="1:15" x14ac:dyDescent="0.45">
      <c r="A1453" t="str">
        <v>CD-TIJ</v>
      </c>
      <c r="B1453" t="str">
        <v>ABA-1000</v>
      </c>
      <c r="C1453">
        <v>1577</v>
      </c>
      <c r="D1453">
        <v>176.8</v>
      </c>
      <c r="E1453">
        <v>24.1</v>
      </c>
      <c r="F1453">
        <v>8.3000000000000007</v>
      </c>
      <c r="G1453">
        <v>1.5</v>
      </c>
      <c r="H1453" t="str">
        <v>OK</v>
      </c>
      <c r="J1453">
        <f t="shared" si="110"/>
        <v>4722.2</v>
      </c>
      <c r="K1453">
        <f>SUMIF(Supply_Clean[Item_Code], B1453, Supply_Clean[Available_Supply])</f>
        <v>10731</v>
      </c>
      <c r="L1453">
        <f t="shared" si="111"/>
        <v>1</v>
      </c>
      <c r="M1453">
        <f t="shared" si="112"/>
        <v>176.8</v>
      </c>
      <c r="N1453" t="str">
        <f t="shared" si="113"/>
        <v>SUFICIENTE</v>
      </c>
      <c r="O1453">
        <f t="shared" si="114"/>
        <v>0</v>
      </c>
    </row>
    <row r="1454" spans="1:15" x14ac:dyDescent="0.45">
      <c r="A1454" t="str">
        <v>CD-MOR</v>
      </c>
      <c r="B1454" t="str">
        <v>LAC-1015</v>
      </c>
      <c r="C1454">
        <v>3297</v>
      </c>
      <c r="D1454">
        <v>231.2</v>
      </c>
      <c r="E1454">
        <v>101</v>
      </c>
      <c r="F1454">
        <v>1.7</v>
      </c>
      <c r="G1454">
        <v>0.5</v>
      </c>
      <c r="H1454" t="str">
        <v>OK</v>
      </c>
      <c r="J1454">
        <f t="shared" si="110"/>
        <v>3982.7000000000007</v>
      </c>
      <c r="K1454">
        <f>SUMIF(Supply_Clean[Item_Code], B1454, Supply_Clean[Available_Supply])</f>
        <v>8604</v>
      </c>
      <c r="L1454">
        <f t="shared" si="111"/>
        <v>1</v>
      </c>
      <c r="M1454">
        <f t="shared" si="112"/>
        <v>231.2</v>
      </c>
      <c r="N1454" t="str">
        <f t="shared" si="113"/>
        <v>SUFICIENTE</v>
      </c>
      <c r="O1454">
        <f t="shared" si="114"/>
        <v>0</v>
      </c>
    </row>
    <row r="1455" spans="1:15" x14ac:dyDescent="0.45">
      <c r="A1455" t="str">
        <v>CD-GDL</v>
      </c>
      <c r="B1455" t="str">
        <v>LAC-1006</v>
      </c>
      <c r="C1455">
        <v>5434</v>
      </c>
      <c r="D1455">
        <v>451.8</v>
      </c>
      <c r="E1455">
        <v>153.4</v>
      </c>
      <c r="F1455">
        <v>0.7</v>
      </c>
      <c r="G1455">
        <v>0.2</v>
      </c>
      <c r="H1455" t="str">
        <v>OK</v>
      </c>
      <c r="J1455">
        <f t="shared" si="110"/>
        <v>4338.7</v>
      </c>
      <c r="K1455">
        <f>SUMIF(Supply_Clean[Item_Code], B1455, Supply_Clean[Available_Supply])</f>
        <v>10670</v>
      </c>
      <c r="L1455">
        <f t="shared" si="111"/>
        <v>1</v>
      </c>
      <c r="M1455">
        <f t="shared" si="112"/>
        <v>451.8</v>
      </c>
      <c r="N1455" t="str">
        <f t="shared" si="113"/>
        <v>SUFICIENTE</v>
      </c>
      <c r="O1455">
        <f t="shared" si="114"/>
        <v>0</v>
      </c>
    </row>
    <row r="1456" spans="1:15" x14ac:dyDescent="0.45">
      <c r="A1456" t="str">
        <v>CD-TOL</v>
      </c>
      <c r="B1456" t="str">
        <v>LAC-1012</v>
      </c>
      <c r="C1456">
        <v>2170</v>
      </c>
      <c r="D1456">
        <v>290.10000000000002</v>
      </c>
      <c r="E1456">
        <v>129.5</v>
      </c>
      <c r="F1456">
        <v>2.7</v>
      </c>
      <c r="G1456">
        <v>0.5</v>
      </c>
      <c r="H1456" t="str">
        <v>OK</v>
      </c>
      <c r="J1456">
        <f t="shared" si="110"/>
        <v>5447.0000000000009</v>
      </c>
      <c r="K1456">
        <f>SUMIF(Supply_Clean[Item_Code], B1456, Supply_Clean[Available_Supply])</f>
        <v>12033</v>
      </c>
      <c r="L1456">
        <f t="shared" si="111"/>
        <v>1</v>
      </c>
      <c r="M1456">
        <f t="shared" si="112"/>
        <v>290.10000000000002</v>
      </c>
      <c r="N1456" t="str">
        <f t="shared" si="113"/>
        <v>SUFICIENTE</v>
      </c>
      <c r="O1456">
        <f t="shared" si="114"/>
        <v>0</v>
      </c>
    </row>
    <row r="1457" spans="1:15" x14ac:dyDescent="0.45">
      <c r="A1457" t="str">
        <v>CD-CHI</v>
      </c>
      <c r="B1457" t="str">
        <v>ABA-1007</v>
      </c>
      <c r="C1457">
        <v>2302</v>
      </c>
      <c r="D1457">
        <v>155.30000000000001</v>
      </c>
      <c r="E1457">
        <v>23</v>
      </c>
      <c r="F1457">
        <v>1.9</v>
      </c>
      <c r="G1457">
        <v>1</v>
      </c>
      <c r="H1457" t="str">
        <v>OK</v>
      </c>
      <c r="J1457">
        <f t="shared" si="110"/>
        <v>4867.3</v>
      </c>
      <c r="K1457">
        <f>SUMIF(Supply_Clean[Item_Code], B1457, Supply_Clean[Available_Supply])</f>
        <v>13182</v>
      </c>
      <c r="L1457">
        <f t="shared" si="111"/>
        <v>1</v>
      </c>
      <c r="M1457">
        <f t="shared" si="112"/>
        <v>155.30000000000001</v>
      </c>
      <c r="N1457" t="str">
        <f t="shared" si="113"/>
        <v>SUFICIENTE</v>
      </c>
      <c r="O1457">
        <f t="shared" si="114"/>
        <v>0</v>
      </c>
    </row>
    <row r="1458" spans="1:15" x14ac:dyDescent="0.45">
      <c r="A1458" t="str">
        <v>CD-CHI</v>
      </c>
      <c r="B1458" t="str">
        <v>BOT-1018</v>
      </c>
      <c r="C1458">
        <v>7085</v>
      </c>
      <c r="D1458">
        <v>629.6</v>
      </c>
      <c r="E1458">
        <v>159.80000000000001</v>
      </c>
      <c r="F1458">
        <v>3.3</v>
      </c>
      <c r="G1458">
        <v>1</v>
      </c>
      <c r="H1458" t="str">
        <v>OK</v>
      </c>
      <c r="J1458">
        <f t="shared" si="110"/>
        <v>8014.5000000000009</v>
      </c>
      <c r="K1458">
        <f>SUMIF(Supply_Clean[Item_Code], B1458, Supply_Clean[Available_Supply])</f>
        <v>15093</v>
      </c>
      <c r="L1458">
        <f t="shared" si="111"/>
        <v>1</v>
      </c>
      <c r="M1458">
        <f t="shared" si="112"/>
        <v>629.6</v>
      </c>
      <c r="N1458" t="str">
        <f t="shared" si="113"/>
        <v>SUFICIENTE</v>
      </c>
      <c r="O1458">
        <f t="shared" si="114"/>
        <v>0</v>
      </c>
    </row>
    <row r="1459" spans="1:15" x14ac:dyDescent="0.45">
      <c r="A1459" t="str">
        <v>CD-QRO</v>
      </c>
      <c r="B1459" t="str">
        <v>ABA-1016</v>
      </c>
      <c r="C1459">
        <v>5923</v>
      </c>
      <c r="D1459">
        <v>408</v>
      </c>
      <c r="E1459">
        <v>46.2</v>
      </c>
      <c r="F1459">
        <v>1.6</v>
      </c>
      <c r="G1459">
        <v>0.4</v>
      </c>
      <c r="H1459" t="str">
        <v>OK</v>
      </c>
      <c r="J1459">
        <f t="shared" si="110"/>
        <v>5056.7</v>
      </c>
      <c r="K1459">
        <f>SUMIF(Supply_Clean[Item_Code], B1459, Supply_Clean[Available_Supply])</f>
        <v>9151</v>
      </c>
      <c r="L1459">
        <f t="shared" si="111"/>
        <v>1</v>
      </c>
      <c r="M1459">
        <f t="shared" si="112"/>
        <v>408</v>
      </c>
      <c r="N1459" t="str">
        <f t="shared" si="113"/>
        <v>SUFICIENTE</v>
      </c>
      <c r="O1459">
        <f t="shared" si="114"/>
        <v>0</v>
      </c>
    </row>
    <row r="1460" spans="1:15" x14ac:dyDescent="0.45">
      <c r="A1460" t="str">
        <v>CD-VER</v>
      </c>
      <c r="B1460" t="str">
        <v>BOT-1007</v>
      </c>
      <c r="C1460">
        <v>3628</v>
      </c>
      <c r="D1460">
        <v>472.6</v>
      </c>
      <c r="E1460">
        <v>82.8</v>
      </c>
      <c r="F1460">
        <v>3.7</v>
      </c>
      <c r="G1460">
        <v>0.9</v>
      </c>
      <c r="H1460" t="str">
        <v>OK</v>
      </c>
      <c r="J1460">
        <f t="shared" si="110"/>
        <v>7508.1</v>
      </c>
      <c r="K1460">
        <f>SUMIF(Supply_Clean[Item_Code], B1460, Supply_Clean[Available_Supply])</f>
        <v>16668</v>
      </c>
      <c r="L1460">
        <f t="shared" si="111"/>
        <v>1</v>
      </c>
      <c r="M1460">
        <f t="shared" si="112"/>
        <v>472.6</v>
      </c>
      <c r="N1460" t="str">
        <f t="shared" si="113"/>
        <v>SUFICIENTE</v>
      </c>
      <c r="O1460">
        <f t="shared" si="114"/>
        <v>0</v>
      </c>
    </row>
    <row r="1461" spans="1:15" x14ac:dyDescent="0.45">
      <c r="A1461" t="str">
        <v>CD-TIJ</v>
      </c>
      <c r="B1461" t="str">
        <v>ABA-1011</v>
      </c>
      <c r="C1461">
        <v>771</v>
      </c>
      <c r="D1461">
        <v>312.89999999999998</v>
      </c>
      <c r="E1461">
        <v>34.4</v>
      </c>
      <c r="F1461">
        <v>3.4</v>
      </c>
      <c r="G1461">
        <v>1.5</v>
      </c>
      <c r="H1461" t="str">
        <v>OK</v>
      </c>
      <c r="J1461">
        <f t="shared" si="110"/>
        <v>4892.0999999999995</v>
      </c>
      <c r="K1461">
        <f>SUMIF(Supply_Clean[Item_Code], B1461, Supply_Clean[Available_Supply])</f>
        <v>9079</v>
      </c>
      <c r="L1461">
        <f t="shared" si="111"/>
        <v>1</v>
      </c>
      <c r="M1461">
        <f t="shared" si="112"/>
        <v>312.89999999999998</v>
      </c>
      <c r="N1461" t="str">
        <f t="shared" si="113"/>
        <v>SUFICIENTE</v>
      </c>
      <c r="O1461">
        <f t="shared" si="114"/>
        <v>0</v>
      </c>
    </row>
    <row r="1462" spans="1:15" x14ac:dyDescent="0.45">
      <c r="A1462" t="str">
        <v>CD-CHI</v>
      </c>
      <c r="B1462" t="str">
        <v>LAC-1002</v>
      </c>
      <c r="C1462">
        <v>1826</v>
      </c>
      <c r="D1462">
        <v>411.4</v>
      </c>
      <c r="E1462">
        <v>179.1</v>
      </c>
      <c r="F1462">
        <v>2.5</v>
      </c>
      <c r="G1462">
        <v>1</v>
      </c>
      <c r="H1462" t="str">
        <v>OK</v>
      </c>
      <c r="J1462">
        <f t="shared" si="110"/>
        <v>4442.1000000000004</v>
      </c>
      <c r="K1462">
        <f>SUMIF(Supply_Clean[Item_Code], B1462, Supply_Clean[Available_Supply])</f>
        <v>7796</v>
      </c>
      <c r="L1462">
        <f t="shared" si="111"/>
        <v>1</v>
      </c>
      <c r="M1462">
        <f t="shared" si="112"/>
        <v>411.4</v>
      </c>
      <c r="N1462" t="str">
        <f t="shared" si="113"/>
        <v>SUFICIENTE</v>
      </c>
      <c r="O1462">
        <f t="shared" si="114"/>
        <v>0</v>
      </c>
    </row>
    <row r="1463" spans="1:15" x14ac:dyDescent="0.45">
      <c r="A1463" t="str">
        <v>CD-CAN</v>
      </c>
      <c r="B1463" t="str">
        <v>PRO-1011</v>
      </c>
      <c r="C1463">
        <v>4852</v>
      </c>
      <c r="D1463">
        <v>378</v>
      </c>
      <c r="E1463">
        <v>231.7</v>
      </c>
      <c r="F1463">
        <v>5.7</v>
      </c>
      <c r="G1463">
        <v>1.6</v>
      </c>
      <c r="H1463" t="str">
        <v>OK</v>
      </c>
      <c r="J1463">
        <f t="shared" si="110"/>
        <v>5674.6999999999989</v>
      </c>
      <c r="K1463">
        <f>SUMIF(Supply_Clean[Item_Code], B1463, Supply_Clean[Available_Supply])</f>
        <v>14178</v>
      </c>
      <c r="L1463">
        <f t="shared" si="111"/>
        <v>1</v>
      </c>
      <c r="M1463">
        <f t="shared" si="112"/>
        <v>378</v>
      </c>
      <c r="N1463" t="str">
        <f t="shared" si="113"/>
        <v>SUFICIENTE</v>
      </c>
      <c r="O1463">
        <f t="shared" si="114"/>
        <v>0</v>
      </c>
    </row>
    <row r="1464" spans="1:15" x14ac:dyDescent="0.45">
      <c r="A1464" t="str">
        <v>CD-MER</v>
      </c>
      <c r="B1464" t="str">
        <v>BEB-1015</v>
      </c>
      <c r="C1464">
        <v>0</v>
      </c>
      <c r="D1464">
        <v>275</v>
      </c>
      <c r="E1464">
        <v>33.200000000000003</v>
      </c>
      <c r="F1464">
        <v>6.5</v>
      </c>
      <c r="G1464">
        <v>1.3</v>
      </c>
      <c r="H1464">
        <v>0</v>
      </c>
      <c r="J1464">
        <f t="shared" si="110"/>
        <v>5073.0999999999995</v>
      </c>
      <c r="K1464">
        <f>SUMIF(Supply_Clean[Item_Code], B1464, Supply_Clean[Available_Supply])</f>
        <v>14801</v>
      </c>
      <c r="L1464">
        <f t="shared" si="111"/>
        <v>1</v>
      </c>
      <c r="M1464">
        <f t="shared" si="112"/>
        <v>275</v>
      </c>
      <c r="N1464" t="str">
        <f t="shared" si="113"/>
        <v>SUFICIENTE</v>
      </c>
      <c r="O1464">
        <f t="shared" si="114"/>
        <v>0</v>
      </c>
    </row>
    <row r="1465" spans="1:15" x14ac:dyDescent="0.45">
      <c r="A1465" t="str">
        <v>CD-MOR</v>
      </c>
      <c r="B1465" t="str">
        <v>BEB-1004</v>
      </c>
      <c r="C1465">
        <v>4613</v>
      </c>
      <c r="D1465">
        <v>299.89999999999998</v>
      </c>
      <c r="E1465">
        <v>42.2</v>
      </c>
      <c r="F1465">
        <v>1.7</v>
      </c>
      <c r="G1465">
        <v>0.5</v>
      </c>
      <c r="H1465" t="str">
        <v>OK</v>
      </c>
      <c r="J1465">
        <f t="shared" si="110"/>
        <v>5324.2</v>
      </c>
      <c r="K1465">
        <f>SUMIF(Supply_Clean[Item_Code], B1465, Supply_Clean[Available_Supply])</f>
        <v>15672</v>
      </c>
      <c r="L1465">
        <f t="shared" si="111"/>
        <v>1</v>
      </c>
      <c r="M1465">
        <f t="shared" si="112"/>
        <v>299.89999999999998</v>
      </c>
      <c r="N1465" t="str">
        <f t="shared" si="113"/>
        <v>SUFICIENTE</v>
      </c>
      <c r="O1465">
        <f t="shared" si="114"/>
        <v>0</v>
      </c>
    </row>
    <row r="1466" spans="1:15" x14ac:dyDescent="0.45">
      <c r="A1466" t="str">
        <v>CD-MER</v>
      </c>
      <c r="B1466" t="str">
        <v>BOT-1011</v>
      </c>
      <c r="C1466">
        <v>1989</v>
      </c>
      <c r="D1466">
        <v>580.4</v>
      </c>
      <c r="E1466">
        <v>138.30000000000001</v>
      </c>
      <c r="F1466">
        <v>4.3</v>
      </c>
      <c r="G1466">
        <v>1.3</v>
      </c>
      <c r="H1466" t="str">
        <v>OK</v>
      </c>
      <c r="J1466">
        <f t="shared" si="110"/>
        <v>9886.2999999999993</v>
      </c>
      <c r="K1466">
        <f>SUMIF(Supply_Clean[Item_Code], B1466, Supply_Clean[Available_Supply])</f>
        <v>19886</v>
      </c>
      <c r="L1466">
        <f t="shared" si="111"/>
        <v>1</v>
      </c>
      <c r="M1466">
        <f t="shared" si="112"/>
        <v>580.4</v>
      </c>
      <c r="N1466" t="str">
        <f t="shared" si="113"/>
        <v>SUFICIENTE</v>
      </c>
      <c r="O1466">
        <f t="shared" si="114"/>
        <v>0</v>
      </c>
    </row>
    <row r="1467" spans="1:15" x14ac:dyDescent="0.45">
      <c r="A1467" t="str">
        <v>CD-CDMX</v>
      </c>
      <c r="B1467" t="str">
        <v>LAC-1014</v>
      </c>
      <c r="C1467">
        <v>654</v>
      </c>
      <c r="D1467">
        <v>302.89999999999998</v>
      </c>
      <c r="E1467">
        <v>113.8</v>
      </c>
      <c r="F1467">
        <v>0.8</v>
      </c>
      <c r="G1467">
        <v>0.2</v>
      </c>
      <c r="H1467" t="str">
        <v>OK</v>
      </c>
      <c r="J1467">
        <f t="shared" si="110"/>
        <v>4121.5</v>
      </c>
      <c r="K1467">
        <f>SUMIF(Supply_Clean[Item_Code], B1467, Supply_Clean[Available_Supply])</f>
        <v>8260</v>
      </c>
      <c r="L1467">
        <f t="shared" si="111"/>
        <v>1</v>
      </c>
      <c r="M1467">
        <f t="shared" si="112"/>
        <v>302.89999999999998</v>
      </c>
      <c r="N1467" t="str">
        <f t="shared" si="113"/>
        <v>SUFICIENTE</v>
      </c>
      <c r="O1467">
        <f t="shared" si="114"/>
        <v>0</v>
      </c>
    </row>
    <row r="1468" spans="1:15" x14ac:dyDescent="0.45">
      <c r="A1468" t="str">
        <v>CD-TIJ</v>
      </c>
      <c r="B1468" t="str">
        <v>ABA-1018</v>
      </c>
      <c r="C1468">
        <v>7181</v>
      </c>
      <c r="D1468">
        <v>507.9</v>
      </c>
      <c r="E1468">
        <v>56.2</v>
      </c>
      <c r="F1468">
        <v>5.8</v>
      </c>
      <c r="G1468">
        <v>1.5</v>
      </c>
      <c r="H1468" t="str">
        <v>OK</v>
      </c>
      <c r="J1468">
        <f t="shared" si="110"/>
        <v>4478</v>
      </c>
      <c r="K1468">
        <f>SUMIF(Supply_Clean[Item_Code], B1468, Supply_Clean[Available_Supply])</f>
        <v>6884</v>
      </c>
      <c r="L1468">
        <f t="shared" si="111"/>
        <v>1</v>
      </c>
      <c r="M1468">
        <f t="shared" si="112"/>
        <v>507.9</v>
      </c>
      <c r="N1468" t="str">
        <f t="shared" si="113"/>
        <v>SUFICIENTE</v>
      </c>
      <c r="O1468">
        <f t="shared" si="114"/>
        <v>0</v>
      </c>
    </row>
    <row r="1469" spans="1:15" x14ac:dyDescent="0.45">
      <c r="A1469" t="str">
        <v>CD-VER</v>
      </c>
      <c r="B1469" t="str">
        <v>LAC-1006</v>
      </c>
      <c r="C1469">
        <v>865</v>
      </c>
      <c r="D1469">
        <v>141.4</v>
      </c>
      <c r="E1469">
        <v>62.5</v>
      </c>
      <c r="F1469">
        <v>2.7</v>
      </c>
      <c r="G1469">
        <v>0.9</v>
      </c>
      <c r="H1469" t="str">
        <v>OK</v>
      </c>
      <c r="J1469">
        <f t="shared" si="110"/>
        <v>4338.7</v>
      </c>
      <c r="K1469">
        <f>SUMIF(Supply_Clean[Item_Code], B1469, Supply_Clean[Available_Supply])</f>
        <v>10670</v>
      </c>
      <c r="L1469">
        <f t="shared" si="111"/>
        <v>1</v>
      </c>
      <c r="M1469">
        <f t="shared" si="112"/>
        <v>141.4</v>
      </c>
      <c r="N1469" t="str">
        <f t="shared" si="113"/>
        <v>SUFICIENTE</v>
      </c>
      <c r="O1469">
        <f t="shared" si="114"/>
        <v>0</v>
      </c>
    </row>
    <row r="1470" spans="1:15" x14ac:dyDescent="0.45">
      <c r="A1470" t="str">
        <v>CD-MTY</v>
      </c>
      <c r="B1470" t="str">
        <v>LAC-1004</v>
      </c>
      <c r="C1470">
        <v>1770</v>
      </c>
      <c r="D1470">
        <v>288.7</v>
      </c>
      <c r="E1470">
        <v>122</v>
      </c>
      <c r="F1470">
        <v>1</v>
      </c>
      <c r="G1470">
        <v>0.3</v>
      </c>
      <c r="H1470" t="str">
        <v>OK</v>
      </c>
      <c r="J1470">
        <f t="shared" si="110"/>
        <v>4211.5</v>
      </c>
      <c r="K1470">
        <f>SUMIF(Supply_Clean[Item_Code], B1470, Supply_Clean[Available_Supply])</f>
        <v>11968</v>
      </c>
      <c r="L1470">
        <f t="shared" si="111"/>
        <v>1</v>
      </c>
      <c r="M1470">
        <f t="shared" si="112"/>
        <v>288.7</v>
      </c>
      <c r="N1470" t="str">
        <f t="shared" si="113"/>
        <v>SUFICIENTE</v>
      </c>
      <c r="O1470">
        <f t="shared" si="114"/>
        <v>0</v>
      </c>
    </row>
    <row r="1471" spans="1:15" x14ac:dyDescent="0.45">
      <c r="A1471" t="str">
        <v>CD-CHI</v>
      </c>
      <c r="B1471" t="str">
        <v>ABA-1010</v>
      </c>
      <c r="C1471">
        <v>5969</v>
      </c>
      <c r="D1471">
        <v>410</v>
      </c>
      <c r="E1471">
        <v>43.6</v>
      </c>
      <c r="F1471">
        <v>2.1</v>
      </c>
      <c r="G1471">
        <v>1</v>
      </c>
      <c r="H1471" t="str">
        <v>OK</v>
      </c>
      <c r="J1471">
        <f t="shared" si="110"/>
        <v>4871.7</v>
      </c>
      <c r="K1471">
        <f>SUMIF(Supply_Clean[Item_Code], B1471, Supply_Clean[Available_Supply])</f>
        <v>9875</v>
      </c>
      <c r="L1471">
        <f t="shared" si="111"/>
        <v>1</v>
      </c>
      <c r="M1471">
        <f t="shared" si="112"/>
        <v>410</v>
      </c>
      <c r="N1471" t="str">
        <f t="shared" si="113"/>
        <v>SUFICIENTE</v>
      </c>
      <c r="O1471">
        <f t="shared" si="114"/>
        <v>0</v>
      </c>
    </row>
    <row r="1472" spans="1:15" x14ac:dyDescent="0.45">
      <c r="A1472" t="str">
        <v>CD-TIJ</v>
      </c>
      <c r="B1472" t="str">
        <v>PRO-1002</v>
      </c>
      <c r="C1472">
        <v>112</v>
      </c>
      <c r="D1472">
        <v>166.5</v>
      </c>
      <c r="E1472">
        <v>70</v>
      </c>
      <c r="F1472">
        <v>5</v>
      </c>
      <c r="G1472">
        <v>1.5</v>
      </c>
      <c r="H1472" t="str">
        <v>OK</v>
      </c>
      <c r="J1472">
        <f t="shared" si="110"/>
        <v>6123.6999999999989</v>
      </c>
      <c r="K1472">
        <f>SUMIF(Supply_Clean[Item_Code], B1472, Supply_Clean[Available_Supply])</f>
        <v>17616</v>
      </c>
      <c r="L1472">
        <f t="shared" si="111"/>
        <v>1</v>
      </c>
      <c r="M1472">
        <f t="shared" si="112"/>
        <v>166.5</v>
      </c>
      <c r="N1472" t="str">
        <f t="shared" si="113"/>
        <v>SUFICIENTE</v>
      </c>
      <c r="O1472">
        <f t="shared" si="114"/>
        <v>0</v>
      </c>
    </row>
    <row r="1473" spans="1:15" x14ac:dyDescent="0.45">
      <c r="A1473" t="str">
        <v>CD-PUE</v>
      </c>
      <c r="B1473" t="str">
        <v>ABA-1017</v>
      </c>
      <c r="C1473">
        <v>2839</v>
      </c>
      <c r="D1473">
        <v>454</v>
      </c>
      <c r="E1473">
        <v>61.2</v>
      </c>
      <c r="F1473">
        <v>0.6</v>
      </c>
      <c r="G1473">
        <v>0.3</v>
      </c>
      <c r="H1473" t="str">
        <v>OK</v>
      </c>
      <c r="J1473">
        <f t="shared" si="110"/>
        <v>4720.2</v>
      </c>
      <c r="K1473">
        <f>SUMIF(Supply_Clean[Item_Code], B1473, Supply_Clean[Available_Supply])</f>
        <v>13946</v>
      </c>
      <c r="L1473">
        <f t="shared" si="111"/>
        <v>1</v>
      </c>
      <c r="M1473">
        <f t="shared" si="112"/>
        <v>454</v>
      </c>
      <c r="N1473" t="str">
        <f t="shared" si="113"/>
        <v>SUFICIENTE</v>
      </c>
      <c r="O1473">
        <f t="shared" si="114"/>
        <v>0</v>
      </c>
    </row>
    <row r="1474" spans="1:15" x14ac:dyDescent="0.45">
      <c r="A1474" t="str">
        <v>CD-LEO</v>
      </c>
      <c r="B1474" t="str">
        <v>BEB-1008</v>
      </c>
      <c r="C1474">
        <v>3430</v>
      </c>
      <c r="D1474">
        <v>515.20000000000005</v>
      </c>
      <c r="E1474">
        <v>56.1</v>
      </c>
      <c r="F1474">
        <v>1.1000000000000001</v>
      </c>
      <c r="G1474">
        <v>0.6</v>
      </c>
      <c r="H1474" t="str">
        <v>OK</v>
      </c>
      <c r="J1474">
        <f t="shared" si="110"/>
        <v>6156.9999999999991</v>
      </c>
      <c r="K1474">
        <f>SUMIF(Supply_Clean[Item_Code], B1474, Supply_Clean[Available_Supply])</f>
        <v>18019</v>
      </c>
      <c r="L1474">
        <f t="shared" si="111"/>
        <v>1</v>
      </c>
      <c r="M1474">
        <f t="shared" si="112"/>
        <v>515.20000000000005</v>
      </c>
      <c r="N1474" t="str">
        <f t="shared" si="113"/>
        <v>SUFICIENTE</v>
      </c>
      <c r="O1474">
        <f t="shared" si="114"/>
        <v>0</v>
      </c>
    </row>
    <row r="1475" spans="1:15" x14ac:dyDescent="0.45">
      <c r="A1475" t="str">
        <v>CD-TOL</v>
      </c>
      <c r="B1475" t="str">
        <v>PRO-1003</v>
      </c>
      <c r="C1475">
        <v>7283</v>
      </c>
      <c r="D1475">
        <v>468.1</v>
      </c>
      <c r="E1475">
        <v>296.3</v>
      </c>
      <c r="F1475">
        <v>2</v>
      </c>
      <c r="G1475">
        <v>0.5</v>
      </c>
      <c r="H1475" t="str">
        <v>OK</v>
      </c>
      <c r="J1475">
        <f t="shared" ref="J1475:J1501" si="115">SUMIF($B$2:$B$1501, B1475, $D$2:$D$1501)</f>
        <v>6234.9</v>
      </c>
      <c r="K1475">
        <f>SUMIF(Supply_Clean[Item_Code], B1475, Supply_Clean[Available_Supply])</f>
        <v>10658</v>
      </c>
      <c r="L1475">
        <f t="shared" ref="L1475:L1501" si="116">IFERROR(MIN(1, K1475/J1475), "")</f>
        <v>1</v>
      </c>
      <c r="M1475">
        <f t="shared" ref="M1475:M1501" si="117">IFERROR(D1475*L1475, "")</f>
        <v>468.1</v>
      </c>
      <c r="N1475" t="str">
        <f t="shared" ref="N1475:N1501" si="118">IF(L1475&lt;1, "ESCASEZ", "SUFICIENTE")</f>
        <v>SUFICIENTE</v>
      </c>
      <c r="O1475">
        <f t="shared" ref="O1475:O1501" si="119">IF(N1475="ESCASEZ", D1475-M1475, 0)</f>
        <v>0</v>
      </c>
    </row>
    <row r="1476" spans="1:15" x14ac:dyDescent="0.45">
      <c r="A1476" t="str">
        <v>CD-PUE</v>
      </c>
      <c r="B1476" t="str">
        <v>LAC-1014</v>
      </c>
      <c r="C1476">
        <v>3534</v>
      </c>
      <c r="D1476">
        <v>232.9</v>
      </c>
      <c r="E1476">
        <v>70</v>
      </c>
      <c r="F1476">
        <v>0.5</v>
      </c>
      <c r="G1476">
        <v>0.3</v>
      </c>
      <c r="H1476" t="str">
        <v>OK</v>
      </c>
      <c r="J1476">
        <f t="shared" si="115"/>
        <v>4121.5</v>
      </c>
      <c r="K1476">
        <f>SUMIF(Supply_Clean[Item_Code], B1476, Supply_Clean[Available_Supply])</f>
        <v>8260</v>
      </c>
      <c r="L1476">
        <f t="shared" si="116"/>
        <v>1</v>
      </c>
      <c r="M1476">
        <f t="shared" si="117"/>
        <v>232.9</v>
      </c>
      <c r="N1476" t="str">
        <f t="shared" si="118"/>
        <v>SUFICIENTE</v>
      </c>
      <c r="O1476">
        <f t="shared" si="119"/>
        <v>0</v>
      </c>
    </row>
    <row r="1477" spans="1:15" x14ac:dyDescent="0.45">
      <c r="A1477" t="str">
        <v>CD-MER</v>
      </c>
      <c r="B1477" t="str">
        <v>BOT-1017</v>
      </c>
      <c r="C1477">
        <v>10397</v>
      </c>
      <c r="D1477">
        <v>899.9</v>
      </c>
      <c r="E1477">
        <v>158.69999999999999</v>
      </c>
      <c r="F1477">
        <v>2.4</v>
      </c>
      <c r="G1477">
        <v>1.3</v>
      </c>
      <c r="H1477" t="str">
        <v>OK</v>
      </c>
      <c r="J1477">
        <f t="shared" si="115"/>
        <v>10291.300000000001</v>
      </c>
      <c r="K1477">
        <f>SUMIF(Supply_Clean[Item_Code], B1477, Supply_Clean[Available_Supply])</f>
        <v>5486</v>
      </c>
      <c r="L1477">
        <f t="shared" si="116"/>
        <v>0.53307162360440363</v>
      </c>
      <c r="M1477">
        <f t="shared" si="117"/>
        <v>479.71115408160284</v>
      </c>
      <c r="N1477" t="str">
        <f t="shared" si="118"/>
        <v>ESCASEZ</v>
      </c>
      <c r="O1477">
        <f t="shared" si="119"/>
        <v>420.18884591839713</v>
      </c>
    </row>
    <row r="1478" spans="1:15" x14ac:dyDescent="0.45">
      <c r="A1478" t="str">
        <v>CD-CDMX</v>
      </c>
      <c r="B1478" t="str">
        <v>PRO-1012</v>
      </c>
      <c r="C1478">
        <v>6472</v>
      </c>
      <c r="D1478">
        <v>510.3</v>
      </c>
      <c r="E1478">
        <v>231.6</v>
      </c>
      <c r="F1478">
        <v>0.9</v>
      </c>
      <c r="G1478">
        <v>0.2</v>
      </c>
      <c r="H1478" t="str">
        <v>OK</v>
      </c>
      <c r="J1478">
        <f t="shared" si="115"/>
        <v>4930.1000000000004</v>
      </c>
      <c r="K1478">
        <f>SUMIF(Supply_Clean[Item_Code], B1478, Supply_Clean[Available_Supply])</f>
        <v>9930</v>
      </c>
      <c r="L1478">
        <f t="shared" si="116"/>
        <v>1</v>
      </c>
      <c r="M1478">
        <f t="shared" si="117"/>
        <v>510.3</v>
      </c>
      <c r="N1478" t="str">
        <f t="shared" si="118"/>
        <v>SUFICIENTE</v>
      </c>
      <c r="O1478">
        <f t="shared" si="119"/>
        <v>0</v>
      </c>
    </row>
    <row r="1479" spans="1:15" x14ac:dyDescent="0.45">
      <c r="A1479" t="str">
        <v>CD-VER</v>
      </c>
      <c r="B1479" t="str">
        <v>PRO-1014</v>
      </c>
      <c r="C1479">
        <v>2810</v>
      </c>
      <c r="D1479">
        <v>291.39999999999998</v>
      </c>
      <c r="E1479">
        <v>122.3</v>
      </c>
      <c r="F1479">
        <v>2.9</v>
      </c>
      <c r="G1479">
        <v>0.9</v>
      </c>
      <c r="H1479" t="str">
        <v>OK</v>
      </c>
      <c r="J1479">
        <f t="shared" si="115"/>
        <v>5634.0999999999995</v>
      </c>
      <c r="K1479">
        <f>SUMIF(Supply_Clean[Item_Code], B1479, Supply_Clean[Available_Supply])</f>
        <v>16301</v>
      </c>
      <c r="L1479">
        <f t="shared" si="116"/>
        <v>1</v>
      </c>
      <c r="M1479">
        <f t="shared" si="117"/>
        <v>291.39999999999998</v>
      </c>
      <c r="N1479" t="str">
        <f t="shared" si="118"/>
        <v>SUFICIENTE</v>
      </c>
      <c r="O1479">
        <f t="shared" si="119"/>
        <v>0</v>
      </c>
    </row>
    <row r="1480" spans="1:15" x14ac:dyDescent="0.45">
      <c r="A1480" t="str">
        <v>CD-TOL</v>
      </c>
      <c r="B1480" t="str">
        <v>ABA-1004</v>
      </c>
      <c r="C1480">
        <v>4080</v>
      </c>
      <c r="D1480">
        <v>379.7</v>
      </c>
      <c r="E1480">
        <v>56</v>
      </c>
      <c r="F1480">
        <v>2.2999999999999998</v>
      </c>
      <c r="G1480">
        <v>0.5</v>
      </c>
      <c r="H1480" t="str">
        <v>OK</v>
      </c>
      <c r="J1480">
        <f t="shared" si="115"/>
        <v>5236.7</v>
      </c>
      <c r="K1480">
        <f>SUMIF(Supply_Clean[Item_Code], B1480, Supply_Clean[Available_Supply])</f>
        <v>10879</v>
      </c>
      <c r="L1480">
        <f t="shared" si="116"/>
        <v>1</v>
      </c>
      <c r="M1480">
        <f t="shared" si="117"/>
        <v>379.7</v>
      </c>
      <c r="N1480" t="str">
        <f t="shared" si="118"/>
        <v>SUFICIENTE</v>
      </c>
      <c r="O1480">
        <f t="shared" si="119"/>
        <v>0</v>
      </c>
    </row>
    <row r="1481" spans="1:15" x14ac:dyDescent="0.45">
      <c r="A1481" t="str">
        <v>CD-LEO</v>
      </c>
      <c r="B1481" t="str">
        <v>LAC-1016</v>
      </c>
      <c r="C1481">
        <v>3883</v>
      </c>
      <c r="D1481">
        <v>272.2</v>
      </c>
      <c r="E1481">
        <v>70.2</v>
      </c>
      <c r="F1481">
        <v>2.2999999999999998</v>
      </c>
      <c r="G1481">
        <v>0.6</v>
      </c>
      <c r="H1481" t="str">
        <v>OK</v>
      </c>
      <c r="J1481">
        <f t="shared" si="115"/>
        <v>4542.5</v>
      </c>
      <c r="K1481">
        <f>SUMIF(Supply_Clean[Item_Code], B1481, Supply_Clean[Available_Supply])</f>
        <v>12760</v>
      </c>
      <c r="L1481">
        <f t="shared" si="116"/>
        <v>1</v>
      </c>
      <c r="M1481">
        <f t="shared" si="117"/>
        <v>272.2</v>
      </c>
      <c r="N1481" t="str">
        <f t="shared" si="118"/>
        <v>SUFICIENTE</v>
      </c>
      <c r="O1481">
        <f t="shared" si="119"/>
        <v>0</v>
      </c>
    </row>
    <row r="1482" spans="1:15" x14ac:dyDescent="0.45">
      <c r="A1482" t="str">
        <v>CD-HER</v>
      </c>
      <c r="B1482" t="str">
        <v>BEB-1004</v>
      </c>
      <c r="C1482">
        <v>1188</v>
      </c>
      <c r="D1482">
        <v>391.3</v>
      </c>
      <c r="E1482">
        <v>62.1</v>
      </c>
      <c r="F1482">
        <v>6.7</v>
      </c>
      <c r="G1482">
        <v>1.2</v>
      </c>
      <c r="H1482" t="str">
        <v>OK</v>
      </c>
      <c r="J1482">
        <f t="shared" si="115"/>
        <v>5324.2</v>
      </c>
      <c r="K1482">
        <f>SUMIF(Supply_Clean[Item_Code], B1482, Supply_Clean[Available_Supply])</f>
        <v>15672</v>
      </c>
      <c r="L1482">
        <f t="shared" si="116"/>
        <v>1</v>
      </c>
      <c r="M1482">
        <f t="shared" si="117"/>
        <v>391.3</v>
      </c>
      <c r="N1482" t="str">
        <f t="shared" si="118"/>
        <v>SUFICIENTE</v>
      </c>
      <c r="O1482">
        <f t="shared" si="119"/>
        <v>0</v>
      </c>
    </row>
    <row r="1483" spans="1:15" x14ac:dyDescent="0.45">
      <c r="A1483" t="str">
        <v>CD-SAL</v>
      </c>
      <c r="B1483" t="str">
        <v>BOT-1000</v>
      </c>
      <c r="C1483">
        <v>2855</v>
      </c>
      <c r="D1483">
        <v>371.3</v>
      </c>
      <c r="E1483">
        <v>69.400000000000006</v>
      </c>
      <c r="F1483">
        <v>1.2</v>
      </c>
      <c r="G1483">
        <v>0.5</v>
      </c>
      <c r="H1483" t="str">
        <v>OK</v>
      </c>
      <c r="J1483">
        <f t="shared" si="115"/>
        <v>8310.6</v>
      </c>
      <c r="K1483">
        <f>SUMIF(Supply_Clean[Item_Code], B1483, Supply_Clean[Available_Supply])</f>
        <v>21762</v>
      </c>
      <c r="L1483">
        <f t="shared" si="116"/>
        <v>1</v>
      </c>
      <c r="M1483">
        <f t="shared" si="117"/>
        <v>371.3</v>
      </c>
      <c r="N1483" t="str">
        <f t="shared" si="118"/>
        <v>SUFICIENTE</v>
      </c>
      <c r="O1483">
        <f t="shared" si="119"/>
        <v>0</v>
      </c>
    </row>
    <row r="1484" spans="1:15" x14ac:dyDescent="0.45">
      <c r="A1484" t="str">
        <v>CD-CHI</v>
      </c>
      <c r="B1484" t="str">
        <v>BOT-1011</v>
      </c>
      <c r="C1484">
        <v>3099</v>
      </c>
      <c r="D1484">
        <v>361.4</v>
      </c>
      <c r="E1484">
        <v>87.3</v>
      </c>
      <c r="F1484">
        <v>3.4</v>
      </c>
      <c r="G1484">
        <v>1</v>
      </c>
      <c r="H1484" t="str">
        <v>OK</v>
      </c>
      <c r="J1484">
        <f t="shared" si="115"/>
        <v>9886.2999999999993</v>
      </c>
      <c r="K1484">
        <f>SUMIF(Supply_Clean[Item_Code], B1484, Supply_Clean[Available_Supply])</f>
        <v>19886</v>
      </c>
      <c r="L1484">
        <f t="shared" si="116"/>
        <v>1</v>
      </c>
      <c r="M1484">
        <f t="shared" si="117"/>
        <v>361.4</v>
      </c>
      <c r="N1484" t="str">
        <f t="shared" si="118"/>
        <v>SUFICIENTE</v>
      </c>
      <c r="O1484">
        <f t="shared" si="119"/>
        <v>0</v>
      </c>
    </row>
    <row r="1485" spans="1:15" x14ac:dyDescent="0.45">
      <c r="A1485" t="str">
        <v>CD-LEO</v>
      </c>
      <c r="B1485" t="str">
        <v>ABA-1013</v>
      </c>
      <c r="C1485">
        <v>5830</v>
      </c>
      <c r="D1485">
        <v>0</v>
      </c>
      <c r="E1485">
        <v>42.4</v>
      </c>
      <c r="F1485">
        <v>1.2</v>
      </c>
      <c r="G1485">
        <v>0.6</v>
      </c>
      <c r="H1485" t="str">
        <v>OK</v>
      </c>
      <c r="J1485">
        <f t="shared" si="115"/>
        <v>4213.8999999999996</v>
      </c>
      <c r="K1485">
        <f>SUMIF(Supply_Clean[Item_Code], B1485, Supply_Clean[Available_Supply])</f>
        <v>2568</v>
      </c>
      <c r="L1485">
        <f t="shared" si="116"/>
        <v>0.60941170886826934</v>
      </c>
      <c r="M1485">
        <f t="shared" si="117"/>
        <v>0</v>
      </c>
      <c r="N1485" t="str">
        <f t="shared" si="118"/>
        <v>ESCASEZ</v>
      </c>
      <c r="O1485">
        <f t="shared" si="119"/>
        <v>0</v>
      </c>
    </row>
    <row r="1486" spans="1:15" x14ac:dyDescent="0.45">
      <c r="A1486" t="str">
        <v>CD-TOL</v>
      </c>
      <c r="B1486" t="str">
        <v>BOT-1007</v>
      </c>
      <c r="C1486">
        <v>10742</v>
      </c>
      <c r="D1486">
        <v>606.1</v>
      </c>
      <c r="E1486">
        <v>103.5</v>
      </c>
      <c r="F1486">
        <v>2.5</v>
      </c>
      <c r="G1486">
        <v>0.5</v>
      </c>
      <c r="H1486" t="str">
        <v>OK</v>
      </c>
      <c r="J1486">
        <f t="shared" si="115"/>
        <v>7508.1</v>
      </c>
      <c r="K1486">
        <f>SUMIF(Supply_Clean[Item_Code], B1486, Supply_Clean[Available_Supply])</f>
        <v>16668</v>
      </c>
      <c r="L1486">
        <f t="shared" si="116"/>
        <v>1</v>
      </c>
      <c r="M1486">
        <f t="shared" si="117"/>
        <v>606.1</v>
      </c>
      <c r="N1486" t="str">
        <f t="shared" si="118"/>
        <v>SUFICIENTE</v>
      </c>
      <c r="O1486">
        <f t="shared" si="119"/>
        <v>0</v>
      </c>
    </row>
    <row r="1487" spans="1:15" x14ac:dyDescent="0.45">
      <c r="A1487" t="str">
        <v>CD-CAN</v>
      </c>
      <c r="B1487" t="str">
        <v>LAC-1006</v>
      </c>
      <c r="C1487">
        <v>1435</v>
      </c>
      <c r="D1487">
        <v>259.2</v>
      </c>
      <c r="E1487">
        <v>108.3</v>
      </c>
      <c r="F1487">
        <v>8.3000000000000007</v>
      </c>
      <c r="G1487">
        <v>1.6</v>
      </c>
      <c r="H1487" t="str">
        <v>OK</v>
      </c>
      <c r="J1487">
        <f t="shared" si="115"/>
        <v>4338.7</v>
      </c>
      <c r="K1487">
        <f>SUMIF(Supply_Clean[Item_Code], B1487, Supply_Clean[Available_Supply])</f>
        <v>10670</v>
      </c>
      <c r="L1487">
        <f t="shared" si="116"/>
        <v>1</v>
      </c>
      <c r="M1487">
        <f t="shared" si="117"/>
        <v>259.2</v>
      </c>
      <c r="N1487" t="str">
        <f t="shared" si="118"/>
        <v>SUFICIENTE</v>
      </c>
      <c r="O1487">
        <f t="shared" si="119"/>
        <v>0</v>
      </c>
    </row>
    <row r="1488" spans="1:15" x14ac:dyDescent="0.45">
      <c r="A1488" t="str">
        <v>CD-TIJ</v>
      </c>
      <c r="B1488" t="str">
        <v>LAC-1001</v>
      </c>
      <c r="C1488">
        <v>330</v>
      </c>
      <c r="D1488">
        <v>143.19999999999999</v>
      </c>
      <c r="E1488">
        <v>45.5</v>
      </c>
      <c r="F1488">
        <v>5.2</v>
      </c>
      <c r="G1488">
        <v>1.5</v>
      </c>
      <c r="H1488" t="str">
        <v>OK</v>
      </c>
      <c r="J1488">
        <f t="shared" si="115"/>
        <v>3660.9999999999991</v>
      </c>
      <c r="K1488">
        <f>SUMIF(Supply_Clean[Item_Code], B1488, Supply_Clean[Available_Supply])</f>
        <v>9945</v>
      </c>
      <c r="L1488">
        <f t="shared" si="116"/>
        <v>1</v>
      </c>
      <c r="M1488">
        <f t="shared" si="117"/>
        <v>143.19999999999999</v>
      </c>
      <c r="N1488" t="str">
        <f t="shared" si="118"/>
        <v>SUFICIENTE</v>
      </c>
      <c r="O1488">
        <f t="shared" si="119"/>
        <v>0</v>
      </c>
    </row>
    <row r="1489" spans="1:15" x14ac:dyDescent="0.45">
      <c r="A1489" t="str">
        <v>CD-TOL</v>
      </c>
      <c r="B1489" t="str">
        <v>BOT-1018</v>
      </c>
      <c r="C1489">
        <v>17755</v>
      </c>
      <c r="D1489">
        <v>996.3</v>
      </c>
      <c r="E1489">
        <v>150.9</v>
      </c>
      <c r="F1489">
        <v>1.9</v>
      </c>
      <c r="G1489">
        <v>0.5</v>
      </c>
      <c r="H1489" t="str">
        <v>OK</v>
      </c>
      <c r="J1489">
        <f t="shared" si="115"/>
        <v>8014.5000000000009</v>
      </c>
      <c r="K1489">
        <f>SUMIF(Supply_Clean[Item_Code], B1489, Supply_Clean[Available_Supply])</f>
        <v>15093</v>
      </c>
      <c r="L1489">
        <f t="shared" si="116"/>
        <v>1</v>
      </c>
      <c r="M1489">
        <f t="shared" si="117"/>
        <v>996.3</v>
      </c>
      <c r="N1489" t="str">
        <f t="shared" si="118"/>
        <v>SUFICIENTE</v>
      </c>
      <c r="O1489">
        <f t="shared" si="119"/>
        <v>0</v>
      </c>
    </row>
    <row r="1490" spans="1:15" x14ac:dyDescent="0.45">
      <c r="A1490" t="str">
        <v>CD-CHI</v>
      </c>
      <c r="B1490" t="str">
        <v>BEB-1002</v>
      </c>
      <c r="C1490">
        <v>8723</v>
      </c>
      <c r="D1490">
        <v>571.6</v>
      </c>
      <c r="E1490">
        <v>70.7</v>
      </c>
      <c r="F1490">
        <v>0.9</v>
      </c>
      <c r="G1490">
        <v>1</v>
      </c>
      <c r="H1490" t="str">
        <v>OK</v>
      </c>
      <c r="J1490">
        <f t="shared" si="115"/>
        <v>6246.8</v>
      </c>
      <c r="K1490">
        <f>SUMIF(Supply_Clean[Item_Code], B1490, Supply_Clean[Available_Supply])</f>
        <v>13052</v>
      </c>
      <c r="L1490">
        <f t="shared" si="116"/>
        <v>1</v>
      </c>
      <c r="M1490">
        <f t="shared" si="117"/>
        <v>571.6</v>
      </c>
      <c r="N1490" t="str">
        <f t="shared" si="118"/>
        <v>SUFICIENTE</v>
      </c>
      <c r="O1490">
        <f t="shared" si="119"/>
        <v>0</v>
      </c>
    </row>
    <row r="1491" spans="1:15" x14ac:dyDescent="0.45">
      <c r="A1491" t="str">
        <v>CD-QRO</v>
      </c>
      <c r="B1491" t="str">
        <v>LAC-1007</v>
      </c>
      <c r="C1491">
        <v>763</v>
      </c>
      <c r="D1491">
        <v>398</v>
      </c>
      <c r="E1491">
        <v>131</v>
      </c>
      <c r="F1491">
        <v>2.6</v>
      </c>
      <c r="G1491">
        <v>0.4</v>
      </c>
      <c r="H1491" t="str">
        <v>OK</v>
      </c>
      <c r="J1491">
        <f t="shared" si="115"/>
        <v>4093.7999999999997</v>
      </c>
      <c r="K1491">
        <f>SUMIF(Supply_Clean[Item_Code], B1491, Supply_Clean[Available_Supply])</f>
        <v>11651</v>
      </c>
      <c r="L1491">
        <f t="shared" si="116"/>
        <v>1</v>
      </c>
      <c r="M1491">
        <f t="shared" si="117"/>
        <v>398</v>
      </c>
      <c r="N1491" t="str">
        <f t="shared" si="118"/>
        <v>SUFICIENTE</v>
      </c>
      <c r="O1491">
        <f t="shared" si="119"/>
        <v>0</v>
      </c>
    </row>
    <row r="1492" spans="1:15" x14ac:dyDescent="0.45">
      <c r="A1492" t="str">
        <v>CD-CDMX</v>
      </c>
      <c r="B1492" t="str">
        <v>BEB-1011</v>
      </c>
      <c r="C1492">
        <v>3422</v>
      </c>
      <c r="D1492">
        <v>403.9</v>
      </c>
      <c r="E1492">
        <v>70</v>
      </c>
      <c r="F1492">
        <v>0.8</v>
      </c>
      <c r="G1492">
        <v>0.2</v>
      </c>
      <c r="H1492" t="str">
        <v>OK</v>
      </c>
      <c r="J1492">
        <f t="shared" si="115"/>
        <v>5454.4999999999991</v>
      </c>
      <c r="K1492">
        <f>SUMIF(Supply_Clean[Item_Code], B1492, Supply_Clean[Available_Supply])</f>
        <v>13720</v>
      </c>
      <c r="L1492">
        <f t="shared" si="116"/>
        <v>1</v>
      </c>
      <c r="M1492">
        <f t="shared" si="117"/>
        <v>403.9</v>
      </c>
      <c r="N1492" t="str">
        <f t="shared" si="118"/>
        <v>SUFICIENTE</v>
      </c>
      <c r="O1492">
        <f t="shared" si="119"/>
        <v>0</v>
      </c>
    </row>
    <row r="1493" spans="1:15" x14ac:dyDescent="0.45">
      <c r="A1493" t="str">
        <v>CD-PUE</v>
      </c>
      <c r="B1493" t="str">
        <v>BEB-1010</v>
      </c>
      <c r="C1493">
        <v>2067</v>
      </c>
      <c r="D1493">
        <v>276.3</v>
      </c>
      <c r="E1493">
        <v>46.3</v>
      </c>
      <c r="F1493">
        <v>0.9</v>
      </c>
      <c r="G1493">
        <v>0.3</v>
      </c>
      <c r="H1493" t="str">
        <v>OK</v>
      </c>
      <c r="J1493">
        <f t="shared" si="115"/>
        <v>4470.2999999999993</v>
      </c>
      <c r="K1493">
        <f>SUMIF(Supply_Clean[Item_Code], B1493, Supply_Clean[Available_Supply])</f>
        <v>3237</v>
      </c>
      <c r="L1493">
        <f t="shared" si="116"/>
        <v>0.7241124756727737</v>
      </c>
      <c r="M1493">
        <f t="shared" si="117"/>
        <v>200.07227702838739</v>
      </c>
      <c r="N1493" t="str">
        <f t="shared" si="118"/>
        <v>ESCASEZ</v>
      </c>
      <c r="O1493">
        <f t="shared" si="119"/>
        <v>76.227722971612621</v>
      </c>
    </row>
    <row r="1494" spans="1:15" x14ac:dyDescent="0.45">
      <c r="A1494" t="str">
        <v>CD-QRO</v>
      </c>
      <c r="B1494" t="str">
        <v>BEB-1000</v>
      </c>
      <c r="C1494">
        <v>2219</v>
      </c>
      <c r="D1494">
        <v>390.8</v>
      </c>
      <c r="E1494">
        <v>73.7</v>
      </c>
      <c r="F1494">
        <v>1.9</v>
      </c>
      <c r="G1494">
        <v>0.4</v>
      </c>
      <c r="H1494" t="str">
        <v>OK</v>
      </c>
      <c r="J1494">
        <f t="shared" si="115"/>
        <v>4843.5</v>
      </c>
      <c r="K1494">
        <f>SUMIF(Supply_Clean[Item_Code], B1494, Supply_Clean[Available_Supply])</f>
        <v>14592</v>
      </c>
      <c r="L1494">
        <f t="shared" si="116"/>
        <v>1</v>
      </c>
      <c r="M1494">
        <f t="shared" si="117"/>
        <v>390.8</v>
      </c>
      <c r="N1494" t="str">
        <f t="shared" si="118"/>
        <v>SUFICIENTE</v>
      </c>
      <c r="O1494">
        <f t="shared" si="119"/>
        <v>0</v>
      </c>
    </row>
    <row r="1495" spans="1:15" x14ac:dyDescent="0.45">
      <c r="A1495" t="str">
        <v>CD-CAN</v>
      </c>
      <c r="B1495" t="str">
        <v>BOT-1021</v>
      </c>
      <c r="C1495">
        <v>1195</v>
      </c>
      <c r="D1495">
        <v>0</v>
      </c>
      <c r="E1495">
        <v>90.5</v>
      </c>
      <c r="F1495">
        <v>4.4000000000000004</v>
      </c>
      <c r="G1495">
        <v>1.6</v>
      </c>
      <c r="H1495" t="str">
        <v>OK</v>
      </c>
      <c r="J1495">
        <f t="shared" si="115"/>
        <v>6783.3</v>
      </c>
      <c r="K1495">
        <f>SUMIF(Supply_Clean[Item_Code], B1495, Supply_Clean[Available_Supply])</f>
        <v>13475</v>
      </c>
      <c r="L1495">
        <f t="shared" si="116"/>
        <v>1</v>
      </c>
      <c r="M1495">
        <f t="shared" si="117"/>
        <v>0</v>
      </c>
      <c r="N1495" t="str">
        <f t="shared" si="118"/>
        <v>SUFICIENTE</v>
      </c>
      <c r="O1495">
        <f t="shared" si="119"/>
        <v>0</v>
      </c>
    </row>
    <row r="1496" spans="1:15" x14ac:dyDescent="0.45">
      <c r="A1496" t="str">
        <v>CD-MOR</v>
      </c>
      <c r="B1496" t="str">
        <v>BOT-1022</v>
      </c>
      <c r="C1496">
        <v>6610</v>
      </c>
      <c r="D1496">
        <v>630.70000000000005</v>
      </c>
      <c r="E1496">
        <v>183.1</v>
      </c>
      <c r="F1496">
        <v>2.1</v>
      </c>
      <c r="G1496">
        <v>0.5</v>
      </c>
      <c r="H1496" t="str">
        <v>OK</v>
      </c>
      <c r="J1496">
        <f t="shared" si="115"/>
        <v>9197.7000000000007</v>
      </c>
      <c r="K1496">
        <f>SUMIF(Supply_Clean[Item_Code], B1496, Supply_Clean[Available_Supply])</f>
        <v>23862</v>
      </c>
      <c r="L1496">
        <f t="shared" si="116"/>
        <v>1</v>
      </c>
      <c r="M1496">
        <f t="shared" si="117"/>
        <v>630.70000000000005</v>
      </c>
      <c r="N1496" t="str">
        <f t="shared" si="118"/>
        <v>SUFICIENTE</v>
      </c>
      <c r="O1496">
        <f t="shared" si="119"/>
        <v>0</v>
      </c>
    </row>
    <row r="1497" spans="1:15" x14ac:dyDescent="0.45">
      <c r="A1497" t="str">
        <v>CD-HER</v>
      </c>
      <c r="B1497" t="str">
        <v>ABA-1004</v>
      </c>
      <c r="C1497">
        <v>2459</v>
      </c>
      <c r="D1497">
        <v>270.39999999999998</v>
      </c>
      <c r="E1497">
        <v>36.299999999999997</v>
      </c>
      <c r="F1497">
        <v>5.0999999999999996</v>
      </c>
      <c r="G1497">
        <v>1.2</v>
      </c>
      <c r="H1497" t="str">
        <v>OK</v>
      </c>
      <c r="J1497">
        <f t="shared" si="115"/>
        <v>5236.7</v>
      </c>
      <c r="K1497">
        <f>SUMIF(Supply_Clean[Item_Code], B1497, Supply_Clean[Available_Supply])</f>
        <v>10879</v>
      </c>
      <c r="L1497">
        <f t="shared" si="116"/>
        <v>1</v>
      </c>
      <c r="M1497">
        <f t="shared" si="117"/>
        <v>270.39999999999998</v>
      </c>
      <c r="N1497" t="str">
        <f t="shared" si="118"/>
        <v>SUFICIENTE</v>
      </c>
      <c r="O1497">
        <f t="shared" si="119"/>
        <v>0</v>
      </c>
    </row>
    <row r="1498" spans="1:15" x14ac:dyDescent="0.45">
      <c r="A1498" t="str">
        <v>CD-MTY</v>
      </c>
      <c r="B1498" t="str">
        <v>LAC-1002</v>
      </c>
      <c r="C1498">
        <v>2690</v>
      </c>
      <c r="D1498">
        <v>299</v>
      </c>
      <c r="E1498">
        <v>82.9</v>
      </c>
      <c r="F1498">
        <v>0.5</v>
      </c>
      <c r="G1498">
        <v>0.3</v>
      </c>
      <c r="H1498" t="str">
        <v>OK</v>
      </c>
      <c r="J1498">
        <f t="shared" si="115"/>
        <v>4442.1000000000004</v>
      </c>
      <c r="K1498">
        <f>SUMIF(Supply_Clean[Item_Code], B1498, Supply_Clean[Available_Supply])</f>
        <v>7796</v>
      </c>
      <c r="L1498">
        <f t="shared" si="116"/>
        <v>1</v>
      </c>
      <c r="M1498">
        <f t="shared" si="117"/>
        <v>299</v>
      </c>
      <c r="N1498" t="str">
        <f t="shared" si="118"/>
        <v>SUFICIENTE</v>
      </c>
      <c r="O1498">
        <f t="shared" si="119"/>
        <v>0</v>
      </c>
    </row>
    <row r="1499" spans="1:15" x14ac:dyDescent="0.45">
      <c r="A1499" t="str">
        <v>CD-QRO</v>
      </c>
      <c r="B1499" t="str">
        <v>ABA-1008</v>
      </c>
      <c r="C1499">
        <v>418</v>
      </c>
      <c r="D1499">
        <v>153.5</v>
      </c>
      <c r="E1499">
        <v>14.3</v>
      </c>
      <c r="F1499">
        <v>2.8</v>
      </c>
      <c r="G1499">
        <v>0.4</v>
      </c>
      <c r="H1499" t="str">
        <v>OK</v>
      </c>
      <c r="J1499">
        <f t="shared" si="115"/>
        <v>4717.2000000000007</v>
      </c>
      <c r="K1499">
        <f>SUMIF(Supply_Clean[Item_Code], B1499, Supply_Clean[Available_Supply])</f>
        <v>9747</v>
      </c>
      <c r="L1499">
        <f t="shared" si="116"/>
        <v>1</v>
      </c>
      <c r="M1499">
        <f t="shared" si="117"/>
        <v>153.5</v>
      </c>
      <c r="N1499" t="str">
        <f t="shared" si="118"/>
        <v>SUFICIENTE</v>
      </c>
      <c r="O1499">
        <f t="shared" si="119"/>
        <v>0</v>
      </c>
    </row>
    <row r="1500" spans="1:15" x14ac:dyDescent="0.45">
      <c r="A1500" t="str">
        <v>CD-LEO</v>
      </c>
      <c r="B1500" t="str">
        <v>BOT-1009</v>
      </c>
      <c r="C1500">
        <v>2366</v>
      </c>
      <c r="D1500">
        <v>506.7</v>
      </c>
      <c r="E1500">
        <v>145.5</v>
      </c>
      <c r="F1500">
        <v>1.4</v>
      </c>
      <c r="G1500">
        <v>0.6</v>
      </c>
      <c r="H1500" t="str">
        <v>OK</v>
      </c>
      <c r="J1500">
        <f t="shared" si="115"/>
        <v>8135.5</v>
      </c>
      <c r="K1500">
        <f>SUMIF(Supply_Clean[Item_Code], B1500, Supply_Clean[Available_Supply])</f>
        <v>17475</v>
      </c>
      <c r="L1500">
        <f t="shared" si="116"/>
        <v>1</v>
      </c>
      <c r="M1500">
        <f t="shared" si="117"/>
        <v>506.7</v>
      </c>
      <c r="N1500" t="str">
        <f t="shared" si="118"/>
        <v>SUFICIENTE</v>
      </c>
      <c r="O1500">
        <f t="shared" si="119"/>
        <v>0</v>
      </c>
    </row>
    <row r="1501" spans="1:15" x14ac:dyDescent="0.45">
      <c r="A1501" t="str">
        <v>CD-VER</v>
      </c>
      <c r="B1501" t="str">
        <v>ABA-1005</v>
      </c>
      <c r="C1501">
        <v>852</v>
      </c>
      <c r="D1501">
        <v>0</v>
      </c>
      <c r="E1501">
        <v>35.9</v>
      </c>
      <c r="F1501">
        <v>2</v>
      </c>
      <c r="G1501">
        <v>0.9</v>
      </c>
      <c r="H1501" t="str">
        <v>OK</v>
      </c>
      <c r="J1501">
        <f t="shared" si="115"/>
        <v>5173.5999999999995</v>
      </c>
      <c r="K1501">
        <f>SUMIF(Supply_Clean[Item_Code], B1501, Supply_Clean[Available_Supply])</f>
        <v>15028</v>
      </c>
      <c r="L1501">
        <f t="shared" si="116"/>
        <v>1</v>
      </c>
      <c r="M1501">
        <f t="shared" si="117"/>
        <v>0</v>
      </c>
      <c r="N1501" t="str">
        <f t="shared" si="118"/>
        <v>SUFICIENTE</v>
      </c>
      <c r="O1501">
        <f t="shared" si="119"/>
        <v>0</v>
      </c>
    </row>
  </sheetData>
  <autoFilter ref="A1:H1501" xr:uid="{5ECCB29A-5570-4ED7-9ADD-4414C3948ECC}"/>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8AE48-C348-46DC-9813-1FB270D146E7}">
  <dimension ref="A1:C101"/>
  <sheetViews>
    <sheetView workbookViewId="0"/>
  </sheetViews>
  <sheetFormatPr defaultRowHeight="14.25" x14ac:dyDescent="0.45"/>
  <cols>
    <col min="1" max="1" width="7.06640625" bestFit="1" customWidth="1"/>
    <col min="2" max="2" width="11.59765625" bestFit="1" customWidth="1"/>
    <col min="3" max="3" width="16.59765625" bestFit="1" customWidth="1"/>
  </cols>
  <sheetData>
    <row r="1" spans="1:3" x14ac:dyDescent="0.45">
      <c r="A1" t="s">
        <v>1366</v>
      </c>
      <c r="B1" t="s">
        <v>0</v>
      </c>
      <c r="C1" t="s">
        <v>1367</v>
      </c>
    </row>
    <row r="2" spans="1:3" x14ac:dyDescent="0.45">
      <c r="A2" s="2" t="s">
        <v>1217</v>
      </c>
      <c r="B2" s="2" t="s">
        <v>18</v>
      </c>
      <c r="C2">
        <v>14592</v>
      </c>
    </row>
    <row r="3" spans="1:3" x14ac:dyDescent="0.45">
      <c r="A3" s="2" t="s">
        <v>1223</v>
      </c>
      <c r="B3" s="2" t="s">
        <v>35</v>
      </c>
      <c r="C3">
        <v>11725</v>
      </c>
    </row>
    <row r="4" spans="1:3" x14ac:dyDescent="0.45">
      <c r="A4" s="2" t="s">
        <v>1225</v>
      </c>
      <c r="B4" s="2" t="s">
        <v>12</v>
      </c>
      <c r="C4">
        <v>13052</v>
      </c>
    </row>
    <row r="5" spans="1:3" x14ac:dyDescent="0.45">
      <c r="A5" s="2" t="s">
        <v>1217</v>
      </c>
      <c r="B5" s="2" t="s">
        <v>81</v>
      </c>
      <c r="C5">
        <v>16426</v>
      </c>
    </row>
    <row r="6" spans="1:3" x14ac:dyDescent="0.45">
      <c r="A6" s="2" t="s">
        <v>1223</v>
      </c>
      <c r="B6" s="2" t="s">
        <v>49</v>
      </c>
      <c r="C6">
        <v>15672</v>
      </c>
    </row>
    <row r="7" spans="1:3" x14ac:dyDescent="0.45">
      <c r="A7" s="2" t="s">
        <v>1223</v>
      </c>
      <c r="B7" s="2" t="s">
        <v>10</v>
      </c>
      <c r="C7">
        <v>14054</v>
      </c>
    </row>
    <row r="8" spans="1:3" x14ac:dyDescent="0.45">
      <c r="A8" s="2" t="s">
        <v>1223</v>
      </c>
      <c r="B8" s="2" t="s">
        <v>68</v>
      </c>
      <c r="C8">
        <v>12324</v>
      </c>
    </row>
    <row r="9" spans="1:3" x14ac:dyDescent="0.45">
      <c r="A9" s="2" t="s">
        <v>1225</v>
      </c>
      <c r="B9" s="2" t="s">
        <v>89</v>
      </c>
      <c r="C9">
        <v>12912</v>
      </c>
    </row>
    <row r="10" spans="1:3" x14ac:dyDescent="0.45">
      <c r="A10" s="2" t="s">
        <v>1217</v>
      </c>
      <c r="B10" s="2" t="s">
        <v>45</v>
      </c>
      <c r="C10">
        <v>18019</v>
      </c>
    </row>
    <row r="11" spans="1:3" x14ac:dyDescent="0.45">
      <c r="A11" s="2" t="s">
        <v>1223</v>
      </c>
      <c r="B11" s="2" t="s">
        <v>105</v>
      </c>
      <c r="C11">
        <v>10475</v>
      </c>
    </row>
    <row r="12" spans="1:3" x14ac:dyDescent="0.45">
      <c r="A12" s="2" t="s">
        <v>1217</v>
      </c>
      <c r="B12" s="2" t="s">
        <v>75</v>
      </c>
      <c r="C12">
        <v>3237</v>
      </c>
    </row>
    <row r="13" spans="1:3" x14ac:dyDescent="0.45">
      <c r="A13" s="2" t="s">
        <v>1223</v>
      </c>
      <c r="B13" s="2" t="s">
        <v>66</v>
      </c>
      <c r="C13">
        <v>13720</v>
      </c>
    </row>
    <row r="14" spans="1:3" x14ac:dyDescent="0.45">
      <c r="A14" s="2" t="s">
        <v>1223</v>
      </c>
      <c r="B14" s="2" t="s">
        <v>20</v>
      </c>
      <c r="C14">
        <v>12491</v>
      </c>
    </row>
    <row r="15" spans="1:3" x14ac:dyDescent="0.45">
      <c r="A15" s="2" t="s">
        <v>1217</v>
      </c>
      <c r="B15" s="2" t="s">
        <v>87</v>
      </c>
      <c r="C15">
        <v>3246</v>
      </c>
    </row>
    <row r="16" spans="1:3" x14ac:dyDescent="0.45">
      <c r="A16" s="2" t="s">
        <v>1225</v>
      </c>
      <c r="B16" s="2" t="s">
        <v>61</v>
      </c>
      <c r="C16">
        <v>14205</v>
      </c>
    </row>
    <row r="17" spans="1:3" x14ac:dyDescent="0.45">
      <c r="A17" s="2" t="s">
        <v>1225</v>
      </c>
      <c r="B17" s="2" t="s">
        <v>108</v>
      </c>
      <c r="C17">
        <v>14801</v>
      </c>
    </row>
    <row r="18" spans="1:3" x14ac:dyDescent="0.45">
      <c r="A18" s="2" t="s">
        <v>1217</v>
      </c>
      <c r="B18" s="2" t="s">
        <v>93</v>
      </c>
      <c r="C18">
        <v>14537</v>
      </c>
    </row>
    <row r="19" spans="1:3" x14ac:dyDescent="0.45">
      <c r="A19" s="2" t="s">
        <v>1217</v>
      </c>
      <c r="B19" s="2" t="s">
        <v>1134</v>
      </c>
      <c r="C19">
        <v>18257</v>
      </c>
    </row>
    <row r="20" spans="1:3" x14ac:dyDescent="0.45">
      <c r="A20" s="2" t="s">
        <v>1223</v>
      </c>
      <c r="B20" s="2" t="s">
        <v>72</v>
      </c>
      <c r="C20">
        <v>11472</v>
      </c>
    </row>
    <row r="21" spans="1:3" x14ac:dyDescent="0.45">
      <c r="A21" s="2" t="s">
        <v>1223</v>
      </c>
      <c r="B21" s="2" t="s">
        <v>39</v>
      </c>
      <c r="C21">
        <v>15099</v>
      </c>
    </row>
    <row r="22" spans="1:3" x14ac:dyDescent="0.45">
      <c r="A22" s="2" t="s">
        <v>1217</v>
      </c>
      <c r="B22" s="2" t="s">
        <v>103</v>
      </c>
      <c r="C22">
        <v>16621</v>
      </c>
    </row>
    <row r="23" spans="1:3" x14ac:dyDescent="0.45">
      <c r="A23" s="2" t="s">
        <v>1217</v>
      </c>
      <c r="B23" s="2" t="s">
        <v>33</v>
      </c>
      <c r="C23">
        <v>13235</v>
      </c>
    </row>
    <row r="24" spans="1:3" x14ac:dyDescent="0.45">
      <c r="A24" s="2" t="s">
        <v>1217</v>
      </c>
      <c r="B24" s="2" t="s">
        <v>101</v>
      </c>
      <c r="C24">
        <v>21762</v>
      </c>
    </row>
    <row r="25" spans="1:3" x14ac:dyDescent="0.45">
      <c r="A25" s="2" t="s">
        <v>1225</v>
      </c>
      <c r="B25" s="2" t="s">
        <v>24</v>
      </c>
      <c r="C25">
        <v>20393</v>
      </c>
    </row>
    <row r="26" spans="1:3" x14ac:dyDescent="0.45">
      <c r="A26" s="2" t="s">
        <v>1225</v>
      </c>
      <c r="B26" s="2" t="s">
        <v>60</v>
      </c>
      <c r="C26">
        <v>25048</v>
      </c>
    </row>
    <row r="27" spans="1:3" x14ac:dyDescent="0.45">
      <c r="A27" s="2" t="s">
        <v>1225</v>
      </c>
      <c r="B27" s="2" t="s">
        <v>83</v>
      </c>
      <c r="C27">
        <v>24326</v>
      </c>
    </row>
    <row r="28" spans="1:3" x14ac:dyDescent="0.45">
      <c r="A28" s="2" t="s">
        <v>1217</v>
      </c>
      <c r="B28" s="2" t="s">
        <v>96</v>
      </c>
      <c r="C28">
        <v>15860</v>
      </c>
    </row>
    <row r="29" spans="1:3" x14ac:dyDescent="0.45">
      <c r="A29" s="2" t="s">
        <v>1217</v>
      </c>
      <c r="B29" s="2" t="s">
        <v>48</v>
      </c>
      <c r="C29">
        <v>23903</v>
      </c>
    </row>
    <row r="30" spans="1:3" x14ac:dyDescent="0.45">
      <c r="A30" s="2" t="s">
        <v>1223</v>
      </c>
      <c r="B30" s="2" t="s">
        <v>106</v>
      </c>
      <c r="C30">
        <v>16401</v>
      </c>
    </row>
    <row r="31" spans="1:3" x14ac:dyDescent="0.45">
      <c r="A31" s="2" t="s">
        <v>1225</v>
      </c>
      <c r="B31" s="2" t="s">
        <v>64</v>
      </c>
      <c r="C31">
        <v>16668</v>
      </c>
    </row>
    <row r="32" spans="1:3" x14ac:dyDescent="0.45">
      <c r="A32" s="2" t="s">
        <v>1225</v>
      </c>
      <c r="B32" s="2" t="s">
        <v>55</v>
      </c>
      <c r="C32">
        <v>25288</v>
      </c>
    </row>
    <row r="33" spans="1:3" x14ac:dyDescent="0.45">
      <c r="A33" s="2" t="s">
        <v>1225</v>
      </c>
      <c r="B33" s="2" t="s">
        <v>8</v>
      </c>
      <c r="C33">
        <v>17475</v>
      </c>
    </row>
    <row r="34" spans="1:3" x14ac:dyDescent="0.45">
      <c r="A34" s="2" t="s">
        <v>1225</v>
      </c>
      <c r="B34" s="2" t="s">
        <v>76</v>
      </c>
      <c r="C34">
        <v>21582</v>
      </c>
    </row>
    <row r="35" spans="1:3" x14ac:dyDescent="0.45">
      <c r="A35" s="2" t="s">
        <v>1217</v>
      </c>
      <c r="B35" s="2" t="s">
        <v>1129</v>
      </c>
      <c r="C35">
        <v>19886</v>
      </c>
    </row>
    <row r="36" spans="1:3" x14ac:dyDescent="0.45">
      <c r="A36" s="2" t="s">
        <v>1223</v>
      </c>
      <c r="B36" s="2" t="s">
        <v>99</v>
      </c>
      <c r="C36">
        <v>13943</v>
      </c>
    </row>
    <row r="37" spans="1:3" x14ac:dyDescent="0.45">
      <c r="A37" s="2" t="s">
        <v>1223</v>
      </c>
      <c r="B37" s="2" t="s">
        <v>29</v>
      </c>
      <c r="C37">
        <v>20545</v>
      </c>
    </row>
    <row r="38" spans="1:3" x14ac:dyDescent="0.45">
      <c r="A38" s="2" t="s">
        <v>1223</v>
      </c>
      <c r="B38" s="2" t="s">
        <v>1138</v>
      </c>
      <c r="C38">
        <v>14373</v>
      </c>
    </row>
    <row r="39" spans="1:3" x14ac:dyDescent="0.45">
      <c r="A39" s="2" t="s">
        <v>1217</v>
      </c>
      <c r="B39" s="2" t="s">
        <v>30</v>
      </c>
      <c r="C39">
        <v>5719</v>
      </c>
    </row>
    <row r="40" spans="1:3" x14ac:dyDescent="0.45">
      <c r="A40" s="2" t="s">
        <v>1225</v>
      </c>
      <c r="B40" s="2" t="s">
        <v>15</v>
      </c>
      <c r="C40">
        <v>18995</v>
      </c>
    </row>
    <row r="41" spans="1:3" x14ac:dyDescent="0.45">
      <c r="A41" s="2" t="s">
        <v>1217</v>
      </c>
      <c r="B41" s="2" t="s">
        <v>1133</v>
      </c>
      <c r="C41">
        <v>5486</v>
      </c>
    </row>
    <row r="42" spans="1:3" x14ac:dyDescent="0.45">
      <c r="A42" s="2" t="s">
        <v>1225</v>
      </c>
      <c r="B42" s="2" t="s">
        <v>98</v>
      </c>
      <c r="C42">
        <v>15093</v>
      </c>
    </row>
    <row r="43" spans="1:3" x14ac:dyDescent="0.45">
      <c r="A43" s="2" t="s">
        <v>1217</v>
      </c>
      <c r="B43" s="2" t="s">
        <v>51</v>
      </c>
      <c r="C43">
        <v>4509</v>
      </c>
    </row>
    <row r="44" spans="1:3" x14ac:dyDescent="0.45">
      <c r="A44" s="2" t="s">
        <v>1223</v>
      </c>
      <c r="B44" s="2" t="s">
        <v>56</v>
      </c>
      <c r="C44">
        <v>20558</v>
      </c>
    </row>
    <row r="45" spans="1:3" x14ac:dyDescent="0.45">
      <c r="A45" s="2" t="s">
        <v>1223</v>
      </c>
      <c r="B45" s="2" t="s">
        <v>70</v>
      </c>
      <c r="C45">
        <v>13475</v>
      </c>
    </row>
    <row r="46" spans="1:3" x14ac:dyDescent="0.45">
      <c r="A46" s="2" t="s">
        <v>1223</v>
      </c>
      <c r="B46" s="2" t="s">
        <v>44</v>
      </c>
      <c r="C46">
        <v>23862</v>
      </c>
    </row>
    <row r="47" spans="1:3" x14ac:dyDescent="0.45">
      <c r="A47" s="2" t="s">
        <v>1223</v>
      </c>
      <c r="B47" s="2" t="s">
        <v>63</v>
      </c>
      <c r="C47">
        <v>23663</v>
      </c>
    </row>
    <row r="48" spans="1:3" x14ac:dyDescent="0.45">
      <c r="A48" s="2" t="s">
        <v>1225</v>
      </c>
      <c r="B48" s="2" t="s">
        <v>13</v>
      </c>
      <c r="C48">
        <v>12568</v>
      </c>
    </row>
    <row r="49" spans="1:3" x14ac:dyDescent="0.45">
      <c r="A49" s="2" t="s">
        <v>1217</v>
      </c>
      <c r="B49" s="2" t="s">
        <v>36</v>
      </c>
      <c r="C49">
        <v>9945</v>
      </c>
    </row>
    <row r="50" spans="1:3" x14ac:dyDescent="0.45">
      <c r="A50" s="2" t="s">
        <v>1225</v>
      </c>
      <c r="B50" s="2" t="s">
        <v>23</v>
      </c>
      <c r="C50">
        <v>7796</v>
      </c>
    </row>
    <row r="51" spans="1:3" x14ac:dyDescent="0.45">
      <c r="A51" s="2" t="s">
        <v>1217</v>
      </c>
      <c r="B51" s="2" t="s">
        <v>50</v>
      </c>
      <c r="C51">
        <v>7244</v>
      </c>
    </row>
    <row r="52" spans="1:3" x14ac:dyDescent="0.45">
      <c r="A52" s="2" t="s">
        <v>1223</v>
      </c>
      <c r="B52" s="2" t="s">
        <v>32</v>
      </c>
      <c r="C52">
        <v>11968</v>
      </c>
    </row>
    <row r="53" spans="1:3" x14ac:dyDescent="0.45">
      <c r="A53" s="2" t="s">
        <v>1223</v>
      </c>
      <c r="B53" s="2" t="s">
        <v>28</v>
      </c>
      <c r="C53">
        <v>9953</v>
      </c>
    </row>
    <row r="54" spans="1:3" x14ac:dyDescent="0.45">
      <c r="A54" s="2" t="s">
        <v>1223</v>
      </c>
      <c r="B54" s="2" t="s">
        <v>53</v>
      </c>
      <c r="C54">
        <v>10670</v>
      </c>
    </row>
    <row r="55" spans="1:3" x14ac:dyDescent="0.45">
      <c r="A55" s="2" t="s">
        <v>1217</v>
      </c>
      <c r="B55" s="2" t="s">
        <v>25</v>
      </c>
      <c r="C55">
        <v>11651</v>
      </c>
    </row>
    <row r="56" spans="1:3" x14ac:dyDescent="0.45">
      <c r="A56" s="2" t="s">
        <v>1223</v>
      </c>
      <c r="B56" s="2" t="s">
        <v>65</v>
      </c>
      <c r="C56">
        <v>9543</v>
      </c>
    </row>
    <row r="57" spans="1:3" x14ac:dyDescent="0.45">
      <c r="A57" s="2" t="s">
        <v>1225</v>
      </c>
      <c r="B57" s="2" t="s">
        <v>52</v>
      </c>
      <c r="C57">
        <v>6523</v>
      </c>
    </row>
    <row r="58" spans="1:3" x14ac:dyDescent="0.45">
      <c r="A58" s="2" t="s">
        <v>1225</v>
      </c>
      <c r="B58" s="2" t="s">
        <v>41</v>
      </c>
      <c r="C58">
        <v>11567</v>
      </c>
    </row>
    <row r="59" spans="1:3" x14ac:dyDescent="0.45">
      <c r="A59" s="2" t="s">
        <v>1225</v>
      </c>
      <c r="B59" s="2" t="s">
        <v>77</v>
      </c>
      <c r="C59">
        <v>2719</v>
      </c>
    </row>
    <row r="60" spans="1:3" x14ac:dyDescent="0.45">
      <c r="A60" s="2" t="s">
        <v>1217</v>
      </c>
      <c r="B60" s="2" t="s">
        <v>84</v>
      </c>
      <c r="C60">
        <v>12033</v>
      </c>
    </row>
    <row r="61" spans="1:3" x14ac:dyDescent="0.45">
      <c r="A61" s="2" t="s">
        <v>1225</v>
      </c>
      <c r="B61" s="2" t="s">
        <v>67</v>
      </c>
      <c r="C61">
        <v>12026</v>
      </c>
    </row>
    <row r="62" spans="1:3" x14ac:dyDescent="0.45">
      <c r="A62" s="2" t="s">
        <v>1223</v>
      </c>
      <c r="B62" s="2" t="s">
        <v>19</v>
      </c>
      <c r="C62">
        <v>8260</v>
      </c>
    </row>
    <row r="63" spans="1:3" x14ac:dyDescent="0.45">
      <c r="A63" s="2" t="s">
        <v>1217</v>
      </c>
      <c r="B63" s="2" t="s">
        <v>78</v>
      </c>
      <c r="C63">
        <v>8604</v>
      </c>
    </row>
    <row r="64" spans="1:3" x14ac:dyDescent="0.45">
      <c r="A64" s="2" t="s">
        <v>1223</v>
      </c>
      <c r="B64" s="2" t="s">
        <v>92</v>
      </c>
      <c r="C64">
        <v>12760</v>
      </c>
    </row>
    <row r="65" spans="1:3" x14ac:dyDescent="0.45">
      <c r="A65" s="2" t="s">
        <v>1217</v>
      </c>
      <c r="B65" s="2" t="s">
        <v>42</v>
      </c>
      <c r="C65">
        <v>12824</v>
      </c>
    </row>
    <row r="66" spans="1:3" x14ac:dyDescent="0.45">
      <c r="A66" s="2" t="s">
        <v>1225</v>
      </c>
      <c r="B66" s="2" t="s">
        <v>59</v>
      </c>
      <c r="C66">
        <v>10731</v>
      </c>
    </row>
    <row r="67" spans="1:3" x14ac:dyDescent="0.45">
      <c r="A67" s="2" t="s">
        <v>1223</v>
      </c>
      <c r="B67" s="2" t="s">
        <v>1141</v>
      </c>
      <c r="C67">
        <v>8775</v>
      </c>
    </row>
    <row r="68" spans="1:3" x14ac:dyDescent="0.45">
      <c r="A68" s="2" t="s">
        <v>1223</v>
      </c>
      <c r="B68" s="2" t="s">
        <v>40</v>
      </c>
      <c r="C68">
        <v>8581</v>
      </c>
    </row>
    <row r="69" spans="1:3" x14ac:dyDescent="0.45">
      <c r="A69" s="2" t="s">
        <v>1217</v>
      </c>
      <c r="B69" s="2" t="s">
        <v>31</v>
      </c>
      <c r="C69">
        <v>11700</v>
      </c>
    </row>
    <row r="70" spans="1:3" x14ac:dyDescent="0.45">
      <c r="A70" s="2" t="s">
        <v>1223</v>
      </c>
      <c r="B70" s="2" t="s">
        <v>54</v>
      </c>
      <c r="C70">
        <v>10879</v>
      </c>
    </row>
    <row r="71" spans="1:3" x14ac:dyDescent="0.45">
      <c r="A71" s="2" t="s">
        <v>1225</v>
      </c>
      <c r="B71" s="2" t="s">
        <v>1135</v>
      </c>
      <c r="C71">
        <v>15028</v>
      </c>
    </row>
    <row r="72" spans="1:3" x14ac:dyDescent="0.45">
      <c r="A72" s="2" t="s">
        <v>1217</v>
      </c>
      <c r="B72" s="2" t="s">
        <v>62</v>
      </c>
      <c r="C72">
        <v>15586</v>
      </c>
    </row>
    <row r="73" spans="1:3" x14ac:dyDescent="0.45">
      <c r="A73" s="2" t="s">
        <v>1223</v>
      </c>
      <c r="B73" s="2" t="s">
        <v>100</v>
      </c>
      <c r="C73">
        <v>13182</v>
      </c>
    </row>
    <row r="74" spans="1:3" x14ac:dyDescent="0.45">
      <c r="A74" s="2" t="s">
        <v>1217</v>
      </c>
      <c r="B74" s="2" t="s">
        <v>5</v>
      </c>
      <c r="C74">
        <v>9747</v>
      </c>
    </row>
    <row r="75" spans="1:3" x14ac:dyDescent="0.45">
      <c r="A75" s="2" t="s">
        <v>1223</v>
      </c>
      <c r="B75" s="2" t="s">
        <v>58</v>
      </c>
      <c r="C75">
        <v>13458</v>
      </c>
    </row>
    <row r="76" spans="1:3" x14ac:dyDescent="0.45">
      <c r="A76" s="2" t="s">
        <v>1225</v>
      </c>
      <c r="B76" s="2" t="s">
        <v>80</v>
      </c>
      <c r="C76">
        <v>9875</v>
      </c>
    </row>
    <row r="77" spans="1:3" x14ac:dyDescent="0.45">
      <c r="A77" s="2" t="s">
        <v>1225</v>
      </c>
      <c r="B77" s="2" t="s">
        <v>102</v>
      </c>
      <c r="C77">
        <v>9079</v>
      </c>
    </row>
    <row r="78" spans="1:3" x14ac:dyDescent="0.45">
      <c r="A78" s="2" t="s">
        <v>1225</v>
      </c>
      <c r="B78" s="2" t="s">
        <v>47</v>
      </c>
      <c r="C78">
        <v>8396</v>
      </c>
    </row>
    <row r="79" spans="1:3" x14ac:dyDescent="0.45">
      <c r="A79" s="2" t="s">
        <v>1225</v>
      </c>
      <c r="B79" s="2" t="s">
        <v>71</v>
      </c>
      <c r="C79">
        <v>2568</v>
      </c>
    </row>
    <row r="80" spans="1:3" x14ac:dyDescent="0.45">
      <c r="A80" s="2" t="s">
        <v>1223</v>
      </c>
      <c r="B80" s="2" t="s">
        <v>7</v>
      </c>
      <c r="C80">
        <v>14629</v>
      </c>
    </row>
    <row r="81" spans="1:3" x14ac:dyDescent="0.45">
      <c r="A81" s="2" t="s">
        <v>1225</v>
      </c>
      <c r="B81" s="2" t="s">
        <v>57</v>
      </c>
      <c r="C81">
        <v>7969</v>
      </c>
    </row>
    <row r="82" spans="1:3" x14ac:dyDescent="0.45">
      <c r="A82" s="2" t="s">
        <v>1217</v>
      </c>
      <c r="B82" s="2" t="s">
        <v>1132</v>
      </c>
      <c r="C82">
        <v>9151</v>
      </c>
    </row>
    <row r="83" spans="1:3" x14ac:dyDescent="0.45">
      <c r="A83" s="2" t="s">
        <v>1223</v>
      </c>
      <c r="B83" s="2" t="s">
        <v>1137</v>
      </c>
      <c r="C83">
        <v>13946</v>
      </c>
    </row>
    <row r="84" spans="1:3" x14ac:dyDescent="0.45">
      <c r="A84" s="2" t="s">
        <v>1225</v>
      </c>
      <c r="B84" s="2" t="s">
        <v>1140</v>
      </c>
      <c r="C84">
        <v>6884</v>
      </c>
    </row>
    <row r="85" spans="1:3" x14ac:dyDescent="0.45">
      <c r="A85" s="2" t="s">
        <v>1217</v>
      </c>
      <c r="B85" s="2" t="s">
        <v>95</v>
      </c>
      <c r="C85">
        <v>12013</v>
      </c>
    </row>
    <row r="86" spans="1:3" x14ac:dyDescent="0.45">
      <c r="A86" s="2" t="s">
        <v>1223</v>
      </c>
      <c r="B86" s="2" t="s">
        <v>1130</v>
      </c>
      <c r="C86">
        <v>2915</v>
      </c>
    </row>
    <row r="87" spans="1:3" x14ac:dyDescent="0.45">
      <c r="A87" s="2" t="s">
        <v>1217</v>
      </c>
      <c r="B87" s="2" t="s">
        <v>97</v>
      </c>
      <c r="C87">
        <v>10011</v>
      </c>
    </row>
    <row r="88" spans="1:3" x14ac:dyDescent="0.45">
      <c r="A88" s="2" t="s">
        <v>1223</v>
      </c>
      <c r="B88" s="2" t="s">
        <v>43</v>
      </c>
      <c r="C88">
        <v>17616</v>
      </c>
    </row>
    <row r="89" spans="1:3" x14ac:dyDescent="0.45">
      <c r="A89" s="2" t="s">
        <v>1217</v>
      </c>
      <c r="B89" s="2" t="s">
        <v>91</v>
      </c>
      <c r="C89">
        <v>10658</v>
      </c>
    </row>
    <row r="90" spans="1:3" x14ac:dyDescent="0.45">
      <c r="A90" s="2" t="s">
        <v>1225</v>
      </c>
      <c r="B90" s="2" t="s">
        <v>74</v>
      </c>
      <c r="C90">
        <v>13057</v>
      </c>
    </row>
    <row r="91" spans="1:3" x14ac:dyDescent="0.45">
      <c r="A91" s="2" t="s">
        <v>1217</v>
      </c>
      <c r="B91" s="2" t="s">
        <v>88</v>
      </c>
      <c r="C91">
        <v>8407</v>
      </c>
    </row>
    <row r="92" spans="1:3" x14ac:dyDescent="0.45">
      <c r="A92" s="2" t="s">
        <v>1217</v>
      </c>
      <c r="B92" s="2" t="s">
        <v>109</v>
      </c>
      <c r="C92">
        <v>9270</v>
      </c>
    </row>
    <row r="93" spans="1:3" x14ac:dyDescent="0.45">
      <c r="A93" s="2" t="s">
        <v>1223</v>
      </c>
      <c r="B93" s="2" t="s">
        <v>69</v>
      </c>
      <c r="C93">
        <v>10360</v>
      </c>
    </row>
    <row r="94" spans="1:3" x14ac:dyDescent="0.45">
      <c r="A94" s="2" t="s">
        <v>1223</v>
      </c>
      <c r="B94" s="2" t="s">
        <v>1136</v>
      </c>
      <c r="C94">
        <v>9738</v>
      </c>
    </row>
    <row r="95" spans="1:3" x14ac:dyDescent="0.45">
      <c r="A95" s="2" t="s">
        <v>1225</v>
      </c>
      <c r="B95" s="2" t="s">
        <v>1131</v>
      </c>
      <c r="C95">
        <v>10685</v>
      </c>
    </row>
    <row r="96" spans="1:3" x14ac:dyDescent="0.45">
      <c r="A96" s="2" t="s">
        <v>1217</v>
      </c>
      <c r="B96" s="2" t="s">
        <v>37</v>
      </c>
      <c r="C96">
        <v>18475</v>
      </c>
    </row>
    <row r="97" spans="1:3" x14ac:dyDescent="0.45">
      <c r="A97" s="2" t="s">
        <v>1217</v>
      </c>
      <c r="B97" s="2" t="s">
        <v>107</v>
      </c>
      <c r="C97">
        <v>14178</v>
      </c>
    </row>
    <row r="98" spans="1:3" x14ac:dyDescent="0.45">
      <c r="A98" s="2" t="s">
        <v>1217</v>
      </c>
      <c r="B98" s="2" t="s">
        <v>85</v>
      </c>
      <c r="C98">
        <v>9930</v>
      </c>
    </row>
    <row r="99" spans="1:3" x14ac:dyDescent="0.45">
      <c r="A99" s="2" t="s">
        <v>1217</v>
      </c>
      <c r="B99" s="2" t="s">
        <v>27</v>
      </c>
      <c r="C99">
        <v>15134</v>
      </c>
    </row>
    <row r="100" spans="1:3" x14ac:dyDescent="0.45">
      <c r="A100" s="2" t="s">
        <v>1225</v>
      </c>
      <c r="B100" s="2" t="s">
        <v>22</v>
      </c>
      <c r="C100">
        <v>16301</v>
      </c>
    </row>
    <row r="101" spans="1:3" x14ac:dyDescent="0.45">
      <c r="A101" s="2" t="s">
        <v>1223</v>
      </c>
      <c r="B101" s="2" t="s">
        <v>110</v>
      </c>
      <c r="C101">
        <v>15970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8ECAE-2EFA-4DE3-B438-633970D1EC0D}">
  <dimension ref="A1:H1106"/>
  <sheetViews>
    <sheetView workbookViewId="0">
      <selection activeCell="G1" sqref="G1:G1048576"/>
    </sheetView>
  </sheetViews>
  <sheetFormatPr defaultRowHeight="14.25" x14ac:dyDescent="0.45"/>
  <cols>
    <col min="1" max="1" width="10.06640625" bestFit="1" customWidth="1"/>
    <col min="2" max="2" width="7.6640625" bestFit="1" customWidth="1"/>
    <col min="3" max="3" width="12.06640625" bestFit="1" customWidth="1"/>
    <col min="4" max="4" width="11.59765625" bestFit="1" customWidth="1"/>
    <col min="5" max="5" width="9.6640625" bestFit="1" customWidth="1"/>
    <col min="6" max="6" width="14.46484375" bestFit="1" customWidth="1"/>
    <col min="7" max="7" width="12" bestFit="1" customWidth="1"/>
    <col min="8" max="8" width="12.1328125" bestFit="1" customWidth="1"/>
  </cols>
  <sheetData>
    <row r="1" spans="1:8" x14ac:dyDescent="0.45">
      <c r="A1" t="s">
        <v>111</v>
      </c>
      <c r="B1" t="s">
        <v>1213</v>
      </c>
      <c r="C1" t="s">
        <v>112</v>
      </c>
      <c r="D1" t="s">
        <v>0</v>
      </c>
      <c r="E1" t="s">
        <v>113</v>
      </c>
      <c r="F1" t="s">
        <v>1214</v>
      </c>
      <c r="G1" t="s">
        <v>1215</v>
      </c>
      <c r="H1" t="s">
        <v>1216</v>
      </c>
    </row>
    <row r="2" spans="1:8" x14ac:dyDescent="0.45">
      <c r="A2" t="s">
        <v>114</v>
      </c>
      <c r="B2" t="s">
        <v>1217</v>
      </c>
      <c r="C2" t="s">
        <v>1114</v>
      </c>
      <c r="D2" t="s">
        <v>67</v>
      </c>
      <c r="E2">
        <v>2260</v>
      </c>
      <c r="F2" t="s">
        <v>1218</v>
      </c>
      <c r="G2" t="s">
        <v>1219</v>
      </c>
      <c r="H2" t="s">
        <v>1210</v>
      </c>
    </row>
    <row r="3" spans="1:8" x14ac:dyDescent="0.45">
      <c r="A3" t="s">
        <v>115</v>
      </c>
      <c r="B3" t="s">
        <v>1217</v>
      </c>
      <c r="C3" t="s">
        <v>1115</v>
      </c>
      <c r="D3" t="s">
        <v>24</v>
      </c>
      <c r="E3">
        <v>1998</v>
      </c>
      <c r="F3" t="s">
        <v>1220</v>
      </c>
      <c r="G3" t="s">
        <v>1221</v>
      </c>
      <c r="H3" t="s">
        <v>1210</v>
      </c>
    </row>
    <row r="4" spans="1:8" x14ac:dyDescent="0.45">
      <c r="A4" t="s">
        <v>116</v>
      </c>
      <c r="B4" t="s">
        <v>1217</v>
      </c>
      <c r="C4" t="s">
        <v>1116</v>
      </c>
      <c r="D4" t="s">
        <v>50</v>
      </c>
      <c r="E4">
        <v>2320</v>
      </c>
      <c r="F4" t="s">
        <v>1222</v>
      </c>
      <c r="G4" t="s">
        <v>1219</v>
      </c>
      <c r="H4" t="s">
        <v>1210</v>
      </c>
    </row>
    <row r="5" spans="1:8" x14ac:dyDescent="0.45">
      <c r="A5" t="s">
        <v>117</v>
      </c>
      <c r="B5" t="s">
        <v>1223</v>
      </c>
      <c r="C5" t="s">
        <v>1117</v>
      </c>
      <c r="D5" t="s">
        <v>1129</v>
      </c>
      <c r="E5">
        <v>2534</v>
      </c>
      <c r="F5" t="s">
        <v>1224</v>
      </c>
      <c r="G5" t="s">
        <v>1219</v>
      </c>
      <c r="H5" t="s">
        <v>1210</v>
      </c>
    </row>
    <row r="6" spans="1:8" x14ac:dyDescent="0.45">
      <c r="A6" t="s">
        <v>118</v>
      </c>
      <c r="B6" t="s">
        <v>1217</v>
      </c>
      <c r="C6" t="s">
        <v>1115</v>
      </c>
      <c r="D6" t="s">
        <v>1130</v>
      </c>
      <c r="E6">
        <v>1036</v>
      </c>
      <c r="F6" t="s">
        <v>1224</v>
      </c>
      <c r="G6" t="s">
        <v>1219</v>
      </c>
      <c r="H6" t="s">
        <v>1210</v>
      </c>
    </row>
    <row r="7" spans="1:8" x14ac:dyDescent="0.45">
      <c r="A7" t="s">
        <v>119</v>
      </c>
      <c r="B7" t="s">
        <v>1225</v>
      </c>
      <c r="C7" t="s">
        <v>1118</v>
      </c>
      <c r="D7" t="s">
        <v>88</v>
      </c>
      <c r="E7">
        <v>530</v>
      </c>
      <c r="F7" t="s">
        <v>1218</v>
      </c>
      <c r="G7" t="s">
        <v>1219</v>
      </c>
      <c r="H7" t="s">
        <v>1210</v>
      </c>
    </row>
    <row r="8" spans="1:8" x14ac:dyDescent="0.45">
      <c r="A8" t="s">
        <v>120</v>
      </c>
      <c r="B8" t="s">
        <v>1217</v>
      </c>
      <c r="C8" t="s">
        <v>1115</v>
      </c>
      <c r="D8" t="s">
        <v>1131</v>
      </c>
      <c r="E8">
        <v>1089</v>
      </c>
      <c r="F8" t="s">
        <v>1224</v>
      </c>
      <c r="G8" t="s">
        <v>1219</v>
      </c>
      <c r="H8" t="s">
        <v>1210</v>
      </c>
    </row>
    <row r="9" spans="1:8" x14ac:dyDescent="0.45">
      <c r="A9" t="s">
        <v>121</v>
      </c>
      <c r="B9" t="s">
        <v>1225</v>
      </c>
      <c r="C9" t="s">
        <v>1119</v>
      </c>
      <c r="D9" t="s">
        <v>23</v>
      </c>
      <c r="E9">
        <v>2802</v>
      </c>
      <c r="F9" t="s">
        <v>1224</v>
      </c>
      <c r="G9" t="s">
        <v>1219</v>
      </c>
      <c r="H9" t="s">
        <v>1210</v>
      </c>
    </row>
    <row r="10" spans="1:8" x14ac:dyDescent="0.45">
      <c r="A10" t="s">
        <v>122</v>
      </c>
      <c r="B10" t="s">
        <v>1217</v>
      </c>
      <c r="C10" t="s">
        <v>1120</v>
      </c>
      <c r="D10" t="s">
        <v>92</v>
      </c>
      <c r="E10">
        <v>1766</v>
      </c>
      <c r="F10" t="s">
        <v>1226</v>
      </c>
      <c r="G10" t="s">
        <v>1219</v>
      </c>
      <c r="H10" t="s">
        <v>1210</v>
      </c>
    </row>
    <row r="11" spans="1:8" x14ac:dyDescent="0.45">
      <c r="A11" t="s">
        <v>123</v>
      </c>
      <c r="B11" t="s">
        <v>1217</v>
      </c>
      <c r="C11" t="s">
        <v>1120</v>
      </c>
      <c r="D11" t="s">
        <v>19</v>
      </c>
      <c r="E11">
        <v>2414</v>
      </c>
      <c r="F11" t="s">
        <v>1220</v>
      </c>
      <c r="G11" t="s">
        <v>1219</v>
      </c>
      <c r="H11" t="s">
        <v>1210</v>
      </c>
    </row>
    <row r="12" spans="1:8" x14ac:dyDescent="0.45">
      <c r="A12" t="s">
        <v>124</v>
      </c>
      <c r="B12" t="s">
        <v>1225</v>
      </c>
      <c r="C12" t="s">
        <v>1118</v>
      </c>
      <c r="D12" t="s">
        <v>68</v>
      </c>
      <c r="E12">
        <v>736</v>
      </c>
      <c r="F12" t="s">
        <v>1227</v>
      </c>
      <c r="G12" t="s">
        <v>1219</v>
      </c>
      <c r="H12" t="s">
        <v>1210</v>
      </c>
    </row>
    <row r="13" spans="1:8" x14ac:dyDescent="0.45">
      <c r="A13" t="s">
        <v>125</v>
      </c>
      <c r="B13" t="s">
        <v>1223</v>
      </c>
      <c r="C13" t="s">
        <v>1117</v>
      </c>
      <c r="D13" t="s">
        <v>102</v>
      </c>
      <c r="E13">
        <v>2027</v>
      </c>
      <c r="F13" t="s">
        <v>1220</v>
      </c>
      <c r="G13" t="s">
        <v>1219</v>
      </c>
      <c r="H13" t="s">
        <v>1210</v>
      </c>
    </row>
    <row r="14" spans="1:8" x14ac:dyDescent="0.45">
      <c r="A14" t="s">
        <v>126</v>
      </c>
      <c r="B14" t="s">
        <v>1223</v>
      </c>
      <c r="C14" t="s">
        <v>1121</v>
      </c>
      <c r="D14" t="s">
        <v>30</v>
      </c>
      <c r="E14">
        <v>1628</v>
      </c>
      <c r="F14" t="s">
        <v>1220</v>
      </c>
      <c r="G14" t="s">
        <v>1219</v>
      </c>
      <c r="H14" t="s">
        <v>1210</v>
      </c>
    </row>
    <row r="15" spans="1:8" x14ac:dyDescent="0.45">
      <c r="A15" t="s">
        <v>127</v>
      </c>
      <c r="B15" t="s">
        <v>1223</v>
      </c>
      <c r="C15" t="s">
        <v>1122</v>
      </c>
      <c r="D15" t="s">
        <v>62</v>
      </c>
      <c r="E15">
        <v>851</v>
      </c>
      <c r="F15" t="s">
        <v>1224</v>
      </c>
      <c r="G15" t="s">
        <v>1219</v>
      </c>
      <c r="H15" t="s">
        <v>1210</v>
      </c>
    </row>
    <row r="16" spans="1:8" x14ac:dyDescent="0.45">
      <c r="A16" t="s">
        <v>128</v>
      </c>
      <c r="B16" t="s">
        <v>1225</v>
      </c>
      <c r="C16" t="s">
        <v>1123</v>
      </c>
      <c r="D16" t="s">
        <v>1132</v>
      </c>
      <c r="E16">
        <v>1347</v>
      </c>
      <c r="F16" t="s">
        <v>1224</v>
      </c>
      <c r="G16" t="s">
        <v>1219</v>
      </c>
      <c r="H16" t="s">
        <v>1210</v>
      </c>
    </row>
    <row r="17" spans="1:8" x14ac:dyDescent="0.45">
      <c r="A17" t="s">
        <v>129</v>
      </c>
      <c r="B17" t="s">
        <v>1217</v>
      </c>
      <c r="C17" t="s">
        <v>1115</v>
      </c>
      <c r="D17" t="s">
        <v>83</v>
      </c>
      <c r="E17">
        <v>1770</v>
      </c>
      <c r="F17" t="s">
        <v>1220</v>
      </c>
      <c r="G17" t="s">
        <v>1219</v>
      </c>
      <c r="H17" t="s">
        <v>1210</v>
      </c>
    </row>
    <row r="18" spans="1:8" x14ac:dyDescent="0.45">
      <c r="A18" t="s">
        <v>130</v>
      </c>
      <c r="B18" t="s">
        <v>1223</v>
      </c>
      <c r="C18" t="s">
        <v>1124</v>
      </c>
      <c r="D18" t="s">
        <v>61</v>
      </c>
      <c r="E18">
        <v>852</v>
      </c>
      <c r="F18" t="s">
        <v>1224</v>
      </c>
      <c r="G18" t="s">
        <v>1219</v>
      </c>
      <c r="H18" t="s">
        <v>1210</v>
      </c>
    </row>
    <row r="19" spans="1:8" x14ac:dyDescent="0.45">
      <c r="A19" t="s">
        <v>131</v>
      </c>
      <c r="B19" t="s">
        <v>1223</v>
      </c>
      <c r="C19" t="s">
        <v>1117</v>
      </c>
      <c r="D19" t="s">
        <v>24</v>
      </c>
      <c r="E19">
        <v>2091</v>
      </c>
      <c r="F19" t="s">
        <v>1228</v>
      </c>
      <c r="G19" t="s">
        <v>1219</v>
      </c>
      <c r="H19" t="s">
        <v>1210</v>
      </c>
    </row>
    <row r="20" spans="1:8" x14ac:dyDescent="0.45">
      <c r="A20" t="s">
        <v>132</v>
      </c>
      <c r="B20" t="s">
        <v>1223</v>
      </c>
      <c r="C20" t="s">
        <v>1124</v>
      </c>
      <c r="D20" t="s">
        <v>29</v>
      </c>
      <c r="E20">
        <v>641</v>
      </c>
      <c r="F20" t="s">
        <v>1224</v>
      </c>
      <c r="G20" t="s">
        <v>1219</v>
      </c>
      <c r="H20" t="s">
        <v>1210</v>
      </c>
    </row>
    <row r="21" spans="1:8" x14ac:dyDescent="0.45">
      <c r="A21" t="s">
        <v>133</v>
      </c>
      <c r="B21" t="s">
        <v>1217</v>
      </c>
      <c r="C21" t="s">
        <v>1120</v>
      </c>
      <c r="D21" t="s">
        <v>33</v>
      </c>
      <c r="E21">
        <v>1372</v>
      </c>
      <c r="F21" t="s">
        <v>1224</v>
      </c>
      <c r="G21" t="s">
        <v>1219</v>
      </c>
      <c r="H21" t="s">
        <v>1210</v>
      </c>
    </row>
    <row r="22" spans="1:8" x14ac:dyDescent="0.45">
      <c r="A22" t="s">
        <v>134</v>
      </c>
      <c r="B22" t="s">
        <v>1225</v>
      </c>
      <c r="C22" t="s">
        <v>1123</v>
      </c>
      <c r="D22" t="s">
        <v>29</v>
      </c>
      <c r="E22">
        <v>1625</v>
      </c>
      <c r="F22" t="s">
        <v>1224</v>
      </c>
      <c r="G22" t="s">
        <v>1219</v>
      </c>
      <c r="H22" t="s">
        <v>1210</v>
      </c>
    </row>
    <row r="23" spans="1:8" x14ac:dyDescent="0.45">
      <c r="A23" t="s">
        <v>135</v>
      </c>
      <c r="B23" t="s">
        <v>1225</v>
      </c>
      <c r="C23" t="s">
        <v>1119</v>
      </c>
      <c r="D23" t="s">
        <v>103</v>
      </c>
      <c r="E23">
        <v>1211</v>
      </c>
      <c r="F23" t="s">
        <v>1220</v>
      </c>
      <c r="G23" t="s">
        <v>1219</v>
      </c>
      <c r="H23" t="s">
        <v>1210</v>
      </c>
    </row>
    <row r="24" spans="1:8" x14ac:dyDescent="0.45">
      <c r="A24" t="s">
        <v>136</v>
      </c>
      <c r="B24" t="s">
        <v>1223</v>
      </c>
      <c r="C24" t="s">
        <v>1121</v>
      </c>
      <c r="D24" t="s">
        <v>54</v>
      </c>
      <c r="E24">
        <v>1559</v>
      </c>
      <c r="F24" t="s">
        <v>1220</v>
      </c>
      <c r="G24" t="s">
        <v>1219</v>
      </c>
      <c r="H24" t="s">
        <v>1210</v>
      </c>
    </row>
    <row r="25" spans="1:8" x14ac:dyDescent="0.45">
      <c r="A25" t="s">
        <v>137</v>
      </c>
      <c r="B25" t="s">
        <v>1217</v>
      </c>
      <c r="C25" t="s">
        <v>1120</v>
      </c>
      <c r="D25" t="s">
        <v>98</v>
      </c>
      <c r="E25">
        <v>1447</v>
      </c>
      <c r="F25" t="s">
        <v>1224</v>
      </c>
      <c r="G25" t="s">
        <v>1219</v>
      </c>
      <c r="H25" t="s">
        <v>1210</v>
      </c>
    </row>
    <row r="26" spans="1:8" x14ac:dyDescent="0.45">
      <c r="A26" t="s">
        <v>138</v>
      </c>
      <c r="B26" t="s">
        <v>1223</v>
      </c>
      <c r="C26" t="s">
        <v>1122</v>
      </c>
      <c r="D26" t="s">
        <v>71</v>
      </c>
      <c r="E26">
        <v>848</v>
      </c>
      <c r="F26" t="s">
        <v>1224</v>
      </c>
      <c r="G26" t="s">
        <v>1219</v>
      </c>
      <c r="H26" t="s">
        <v>1210</v>
      </c>
    </row>
    <row r="27" spans="1:8" x14ac:dyDescent="0.45">
      <c r="A27" t="s">
        <v>139</v>
      </c>
      <c r="B27" t="s">
        <v>1225</v>
      </c>
      <c r="C27" t="s">
        <v>1125</v>
      </c>
      <c r="D27" t="s">
        <v>105</v>
      </c>
      <c r="E27">
        <v>1120</v>
      </c>
      <c r="F27" t="s">
        <v>1227</v>
      </c>
      <c r="G27" t="s">
        <v>1219</v>
      </c>
      <c r="H27" t="s">
        <v>1210</v>
      </c>
    </row>
    <row r="28" spans="1:8" x14ac:dyDescent="0.45">
      <c r="A28" t="s">
        <v>140</v>
      </c>
      <c r="B28" t="s">
        <v>1225</v>
      </c>
      <c r="C28" t="s">
        <v>1125</v>
      </c>
      <c r="D28" t="s">
        <v>43</v>
      </c>
      <c r="E28">
        <v>2134</v>
      </c>
      <c r="F28" t="s">
        <v>1224</v>
      </c>
      <c r="G28" t="s">
        <v>1219</v>
      </c>
      <c r="H28" t="s">
        <v>1210</v>
      </c>
    </row>
    <row r="29" spans="1:8" x14ac:dyDescent="0.45">
      <c r="A29" t="s">
        <v>141</v>
      </c>
      <c r="B29" t="s">
        <v>1217</v>
      </c>
      <c r="C29" t="s">
        <v>1126</v>
      </c>
      <c r="D29" t="s">
        <v>43</v>
      </c>
      <c r="E29">
        <v>557</v>
      </c>
      <c r="F29" t="s">
        <v>1224</v>
      </c>
      <c r="G29" t="s">
        <v>1219</v>
      </c>
      <c r="H29" t="s">
        <v>1210</v>
      </c>
    </row>
    <row r="30" spans="1:8" x14ac:dyDescent="0.45">
      <c r="A30" t="s">
        <v>142</v>
      </c>
      <c r="B30" t="s">
        <v>1223</v>
      </c>
      <c r="C30" t="s">
        <v>1122</v>
      </c>
      <c r="D30" t="s">
        <v>1133</v>
      </c>
      <c r="E30">
        <v>1253</v>
      </c>
      <c r="F30" t="s">
        <v>1224</v>
      </c>
      <c r="G30" t="s">
        <v>1219</v>
      </c>
      <c r="H30" t="s">
        <v>1210</v>
      </c>
    </row>
    <row r="31" spans="1:8" x14ac:dyDescent="0.45">
      <c r="A31" t="s">
        <v>143</v>
      </c>
      <c r="B31" t="s">
        <v>1223</v>
      </c>
      <c r="C31" t="s">
        <v>1122</v>
      </c>
      <c r="D31" t="s">
        <v>1134</v>
      </c>
      <c r="E31">
        <v>1028</v>
      </c>
      <c r="F31" t="s">
        <v>1220</v>
      </c>
      <c r="G31" t="s">
        <v>1219</v>
      </c>
      <c r="H31" t="s">
        <v>1210</v>
      </c>
    </row>
    <row r="32" spans="1:8" x14ac:dyDescent="0.45">
      <c r="A32" t="s">
        <v>144</v>
      </c>
      <c r="B32" t="s">
        <v>1217</v>
      </c>
      <c r="C32" t="s">
        <v>1116</v>
      </c>
      <c r="D32" t="s">
        <v>56</v>
      </c>
      <c r="E32">
        <v>1267</v>
      </c>
      <c r="F32" t="s">
        <v>1224</v>
      </c>
      <c r="G32" t="s">
        <v>1219</v>
      </c>
      <c r="H32" t="s">
        <v>1210</v>
      </c>
    </row>
    <row r="33" spans="1:8" x14ac:dyDescent="0.45">
      <c r="A33" t="s">
        <v>145</v>
      </c>
      <c r="B33" t="s">
        <v>1223</v>
      </c>
      <c r="C33" t="s">
        <v>1122</v>
      </c>
      <c r="D33" t="s">
        <v>96</v>
      </c>
      <c r="E33">
        <v>1763</v>
      </c>
      <c r="F33" t="s">
        <v>1224</v>
      </c>
      <c r="G33" t="s">
        <v>1219</v>
      </c>
      <c r="H33" t="s">
        <v>1210</v>
      </c>
    </row>
    <row r="34" spans="1:8" x14ac:dyDescent="0.45">
      <c r="A34" t="s">
        <v>146</v>
      </c>
      <c r="B34" t="s">
        <v>1223</v>
      </c>
      <c r="C34" t="s">
        <v>1121</v>
      </c>
      <c r="D34" t="s">
        <v>1132</v>
      </c>
      <c r="E34">
        <v>782</v>
      </c>
      <c r="F34" t="s">
        <v>1220</v>
      </c>
      <c r="G34" t="s">
        <v>1219</v>
      </c>
      <c r="H34" t="s">
        <v>1210</v>
      </c>
    </row>
    <row r="35" spans="1:8" x14ac:dyDescent="0.45">
      <c r="A35" t="s">
        <v>147</v>
      </c>
      <c r="B35" t="s">
        <v>1223</v>
      </c>
      <c r="C35" t="s">
        <v>1121</v>
      </c>
      <c r="D35" t="s">
        <v>1129</v>
      </c>
      <c r="E35">
        <v>2712</v>
      </c>
      <c r="F35" t="s">
        <v>1220</v>
      </c>
      <c r="G35" t="s">
        <v>1219</v>
      </c>
      <c r="H35" t="s">
        <v>1210</v>
      </c>
    </row>
    <row r="36" spans="1:8" x14ac:dyDescent="0.45">
      <c r="A36" t="s">
        <v>148</v>
      </c>
      <c r="B36" t="s">
        <v>1223</v>
      </c>
      <c r="C36" t="s">
        <v>1117</v>
      </c>
      <c r="D36" t="s">
        <v>92</v>
      </c>
      <c r="E36">
        <v>2117</v>
      </c>
      <c r="F36" t="s">
        <v>1220</v>
      </c>
      <c r="G36" t="s">
        <v>1219</v>
      </c>
      <c r="H36" t="s">
        <v>1210</v>
      </c>
    </row>
    <row r="37" spans="1:8" x14ac:dyDescent="0.45">
      <c r="A37" t="s">
        <v>149</v>
      </c>
      <c r="B37" t="s">
        <v>1225</v>
      </c>
      <c r="C37" t="s">
        <v>1118</v>
      </c>
      <c r="D37" t="s">
        <v>78</v>
      </c>
      <c r="E37">
        <v>1961</v>
      </c>
      <c r="F37" t="s">
        <v>1222</v>
      </c>
      <c r="G37" t="s">
        <v>1219</v>
      </c>
      <c r="H37" t="s">
        <v>1210</v>
      </c>
    </row>
    <row r="38" spans="1:8" x14ac:dyDescent="0.45">
      <c r="A38" t="s">
        <v>150</v>
      </c>
      <c r="B38" t="s">
        <v>1225</v>
      </c>
      <c r="C38" t="s">
        <v>1119</v>
      </c>
      <c r="D38" t="s">
        <v>92</v>
      </c>
      <c r="E38">
        <v>734</v>
      </c>
      <c r="F38" t="s">
        <v>1220</v>
      </c>
      <c r="G38" t="s">
        <v>1219</v>
      </c>
      <c r="H38" t="s">
        <v>1210</v>
      </c>
    </row>
    <row r="39" spans="1:8" x14ac:dyDescent="0.45">
      <c r="A39" t="s">
        <v>151</v>
      </c>
      <c r="B39" t="s">
        <v>1217</v>
      </c>
      <c r="C39" t="s">
        <v>1120</v>
      </c>
      <c r="D39" t="s">
        <v>1135</v>
      </c>
      <c r="E39">
        <v>1531</v>
      </c>
      <c r="F39" t="s">
        <v>1224</v>
      </c>
      <c r="G39" t="s">
        <v>1219</v>
      </c>
      <c r="H39" t="s">
        <v>1210</v>
      </c>
    </row>
    <row r="40" spans="1:8" x14ac:dyDescent="0.45">
      <c r="A40" t="s">
        <v>152</v>
      </c>
      <c r="B40" t="s">
        <v>1217</v>
      </c>
      <c r="C40" t="s">
        <v>1126</v>
      </c>
      <c r="D40" t="s">
        <v>81</v>
      </c>
      <c r="E40">
        <v>929</v>
      </c>
      <c r="F40" t="s">
        <v>1224</v>
      </c>
      <c r="G40" t="s">
        <v>1219</v>
      </c>
      <c r="H40" t="s">
        <v>1210</v>
      </c>
    </row>
    <row r="41" spans="1:8" x14ac:dyDescent="0.45">
      <c r="A41" t="s">
        <v>153</v>
      </c>
      <c r="B41" t="s">
        <v>1223</v>
      </c>
      <c r="C41" t="s">
        <v>1127</v>
      </c>
      <c r="D41" t="s">
        <v>48</v>
      </c>
      <c r="E41">
        <v>1891</v>
      </c>
      <c r="F41" t="s">
        <v>1220</v>
      </c>
      <c r="G41" t="s">
        <v>1221</v>
      </c>
      <c r="H41" t="s">
        <v>1210</v>
      </c>
    </row>
    <row r="42" spans="1:8" x14ac:dyDescent="0.45">
      <c r="A42" t="s">
        <v>154</v>
      </c>
      <c r="B42" t="s">
        <v>1217</v>
      </c>
      <c r="C42" t="s">
        <v>1120</v>
      </c>
      <c r="D42" t="s">
        <v>54</v>
      </c>
      <c r="E42">
        <v>1677</v>
      </c>
      <c r="F42" t="s">
        <v>1224</v>
      </c>
      <c r="G42" t="s">
        <v>1219</v>
      </c>
      <c r="H42" t="s">
        <v>1210</v>
      </c>
    </row>
    <row r="43" spans="1:8" x14ac:dyDescent="0.45">
      <c r="A43" t="s">
        <v>155</v>
      </c>
      <c r="B43" t="s">
        <v>1223</v>
      </c>
      <c r="C43" t="s">
        <v>1127</v>
      </c>
      <c r="D43" t="s">
        <v>1130</v>
      </c>
      <c r="E43">
        <v>704</v>
      </c>
      <c r="F43" t="s">
        <v>1220</v>
      </c>
      <c r="G43" t="s">
        <v>1219</v>
      </c>
      <c r="H43" t="s">
        <v>1210</v>
      </c>
    </row>
    <row r="44" spans="1:8" x14ac:dyDescent="0.45">
      <c r="A44" t="s">
        <v>156</v>
      </c>
      <c r="B44" t="s">
        <v>1223</v>
      </c>
      <c r="C44" t="s">
        <v>1122</v>
      </c>
      <c r="D44" t="s">
        <v>108</v>
      </c>
      <c r="E44">
        <v>976</v>
      </c>
      <c r="F44" t="s">
        <v>1224</v>
      </c>
      <c r="G44" t="s">
        <v>1219</v>
      </c>
      <c r="H44" t="s">
        <v>1210</v>
      </c>
    </row>
    <row r="45" spans="1:8" x14ac:dyDescent="0.45">
      <c r="A45" t="s">
        <v>157</v>
      </c>
      <c r="B45" t="s">
        <v>1223</v>
      </c>
      <c r="C45" t="s">
        <v>1127</v>
      </c>
      <c r="D45" t="s">
        <v>10</v>
      </c>
      <c r="E45">
        <v>901</v>
      </c>
      <c r="F45" t="s">
        <v>1224</v>
      </c>
      <c r="G45" t="s">
        <v>1219</v>
      </c>
      <c r="H45" t="s">
        <v>1210</v>
      </c>
    </row>
    <row r="46" spans="1:8" x14ac:dyDescent="0.45">
      <c r="A46" t="s">
        <v>158</v>
      </c>
      <c r="B46" t="s">
        <v>1225</v>
      </c>
      <c r="C46" t="s">
        <v>1123</v>
      </c>
      <c r="D46" t="s">
        <v>1132</v>
      </c>
      <c r="E46">
        <v>850</v>
      </c>
      <c r="F46" t="s">
        <v>1224</v>
      </c>
      <c r="G46" t="s">
        <v>1219</v>
      </c>
      <c r="H46" t="s">
        <v>1210</v>
      </c>
    </row>
    <row r="47" spans="1:8" x14ac:dyDescent="0.45">
      <c r="A47" t="s">
        <v>159</v>
      </c>
      <c r="B47" t="s">
        <v>1225</v>
      </c>
      <c r="C47" t="s">
        <v>1128</v>
      </c>
      <c r="D47" t="s">
        <v>47</v>
      </c>
      <c r="E47">
        <v>1446</v>
      </c>
      <c r="F47" t="s">
        <v>1220</v>
      </c>
      <c r="G47" t="s">
        <v>1219</v>
      </c>
      <c r="H47" t="s">
        <v>1210</v>
      </c>
    </row>
    <row r="48" spans="1:8" x14ac:dyDescent="0.45">
      <c r="A48" t="s">
        <v>160</v>
      </c>
      <c r="B48" t="s">
        <v>1223</v>
      </c>
      <c r="C48" t="s">
        <v>1117</v>
      </c>
      <c r="D48" t="s">
        <v>30</v>
      </c>
      <c r="E48">
        <v>1894</v>
      </c>
      <c r="F48" t="s">
        <v>1220</v>
      </c>
      <c r="G48" t="s">
        <v>1219</v>
      </c>
      <c r="H48" t="s">
        <v>1210</v>
      </c>
    </row>
    <row r="49" spans="1:8" x14ac:dyDescent="0.45">
      <c r="A49" t="s">
        <v>161</v>
      </c>
      <c r="B49" t="s">
        <v>1217</v>
      </c>
      <c r="C49" t="s">
        <v>1126</v>
      </c>
      <c r="D49" t="s">
        <v>50</v>
      </c>
      <c r="E49">
        <v>2296</v>
      </c>
      <c r="F49" t="s">
        <v>1224</v>
      </c>
      <c r="G49" t="s">
        <v>1219</v>
      </c>
      <c r="H49" t="s">
        <v>1210</v>
      </c>
    </row>
    <row r="50" spans="1:8" x14ac:dyDescent="0.45">
      <c r="A50" t="s">
        <v>162</v>
      </c>
      <c r="B50" t="s">
        <v>1217</v>
      </c>
      <c r="C50" t="s">
        <v>1116</v>
      </c>
      <c r="D50" t="s">
        <v>53</v>
      </c>
      <c r="E50">
        <v>2124</v>
      </c>
      <c r="F50" t="s">
        <v>1224</v>
      </c>
      <c r="G50" t="s">
        <v>1219</v>
      </c>
      <c r="H50" t="s">
        <v>1210</v>
      </c>
    </row>
    <row r="51" spans="1:8" x14ac:dyDescent="0.45">
      <c r="A51" t="s">
        <v>163</v>
      </c>
      <c r="B51" t="s">
        <v>1225</v>
      </c>
      <c r="C51" t="s">
        <v>1125</v>
      </c>
      <c r="D51" t="s">
        <v>101</v>
      </c>
      <c r="E51">
        <v>1878</v>
      </c>
      <c r="F51" t="s">
        <v>1227</v>
      </c>
      <c r="G51" t="s">
        <v>1219</v>
      </c>
      <c r="H51" t="s">
        <v>1210</v>
      </c>
    </row>
    <row r="52" spans="1:8" x14ac:dyDescent="0.45">
      <c r="A52" t="s">
        <v>164</v>
      </c>
      <c r="B52" t="s">
        <v>1225</v>
      </c>
      <c r="C52" t="s">
        <v>1123</v>
      </c>
      <c r="D52" t="s">
        <v>61</v>
      </c>
      <c r="E52">
        <v>1588</v>
      </c>
      <c r="F52" t="s">
        <v>1224</v>
      </c>
      <c r="G52" t="s">
        <v>1219</v>
      </c>
      <c r="H52" t="s">
        <v>1210</v>
      </c>
    </row>
    <row r="53" spans="1:8" x14ac:dyDescent="0.45">
      <c r="A53" t="s">
        <v>165</v>
      </c>
      <c r="B53" t="s">
        <v>1225</v>
      </c>
      <c r="C53" t="s">
        <v>1118</v>
      </c>
      <c r="D53" t="s">
        <v>1130</v>
      </c>
      <c r="E53">
        <v>615</v>
      </c>
      <c r="F53" t="s">
        <v>1220</v>
      </c>
      <c r="G53" t="s">
        <v>1219</v>
      </c>
      <c r="H53" t="s">
        <v>1210</v>
      </c>
    </row>
    <row r="54" spans="1:8" x14ac:dyDescent="0.45">
      <c r="A54" t="s">
        <v>166</v>
      </c>
      <c r="B54" t="s">
        <v>1225</v>
      </c>
      <c r="C54" t="s">
        <v>1118</v>
      </c>
      <c r="D54" t="s">
        <v>71</v>
      </c>
      <c r="E54">
        <v>1592</v>
      </c>
      <c r="F54" t="s">
        <v>1229</v>
      </c>
      <c r="G54" t="s">
        <v>1219</v>
      </c>
      <c r="H54" t="s">
        <v>1210</v>
      </c>
    </row>
    <row r="55" spans="1:8" x14ac:dyDescent="0.45">
      <c r="A55" t="s">
        <v>167</v>
      </c>
      <c r="B55" t="s">
        <v>1223</v>
      </c>
      <c r="C55" t="s">
        <v>1122</v>
      </c>
      <c r="D55" t="s">
        <v>45</v>
      </c>
      <c r="E55">
        <v>1093</v>
      </c>
      <c r="F55" t="s">
        <v>1220</v>
      </c>
      <c r="G55" t="s">
        <v>1219</v>
      </c>
      <c r="H55" t="s">
        <v>1210</v>
      </c>
    </row>
    <row r="56" spans="1:8" x14ac:dyDescent="0.45">
      <c r="A56" t="s">
        <v>168</v>
      </c>
      <c r="B56" t="s">
        <v>1225</v>
      </c>
      <c r="C56" t="s">
        <v>1128</v>
      </c>
      <c r="D56" t="s">
        <v>91</v>
      </c>
      <c r="E56">
        <v>1579</v>
      </c>
      <c r="F56" t="s">
        <v>1220</v>
      </c>
      <c r="G56" t="s">
        <v>1219</v>
      </c>
      <c r="H56" t="s">
        <v>1210</v>
      </c>
    </row>
    <row r="57" spans="1:8" x14ac:dyDescent="0.45">
      <c r="A57" t="s">
        <v>169</v>
      </c>
      <c r="B57" t="s">
        <v>1217</v>
      </c>
      <c r="C57" t="s">
        <v>1116</v>
      </c>
      <c r="D57" t="s">
        <v>30</v>
      </c>
      <c r="E57">
        <v>920</v>
      </c>
      <c r="F57" t="s">
        <v>1224</v>
      </c>
      <c r="G57" t="s">
        <v>1219</v>
      </c>
      <c r="H57" t="s">
        <v>1210</v>
      </c>
    </row>
    <row r="58" spans="1:8" x14ac:dyDescent="0.45">
      <c r="A58" t="s">
        <v>170</v>
      </c>
      <c r="B58" t="s">
        <v>1217</v>
      </c>
      <c r="C58" t="s">
        <v>1114</v>
      </c>
      <c r="D58" t="s">
        <v>65</v>
      </c>
      <c r="E58">
        <v>2215</v>
      </c>
      <c r="F58" t="s">
        <v>1230</v>
      </c>
      <c r="G58" t="s">
        <v>1219</v>
      </c>
      <c r="H58" t="s">
        <v>1210</v>
      </c>
    </row>
    <row r="59" spans="1:8" x14ac:dyDescent="0.45">
      <c r="A59" t="s">
        <v>171</v>
      </c>
      <c r="B59" t="s">
        <v>1223</v>
      </c>
      <c r="C59" t="s">
        <v>1117</v>
      </c>
      <c r="D59" t="s">
        <v>93</v>
      </c>
      <c r="E59">
        <v>826</v>
      </c>
      <c r="F59" t="s">
        <v>1224</v>
      </c>
      <c r="G59" t="s">
        <v>1219</v>
      </c>
      <c r="H59" t="s">
        <v>1210</v>
      </c>
    </row>
    <row r="60" spans="1:8" x14ac:dyDescent="0.45">
      <c r="A60" t="s">
        <v>172</v>
      </c>
      <c r="B60" t="s">
        <v>1225</v>
      </c>
      <c r="C60" t="s">
        <v>1125</v>
      </c>
      <c r="D60" t="s">
        <v>109</v>
      </c>
      <c r="E60">
        <v>1859</v>
      </c>
      <c r="F60" t="s">
        <v>1227</v>
      </c>
      <c r="G60" t="s">
        <v>1219</v>
      </c>
      <c r="H60" t="s">
        <v>1210</v>
      </c>
    </row>
    <row r="61" spans="1:8" x14ac:dyDescent="0.45">
      <c r="A61" t="s">
        <v>173</v>
      </c>
      <c r="B61" t="s">
        <v>1225</v>
      </c>
      <c r="C61" t="s">
        <v>1128</v>
      </c>
      <c r="D61" t="s">
        <v>5</v>
      </c>
      <c r="E61">
        <v>2157</v>
      </c>
      <c r="F61" t="s">
        <v>1220</v>
      </c>
      <c r="G61" t="s">
        <v>1219</v>
      </c>
      <c r="H61" t="s">
        <v>1210</v>
      </c>
    </row>
    <row r="62" spans="1:8" x14ac:dyDescent="0.45">
      <c r="A62" t="s">
        <v>174</v>
      </c>
      <c r="B62" t="s">
        <v>1217</v>
      </c>
      <c r="C62" t="s">
        <v>1126</v>
      </c>
      <c r="D62" t="s">
        <v>108</v>
      </c>
      <c r="E62">
        <v>1003</v>
      </c>
      <c r="F62" t="s">
        <v>1224</v>
      </c>
      <c r="G62" t="s">
        <v>1219</v>
      </c>
      <c r="H62" t="s">
        <v>1210</v>
      </c>
    </row>
    <row r="63" spans="1:8" x14ac:dyDescent="0.45">
      <c r="A63" t="s">
        <v>175</v>
      </c>
      <c r="B63" t="s">
        <v>1223</v>
      </c>
      <c r="C63" t="s">
        <v>1122</v>
      </c>
      <c r="D63" t="s">
        <v>22</v>
      </c>
      <c r="E63">
        <v>1891</v>
      </c>
      <c r="F63" t="s">
        <v>1224</v>
      </c>
      <c r="G63" t="s">
        <v>1219</v>
      </c>
      <c r="H63" t="s">
        <v>1210</v>
      </c>
    </row>
    <row r="64" spans="1:8" x14ac:dyDescent="0.45">
      <c r="A64" t="s">
        <v>176</v>
      </c>
      <c r="B64" t="s">
        <v>1223</v>
      </c>
      <c r="C64" t="s">
        <v>1124</v>
      </c>
      <c r="D64" t="s">
        <v>8</v>
      </c>
      <c r="E64">
        <v>997</v>
      </c>
      <c r="F64" t="s">
        <v>1224</v>
      </c>
      <c r="G64" t="s">
        <v>1219</v>
      </c>
      <c r="H64" t="s">
        <v>1210</v>
      </c>
    </row>
    <row r="65" spans="1:8" x14ac:dyDescent="0.45">
      <c r="A65" t="s">
        <v>177</v>
      </c>
      <c r="B65" t="s">
        <v>1225</v>
      </c>
      <c r="C65" t="s">
        <v>1119</v>
      </c>
      <c r="D65" t="s">
        <v>47</v>
      </c>
      <c r="E65">
        <v>1431</v>
      </c>
      <c r="F65" t="s">
        <v>1220</v>
      </c>
      <c r="G65" t="s">
        <v>1219</v>
      </c>
      <c r="H65" t="s">
        <v>1210</v>
      </c>
    </row>
    <row r="66" spans="1:8" x14ac:dyDescent="0.45">
      <c r="A66" t="s">
        <v>178</v>
      </c>
      <c r="B66" t="s">
        <v>1217</v>
      </c>
      <c r="C66" t="s">
        <v>1126</v>
      </c>
      <c r="D66" t="s">
        <v>61</v>
      </c>
      <c r="E66">
        <v>1710</v>
      </c>
      <c r="F66" t="s">
        <v>1224</v>
      </c>
      <c r="G66" t="s">
        <v>1219</v>
      </c>
      <c r="H66" t="s">
        <v>1210</v>
      </c>
    </row>
    <row r="67" spans="1:8" x14ac:dyDescent="0.45">
      <c r="A67" t="s">
        <v>179</v>
      </c>
      <c r="B67" t="s">
        <v>1223</v>
      </c>
      <c r="C67" t="s">
        <v>1127</v>
      </c>
      <c r="D67" t="s">
        <v>62</v>
      </c>
      <c r="E67">
        <v>1109</v>
      </c>
      <c r="F67" t="s">
        <v>1220</v>
      </c>
      <c r="G67" t="s">
        <v>1219</v>
      </c>
      <c r="H67" t="s">
        <v>1210</v>
      </c>
    </row>
    <row r="68" spans="1:8" x14ac:dyDescent="0.45">
      <c r="A68" t="s">
        <v>180</v>
      </c>
      <c r="B68" t="s">
        <v>1217</v>
      </c>
      <c r="C68" t="s">
        <v>1116</v>
      </c>
      <c r="D68" t="s">
        <v>84</v>
      </c>
      <c r="E68">
        <v>609</v>
      </c>
      <c r="F68" t="s">
        <v>1218</v>
      </c>
      <c r="G68" t="s">
        <v>1219</v>
      </c>
      <c r="H68" t="s">
        <v>1210</v>
      </c>
    </row>
    <row r="69" spans="1:8" x14ac:dyDescent="0.45">
      <c r="A69" t="s">
        <v>181</v>
      </c>
      <c r="B69" t="s">
        <v>1225</v>
      </c>
      <c r="C69" t="s">
        <v>1128</v>
      </c>
      <c r="D69" t="s">
        <v>89</v>
      </c>
      <c r="E69">
        <v>1491</v>
      </c>
      <c r="F69" t="s">
        <v>1224</v>
      </c>
      <c r="G69" t="s">
        <v>1219</v>
      </c>
      <c r="H69" t="s">
        <v>1210</v>
      </c>
    </row>
    <row r="70" spans="1:8" x14ac:dyDescent="0.45">
      <c r="A70" t="s">
        <v>182</v>
      </c>
      <c r="B70" t="s">
        <v>1217</v>
      </c>
      <c r="C70" t="s">
        <v>1120</v>
      </c>
      <c r="D70" t="s">
        <v>41</v>
      </c>
      <c r="E70">
        <v>1251</v>
      </c>
      <c r="F70" t="s">
        <v>1224</v>
      </c>
      <c r="G70" t="s">
        <v>1219</v>
      </c>
      <c r="H70" t="s">
        <v>1210</v>
      </c>
    </row>
    <row r="71" spans="1:8" x14ac:dyDescent="0.45">
      <c r="A71" t="s">
        <v>183</v>
      </c>
      <c r="B71" t="s">
        <v>1225</v>
      </c>
      <c r="C71" t="s">
        <v>1119</v>
      </c>
      <c r="D71" t="s">
        <v>71</v>
      </c>
      <c r="E71">
        <v>589</v>
      </c>
      <c r="F71" t="s">
        <v>1220</v>
      </c>
      <c r="G71" t="s">
        <v>1219</v>
      </c>
      <c r="H71" t="s">
        <v>1210</v>
      </c>
    </row>
    <row r="72" spans="1:8" x14ac:dyDescent="0.45">
      <c r="A72" t="s">
        <v>184</v>
      </c>
      <c r="B72" t="s">
        <v>1223</v>
      </c>
      <c r="C72" t="s">
        <v>1122</v>
      </c>
      <c r="D72" t="s">
        <v>110</v>
      </c>
      <c r="E72">
        <v>3302</v>
      </c>
      <c r="F72" t="s">
        <v>1224</v>
      </c>
      <c r="G72" t="s">
        <v>1219</v>
      </c>
      <c r="H72" t="s">
        <v>1210</v>
      </c>
    </row>
    <row r="73" spans="1:8" x14ac:dyDescent="0.45">
      <c r="A73" t="s">
        <v>185</v>
      </c>
      <c r="B73" t="s">
        <v>1225</v>
      </c>
      <c r="C73" t="s">
        <v>1125</v>
      </c>
      <c r="D73" t="s">
        <v>108</v>
      </c>
      <c r="E73">
        <v>1151</v>
      </c>
      <c r="F73" t="s">
        <v>1227</v>
      </c>
      <c r="G73" t="s">
        <v>1219</v>
      </c>
      <c r="H73" t="s">
        <v>1210</v>
      </c>
    </row>
    <row r="74" spans="1:8" x14ac:dyDescent="0.45">
      <c r="A74" t="s">
        <v>186</v>
      </c>
      <c r="B74" t="s">
        <v>1217</v>
      </c>
      <c r="C74" t="s">
        <v>1126</v>
      </c>
      <c r="D74" t="s">
        <v>10</v>
      </c>
      <c r="E74">
        <v>1391</v>
      </c>
      <c r="F74" t="s">
        <v>1224</v>
      </c>
      <c r="G74" t="s">
        <v>1219</v>
      </c>
      <c r="H74" t="s">
        <v>1210</v>
      </c>
    </row>
    <row r="75" spans="1:8" x14ac:dyDescent="0.45">
      <c r="A75" t="s">
        <v>187</v>
      </c>
      <c r="B75" t="s">
        <v>1223</v>
      </c>
      <c r="C75" t="s">
        <v>1121</v>
      </c>
      <c r="D75" t="s">
        <v>108</v>
      </c>
      <c r="E75">
        <v>491</v>
      </c>
      <c r="F75" t="s">
        <v>1220</v>
      </c>
      <c r="G75" t="s">
        <v>1219</v>
      </c>
      <c r="H75" t="s">
        <v>1210</v>
      </c>
    </row>
    <row r="76" spans="1:8" x14ac:dyDescent="0.45">
      <c r="A76" t="s">
        <v>188</v>
      </c>
      <c r="B76" t="s">
        <v>1225</v>
      </c>
      <c r="C76" t="s">
        <v>1118</v>
      </c>
      <c r="D76" t="s">
        <v>1136</v>
      </c>
      <c r="E76">
        <v>1614</v>
      </c>
      <c r="F76" t="s">
        <v>1218</v>
      </c>
      <c r="G76" t="s">
        <v>1219</v>
      </c>
      <c r="H76" t="s">
        <v>1210</v>
      </c>
    </row>
    <row r="77" spans="1:8" x14ac:dyDescent="0.45">
      <c r="A77" t="s">
        <v>189</v>
      </c>
      <c r="B77" t="s">
        <v>1223</v>
      </c>
      <c r="C77" t="s">
        <v>1117</v>
      </c>
      <c r="D77" t="s">
        <v>109</v>
      </c>
      <c r="E77">
        <v>1899</v>
      </c>
      <c r="F77" t="s">
        <v>1224</v>
      </c>
      <c r="G77" t="s">
        <v>1219</v>
      </c>
      <c r="H77" t="s">
        <v>1210</v>
      </c>
    </row>
    <row r="78" spans="1:8" x14ac:dyDescent="0.45">
      <c r="A78" t="s">
        <v>190</v>
      </c>
      <c r="B78" t="s">
        <v>1217</v>
      </c>
      <c r="C78" t="s">
        <v>1116</v>
      </c>
      <c r="D78" t="s">
        <v>10</v>
      </c>
      <c r="E78">
        <v>991</v>
      </c>
      <c r="F78" t="s">
        <v>1220</v>
      </c>
      <c r="G78" t="s">
        <v>1221</v>
      </c>
      <c r="H78" t="s">
        <v>1210</v>
      </c>
    </row>
    <row r="79" spans="1:8" x14ac:dyDescent="0.45">
      <c r="A79" t="s">
        <v>191</v>
      </c>
      <c r="B79" t="s">
        <v>1225</v>
      </c>
      <c r="C79" t="s">
        <v>1118</v>
      </c>
      <c r="D79" t="s">
        <v>28</v>
      </c>
      <c r="E79">
        <v>2117</v>
      </c>
      <c r="F79" t="s">
        <v>1224</v>
      </c>
      <c r="G79" t="s">
        <v>1219</v>
      </c>
      <c r="H79" t="s">
        <v>1210</v>
      </c>
    </row>
    <row r="80" spans="1:8" x14ac:dyDescent="0.45">
      <c r="A80" t="s">
        <v>192</v>
      </c>
      <c r="B80" t="s">
        <v>1217</v>
      </c>
      <c r="C80" t="s">
        <v>1115</v>
      </c>
      <c r="D80" t="s">
        <v>80</v>
      </c>
      <c r="E80">
        <v>2523</v>
      </c>
      <c r="F80" t="s">
        <v>1227</v>
      </c>
      <c r="G80" t="s">
        <v>1219</v>
      </c>
      <c r="H80" t="s">
        <v>1210</v>
      </c>
    </row>
    <row r="81" spans="1:8" x14ac:dyDescent="0.45">
      <c r="A81" t="s">
        <v>193</v>
      </c>
      <c r="B81" t="s">
        <v>1217</v>
      </c>
      <c r="C81" t="s">
        <v>1115</v>
      </c>
      <c r="D81" t="s">
        <v>1130</v>
      </c>
      <c r="E81">
        <v>1515</v>
      </c>
      <c r="F81" t="s">
        <v>1220</v>
      </c>
      <c r="G81" t="s">
        <v>1219</v>
      </c>
      <c r="H81" t="s">
        <v>1210</v>
      </c>
    </row>
    <row r="82" spans="1:8" x14ac:dyDescent="0.45">
      <c r="A82" t="s">
        <v>194</v>
      </c>
      <c r="B82" t="s">
        <v>1217</v>
      </c>
      <c r="C82" t="s">
        <v>1115</v>
      </c>
      <c r="D82" t="s">
        <v>29</v>
      </c>
      <c r="E82">
        <v>1749</v>
      </c>
      <c r="F82" t="s">
        <v>1224</v>
      </c>
      <c r="G82" t="s">
        <v>1219</v>
      </c>
      <c r="H82" t="s">
        <v>1210</v>
      </c>
    </row>
    <row r="83" spans="1:8" x14ac:dyDescent="0.45">
      <c r="A83" t="s">
        <v>195</v>
      </c>
      <c r="B83" t="s">
        <v>1223</v>
      </c>
      <c r="C83" t="s">
        <v>1127</v>
      </c>
      <c r="D83" t="s">
        <v>5</v>
      </c>
      <c r="E83">
        <v>2130</v>
      </c>
      <c r="F83" t="s">
        <v>1227</v>
      </c>
      <c r="G83" t="s">
        <v>1219</v>
      </c>
      <c r="H83" t="s">
        <v>1210</v>
      </c>
    </row>
    <row r="84" spans="1:8" x14ac:dyDescent="0.45">
      <c r="A84" t="s">
        <v>196</v>
      </c>
      <c r="B84" t="s">
        <v>1223</v>
      </c>
      <c r="C84" t="s">
        <v>1124</v>
      </c>
      <c r="D84" t="s">
        <v>56</v>
      </c>
      <c r="E84">
        <v>661</v>
      </c>
      <c r="F84" t="s">
        <v>1224</v>
      </c>
      <c r="G84" t="s">
        <v>1219</v>
      </c>
      <c r="H84" t="s">
        <v>1210</v>
      </c>
    </row>
    <row r="85" spans="1:8" x14ac:dyDescent="0.45">
      <c r="A85" t="s">
        <v>197</v>
      </c>
      <c r="B85" t="s">
        <v>1223</v>
      </c>
      <c r="C85" t="s">
        <v>1117</v>
      </c>
      <c r="D85" t="s">
        <v>108</v>
      </c>
      <c r="E85">
        <v>1162</v>
      </c>
      <c r="F85" t="s">
        <v>1224</v>
      </c>
      <c r="G85" t="s">
        <v>1219</v>
      </c>
      <c r="H85" t="s">
        <v>1210</v>
      </c>
    </row>
    <row r="86" spans="1:8" x14ac:dyDescent="0.45">
      <c r="A86" t="s">
        <v>198</v>
      </c>
      <c r="B86" t="s">
        <v>1225</v>
      </c>
      <c r="C86" t="s">
        <v>1128</v>
      </c>
      <c r="D86" t="s">
        <v>23</v>
      </c>
      <c r="E86">
        <v>1188</v>
      </c>
      <c r="F86" t="s">
        <v>1220</v>
      </c>
      <c r="G86" t="s">
        <v>1219</v>
      </c>
      <c r="H86" t="s">
        <v>1210</v>
      </c>
    </row>
    <row r="87" spans="1:8" x14ac:dyDescent="0.45">
      <c r="A87" t="s">
        <v>199</v>
      </c>
      <c r="B87" t="s">
        <v>1223</v>
      </c>
      <c r="C87" t="s">
        <v>1127</v>
      </c>
      <c r="D87" t="s">
        <v>1130</v>
      </c>
      <c r="E87">
        <v>1830</v>
      </c>
      <c r="F87" t="s">
        <v>1227</v>
      </c>
      <c r="G87" t="s">
        <v>1219</v>
      </c>
      <c r="H87" t="s">
        <v>1210</v>
      </c>
    </row>
    <row r="88" spans="1:8" x14ac:dyDescent="0.45">
      <c r="A88" t="s">
        <v>200</v>
      </c>
      <c r="B88" t="s">
        <v>1225</v>
      </c>
      <c r="C88" t="s">
        <v>1118</v>
      </c>
      <c r="D88" t="s">
        <v>95</v>
      </c>
      <c r="E88">
        <v>1279</v>
      </c>
      <c r="F88" t="s">
        <v>1218</v>
      </c>
      <c r="G88" t="s">
        <v>1219</v>
      </c>
      <c r="H88" t="s">
        <v>1210</v>
      </c>
    </row>
    <row r="89" spans="1:8" x14ac:dyDescent="0.45">
      <c r="A89" t="s">
        <v>201</v>
      </c>
      <c r="B89" t="s">
        <v>1223</v>
      </c>
      <c r="C89" t="s">
        <v>1124</v>
      </c>
      <c r="D89" t="s">
        <v>1130</v>
      </c>
      <c r="E89">
        <v>1610</v>
      </c>
      <c r="F89" t="s">
        <v>1224</v>
      </c>
      <c r="G89" t="s">
        <v>1219</v>
      </c>
      <c r="H89" t="s">
        <v>1210</v>
      </c>
    </row>
    <row r="90" spans="1:8" x14ac:dyDescent="0.45">
      <c r="A90" t="s">
        <v>202</v>
      </c>
      <c r="B90" t="s">
        <v>1225</v>
      </c>
      <c r="C90" t="s">
        <v>1125</v>
      </c>
      <c r="D90" t="s">
        <v>67</v>
      </c>
      <c r="E90">
        <v>2769</v>
      </c>
      <c r="F90" t="s">
        <v>1220</v>
      </c>
      <c r="G90" t="s">
        <v>1221</v>
      </c>
      <c r="H90" t="s">
        <v>1210</v>
      </c>
    </row>
    <row r="91" spans="1:8" x14ac:dyDescent="0.45">
      <c r="A91" t="s">
        <v>203</v>
      </c>
      <c r="B91" t="s">
        <v>1225</v>
      </c>
      <c r="C91" t="s">
        <v>1123</v>
      </c>
      <c r="D91" t="s">
        <v>65</v>
      </c>
      <c r="E91">
        <v>2025</v>
      </c>
      <c r="F91" t="s">
        <v>1230</v>
      </c>
      <c r="G91" t="s">
        <v>1219</v>
      </c>
      <c r="H91" t="s">
        <v>1210</v>
      </c>
    </row>
    <row r="92" spans="1:8" x14ac:dyDescent="0.45">
      <c r="A92" t="s">
        <v>204</v>
      </c>
      <c r="B92" t="s">
        <v>1225</v>
      </c>
      <c r="C92" t="s">
        <v>1119</v>
      </c>
      <c r="D92" t="s">
        <v>1137</v>
      </c>
      <c r="E92">
        <v>2054</v>
      </c>
      <c r="F92" t="s">
        <v>1227</v>
      </c>
      <c r="G92" t="s">
        <v>1219</v>
      </c>
      <c r="H92" t="s">
        <v>1210</v>
      </c>
    </row>
    <row r="93" spans="1:8" x14ac:dyDescent="0.45">
      <c r="A93" t="s">
        <v>205</v>
      </c>
      <c r="B93" t="s">
        <v>1225</v>
      </c>
      <c r="C93" t="s">
        <v>1125</v>
      </c>
      <c r="D93" t="s">
        <v>41</v>
      </c>
      <c r="E93">
        <v>3695</v>
      </c>
      <c r="F93" t="s">
        <v>1218</v>
      </c>
      <c r="G93" t="s">
        <v>1219</v>
      </c>
      <c r="H93" t="s">
        <v>1210</v>
      </c>
    </row>
    <row r="94" spans="1:8" x14ac:dyDescent="0.45">
      <c r="A94" t="s">
        <v>206</v>
      </c>
      <c r="B94" t="s">
        <v>1217</v>
      </c>
      <c r="C94" t="s">
        <v>1115</v>
      </c>
      <c r="D94" t="s">
        <v>96</v>
      </c>
      <c r="E94">
        <v>1173</v>
      </c>
      <c r="F94" t="s">
        <v>1220</v>
      </c>
      <c r="G94" t="s">
        <v>1219</v>
      </c>
      <c r="H94" t="s">
        <v>1210</v>
      </c>
    </row>
    <row r="95" spans="1:8" x14ac:dyDescent="0.45">
      <c r="A95" t="s">
        <v>207</v>
      </c>
      <c r="B95" t="s">
        <v>1223</v>
      </c>
      <c r="C95" t="s">
        <v>1124</v>
      </c>
      <c r="D95" t="s">
        <v>48</v>
      </c>
      <c r="E95">
        <v>565</v>
      </c>
      <c r="F95" t="s">
        <v>1224</v>
      </c>
      <c r="G95" t="s">
        <v>1219</v>
      </c>
      <c r="H95" t="s">
        <v>1210</v>
      </c>
    </row>
    <row r="96" spans="1:8" x14ac:dyDescent="0.45">
      <c r="A96" t="s">
        <v>208</v>
      </c>
      <c r="B96" t="s">
        <v>1217</v>
      </c>
      <c r="C96" t="s">
        <v>1126</v>
      </c>
      <c r="D96" t="s">
        <v>1136</v>
      </c>
      <c r="E96">
        <v>1928</v>
      </c>
      <c r="F96" t="s">
        <v>1224</v>
      </c>
      <c r="G96" t="s">
        <v>1219</v>
      </c>
      <c r="H96" t="s">
        <v>1210</v>
      </c>
    </row>
    <row r="97" spans="1:8" x14ac:dyDescent="0.45">
      <c r="A97" t="s">
        <v>209</v>
      </c>
      <c r="B97" t="s">
        <v>1217</v>
      </c>
      <c r="C97" t="s">
        <v>1114</v>
      </c>
      <c r="D97" t="s">
        <v>1138</v>
      </c>
      <c r="E97">
        <v>1504</v>
      </c>
      <c r="F97" t="s">
        <v>1224</v>
      </c>
      <c r="G97" t="s">
        <v>1219</v>
      </c>
      <c r="H97" t="s">
        <v>1210</v>
      </c>
    </row>
    <row r="98" spans="1:8" x14ac:dyDescent="0.45">
      <c r="A98" t="s">
        <v>210</v>
      </c>
      <c r="B98" t="s">
        <v>1217</v>
      </c>
      <c r="C98" t="s">
        <v>1114</v>
      </c>
      <c r="D98" t="s">
        <v>91</v>
      </c>
      <c r="E98">
        <v>1444</v>
      </c>
      <c r="F98" t="s">
        <v>1220</v>
      </c>
      <c r="G98" t="s">
        <v>1219</v>
      </c>
      <c r="H98" t="s">
        <v>1210</v>
      </c>
    </row>
    <row r="99" spans="1:8" x14ac:dyDescent="0.45">
      <c r="A99" t="s">
        <v>211</v>
      </c>
      <c r="B99" t="s">
        <v>1217</v>
      </c>
      <c r="C99" t="s">
        <v>1116</v>
      </c>
      <c r="D99" t="s">
        <v>13</v>
      </c>
      <c r="E99">
        <v>2426</v>
      </c>
      <c r="F99" t="s">
        <v>1231</v>
      </c>
      <c r="G99" t="s">
        <v>1219</v>
      </c>
      <c r="H99" t="s">
        <v>1210</v>
      </c>
    </row>
    <row r="100" spans="1:8" x14ac:dyDescent="0.45">
      <c r="A100" t="s">
        <v>212</v>
      </c>
      <c r="B100" t="s">
        <v>1223</v>
      </c>
      <c r="C100" t="s">
        <v>1127</v>
      </c>
      <c r="D100" t="s">
        <v>37</v>
      </c>
      <c r="E100">
        <v>1565</v>
      </c>
      <c r="F100" t="s">
        <v>1224</v>
      </c>
      <c r="G100" t="s">
        <v>1219</v>
      </c>
      <c r="H100" t="s">
        <v>1210</v>
      </c>
    </row>
    <row r="101" spans="1:8" x14ac:dyDescent="0.45">
      <c r="A101" t="s">
        <v>213</v>
      </c>
      <c r="B101" t="s">
        <v>1217</v>
      </c>
      <c r="C101" t="s">
        <v>1114</v>
      </c>
      <c r="D101" t="s">
        <v>19</v>
      </c>
      <c r="E101">
        <v>2494</v>
      </c>
      <c r="F101" t="s">
        <v>1224</v>
      </c>
      <c r="G101" t="s">
        <v>1219</v>
      </c>
      <c r="H101" t="s">
        <v>1210</v>
      </c>
    </row>
    <row r="102" spans="1:8" x14ac:dyDescent="0.45">
      <c r="A102" t="s">
        <v>214</v>
      </c>
      <c r="B102" t="s">
        <v>1225</v>
      </c>
      <c r="C102" t="s">
        <v>1118</v>
      </c>
      <c r="D102" t="s">
        <v>18</v>
      </c>
      <c r="E102">
        <v>1252</v>
      </c>
      <c r="F102" t="s">
        <v>1220</v>
      </c>
      <c r="G102" t="s">
        <v>1219</v>
      </c>
      <c r="H102" t="s">
        <v>1210</v>
      </c>
    </row>
    <row r="103" spans="1:8" x14ac:dyDescent="0.45">
      <c r="A103" t="s">
        <v>215</v>
      </c>
      <c r="B103" t="s">
        <v>1217</v>
      </c>
      <c r="C103" t="s">
        <v>1126</v>
      </c>
      <c r="D103" t="s">
        <v>31</v>
      </c>
      <c r="E103">
        <v>2461</v>
      </c>
      <c r="F103" t="s">
        <v>1224</v>
      </c>
      <c r="G103" t="s">
        <v>1219</v>
      </c>
      <c r="H103" t="s">
        <v>1210</v>
      </c>
    </row>
    <row r="104" spans="1:8" x14ac:dyDescent="0.45">
      <c r="A104" t="s">
        <v>216</v>
      </c>
      <c r="B104" t="s">
        <v>1225</v>
      </c>
      <c r="C104" t="s">
        <v>1119</v>
      </c>
      <c r="D104" t="s">
        <v>81</v>
      </c>
      <c r="E104">
        <v>1039</v>
      </c>
      <c r="F104" t="s">
        <v>1220</v>
      </c>
      <c r="G104" t="s">
        <v>1219</v>
      </c>
      <c r="H104" t="s">
        <v>1210</v>
      </c>
    </row>
    <row r="105" spans="1:8" x14ac:dyDescent="0.45">
      <c r="A105" t="s">
        <v>217</v>
      </c>
      <c r="B105" t="s">
        <v>1217</v>
      </c>
      <c r="C105" t="s">
        <v>1115</v>
      </c>
      <c r="D105" t="s">
        <v>28</v>
      </c>
      <c r="E105">
        <v>2399</v>
      </c>
      <c r="F105" t="s">
        <v>1232</v>
      </c>
      <c r="G105" t="s">
        <v>1219</v>
      </c>
      <c r="H105" t="s">
        <v>1210</v>
      </c>
    </row>
    <row r="106" spans="1:8" x14ac:dyDescent="0.45">
      <c r="A106" t="s">
        <v>218</v>
      </c>
      <c r="B106" t="s">
        <v>1223</v>
      </c>
      <c r="C106" t="s">
        <v>1117</v>
      </c>
      <c r="D106" t="s">
        <v>49</v>
      </c>
      <c r="E106">
        <v>450</v>
      </c>
      <c r="F106" t="s">
        <v>1224</v>
      </c>
      <c r="G106" t="s">
        <v>1219</v>
      </c>
      <c r="H106" t="s">
        <v>1210</v>
      </c>
    </row>
    <row r="107" spans="1:8" x14ac:dyDescent="0.45">
      <c r="A107" t="s">
        <v>219</v>
      </c>
      <c r="B107" t="s">
        <v>1223</v>
      </c>
      <c r="C107" t="s">
        <v>1124</v>
      </c>
      <c r="D107" t="s">
        <v>31</v>
      </c>
      <c r="E107">
        <v>943</v>
      </c>
      <c r="F107" t="s">
        <v>1224</v>
      </c>
      <c r="G107" t="s">
        <v>1219</v>
      </c>
      <c r="H107" t="s">
        <v>1210</v>
      </c>
    </row>
    <row r="108" spans="1:8" x14ac:dyDescent="0.45">
      <c r="A108" t="s">
        <v>220</v>
      </c>
      <c r="B108" t="s">
        <v>1225</v>
      </c>
      <c r="C108" t="s">
        <v>1118</v>
      </c>
      <c r="D108" t="s">
        <v>87</v>
      </c>
      <c r="E108">
        <v>1141</v>
      </c>
      <c r="F108" t="s">
        <v>1229</v>
      </c>
      <c r="G108" t="s">
        <v>1219</v>
      </c>
      <c r="H108" t="s">
        <v>1210</v>
      </c>
    </row>
    <row r="109" spans="1:8" x14ac:dyDescent="0.45">
      <c r="A109" t="s">
        <v>221</v>
      </c>
      <c r="B109" t="s">
        <v>1225</v>
      </c>
      <c r="C109" t="s">
        <v>1128</v>
      </c>
      <c r="D109" t="s">
        <v>74</v>
      </c>
      <c r="E109">
        <v>548</v>
      </c>
      <c r="F109" t="s">
        <v>1220</v>
      </c>
      <c r="G109" t="s">
        <v>1219</v>
      </c>
      <c r="H109" t="s">
        <v>1210</v>
      </c>
    </row>
    <row r="110" spans="1:8" x14ac:dyDescent="0.45">
      <c r="A110" t="s">
        <v>222</v>
      </c>
      <c r="B110" t="s">
        <v>1217</v>
      </c>
      <c r="C110" t="s">
        <v>1120</v>
      </c>
      <c r="D110" t="s">
        <v>27</v>
      </c>
      <c r="E110">
        <v>1074</v>
      </c>
      <c r="F110" t="s">
        <v>1224</v>
      </c>
      <c r="G110" t="s">
        <v>1219</v>
      </c>
      <c r="H110" t="s">
        <v>1210</v>
      </c>
    </row>
    <row r="111" spans="1:8" x14ac:dyDescent="0.45">
      <c r="A111" t="s">
        <v>223</v>
      </c>
      <c r="B111" t="s">
        <v>1217</v>
      </c>
      <c r="C111" t="s">
        <v>1116</v>
      </c>
      <c r="D111" t="s">
        <v>54</v>
      </c>
      <c r="E111">
        <v>1507</v>
      </c>
      <c r="F111" t="s">
        <v>1229</v>
      </c>
      <c r="G111" t="s">
        <v>1219</v>
      </c>
      <c r="H111" t="s">
        <v>1210</v>
      </c>
    </row>
    <row r="112" spans="1:8" x14ac:dyDescent="0.45">
      <c r="A112" t="s">
        <v>224</v>
      </c>
      <c r="B112" t="s">
        <v>1217</v>
      </c>
      <c r="C112" t="s">
        <v>1114</v>
      </c>
      <c r="D112" t="s">
        <v>66</v>
      </c>
      <c r="E112">
        <v>874</v>
      </c>
      <c r="F112" t="s">
        <v>1224</v>
      </c>
      <c r="G112" t="s">
        <v>1219</v>
      </c>
      <c r="H112" t="s">
        <v>1210</v>
      </c>
    </row>
    <row r="113" spans="1:8" x14ac:dyDescent="0.45">
      <c r="A113" t="s">
        <v>225</v>
      </c>
      <c r="B113" t="s">
        <v>1217</v>
      </c>
      <c r="C113" t="s">
        <v>1114</v>
      </c>
      <c r="D113" t="s">
        <v>25</v>
      </c>
      <c r="E113">
        <v>669</v>
      </c>
      <c r="F113" t="s">
        <v>1218</v>
      </c>
      <c r="G113" t="s">
        <v>1219</v>
      </c>
      <c r="H113" t="s">
        <v>1210</v>
      </c>
    </row>
    <row r="114" spans="1:8" x14ac:dyDescent="0.45">
      <c r="A114" t="s">
        <v>226</v>
      </c>
      <c r="B114" t="s">
        <v>1225</v>
      </c>
      <c r="C114" t="s">
        <v>1119</v>
      </c>
      <c r="D114" t="s">
        <v>50</v>
      </c>
      <c r="E114">
        <v>2319</v>
      </c>
      <c r="F114" t="s">
        <v>1220</v>
      </c>
      <c r="G114" t="s">
        <v>1219</v>
      </c>
      <c r="H114" t="s">
        <v>1210</v>
      </c>
    </row>
    <row r="115" spans="1:8" x14ac:dyDescent="0.45">
      <c r="A115" t="s">
        <v>227</v>
      </c>
      <c r="B115" t="s">
        <v>1225</v>
      </c>
      <c r="C115" t="s">
        <v>1118</v>
      </c>
      <c r="D115" t="s">
        <v>107</v>
      </c>
      <c r="E115">
        <v>2368</v>
      </c>
      <c r="F115" t="s">
        <v>1220</v>
      </c>
      <c r="G115" t="s">
        <v>1219</v>
      </c>
      <c r="H115" t="s">
        <v>1210</v>
      </c>
    </row>
    <row r="116" spans="1:8" x14ac:dyDescent="0.45">
      <c r="A116" t="s">
        <v>228</v>
      </c>
      <c r="B116" t="s">
        <v>1217</v>
      </c>
      <c r="C116" t="s">
        <v>1115</v>
      </c>
      <c r="D116" t="s">
        <v>103</v>
      </c>
      <c r="E116">
        <v>1306</v>
      </c>
      <c r="F116" t="s">
        <v>1220</v>
      </c>
      <c r="G116" t="s">
        <v>1219</v>
      </c>
      <c r="H116" t="s">
        <v>1210</v>
      </c>
    </row>
    <row r="117" spans="1:8" x14ac:dyDescent="0.45">
      <c r="A117" t="s">
        <v>229</v>
      </c>
      <c r="B117" t="s">
        <v>1223</v>
      </c>
      <c r="C117" t="s">
        <v>1124</v>
      </c>
      <c r="D117" t="s">
        <v>1133</v>
      </c>
      <c r="E117">
        <v>1070</v>
      </c>
      <c r="F117" t="s">
        <v>1224</v>
      </c>
      <c r="G117" t="s">
        <v>1219</v>
      </c>
      <c r="H117" t="s">
        <v>1210</v>
      </c>
    </row>
    <row r="118" spans="1:8" x14ac:dyDescent="0.45">
      <c r="A118" t="s">
        <v>230</v>
      </c>
      <c r="B118" t="s">
        <v>1223</v>
      </c>
      <c r="C118" t="s">
        <v>1127</v>
      </c>
      <c r="D118" t="s">
        <v>57</v>
      </c>
      <c r="E118">
        <v>2324</v>
      </c>
      <c r="F118" t="s">
        <v>1224</v>
      </c>
      <c r="G118" t="s">
        <v>1219</v>
      </c>
      <c r="H118" t="s">
        <v>1210</v>
      </c>
    </row>
    <row r="119" spans="1:8" x14ac:dyDescent="0.45">
      <c r="A119" t="s">
        <v>231</v>
      </c>
      <c r="B119" t="s">
        <v>1217</v>
      </c>
      <c r="C119" t="s">
        <v>1115</v>
      </c>
      <c r="D119" t="s">
        <v>57</v>
      </c>
      <c r="E119">
        <v>2122</v>
      </c>
      <c r="F119" t="s">
        <v>1224</v>
      </c>
      <c r="G119" t="s">
        <v>1219</v>
      </c>
      <c r="H119" t="s">
        <v>1210</v>
      </c>
    </row>
    <row r="120" spans="1:8" x14ac:dyDescent="0.45">
      <c r="A120" t="s">
        <v>232</v>
      </c>
      <c r="B120" t="s">
        <v>1223</v>
      </c>
      <c r="C120" t="s">
        <v>1122</v>
      </c>
      <c r="D120" t="s">
        <v>85</v>
      </c>
      <c r="E120">
        <v>-25</v>
      </c>
      <c r="F120" t="s">
        <v>1224</v>
      </c>
      <c r="G120" t="s">
        <v>1219</v>
      </c>
      <c r="H120" t="s">
        <v>1233</v>
      </c>
    </row>
    <row r="121" spans="1:8" x14ac:dyDescent="0.45">
      <c r="A121" t="s">
        <v>233</v>
      </c>
      <c r="B121" t="s">
        <v>1217</v>
      </c>
      <c r="C121" t="s">
        <v>1114</v>
      </c>
      <c r="D121" t="s">
        <v>77</v>
      </c>
      <c r="E121">
        <v>3779</v>
      </c>
      <c r="F121" t="s">
        <v>1226</v>
      </c>
      <c r="G121" t="s">
        <v>1219</v>
      </c>
      <c r="H121" t="s">
        <v>1210</v>
      </c>
    </row>
    <row r="122" spans="1:8" x14ac:dyDescent="0.45">
      <c r="A122" t="s">
        <v>234</v>
      </c>
      <c r="B122" t="s">
        <v>1225</v>
      </c>
      <c r="C122" t="s">
        <v>1118</v>
      </c>
      <c r="D122" t="s">
        <v>101</v>
      </c>
      <c r="E122">
        <v>1217</v>
      </c>
      <c r="F122" t="s">
        <v>1227</v>
      </c>
      <c r="G122" t="s">
        <v>1219</v>
      </c>
      <c r="H122" t="s">
        <v>1210</v>
      </c>
    </row>
    <row r="123" spans="1:8" x14ac:dyDescent="0.45">
      <c r="A123" t="s">
        <v>235</v>
      </c>
      <c r="B123" t="s">
        <v>1217</v>
      </c>
      <c r="C123" t="s">
        <v>1126</v>
      </c>
      <c r="D123" t="s">
        <v>28</v>
      </c>
      <c r="E123">
        <v>1002</v>
      </c>
      <c r="F123" t="s">
        <v>1234</v>
      </c>
      <c r="G123" t="s">
        <v>1219</v>
      </c>
      <c r="H123" t="s">
        <v>1210</v>
      </c>
    </row>
    <row r="124" spans="1:8" x14ac:dyDescent="0.45">
      <c r="A124" t="s">
        <v>236</v>
      </c>
      <c r="B124" t="s">
        <v>1225</v>
      </c>
      <c r="C124" t="s">
        <v>1119</v>
      </c>
      <c r="D124" t="s">
        <v>29</v>
      </c>
      <c r="E124">
        <v>612</v>
      </c>
      <c r="F124" t="s">
        <v>1220</v>
      </c>
      <c r="G124" t="s">
        <v>1219</v>
      </c>
      <c r="H124" t="s">
        <v>1210</v>
      </c>
    </row>
    <row r="125" spans="1:8" x14ac:dyDescent="0.45">
      <c r="A125" t="s">
        <v>237</v>
      </c>
      <c r="B125" t="s">
        <v>1225</v>
      </c>
      <c r="C125" t="s">
        <v>1125</v>
      </c>
      <c r="D125" t="s">
        <v>81</v>
      </c>
      <c r="E125">
        <v>1043</v>
      </c>
      <c r="F125" t="s">
        <v>1220</v>
      </c>
      <c r="G125" t="s">
        <v>1219</v>
      </c>
      <c r="H125" t="s">
        <v>1210</v>
      </c>
    </row>
    <row r="126" spans="1:8" x14ac:dyDescent="0.45">
      <c r="A126" t="s">
        <v>238</v>
      </c>
      <c r="B126" t="s">
        <v>1217</v>
      </c>
      <c r="C126" t="s">
        <v>1116</v>
      </c>
      <c r="D126" t="s">
        <v>80</v>
      </c>
      <c r="E126">
        <v>2269</v>
      </c>
      <c r="F126" t="s">
        <v>1220</v>
      </c>
      <c r="G126" t="s">
        <v>1219</v>
      </c>
      <c r="H126" t="s">
        <v>1210</v>
      </c>
    </row>
    <row r="127" spans="1:8" x14ac:dyDescent="0.45">
      <c r="A127" t="s">
        <v>239</v>
      </c>
      <c r="B127" t="s">
        <v>1223</v>
      </c>
      <c r="C127" t="s">
        <v>1127</v>
      </c>
      <c r="D127" t="s">
        <v>41</v>
      </c>
      <c r="E127">
        <v>3469</v>
      </c>
      <c r="F127" t="s">
        <v>1220</v>
      </c>
      <c r="G127" t="s">
        <v>1219</v>
      </c>
      <c r="H127" t="s">
        <v>1210</v>
      </c>
    </row>
    <row r="128" spans="1:8" x14ac:dyDescent="0.45">
      <c r="A128" t="s">
        <v>240</v>
      </c>
      <c r="B128" t="s">
        <v>1225</v>
      </c>
      <c r="C128" t="s">
        <v>1118</v>
      </c>
      <c r="D128" t="s">
        <v>1130</v>
      </c>
      <c r="E128">
        <v>1622</v>
      </c>
      <c r="F128" t="s">
        <v>1227</v>
      </c>
      <c r="G128" t="s">
        <v>1219</v>
      </c>
      <c r="H128" t="s">
        <v>1210</v>
      </c>
    </row>
    <row r="129" spans="1:8" x14ac:dyDescent="0.45">
      <c r="A129" t="s">
        <v>241</v>
      </c>
      <c r="B129" t="s">
        <v>1223</v>
      </c>
      <c r="C129" t="s">
        <v>1117</v>
      </c>
      <c r="D129" t="s">
        <v>44</v>
      </c>
      <c r="E129">
        <v>1527</v>
      </c>
      <c r="F129" t="s">
        <v>1220</v>
      </c>
      <c r="G129" t="s">
        <v>1219</v>
      </c>
      <c r="H129" t="s">
        <v>1210</v>
      </c>
    </row>
    <row r="130" spans="1:8" x14ac:dyDescent="0.45">
      <c r="A130" t="s">
        <v>242</v>
      </c>
      <c r="B130" t="s">
        <v>1225</v>
      </c>
      <c r="C130" t="s">
        <v>1125</v>
      </c>
      <c r="D130" t="s">
        <v>45</v>
      </c>
      <c r="E130">
        <v>574</v>
      </c>
      <c r="F130" t="s">
        <v>1218</v>
      </c>
      <c r="G130" t="s">
        <v>1219</v>
      </c>
      <c r="H130" t="s">
        <v>1210</v>
      </c>
    </row>
    <row r="131" spans="1:8" x14ac:dyDescent="0.45">
      <c r="A131" t="s">
        <v>243</v>
      </c>
      <c r="B131" t="s">
        <v>1223</v>
      </c>
      <c r="C131" t="s">
        <v>1124</v>
      </c>
      <c r="D131" t="s">
        <v>45</v>
      </c>
      <c r="E131">
        <v>1265</v>
      </c>
      <c r="F131" t="s">
        <v>1224</v>
      </c>
      <c r="G131" t="s">
        <v>1219</v>
      </c>
      <c r="H131" t="s">
        <v>1210</v>
      </c>
    </row>
    <row r="132" spans="1:8" x14ac:dyDescent="0.45">
      <c r="A132" t="s">
        <v>244</v>
      </c>
      <c r="B132" t="s">
        <v>1217</v>
      </c>
      <c r="C132" t="s">
        <v>1114</v>
      </c>
      <c r="D132" t="s">
        <v>66</v>
      </c>
      <c r="E132">
        <v>952</v>
      </c>
      <c r="F132" t="s">
        <v>1227</v>
      </c>
      <c r="G132" t="s">
        <v>1219</v>
      </c>
      <c r="H132" t="s">
        <v>1210</v>
      </c>
    </row>
    <row r="133" spans="1:8" x14ac:dyDescent="0.45">
      <c r="A133" t="s">
        <v>245</v>
      </c>
      <c r="B133" t="s">
        <v>1225</v>
      </c>
      <c r="C133" t="s">
        <v>1125</v>
      </c>
      <c r="D133" t="s">
        <v>108</v>
      </c>
      <c r="E133">
        <v>1009</v>
      </c>
      <c r="F133" t="s">
        <v>1220</v>
      </c>
      <c r="G133" t="s">
        <v>1219</v>
      </c>
      <c r="H133" t="s">
        <v>1210</v>
      </c>
    </row>
    <row r="134" spans="1:8" x14ac:dyDescent="0.45">
      <c r="A134" t="s">
        <v>246</v>
      </c>
      <c r="B134" t="s">
        <v>1217</v>
      </c>
      <c r="C134" t="s">
        <v>1120</v>
      </c>
      <c r="D134" t="s">
        <v>56</v>
      </c>
      <c r="E134">
        <v>595</v>
      </c>
      <c r="F134" t="s">
        <v>1224</v>
      </c>
      <c r="G134" t="s">
        <v>1219</v>
      </c>
      <c r="H134" t="s">
        <v>1210</v>
      </c>
    </row>
    <row r="135" spans="1:8" x14ac:dyDescent="0.45">
      <c r="A135" t="s">
        <v>247</v>
      </c>
      <c r="B135" t="s">
        <v>1223</v>
      </c>
      <c r="C135" t="s">
        <v>1127</v>
      </c>
      <c r="D135" t="s">
        <v>81</v>
      </c>
      <c r="E135">
        <v>1020</v>
      </c>
      <c r="F135" t="s">
        <v>1220</v>
      </c>
      <c r="G135" t="s">
        <v>1219</v>
      </c>
      <c r="H135" t="s">
        <v>1210</v>
      </c>
    </row>
    <row r="136" spans="1:8" x14ac:dyDescent="0.45">
      <c r="A136" t="s">
        <v>248</v>
      </c>
      <c r="B136" t="s">
        <v>1217</v>
      </c>
      <c r="C136" t="s">
        <v>1115</v>
      </c>
      <c r="D136" t="s">
        <v>1132</v>
      </c>
      <c r="E136">
        <v>380</v>
      </c>
      <c r="F136" t="s">
        <v>1220</v>
      </c>
      <c r="G136" t="s">
        <v>1219</v>
      </c>
      <c r="H136" t="s">
        <v>1210</v>
      </c>
    </row>
    <row r="137" spans="1:8" x14ac:dyDescent="0.45">
      <c r="A137" t="s">
        <v>249</v>
      </c>
      <c r="B137" t="s">
        <v>1223</v>
      </c>
      <c r="C137" t="s">
        <v>1121</v>
      </c>
      <c r="D137" t="s">
        <v>1137</v>
      </c>
      <c r="E137">
        <v>1929</v>
      </c>
      <c r="F137" t="s">
        <v>1224</v>
      </c>
      <c r="G137" t="s">
        <v>1219</v>
      </c>
      <c r="H137" t="s">
        <v>1210</v>
      </c>
    </row>
    <row r="138" spans="1:8" x14ac:dyDescent="0.45">
      <c r="A138" t="s">
        <v>250</v>
      </c>
      <c r="B138" t="s">
        <v>1217</v>
      </c>
      <c r="C138" t="s">
        <v>1115</v>
      </c>
      <c r="D138" t="s">
        <v>1135</v>
      </c>
      <c r="E138">
        <v>1442</v>
      </c>
      <c r="F138" t="s">
        <v>1220</v>
      </c>
      <c r="G138" t="s">
        <v>1219</v>
      </c>
      <c r="H138" t="s">
        <v>1210</v>
      </c>
    </row>
    <row r="139" spans="1:8" x14ac:dyDescent="0.45">
      <c r="A139" t="s">
        <v>251</v>
      </c>
      <c r="B139" t="s">
        <v>1225</v>
      </c>
      <c r="C139" t="s">
        <v>1128</v>
      </c>
      <c r="D139" t="s">
        <v>68</v>
      </c>
      <c r="E139">
        <v>590</v>
      </c>
      <c r="F139" t="s">
        <v>1220</v>
      </c>
      <c r="G139" t="s">
        <v>1219</v>
      </c>
      <c r="H139" t="s">
        <v>1210</v>
      </c>
    </row>
    <row r="140" spans="1:8" x14ac:dyDescent="0.45">
      <c r="A140" t="s">
        <v>252</v>
      </c>
      <c r="B140" t="s">
        <v>1225</v>
      </c>
      <c r="C140" t="s">
        <v>1125</v>
      </c>
      <c r="D140" t="s">
        <v>97</v>
      </c>
      <c r="E140">
        <v>2137</v>
      </c>
      <c r="F140" t="s">
        <v>1227</v>
      </c>
      <c r="G140" t="s">
        <v>1219</v>
      </c>
      <c r="H140" t="s">
        <v>1210</v>
      </c>
    </row>
    <row r="141" spans="1:8" x14ac:dyDescent="0.45">
      <c r="A141" t="s">
        <v>253</v>
      </c>
      <c r="B141" t="s">
        <v>1217</v>
      </c>
      <c r="C141" t="s">
        <v>1116</v>
      </c>
      <c r="D141" t="s">
        <v>71</v>
      </c>
      <c r="E141">
        <v>1895</v>
      </c>
      <c r="F141" t="s">
        <v>1224</v>
      </c>
      <c r="G141" t="s">
        <v>1219</v>
      </c>
      <c r="H141" t="s">
        <v>1210</v>
      </c>
    </row>
    <row r="142" spans="1:8" x14ac:dyDescent="0.45">
      <c r="A142" t="s">
        <v>254</v>
      </c>
      <c r="B142" t="s">
        <v>1225</v>
      </c>
      <c r="C142" t="s">
        <v>1119</v>
      </c>
      <c r="D142" t="s">
        <v>1130</v>
      </c>
      <c r="E142">
        <v>518</v>
      </c>
      <c r="F142" t="s">
        <v>1224</v>
      </c>
      <c r="G142" t="s">
        <v>1219</v>
      </c>
      <c r="H142" t="s">
        <v>1210</v>
      </c>
    </row>
    <row r="143" spans="1:8" x14ac:dyDescent="0.45">
      <c r="A143" t="s">
        <v>255</v>
      </c>
      <c r="B143" t="s">
        <v>1225</v>
      </c>
      <c r="C143" t="s">
        <v>1128</v>
      </c>
      <c r="D143" t="s">
        <v>31</v>
      </c>
      <c r="E143">
        <v>2509</v>
      </c>
      <c r="F143" t="s">
        <v>1220</v>
      </c>
      <c r="G143" t="s">
        <v>1219</v>
      </c>
      <c r="H143" t="s">
        <v>1210</v>
      </c>
    </row>
    <row r="144" spans="1:8" x14ac:dyDescent="0.45">
      <c r="A144" t="s">
        <v>256</v>
      </c>
      <c r="B144" t="s">
        <v>1225</v>
      </c>
      <c r="C144" t="s">
        <v>1128</v>
      </c>
      <c r="D144" t="s">
        <v>1137</v>
      </c>
      <c r="E144">
        <v>1158</v>
      </c>
      <c r="F144" t="s">
        <v>1220</v>
      </c>
      <c r="G144" t="s">
        <v>1219</v>
      </c>
      <c r="H144" t="s">
        <v>1210</v>
      </c>
    </row>
    <row r="145" spans="1:8" x14ac:dyDescent="0.45">
      <c r="A145" t="s">
        <v>257</v>
      </c>
      <c r="B145" t="s">
        <v>1217</v>
      </c>
      <c r="C145" t="s">
        <v>1114</v>
      </c>
      <c r="D145" t="s">
        <v>103</v>
      </c>
      <c r="E145">
        <v>1180</v>
      </c>
      <c r="F145" t="s">
        <v>1220</v>
      </c>
      <c r="G145" t="s">
        <v>1219</v>
      </c>
      <c r="H145" t="s">
        <v>1210</v>
      </c>
    </row>
    <row r="146" spans="1:8" x14ac:dyDescent="0.45">
      <c r="A146" t="s">
        <v>258</v>
      </c>
      <c r="B146" t="s">
        <v>1217</v>
      </c>
      <c r="C146" t="s">
        <v>1126</v>
      </c>
      <c r="D146" t="s">
        <v>57</v>
      </c>
      <c r="E146">
        <v>2304</v>
      </c>
      <c r="F146" t="s">
        <v>1224</v>
      </c>
      <c r="G146" t="s">
        <v>1219</v>
      </c>
      <c r="H146" t="s">
        <v>1210</v>
      </c>
    </row>
    <row r="147" spans="1:8" x14ac:dyDescent="0.45">
      <c r="A147" t="s">
        <v>259</v>
      </c>
      <c r="B147" t="s">
        <v>1217</v>
      </c>
      <c r="C147" t="s">
        <v>1115</v>
      </c>
      <c r="D147" t="s">
        <v>50</v>
      </c>
      <c r="E147">
        <v>2516</v>
      </c>
      <c r="F147" t="s">
        <v>1220</v>
      </c>
      <c r="G147" t="s">
        <v>1219</v>
      </c>
      <c r="H147" t="s">
        <v>1210</v>
      </c>
    </row>
    <row r="148" spans="1:8" x14ac:dyDescent="0.45">
      <c r="A148" t="s">
        <v>260</v>
      </c>
      <c r="B148" t="s">
        <v>1217</v>
      </c>
      <c r="C148" t="s">
        <v>1116</v>
      </c>
      <c r="D148" t="s">
        <v>39</v>
      </c>
      <c r="E148">
        <v>1333</v>
      </c>
      <c r="F148" t="s">
        <v>1229</v>
      </c>
      <c r="G148" t="s">
        <v>1219</v>
      </c>
      <c r="H148" t="s">
        <v>1210</v>
      </c>
    </row>
    <row r="149" spans="1:8" x14ac:dyDescent="0.45">
      <c r="A149" t="s">
        <v>261</v>
      </c>
      <c r="B149" t="s">
        <v>1217</v>
      </c>
      <c r="C149" t="s">
        <v>1114</v>
      </c>
      <c r="D149" t="s">
        <v>23</v>
      </c>
      <c r="E149">
        <v>2825</v>
      </c>
      <c r="F149" t="s">
        <v>1218</v>
      </c>
      <c r="G149" t="s">
        <v>1219</v>
      </c>
      <c r="H149" t="s">
        <v>1210</v>
      </c>
    </row>
    <row r="150" spans="1:8" x14ac:dyDescent="0.45">
      <c r="A150" t="s">
        <v>262</v>
      </c>
      <c r="B150" t="s">
        <v>1223</v>
      </c>
      <c r="C150" t="s">
        <v>1127</v>
      </c>
      <c r="D150" t="s">
        <v>92</v>
      </c>
      <c r="E150">
        <v>1757</v>
      </c>
      <c r="F150" t="s">
        <v>1224</v>
      </c>
      <c r="G150" t="s">
        <v>1219</v>
      </c>
      <c r="H150" t="s">
        <v>1210</v>
      </c>
    </row>
    <row r="151" spans="1:8" x14ac:dyDescent="0.45">
      <c r="A151" t="s">
        <v>263</v>
      </c>
      <c r="B151" t="s">
        <v>1223</v>
      </c>
      <c r="C151" t="s">
        <v>1122</v>
      </c>
      <c r="D151" t="s">
        <v>107</v>
      </c>
      <c r="E151">
        <v>2623</v>
      </c>
      <c r="F151" t="s">
        <v>1224</v>
      </c>
      <c r="G151" t="s">
        <v>1219</v>
      </c>
      <c r="H151" t="s">
        <v>1210</v>
      </c>
    </row>
    <row r="152" spans="1:8" x14ac:dyDescent="0.45">
      <c r="A152" t="s">
        <v>264</v>
      </c>
      <c r="B152" t="s">
        <v>1223</v>
      </c>
      <c r="C152" t="s">
        <v>1121</v>
      </c>
      <c r="D152" t="s">
        <v>55</v>
      </c>
      <c r="E152">
        <v>1798</v>
      </c>
      <c r="F152" t="s">
        <v>1224</v>
      </c>
      <c r="G152" t="s">
        <v>1219</v>
      </c>
      <c r="H152" t="s">
        <v>1210</v>
      </c>
    </row>
    <row r="153" spans="1:8" x14ac:dyDescent="0.45">
      <c r="A153" t="s">
        <v>265</v>
      </c>
      <c r="B153" t="s">
        <v>1225</v>
      </c>
      <c r="C153" t="s">
        <v>1119</v>
      </c>
      <c r="D153" t="s">
        <v>64</v>
      </c>
      <c r="E153">
        <v>3645</v>
      </c>
      <c r="F153" t="s">
        <v>1220</v>
      </c>
      <c r="G153" t="s">
        <v>1219</v>
      </c>
      <c r="H153" t="s">
        <v>1210</v>
      </c>
    </row>
    <row r="154" spans="1:8" x14ac:dyDescent="0.45">
      <c r="A154" t="s">
        <v>266</v>
      </c>
      <c r="B154" t="s">
        <v>1217</v>
      </c>
      <c r="C154" t="s">
        <v>1115</v>
      </c>
      <c r="D154" t="s">
        <v>29</v>
      </c>
      <c r="E154">
        <v>1536</v>
      </c>
      <c r="F154" t="s">
        <v>1224</v>
      </c>
      <c r="G154" t="s">
        <v>1219</v>
      </c>
      <c r="H154" t="s">
        <v>1210</v>
      </c>
    </row>
    <row r="155" spans="1:8" x14ac:dyDescent="0.45">
      <c r="A155" t="s">
        <v>267</v>
      </c>
      <c r="B155" t="s">
        <v>1217</v>
      </c>
      <c r="C155" t="s">
        <v>1114</v>
      </c>
      <c r="D155" t="s">
        <v>55</v>
      </c>
      <c r="E155">
        <v>1736</v>
      </c>
      <c r="F155" t="s">
        <v>1227</v>
      </c>
      <c r="G155" t="s">
        <v>1221</v>
      </c>
      <c r="H155" t="s">
        <v>1210</v>
      </c>
    </row>
    <row r="156" spans="1:8" x14ac:dyDescent="0.45">
      <c r="A156" t="s">
        <v>268</v>
      </c>
      <c r="B156" t="s">
        <v>1225</v>
      </c>
      <c r="C156" t="s">
        <v>1123</v>
      </c>
      <c r="D156" t="s">
        <v>105</v>
      </c>
      <c r="E156">
        <v>1198</v>
      </c>
      <c r="F156" t="s">
        <v>1224</v>
      </c>
      <c r="G156" t="s">
        <v>1219</v>
      </c>
      <c r="H156" t="s">
        <v>1210</v>
      </c>
    </row>
    <row r="157" spans="1:8" x14ac:dyDescent="0.45">
      <c r="A157" t="s">
        <v>269</v>
      </c>
      <c r="B157" t="s">
        <v>1223</v>
      </c>
      <c r="C157" t="s">
        <v>1127</v>
      </c>
      <c r="D157" t="s">
        <v>19</v>
      </c>
      <c r="E157">
        <v>1147</v>
      </c>
      <c r="F157" t="s">
        <v>1220</v>
      </c>
      <c r="G157" t="s">
        <v>1219</v>
      </c>
      <c r="H157" t="s">
        <v>1210</v>
      </c>
    </row>
    <row r="158" spans="1:8" x14ac:dyDescent="0.45">
      <c r="A158" t="s">
        <v>270</v>
      </c>
      <c r="B158" t="s">
        <v>1217</v>
      </c>
      <c r="C158" t="s">
        <v>1115</v>
      </c>
      <c r="D158" t="s">
        <v>1135</v>
      </c>
      <c r="E158">
        <v>1646</v>
      </c>
      <c r="F158" t="s">
        <v>1220</v>
      </c>
      <c r="G158" t="s">
        <v>1219</v>
      </c>
      <c r="H158" t="s">
        <v>1210</v>
      </c>
    </row>
    <row r="159" spans="1:8" x14ac:dyDescent="0.45">
      <c r="A159" t="s">
        <v>271</v>
      </c>
      <c r="B159" t="s">
        <v>1225</v>
      </c>
      <c r="C159" t="s">
        <v>1123</v>
      </c>
      <c r="D159" t="s">
        <v>93</v>
      </c>
      <c r="E159">
        <v>415</v>
      </c>
      <c r="F159" t="s">
        <v>1224</v>
      </c>
      <c r="G159" t="s">
        <v>1219</v>
      </c>
      <c r="H159" t="s">
        <v>1210</v>
      </c>
    </row>
    <row r="160" spans="1:8" x14ac:dyDescent="0.45">
      <c r="A160" t="s">
        <v>272</v>
      </c>
      <c r="B160" t="s">
        <v>1217</v>
      </c>
      <c r="C160" t="s">
        <v>1115</v>
      </c>
      <c r="D160" t="s">
        <v>31</v>
      </c>
      <c r="E160">
        <v>2305</v>
      </c>
      <c r="F160" t="s">
        <v>1224</v>
      </c>
      <c r="G160" t="s">
        <v>1219</v>
      </c>
      <c r="H160" t="s">
        <v>1210</v>
      </c>
    </row>
    <row r="161" spans="1:8" x14ac:dyDescent="0.45">
      <c r="A161" t="s">
        <v>273</v>
      </c>
      <c r="B161" t="s">
        <v>1223</v>
      </c>
      <c r="C161" t="s">
        <v>1127</v>
      </c>
      <c r="D161" t="s">
        <v>78</v>
      </c>
      <c r="E161">
        <v>1235</v>
      </c>
      <c r="F161" t="s">
        <v>1220</v>
      </c>
      <c r="G161" t="s">
        <v>1219</v>
      </c>
      <c r="H161" t="s">
        <v>1210</v>
      </c>
    </row>
    <row r="162" spans="1:8" x14ac:dyDescent="0.45">
      <c r="A162" t="s">
        <v>274</v>
      </c>
      <c r="B162" t="s">
        <v>1217</v>
      </c>
      <c r="C162" t="s">
        <v>1114</v>
      </c>
      <c r="D162" t="s">
        <v>37</v>
      </c>
      <c r="E162">
        <v>2215</v>
      </c>
      <c r="F162" t="s">
        <v>1224</v>
      </c>
      <c r="G162" t="s">
        <v>1219</v>
      </c>
      <c r="H162" t="s">
        <v>1210</v>
      </c>
    </row>
    <row r="163" spans="1:8" x14ac:dyDescent="0.45">
      <c r="A163" t="s">
        <v>275</v>
      </c>
      <c r="B163" t="s">
        <v>1217</v>
      </c>
      <c r="C163" t="s">
        <v>1115</v>
      </c>
      <c r="D163" t="s">
        <v>57</v>
      </c>
      <c r="E163">
        <v>1030</v>
      </c>
      <c r="F163" t="s">
        <v>1220</v>
      </c>
      <c r="G163" t="s">
        <v>1219</v>
      </c>
      <c r="H163" t="s">
        <v>1210</v>
      </c>
    </row>
    <row r="164" spans="1:8" x14ac:dyDescent="0.45">
      <c r="A164" t="s">
        <v>276</v>
      </c>
      <c r="B164" t="s">
        <v>1225</v>
      </c>
      <c r="C164" t="s">
        <v>1118</v>
      </c>
      <c r="D164" t="s">
        <v>70</v>
      </c>
      <c r="E164">
        <v>709</v>
      </c>
      <c r="F164" t="s">
        <v>1224</v>
      </c>
      <c r="G164" t="s">
        <v>1219</v>
      </c>
      <c r="H164" t="s">
        <v>1210</v>
      </c>
    </row>
    <row r="165" spans="1:8" x14ac:dyDescent="0.45">
      <c r="A165" t="s">
        <v>277</v>
      </c>
      <c r="B165" t="s">
        <v>1225</v>
      </c>
      <c r="C165" t="s">
        <v>1128</v>
      </c>
      <c r="D165" t="s">
        <v>1137</v>
      </c>
      <c r="E165">
        <v>0</v>
      </c>
      <c r="F165" t="s">
        <v>1220</v>
      </c>
      <c r="G165" t="s">
        <v>1219</v>
      </c>
      <c r="H165" t="s">
        <v>1210</v>
      </c>
    </row>
    <row r="166" spans="1:8" x14ac:dyDescent="0.45">
      <c r="A166" t="s">
        <v>278</v>
      </c>
      <c r="B166" t="s">
        <v>1223</v>
      </c>
      <c r="C166" t="s">
        <v>1127</v>
      </c>
      <c r="D166" t="s">
        <v>103</v>
      </c>
      <c r="E166">
        <v>1317</v>
      </c>
      <c r="F166" t="s">
        <v>1227</v>
      </c>
      <c r="G166" t="s">
        <v>1219</v>
      </c>
      <c r="H166" t="s">
        <v>1210</v>
      </c>
    </row>
    <row r="167" spans="1:8" x14ac:dyDescent="0.45">
      <c r="A167" t="s">
        <v>279</v>
      </c>
      <c r="B167" t="s">
        <v>1225</v>
      </c>
      <c r="C167" t="s">
        <v>1125</v>
      </c>
      <c r="D167" t="s">
        <v>52</v>
      </c>
      <c r="E167">
        <v>1706</v>
      </c>
      <c r="F167" t="s">
        <v>1218</v>
      </c>
      <c r="G167" t="s">
        <v>1219</v>
      </c>
      <c r="H167" t="s">
        <v>1210</v>
      </c>
    </row>
    <row r="168" spans="1:8" x14ac:dyDescent="0.45">
      <c r="A168" t="s">
        <v>280</v>
      </c>
      <c r="B168" t="s">
        <v>1225</v>
      </c>
      <c r="C168" t="s">
        <v>1125</v>
      </c>
      <c r="D168" t="s">
        <v>101</v>
      </c>
      <c r="E168">
        <v>2001</v>
      </c>
      <c r="F168" t="s">
        <v>1224</v>
      </c>
      <c r="G168" t="s">
        <v>1219</v>
      </c>
      <c r="H168" t="s">
        <v>1210</v>
      </c>
    </row>
    <row r="169" spans="1:8" x14ac:dyDescent="0.45">
      <c r="A169" t="s">
        <v>281</v>
      </c>
      <c r="B169" t="s">
        <v>1225</v>
      </c>
      <c r="C169" t="s">
        <v>1128</v>
      </c>
      <c r="D169" t="s">
        <v>99</v>
      </c>
      <c r="E169">
        <v>1036</v>
      </c>
      <c r="F169" t="s">
        <v>1220</v>
      </c>
      <c r="G169" t="s">
        <v>1219</v>
      </c>
      <c r="H169" t="s">
        <v>1210</v>
      </c>
    </row>
    <row r="170" spans="1:8" x14ac:dyDescent="0.45">
      <c r="A170" t="s">
        <v>282</v>
      </c>
      <c r="B170" t="s">
        <v>1223</v>
      </c>
      <c r="C170" t="s">
        <v>1117</v>
      </c>
      <c r="D170" t="s">
        <v>23</v>
      </c>
      <c r="E170">
        <v>2910</v>
      </c>
      <c r="F170" t="s">
        <v>1224</v>
      </c>
      <c r="G170" t="s">
        <v>1219</v>
      </c>
      <c r="H170" t="s">
        <v>1210</v>
      </c>
    </row>
    <row r="171" spans="1:8" x14ac:dyDescent="0.45">
      <c r="A171" t="s">
        <v>283</v>
      </c>
      <c r="B171" t="s">
        <v>1223</v>
      </c>
      <c r="C171" t="s">
        <v>1117</v>
      </c>
      <c r="D171" t="s">
        <v>1139</v>
      </c>
      <c r="E171">
        <v>768</v>
      </c>
      <c r="F171" t="s">
        <v>1224</v>
      </c>
      <c r="G171" t="s">
        <v>1219</v>
      </c>
      <c r="H171" t="s">
        <v>1210</v>
      </c>
    </row>
    <row r="172" spans="1:8" x14ac:dyDescent="0.45">
      <c r="A172" t="s">
        <v>284</v>
      </c>
      <c r="B172" t="s">
        <v>1223</v>
      </c>
      <c r="C172" t="s">
        <v>1122</v>
      </c>
      <c r="D172" t="s">
        <v>52</v>
      </c>
      <c r="E172">
        <v>1863</v>
      </c>
      <c r="F172" t="s">
        <v>1224</v>
      </c>
      <c r="G172" t="s">
        <v>1219</v>
      </c>
      <c r="H172" t="s">
        <v>1210</v>
      </c>
    </row>
    <row r="173" spans="1:8" x14ac:dyDescent="0.45">
      <c r="A173" t="s">
        <v>285</v>
      </c>
      <c r="B173" t="s">
        <v>1223</v>
      </c>
      <c r="C173" t="s">
        <v>1121</v>
      </c>
      <c r="D173" t="s">
        <v>107</v>
      </c>
      <c r="E173">
        <v>2718</v>
      </c>
      <c r="F173" t="s">
        <v>1224</v>
      </c>
      <c r="G173" t="s">
        <v>1219</v>
      </c>
      <c r="H173" t="s">
        <v>1210</v>
      </c>
    </row>
    <row r="174" spans="1:8" x14ac:dyDescent="0.45">
      <c r="A174" t="s">
        <v>286</v>
      </c>
      <c r="B174" t="s">
        <v>1223</v>
      </c>
      <c r="C174" t="s">
        <v>1122</v>
      </c>
      <c r="D174" t="s">
        <v>1133</v>
      </c>
      <c r="E174">
        <v>1098</v>
      </c>
      <c r="F174" t="s">
        <v>1227</v>
      </c>
      <c r="G174" t="s">
        <v>1219</v>
      </c>
      <c r="H174" t="s">
        <v>1210</v>
      </c>
    </row>
    <row r="175" spans="1:8" x14ac:dyDescent="0.45">
      <c r="A175" t="s">
        <v>287</v>
      </c>
      <c r="B175" t="s">
        <v>1217</v>
      </c>
      <c r="C175" t="s">
        <v>1116</v>
      </c>
      <c r="D175" t="s">
        <v>89</v>
      </c>
      <c r="E175">
        <v>1515</v>
      </c>
      <c r="F175" t="s">
        <v>1224</v>
      </c>
      <c r="G175" t="s">
        <v>1219</v>
      </c>
      <c r="H175" t="s">
        <v>1210</v>
      </c>
    </row>
    <row r="176" spans="1:8" x14ac:dyDescent="0.45">
      <c r="A176" t="s">
        <v>288</v>
      </c>
      <c r="B176" t="s">
        <v>1217</v>
      </c>
      <c r="C176" t="s">
        <v>1114</v>
      </c>
      <c r="D176" t="s">
        <v>100</v>
      </c>
      <c r="E176">
        <v>2204</v>
      </c>
      <c r="F176" t="s">
        <v>1220</v>
      </c>
      <c r="G176" t="s">
        <v>1219</v>
      </c>
      <c r="H176" t="s">
        <v>1210</v>
      </c>
    </row>
    <row r="177" spans="1:8" x14ac:dyDescent="0.45">
      <c r="A177" t="s">
        <v>289</v>
      </c>
      <c r="B177" t="s">
        <v>1225</v>
      </c>
      <c r="C177" t="s">
        <v>1118</v>
      </c>
      <c r="D177" t="s">
        <v>84</v>
      </c>
      <c r="E177">
        <v>819</v>
      </c>
      <c r="F177" t="s">
        <v>1220</v>
      </c>
      <c r="G177" t="s">
        <v>1219</v>
      </c>
      <c r="H177" t="s">
        <v>1210</v>
      </c>
    </row>
    <row r="178" spans="1:8" x14ac:dyDescent="0.45">
      <c r="A178" t="s">
        <v>290</v>
      </c>
      <c r="B178" t="s">
        <v>1223</v>
      </c>
      <c r="C178" t="s">
        <v>1122</v>
      </c>
      <c r="D178" t="s">
        <v>89</v>
      </c>
      <c r="E178">
        <v>645</v>
      </c>
      <c r="F178" t="s">
        <v>1224</v>
      </c>
      <c r="G178" t="s">
        <v>1219</v>
      </c>
      <c r="H178" t="s">
        <v>1210</v>
      </c>
    </row>
    <row r="179" spans="1:8" x14ac:dyDescent="0.45">
      <c r="A179" t="s">
        <v>291</v>
      </c>
      <c r="B179" t="s">
        <v>1217</v>
      </c>
      <c r="C179" t="s">
        <v>1120</v>
      </c>
      <c r="D179" t="s">
        <v>8</v>
      </c>
      <c r="E179">
        <v>2421</v>
      </c>
      <c r="F179" t="s">
        <v>1224</v>
      </c>
      <c r="G179" t="s">
        <v>1219</v>
      </c>
      <c r="H179" t="s">
        <v>1210</v>
      </c>
    </row>
    <row r="180" spans="1:8" x14ac:dyDescent="0.45">
      <c r="A180" t="s">
        <v>292</v>
      </c>
      <c r="B180" t="s">
        <v>1225</v>
      </c>
      <c r="C180" t="s">
        <v>1118</v>
      </c>
      <c r="D180" t="s">
        <v>97</v>
      </c>
      <c r="E180">
        <v>1008</v>
      </c>
      <c r="F180" t="s">
        <v>1227</v>
      </c>
      <c r="G180" t="s">
        <v>1219</v>
      </c>
      <c r="H180" t="s">
        <v>1210</v>
      </c>
    </row>
    <row r="181" spans="1:8" x14ac:dyDescent="0.45">
      <c r="A181" t="s">
        <v>293</v>
      </c>
      <c r="B181" t="s">
        <v>1223</v>
      </c>
      <c r="C181" t="s">
        <v>1121</v>
      </c>
      <c r="D181" t="s">
        <v>59</v>
      </c>
      <c r="E181">
        <v>614</v>
      </c>
      <c r="F181" t="s">
        <v>1224</v>
      </c>
      <c r="G181" t="s">
        <v>1219</v>
      </c>
      <c r="H181" t="s">
        <v>1210</v>
      </c>
    </row>
    <row r="182" spans="1:8" x14ac:dyDescent="0.45">
      <c r="A182" t="s">
        <v>294</v>
      </c>
      <c r="B182" t="s">
        <v>1217</v>
      </c>
      <c r="C182" t="s">
        <v>1126</v>
      </c>
      <c r="D182" t="s">
        <v>108</v>
      </c>
      <c r="E182">
        <v>347</v>
      </c>
      <c r="F182" t="s">
        <v>1224</v>
      </c>
      <c r="G182" t="s">
        <v>1219</v>
      </c>
      <c r="H182" t="s">
        <v>1210</v>
      </c>
    </row>
    <row r="183" spans="1:8" x14ac:dyDescent="0.45">
      <c r="A183" t="s">
        <v>295</v>
      </c>
      <c r="B183" t="s">
        <v>1225</v>
      </c>
      <c r="C183" t="s">
        <v>1119</v>
      </c>
      <c r="D183" t="s">
        <v>1129</v>
      </c>
      <c r="E183">
        <v>2595</v>
      </c>
      <c r="F183" t="s">
        <v>1220</v>
      </c>
      <c r="G183" t="s">
        <v>1219</v>
      </c>
      <c r="H183" t="s">
        <v>1210</v>
      </c>
    </row>
    <row r="184" spans="1:8" x14ac:dyDescent="0.45">
      <c r="A184" t="s">
        <v>296</v>
      </c>
      <c r="B184" t="s">
        <v>1217</v>
      </c>
      <c r="C184" t="s">
        <v>1115</v>
      </c>
      <c r="D184" t="s">
        <v>76</v>
      </c>
      <c r="E184">
        <v>1145</v>
      </c>
      <c r="F184" t="s">
        <v>1220</v>
      </c>
      <c r="G184" t="s">
        <v>1219</v>
      </c>
      <c r="H184" t="s">
        <v>1210</v>
      </c>
    </row>
    <row r="185" spans="1:8" x14ac:dyDescent="0.45">
      <c r="A185" t="s">
        <v>297</v>
      </c>
      <c r="B185" t="s">
        <v>1225</v>
      </c>
      <c r="C185" t="s">
        <v>1125</v>
      </c>
      <c r="D185" t="s">
        <v>54</v>
      </c>
      <c r="E185">
        <v>1788</v>
      </c>
      <c r="F185" t="s">
        <v>1227</v>
      </c>
      <c r="G185" t="s">
        <v>1219</v>
      </c>
      <c r="H185" t="s">
        <v>1210</v>
      </c>
    </row>
    <row r="186" spans="1:8" x14ac:dyDescent="0.45">
      <c r="A186" t="s">
        <v>298</v>
      </c>
      <c r="B186" t="s">
        <v>1225</v>
      </c>
      <c r="C186" t="s">
        <v>1125</v>
      </c>
      <c r="D186" t="s">
        <v>108</v>
      </c>
      <c r="E186">
        <v>1159</v>
      </c>
      <c r="F186" t="s">
        <v>1218</v>
      </c>
      <c r="G186" t="s">
        <v>1219</v>
      </c>
      <c r="H186" t="s">
        <v>1210</v>
      </c>
    </row>
    <row r="187" spans="1:8" x14ac:dyDescent="0.45">
      <c r="A187" t="s">
        <v>299</v>
      </c>
      <c r="B187" t="s">
        <v>1217</v>
      </c>
      <c r="C187" t="s">
        <v>1114</v>
      </c>
      <c r="D187" t="s">
        <v>41</v>
      </c>
      <c r="E187">
        <v>3205</v>
      </c>
      <c r="F187" t="s">
        <v>1235</v>
      </c>
      <c r="G187" t="s">
        <v>1219</v>
      </c>
      <c r="H187" t="s">
        <v>1210</v>
      </c>
    </row>
    <row r="188" spans="1:8" x14ac:dyDescent="0.45">
      <c r="A188" t="s">
        <v>300</v>
      </c>
      <c r="B188" t="s">
        <v>1223</v>
      </c>
      <c r="C188" t="s">
        <v>1122</v>
      </c>
      <c r="D188" t="s">
        <v>53</v>
      </c>
      <c r="E188">
        <v>1397</v>
      </c>
      <c r="F188" t="s">
        <v>1224</v>
      </c>
      <c r="G188" t="s">
        <v>1219</v>
      </c>
      <c r="H188" t="s">
        <v>1210</v>
      </c>
    </row>
    <row r="189" spans="1:8" x14ac:dyDescent="0.45">
      <c r="A189" t="s">
        <v>301</v>
      </c>
      <c r="B189" t="s">
        <v>1217</v>
      </c>
      <c r="C189" t="s">
        <v>1126</v>
      </c>
      <c r="D189" t="s">
        <v>56</v>
      </c>
      <c r="E189">
        <v>1287</v>
      </c>
      <c r="F189" t="s">
        <v>1224</v>
      </c>
      <c r="G189" t="s">
        <v>1219</v>
      </c>
      <c r="H189" t="s">
        <v>1210</v>
      </c>
    </row>
    <row r="190" spans="1:8" x14ac:dyDescent="0.45">
      <c r="A190" t="s">
        <v>302</v>
      </c>
      <c r="B190" t="s">
        <v>1223</v>
      </c>
      <c r="C190" t="s">
        <v>1121</v>
      </c>
      <c r="D190" t="s">
        <v>81</v>
      </c>
      <c r="E190">
        <v>1103</v>
      </c>
      <c r="F190" t="s">
        <v>1224</v>
      </c>
      <c r="G190" t="s">
        <v>1221</v>
      </c>
      <c r="H190" t="s">
        <v>1210</v>
      </c>
    </row>
    <row r="191" spans="1:8" x14ac:dyDescent="0.45">
      <c r="A191" t="s">
        <v>303</v>
      </c>
      <c r="B191" t="s">
        <v>1223</v>
      </c>
      <c r="C191" t="s">
        <v>1121</v>
      </c>
      <c r="D191" t="s">
        <v>15</v>
      </c>
      <c r="E191">
        <v>1158</v>
      </c>
      <c r="F191" t="s">
        <v>1220</v>
      </c>
      <c r="G191" t="s">
        <v>1219</v>
      </c>
      <c r="H191" t="s">
        <v>1210</v>
      </c>
    </row>
    <row r="192" spans="1:8" x14ac:dyDescent="0.45">
      <c r="A192" t="s">
        <v>304</v>
      </c>
      <c r="B192" t="s">
        <v>1223</v>
      </c>
      <c r="C192" t="s">
        <v>1121</v>
      </c>
      <c r="D192" t="s">
        <v>78</v>
      </c>
      <c r="E192">
        <v>1706</v>
      </c>
      <c r="F192" t="s">
        <v>1224</v>
      </c>
      <c r="G192" t="s">
        <v>1219</v>
      </c>
      <c r="H192" t="s">
        <v>1210</v>
      </c>
    </row>
    <row r="193" spans="1:8" x14ac:dyDescent="0.45">
      <c r="A193" t="s">
        <v>305</v>
      </c>
      <c r="B193" t="s">
        <v>1225</v>
      </c>
      <c r="C193" t="s">
        <v>1119</v>
      </c>
      <c r="D193" t="s">
        <v>76</v>
      </c>
      <c r="E193">
        <v>602</v>
      </c>
      <c r="F193" t="s">
        <v>1227</v>
      </c>
      <c r="G193" t="s">
        <v>1219</v>
      </c>
      <c r="H193" t="s">
        <v>1210</v>
      </c>
    </row>
    <row r="194" spans="1:8" x14ac:dyDescent="0.45">
      <c r="A194" t="s">
        <v>306</v>
      </c>
      <c r="B194" t="s">
        <v>1225</v>
      </c>
      <c r="C194" t="s">
        <v>1123</v>
      </c>
      <c r="D194" t="s">
        <v>68</v>
      </c>
      <c r="E194">
        <v>1147</v>
      </c>
      <c r="F194" t="s">
        <v>1224</v>
      </c>
      <c r="G194" t="s">
        <v>1221</v>
      </c>
      <c r="H194" t="s">
        <v>1210</v>
      </c>
    </row>
    <row r="195" spans="1:8" x14ac:dyDescent="0.45">
      <c r="A195" t="s">
        <v>307</v>
      </c>
      <c r="B195" t="s">
        <v>1223</v>
      </c>
      <c r="C195" t="s">
        <v>1127</v>
      </c>
      <c r="D195" t="s">
        <v>107</v>
      </c>
      <c r="E195">
        <v>2526</v>
      </c>
      <c r="F195" t="s">
        <v>1224</v>
      </c>
      <c r="G195" t="s">
        <v>1219</v>
      </c>
      <c r="H195" t="s">
        <v>1210</v>
      </c>
    </row>
    <row r="196" spans="1:8" x14ac:dyDescent="0.45">
      <c r="A196" t="s">
        <v>308</v>
      </c>
      <c r="B196" t="s">
        <v>1223</v>
      </c>
      <c r="C196" t="s">
        <v>1122</v>
      </c>
      <c r="D196" t="s">
        <v>98</v>
      </c>
      <c r="E196">
        <v>2153</v>
      </c>
      <c r="F196" t="s">
        <v>1224</v>
      </c>
      <c r="G196" t="s">
        <v>1219</v>
      </c>
      <c r="H196" t="s">
        <v>1210</v>
      </c>
    </row>
    <row r="197" spans="1:8" x14ac:dyDescent="0.45">
      <c r="A197" t="s">
        <v>309</v>
      </c>
      <c r="B197" t="s">
        <v>1225</v>
      </c>
      <c r="C197" t="s">
        <v>1125</v>
      </c>
      <c r="D197" t="s">
        <v>93</v>
      </c>
      <c r="E197">
        <v>1339</v>
      </c>
      <c r="F197" t="s">
        <v>1224</v>
      </c>
      <c r="G197" t="s">
        <v>1219</v>
      </c>
      <c r="H197" t="s">
        <v>1210</v>
      </c>
    </row>
    <row r="198" spans="1:8" x14ac:dyDescent="0.45">
      <c r="A198" t="s">
        <v>310</v>
      </c>
      <c r="B198" t="s">
        <v>1225</v>
      </c>
      <c r="C198" t="s">
        <v>1128</v>
      </c>
      <c r="D198" t="s">
        <v>30</v>
      </c>
      <c r="E198">
        <v>1653</v>
      </c>
      <c r="F198" t="s">
        <v>1220</v>
      </c>
      <c r="G198" t="s">
        <v>1219</v>
      </c>
      <c r="H198" t="s">
        <v>1210</v>
      </c>
    </row>
    <row r="199" spans="1:8" x14ac:dyDescent="0.45">
      <c r="A199" t="s">
        <v>311</v>
      </c>
      <c r="B199" t="s">
        <v>1223</v>
      </c>
      <c r="C199" t="s">
        <v>1122</v>
      </c>
      <c r="D199" t="s">
        <v>48</v>
      </c>
      <c r="E199">
        <v>777</v>
      </c>
      <c r="F199" t="s">
        <v>1224</v>
      </c>
      <c r="G199" t="s">
        <v>1219</v>
      </c>
      <c r="H199" t="s">
        <v>1210</v>
      </c>
    </row>
    <row r="200" spans="1:8" x14ac:dyDescent="0.45">
      <c r="A200" t="s">
        <v>312</v>
      </c>
      <c r="B200" t="s">
        <v>1217</v>
      </c>
      <c r="C200" t="s">
        <v>1114</v>
      </c>
      <c r="D200" t="s">
        <v>54</v>
      </c>
      <c r="E200">
        <v>1660</v>
      </c>
      <c r="F200" t="s">
        <v>1218</v>
      </c>
      <c r="G200" t="s">
        <v>1219</v>
      </c>
      <c r="H200" t="s">
        <v>1210</v>
      </c>
    </row>
    <row r="201" spans="1:8" x14ac:dyDescent="0.45">
      <c r="A201" t="s">
        <v>313</v>
      </c>
      <c r="B201" t="s">
        <v>1225</v>
      </c>
      <c r="C201" t="s">
        <v>1119</v>
      </c>
      <c r="D201" t="s">
        <v>91</v>
      </c>
      <c r="E201">
        <v>1639</v>
      </c>
      <c r="F201" t="s">
        <v>1227</v>
      </c>
      <c r="G201" t="s">
        <v>1219</v>
      </c>
      <c r="H201" t="s">
        <v>1210</v>
      </c>
    </row>
    <row r="202" spans="1:8" x14ac:dyDescent="0.45">
      <c r="A202" t="s">
        <v>314</v>
      </c>
      <c r="B202" t="s">
        <v>1223</v>
      </c>
      <c r="C202" t="s">
        <v>1124</v>
      </c>
      <c r="D202" t="s">
        <v>29</v>
      </c>
      <c r="E202">
        <v>1691</v>
      </c>
      <c r="F202" t="s">
        <v>1224</v>
      </c>
      <c r="G202" t="s">
        <v>1219</v>
      </c>
      <c r="H202" t="s">
        <v>1210</v>
      </c>
    </row>
    <row r="203" spans="1:8" x14ac:dyDescent="0.45">
      <c r="A203" t="s">
        <v>315</v>
      </c>
      <c r="B203" t="s">
        <v>1225</v>
      </c>
      <c r="C203" t="s">
        <v>1118</v>
      </c>
      <c r="D203" t="s">
        <v>103</v>
      </c>
      <c r="E203">
        <v>368</v>
      </c>
      <c r="F203" t="s">
        <v>1227</v>
      </c>
      <c r="G203" t="s">
        <v>1219</v>
      </c>
      <c r="H203" t="s">
        <v>1210</v>
      </c>
    </row>
    <row r="204" spans="1:8" x14ac:dyDescent="0.45">
      <c r="A204" t="s">
        <v>316</v>
      </c>
      <c r="B204" t="s">
        <v>1217</v>
      </c>
      <c r="C204" t="s">
        <v>1126</v>
      </c>
      <c r="D204" t="s">
        <v>109</v>
      </c>
      <c r="E204">
        <v>1916</v>
      </c>
      <c r="F204" t="s">
        <v>1224</v>
      </c>
      <c r="G204" t="s">
        <v>1219</v>
      </c>
      <c r="H204" t="s">
        <v>1210</v>
      </c>
    </row>
    <row r="205" spans="1:8" x14ac:dyDescent="0.45">
      <c r="A205" t="s">
        <v>317</v>
      </c>
      <c r="B205" t="s">
        <v>1223</v>
      </c>
      <c r="C205" t="s">
        <v>1117</v>
      </c>
      <c r="D205" t="s">
        <v>97</v>
      </c>
      <c r="E205">
        <v>850</v>
      </c>
      <c r="F205" t="s">
        <v>1224</v>
      </c>
      <c r="G205" t="s">
        <v>1219</v>
      </c>
      <c r="H205" t="s">
        <v>1210</v>
      </c>
    </row>
    <row r="206" spans="1:8" x14ac:dyDescent="0.45">
      <c r="A206" t="s">
        <v>318</v>
      </c>
      <c r="B206" t="s">
        <v>1225</v>
      </c>
      <c r="C206" t="s">
        <v>1118</v>
      </c>
      <c r="D206" t="s">
        <v>75</v>
      </c>
      <c r="E206">
        <v>852</v>
      </c>
      <c r="F206" t="s">
        <v>1229</v>
      </c>
      <c r="G206" t="s">
        <v>1219</v>
      </c>
      <c r="H206" t="s">
        <v>1210</v>
      </c>
    </row>
    <row r="207" spans="1:8" x14ac:dyDescent="0.45">
      <c r="A207" t="s">
        <v>319</v>
      </c>
      <c r="B207" t="s">
        <v>1225</v>
      </c>
      <c r="C207" t="s">
        <v>1123</v>
      </c>
      <c r="D207" t="s">
        <v>43</v>
      </c>
      <c r="E207">
        <v>2372</v>
      </c>
      <c r="F207" t="s">
        <v>1224</v>
      </c>
      <c r="G207" t="s">
        <v>1219</v>
      </c>
      <c r="H207" t="s">
        <v>1210</v>
      </c>
    </row>
    <row r="208" spans="1:8" x14ac:dyDescent="0.45">
      <c r="A208" t="s">
        <v>320</v>
      </c>
      <c r="B208" t="s">
        <v>1225</v>
      </c>
      <c r="C208" t="s">
        <v>1118</v>
      </c>
      <c r="D208" t="s">
        <v>81</v>
      </c>
      <c r="E208">
        <v>1107</v>
      </c>
      <c r="F208" t="s">
        <v>1224</v>
      </c>
      <c r="G208" t="s">
        <v>1219</v>
      </c>
      <c r="H208" t="s">
        <v>1210</v>
      </c>
    </row>
    <row r="209" spans="1:8" x14ac:dyDescent="0.45">
      <c r="A209" t="s">
        <v>321</v>
      </c>
      <c r="B209" t="s">
        <v>1217</v>
      </c>
      <c r="C209" t="s">
        <v>1116</v>
      </c>
      <c r="D209" t="s">
        <v>23</v>
      </c>
      <c r="E209">
        <v>2449</v>
      </c>
      <c r="F209" t="s">
        <v>1224</v>
      </c>
      <c r="G209" t="s">
        <v>1219</v>
      </c>
      <c r="H209" t="s">
        <v>1210</v>
      </c>
    </row>
    <row r="210" spans="1:8" x14ac:dyDescent="0.45">
      <c r="A210" t="s">
        <v>322</v>
      </c>
      <c r="B210" t="s">
        <v>1223</v>
      </c>
      <c r="C210" t="s">
        <v>1122</v>
      </c>
      <c r="D210" t="s">
        <v>55</v>
      </c>
      <c r="E210">
        <v>2068</v>
      </c>
      <c r="F210" t="s">
        <v>1220</v>
      </c>
      <c r="G210" t="s">
        <v>1219</v>
      </c>
      <c r="H210" t="s">
        <v>1210</v>
      </c>
    </row>
    <row r="211" spans="1:8" x14ac:dyDescent="0.45">
      <c r="A211" t="s">
        <v>323</v>
      </c>
      <c r="B211" t="s">
        <v>1217</v>
      </c>
      <c r="C211" t="s">
        <v>1126</v>
      </c>
      <c r="D211" t="s">
        <v>69</v>
      </c>
      <c r="E211">
        <v>1576</v>
      </c>
      <c r="F211" t="s">
        <v>1224</v>
      </c>
      <c r="G211" t="s">
        <v>1219</v>
      </c>
      <c r="H211" t="s">
        <v>1210</v>
      </c>
    </row>
    <row r="212" spans="1:8" x14ac:dyDescent="0.45">
      <c r="A212" t="s">
        <v>324</v>
      </c>
      <c r="B212" t="s">
        <v>1223</v>
      </c>
      <c r="C212" t="s">
        <v>1122</v>
      </c>
      <c r="D212" t="s">
        <v>87</v>
      </c>
      <c r="E212">
        <v>1125</v>
      </c>
      <c r="F212" t="s">
        <v>1224</v>
      </c>
      <c r="G212" t="s">
        <v>1219</v>
      </c>
      <c r="H212" t="s">
        <v>1210</v>
      </c>
    </row>
    <row r="213" spans="1:8" x14ac:dyDescent="0.45">
      <c r="A213" t="s">
        <v>325</v>
      </c>
      <c r="B213" t="s">
        <v>1217</v>
      </c>
      <c r="C213" t="s">
        <v>1115</v>
      </c>
      <c r="D213" t="s">
        <v>88</v>
      </c>
      <c r="E213">
        <v>1862</v>
      </c>
      <c r="F213" t="s">
        <v>1224</v>
      </c>
      <c r="G213" t="s">
        <v>1219</v>
      </c>
      <c r="H213" t="s">
        <v>1210</v>
      </c>
    </row>
    <row r="214" spans="1:8" x14ac:dyDescent="0.45">
      <c r="A214" t="s">
        <v>326</v>
      </c>
      <c r="B214" t="s">
        <v>1225</v>
      </c>
      <c r="C214" t="s">
        <v>1128</v>
      </c>
      <c r="D214" t="s">
        <v>75</v>
      </c>
      <c r="E214">
        <v>781</v>
      </c>
      <c r="F214" t="s">
        <v>1224</v>
      </c>
      <c r="G214" t="s">
        <v>1219</v>
      </c>
      <c r="H214" t="s">
        <v>1210</v>
      </c>
    </row>
    <row r="215" spans="1:8" x14ac:dyDescent="0.45">
      <c r="A215" t="s">
        <v>327</v>
      </c>
      <c r="B215" t="s">
        <v>1225</v>
      </c>
      <c r="C215" t="s">
        <v>1119</v>
      </c>
      <c r="D215" t="s">
        <v>19</v>
      </c>
      <c r="E215">
        <v>647</v>
      </c>
      <c r="F215" t="s">
        <v>1227</v>
      </c>
      <c r="G215" t="s">
        <v>1219</v>
      </c>
      <c r="H215" t="s">
        <v>1210</v>
      </c>
    </row>
    <row r="216" spans="1:8" x14ac:dyDescent="0.45">
      <c r="A216" t="s">
        <v>328</v>
      </c>
      <c r="B216" t="s">
        <v>1217</v>
      </c>
      <c r="C216" t="s">
        <v>1114</v>
      </c>
      <c r="D216" t="s">
        <v>1136</v>
      </c>
      <c r="E216">
        <v>474</v>
      </c>
      <c r="F216" t="s">
        <v>1227</v>
      </c>
      <c r="G216" t="s">
        <v>1219</v>
      </c>
      <c r="H216" t="s">
        <v>1210</v>
      </c>
    </row>
    <row r="217" spans="1:8" x14ac:dyDescent="0.45">
      <c r="A217" t="s">
        <v>329</v>
      </c>
      <c r="B217" t="s">
        <v>1217</v>
      </c>
      <c r="C217" t="s">
        <v>1120</v>
      </c>
      <c r="D217" t="s">
        <v>1135</v>
      </c>
      <c r="E217">
        <v>690</v>
      </c>
      <c r="F217" t="s">
        <v>1220</v>
      </c>
      <c r="G217" t="s">
        <v>1219</v>
      </c>
      <c r="H217" t="s">
        <v>1210</v>
      </c>
    </row>
    <row r="218" spans="1:8" x14ac:dyDescent="0.45">
      <c r="A218" t="s">
        <v>330</v>
      </c>
      <c r="B218" t="s">
        <v>1217</v>
      </c>
      <c r="C218" t="s">
        <v>1114</v>
      </c>
      <c r="D218" t="s">
        <v>39</v>
      </c>
      <c r="E218">
        <v>636</v>
      </c>
      <c r="F218" t="s">
        <v>1220</v>
      </c>
      <c r="G218" t="s">
        <v>1219</v>
      </c>
      <c r="H218" t="s">
        <v>1210</v>
      </c>
    </row>
    <row r="219" spans="1:8" x14ac:dyDescent="0.45">
      <c r="A219" t="s">
        <v>331</v>
      </c>
      <c r="B219" t="s">
        <v>1217</v>
      </c>
      <c r="C219" t="s">
        <v>1114</v>
      </c>
      <c r="D219" t="s">
        <v>78</v>
      </c>
      <c r="E219">
        <v>2046</v>
      </c>
      <c r="F219" t="s">
        <v>1220</v>
      </c>
      <c r="G219" t="s">
        <v>1219</v>
      </c>
      <c r="H219" t="s">
        <v>1210</v>
      </c>
    </row>
    <row r="220" spans="1:8" x14ac:dyDescent="0.45">
      <c r="A220" t="s">
        <v>332</v>
      </c>
      <c r="B220" t="s">
        <v>1223</v>
      </c>
      <c r="C220" t="s">
        <v>1127</v>
      </c>
      <c r="D220" t="s">
        <v>47</v>
      </c>
      <c r="E220">
        <v>1301</v>
      </c>
      <c r="F220" t="s">
        <v>1224</v>
      </c>
      <c r="G220" t="s">
        <v>1219</v>
      </c>
      <c r="H220" t="s">
        <v>1210</v>
      </c>
    </row>
    <row r="221" spans="1:8" x14ac:dyDescent="0.45">
      <c r="A221" t="s">
        <v>333</v>
      </c>
      <c r="B221" t="s">
        <v>1217</v>
      </c>
      <c r="C221" t="s">
        <v>1120</v>
      </c>
      <c r="D221" t="s">
        <v>98</v>
      </c>
      <c r="E221">
        <v>2110</v>
      </c>
      <c r="F221" t="s">
        <v>1224</v>
      </c>
      <c r="G221" t="s">
        <v>1219</v>
      </c>
      <c r="H221" t="s">
        <v>1210</v>
      </c>
    </row>
    <row r="222" spans="1:8" x14ac:dyDescent="0.45">
      <c r="A222" t="s">
        <v>334</v>
      </c>
      <c r="B222" t="s">
        <v>1223</v>
      </c>
      <c r="C222" t="s">
        <v>1121</v>
      </c>
      <c r="D222" t="s">
        <v>108</v>
      </c>
      <c r="E222">
        <v>1074</v>
      </c>
      <c r="F222" t="s">
        <v>1224</v>
      </c>
      <c r="G222" t="s">
        <v>1221</v>
      </c>
      <c r="H222" t="s">
        <v>1210</v>
      </c>
    </row>
    <row r="223" spans="1:8" x14ac:dyDescent="0.45">
      <c r="A223" t="s">
        <v>335</v>
      </c>
      <c r="B223" t="s">
        <v>1225</v>
      </c>
      <c r="C223" t="s">
        <v>1118</v>
      </c>
      <c r="D223" t="s">
        <v>49</v>
      </c>
      <c r="E223">
        <v>873</v>
      </c>
      <c r="F223" t="s">
        <v>1218</v>
      </c>
      <c r="G223" t="s">
        <v>1219</v>
      </c>
      <c r="H223" t="s">
        <v>1210</v>
      </c>
    </row>
    <row r="224" spans="1:8" x14ac:dyDescent="0.45">
      <c r="A224" t="s">
        <v>336</v>
      </c>
      <c r="B224" t="s">
        <v>1225</v>
      </c>
      <c r="C224" t="s">
        <v>1125</v>
      </c>
      <c r="D224" t="s">
        <v>110</v>
      </c>
      <c r="E224">
        <v>2975</v>
      </c>
      <c r="F224" t="s">
        <v>1220</v>
      </c>
      <c r="G224" t="s">
        <v>1219</v>
      </c>
      <c r="H224" t="s">
        <v>1210</v>
      </c>
    </row>
    <row r="225" spans="1:8" x14ac:dyDescent="0.45">
      <c r="A225" t="s">
        <v>337</v>
      </c>
      <c r="B225" t="s">
        <v>1217</v>
      </c>
      <c r="C225" t="s">
        <v>1116</v>
      </c>
      <c r="D225" t="s">
        <v>85</v>
      </c>
      <c r="E225">
        <v>3142</v>
      </c>
      <c r="F225" t="s">
        <v>1220</v>
      </c>
      <c r="G225" t="s">
        <v>1219</v>
      </c>
      <c r="H225" t="s">
        <v>1210</v>
      </c>
    </row>
    <row r="226" spans="1:8" x14ac:dyDescent="0.45">
      <c r="A226" t="s">
        <v>338</v>
      </c>
      <c r="B226" t="s">
        <v>1223</v>
      </c>
      <c r="C226" t="s">
        <v>1127</v>
      </c>
      <c r="D226" t="s">
        <v>88</v>
      </c>
      <c r="E226">
        <v>2034</v>
      </c>
      <c r="F226" t="s">
        <v>1227</v>
      </c>
      <c r="G226" t="s">
        <v>1219</v>
      </c>
      <c r="H226" t="s">
        <v>1210</v>
      </c>
    </row>
    <row r="227" spans="1:8" x14ac:dyDescent="0.45">
      <c r="A227" t="s">
        <v>339</v>
      </c>
      <c r="B227" t="s">
        <v>1225</v>
      </c>
      <c r="C227" t="s">
        <v>1118</v>
      </c>
      <c r="D227" t="s">
        <v>78</v>
      </c>
      <c r="E227">
        <v>1738</v>
      </c>
      <c r="F227" t="s">
        <v>1227</v>
      </c>
      <c r="G227" t="s">
        <v>1219</v>
      </c>
      <c r="H227" t="s">
        <v>1210</v>
      </c>
    </row>
    <row r="228" spans="1:8" x14ac:dyDescent="0.45">
      <c r="A228" t="s">
        <v>340</v>
      </c>
      <c r="B228" t="s">
        <v>1217</v>
      </c>
      <c r="C228" t="s">
        <v>1120</v>
      </c>
      <c r="D228" t="s">
        <v>32</v>
      </c>
      <c r="E228">
        <v>1644</v>
      </c>
      <c r="F228" t="s">
        <v>1224</v>
      </c>
      <c r="G228" t="s">
        <v>1219</v>
      </c>
      <c r="H228" t="s">
        <v>1210</v>
      </c>
    </row>
    <row r="229" spans="1:8" x14ac:dyDescent="0.45">
      <c r="A229" t="s">
        <v>341</v>
      </c>
      <c r="B229" t="s">
        <v>1217</v>
      </c>
      <c r="C229" t="s">
        <v>1120</v>
      </c>
      <c r="D229" t="s">
        <v>20</v>
      </c>
      <c r="E229">
        <v>1380</v>
      </c>
      <c r="F229" t="s">
        <v>1224</v>
      </c>
      <c r="G229" t="s">
        <v>1219</v>
      </c>
      <c r="H229" t="s">
        <v>1210</v>
      </c>
    </row>
    <row r="230" spans="1:8" x14ac:dyDescent="0.45">
      <c r="A230" t="s">
        <v>342</v>
      </c>
      <c r="B230" t="s">
        <v>1223</v>
      </c>
      <c r="C230" t="s">
        <v>1124</v>
      </c>
      <c r="D230" t="s">
        <v>18</v>
      </c>
      <c r="E230">
        <v>427</v>
      </c>
      <c r="F230" t="s">
        <v>1224</v>
      </c>
      <c r="G230" t="s">
        <v>1219</v>
      </c>
      <c r="H230" t="s">
        <v>1210</v>
      </c>
    </row>
    <row r="231" spans="1:8" x14ac:dyDescent="0.45">
      <c r="A231" t="s">
        <v>343</v>
      </c>
      <c r="B231" t="s">
        <v>1225</v>
      </c>
      <c r="C231" t="s">
        <v>1128</v>
      </c>
      <c r="D231" t="s">
        <v>52</v>
      </c>
      <c r="E231">
        <v>1092</v>
      </c>
      <c r="F231" t="s">
        <v>1224</v>
      </c>
      <c r="G231" t="s">
        <v>1219</v>
      </c>
      <c r="H231" t="s">
        <v>1210</v>
      </c>
    </row>
    <row r="232" spans="1:8" x14ac:dyDescent="0.45">
      <c r="A232" t="s">
        <v>344</v>
      </c>
      <c r="B232" t="s">
        <v>1217</v>
      </c>
      <c r="C232" t="s">
        <v>1126</v>
      </c>
      <c r="D232" t="s">
        <v>1135</v>
      </c>
      <c r="E232">
        <v>1736</v>
      </c>
      <c r="F232" t="s">
        <v>1224</v>
      </c>
      <c r="G232" t="s">
        <v>1219</v>
      </c>
      <c r="H232" t="s">
        <v>1210</v>
      </c>
    </row>
    <row r="233" spans="1:8" x14ac:dyDescent="0.45">
      <c r="A233" t="s">
        <v>345</v>
      </c>
      <c r="B233" t="s">
        <v>1223</v>
      </c>
      <c r="C233" t="s">
        <v>1122</v>
      </c>
      <c r="D233" t="s">
        <v>66</v>
      </c>
      <c r="E233">
        <v>886</v>
      </c>
      <c r="F233" t="s">
        <v>1224</v>
      </c>
      <c r="G233" t="s">
        <v>1221</v>
      </c>
      <c r="H233" t="s">
        <v>1210</v>
      </c>
    </row>
    <row r="234" spans="1:8" x14ac:dyDescent="0.45">
      <c r="A234" t="s">
        <v>346</v>
      </c>
      <c r="B234" t="s">
        <v>1217</v>
      </c>
      <c r="C234" t="s">
        <v>1115</v>
      </c>
      <c r="D234" t="s">
        <v>99</v>
      </c>
      <c r="E234">
        <v>1752</v>
      </c>
      <c r="F234" t="s">
        <v>1228</v>
      </c>
      <c r="G234" t="s">
        <v>1219</v>
      </c>
      <c r="H234" t="s">
        <v>1210</v>
      </c>
    </row>
    <row r="235" spans="1:8" x14ac:dyDescent="0.45">
      <c r="A235" t="s">
        <v>347</v>
      </c>
      <c r="B235" t="s">
        <v>1223</v>
      </c>
      <c r="C235" t="s">
        <v>1124</v>
      </c>
      <c r="D235" t="s">
        <v>1134</v>
      </c>
      <c r="E235">
        <v>984</v>
      </c>
      <c r="F235" t="s">
        <v>1224</v>
      </c>
      <c r="G235" t="s">
        <v>1219</v>
      </c>
      <c r="H235" t="s">
        <v>1210</v>
      </c>
    </row>
    <row r="236" spans="1:8" x14ac:dyDescent="0.45">
      <c r="A236" t="s">
        <v>348</v>
      </c>
      <c r="B236" t="s">
        <v>1223</v>
      </c>
      <c r="C236" t="s">
        <v>1117</v>
      </c>
      <c r="D236" t="s">
        <v>67</v>
      </c>
      <c r="E236">
        <v>2323</v>
      </c>
      <c r="F236" t="s">
        <v>1224</v>
      </c>
      <c r="G236" t="s">
        <v>1219</v>
      </c>
      <c r="H236" t="s">
        <v>1210</v>
      </c>
    </row>
    <row r="237" spans="1:8" x14ac:dyDescent="0.45">
      <c r="A237" t="s">
        <v>349</v>
      </c>
      <c r="B237" t="s">
        <v>1223</v>
      </c>
      <c r="C237" t="s">
        <v>1117</v>
      </c>
      <c r="D237" t="s">
        <v>96</v>
      </c>
      <c r="E237">
        <v>1875</v>
      </c>
      <c r="F237" t="s">
        <v>1220</v>
      </c>
      <c r="G237" t="s">
        <v>1219</v>
      </c>
      <c r="H237" t="s">
        <v>1210</v>
      </c>
    </row>
    <row r="238" spans="1:8" x14ac:dyDescent="0.45">
      <c r="A238" t="s">
        <v>350</v>
      </c>
      <c r="B238" t="s">
        <v>1217</v>
      </c>
      <c r="C238" t="s">
        <v>1116</v>
      </c>
      <c r="D238" t="s">
        <v>64</v>
      </c>
      <c r="E238">
        <v>2303</v>
      </c>
      <c r="F238" t="s">
        <v>1227</v>
      </c>
      <c r="G238" t="s">
        <v>1219</v>
      </c>
      <c r="H238" t="s">
        <v>1210</v>
      </c>
    </row>
    <row r="239" spans="1:8" x14ac:dyDescent="0.45">
      <c r="A239" t="s">
        <v>351</v>
      </c>
      <c r="B239" t="s">
        <v>1223</v>
      </c>
      <c r="C239" t="s">
        <v>1124</v>
      </c>
      <c r="D239" t="s">
        <v>29</v>
      </c>
      <c r="E239">
        <v>1637</v>
      </c>
      <c r="F239" t="s">
        <v>1224</v>
      </c>
      <c r="G239" t="s">
        <v>1219</v>
      </c>
      <c r="H239" t="s">
        <v>1210</v>
      </c>
    </row>
    <row r="240" spans="1:8" x14ac:dyDescent="0.45">
      <c r="A240" t="s">
        <v>352</v>
      </c>
      <c r="B240" t="s">
        <v>1223</v>
      </c>
      <c r="C240" t="s">
        <v>1127</v>
      </c>
      <c r="D240" t="s">
        <v>27</v>
      </c>
      <c r="E240">
        <v>423</v>
      </c>
      <c r="F240" t="s">
        <v>1227</v>
      </c>
      <c r="G240" t="s">
        <v>1219</v>
      </c>
      <c r="H240" t="s">
        <v>1210</v>
      </c>
    </row>
    <row r="241" spans="1:8" x14ac:dyDescent="0.45">
      <c r="A241" t="s">
        <v>353</v>
      </c>
      <c r="B241" t="s">
        <v>1225</v>
      </c>
      <c r="C241" t="s">
        <v>1125</v>
      </c>
      <c r="D241" t="s">
        <v>60</v>
      </c>
      <c r="E241">
        <v>1307</v>
      </c>
      <c r="F241" t="s">
        <v>1220</v>
      </c>
      <c r="G241" t="s">
        <v>1219</v>
      </c>
      <c r="H241" t="s">
        <v>1210</v>
      </c>
    </row>
    <row r="242" spans="1:8" x14ac:dyDescent="0.45">
      <c r="A242" t="s">
        <v>354</v>
      </c>
      <c r="B242" t="s">
        <v>1217</v>
      </c>
      <c r="C242" t="s">
        <v>1115</v>
      </c>
      <c r="D242" t="s">
        <v>81</v>
      </c>
      <c r="E242">
        <v>1067</v>
      </c>
      <c r="F242" t="s">
        <v>1220</v>
      </c>
      <c r="G242" t="s">
        <v>1219</v>
      </c>
      <c r="H242" t="s">
        <v>1210</v>
      </c>
    </row>
    <row r="243" spans="1:8" x14ac:dyDescent="0.45">
      <c r="A243" t="s">
        <v>355</v>
      </c>
      <c r="B243" t="s">
        <v>1217</v>
      </c>
      <c r="C243" t="s">
        <v>1126</v>
      </c>
      <c r="D243" t="s">
        <v>75</v>
      </c>
      <c r="E243">
        <v>188</v>
      </c>
      <c r="F243" t="s">
        <v>1236</v>
      </c>
      <c r="G243" t="s">
        <v>1219</v>
      </c>
      <c r="H243" t="s">
        <v>1210</v>
      </c>
    </row>
    <row r="244" spans="1:8" x14ac:dyDescent="0.45">
      <c r="A244" t="s">
        <v>356</v>
      </c>
      <c r="B244" t="s">
        <v>1217</v>
      </c>
      <c r="C244" t="s">
        <v>1114</v>
      </c>
      <c r="D244" t="s">
        <v>45</v>
      </c>
      <c r="E244">
        <v>634</v>
      </c>
      <c r="F244" t="s">
        <v>1224</v>
      </c>
      <c r="G244" t="s">
        <v>1219</v>
      </c>
      <c r="H244" t="s">
        <v>1210</v>
      </c>
    </row>
    <row r="245" spans="1:8" x14ac:dyDescent="0.45">
      <c r="A245" t="s">
        <v>357</v>
      </c>
      <c r="B245" t="s">
        <v>1225</v>
      </c>
      <c r="C245" t="s">
        <v>1125</v>
      </c>
      <c r="D245" t="s">
        <v>37</v>
      </c>
      <c r="E245">
        <v>2592</v>
      </c>
      <c r="F245" t="s">
        <v>1227</v>
      </c>
      <c r="G245" t="s">
        <v>1219</v>
      </c>
      <c r="H245" t="s">
        <v>1210</v>
      </c>
    </row>
    <row r="246" spans="1:8" x14ac:dyDescent="0.45">
      <c r="A246" t="s">
        <v>358</v>
      </c>
      <c r="B246" t="s">
        <v>1225</v>
      </c>
      <c r="C246" t="s">
        <v>1119</v>
      </c>
      <c r="D246" t="s">
        <v>1136</v>
      </c>
      <c r="E246">
        <v>1113</v>
      </c>
      <c r="F246" t="s">
        <v>1224</v>
      </c>
      <c r="G246" t="s">
        <v>1219</v>
      </c>
      <c r="H246" t="s">
        <v>1210</v>
      </c>
    </row>
    <row r="247" spans="1:8" x14ac:dyDescent="0.45">
      <c r="A247" t="s">
        <v>359</v>
      </c>
      <c r="B247" t="s">
        <v>1225</v>
      </c>
      <c r="C247" t="s">
        <v>1125</v>
      </c>
      <c r="D247" t="s">
        <v>93</v>
      </c>
      <c r="E247">
        <v>651</v>
      </c>
      <c r="F247" t="s">
        <v>1224</v>
      </c>
      <c r="G247" t="s">
        <v>1219</v>
      </c>
      <c r="H247" t="s">
        <v>1210</v>
      </c>
    </row>
    <row r="248" spans="1:8" x14ac:dyDescent="0.45">
      <c r="A248" t="s">
        <v>360</v>
      </c>
      <c r="B248" t="s">
        <v>1223</v>
      </c>
      <c r="C248" t="s">
        <v>1121</v>
      </c>
      <c r="D248" t="s">
        <v>36</v>
      </c>
      <c r="E248">
        <v>2148</v>
      </c>
      <c r="F248" t="s">
        <v>1224</v>
      </c>
      <c r="G248" t="s">
        <v>1219</v>
      </c>
      <c r="H248" t="s">
        <v>1210</v>
      </c>
    </row>
    <row r="249" spans="1:8" x14ac:dyDescent="0.45">
      <c r="A249" t="s">
        <v>361</v>
      </c>
      <c r="B249" t="s">
        <v>1217</v>
      </c>
      <c r="C249" t="s">
        <v>1116</v>
      </c>
      <c r="D249" t="s">
        <v>1133</v>
      </c>
      <c r="E249">
        <v>1148</v>
      </c>
      <c r="F249" t="s">
        <v>1227</v>
      </c>
      <c r="G249" t="s">
        <v>1219</v>
      </c>
      <c r="H249" t="s">
        <v>1210</v>
      </c>
    </row>
    <row r="250" spans="1:8" x14ac:dyDescent="0.45">
      <c r="A250" t="s">
        <v>362</v>
      </c>
      <c r="B250" t="s">
        <v>1217</v>
      </c>
      <c r="C250" t="s">
        <v>1116</v>
      </c>
      <c r="D250" t="s">
        <v>1134</v>
      </c>
      <c r="E250">
        <v>976</v>
      </c>
      <c r="F250" t="s">
        <v>1229</v>
      </c>
      <c r="G250" t="s">
        <v>1219</v>
      </c>
      <c r="H250" t="s">
        <v>1210</v>
      </c>
    </row>
    <row r="251" spans="1:8" x14ac:dyDescent="0.45">
      <c r="A251" t="s">
        <v>363</v>
      </c>
      <c r="B251" t="s">
        <v>1225</v>
      </c>
      <c r="C251" t="s">
        <v>1128</v>
      </c>
      <c r="D251" t="s">
        <v>43</v>
      </c>
      <c r="E251">
        <v>682</v>
      </c>
      <c r="F251" t="s">
        <v>1220</v>
      </c>
      <c r="G251" t="s">
        <v>1219</v>
      </c>
      <c r="H251" t="s">
        <v>1210</v>
      </c>
    </row>
    <row r="252" spans="1:8" x14ac:dyDescent="0.45">
      <c r="A252" t="s">
        <v>364</v>
      </c>
      <c r="B252" t="s">
        <v>1217</v>
      </c>
      <c r="C252" t="s">
        <v>1115</v>
      </c>
      <c r="D252" t="s">
        <v>93</v>
      </c>
      <c r="E252">
        <v>1515</v>
      </c>
      <c r="F252" t="s">
        <v>1224</v>
      </c>
      <c r="G252" t="s">
        <v>1219</v>
      </c>
      <c r="H252" t="s">
        <v>1210</v>
      </c>
    </row>
    <row r="253" spans="1:8" x14ac:dyDescent="0.45">
      <c r="A253" t="s">
        <v>365</v>
      </c>
      <c r="B253" t="s">
        <v>1225</v>
      </c>
      <c r="C253" t="s">
        <v>1118</v>
      </c>
      <c r="D253" t="s">
        <v>23</v>
      </c>
      <c r="E253">
        <v>2920</v>
      </c>
      <c r="F253" t="s">
        <v>1222</v>
      </c>
      <c r="G253" t="s">
        <v>1219</v>
      </c>
      <c r="H253" t="s">
        <v>1210</v>
      </c>
    </row>
    <row r="254" spans="1:8" x14ac:dyDescent="0.45">
      <c r="A254" t="s">
        <v>366</v>
      </c>
      <c r="B254" t="s">
        <v>1223</v>
      </c>
      <c r="C254" t="s">
        <v>1121</v>
      </c>
      <c r="D254" t="s">
        <v>27</v>
      </c>
      <c r="E254">
        <v>1621</v>
      </c>
      <c r="F254" t="s">
        <v>1224</v>
      </c>
      <c r="G254" t="s">
        <v>1219</v>
      </c>
      <c r="H254" t="s">
        <v>1210</v>
      </c>
    </row>
    <row r="255" spans="1:8" x14ac:dyDescent="0.45">
      <c r="A255" t="s">
        <v>367</v>
      </c>
      <c r="B255" t="s">
        <v>1217</v>
      </c>
      <c r="C255" t="s">
        <v>1115</v>
      </c>
      <c r="D255" t="s">
        <v>27</v>
      </c>
      <c r="E255">
        <v>1772</v>
      </c>
      <c r="F255" t="s">
        <v>1224</v>
      </c>
      <c r="G255" t="s">
        <v>1221</v>
      </c>
      <c r="H255" t="s">
        <v>1210</v>
      </c>
    </row>
    <row r="256" spans="1:8" x14ac:dyDescent="0.45">
      <c r="A256" t="s">
        <v>368</v>
      </c>
      <c r="B256" t="s">
        <v>1225</v>
      </c>
      <c r="C256" t="s">
        <v>1123</v>
      </c>
      <c r="D256" t="s">
        <v>78</v>
      </c>
      <c r="E256">
        <v>644</v>
      </c>
      <c r="F256" t="s">
        <v>1237</v>
      </c>
      <c r="G256" t="s">
        <v>1221</v>
      </c>
      <c r="H256" t="s">
        <v>1210</v>
      </c>
    </row>
    <row r="257" spans="1:8" x14ac:dyDescent="0.45">
      <c r="A257" t="s">
        <v>369</v>
      </c>
      <c r="B257" t="s">
        <v>1223</v>
      </c>
      <c r="C257" t="s">
        <v>1121</v>
      </c>
      <c r="D257" t="s">
        <v>66</v>
      </c>
      <c r="E257">
        <v>383</v>
      </c>
      <c r="F257" t="s">
        <v>1224</v>
      </c>
      <c r="G257" t="s">
        <v>1219</v>
      </c>
      <c r="H257" t="s">
        <v>1210</v>
      </c>
    </row>
    <row r="258" spans="1:8" x14ac:dyDescent="0.45">
      <c r="A258" t="s">
        <v>370</v>
      </c>
      <c r="B258" t="s">
        <v>1217</v>
      </c>
      <c r="C258" t="s">
        <v>1120</v>
      </c>
      <c r="D258" t="s">
        <v>62</v>
      </c>
      <c r="E258">
        <v>1569</v>
      </c>
      <c r="F258" t="s">
        <v>1220</v>
      </c>
      <c r="G258" t="s">
        <v>1219</v>
      </c>
      <c r="H258" t="s">
        <v>1210</v>
      </c>
    </row>
    <row r="259" spans="1:8" x14ac:dyDescent="0.45">
      <c r="A259" t="s">
        <v>371</v>
      </c>
      <c r="B259" t="s">
        <v>1217</v>
      </c>
      <c r="C259" t="s">
        <v>1116</v>
      </c>
      <c r="D259" t="s">
        <v>93</v>
      </c>
      <c r="E259">
        <v>557</v>
      </c>
      <c r="F259" t="s">
        <v>1220</v>
      </c>
      <c r="G259" t="s">
        <v>1219</v>
      </c>
      <c r="H259" t="s">
        <v>1210</v>
      </c>
    </row>
    <row r="260" spans="1:8" x14ac:dyDescent="0.45">
      <c r="A260" t="s">
        <v>372</v>
      </c>
      <c r="B260" t="s">
        <v>1223</v>
      </c>
      <c r="C260" t="s">
        <v>1124</v>
      </c>
      <c r="D260" t="s">
        <v>27</v>
      </c>
      <c r="E260">
        <v>1788</v>
      </c>
      <c r="F260" t="s">
        <v>1224</v>
      </c>
      <c r="G260" t="s">
        <v>1219</v>
      </c>
      <c r="H260" t="s">
        <v>1210</v>
      </c>
    </row>
    <row r="261" spans="1:8" x14ac:dyDescent="0.45">
      <c r="A261" t="s">
        <v>373</v>
      </c>
      <c r="B261" t="s">
        <v>1225</v>
      </c>
      <c r="C261" t="s">
        <v>1118</v>
      </c>
      <c r="D261" t="s">
        <v>84</v>
      </c>
      <c r="E261">
        <v>1997</v>
      </c>
      <c r="F261" t="s">
        <v>1227</v>
      </c>
      <c r="G261" t="s">
        <v>1219</v>
      </c>
      <c r="H261" t="s">
        <v>1210</v>
      </c>
    </row>
    <row r="262" spans="1:8" x14ac:dyDescent="0.45">
      <c r="A262" t="s">
        <v>374</v>
      </c>
      <c r="B262" t="s">
        <v>1223</v>
      </c>
      <c r="C262" t="s">
        <v>1117</v>
      </c>
      <c r="D262" t="s">
        <v>12</v>
      </c>
      <c r="E262">
        <v>82</v>
      </c>
      <c r="F262" t="s">
        <v>1227</v>
      </c>
      <c r="G262" t="s">
        <v>1219</v>
      </c>
      <c r="H262" t="s">
        <v>1210</v>
      </c>
    </row>
    <row r="263" spans="1:8" x14ac:dyDescent="0.45">
      <c r="A263" t="s">
        <v>375</v>
      </c>
      <c r="B263" t="s">
        <v>1223</v>
      </c>
      <c r="C263" t="s">
        <v>1117</v>
      </c>
      <c r="D263" t="s">
        <v>61</v>
      </c>
      <c r="E263">
        <v>-25</v>
      </c>
      <c r="F263" t="s">
        <v>1224</v>
      </c>
      <c r="G263" t="s">
        <v>1219</v>
      </c>
      <c r="H263" t="s">
        <v>1233</v>
      </c>
    </row>
    <row r="264" spans="1:8" x14ac:dyDescent="0.45">
      <c r="A264" t="s">
        <v>376</v>
      </c>
      <c r="B264" t="s">
        <v>1223</v>
      </c>
      <c r="C264" t="s">
        <v>1124</v>
      </c>
      <c r="D264" t="s">
        <v>92</v>
      </c>
      <c r="E264">
        <v>1165</v>
      </c>
      <c r="F264" t="s">
        <v>1224</v>
      </c>
      <c r="G264" t="s">
        <v>1219</v>
      </c>
      <c r="H264" t="s">
        <v>1210</v>
      </c>
    </row>
    <row r="265" spans="1:8" x14ac:dyDescent="0.45">
      <c r="A265" t="s">
        <v>377</v>
      </c>
      <c r="B265" t="s">
        <v>1217</v>
      </c>
      <c r="C265" t="s">
        <v>1126</v>
      </c>
      <c r="D265" t="s">
        <v>81</v>
      </c>
      <c r="E265">
        <v>925</v>
      </c>
      <c r="F265" t="s">
        <v>1224</v>
      </c>
      <c r="G265" t="s">
        <v>1219</v>
      </c>
      <c r="H265" t="s">
        <v>1210</v>
      </c>
    </row>
    <row r="266" spans="1:8" x14ac:dyDescent="0.45">
      <c r="A266" t="s">
        <v>378</v>
      </c>
      <c r="B266" t="s">
        <v>1225</v>
      </c>
      <c r="C266" t="s">
        <v>1128</v>
      </c>
      <c r="D266" t="s">
        <v>1140</v>
      </c>
      <c r="E266">
        <v>1954</v>
      </c>
      <c r="F266" t="s">
        <v>1220</v>
      </c>
      <c r="G266" t="s">
        <v>1219</v>
      </c>
      <c r="H266" t="s">
        <v>1210</v>
      </c>
    </row>
    <row r="267" spans="1:8" x14ac:dyDescent="0.45">
      <c r="A267" t="s">
        <v>379</v>
      </c>
      <c r="B267" t="s">
        <v>1223</v>
      </c>
      <c r="C267" t="s">
        <v>1117</v>
      </c>
      <c r="D267" t="s">
        <v>92</v>
      </c>
      <c r="E267">
        <v>1936</v>
      </c>
      <c r="F267" t="s">
        <v>1238</v>
      </c>
      <c r="G267" t="s">
        <v>1219</v>
      </c>
      <c r="H267" t="s">
        <v>1210</v>
      </c>
    </row>
    <row r="268" spans="1:8" x14ac:dyDescent="0.45">
      <c r="A268" t="s">
        <v>380</v>
      </c>
      <c r="B268" t="s">
        <v>1225</v>
      </c>
      <c r="C268" t="s">
        <v>1119</v>
      </c>
      <c r="D268" t="s">
        <v>110</v>
      </c>
      <c r="E268">
        <v>3068</v>
      </c>
      <c r="F268" t="s">
        <v>1224</v>
      </c>
      <c r="G268" t="s">
        <v>1219</v>
      </c>
      <c r="H268" t="s">
        <v>1210</v>
      </c>
    </row>
    <row r="269" spans="1:8" x14ac:dyDescent="0.45">
      <c r="A269" t="s">
        <v>381</v>
      </c>
      <c r="B269" t="s">
        <v>1223</v>
      </c>
      <c r="C269" t="s">
        <v>1124</v>
      </c>
      <c r="D269" t="s">
        <v>98</v>
      </c>
      <c r="E269">
        <v>2072</v>
      </c>
      <c r="F269" t="s">
        <v>1224</v>
      </c>
      <c r="G269" t="s">
        <v>1219</v>
      </c>
      <c r="H269" t="s">
        <v>1210</v>
      </c>
    </row>
    <row r="270" spans="1:8" x14ac:dyDescent="0.45">
      <c r="A270" t="s">
        <v>382</v>
      </c>
      <c r="B270" t="s">
        <v>1225</v>
      </c>
      <c r="C270" t="s">
        <v>1128</v>
      </c>
      <c r="D270" t="s">
        <v>1138</v>
      </c>
      <c r="E270">
        <v>1552</v>
      </c>
      <c r="F270" t="s">
        <v>1220</v>
      </c>
      <c r="G270" t="s">
        <v>1219</v>
      </c>
      <c r="H270" t="s">
        <v>1210</v>
      </c>
    </row>
    <row r="271" spans="1:8" x14ac:dyDescent="0.45">
      <c r="A271" t="s">
        <v>383</v>
      </c>
      <c r="B271" t="s">
        <v>1223</v>
      </c>
      <c r="C271" t="s">
        <v>1122</v>
      </c>
      <c r="D271" t="s">
        <v>81</v>
      </c>
      <c r="E271">
        <v>935</v>
      </c>
      <c r="F271" t="s">
        <v>1224</v>
      </c>
      <c r="G271" t="s">
        <v>1219</v>
      </c>
      <c r="H271" t="s">
        <v>1210</v>
      </c>
    </row>
    <row r="272" spans="1:8" x14ac:dyDescent="0.45">
      <c r="A272" t="s">
        <v>384</v>
      </c>
      <c r="B272" t="s">
        <v>1217</v>
      </c>
      <c r="C272" t="s">
        <v>1116</v>
      </c>
      <c r="D272" t="s">
        <v>47</v>
      </c>
      <c r="E272">
        <v>1481</v>
      </c>
      <c r="F272" t="s">
        <v>1227</v>
      </c>
      <c r="G272" t="s">
        <v>1219</v>
      </c>
      <c r="H272" t="s">
        <v>1210</v>
      </c>
    </row>
    <row r="273" spans="1:8" x14ac:dyDescent="0.45">
      <c r="A273" t="s">
        <v>385</v>
      </c>
      <c r="B273" t="s">
        <v>1223</v>
      </c>
      <c r="C273" t="s">
        <v>1121</v>
      </c>
      <c r="D273" t="s">
        <v>39</v>
      </c>
      <c r="E273">
        <v>1390</v>
      </c>
      <c r="F273" t="s">
        <v>1220</v>
      </c>
      <c r="G273" t="s">
        <v>1219</v>
      </c>
      <c r="H273" t="s">
        <v>1210</v>
      </c>
    </row>
    <row r="274" spans="1:8" x14ac:dyDescent="0.45">
      <c r="A274" t="s">
        <v>386</v>
      </c>
      <c r="B274" t="s">
        <v>1217</v>
      </c>
      <c r="C274" t="s">
        <v>1114</v>
      </c>
      <c r="D274" t="s">
        <v>37</v>
      </c>
      <c r="E274">
        <v>2675</v>
      </c>
      <c r="F274" t="s">
        <v>1224</v>
      </c>
      <c r="G274" t="s">
        <v>1219</v>
      </c>
      <c r="H274" t="s">
        <v>1210</v>
      </c>
    </row>
    <row r="275" spans="1:8" x14ac:dyDescent="0.45">
      <c r="A275" t="s">
        <v>387</v>
      </c>
      <c r="B275" t="s">
        <v>1217</v>
      </c>
      <c r="C275" t="s">
        <v>1126</v>
      </c>
      <c r="D275" t="s">
        <v>85</v>
      </c>
      <c r="E275">
        <v>2898</v>
      </c>
      <c r="F275" t="s">
        <v>1224</v>
      </c>
      <c r="G275" t="s">
        <v>1219</v>
      </c>
      <c r="H275" t="s">
        <v>1210</v>
      </c>
    </row>
    <row r="276" spans="1:8" x14ac:dyDescent="0.45">
      <c r="A276" t="s">
        <v>388</v>
      </c>
      <c r="B276" t="s">
        <v>1223</v>
      </c>
      <c r="C276" t="s">
        <v>1117</v>
      </c>
      <c r="D276" t="s">
        <v>48</v>
      </c>
      <c r="E276">
        <v>1790</v>
      </c>
      <c r="F276" t="s">
        <v>1224</v>
      </c>
      <c r="G276" t="s">
        <v>1219</v>
      </c>
      <c r="H276" t="s">
        <v>1210</v>
      </c>
    </row>
    <row r="277" spans="1:8" x14ac:dyDescent="0.45">
      <c r="A277" t="s">
        <v>389</v>
      </c>
      <c r="B277" t="s">
        <v>1225</v>
      </c>
      <c r="C277" t="s">
        <v>1128</v>
      </c>
      <c r="D277" t="s">
        <v>55</v>
      </c>
      <c r="E277">
        <v>2032</v>
      </c>
      <c r="F277" t="s">
        <v>1224</v>
      </c>
      <c r="G277" t="s">
        <v>1219</v>
      </c>
      <c r="H277" t="s">
        <v>1210</v>
      </c>
    </row>
    <row r="278" spans="1:8" x14ac:dyDescent="0.45">
      <c r="A278" t="s">
        <v>390</v>
      </c>
      <c r="B278" t="s">
        <v>1225</v>
      </c>
      <c r="C278" t="s">
        <v>1128</v>
      </c>
      <c r="D278" t="s">
        <v>63</v>
      </c>
      <c r="E278">
        <v>1271</v>
      </c>
      <c r="F278" t="s">
        <v>1224</v>
      </c>
      <c r="G278" t="s">
        <v>1219</v>
      </c>
      <c r="H278" t="s">
        <v>1210</v>
      </c>
    </row>
    <row r="279" spans="1:8" x14ac:dyDescent="0.45">
      <c r="A279" t="s">
        <v>391</v>
      </c>
      <c r="B279" t="s">
        <v>1223</v>
      </c>
      <c r="C279" t="s">
        <v>1127</v>
      </c>
      <c r="D279" t="s">
        <v>95</v>
      </c>
      <c r="E279">
        <v>1531</v>
      </c>
      <c r="F279" t="s">
        <v>1220</v>
      </c>
      <c r="G279" t="s">
        <v>1219</v>
      </c>
      <c r="H279" t="s">
        <v>1210</v>
      </c>
    </row>
    <row r="280" spans="1:8" x14ac:dyDescent="0.45">
      <c r="A280" t="s">
        <v>392</v>
      </c>
      <c r="B280" t="s">
        <v>1225</v>
      </c>
      <c r="C280" t="s">
        <v>1125</v>
      </c>
      <c r="D280" t="s">
        <v>58</v>
      </c>
      <c r="E280">
        <v>1573</v>
      </c>
      <c r="F280" t="s">
        <v>1220</v>
      </c>
      <c r="G280" t="s">
        <v>1219</v>
      </c>
      <c r="H280" t="s">
        <v>1210</v>
      </c>
    </row>
    <row r="281" spans="1:8" x14ac:dyDescent="0.45">
      <c r="A281" t="s">
        <v>393</v>
      </c>
      <c r="B281" t="s">
        <v>1223</v>
      </c>
      <c r="C281" t="s">
        <v>1121</v>
      </c>
      <c r="D281" t="s">
        <v>1135</v>
      </c>
      <c r="E281">
        <v>1476</v>
      </c>
      <c r="F281" t="s">
        <v>1220</v>
      </c>
      <c r="G281" t="s">
        <v>1219</v>
      </c>
      <c r="H281" t="s">
        <v>1210</v>
      </c>
    </row>
    <row r="282" spans="1:8" x14ac:dyDescent="0.45">
      <c r="A282" t="s">
        <v>394</v>
      </c>
      <c r="B282" t="s">
        <v>1223</v>
      </c>
      <c r="C282" t="s">
        <v>1121</v>
      </c>
      <c r="D282" t="s">
        <v>74</v>
      </c>
      <c r="E282">
        <v>596</v>
      </c>
      <c r="F282" t="s">
        <v>1220</v>
      </c>
      <c r="G282" t="s">
        <v>1219</v>
      </c>
      <c r="H282" t="s">
        <v>1210</v>
      </c>
    </row>
    <row r="283" spans="1:8" x14ac:dyDescent="0.45">
      <c r="A283" t="s">
        <v>395</v>
      </c>
      <c r="B283" t="s">
        <v>1223</v>
      </c>
      <c r="C283" t="s">
        <v>1121</v>
      </c>
      <c r="D283" t="s">
        <v>105</v>
      </c>
      <c r="E283">
        <v>1222</v>
      </c>
      <c r="F283" t="s">
        <v>1220</v>
      </c>
      <c r="G283" t="s">
        <v>1219</v>
      </c>
      <c r="H283" t="s">
        <v>1210</v>
      </c>
    </row>
    <row r="284" spans="1:8" x14ac:dyDescent="0.45">
      <c r="A284" t="s">
        <v>396</v>
      </c>
      <c r="B284" t="s">
        <v>1217</v>
      </c>
      <c r="C284" t="s">
        <v>1126</v>
      </c>
      <c r="D284" t="s">
        <v>75</v>
      </c>
      <c r="E284">
        <v>1554</v>
      </c>
      <c r="F284" t="s">
        <v>1224</v>
      </c>
      <c r="G284" t="s">
        <v>1219</v>
      </c>
      <c r="H284" t="s">
        <v>1210</v>
      </c>
    </row>
    <row r="285" spans="1:8" x14ac:dyDescent="0.45">
      <c r="A285" t="s">
        <v>397</v>
      </c>
      <c r="B285" t="s">
        <v>1225</v>
      </c>
      <c r="C285" t="s">
        <v>1125</v>
      </c>
      <c r="D285" t="s">
        <v>7</v>
      </c>
      <c r="E285">
        <v>2045</v>
      </c>
      <c r="F285" t="s">
        <v>1227</v>
      </c>
      <c r="G285" t="s">
        <v>1219</v>
      </c>
      <c r="H285" t="s">
        <v>1210</v>
      </c>
    </row>
    <row r="286" spans="1:8" x14ac:dyDescent="0.45">
      <c r="A286" t="s">
        <v>398</v>
      </c>
      <c r="B286" t="s">
        <v>1223</v>
      </c>
      <c r="C286" t="s">
        <v>1127</v>
      </c>
      <c r="D286" t="s">
        <v>47</v>
      </c>
      <c r="E286">
        <v>1344</v>
      </c>
      <c r="F286" t="s">
        <v>1227</v>
      </c>
      <c r="G286" t="s">
        <v>1219</v>
      </c>
      <c r="H286" t="s">
        <v>1210</v>
      </c>
    </row>
    <row r="287" spans="1:8" x14ac:dyDescent="0.45">
      <c r="A287" t="s">
        <v>399</v>
      </c>
      <c r="B287" t="s">
        <v>1223</v>
      </c>
      <c r="C287" t="s">
        <v>1121</v>
      </c>
      <c r="D287" t="s">
        <v>61</v>
      </c>
      <c r="E287">
        <v>1607</v>
      </c>
      <c r="F287" t="s">
        <v>1224</v>
      </c>
      <c r="G287" t="s">
        <v>1219</v>
      </c>
      <c r="H287" t="s">
        <v>1210</v>
      </c>
    </row>
    <row r="288" spans="1:8" x14ac:dyDescent="0.45">
      <c r="A288" t="s">
        <v>400</v>
      </c>
      <c r="B288" t="s">
        <v>1225</v>
      </c>
      <c r="C288" t="s">
        <v>1125</v>
      </c>
      <c r="D288" t="s">
        <v>20</v>
      </c>
      <c r="E288">
        <v>1481</v>
      </c>
      <c r="F288" t="s">
        <v>1227</v>
      </c>
      <c r="G288" t="s">
        <v>1219</v>
      </c>
      <c r="H288" t="s">
        <v>1210</v>
      </c>
    </row>
    <row r="289" spans="1:8" x14ac:dyDescent="0.45">
      <c r="A289" t="s">
        <v>401</v>
      </c>
      <c r="B289" t="s">
        <v>1223</v>
      </c>
      <c r="C289" t="s">
        <v>1127</v>
      </c>
      <c r="D289" t="s">
        <v>23</v>
      </c>
      <c r="E289">
        <v>2698</v>
      </c>
      <c r="F289" t="s">
        <v>1227</v>
      </c>
      <c r="G289" t="s">
        <v>1219</v>
      </c>
      <c r="H289" t="s">
        <v>1210</v>
      </c>
    </row>
    <row r="290" spans="1:8" x14ac:dyDescent="0.45">
      <c r="A290" t="s">
        <v>402</v>
      </c>
      <c r="B290" t="s">
        <v>1223</v>
      </c>
      <c r="C290" t="s">
        <v>1122</v>
      </c>
      <c r="D290" t="s">
        <v>25</v>
      </c>
      <c r="E290">
        <v>1888</v>
      </c>
      <c r="F290" t="s">
        <v>1238</v>
      </c>
      <c r="G290" t="s">
        <v>1219</v>
      </c>
      <c r="H290" t="s">
        <v>1210</v>
      </c>
    </row>
    <row r="291" spans="1:8" x14ac:dyDescent="0.45">
      <c r="A291" t="s">
        <v>403</v>
      </c>
      <c r="B291" t="s">
        <v>1223</v>
      </c>
      <c r="C291" t="s">
        <v>1127</v>
      </c>
      <c r="D291" t="s">
        <v>51</v>
      </c>
      <c r="E291">
        <v>2659</v>
      </c>
      <c r="F291" t="s">
        <v>1220</v>
      </c>
      <c r="G291" t="s">
        <v>1219</v>
      </c>
      <c r="H291" t="s">
        <v>1210</v>
      </c>
    </row>
    <row r="292" spans="1:8" x14ac:dyDescent="0.45">
      <c r="A292" t="s">
        <v>404</v>
      </c>
      <c r="B292" t="s">
        <v>1225</v>
      </c>
      <c r="C292" t="s">
        <v>1118</v>
      </c>
      <c r="D292" t="s">
        <v>88</v>
      </c>
      <c r="E292">
        <v>584</v>
      </c>
      <c r="F292" t="s">
        <v>1224</v>
      </c>
      <c r="G292" t="s">
        <v>1219</v>
      </c>
      <c r="H292" t="s">
        <v>1210</v>
      </c>
    </row>
    <row r="293" spans="1:8" x14ac:dyDescent="0.45">
      <c r="A293" t="s">
        <v>405</v>
      </c>
      <c r="B293" t="s">
        <v>1225</v>
      </c>
      <c r="C293" t="s">
        <v>1119</v>
      </c>
      <c r="D293" t="s">
        <v>36</v>
      </c>
      <c r="E293">
        <v>2438</v>
      </c>
      <c r="F293" t="s">
        <v>1226</v>
      </c>
      <c r="G293" t="s">
        <v>1219</v>
      </c>
      <c r="H293" t="s">
        <v>1210</v>
      </c>
    </row>
    <row r="294" spans="1:8" x14ac:dyDescent="0.45">
      <c r="A294" t="s">
        <v>406</v>
      </c>
      <c r="B294" t="s">
        <v>1225</v>
      </c>
      <c r="C294" t="s">
        <v>1119</v>
      </c>
      <c r="D294" t="s">
        <v>44</v>
      </c>
      <c r="E294">
        <v>1485</v>
      </c>
      <c r="F294" t="s">
        <v>1227</v>
      </c>
      <c r="G294" t="s">
        <v>1219</v>
      </c>
      <c r="H294" t="s">
        <v>1210</v>
      </c>
    </row>
    <row r="295" spans="1:8" x14ac:dyDescent="0.45">
      <c r="A295" t="s">
        <v>407</v>
      </c>
      <c r="B295" t="s">
        <v>1225</v>
      </c>
      <c r="C295" t="s">
        <v>1128</v>
      </c>
      <c r="D295" t="s">
        <v>28</v>
      </c>
      <c r="E295">
        <v>2500</v>
      </c>
      <c r="F295" t="s">
        <v>1220</v>
      </c>
      <c r="G295" t="s">
        <v>1219</v>
      </c>
      <c r="H295" t="s">
        <v>1210</v>
      </c>
    </row>
    <row r="296" spans="1:8" x14ac:dyDescent="0.45">
      <c r="A296" t="s">
        <v>408</v>
      </c>
      <c r="B296" t="s">
        <v>1223</v>
      </c>
      <c r="C296" t="s">
        <v>1127</v>
      </c>
      <c r="D296" t="s">
        <v>28</v>
      </c>
      <c r="E296">
        <v>2296</v>
      </c>
      <c r="F296" t="s">
        <v>1227</v>
      </c>
      <c r="G296" t="s">
        <v>1219</v>
      </c>
      <c r="H296" t="s">
        <v>1210</v>
      </c>
    </row>
    <row r="297" spans="1:8" x14ac:dyDescent="0.45">
      <c r="A297" t="s">
        <v>409</v>
      </c>
      <c r="B297" t="s">
        <v>1223</v>
      </c>
      <c r="C297" t="s">
        <v>1122</v>
      </c>
      <c r="D297" t="s">
        <v>88</v>
      </c>
      <c r="E297">
        <v>1032</v>
      </c>
      <c r="F297" t="s">
        <v>1224</v>
      </c>
      <c r="G297" t="s">
        <v>1219</v>
      </c>
      <c r="H297" t="s">
        <v>1210</v>
      </c>
    </row>
    <row r="298" spans="1:8" x14ac:dyDescent="0.45">
      <c r="A298" t="s">
        <v>410</v>
      </c>
      <c r="B298" t="s">
        <v>1223</v>
      </c>
      <c r="C298" t="s">
        <v>1124</v>
      </c>
      <c r="D298" t="s">
        <v>101</v>
      </c>
      <c r="E298">
        <v>1968</v>
      </c>
      <c r="F298" t="s">
        <v>1224</v>
      </c>
      <c r="G298" t="s">
        <v>1219</v>
      </c>
      <c r="H298" t="s">
        <v>1210</v>
      </c>
    </row>
    <row r="299" spans="1:8" x14ac:dyDescent="0.45">
      <c r="A299" t="s">
        <v>411</v>
      </c>
      <c r="B299" t="s">
        <v>1223</v>
      </c>
      <c r="C299" t="s">
        <v>1121</v>
      </c>
      <c r="D299" t="s">
        <v>1134</v>
      </c>
      <c r="E299">
        <v>441</v>
      </c>
      <c r="F299" t="s">
        <v>1220</v>
      </c>
      <c r="G299" t="s">
        <v>1219</v>
      </c>
      <c r="H299" t="s">
        <v>1210</v>
      </c>
    </row>
    <row r="300" spans="1:8" x14ac:dyDescent="0.45">
      <c r="A300" t="s">
        <v>412</v>
      </c>
      <c r="B300" t="s">
        <v>1225</v>
      </c>
      <c r="C300" t="s">
        <v>1119</v>
      </c>
      <c r="D300" t="s">
        <v>37</v>
      </c>
      <c r="E300">
        <v>1158</v>
      </c>
      <c r="F300" t="s">
        <v>1227</v>
      </c>
      <c r="G300" t="s">
        <v>1219</v>
      </c>
      <c r="H300" t="s">
        <v>1210</v>
      </c>
    </row>
    <row r="301" spans="1:8" x14ac:dyDescent="0.45">
      <c r="A301" t="s">
        <v>413</v>
      </c>
      <c r="B301" t="s">
        <v>1225</v>
      </c>
      <c r="C301" t="s">
        <v>1119</v>
      </c>
      <c r="D301" t="s">
        <v>101</v>
      </c>
      <c r="E301">
        <v>2044</v>
      </c>
      <c r="F301" t="s">
        <v>1227</v>
      </c>
      <c r="G301" t="s">
        <v>1219</v>
      </c>
      <c r="H301" t="s">
        <v>1210</v>
      </c>
    </row>
    <row r="302" spans="1:8" x14ac:dyDescent="0.45">
      <c r="A302" t="s">
        <v>414</v>
      </c>
      <c r="B302" t="s">
        <v>1223</v>
      </c>
      <c r="C302" t="s">
        <v>1121</v>
      </c>
      <c r="D302" t="s">
        <v>52</v>
      </c>
      <c r="E302">
        <v>554</v>
      </c>
      <c r="F302" t="s">
        <v>1224</v>
      </c>
      <c r="G302" t="s">
        <v>1221</v>
      </c>
      <c r="H302" t="s">
        <v>1210</v>
      </c>
    </row>
    <row r="303" spans="1:8" x14ac:dyDescent="0.45">
      <c r="A303" t="s">
        <v>415</v>
      </c>
      <c r="B303" t="s">
        <v>1223</v>
      </c>
      <c r="C303" t="s">
        <v>1127</v>
      </c>
      <c r="D303" t="s">
        <v>106</v>
      </c>
      <c r="E303">
        <v>1152</v>
      </c>
      <c r="F303" t="s">
        <v>1224</v>
      </c>
      <c r="G303" t="s">
        <v>1221</v>
      </c>
      <c r="H303" t="s">
        <v>1210</v>
      </c>
    </row>
    <row r="304" spans="1:8" x14ac:dyDescent="0.45">
      <c r="A304" t="s">
        <v>416</v>
      </c>
      <c r="B304" t="s">
        <v>1225</v>
      </c>
      <c r="C304" t="s">
        <v>1123</v>
      </c>
      <c r="D304" t="s">
        <v>15</v>
      </c>
      <c r="E304">
        <v>1280</v>
      </c>
      <c r="F304" t="s">
        <v>1224</v>
      </c>
      <c r="G304" t="s">
        <v>1219</v>
      </c>
      <c r="H304" t="s">
        <v>1210</v>
      </c>
    </row>
    <row r="305" spans="1:8" x14ac:dyDescent="0.45">
      <c r="A305" t="s">
        <v>417</v>
      </c>
      <c r="B305" t="s">
        <v>1217</v>
      </c>
      <c r="C305" t="s">
        <v>1116</v>
      </c>
      <c r="D305" t="s">
        <v>1132</v>
      </c>
      <c r="E305">
        <v>1382</v>
      </c>
      <c r="F305" t="s">
        <v>1227</v>
      </c>
      <c r="G305" t="s">
        <v>1219</v>
      </c>
      <c r="H305" t="s">
        <v>1210</v>
      </c>
    </row>
    <row r="306" spans="1:8" x14ac:dyDescent="0.45">
      <c r="A306" t="s">
        <v>418</v>
      </c>
      <c r="B306" t="s">
        <v>1225</v>
      </c>
      <c r="C306" t="s">
        <v>1125</v>
      </c>
      <c r="D306" t="s">
        <v>110</v>
      </c>
      <c r="E306">
        <v>2965</v>
      </c>
      <c r="F306" t="s">
        <v>1218</v>
      </c>
      <c r="G306" t="s">
        <v>1221</v>
      </c>
      <c r="H306" t="s">
        <v>1210</v>
      </c>
    </row>
    <row r="307" spans="1:8" x14ac:dyDescent="0.45">
      <c r="A307" t="s">
        <v>419</v>
      </c>
      <c r="B307" t="s">
        <v>1223</v>
      </c>
      <c r="C307" t="s">
        <v>1117</v>
      </c>
      <c r="D307" t="s">
        <v>60</v>
      </c>
      <c r="E307">
        <v>1371</v>
      </c>
      <c r="F307" t="s">
        <v>1224</v>
      </c>
      <c r="G307" t="s">
        <v>1219</v>
      </c>
      <c r="H307" t="s">
        <v>1210</v>
      </c>
    </row>
    <row r="308" spans="1:8" x14ac:dyDescent="0.45">
      <c r="A308" t="s">
        <v>420</v>
      </c>
      <c r="B308" t="s">
        <v>1225</v>
      </c>
      <c r="C308" t="s">
        <v>1118</v>
      </c>
      <c r="D308" t="s">
        <v>62</v>
      </c>
      <c r="E308">
        <v>1613</v>
      </c>
      <c r="F308" t="s">
        <v>1218</v>
      </c>
      <c r="G308" t="s">
        <v>1219</v>
      </c>
      <c r="H308" t="s">
        <v>1210</v>
      </c>
    </row>
    <row r="309" spans="1:8" x14ac:dyDescent="0.45">
      <c r="A309" t="s">
        <v>421</v>
      </c>
      <c r="B309" t="s">
        <v>1223</v>
      </c>
      <c r="C309" t="s">
        <v>1127</v>
      </c>
      <c r="D309" t="s">
        <v>10</v>
      </c>
      <c r="E309">
        <v>1470</v>
      </c>
      <c r="F309" t="s">
        <v>1220</v>
      </c>
      <c r="G309" t="s">
        <v>1219</v>
      </c>
      <c r="H309" t="s">
        <v>1210</v>
      </c>
    </row>
    <row r="310" spans="1:8" x14ac:dyDescent="0.45">
      <c r="A310" t="s">
        <v>422</v>
      </c>
      <c r="B310" t="s">
        <v>1217</v>
      </c>
      <c r="C310" t="s">
        <v>1126</v>
      </c>
      <c r="D310" t="s">
        <v>71</v>
      </c>
      <c r="E310">
        <v>635</v>
      </c>
      <c r="F310" t="s">
        <v>1236</v>
      </c>
      <c r="G310" t="s">
        <v>1219</v>
      </c>
      <c r="H310" t="s">
        <v>1210</v>
      </c>
    </row>
    <row r="311" spans="1:8" x14ac:dyDescent="0.45">
      <c r="A311" t="s">
        <v>423</v>
      </c>
      <c r="B311" t="s">
        <v>1223</v>
      </c>
      <c r="C311" t="s">
        <v>1121</v>
      </c>
      <c r="D311" t="s">
        <v>77</v>
      </c>
      <c r="E311">
        <v>1155</v>
      </c>
      <c r="F311" t="s">
        <v>1220</v>
      </c>
      <c r="G311" t="s">
        <v>1219</v>
      </c>
      <c r="H311" t="s">
        <v>1210</v>
      </c>
    </row>
    <row r="312" spans="1:8" x14ac:dyDescent="0.45">
      <c r="A312" t="s">
        <v>424</v>
      </c>
      <c r="B312" t="s">
        <v>1225</v>
      </c>
      <c r="C312" t="s">
        <v>1119</v>
      </c>
      <c r="D312" t="s">
        <v>67</v>
      </c>
      <c r="E312">
        <v>1575</v>
      </c>
      <c r="F312" t="s">
        <v>1239</v>
      </c>
      <c r="G312" t="s">
        <v>1219</v>
      </c>
      <c r="H312" t="s">
        <v>1210</v>
      </c>
    </row>
    <row r="313" spans="1:8" x14ac:dyDescent="0.45">
      <c r="A313" t="s">
        <v>425</v>
      </c>
      <c r="B313" t="s">
        <v>1223</v>
      </c>
      <c r="C313" t="s">
        <v>1124</v>
      </c>
      <c r="D313" t="s">
        <v>63</v>
      </c>
      <c r="E313">
        <v>1255</v>
      </c>
      <c r="F313" t="s">
        <v>1224</v>
      </c>
      <c r="G313" t="s">
        <v>1219</v>
      </c>
      <c r="H313" t="s">
        <v>1210</v>
      </c>
    </row>
    <row r="314" spans="1:8" x14ac:dyDescent="0.45">
      <c r="A314" t="s">
        <v>426</v>
      </c>
      <c r="B314" t="s">
        <v>1225</v>
      </c>
      <c r="C314" t="s">
        <v>1125</v>
      </c>
      <c r="D314" t="s">
        <v>39</v>
      </c>
      <c r="E314">
        <v>610</v>
      </c>
      <c r="F314" t="s">
        <v>1220</v>
      </c>
      <c r="G314" t="s">
        <v>1219</v>
      </c>
      <c r="H314" t="s">
        <v>1210</v>
      </c>
    </row>
    <row r="315" spans="1:8" x14ac:dyDescent="0.45">
      <c r="A315" t="s">
        <v>427</v>
      </c>
      <c r="B315" t="s">
        <v>1223</v>
      </c>
      <c r="C315" t="s">
        <v>1117</v>
      </c>
      <c r="D315" t="s">
        <v>70</v>
      </c>
      <c r="E315">
        <v>1435</v>
      </c>
      <c r="F315" t="s">
        <v>1227</v>
      </c>
      <c r="G315" t="s">
        <v>1219</v>
      </c>
      <c r="H315" t="s">
        <v>1210</v>
      </c>
    </row>
    <row r="316" spans="1:8" x14ac:dyDescent="0.45">
      <c r="A316" t="s">
        <v>428</v>
      </c>
      <c r="B316" t="s">
        <v>1217</v>
      </c>
      <c r="C316" t="s">
        <v>1120</v>
      </c>
      <c r="D316" t="s">
        <v>22</v>
      </c>
      <c r="E316">
        <v>1613</v>
      </c>
      <c r="F316" t="s">
        <v>1224</v>
      </c>
      <c r="G316" t="s">
        <v>1219</v>
      </c>
      <c r="H316" t="s">
        <v>1210</v>
      </c>
    </row>
    <row r="317" spans="1:8" x14ac:dyDescent="0.45">
      <c r="A317" t="s">
        <v>429</v>
      </c>
      <c r="B317" t="s">
        <v>1217</v>
      </c>
      <c r="C317" t="s">
        <v>1114</v>
      </c>
      <c r="D317" t="s">
        <v>24</v>
      </c>
      <c r="E317">
        <v>1914</v>
      </c>
      <c r="F317" t="s">
        <v>1224</v>
      </c>
      <c r="G317" t="s">
        <v>1219</v>
      </c>
      <c r="H317" t="s">
        <v>1210</v>
      </c>
    </row>
    <row r="318" spans="1:8" x14ac:dyDescent="0.45">
      <c r="A318" t="s">
        <v>430</v>
      </c>
      <c r="B318" t="s">
        <v>1225</v>
      </c>
      <c r="C318" t="s">
        <v>1125</v>
      </c>
      <c r="D318" t="s">
        <v>93</v>
      </c>
      <c r="E318">
        <v>955</v>
      </c>
      <c r="F318" t="s">
        <v>1224</v>
      </c>
      <c r="G318" t="s">
        <v>1221</v>
      </c>
      <c r="H318" t="s">
        <v>1210</v>
      </c>
    </row>
    <row r="319" spans="1:8" x14ac:dyDescent="0.45">
      <c r="A319" t="s">
        <v>431</v>
      </c>
      <c r="B319" t="s">
        <v>1223</v>
      </c>
      <c r="C319" t="s">
        <v>1122</v>
      </c>
      <c r="D319" t="s">
        <v>1135</v>
      </c>
      <c r="E319">
        <v>1685</v>
      </c>
      <c r="F319" t="s">
        <v>1228</v>
      </c>
      <c r="G319" t="s">
        <v>1219</v>
      </c>
      <c r="H319" t="s">
        <v>1210</v>
      </c>
    </row>
    <row r="320" spans="1:8" x14ac:dyDescent="0.45">
      <c r="A320" t="s">
        <v>432</v>
      </c>
      <c r="B320" t="s">
        <v>1217</v>
      </c>
      <c r="C320" t="s">
        <v>1126</v>
      </c>
      <c r="D320" t="s">
        <v>97</v>
      </c>
      <c r="E320">
        <v>1963</v>
      </c>
      <c r="F320" t="s">
        <v>1220</v>
      </c>
      <c r="G320" t="s">
        <v>1221</v>
      </c>
      <c r="H320" t="s">
        <v>1210</v>
      </c>
    </row>
    <row r="321" spans="1:8" x14ac:dyDescent="0.45">
      <c r="A321" t="s">
        <v>433</v>
      </c>
      <c r="B321" t="s">
        <v>1217</v>
      </c>
      <c r="C321" t="s">
        <v>1126</v>
      </c>
      <c r="D321" t="s">
        <v>1135</v>
      </c>
      <c r="E321">
        <v>661</v>
      </c>
      <c r="F321" t="s">
        <v>1224</v>
      </c>
      <c r="G321" t="s">
        <v>1219</v>
      </c>
      <c r="H321" t="s">
        <v>1210</v>
      </c>
    </row>
    <row r="322" spans="1:8" x14ac:dyDescent="0.45">
      <c r="A322" t="s">
        <v>434</v>
      </c>
      <c r="B322" t="s">
        <v>1223</v>
      </c>
      <c r="C322" t="s">
        <v>1121</v>
      </c>
      <c r="D322" t="s">
        <v>70</v>
      </c>
      <c r="E322">
        <v>664</v>
      </c>
      <c r="F322" t="s">
        <v>1224</v>
      </c>
      <c r="G322" t="s">
        <v>1219</v>
      </c>
      <c r="H322" t="s">
        <v>1210</v>
      </c>
    </row>
    <row r="323" spans="1:8" x14ac:dyDescent="0.45">
      <c r="A323" t="s">
        <v>435</v>
      </c>
      <c r="B323" t="s">
        <v>1223</v>
      </c>
      <c r="C323" t="s">
        <v>1127</v>
      </c>
      <c r="D323" t="s">
        <v>65</v>
      </c>
      <c r="E323">
        <v>1408</v>
      </c>
      <c r="F323" t="s">
        <v>1220</v>
      </c>
      <c r="G323" t="s">
        <v>1219</v>
      </c>
      <c r="H323" t="s">
        <v>1210</v>
      </c>
    </row>
    <row r="324" spans="1:8" x14ac:dyDescent="0.45">
      <c r="A324" t="s">
        <v>436</v>
      </c>
      <c r="B324" t="s">
        <v>1225</v>
      </c>
      <c r="C324" t="s">
        <v>1128</v>
      </c>
      <c r="D324" t="s">
        <v>1133</v>
      </c>
      <c r="E324">
        <v>1127</v>
      </c>
      <c r="F324" t="s">
        <v>1220</v>
      </c>
      <c r="G324" t="s">
        <v>1219</v>
      </c>
      <c r="H324" t="s">
        <v>1210</v>
      </c>
    </row>
    <row r="325" spans="1:8" x14ac:dyDescent="0.45">
      <c r="A325" t="s">
        <v>437</v>
      </c>
      <c r="B325" t="s">
        <v>1217</v>
      </c>
      <c r="C325" t="s">
        <v>1115</v>
      </c>
      <c r="D325" t="s">
        <v>29</v>
      </c>
      <c r="E325">
        <v>1840</v>
      </c>
      <c r="F325" t="s">
        <v>1220</v>
      </c>
      <c r="G325" t="s">
        <v>1219</v>
      </c>
      <c r="H325" t="s">
        <v>1210</v>
      </c>
    </row>
    <row r="326" spans="1:8" x14ac:dyDescent="0.45">
      <c r="A326" t="s">
        <v>438</v>
      </c>
      <c r="B326" t="s">
        <v>1225</v>
      </c>
      <c r="C326" t="s">
        <v>1128</v>
      </c>
      <c r="D326" t="s">
        <v>60</v>
      </c>
      <c r="E326">
        <v>2649</v>
      </c>
      <c r="F326" t="s">
        <v>1220</v>
      </c>
      <c r="G326" t="s">
        <v>1219</v>
      </c>
      <c r="H326" t="s">
        <v>1210</v>
      </c>
    </row>
    <row r="327" spans="1:8" x14ac:dyDescent="0.45">
      <c r="A327" t="s">
        <v>439</v>
      </c>
      <c r="B327" t="s">
        <v>1223</v>
      </c>
      <c r="C327" t="s">
        <v>1121</v>
      </c>
      <c r="D327" t="s">
        <v>1132</v>
      </c>
      <c r="E327">
        <v>799</v>
      </c>
      <c r="F327" t="s">
        <v>1224</v>
      </c>
      <c r="G327" t="s">
        <v>1219</v>
      </c>
      <c r="H327" t="s">
        <v>1210</v>
      </c>
    </row>
    <row r="328" spans="1:8" x14ac:dyDescent="0.45">
      <c r="A328" t="s">
        <v>440</v>
      </c>
      <c r="B328" t="s">
        <v>1223</v>
      </c>
      <c r="C328" t="s">
        <v>1121</v>
      </c>
      <c r="D328" t="s">
        <v>33</v>
      </c>
      <c r="E328">
        <v>849</v>
      </c>
      <c r="F328" t="s">
        <v>1224</v>
      </c>
      <c r="G328" t="s">
        <v>1219</v>
      </c>
      <c r="H328" t="s">
        <v>1210</v>
      </c>
    </row>
    <row r="329" spans="1:8" x14ac:dyDescent="0.45">
      <c r="A329" t="s">
        <v>441</v>
      </c>
      <c r="B329" t="s">
        <v>1225</v>
      </c>
      <c r="C329" t="s">
        <v>1128</v>
      </c>
      <c r="D329" t="s">
        <v>55</v>
      </c>
      <c r="E329">
        <v>2038</v>
      </c>
      <c r="F329" t="s">
        <v>1224</v>
      </c>
      <c r="G329" t="s">
        <v>1219</v>
      </c>
      <c r="H329" t="s">
        <v>1210</v>
      </c>
    </row>
    <row r="330" spans="1:8" x14ac:dyDescent="0.45">
      <c r="A330" t="s">
        <v>442</v>
      </c>
      <c r="B330" t="s">
        <v>1223</v>
      </c>
      <c r="C330" t="s">
        <v>1127</v>
      </c>
      <c r="D330" t="s">
        <v>54</v>
      </c>
      <c r="E330">
        <v>725</v>
      </c>
      <c r="F330" t="s">
        <v>1224</v>
      </c>
      <c r="G330" t="s">
        <v>1219</v>
      </c>
      <c r="H330" t="s">
        <v>1210</v>
      </c>
    </row>
    <row r="331" spans="1:8" x14ac:dyDescent="0.45">
      <c r="A331" t="s">
        <v>443</v>
      </c>
      <c r="B331" t="s">
        <v>1217</v>
      </c>
      <c r="C331" t="s">
        <v>1114</v>
      </c>
      <c r="D331" t="s">
        <v>64</v>
      </c>
      <c r="E331">
        <v>2076</v>
      </c>
      <c r="F331" t="s">
        <v>1227</v>
      </c>
      <c r="G331" t="s">
        <v>1219</v>
      </c>
      <c r="H331" t="s">
        <v>1210</v>
      </c>
    </row>
    <row r="332" spans="1:8" x14ac:dyDescent="0.45">
      <c r="A332" t="s">
        <v>444</v>
      </c>
      <c r="B332" t="s">
        <v>1225</v>
      </c>
      <c r="C332" t="s">
        <v>1125</v>
      </c>
      <c r="D332" t="s">
        <v>101</v>
      </c>
      <c r="E332">
        <v>1914</v>
      </c>
      <c r="F332" t="s">
        <v>1218</v>
      </c>
      <c r="G332" t="s">
        <v>1219</v>
      </c>
      <c r="H332" t="s">
        <v>1210</v>
      </c>
    </row>
    <row r="333" spans="1:8" x14ac:dyDescent="0.45">
      <c r="A333" t="s">
        <v>445</v>
      </c>
      <c r="B333" t="s">
        <v>1223</v>
      </c>
      <c r="C333" t="s">
        <v>1122</v>
      </c>
      <c r="D333" t="s">
        <v>85</v>
      </c>
      <c r="E333">
        <v>2795</v>
      </c>
      <c r="F333" t="s">
        <v>1224</v>
      </c>
      <c r="G333" t="s">
        <v>1219</v>
      </c>
      <c r="H333" t="s">
        <v>1210</v>
      </c>
    </row>
    <row r="334" spans="1:8" x14ac:dyDescent="0.45">
      <c r="A334" t="s">
        <v>446</v>
      </c>
      <c r="B334" t="s">
        <v>1225</v>
      </c>
      <c r="C334" t="s">
        <v>1128</v>
      </c>
      <c r="D334" t="s">
        <v>1141</v>
      </c>
      <c r="E334">
        <v>1304</v>
      </c>
      <c r="F334" t="s">
        <v>1220</v>
      </c>
      <c r="G334" t="s">
        <v>1219</v>
      </c>
      <c r="H334" t="s">
        <v>1210</v>
      </c>
    </row>
    <row r="335" spans="1:8" x14ac:dyDescent="0.45">
      <c r="A335" t="s">
        <v>447</v>
      </c>
      <c r="B335" t="s">
        <v>1217</v>
      </c>
      <c r="C335" t="s">
        <v>1126</v>
      </c>
      <c r="D335" t="s">
        <v>20</v>
      </c>
      <c r="E335">
        <v>1429</v>
      </c>
      <c r="F335" t="s">
        <v>1224</v>
      </c>
      <c r="G335" t="s">
        <v>1219</v>
      </c>
      <c r="H335" t="s">
        <v>1210</v>
      </c>
    </row>
    <row r="336" spans="1:8" x14ac:dyDescent="0.45">
      <c r="A336" t="s">
        <v>448</v>
      </c>
      <c r="B336" t="s">
        <v>1217</v>
      </c>
      <c r="C336" t="s">
        <v>1120</v>
      </c>
      <c r="D336" t="s">
        <v>1133</v>
      </c>
      <c r="E336">
        <v>1138</v>
      </c>
      <c r="F336" t="s">
        <v>1220</v>
      </c>
      <c r="G336" t="s">
        <v>1219</v>
      </c>
      <c r="H336" t="s">
        <v>1210</v>
      </c>
    </row>
    <row r="337" spans="1:8" x14ac:dyDescent="0.45">
      <c r="A337" t="s">
        <v>449</v>
      </c>
      <c r="B337" t="s">
        <v>1223</v>
      </c>
      <c r="C337" t="s">
        <v>1117</v>
      </c>
      <c r="D337" t="s">
        <v>1142</v>
      </c>
      <c r="E337">
        <v>906</v>
      </c>
      <c r="F337" t="s">
        <v>1220</v>
      </c>
      <c r="G337" t="s">
        <v>1219</v>
      </c>
      <c r="H337" t="s">
        <v>1210</v>
      </c>
    </row>
    <row r="338" spans="1:8" x14ac:dyDescent="0.45">
      <c r="A338" t="s">
        <v>450</v>
      </c>
      <c r="B338" t="s">
        <v>1223</v>
      </c>
      <c r="C338" t="s">
        <v>1121</v>
      </c>
      <c r="D338" t="s">
        <v>100</v>
      </c>
      <c r="E338">
        <v>2220</v>
      </c>
      <c r="F338" t="s">
        <v>1220</v>
      </c>
      <c r="G338" t="s">
        <v>1219</v>
      </c>
      <c r="H338" t="s">
        <v>1210</v>
      </c>
    </row>
    <row r="339" spans="1:8" x14ac:dyDescent="0.45">
      <c r="A339" t="s">
        <v>451</v>
      </c>
      <c r="B339" t="s">
        <v>1217</v>
      </c>
      <c r="C339" t="s">
        <v>1114</v>
      </c>
      <c r="D339" t="s">
        <v>67</v>
      </c>
      <c r="E339">
        <v>1131</v>
      </c>
      <c r="F339" t="s">
        <v>1227</v>
      </c>
      <c r="G339" t="s">
        <v>1219</v>
      </c>
      <c r="H339" t="s">
        <v>1210</v>
      </c>
    </row>
    <row r="340" spans="1:8" x14ac:dyDescent="0.45">
      <c r="A340" t="s">
        <v>452</v>
      </c>
      <c r="B340" t="s">
        <v>1217</v>
      </c>
      <c r="C340" t="s">
        <v>1114</v>
      </c>
      <c r="D340" t="s">
        <v>92</v>
      </c>
      <c r="E340">
        <v>812</v>
      </c>
      <c r="F340" t="s">
        <v>1224</v>
      </c>
      <c r="G340" t="s">
        <v>1219</v>
      </c>
      <c r="H340" t="s">
        <v>1210</v>
      </c>
    </row>
    <row r="341" spans="1:8" x14ac:dyDescent="0.45">
      <c r="A341" t="s">
        <v>453</v>
      </c>
      <c r="B341" t="s">
        <v>1223</v>
      </c>
      <c r="C341" t="s">
        <v>1121</v>
      </c>
      <c r="D341" t="s">
        <v>41</v>
      </c>
      <c r="E341">
        <v>3234</v>
      </c>
      <c r="F341" t="s">
        <v>1224</v>
      </c>
      <c r="G341" t="s">
        <v>1221</v>
      </c>
      <c r="H341" t="s">
        <v>1210</v>
      </c>
    </row>
    <row r="342" spans="1:8" x14ac:dyDescent="0.45">
      <c r="A342" t="s">
        <v>454</v>
      </c>
      <c r="B342" t="s">
        <v>1223</v>
      </c>
      <c r="C342" t="s">
        <v>1117</v>
      </c>
      <c r="D342" t="s">
        <v>110</v>
      </c>
      <c r="E342">
        <v>3257</v>
      </c>
      <c r="F342" t="s">
        <v>1236</v>
      </c>
      <c r="G342" t="s">
        <v>1219</v>
      </c>
      <c r="H342" t="s">
        <v>1210</v>
      </c>
    </row>
    <row r="343" spans="1:8" x14ac:dyDescent="0.45">
      <c r="A343" t="s">
        <v>455</v>
      </c>
      <c r="B343" t="s">
        <v>1223</v>
      </c>
      <c r="C343" t="s">
        <v>1121</v>
      </c>
      <c r="D343" t="s">
        <v>1130</v>
      </c>
      <c r="E343">
        <v>1594</v>
      </c>
      <c r="F343" t="s">
        <v>1224</v>
      </c>
      <c r="G343" t="s">
        <v>1219</v>
      </c>
      <c r="H343" t="s">
        <v>1210</v>
      </c>
    </row>
    <row r="344" spans="1:8" x14ac:dyDescent="0.45">
      <c r="A344" t="s">
        <v>456</v>
      </c>
      <c r="B344" t="s">
        <v>1217</v>
      </c>
      <c r="C344" t="s">
        <v>1126</v>
      </c>
      <c r="D344" t="s">
        <v>23</v>
      </c>
      <c r="E344">
        <v>2667</v>
      </c>
      <c r="F344" t="s">
        <v>1224</v>
      </c>
      <c r="G344" t="s">
        <v>1219</v>
      </c>
      <c r="H344" t="s">
        <v>1210</v>
      </c>
    </row>
    <row r="345" spans="1:8" x14ac:dyDescent="0.45">
      <c r="A345" t="s">
        <v>457</v>
      </c>
      <c r="B345" t="s">
        <v>1223</v>
      </c>
      <c r="C345" t="s">
        <v>1117</v>
      </c>
      <c r="D345" t="s">
        <v>47</v>
      </c>
      <c r="E345">
        <v>1446</v>
      </c>
      <c r="F345" t="s">
        <v>1220</v>
      </c>
      <c r="G345" t="s">
        <v>1219</v>
      </c>
      <c r="H345" t="s">
        <v>1210</v>
      </c>
    </row>
    <row r="346" spans="1:8" x14ac:dyDescent="0.45">
      <c r="A346" t="s">
        <v>458</v>
      </c>
      <c r="B346" t="s">
        <v>1223</v>
      </c>
      <c r="C346" t="s">
        <v>1127</v>
      </c>
      <c r="D346" t="s">
        <v>5</v>
      </c>
      <c r="E346">
        <v>1004</v>
      </c>
      <c r="F346" t="s">
        <v>1227</v>
      </c>
      <c r="G346" t="s">
        <v>1219</v>
      </c>
      <c r="H346" t="s">
        <v>1210</v>
      </c>
    </row>
    <row r="347" spans="1:8" x14ac:dyDescent="0.45">
      <c r="A347" t="s">
        <v>459</v>
      </c>
      <c r="B347" t="s">
        <v>1223</v>
      </c>
      <c r="C347" t="s">
        <v>1121</v>
      </c>
      <c r="D347" t="s">
        <v>45</v>
      </c>
      <c r="E347">
        <v>1181</v>
      </c>
      <c r="F347" t="s">
        <v>1220</v>
      </c>
      <c r="G347" t="s">
        <v>1219</v>
      </c>
      <c r="H347" t="s">
        <v>1210</v>
      </c>
    </row>
    <row r="348" spans="1:8" x14ac:dyDescent="0.45">
      <c r="A348" t="s">
        <v>460</v>
      </c>
      <c r="B348" t="s">
        <v>1225</v>
      </c>
      <c r="C348" t="s">
        <v>1125</v>
      </c>
      <c r="D348" t="s">
        <v>57</v>
      </c>
      <c r="E348">
        <v>2198</v>
      </c>
      <c r="F348" t="s">
        <v>1220</v>
      </c>
      <c r="G348" t="s">
        <v>1219</v>
      </c>
      <c r="H348" t="s">
        <v>1210</v>
      </c>
    </row>
    <row r="349" spans="1:8" x14ac:dyDescent="0.45">
      <c r="A349" t="s">
        <v>461</v>
      </c>
      <c r="B349" t="s">
        <v>1225</v>
      </c>
      <c r="C349" t="s">
        <v>1128</v>
      </c>
      <c r="D349" t="s">
        <v>52</v>
      </c>
      <c r="E349">
        <v>2071</v>
      </c>
      <c r="F349" t="s">
        <v>1220</v>
      </c>
      <c r="G349" t="s">
        <v>1219</v>
      </c>
      <c r="H349" t="s">
        <v>1210</v>
      </c>
    </row>
    <row r="350" spans="1:8" x14ac:dyDescent="0.45">
      <c r="A350" t="s">
        <v>462</v>
      </c>
      <c r="B350" t="s">
        <v>1225</v>
      </c>
      <c r="C350" t="s">
        <v>1128</v>
      </c>
      <c r="D350" t="s">
        <v>100</v>
      </c>
      <c r="E350">
        <v>1268</v>
      </c>
      <c r="F350" t="s">
        <v>1224</v>
      </c>
      <c r="G350" t="s">
        <v>1221</v>
      </c>
      <c r="H350" t="s">
        <v>1210</v>
      </c>
    </row>
    <row r="351" spans="1:8" x14ac:dyDescent="0.45">
      <c r="A351" t="s">
        <v>463</v>
      </c>
      <c r="B351" t="s">
        <v>1225</v>
      </c>
      <c r="C351" t="s">
        <v>1125</v>
      </c>
      <c r="D351" t="s">
        <v>99</v>
      </c>
      <c r="E351">
        <v>545</v>
      </c>
      <c r="F351" t="s">
        <v>1218</v>
      </c>
      <c r="G351" t="s">
        <v>1221</v>
      </c>
      <c r="H351" t="s">
        <v>1210</v>
      </c>
    </row>
    <row r="352" spans="1:8" x14ac:dyDescent="0.45">
      <c r="A352" t="s">
        <v>464</v>
      </c>
      <c r="B352" t="s">
        <v>1223</v>
      </c>
      <c r="C352" t="s">
        <v>1122</v>
      </c>
      <c r="D352" t="s">
        <v>1140</v>
      </c>
      <c r="E352">
        <v>1655</v>
      </c>
      <c r="F352" t="s">
        <v>1224</v>
      </c>
      <c r="G352" t="s">
        <v>1219</v>
      </c>
      <c r="H352" t="s">
        <v>1210</v>
      </c>
    </row>
    <row r="353" spans="1:8" x14ac:dyDescent="0.45">
      <c r="A353" t="s">
        <v>465</v>
      </c>
      <c r="B353" t="s">
        <v>1217</v>
      </c>
      <c r="C353" t="s">
        <v>1114</v>
      </c>
      <c r="D353" t="s">
        <v>84</v>
      </c>
      <c r="E353">
        <v>2192</v>
      </c>
      <c r="F353" t="s">
        <v>1227</v>
      </c>
      <c r="G353" t="s">
        <v>1219</v>
      </c>
      <c r="H353" t="s">
        <v>1210</v>
      </c>
    </row>
    <row r="354" spans="1:8" x14ac:dyDescent="0.45">
      <c r="A354" t="s">
        <v>466</v>
      </c>
      <c r="B354" t="s">
        <v>1223</v>
      </c>
      <c r="C354" t="s">
        <v>1127</v>
      </c>
      <c r="D354" t="s">
        <v>28</v>
      </c>
      <c r="E354">
        <v>2382</v>
      </c>
      <c r="F354" t="s">
        <v>1227</v>
      </c>
      <c r="G354" t="s">
        <v>1219</v>
      </c>
      <c r="H354" t="s">
        <v>1210</v>
      </c>
    </row>
    <row r="355" spans="1:8" x14ac:dyDescent="0.45">
      <c r="A355" t="s">
        <v>467</v>
      </c>
      <c r="B355" t="s">
        <v>1217</v>
      </c>
      <c r="C355" t="s">
        <v>1126</v>
      </c>
      <c r="D355" t="s">
        <v>100</v>
      </c>
      <c r="E355">
        <v>771</v>
      </c>
      <c r="F355" t="s">
        <v>1224</v>
      </c>
      <c r="G355" t="s">
        <v>1219</v>
      </c>
      <c r="H355" t="s">
        <v>1210</v>
      </c>
    </row>
    <row r="356" spans="1:8" x14ac:dyDescent="0.45">
      <c r="A356" t="s">
        <v>468</v>
      </c>
      <c r="B356" t="s">
        <v>1217</v>
      </c>
      <c r="C356" t="s">
        <v>1114</v>
      </c>
      <c r="D356" t="s">
        <v>5</v>
      </c>
      <c r="E356">
        <v>2119</v>
      </c>
      <c r="F356" t="s">
        <v>1227</v>
      </c>
      <c r="G356" t="s">
        <v>1219</v>
      </c>
      <c r="H356" t="s">
        <v>1210</v>
      </c>
    </row>
    <row r="357" spans="1:8" x14ac:dyDescent="0.45">
      <c r="A357" t="s">
        <v>469</v>
      </c>
      <c r="B357" t="s">
        <v>1217</v>
      </c>
      <c r="C357" t="s">
        <v>1116</v>
      </c>
      <c r="D357" t="s">
        <v>1143</v>
      </c>
      <c r="E357">
        <v>1319</v>
      </c>
      <c r="F357" t="s">
        <v>1224</v>
      </c>
      <c r="G357" t="s">
        <v>1219</v>
      </c>
      <c r="H357" t="s">
        <v>1210</v>
      </c>
    </row>
    <row r="358" spans="1:8" x14ac:dyDescent="0.45">
      <c r="A358" t="s">
        <v>470</v>
      </c>
      <c r="B358" t="s">
        <v>1217</v>
      </c>
      <c r="C358" t="s">
        <v>1120</v>
      </c>
      <c r="D358" t="s">
        <v>103</v>
      </c>
      <c r="E358">
        <v>1377</v>
      </c>
      <c r="F358" t="s">
        <v>1220</v>
      </c>
      <c r="G358" t="s">
        <v>1219</v>
      </c>
      <c r="H358" t="s">
        <v>1210</v>
      </c>
    </row>
    <row r="359" spans="1:8" x14ac:dyDescent="0.45">
      <c r="A359" t="s">
        <v>471</v>
      </c>
      <c r="B359" t="s">
        <v>1217</v>
      </c>
      <c r="C359" t="s">
        <v>1120</v>
      </c>
      <c r="D359" t="s">
        <v>78</v>
      </c>
      <c r="E359">
        <v>1676</v>
      </c>
      <c r="F359" t="s">
        <v>1224</v>
      </c>
      <c r="G359" t="s">
        <v>1219</v>
      </c>
      <c r="H359" t="s">
        <v>1210</v>
      </c>
    </row>
    <row r="360" spans="1:8" x14ac:dyDescent="0.45">
      <c r="A360" t="s">
        <v>472</v>
      </c>
      <c r="B360" t="s">
        <v>1217</v>
      </c>
      <c r="C360" t="s">
        <v>1115</v>
      </c>
      <c r="D360" t="s">
        <v>8</v>
      </c>
      <c r="E360">
        <v>1994</v>
      </c>
      <c r="F360" t="s">
        <v>1224</v>
      </c>
      <c r="G360" t="s">
        <v>1219</v>
      </c>
      <c r="H360" t="s">
        <v>1210</v>
      </c>
    </row>
    <row r="361" spans="1:8" x14ac:dyDescent="0.45">
      <c r="A361" t="s">
        <v>473</v>
      </c>
      <c r="B361" t="s">
        <v>1217</v>
      </c>
      <c r="C361" t="s">
        <v>1115</v>
      </c>
      <c r="D361" t="s">
        <v>65</v>
      </c>
      <c r="E361">
        <v>544</v>
      </c>
      <c r="F361" t="s">
        <v>1220</v>
      </c>
      <c r="G361" t="s">
        <v>1219</v>
      </c>
      <c r="H361" t="s">
        <v>1210</v>
      </c>
    </row>
    <row r="362" spans="1:8" x14ac:dyDescent="0.45">
      <c r="A362" t="s">
        <v>474</v>
      </c>
      <c r="B362" t="s">
        <v>1217</v>
      </c>
      <c r="C362" t="s">
        <v>1115</v>
      </c>
      <c r="D362" t="s">
        <v>28</v>
      </c>
      <c r="E362">
        <v>2407</v>
      </c>
      <c r="F362" t="s">
        <v>1220</v>
      </c>
      <c r="G362" t="s">
        <v>1219</v>
      </c>
      <c r="H362" t="s">
        <v>1210</v>
      </c>
    </row>
    <row r="363" spans="1:8" x14ac:dyDescent="0.45">
      <c r="A363" t="s">
        <v>475</v>
      </c>
      <c r="B363" t="s">
        <v>1217</v>
      </c>
      <c r="C363" t="s">
        <v>1120</v>
      </c>
      <c r="D363" t="s">
        <v>1140</v>
      </c>
      <c r="E363">
        <v>1771</v>
      </c>
      <c r="F363" t="s">
        <v>1224</v>
      </c>
      <c r="G363" t="s">
        <v>1219</v>
      </c>
      <c r="H363" t="s">
        <v>1210</v>
      </c>
    </row>
    <row r="364" spans="1:8" x14ac:dyDescent="0.45">
      <c r="A364" t="s">
        <v>476</v>
      </c>
      <c r="B364" t="s">
        <v>1223</v>
      </c>
      <c r="C364" t="s">
        <v>1121</v>
      </c>
      <c r="D364" t="s">
        <v>18</v>
      </c>
      <c r="E364">
        <v>538</v>
      </c>
      <c r="F364" t="s">
        <v>1220</v>
      </c>
      <c r="G364" t="s">
        <v>1219</v>
      </c>
      <c r="H364" t="s">
        <v>1210</v>
      </c>
    </row>
    <row r="365" spans="1:8" x14ac:dyDescent="0.45">
      <c r="A365" t="s">
        <v>477</v>
      </c>
      <c r="B365" t="s">
        <v>1223</v>
      </c>
      <c r="C365" t="s">
        <v>1121</v>
      </c>
      <c r="D365" t="s">
        <v>5</v>
      </c>
      <c r="E365">
        <v>708</v>
      </c>
      <c r="F365" t="s">
        <v>1224</v>
      </c>
      <c r="G365" t="s">
        <v>1219</v>
      </c>
      <c r="H365" t="s">
        <v>1210</v>
      </c>
    </row>
    <row r="366" spans="1:8" x14ac:dyDescent="0.45">
      <c r="A366" t="s">
        <v>478</v>
      </c>
      <c r="B366" t="s">
        <v>1217</v>
      </c>
      <c r="C366" t="s">
        <v>1114</v>
      </c>
      <c r="D366" t="s">
        <v>1137</v>
      </c>
      <c r="E366">
        <v>1736</v>
      </c>
      <c r="F366" t="s">
        <v>1220</v>
      </c>
      <c r="G366" t="s">
        <v>1219</v>
      </c>
      <c r="H366" t="s">
        <v>1210</v>
      </c>
    </row>
    <row r="367" spans="1:8" x14ac:dyDescent="0.45">
      <c r="A367" t="s">
        <v>479</v>
      </c>
      <c r="B367" t="s">
        <v>1223</v>
      </c>
      <c r="C367" t="s">
        <v>1124</v>
      </c>
      <c r="D367" t="s">
        <v>107</v>
      </c>
      <c r="E367">
        <v>722</v>
      </c>
      <c r="F367" t="s">
        <v>1224</v>
      </c>
      <c r="G367" t="s">
        <v>1219</v>
      </c>
      <c r="H367" t="s">
        <v>1210</v>
      </c>
    </row>
    <row r="368" spans="1:8" x14ac:dyDescent="0.45">
      <c r="A368" t="s">
        <v>480</v>
      </c>
      <c r="B368" t="s">
        <v>1225</v>
      </c>
      <c r="C368" t="s">
        <v>1123</v>
      </c>
      <c r="D368" t="s">
        <v>102</v>
      </c>
      <c r="E368">
        <v>1953</v>
      </c>
      <c r="F368" t="s">
        <v>1224</v>
      </c>
      <c r="G368" t="s">
        <v>1219</v>
      </c>
      <c r="H368" t="s">
        <v>1210</v>
      </c>
    </row>
    <row r="369" spans="1:8" x14ac:dyDescent="0.45">
      <c r="A369" t="s">
        <v>481</v>
      </c>
      <c r="B369" t="s">
        <v>1225</v>
      </c>
      <c r="C369" t="s">
        <v>1128</v>
      </c>
      <c r="D369" t="s">
        <v>1140</v>
      </c>
      <c r="E369">
        <v>1912</v>
      </c>
      <c r="F369" t="s">
        <v>1224</v>
      </c>
      <c r="G369" t="s">
        <v>1219</v>
      </c>
      <c r="H369" t="s">
        <v>1210</v>
      </c>
    </row>
    <row r="370" spans="1:8" x14ac:dyDescent="0.45">
      <c r="A370" t="s">
        <v>482</v>
      </c>
      <c r="B370" t="s">
        <v>1217</v>
      </c>
      <c r="C370" t="s">
        <v>1115</v>
      </c>
      <c r="D370" t="s">
        <v>36</v>
      </c>
      <c r="E370">
        <v>2459</v>
      </c>
      <c r="F370" t="s">
        <v>1220</v>
      </c>
      <c r="G370" t="s">
        <v>1219</v>
      </c>
      <c r="H370" t="s">
        <v>1210</v>
      </c>
    </row>
    <row r="371" spans="1:8" x14ac:dyDescent="0.45">
      <c r="A371" t="s">
        <v>483</v>
      </c>
      <c r="B371" t="s">
        <v>1225</v>
      </c>
      <c r="C371" t="s">
        <v>1118</v>
      </c>
      <c r="D371" t="s">
        <v>76</v>
      </c>
      <c r="E371">
        <v>1216</v>
      </c>
      <c r="F371" t="s">
        <v>1220</v>
      </c>
      <c r="G371" t="s">
        <v>1219</v>
      </c>
      <c r="H371" t="s">
        <v>1210</v>
      </c>
    </row>
    <row r="372" spans="1:8" x14ac:dyDescent="0.45">
      <c r="A372" t="s">
        <v>484</v>
      </c>
      <c r="B372" t="s">
        <v>1225</v>
      </c>
      <c r="C372" t="s">
        <v>1128</v>
      </c>
      <c r="D372" t="s">
        <v>107</v>
      </c>
      <c r="E372">
        <v>2362</v>
      </c>
      <c r="F372" t="s">
        <v>1220</v>
      </c>
      <c r="G372" t="s">
        <v>1219</v>
      </c>
      <c r="H372" t="s">
        <v>1210</v>
      </c>
    </row>
    <row r="373" spans="1:8" x14ac:dyDescent="0.45">
      <c r="A373" t="s">
        <v>485</v>
      </c>
      <c r="B373" t="s">
        <v>1223</v>
      </c>
      <c r="C373" t="s">
        <v>1117</v>
      </c>
      <c r="D373" t="s">
        <v>40</v>
      </c>
      <c r="E373">
        <v>1539</v>
      </c>
      <c r="F373" t="s">
        <v>1220</v>
      </c>
      <c r="G373" t="s">
        <v>1219</v>
      </c>
      <c r="H373" t="s">
        <v>1210</v>
      </c>
    </row>
    <row r="374" spans="1:8" x14ac:dyDescent="0.45">
      <c r="A374" t="s">
        <v>486</v>
      </c>
      <c r="B374" t="s">
        <v>1217</v>
      </c>
      <c r="C374" t="s">
        <v>1120</v>
      </c>
      <c r="D374" t="s">
        <v>1130</v>
      </c>
      <c r="E374">
        <v>1743</v>
      </c>
      <c r="F374" t="s">
        <v>1224</v>
      </c>
      <c r="G374" t="s">
        <v>1219</v>
      </c>
      <c r="H374" t="s">
        <v>1210</v>
      </c>
    </row>
    <row r="375" spans="1:8" x14ac:dyDescent="0.45">
      <c r="A375" t="s">
        <v>487</v>
      </c>
      <c r="B375" t="s">
        <v>1217</v>
      </c>
      <c r="C375" t="s">
        <v>1116</v>
      </c>
      <c r="D375" t="s">
        <v>88</v>
      </c>
      <c r="E375">
        <v>1978</v>
      </c>
      <c r="F375" t="s">
        <v>1224</v>
      </c>
      <c r="G375" t="s">
        <v>1219</v>
      </c>
      <c r="H375" t="s">
        <v>1210</v>
      </c>
    </row>
    <row r="376" spans="1:8" x14ac:dyDescent="0.45">
      <c r="A376" t="s">
        <v>488</v>
      </c>
      <c r="B376" t="s">
        <v>1223</v>
      </c>
      <c r="C376" t="s">
        <v>1124</v>
      </c>
      <c r="D376" t="s">
        <v>1137</v>
      </c>
      <c r="E376">
        <v>1774</v>
      </c>
      <c r="F376" t="s">
        <v>1224</v>
      </c>
      <c r="G376" t="s">
        <v>1221</v>
      </c>
      <c r="H376" t="s">
        <v>1210</v>
      </c>
    </row>
    <row r="377" spans="1:8" x14ac:dyDescent="0.45">
      <c r="A377" t="s">
        <v>489</v>
      </c>
      <c r="B377" t="s">
        <v>1217</v>
      </c>
      <c r="C377" t="s">
        <v>1114</v>
      </c>
      <c r="D377" t="s">
        <v>18</v>
      </c>
      <c r="E377">
        <v>520</v>
      </c>
      <c r="F377" t="s">
        <v>1220</v>
      </c>
      <c r="G377" t="s">
        <v>1219</v>
      </c>
      <c r="H377" t="s">
        <v>1210</v>
      </c>
    </row>
    <row r="378" spans="1:8" x14ac:dyDescent="0.45">
      <c r="A378" t="s">
        <v>490</v>
      </c>
      <c r="B378" t="s">
        <v>1217</v>
      </c>
      <c r="C378" t="s">
        <v>1115</v>
      </c>
      <c r="D378" t="s">
        <v>1129</v>
      </c>
      <c r="E378">
        <v>2639</v>
      </c>
      <c r="F378" t="s">
        <v>1220</v>
      </c>
      <c r="G378" t="s">
        <v>1219</v>
      </c>
      <c r="H378" t="s">
        <v>1210</v>
      </c>
    </row>
    <row r="379" spans="1:8" x14ac:dyDescent="0.45">
      <c r="A379" t="s">
        <v>491</v>
      </c>
      <c r="B379" t="s">
        <v>1223</v>
      </c>
      <c r="C379" t="s">
        <v>1122</v>
      </c>
      <c r="D379" t="s">
        <v>55</v>
      </c>
      <c r="E379">
        <v>1165</v>
      </c>
      <c r="F379" t="s">
        <v>1224</v>
      </c>
      <c r="G379" t="s">
        <v>1219</v>
      </c>
      <c r="H379" t="s">
        <v>1210</v>
      </c>
    </row>
    <row r="380" spans="1:8" x14ac:dyDescent="0.45">
      <c r="A380" t="s">
        <v>492</v>
      </c>
      <c r="B380" t="s">
        <v>1223</v>
      </c>
      <c r="C380" t="s">
        <v>1127</v>
      </c>
      <c r="D380" t="s">
        <v>63</v>
      </c>
      <c r="E380">
        <v>1147</v>
      </c>
      <c r="F380" t="s">
        <v>1220</v>
      </c>
      <c r="G380" t="s">
        <v>1219</v>
      </c>
      <c r="H380" t="s">
        <v>1210</v>
      </c>
    </row>
    <row r="381" spans="1:8" x14ac:dyDescent="0.45">
      <c r="A381" t="s">
        <v>493</v>
      </c>
      <c r="B381" t="s">
        <v>1217</v>
      </c>
      <c r="C381" t="s">
        <v>1120</v>
      </c>
      <c r="D381" t="s">
        <v>36</v>
      </c>
      <c r="E381">
        <v>2459</v>
      </c>
      <c r="F381" t="s">
        <v>1228</v>
      </c>
      <c r="G381" t="s">
        <v>1219</v>
      </c>
      <c r="H381" t="s">
        <v>1210</v>
      </c>
    </row>
    <row r="382" spans="1:8" x14ac:dyDescent="0.45">
      <c r="A382" t="s">
        <v>494</v>
      </c>
      <c r="B382" t="s">
        <v>1223</v>
      </c>
      <c r="C382" t="s">
        <v>1122</v>
      </c>
      <c r="D382" t="s">
        <v>7</v>
      </c>
      <c r="E382">
        <v>705</v>
      </c>
      <c r="F382" t="s">
        <v>1224</v>
      </c>
      <c r="G382" t="s">
        <v>1219</v>
      </c>
      <c r="H382" t="s">
        <v>1210</v>
      </c>
    </row>
    <row r="383" spans="1:8" x14ac:dyDescent="0.45">
      <c r="A383" t="s">
        <v>495</v>
      </c>
      <c r="B383" t="s">
        <v>1225</v>
      </c>
      <c r="C383" t="s">
        <v>1128</v>
      </c>
      <c r="D383" t="s">
        <v>47</v>
      </c>
      <c r="E383">
        <v>1429</v>
      </c>
      <c r="F383" t="s">
        <v>1220</v>
      </c>
      <c r="G383" t="s">
        <v>1221</v>
      </c>
      <c r="H383" t="s">
        <v>1210</v>
      </c>
    </row>
    <row r="384" spans="1:8" x14ac:dyDescent="0.45">
      <c r="A384" t="s">
        <v>496</v>
      </c>
      <c r="B384" t="s">
        <v>1223</v>
      </c>
      <c r="C384" t="s">
        <v>1122</v>
      </c>
      <c r="D384" t="s">
        <v>1135</v>
      </c>
      <c r="E384">
        <v>1422</v>
      </c>
      <c r="F384" t="s">
        <v>1224</v>
      </c>
      <c r="G384" t="s">
        <v>1219</v>
      </c>
      <c r="H384" t="s">
        <v>1210</v>
      </c>
    </row>
    <row r="385" spans="1:8" x14ac:dyDescent="0.45">
      <c r="A385" t="s">
        <v>497</v>
      </c>
      <c r="B385" t="s">
        <v>1223</v>
      </c>
      <c r="C385" t="s">
        <v>1121</v>
      </c>
      <c r="D385" t="s">
        <v>106</v>
      </c>
      <c r="E385">
        <v>332</v>
      </c>
      <c r="F385" t="s">
        <v>1224</v>
      </c>
      <c r="G385" t="s">
        <v>1219</v>
      </c>
      <c r="H385" t="s">
        <v>1210</v>
      </c>
    </row>
    <row r="386" spans="1:8" x14ac:dyDescent="0.45">
      <c r="A386" t="s">
        <v>498</v>
      </c>
      <c r="B386" t="s">
        <v>1217</v>
      </c>
      <c r="C386" t="s">
        <v>1120</v>
      </c>
      <c r="D386" t="s">
        <v>50</v>
      </c>
      <c r="E386">
        <v>1451</v>
      </c>
      <c r="F386" t="s">
        <v>1234</v>
      </c>
      <c r="G386" t="s">
        <v>1219</v>
      </c>
      <c r="H386" t="s">
        <v>1210</v>
      </c>
    </row>
    <row r="387" spans="1:8" x14ac:dyDescent="0.45">
      <c r="A387" t="s">
        <v>499</v>
      </c>
      <c r="B387" t="s">
        <v>1217</v>
      </c>
      <c r="C387" t="s">
        <v>1126</v>
      </c>
      <c r="D387" t="s">
        <v>91</v>
      </c>
      <c r="E387">
        <v>1524</v>
      </c>
      <c r="F387" t="s">
        <v>1224</v>
      </c>
      <c r="G387" t="s">
        <v>1221</v>
      </c>
      <c r="H387" t="s">
        <v>1210</v>
      </c>
    </row>
    <row r="388" spans="1:8" x14ac:dyDescent="0.45">
      <c r="A388" t="s">
        <v>500</v>
      </c>
      <c r="B388" t="s">
        <v>1225</v>
      </c>
      <c r="C388" t="s">
        <v>1123</v>
      </c>
      <c r="D388" t="s">
        <v>30</v>
      </c>
      <c r="E388">
        <v>1746</v>
      </c>
      <c r="F388" t="s">
        <v>1220</v>
      </c>
      <c r="G388" t="s">
        <v>1221</v>
      </c>
      <c r="H388" t="s">
        <v>1210</v>
      </c>
    </row>
    <row r="389" spans="1:8" x14ac:dyDescent="0.45">
      <c r="A389" t="s">
        <v>501</v>
      </c>
      <c r="B389" t="s">
        <v>1223</v>
      </c>
      <c r="C389" t="s">
        <v>1122</v>
      </c>
      <c r="D389" t="s">
        <v>52</v>
      </c>
      <c r="E389">
        <v>1009</v>
      </c>
      <c r="F389" t="s">
        <v>1224</v>
      </c>
      <c r="G389" t="s">
        <v>1221</v>
      </c>
      <c r="H389" t="s">
        <v>1210</v>
      </c>
    </row>
    <row r="390" spans="1:8" x14ac:dyDescent="0.45">
      <c r="A390" t="s">
        <v>502</v>
      </c>
      <c r="B390" t="s">
        <v>1217</v>
      </c>
      <c r="C390" t="s">
        <v>1120</v>
      </c>
      <c r="D390" t="s">
        <v>20</v>
      </c>
      <c r="E390">
        <v>1299</v>
      </c>
      <c r="F390" t="s">
        <v>1220</v>
      </c>
      <c r="G390" t="s">
        <v>1219</v>
      </c>
      <c r="H390" t="s">
        <v>1210</v>
      </c>
    </row>
    <row r="391" spans="1:8" x14ac:dyDescent="0.45">
      <c r="A391" t="s">
        <v>503</v>
      </c>
      <c r="B391" t="s">
        <v>1217</v>
      </c>
      <c r="C391" t="s">
        <v>1120</v>
      </c>
      <c r="D391" t="s">
        <v>74</v>
      </c>
      <c r="E391">
        <v>1079</v>
      </c>
      <c r="F391" t="s">
        <v>1236</v>
      </c>
      <c r="G391" t="s">
        <v>1221</v>
      </c>
      <c r="H391" t="s">
        <v>1210</v>
      </c>
    </row>
    <row r="392" spans="1:8" x14ac:dyDescent="0.45">
      <c r="A392" t="s">
        <v>504</v>
      </c>
      <c r="B392" t="s">
        <v>1225</v>
      </c>
      <c r="C392" t="s">
        <v>1125</v>
      </c>
      <c r="D392" t="s">
        <v>61</v>
      </c>
      <c r="E392">
        <v>1102</v>
      </c>
      <c r="F392" t="s">
        <v>1224</v>
      </c>
      <c r="G392" t="s">
        <v>1219</v>
      </c>
      <c r="H392" t="s">
        <v>1210</v>
      </c>
    </row>
    <row r="393" spans="1:8" x14ac:dyDescent="0.45">
      <c r="A393" t="s">
        <v>505</v>
      </c>
      <c r="B393" t="s">
        <v>1225</v>
      </c>
      <c r="C393" t="s">
        <v>1118</v>
      </c>
      <c r="D393" t="s">
        <v>22</v>
      </c>
      <c r="E393">
        <v>1858</v>
      </c>
      <c r="F393" t="s">
        <v>1220</v>
      </c>
      <c r="G393" t="s">
        <v>1219</v>
      </c>
      <c r="H393" t="s">
        <v>1210</v>
      </c>
    </row>
    <row r="394" spans="1:8" x14ac:dyDescent="0.45">
      <c r="A394" t="s">
        <v>506</v>
      </c>
      <c r="B394" t="s">
        <v>1223</v>
      </c>
      <c r="C394" t="s">
        <v>1124</v>
      </c>
      <c r="D394" t="s">
        <v>1132</v>
      </c>
      <c r="E394">
        <v>1474</v>
      </c>
      <c r="F394" t="s">
        <v>1224</v>
      </c>
      <c r="G394" t="s">
        <v>1221</v>
      </c>
      <c r="H394" t="s">
        <v>1210</v>
      </c>
    </row>
    <row r="395" spans="1:8" x14ac:dyDescent="0.45">
      <c r="A395" t="s">
        <v>507</v>
      </c>
      <c r="B395" t="s">
        <v>1223</v>
      </c>
      <c r="C395" t="s">
        <v>1124</v>
      </c>
      <c r="D395" t="s">
        <v>10</v>
      </c>
      <c r="E395">
        <v>901</v>
      </c>
      <c r="F395" t="s">
        <v>1224</v>
      </c>
      <c r="G395" t="s">
        <v>1219</v>
      </c>
      <c r="H395" t="s">
        <v>1210</v>
      </c>
    </row>
    <row r="396" spans="1:8" x14ac:dyDescent="0.45">
      <c r="A396" t="s">
        <v>508</v>
      </c>
      <c r="B396" t="s">
        <v>1217</v>
      </c>
      <c r="C396" t="s">
        <v>1126</v>
      </c>
      <c r="D396" t="s">
        <v>1135</v>
      </c>
      <c r="E396">
        <v>777</v>
      </c>
      <c r="F396" t="s">
        <v>1224</v>
      </c>
      <c r="G396" t="s">
        <v>1219</v>
      </c>
      <c r="H396" t="s">
        <v>1210</v>
      </c>
    </row>
    <row r="397" spans="1:8" x14ac:dyDescent="0.45">
      <c r="A397" t="s">
        <v>509</v>
      </c>
      <c r="B397" t="s">
        <v>1217</v>
      </c>
      <c r="C397" t="s">
        <v>1115</v>
      </c>
      <c r="D397" t="s">
        <v>84</v>
      </c>
      <c r="E397">
        <v>1931</v>
      </c>
      <c r="F397" t="s">
        <v>1220</v>
      </c>
      <c r="G397" t="s">
        <v>1219</v>
      </c>
      <c r="H397" t="s">
        <v>1210</v>
      </c>
    </row>
    <row r="398" spans="1:8" x14ac:dyDescent="0.45">
      <c r="A398" t="s">
        <v>510</v>
      </c>
      <c r="B398" t="s">
        <v>1223</v>
      </c>
      <c r="C398" t="s">
        <v>1117</v>
      </c>
      <c r="D398" t="s">
        <v>97</v>
      </c>
      <c r="E398">
        <v>2339</v>
      </c>
      <c r="F398" t="s">
        <v>1220</v>
      </c>
      <c r="G398" t="s">
        <v>1221</v>
      </c>
      <c r="H398" t="s">
        <v>1210</v>
      </c>
    </row>
    <row r="399" spans="1:8" x14ac:dyDescent="0.45">
      <c r="A399" t="s">
        <v>511</v>
      </c>
      <c r="B399" t="s">
        <v>1217</v>
      </c>
      <c r="C399" t="s">
        <v>1120</v>
      </c>
      <c r="D399" t="s">
        <v>1131</v>
      </c>
      <c r="E399">
        <v>1691</v>
      </c>
      <c r="F399" t="s">
        <v>1220</v>
      </c>
      <c r="G399" t="s">
        <v>1219</v>
      </c>
      <c r="H399" t="s">
        <v>1210</v>
      </c>
    </row>
    <row r="400" spans="1:8" x14ac:dyDescent="0.45">
      <c r="A400" t="s">
        <v>512</v>
      </c>
      <c r="B400" t="s">
        <v>1223</v>
      </c>
      <c r="C400" t="s">
        <v>1127</v>
      </c>
      <c r="D400" t="s">
        <v>95</v>
      </c>
      <c r="E400">
        <v>1401</v>
      </c>
      <c r="F400" t="s">
        <v>1227</v>
      </c>
      <c r="G400" t="s">
        <v>1219</v>
      </c>
      <c r="H400" t="s">
        <v>1210</v>
      </c>
    </row>
    <row r="401" spans="1:8" x14ac:dyDescent="0.45">
      <c r="A401" t="s">
        <v>513</v>
      </c>
      <c r="B401" t="s">
        <v>1223</v>
      </c>
      <c r="C401" t="s">
        <v>1121</v>
      </c>
      <c r="D401" t="s">
        <v>8</v>
      </c>
      <c r="E401">
        <v>2037</v>
      </c>
      <c r="F401" t="s">
        <v>1220</v>
      </c>
      <c r="G401" t="s">
        <v>1219</v>
      </c>
      <c r="H401" t="s">
        <v>1210</v>
      </c>
    </row>
    <row r="402" spans="1:8" x14ac:dyDescent="0.45">
      <c r="A402" t="s">
        <v>514</v>
      </c>
      <c r="B402" t="s">
        <v>1225</v>
      </c>
      <c r="C402" t="s">
        <v>1118</v>
      </c>
      <c r="D402" t="s">
        <v>78</v>
      </c>
      <c r="E402">
        <v>1884</v>
      </c>
      <c r="F402" t="s">
        <v>1227</v>
      </c>
      <c r="G402" t="s">
        <v>1219</v>
      </c>
      <c r="H402" t="s">
        <v>1210</v>
      </c>
    </row>
    <row r="403" spans="1:8" x14ac:dyDescent="0.45">
      <c r="A403" t="s">
        <v>515</v>
      </c>
      <c r="B403" t="s">
        <v>1225</v>
      </c>
      <c r="C403" t="s">
        <v>1123</v>
      </c>
      <c r="D403" t="s">
        <v>1144</v>
      </c>
      <c r="E403">
        <v>3193</v>
      </c>
      <c r="F403" t="s">
        <v>1224</v>
      </c>
      <c r="G403" t="s">
        <v>1219</v>
      </c>
      <c r="H403" t="s">
        <v>1210</v>
      </c>
    </row>
    <row r="404" spans="1:8" x14ac:dyDescent="0.45">
      <c r="A404" t="s">
        <v>516</v>
      </c>
      <c r="B404" t="s">
        <v>1223</v>
      </c>
      <c r="C404" t="s">
        <v>1124</v>
      </c>
      <c r="D404" t="s">
        <v>78</v>
      </c>
      <c r="E404">
        <v>2029</v>
      </c>
      <c r="F404" t="s">
        <v>1224</v>
      </c>
      <c r="G404" t="s">
        <v>1219</v>
      </c>
      <c r="H404" t="s">
        <v>1210</v>
      </c>
    </row>
    <row r="405" spans="1:8" x14ac:dyDescent="0.45">
      <c r="A405" t="s">
        <v>517</v>
      </c>
      <c r="B405" t="s">
        <v>1217</v>
      </c>
      <c r="C405" t="s">
        <v>1115</v>
      </c>
      <c r="D405" t="s">
        <v>10</v>
      </c>
      <c r="E405">
        <v>536</v>
      </c>
      <c r="F405" t="s">
        <v>1220</v>
      </c>
      <c r="G405" t="s">
        <v>1219</v>
      </c>
      <c r="H405" t="s">
        <v>1210</v>
      </c>
    </row>
    <row r="406" spans="1:8" x14ac:dyDescent="0.45">
      <c r="A406" t="s">
        <v>518</v>
      </c>
      <c r="B406" t="s">
        <v>1223</v>
      </c>
      <c r="C406" t="s">
        <v>1121</v>
      </c>
      <c r="D406" t="s">
        <v>97</v>
      </c>
      <c r="E406">
        <v>1026</v>
      </c>
      <c r="F406" t="s">
        <v>1224</v>
      </c>
      <c r="G406" t="s">
        <v>1219</v>
      </c>
      <c r="H406" t="s">
        <v>1210</v>
      </c>
    </row>
    <row r="407" spans="1:8" x14ac:dyDescent="0.45">
      <c r="A407" t="s">
        <v>519</v>
      </c>
      <c r="B407" t="s">
        <v>1223</v>
      </c>
      <c r="C407" t="s">
        <v>1124</v>
      </c>
      <c r="D407" t="s">
        <v>53</v>
      </c>
      <c r="E407">
        <v>1912</v>
      </c>
      <c r="F407" t="s">
        <v>1224</v>
      </c>
      <c r="G407" t="s">
        <v>1219</v>
      </c>
      <c r="H407" t="s">
        <v>1210</v>
      </c>
    </row>
    <row r="408" spans="1:8" x14ac:dyDescent="0.45">
      <c r="A408" t="s">
        <v>520</v>
      </c>
      <c r="B408" t="s">
        <v>1217</v>
      </c>
      <c r="C408" t="s">
        <v>1116</v>
      </c>
      <c r="D408" t="s">
        <v>1135</v>
      </c>
      <c r="E408">
        <v>1731</v>
      </c>
      <c r="F408" t="s">
        <v>1218</v>
      </c>
      <c r="G408" t="s">
        <v>1221</v>
      </c>
      <c r="H408" t="s">
        <v>1210</v>
      </c>
    </row>
    <row r="409" spans="1:8" x14ac:dyDescent="0.45">
      <c r="A409" t="s">
        <v>521</v>
      </c>
      <c r="B409" t="s">
        <v>1217</v>
      </c>
      <c r="C409" t="s">
        <v>1114</v>
      </c>
      <c r="D409" t="s">
        <v>49</v>
      </c>
      <c r="E409">
        <v>399</v>
      </c>
      <c r="F409" t="s">
        <v>1224</v>
      </c>
      <c r="G409" t="s">
        <v>1219</v>
      </c>
      <c r="H409" t="s">
        <v>1210</v>
      </c>
    </row>
    <row r="410" spans="1:8" x14ac:dyDescent="0.45">
      <c r="A410" t="s">
        <v>522</v>
      </c>
      <c r="B410" t="s">
        <v>1223</v>
      </c>
      <c r="C410" t="s">
        <v>1122</v>
      </c>
      <c r="D410" t="s">
        <v>52</v>
      </c>
      <c r="E410">
        <v>2097</v>
      </c>
      <c r="F410" t="s">
        <v>1224</v>
      </c>
      <c r="G410" t="s">
        <v>1219</v>
      </c>
      <c r="H410" t="s">
        <v>1210</v>
      </c>
    </row>
    <row r="411" spans="1:8" x14ac:dyDescent="0.45">
      <c r="A411" t="s">
        <v>523</v>
      </c>
      <c r="B411" t="s">
        <v>1217</v>
      </c>
      <c r="C411" t="s">
        <v>1126</v>
      </c>
      <c r="D411" t="s">
        <v>1137</v>
      </c>
      <c r="E411">
        <v>2102</v>
      </c>
      <c r="F411" t="s">
        <v>1224</v>
      </c>
      <c r="G411" t="s">
        <v>1219</v>
      </c>
      <c r="H411" t="s">
        <v>1210</v>
      </c>
    </row>
    <row r="412" spans="1:8" x14ac:dyDescent="0.45">
      <c r="A412" t="s">
        <v>524</v>
      </c>
      <c r="B412" t="s">
        <v>1223</v>
      </c>
      <c r="C412" t="s">
        <v>1127</v>
      </c>
      <c r="D412" t="s">
        <v>89</v>
      </c>
      <c r="E412">
        <v>1567</v>
      </c>
      <c r="F412" t="s">
        <v>1220</v>
      </c>
      <c r="G412" t="s">
        <v>1219</v>
      </c>
      <c r="H412" t="s">
        <v>1210</v>
      </c>
    </row>
    <row r="413" spans="1:8" x14ac:dyDescent="0.45">
      <c r="A413" t="s">
        <v>525</v>
      </c>
      <c r="B413" t="s">
        <v>1225</v>
      </c>
      <c r="C413" t="s">
        <v>1123</v>
      </c>
      <c r="D413" t="s">
        <v>52</v>
      </c>
      <c r="E413">
        <v>1701</v>
      </c>
      <c r="F413" t="s">
        <v>1224</v>
      </c>
      <c r="G413" t="s">
        <v>1219</v>
      </c>
      <c r="H413" t="s">
        <v>1210</v>
      </c>
    </row>
    <row r="414" spans="1:8" x14ac:dyDescent="0.45">
      <c r="A414" t="s">
        <v>526</v>
      </c>
      <c r="B414" t="s">
        <v>1223</v>
      </c>
      <c r="C414" t="s">
        <v>1127</v>
      </c>
      <c r="D414" t="s">
        <v>89</v>
      </c>
      <c r="E414">
        <v>1685</v>
      </c>
      <c r="F414" t="s">
        <v>1227</v>
      </c>
      <c r="G414" t="s">
        <v>1219</v>
      </c>
      <c r="H414" t="s">
        <v>1210</v>
      </c>
    </row>
    <row r="415" spans="1:8" x14ac:dyDescent="0.45">
      <c r="A415" t="s">
        <v>527</v>
      </c>
      <c r="B415" t="s">
        <v>1217</v>
      </c>
      <c r="C415" t="s">
        <v>1115</v>
      </c>
      <c r="D415" t="s">
        <v>97</v>
      </c>
      <c r="E415">
        <v>2057</v>
      </c>
      <c r="F415" t="s">
        <v>1220</v>
      </c>
      <c r="G415" t="s">
        <v>1219</v>
      </c>
      <c r="H415" t="s">
        <v>1210</v>
      </c>
    </row>
    <row r="416" spans="1:8" x14ac:dyDescent="0.45">
      <c r="A416" t="s">
        <v>528</v>
      </c>
      <c r="B416" t="s">
        <v>1217</v>
      </c>
      <c r="C416" t="s">
        <v>1116</v>
      </c>
      <c r="D416" t="s">
        <v>92</v>
      </c>
      <c r="E416">
        <v>2083</v>
      </c>
      <c r="F416" t="s">
        <v>1235</v>
      </c>
      <c r="G416" t="s">
        <v>1219</v>
      </c>
      <c r="H416" t="s">
        <v>1210</v>
      </c>
    </row>
    <row r="417" spans="1:8" x14ac:dyDescent="0.45">
      <c r="A417" t="s">
        <v>529</v>
      </c>
      <c r="B417" t="s">
        <v>1217</v>
      </c>
      <c r="C417" t="s">
        <v>1114</v>
      </c>
      <c r="D417" t="s">
        <v>97</v>
      </c>
      <c r="E417">
        <v>752</v>
      </c>
      <c r="F417" t="s">
        <v>1220</v>
      </c>
      <c r="G417" t="s">
        <v>1219</v>
      </c>
      <c r="H417" t="s">
        <v>1210</v>
      </c>
    </row>
    <row r="418" spans="1:8" x14ac:dyDescent="0.45">
      <c r="A418" t="s">
        <v>530</v>
      </c>
      <c r="B418" t="s">
        <v>1223</v>
      </c>
      <c r="C418" t="s">
        <v>1124</v>
      </c>
      <c r="D418" t="s">
        <v>91</v>
      </c>
      <c r="E418">
        <v>882</v>
      </c>
      <c r="F418" t="s">
        <v>1224</v>
      </c>
      <c r="G418" t="s">
        <v>1219</v>
      </c>
      <c r="H418" t="s">
        <v>1210</v>
      </c>
    </row>
    <row r="419" spans="1:8" x14ac:dyDescent="0.45">
      <c r="A419" t="s">
        <v>531</v>
      </c>
      <c r="B419" t="s">
        <v>1225</v>
      </c>
      <c r="C419" t="s">
        <v>1119</v>
      </c>
      <c r="D419" t="s">
        <v>22</v>
      </c>
      <c r="E419">
        <v>1828</v>
      </c>
      <c r="F419" t="s">
        <v>1227</v>
      </c>
      <c r="G419" t="s">
        <v>1219</v>
      </c>
      <c r="H419" t="s">
        <v>1210</v>
      </c>
    </row>
    <row r="420" spans="1:8" x14ac:dyDescent="0.45">
      <c r="A420" t="s">
        <v>532</v>
      </c>
      <c r="B420" t="s">
        <v>1223</v>
      </c>
      <c r="C420" t="s">
        <v>1121</v>
      </c>
      <c r="D420" t="s">
        <v>29</v>
      </c>
      <c r="E420">
        <v>1567</v>
      </c>
      <c r="F420" t="s">
        <v>1220</v>
      </c>
      <c r="G420" t="s">
        <v>1219</v>
      </c>
      <c r="H420" t="s">
        <v>1210</v>
      </c>
    </row>
    <row r="421" spans="1:8" x14ac:dyDescent="0.45">
      <c r="A421" t="s">
        <v>533</v>
      </c>
      <c r="B421" t="s">
        <v>1223</v>
      </c>
      <c r="C421" t="s">
        <v>1117</v>
      </c>
      <c r="D421" t="s">
        <v>105</v>
      </c>
      <c r="E421">
        <v>1262</v>
      </c>
      <c r="F421" t="s">
        <v>1220</v>
      </c>
      <c r="G421" t="s">
        <v>1219</v>
      </c>
      <c r="H421" t="s">
        <v>1210</v>
      </c>
    </row>
    <row r="422" spans="1:8" x14ac:dyDescent="0.45">
      <c r="A422" t="s">
        <v>534</v>
      </c>
      <c r="B422" t="s">
        <v>1225</v>
      </c>
      <c r="C422" t="s">
        <v>1119</v>
      </c>
      <c r="D422" t="s">
        <v>72</v>
      </c>
      <c r="E422">
        <v>1135</v>
      </c>
      <c r="F422" t="s">
        <v>1227</v>
      </c>
      <c r="G422" t="s">
        <v>1219</v>
      </c>
      <c r="H422" t="s">
        <v>1210</v>
      </c>
    </row>
    <row r="423" spans="1:8" x14ac:dyDescent="0.45">
      <c r="A423" t="s">
        <v>535</v>
      </c>
      <c r="B423" t="s">
        <v>1217</v>
      </c>
      <c r="C423" t="s">
        <v>1115</v>
      </c>
      <c r="D423" t="s">
        <v>63</v>
      </c>
      <c r="E423">
        <v>709</v>
      </c>
      <c r="F423" t="s">
        <v>1220</v>
      </c>
      <c r="G423" t="s">
        <v>1221</v>
      </c>
      <c r="H423" t="s">
        <v>1210</v>
      </c>
    </row>
    <row r="424" spans="1:8" x14ac:dyDescent="0.45">
      <c r="A424" t="s">
        <v>536</v>
      </c>
      <c r="B424" t="s">
        <v>1225</v>
      </c>
      <c r="C424" t="s">
        <v>1118</v>
      </c>
      <c r="D424" t="s">
        <v>65</v>
      </c>
      <c r="E424">
        <v>2325</v>
      </c>
      <c r="F424" t="s">
        <v>1224</v>
      </c>
      <c r="G424" t="s">
        <v>1219</v>
      </c>
      <c r="H424" t="s">
        <v>1210</v>
      </c>
    </row>
    <row r="425" spans="1:8" x14ac:dyDescent="0.45">
      <c r="A425" t="s">
        <v>537</v>
      </c>
      <c r="B425" t="s">
        <v>1225</v>
      </c>
      <c r="C425" t="s">
        <v>1118</v>
      </c>
      <c r="D425" t="s">
        <v>52</v>
      </c>
      <c r="E425">
        <v>623</v>
      </c>
      <c r="F425" t="s">
        <v>1224</v>
      </c>
      <c r="G425" t="s">
        <v>1219</v>
      </c>
      <c r="H425" t="s">
        <v>1210</v>
      </c>
    </row>
    <row r="426" spans="1:8" x14ac:dyDescent="0.45">
      <c r="A426" t="s">
        <v>538</v>
      </c>
      <c r="B426" t="s">
        <v>1217</v>
      </c>
      <c r="C426" t="s">
        <v>1120</v>
      </c>
      <c r="D426" t="s">
        <v>102</v>
      </c>
      <c r="E426">
        <v>2088</v>
      </c>
      <c r="F426" t="s">
        <v>1224</v>
      </c>
      <c r="G426" t="s">
        <v>1221</v>
      </c>
      <c r="H426" t="s">
        <v>1210</v>
      </c>
    </row>
    <row r="427" spans="1:8" x14ac:dyDescent="0.45">
      <c r="A427" t="s">
        <v>539</v>
      </c>
      <c r="B427" t="s">
        <v>1225</v>
      </c>
      <c r="C427" t="s">
        <v>1119</v>
      </c>
      <c r="D427" t="s">
        <v>23</v>
      </c>
      <c r="E427">
        <v>2902</v>
      </c>
      <c r="F427" t="s">
        <v>1220</v>
      </c>
      <c r="G427" t="s">
        <v>1219</v>
      </c>
      <c r="H427" t="s">
        <v>1210</v>
      </c>
    </row>
    <row r="428" spans="1:8" x14ac:dyDescent="0.45">
      <c r="A428" t="s">
        <v>540</v>
      </c>
      <c r="B428" t="s">
        <v>1225</v>
      </c>
      <c r="C428" t="s">
        <v>1123</v>
      </c>
      <c r="D428" t="s">
        <v>1138</v>
      </c>
      <c r="E428">
        <v>1454</v>
      </c>
      <c r="F428" t="s">
        <v>1224</v>
      </c>
      <c r="G428" t="s">
        <v>1219</v>
      </c>
      <c r="H428" t="s">
        <v>1210</v>
      </c>
    </row>
    <row r="429" spans="1:8" x14ac:dyDescent="0.45">
      <c r="A429" t="s">
        <v>541</v>
      </c>
      <c r="B429" t="s">
        <v>1225</v>
      </c>
      <c r="C429" t="s">
        <v>1123</v>
      </c>
      <c r="D429" t="s">
        <v>96</v>
      </c>
      <c r="E429">
        <v>1189</v>
      </c>
      <c r="F429" t="s">
        <v>1224</v>
      </c>
      <c r="G429" t="s">
        <v>1219</v>
      </c>
      <c r="H429" t="s">
        <v>1210</v>
      </c>
    </row>
    <row r="430" spans="1:8" x14ac:dyDescent="0.45">
      <c r="A430" t="s">
        <v>542</v>
      </c>
      <c r="B430" t="s">
        <v>1225</v>
      </c>
      <c r="C430" t="s">
        <v>1123</v>
      </c>
      <c r="D430" t="s">
        <v>1132</v>
      </c>
      <c r="E430">
        <v>1337</v>
      </c>
      <c r="F430" t="s">
        <v>1224</v>
      </c>
      <c r="G430" t="s">
        <v>1219</v>
      </c>
      <c r="H430" t="s">
        <v>1210</v>
      </c>
    </row>
    <row r="431" spans="1:8" x14ac:dyDescent="0.45">
      <c r="A431" t="s">
        <v>543</v>
      </c>
      <c r="B431" t="s">
        <v>1225</v>
      </c>
      <c r="C431" t="s">
        <v>1125</v>
      </c>
      <c r="D431" t="s">
        <v>108</v>
      </c>
      <c r="E431">
        <v>964</v>
      </c>
      <c r="F431" t="s">
        <v>1220</v>
      </c>
      <c r="G431" t="s">
        <v>1219</v>
      </c>
      <c r="H431" t="s">
        <v>1210</v>
      </c>
    </row>
    <row r="432" spans="1:8" x14ac:dyDescent="0.45">
      <c r="A432" t="s">
        <v>544</v>
      </c>
      <c r="B432" t="s">
        <v>1217</v>
      </c>
      <c r="C432" t="s">
        <v>1114</v>
      </c>
      <c r="D432" t="s">
        <v>56</v>
      </c>
      <c r="E432">
        <v>604</v>
      </c>
      <c r="F432" t="s">
        <v>1218</v>
      </c>
      <c r="G432" t="s">
        <v>1219</v>
      </c>
      <c r="H432" t="s">
        <v>1210</v>
      </c>
    </row>
    <row r="433" spans="1:8" x14ac:dyDescent="0.45">
      <c r="A433" t="s">
        <v>545</v>
      </c>
      <c r="B433" t="s">
        <v>1223</v>
      </c>
      <c r="C433" t="s">
        <v>1117</v>
      </c>
      <c r="D433" t="s">
        <v>56</v>
      </c>
      <c r="E433">
        <v>1794</v>
      </c>
      <c r="F433" t="s">
        <v>1224</v>
      </c>
      <c r="G433" t="s">
        <v>1219</v>
      </c>
      <c r="H433" t="s">
        <v>1210</v>
      </c>
    </row>
    <row r="434" spans="1:8" x14ac:dyDescent="0.45">
      <c r="A434" t="s">
        <v>546</v>
      </c>
      <c r="B434" t="s">
        <v>1225</v>
      </c>
      <c r="C434" t="s">
        <v>1119</v>
      </c>
      <c r="D434" t="s">
        <v>50</v>
      </c>
      <c r="E434">
        <v>755</v>
      </c>
      <c r="F434" t="s">
        <v>1227</v>
      </c>
      <c r="G434" t="s">
        <v>1219</v>
      </c>
      <c r="H434" t="s">
        <v>1210</v>
      </c>
    </row>
    <row r="435" spans="1:8" x14ac:dyDescent="0.45">
      <c r="A435" t="s">
        <v>547</v>
      </c>
      <c r="B435" t="s">
        <v>1217</v>
      </c>
      <c r="C435" t="s">
        <v>1126</v>
      </c>
      <c r="D435" t="s">
        <v>99</v>
      </c>
      <c r="E435">
        <v>847</v>
      </c>
      <c r="F435" t="s">
        <v>1224</v>
      </c>
      <c r="G435" t="s">
        <v>1219</v>
      </c>
      <c r="H435" t="s">
        <v>1210</v>
      </c>
    </row>
    <row r="436" spans="1:8" x14ac:dyDescent="0.45">
      <c r="A436" t="s">
        <v>548</v>
      </c>
      <c r="B436" t="s">
        <v>1223</v>
      </c>
      <c r="C436" t="s">
        <v>1124</v>
      </c>
      <c r="D436" t="s">
        <v>1130</v>
      </c>
      <c r="E436">
        <v>659</v>
      </c>
      <c r="F436" t="s">
        <v>1224</v>
      </c>
      <c r="G436" t="s">
        <v>1219</v>
      </c>
      <c r="H436" t="s">
        <v>1210</v>
      </c>
    </row>
    <row r="437" spans="1:8" x14ac:dyDescent="0.45">
      <c r="A437" t="s">
        <v>549</v>
      </c>
      <c r="B437" t="s">
        <v>1223</v>
      </c>
      <c r="C437" t="s">
        <v>1124</v>
      </c>
      <c r="D437" t="s">
        <v>22</v>
      </c>
      <c r="E437">
        <v>794</v>
      </c>
      <c r="F437" t="s">
        <v>1224</v>
      </c>
      <c r="G437" t="s">
        <v>1219</v>
      </c>
      <c r="H437" t="s">
        <v>1210</v>
      </c>
    </row>
    <row r="438" spans="1:8" x14ac:dyDescent="0.45">
      <c r="A438" t="s">
        <v>550</v>
      </c>
      <c r="B438" t="s">
        <v>1223</v>
      </c>
      <c r="C438" t="s">
        <v>1124</v>
      </c>
      <c r="D438" t="s">
        <v>74</v>
      </c>
      <c r="E438">
        <v>1614</v>
      </c>
      <c r="F438" t="s">
        <v>1224</v>
      </c>
      <c r="G438" t="s">
        <v>1219</v>
      </c>
      <c r="H438" t="s">
        <v>1210</v>
      </c>
    </row>
    <row r="439" spans="1:8" x14ac:dyDescent="0.45">
      <c r="A439" t="s">
        <v>551</v>
      </c>
      <c r="B439" t="s">
        <v>1223</v>
      </c>
      <c r="C439" t="s">
        <v>1121</v>
      </c>
      <c r="D439" t="s">
        <v>77</v>
      </c>
      <c r="E439">
        <v>3571</v>
      </c>
      <c r="F439" t="s">
        <v>1224</v>
      </c>
      <c r="G439" t="s">
        <v>1219</v>
      </c>
      <c r="H439" t="s">
        <v>1210</v>
      </c>
    </row>
    <row r="440" spans="1:8" x14ac:dyDescent="0.45">
      <c r="A440" t="s">
        <v>552</v>
      </c>
      <c r="B440" t="s">
        <v>1225</v>
      </c>
      <c r="C440" t="s">
        <v>1125</v>
      </c>
      <c r="D440" t="s">
        <v>91</v>
      </c>
      <c r="E440">
        <v>1397</v>
      </c>
      <c r="F440" t="s">
        <v>1218</v>
      </c>
      <c r="G440" t="s">
        <v>1219</v>
      </c>
      <c r="H440" t="s">
        <v>1210</v>
      </c>
    </row>
    <row r="441" spans="1:8" x14ac:dyDescent="0.45">
      <c r="A441" t="s">
        <v>553</v>
      </c>
      <c r="B441" t="s">
        <v>1225</v>
      </c>
      <c r="C441" t="s">
        <v>1125</v>
      </c>
      <c r="D441" t="s">
        <v>87</v>
      </c>
      <c r="E441">
        <v>394</v>
      </c>
      <c r="F441" t="s">
        <v>1224</v>
      </c>
      <c r="G441" t="s">
        <v>1219</v>
      </c>
      <c r="H441" t="s">
        <v>1210</v>
      </c>
    </row>
    <row r="442" spans="1:8" x14ac:dyDescent="0.45">
      <c r="A442" t="s">
        <v>554</v>
      </c>
      <c r="B442" t="s">
        <v>1225</v>
      </c>
      <c r="C442" t="s">
        <v>1118</v>
      </c>
      <c r="D442" t="s">
        <v>22</v>
      </c>
      <c r="E442">
        <v>461</v>
      </c>
      <c r="F442" t="s">
        <v>1220</v>
      </c>
      <c r="G442" t="s">
        <v>1219</v>
      </c>
      <c r="H442" t="s">
        <v>1210</v>
      </c>
    </row>
    <row r="443" spans="1:8" x14ac:dyDescent="0.45">
      <c r="A443" t="s">
        <v>555</v>
      </c>
      <c r="B443" t="s">
        <v>1225</v>
      </c>
      <c r="C443" t="s">
        <v>1119</v>
      </c>
      <c r="D443" t="s">
        <v>52</v>
      </c>
      <c r="E443">
        <v>1743</v>
      </c>
      <c r="F443" t="s">
        <v>1227</v>
      </c>
      <c r="G443" t="s">
        <v>1221</v>
      </c>
      <c r="H443" t="s">
        <v>1210</v>
      </c>
    </row>
    <row r="444" spans="1:8" x14ac:dyDescent="0.45">
      <c r="A444" t="s">
        <v>556</v>
      </c>
      <c r="B444" t="s">
        <v>1225</v>
      </c>
      <c r="C444" t="s">
        <v>1119</v>
      </c>
      <c r="D444" t="s">
        <v>89</v>
      </c>
      <c r="E444">
        <v>1480</v>
      </c>
      <c r="F444" t="s">
        <v>1227</v>
      </c>
      <c r="G444" t="s">
        <v>1219</v>
      </c>
      <c r="H444" t="s">
        <v>1210</v>
      </c>
    </row>
    <row r="445" spans="1:8" x14ac:dyDescent="0.45">
      <c r="A445" t="s">
        <v>557</v>
      </c>
      <c r="B445" t="s">
        <v>1223</v>
      </c>
      <c r="C445" t="s">
        <v>1121</v>
      </c>
      <c r="D445" t="s">
        <v>80</v>
      </c>
      <c r="E445">
        <v>2141</v>
      </c>
      <c r="F445" t="s">
        <v>1220</v>
      </c>
      <c r="G445" t="s">
        <v>1219</v>
      </c>
      <c r="H445" t="s">
        <v>1210</v>
      </c>
    </row>
    <row r="446" spans="1:8" x14ac:dyDescent="0.45">
      <c r="A446" t="s">
        <v>558</v>
      </c>
      <c r="B446" t="s">
        <v>1217</v>
      </c>
      <c r="C446" t="s">
        <v>1116</v>
      </c>
      <c r="D446" t="s">
        <v>45</v>
      </c>
      <c r="E446">
        <v>1270</v>
      </c>
      <c r="F446" t="s">
        <v>1220</v>
      </c>
      <c r="G446" t="s">
        <v>1219</v>
      </c>
      <c r="H446" t="s">
        <v>1210</v>
      </c>
    </row>
    <row r="447" spans="1:8" x14ac:dyDescent="0.45">
      <c r="A447" t="s">
        <v>559</v>
      </c>
      <c r="B447" t="s">
        <v>1223</v>
      </c>
      <c r="C447" t="s">
        <v>1122</v>
      </c>
      <c r="D447" t="s">
        <v>35</v>
      </c>
      <c r="E447">
        <v>645</v>
      </c>
      <c r="F447" t="s">
        <v>1224</v>
      </c>
      <c r="G447" t="s">
        <v>1219</v>
      </c>
      <c r="H447" t="s">
        <v>1210</v>
      </c>
    </row>
    <row r="448" spans="1:8" x14ac:dyDescent="0.45">
      <c r="A448" t="s">
        <v>560</v>
      </c>
      <c r="B448" t="s">
        <v>1225</v>
      </c>
      <c r="C448" t="s">
        <v>1125</v>
      </c>
      <c r="D448" t="s">
        <v>1145</v>
      </c>
      <c r="E448">
        <v>300</v>
      </c>
      <c r="F448" t="s">
        <v>1220</v>
      </c>
      <c r="G448" t="s">
        <v>1221</v>
      </c>
      <c r="H448" t="s">
        <v>1210</v>
      </c>
    </row>
    <row r="449" spans="1:8" x14ac:dyDescent="0.45">
      <c r="A449" t="s">
        <v>561</v>
      </c>
      <c r="B449" t="s">
        <v>1223</v>
      </c>
      <c r="C449" t="s">
        <v>1122</v>
      </c>
      <c r="D449" t="s">
        <v>1138</v>
      </c>
      <c r="E449">
        <v>1492</v>
      </c>
      <c r="F449" t="s">
        <v>1224</v>
      </c>
      <c r="G449" t="s">
        <v>1219</v>
      </c>
      <c r="H449" t="s">
        <v>1210</v>
      </c>
    </row>
    <row r="450" spans="1:8" x14ac:dyDescent="0.45">
      <c r="A450" t="s">
        <v>562</v>
      </c>
      <c r="B450" t="s">
        <v>1225</v>
      </c>
      <c r="C450" t="s">
        <v>1119</v>
      </c>
      <c r="D450" t="s">
        <v>60</v>
      </c>
      <c r="E450">
        <v>2328</v>
      </c>
      <c r="F450" t="s">
        <v>1224</v>
      </c>
      <c r="G450" t="s">
        <v>1219</v>
      </c>
      <c r="H450" t="s">
        <v>1210</v>
      </c>
    </row>
    <row r="451" spans="1:8" x14ac:dyDescent="0.45">
      <c r="A451" t="s">
        <v>563</v>
      </c>
      <c r="B451" t="s">
        <v>1217</v>
      </c>
      <c r="C451" t="s">
        <v>1126</v>
      </c>
      <c r="D451" t="s">
        <v>1137</v>
      </c>
      <c r="E451">
        <v>785</v>
      </c>
      <c r="F451" t="s">
        <v>1224</v>
      </c>
      <c r="G451" t="s">
        <v>1221</v>
      </c>
      <c r="H451" t="s">
        <v>1210</v>
      </c>
    </row>
    <row r="452" spans="1:8" x14ac:dyDescent="0.45">
      <c r="A452" t="s">
        <v>564</v>
      </c>
      <c r="B452" t="s">
        <v>1217</v>
      </c>
      <c r="C452" t="s">
        <v>1120</v>
      </c>
      <c r="D452" t="s">
        <v>42</v>
      </c>
      <c r="E452">
        <v>3097</v>
      </c>
      <c r="F452" t="s">
        <v>1220</v>
      </c>
      <c r="G452" t="s">
        <v>1219</v>
      </c>
      <c r="H452" t="s">
        <v>1210</v>
      </c>
    </row>
    <row r="453" spans="1:8" x14ac:dyDescent="0.45">
      <c r="A453" t="s">
        <v>565</v>
      </c>
      <c r="B453" t="s">
        <v>1217</v>
      </c>
      <c r="C453" t="s">
        <v>1120</v>
      </c>
      <c r="D453" t="s">
        <v>29</v>
      </c>
      <c r="E453">
        <v>1771</v>
      </c>
      <c r="F453" t="s">
        <v>1224</v>
      </c>
      <c r="G453" t="s">
        <v>1219</v>
      </c>
      <c r="H453" t="s">
        <v>1210</v>
      </c>
    </row>
    <row r="454" spans="1:8" x14ac:dyDescent="0.45">
      <c r="A454" t="s">
        <v>566</v>
      </c>
      <c r="B454" t="s">
        <v>1223</v>
      </c>
      <c r="C454" t="s">
        <v>1122</v>
      </c>
      <c r="D454" t="s">
        <v>1141</v>
      </c>
      <c r="E454">
        <v>664</v>
      </c>
      <c r="F454" t="s">
        <v>1224</v>
      </c>
      <c r="G454" t="s">
        <v>1219</v>
      </c>
      <c r="H454" t="s">
        <v>1210</v>
      </c>
    </row>
    <row r="455" spans="1:8" x14ac:dyDescent="0.45">
      <c r="A455" t="s">
        <v>567</v>
      </c>
      <c r="B455" t="s">
        <v>1225</v>
      </c>
      <c r="C455" t="s">
        <v>1125</v>
      </c>
      <c r="D455" t="s">
        <v>87</v>
      </c>
      <c r="E455">
        <v>1309</v>
      </c>
      <c r="F455" t="s">
        <v>1227</v>
      </c>
      <c r="G455" t="s">
        <v>1219</v>
      </c>
      <c r="H455" t="s">
        <v>1210</v>
      </c>
    </row>
    <row r="456" spans="1:8" x14ac:dyDescent="0.45">
      <c r="A456" t="s">
        <v>568</v>
      </c>
      <c r="B456" t="s">
        <v>1217</v>
      </c>
      <c r="C456" t="s">
        <v>1120</v>
      </c>
      <c r="D456" t="s">
        <v>55</v>
      </c>
      <c r="E456">
        <v>2089</v>
      </c>
      <c r="F456" t="s">
        <v>1220</v>
      </c>
      <c r="G456" t="s">
        <v>1219</v>
      </c>
      <c r="H456" t="s">
        <v>1210</v>
      </c>
    </row>
    <row r="457" spans="1:8" x14ac:dyDescent="0.45">
      <c r="A457" t="s">
        <v>569</v>
      </c>
      <c r="B457" t="s">
        <v>1223</v>
      </c>
      <c r="C457" t="s">
        <v>1121</v>
      </c>
      <c r="D457" t="s">
        <v>1131</v>
      </c>
      <c r="E457">
        <v>1886</v>
      </c>
      <c r="F457" t="s">
        <v>1224</v>
      </c>
      <c r="G457" t="s">
        <v>1219</v>
      </c>
      <c r="H457" t="s">
        <v>1210</v>
      </c>
    </row>
    <row r="458" spans="1:8" x14ac:dyDescent="0.45">
      <c r="A458" t="s">
        <v>570</v>
      </c>
      <c r="B458" t="s">
        <v>1217</v>
      </c>
      <c r="C458" t="s">
        <v>1116</v>
      </c>
      <c r="D458" t="s">
        <v>101</v>
      </c>
      <c r="E458">
        <v>2004</v>
      </c>
      <c r="F458" t="s">
        <v>1220</v>
      </c>
      <c r="G458" t="s">
        <v>1219</v>
      </c>
      <c r="H458" t="s">
        <v>1210</v>
      </c>
    </row>
    <row r="459" spans="1:8" x14ac:dyDescent="0.45">
      <c r="A459" t="s">
        <v>571</v>
      </c>
      <c r="B459" t="s">
        <v>1223</v>
      </c>
      <c r="C459" t="s">
        <v>1127</v>
      </c>
      <c r="D459" t="s">
        <v>54</v>
      </c>
      <c r="E459">
        <v>1786</v>
      </c>
      <c r="F459" t="s">
        <v>1220</v>
      </c>
      <c r="G459" t="s">
        <v>1219</v>
      </c>
      <c r="H459" t="s">
        <v>1210</v>
      </c>
    </row>
    <row r="460" spans="1:8" x14ac:dyDescent="0.45">
      <c r="A460" t="s">
        <v>572</v>
      </c>
      <c r="B460" t="s">
        <v>1225</v>
      </c>
      <c r="C460" t="s">
        <v>1125</v>
      </c>
      <c r="D460" t="s">
        <v>97</v>
      </c>
      <c r="E460">
        <v>2394</v>
      </c>
      <c r="F460" t="s">
        <v>1227</v>
      </c>
      <c r="G460" t="s">
        <v>1219</v>
      </c>
      <c r="H460" t="s">
        <v>1210</v>
      </c>
    </row>
    <row r="461" spans="1:8" x14ac:dyDescent="0.45">
      <c r="A461" t="s">
        <v>573</v>
      </c>
      <c r="B461" t="s">
        <v>1225</v>
      </c>
      <c r="C461" t="s">
        <v>1125</v>
      </c>
      <c r="D461" t="s">
        <v>30</v>
      </c>
      <c r="E461">
        <v>1737</v>
      </c>
      <c r="F461" t="s">
        <v>1220</v>
      </c>
      <c r="G461" t="s">
        <v>1219</v>
      </c>
      <c r="H461" t="s">
        <v>1210</v>
      </c>
    </row>
    <row r="462" spans="1:8" x14ac:dyDescent="0.45">
      <c r="A462" t="s">
        <v>574</v>
      </c>
      <c r="B462" t="s">
        <v>1225</v>
      </c>
      <c r="C462" t="s">
        <v>1118</v>
      </c>
      <c r="D462" t="s">
        <v>45</v>
      </c>
      <c r="E462">
        <v>421</v>
      </c>
      <c r="F462" t="s">
        <v>1224</v>
      </c>
      <c r="G462" t="s">
        <v>1219</v>
      </c>
      <c r="H462" t="s">
        <v>1210</v>
      </c>
    </row>
    <row r="463" spans="1:8" x14ac:dyDescent="0.45">
      <c r="A463" t="s">
        <v>575</v>
      </c>
      <c r="B463" t="s">
        <v>1217</v>
      </c>
      <c r="C463" t="s">
        <v>1114</v>
      </c>
      <c r="D463" t="s">
        <v>20</v>
      </c>
      <c r="E463">
        <v>1317</v>
      </c>
      <c r="F463" t="s">
        <v>1220</v>
      </c>
      <c r="G463" t="s">
        <v>1221</v>
      </c>
      <c r="H463" t="s">
        <v>1210</v>
      </c>
    </row>
    <row r="464" spans="1:8" x14ac:dyDescent="0.45">
      <c r="A464" t="s">
        <v>576</v>
      </c>
      <c r="B464" t="s">
        <v>1223</v>
      </c>
      <c r="C464" t="s">
        <v>1124</v>
      </c>
      <c r="D464" t="s">
        <v>1131</v>
      </c>
      <c r="E464">
        <v>1580</v>
      </c>
      <c r="F464" t="s">
        <v>1224</v>
      </c>
      <c r="G464" t="s">
        <v>1219</v>
      </c>
      <c r="H464" t="s">
        <v>1210</v>
      </c>
    </row>
    <row r="465" spans="1:8" x14ac:dyDescent="0.45">
      <c r="A465" t="s">
        <v>577</v>
      </c>
      <c r="B465" t="s">
        <v>1223</v>
      </c>
      <c r="C465" t="s">
        <v>1121</v>
      </c>
      <c r="D465" t="s">
        <v>45</v>
      </c>
      <c r="E465">
        <v>1170</v>
      </c>
      <c r="F465" t="s">
        <v>1220</v>
      </c>
      <c r="G465" t="s">
        <v>1219</v>
      </c>
      <c r="H465" t="s">
        <v>1210</v>
      </c>
    </row>
    <row r="466" spans="1:8" x14ac:dyDescent="0.45">
      <c r="A466" t="s">
        <v>578</v>
      </c>
      <c r="B466" t="s">
        <v>1217</v>
      </c>
      <c r="C466" t="s">
        <v>1116</v>
      </c>
      <c r="D466" t="s">
        <v>19</v>
      </c>
      <c r="E466">
        <v>986</v>
      </c>
      <c r="F466" t="s">
        <v>1224</v>
      </c>
      <c r="G466" t="s">
        <v>1219</v>
      </c>
      <c r="H466" t="s">
        <v>1210</v>
      </c>
    </row>
    <row r="467" spans="1:8" x14ac:dyDescent="0.45">
      <c r="A467" t="s">
        <v>579</v>
      </c>
      <c r="B467" t="s">
        <v>1217</v>
      </c>
      <c r="C467" t="s">
        <v>1114</v>
      </c>
      <c r="D467" t="s">
        <v>25</v>
      </c>
      <c r="E467">
        <v>1857</v>
      </c>
      <c r="F467" t="s">
        <v>1227</v>
      </c>
      <c r="G467" t="s">
        <v>1219</v>
      </c>
      <c r="H467" t="s">
        <v>1210</v>
      </c>
    </row>
    <row r="468" spans="1:8" x14ac:dyDescent="0.45">
      <c r="A468" t="s">
        <v>580</v>
      </c>
      <c r="B468" t="s">
        <v>1223</v>
      </c>
      <c r="C468" t="s">
        <v>1124</v>
      </c>
      <c r="D468" t="s">
        <v>30</v>
      </c>
      <c r="E468">
        <v>1978</v>
      </c>
      <c r="F468" t="s">
        <v>1224</v>
      </c>
      <c r="G468" t="s">
        <v>1219</v>
      </c>
      <c r="H468" t="s">
        <v>1210</v>
      </c>
    </row>
    <row r="469" spans="1:8" x14ac:dyDescent="0.45">
      <c r="A469" t="s">
        <v>581</v>
      </c>
      <c r="B469" t="s">
        <v>1217</v>
      </c>
      <c r="C469" t="s">
        <v>1126</v>
      </c>
      <c r="D469" t="s">
        <v>1140</v>
      </c>
      <c r="E469">
        <v>869</v>
      </c>
      <c r="F469" t="s">
        <v>1224</v>
      </c>
      <c r="G469" t="s">
        <v>1219</v>
      </c>
      <c r="H469" t="s">
        <v>1210</v>
      </c>
    </row>
    <row r="470" spans="1:8" x14ac:dyDescent="0.45">
      <c r="A470" t="s">
        <v>582</v>
      </c>
      <c r="B470" t="s">
        <v>1217</v>
      </c>
      <c r="C470" t="s">
        <v>1115</v>
      </c>
      <c r="D470" t="s">
        <v>78</v>
      </c>
      <c r="E470">
        <v>1914</v>
      </c>
      <c r="F470" t="s">
        <v>1224</v>
      </c>
      <c r="G470" t="s">
        <v>1219</v>
      </c>
      <c r="H470" t="s">
        <v>1210</v>
      </c>
    </row>
    <row r="471" spans="1:8" x14ac:dyDescent="0.45">
      <c r="A471" t="s">
        <v>583</v>
      </c>
      <c r="B471" t="s">
        <v>1225</v>
      </c>
      <c r="C471" t="s">
        <v>1125</v>
      </c>
      <c r="D471" t="s">
        <v>32</v>
      </c>
      <c r="E471">
        <v>466</v>
      </c>
      <c r="F471" t="s">
        <v>1224</v>
      </c>
      <c r="G471" t="s">
        <v>1219</v>
      </c>
      <c r="H471" t="s">
        <v>1210</v>
      </c>
    </row>
    <row r="472" spans="1:8" x14ac:dyDescent="0.45">
      <c r="A472" t="s">
        <v>584</v>
      </c>
      <c r="B472" t="s">
        <v>1223</v>
      </c>
      <c r="C472" t="s">
        <v>1127</v>
      </c>
      <c r="D472" t="s">
        <v>108</v>
      </c>
      <c r="E472">
        <v>661</v>
      </c>
      <c r="F472" t="s">
        <v>1220</v>
      </c>
      <c r="G472" t="s">
        <v>1219</v>
      </c>
      <c r="H472" t="s">
        <v>1210</v>
      </c>
    </row>
    <row r="473" spans="1:8" x14ac:dyDescent="0.45">
      <c r="A473" t="s">
        <v>585</v>
      </c>
      <c r="B473" t="s">
        <v>1225</v>
      </c>
      <c r="C473" t="s">
        <v>1123</v>
      </c>
      <c r="D473" t="s">
        <v>85</v>
      </c>
      <c r="E473">
        <v>2813</v>
      </c>
      <c r="F473" t="s">
        <v>1227</v>
      </c>
      <c r="G473" t="s">
        <v>1219</v>
      </c>
      <c r="H473" t="s">
        <v>1210</v>
      </c>
    </row>
    <row r="474" spans="1:8" x14ac:dyDescent="0.45">
      <c r="A474" t="s">
        <v>586</v>
      </c>
      <c r="B474" t="s">
        <v>1225</v>
      </c>
      <c r="C474" t="s">
        <v>1128</v>
      </c>
      <c r="D474" t="s">
        <v>1129</v>
      </c>
      <c r="E474">
        <v>2543</v>
      </c>
      <c r="F474" t="s">
        <v>1224</v>
      </c>
      <c r="G474" t="s">
        <v>1219</v>
      </c>
      <c r="H474" t="s">
        <v>1210</v>
      </c>
    </row>
    <row r="475" spans="1:8" x14ac:dyDescent="0.45">
      <c r="A475" t="s">
        <v>587</v>
      </c>
      <c r="B475" t="s">
        <v>1217</v>
      </c>
      <c r="C475" t="s">
        <v>1116</v>
      </c>
      <c r="D475" t="s">
        <v>1130</v>
      </c>
      <c r="E475">
        <v>1541</v>
      </c>
      <c r="F475" t="s">
        <v>1224</v>
      </c>
      <c r="G475" t="s">
        <v>1219</v>
      </c>
      <c r="H475" t="s">
        <v>1210</v>
      </c>
    </row>
    <row r="476" spans="1:8" x14ac:dyDescent="0.45">
      <c r="A476" t="s">
        <v>588</v>
      </c>
      <c r="B476" t="s">
        <v>1225</v>
      </c>
      <c r="C476" t="s">
        <v>1118</v>
      </c>
      <c r="D476" t="s">
        <v>1130</v>
      </c>
      <c r="E476">
        <v>1066</v>
      </c>
      <c r="F476" t="s">
        <v>1218</v>
      </c>
      <c r="G476" t="s">
        <v>1219</v>
      </c>
      <c r="H476" t="s">
        <v>1210</v>
      </c>
    </row>
    <row r="477" spans="1:8" x14ac:dyDescent="0.45">
      <c r="A477" t="s">
        <v>589</v>
      </c>
      <c r="B477" t="s">
        <v>1217</v>
      </c>
      <c r="C477" t="s">
        <v>1116</v>
      </c>
      <c r="D477" t="s">
        <v>1138</v>
      </c>
      <c r="E477">
        <v>1350</v>
      </c>
      <c r="F477" t="s">
        <v>1229</v>
      </c>
      <c r="G477" t="s">
        <v>1219</v>
      </c>
      <c r="H477" t="s">
        <v>1210</v>
      </c>
    </row>
    <row r="478" spans="1:8" x14ac:dyDescent="0.45">
      <c r="A478" t="s">
        <v>590</v>
      </c>
      <c r="B478" t="s">
        <v>1225</v>
      </c>
      <c r="C478" t="s">
        <v>1125</v>
      </c>
      <c r="D478" t="s">
        <v>83</v>
      </c>
      <c r="E478">
        <v>1534</v>
      </c>
      <c r="F478" t="s">
        <v>1224</v>
      </c>
      <c r="G478" t="s">
        <v>1219</v>
      </c>
      <c r="H478" t="s">
        <v>1210</v>
      </c>
    </row>
    <row r="479" spans="1:8" x14ac:dyDescent="0.45">
      <c r="A479" t="s">
        <v>591</v>
      </c>
      <c r="B479" t="s">
        <v>1225</v>
      </c>
      <c r="C479" t="s">
        <v>1119</v>
      </c>
      <c r="D479" t="s">
        <v>18</v>
      </c>
      <c r="E479">
        <v>436</v>
      </c>
      <c r="F479" t="s">
        <v>1227</v>
      </c>
      <c r="G479" t="s">
        <v>1219</v>
      </c>
      <c r="H479" t="s">
        <v>1210</v>
      </c>
    </row>
    <row r="480" spans="1:8" x14ac:dyDescent="0.45">
      <c r="A480" t="s">
        <v>592</v>
      </c>
      <c r="B480" t="s">
        <v>1223</v>
      </c>
      <c r="C480" t="s">
        <v>1121</v>
      </c>
      <c r="D480" t="s">
        <v>108</v>
      </c>
      <c r="E480">
        <v>1086</v>
      </c>
      <c r="F480" t="s">
        <v>1224</v>
      </c>
      <c r="G480" t="s">
        <v>1219</v>
      </c>
      <c r="H480" t="s">
        <v>1210</v>
      </c>
    </row>
    <row r="481" spans="1:8" x14ac:dyDescent="0.45">
      <c r="A481" t="s">
        <v>593</v>
      </c>
      <c r="B481" t="s">
        <v>1217</v>
      </c>
      <c r="C481" t="s">
        <v>1115</v>
      </c>
      <c r="D481" t="s">
        <v>53</v>
      </c>
      <c r="E481">
        <v>910</v>
      </c>
      <c r="F481" t="s">
        <v>1224</v>
      </c>
      <c r="G481" t="s">
        <v>1219</v>
      </c>
      <c r="H481" t="s">
        <v>1210</v>
      </c>
    </row>
    <row r="482" spans="1:8" x14ac:dyDescent="0.45">
      <c r="A482" t="s">
        <v>594</v>
      </c>
      <c r="B482" t="s">
        <v>1225</v>
      </c>
      <c r="C482" t="s">
        <v>1119</v>
      </c>
      <c r="D482" t="s">
        <v>55</v>
      </c>
      <c r="E482">
        <v>1868</v>
      </c>
      <c r="F482" t="s">
        <v>1227</v>
      </c>
      <c r="G482" t="s">
        <v>1219</v>
      </c>
      <c r="H482" t="s">
        <v>1210</v>
      </c>
    </row>
    <row r="483" spans="1:8" x14ac:dyDescent="0.45">
      <c r="A483" t="s">
        <v>595</v>
      </c>
      <c r="B483" t="s">
        <v>1225</v>
      </c>
      <c r="C483" t="s">
        <v>1128</v>
      </c>
      <c r="D483" t="s">
        <v>31</v>
      </c>
      <c r="E483">
        <v>863</v>
      </c>
      <c r="F483" t="s">
        <v>1220</v>
      </c>
      <c r="G483" t="s">
        <v>1219</v>
      </c>
      <c r="H483" t="s">
        <v>1210</v>
      </c>
    </row>
    <row r="484" spans="1:8" x14ac:dyDescent="0.45">
      <c r="A484" t="s">
        <v>596</v>
      </c>
      <c r="B484" t="s">
        <v>1225</v>
      </c>
      <c r="C484" t="s">
        <v>1123</v>
      </c>
      <c r="D484" t="s">
        <v>71</v>
      </c>
      <c r="E484">
        <v>1661</v>
      </c>
      <c r="F484" t="s">
        <v>1224</v>
      </c>
      <c r="G484" t="s">
        <v>1219</v>
      </c>
      <c r="H484" t="s">
        <v>1210</v>
      </c>
    </row>
    <row r="485" spans="1:8" x14ac:dyDescent="0.45">
      <c r="A485" t="s">
        <v>597</v>
      </c>
      <c r="B485" t="s">
        <v>1225</v>
      </c>
      <c r="C485" t="s">
        <v>1118</v>
      </c>
      <c r="D485" t="s">
        <v>102</v>
      </c>
      <c r="E485">
        <v>2035</v>
      </c>
      <c r="F485" t="s">
        <v>1227</v>
      </c>
      <c r="G485" t="s">
        <v>1219</v>
      </c>
      <c r="H485" t="s">
        <v>1210</v>
      </c>
    </row>
    <row r="486" spans="1:8" x14ac:dyDescent="0.45">
      <c r="A486" t="s">
        <v>598</v>
      </c>
      <c r="B486" t="s">
        <v>1217</v>
      </c>
      <c r="C486" t="s">
        <v>1114</v>
      </c>
      <c r="D486" t="s">
        <v>35</v>
      </c>
      <c r="E486">
        <v>1173</v>
      </c>
      <c r="F486" t="s">
        <v>1227</v>
      </c>
      <c r="G486" t="s">
        <v>1219</v>
      </c>
      <c r="H486" t="s">
        <v>1210</v>
      </c>
    </row>
    <row r="487" spans="1:8" x14ac:dyDescent="0.45">
      <c r="A487" t="s">
        <v>599</v>
      </c>
      <c r="B487" t="s">
        <v>1223</v>
      </c>
      <c r="C487" t="s">
        <v>1122</v>
      </c>
      <c r="D487" t="s">
        <v>51</v>
      </c>
      <c r="E487">
        <v>754</v>
      </c>
      <c r="F487" t="s">
        <v>1224</v>
      </c>
      <c r="G487" t="s">
        <v>1219</v>
      </c>
      <c r="H487" t="s">
        <v>1210</v>
      </c>
    </row>
    <row r="488" spans="1:8" x14ac:dyDescent="0.45">
      <c r="A488" t="s">
        <v>600</v>
      </c>
      <c r="B488" t="s">
        <v>1225</v>
      </c>
      <c r="C488" t="s">
        <v>1128</v>
      </c>
      <c r="D488" t="s">
        <v>52</v>
      </c>
      <c r="E488">
        <v>1842</v>
      </c>
      <c r="F488" t="s">
        <v>1220</v>
      </c>
      <c r="G488" t="s">
        <v>1219</v>
      </c>
      <c r="H488" t="s">
        <v>1210</v>
      </c>
    </row>
    <row r="489" spans="1:8" x14ac:dyDescent="0.45">
      <c r="A489" t="s">
        <v>601</v>
      </c>
      <c r="B489" t="s">
        <v>1217</v>
      </c>
      <c r="C489" t="s">
        <v>1126</v>
      </c>
      <c r="D489" t="s">
        <v>105</v>
      </c>
      <c r="E489">
        <v>1214</v>
      </c>
      <c r="F489" t="s">
        <v>1224</v>
      </c>
      <c r="G489" t="s">
        <v>1219</v>
      </c>
      <c r="H489" t="s">
        <v>1210</v>
      </c>
    </row>
    <row r="490" spans="1:8" x14ac:dyDescent="0.45">
      <c r="A490" t="s">
        <v>602</v>
      </c>
      <c r="B490" t="s">
        <v>1223</v>
      </c>
      <c r="C490" t="s">
        <v>1121</v>
      </c>
      <c r="D490" t="s">
        <v>62</v>
      </c>
      <c r="E490">
        <v>554</v>
      </c>
      <c r="F490" t="s">
        <v>1224</v>
      </c>
      <c r="G490" t="s">
        <v>1219</v>
      </c>
      <c r="H490" t="s">
        <v>1210</v>
      </c>
    </row>
    <row r="491" spans="1:8" x14ac:dyDescent="0.45">
      <c r="A491" t="s">
        <v>603</v>
      </c>
      <c r="B491" t="s">
        <v>1217</v>
      </c>
      <c r="C491" t="s">
        <v>1115</v>
      </c>
      <c r="D491" t="s">
        <v>30</v>
      </c>
      <c r="E491">
        <v>1979</v>
      </c>
      <c r="F491" t="s">
        <v>1224</v>
      </c>
      <c r="G491" t="s">
        <v>1219</v>
      </c>
      <c r="H491" t="s">
        <v>1210</v>
      </c>
    </row>
    <row r="492" spans="1:8" x14ac:dyDescent="0.45">
      <c r="A492" t="s">
        <v>604</v>
      </c>
      <c r="B492" t="s">
        <v>1217</v>
      </c>
      <c r="C492" t="s">
        <v>1126</v>
      </c>
      <c r="D492" t="s">
        <v>83</v>
      </c>
      <c r="E492">
        <v>1739</v>
      </c>
      <c r="F492" t="s">
        <v>1224</v>
      </c>
      <c r="G492" t="s">
        <v>1219</v>
      </c>
      <c r="H492" t="s">
        <v>1210</v>
      </c>
    </row>
    <row r="493" spans="1:8" x14ac:dyDescent="0.45">
      <c r="A493" t="s">
        <v>605</v>
      </c>
      <c r="B493" t="s">
        <v>1225</v>
      </c>
      <c r="C493" t="s">
        <v>1128</v>
      </c>
      <c r="D493" t="s">
        <v>92</v>
      </c>
      <c r="E493">
        <v>1976</v>
      </c>
      <c r="F493" t="s">
        <v>1220</v>
      </c>
      <c r="G493" t="s">
        <v>1219</v>
      </c>
      <c r="H493" t="s">
        <v>1210</v>
      </c>
    </row>
    <row r="494" spans="1:8" x14ac:dyDescent="0.45">
      <c r="A494" t="s">
        <v>606</v>
      </c>
      <c r="B494" t="s">
        <v>1225</v>
      </c>
      <c r="C494" t="s">
        <v>1125</v>
      </c>
      <c r="D494" t="s">
        <v>52</v>
      </c>
      <c r="E494">
        <v>1901</v>
      </c>
      <c r="F494" t="s">
        <v>1218</v>
      </c>
      <c r="G494" t="s">
        <v>1219</v>
      </c>
      <c r="H494" t="s">
        <v>1210</v>
      </c>
    </row>
    <row r="495" spans="1:8" x14ac:dyDescent="0.45">
      <c r="A495" t="s">
        <v>607</v>
      </c>
      <c r="B495" t="s">
        <v>1217</v>
      </c>
      <c r="C495" t="s">
        <v>1126</v>
      </c>
      <c r="D495" t="s">
        <v>43</v>
      </c>
      <c r="E495">
        <v>2333</v>
      </c>
      <c r="F495" t="s">
        <v>1224</v>
      </c>
      <c r="G495" t="s">
        <v>1219</v>
      </c>
      <c r="H495" t="s">
        <v>1210</v>
      </c>
    </row>
    <row r="496" spans="1:8" x14ac:dyDescent="0.45">
      <c r="A496" t="s">
        <v>608</v>
      </c>
      <c r="B496" t="s">
        <v>1225</v>
      </c>
      <c r="C496" t="s">
        <v>1128</v>
      </c>
      <c r="D496" t="s">
        <v>1130</v>
      </c>
      <c r="E496">
        <v>1765</v>
      </c>
      <c r="F496" t="s">
        <v>1224</v>
      </c>
      <c r="G496" t="s">
        <v>1219</v>
      </c>
      <c r="H496" t="s">
        <v>1210</v>
      </c>
    </row>
    <row r="497" spans="1:8" x14ac:dyDescent="0.45">
      <c r="A497" t="s">
        <v>609</v>
      </c>
      <c r="B497" t="s">
        <v>1217</v>
      </c>
      <c r="C497" t="s">
        <v>1115</v>
      </c>
      <c r="D497" t="s">
        <v>52</v>
      </c>
      <c r="E497">
        <v>1951</v>
      </c>
      <c r="F497" t="s">
        <v>1230</v>
      </c>
      <c r="G497" t="s">
        <v>1219</v>
      </c>
      <c r="H497" t="s">
        <v>1210</v>
      </c>
    </row>
    <row r="498" spans="1:8" x14ac:dyDescent="0.45">
      <c r="A498" t="s">
        <v>610</v>
      </c>
      <c r="B498" t="s">
        <v>1225</v>
      </c>
      <c r="C498" t="s">
        <v>1128</v>
      </c>
      <c r="D498" t="s">
        <v>1133</v>
      </c>
      <c r="E498">
        <v>396</v>
      </c>
      <c r="F498" t="s">
        <v>1224</v>
      </c>
      <c r="G498" t="s">
        <v>1221</v>
      </c>
      <c r="H498" t="s">
        <v>1210</v>
      </c>
    </row>
    <row r="499" spans="1:8" x14ac:dyDescent="0.45">
      <c r="A499" t="s">
        <v>611</v>
      </c>
      <c r="B499" t="s">
        <v>1217</v>
      </c>
      <c r="C499" t="s">
        <v>1120</v>
      </c>
      <c r="D499" t="s">
        <v>30</v>
      </c>
      <c r="E499">
        <v>1975</v>
      </c>
      <c r="F499" t="s">
        <v>1224</v>
      </c>
      <c r="G499" t="s">
        <v>1221</v>
      </c>
      <c r="H499" t="s">
        <v>1210</v>
      </c>
    </row>
    <row r="500" spans="1:8" x14ac:dyDescent="0.45">
      <c r="A500" t="s">
        <v>612</v>
      </c>
      <c r="B500" t="s">
        <v>1217</v>
      </c>
      <c r="C500" t="s">
        <v>1126</v>
      </c>
      <c r="D500" t="s">
        <v>48</v>
      </c>
      <c r="E500">
        <v>1132</v>
      </c>
      <c r="F500" t="s">
        <v>1224</v>
      </c>
      <c r="G500" t="s">
        <v>1219</v>
      </c>
      <c r="H500" t="s">
        <v>1210</v>
      </c>
    </row>
    <row r="501" spans="1:8" x14ac:dyDescent="0.45">
      <c r="A501" t="s">
        <v>613</v>
      </c>
      <c r="B501" t="s">
        <v>1223</v>
      </c>
      <c r="C501" t="s">
        <v>1117</v>
      </c>
      <c r="D501" t="s">
        <v>95</v>
      </c>
      <c r="E501">
        <v>1378</v>
      </c>
      <c r="F501" t="s">
        <v>1220</v>
      </c>
      <c r="G501" t="s">
        <v>1219</v>
      </c>
      <c r="H501" t="s">
        <v>1210</v>
      </c>
    </row>
    <row r="502" spans="1:8" x14ac:dyDescent="0.45">
      <c r="A502" t="s">
        <v>614</v>
      </c>
      <c r="B502" t="s">
        <v>1225</v>
      </c>
      <c r="C502" t="s">
        <v>1125</v>
      </c>
      <c r="D502" t="s">
        <v>52</v>
      </c>
      <c r="E502">
        <v>2058</v>
      </c>
      <c r="F502" t="s">
        <v>1232</v>
      </c>
      <c r="G502" t="s">
        <v>1219</v>
      </c>
      <c r="H502" t="s">
        <v>1210</v>
      </c>
    </row>
    <row r="503" spans="1:8" x14ac:dyDescent="0.45">
      <c r="A503" t="s">
        <v>615</v>
      </c>
      <c r="B503" t="s">
        <v>1225</v>
      </c>
      <c r="C503" t="s">
        <v>1118</v>
      </c>
      <c r="D503" t="s">
        <v>91</v>
      </c>
      <c r="E503">
        <v>1652</v>
      </c>
      <c r="F503" t="s">
        <v>1220</v>
      </c>
      <c r="G503" t="s">
        <v>1219</v>
      </c>
      <c r="H503" t="s">
        <v>1210</v>
      </c>
    </row>
    <row r="504" spans="1:8" x14ac:dyDescent="0.45">
      <c r="A504" t="s">
        <v>616</v>
      </c>
      <c r="B504" t="s">
        <v>1225</v>
      </c>
      <c r="C504" t="s">
        <v>1119</v>
      </c>
      <c r="D504" t="s">
        <v>29</v>
      </c>
      <c r="E504">
        <v>1109</v>
      </c>
      <c r="F504" t="s">
        <v>1220</v>
      </c>
      <c r="G504" t="s">
        <v>1219</v>
      </c>
      <c r="H504" t="s">
        <v>1210</v>
      </c>
    </row>
    <row r="505" spans="1:8" x14ac:dyDescent="0.45">
      <c r="A505" t="s">
        <v>617</v>
      </c>
      <c r="B505" t="s">
        <v>1223</v>
      </c>
      <c r="C505" t="s">
        <v>1127</v>
      </c>
      <c r="D505" t="s">
        <v>98</v>
      </c>
      <c r="E505">
        <v>1196</v>
      </c>
      <c r="F505" t="s">
        <v>1224</v>
      </c>
      <c r="G505" t="s">
        <v>1219</v>
      </c>
      <c r="H505" t="s">
        <v>1210</v>
      </c>
    </row>
    <row r="506" spans="1:8" x14ac:dyDescent="0.45">
      <c r="A506" t="s">
        <v>618</v>
      </c>
      <c r="B506" t="s">
        <v>1217</v>
      </c>
      <c r="C506" t="s">
        <v>1120</v>
      </c>
      <c r="D506" t="s">
        <v>15</v>
      </c>
      <c r="E506">
        <v>1300</v>
      </c>
      <c r="F506" t="s">
        <v>1220</v>
      </c>
      <c r="G506" t="s">
        <v>1219</v>
      </c>
      <c r="H506" t="s">
        <v>1210</v>
      </c>
    </row>
    <row r="507" spans="1:8" x14ac:dyDescent="0.45">
      <c r="A507" t="s">
        <v>619</v>
      </c>
      <c r="B507" t="s">
        <v>1225</v>
      </c>
      <c r="C507" t="s">
        <v>1118</v>
      </c>
      <c r="D507" t="s">
        <v>49</v>
      </c>
      <c r="E507">
        <v>957</v>
      </c>
      <c r="F507" t="s">
        <v>1227</v>
      </c>
      <c r="G507" t="s">
        <v>1219</v>
      </c>
      <c r="H507" t="s">
        <v>1210</v>
      </c>
    </row>
    <row r="508" spans="1:8" x14ac:dyDescent="0.45">
      <c r="A508" t="s">
        <v>620</v>
      </c>
      <c r="B508" t="s">
        <v>1225</v>
      </c>
      <c r="C508" t="s">
        <v>1119</v>
      </c>
      <c r="D508" t="s">
        <v>1138</v>
      </c>
      <c r="E508">
        <v>1297</v>
      </c>
      <c r="F508" t="s">
        <v>1224</v>
      </c>
      <c r="G508" t="s">
        <v>1221</v>
      </c>
      <c r="H508" t="s">
        <v>1210</v>
      </c>
    </row>
    <row r="509" spans="1:8" x14ac:dyDescent="0.45">
      <c r="A509" t="s">
        <v>621</v>
      </c>
      <c r="B509" t="s">
        <v>1217</v>
      </c>
      <c r="C509" t="s">
        <v>1114</v>
      </c>
      <c r="D509" t="s">
        <v>75</v>
      </c>
      <c r="E509">
        <v>2551</v>
      </c>
      <c r="F509" t="s">
        <v>1220</v>
      </c>
      <c r="G509" t="s">
        <v>1219</v>
      </c>
      <c r="H509" t="s">
        <v>1210</v>
      </c>
    </row>
    <row r="510" spans="1:8" x14ac:dyDescent="0.45">
      <c r="A510" t="s">
        <v>622</v>
      </c>
      <c r="B510" t="s">
        <v>1217</v>
      </c>
      <c r="C510" t="s">
        <v>1114</v>
      </c>
      <c r="D510" t="s">
        <v>72</v>
      </c>
      <c r="E510">
        <v>1009</v>
      </c>
      <c r="F510" t="s">
        <v>1227</v>
      </c>
      <c r="G510" t="s">
        <v>1219</v>
      </c>
      <c r="H510" t="s">
        <v>1210</v>
      </c>
    </row>
    <row r="511" spans="1:8" x14ac:dyDescent="0.45">
      <c r="A511" t="s">
        <v>623</v>
      </c>
      <c r="B511" t="s">
        <v>1225</v>
      </c>
      <c r="C511" t="s">
        <v>1118</v>
      </c>
      <c r="D511" t="s">
        <v>1146</v>
      </c>
      <c r="E511">
        <v>1959</v>
      </c>
      <c r="F511" t="s">
        <v>1229</v>
      </c>
      <c r="G511" t="s">
        <v>1219</v>
      </c>
      <c r="H511" t="s">
        <v>1210</v>
      </c>
    </row>
    <row r="512" spans="1:8" x14ac:dyDescent="0.45">
      <c r="A512" t="s">
        <v>624</v>
      </c>
      <c r="B512" t="s">
        <v>1217</v>
      </c>
      <c r="C512" t="s">
        <v>1126</v>
      </c>
      <c r="D512" t="s">
        <v>47</v>
      </c>
      <c r="E512">
        <v>592</v>
      </c>
      <c r="F512" t="s">
        <v>1224</v>
      </c>
      <c r="G512" t="s">
        <v>1219</v>
      </c>
      <c r="H512" t="s">
        <v>1210</v>
      </c>
    </row>
    <row r="513" spans="1:8" x14ac:dyDescent="0.45">
      <c r="A513" t="s">
        <v>625</v>
      </c>
      <c r="B513" t="s">
        <v>1217</v>
      </c>
      <c r="C513" t="s">
        <v>1114</v>
      </c>
      <c r="D513" t="s">
        <v>99</v>
      </c>
      <c r="E513">
        <v>1989</v>
      </c>
      <c r="F513" t="s">
        <v>1220</v>
      </c>
      <c r="G513" t="s">
        <v>1219</v>
      </c>
      <c r="H513" t="s">
        <v>1210</v>
      </c>
    </row>
    <row r="514" spans="1:8" x14ac:dyDescent="0.45">
      <c r="A514" t="s">
        <v>626</v>
      </c>
      <c r="B514" t="s">
        <v>1217</v>
      </c>
      <c r="C514" t="s">
        <v>1126</v>
      </c>
      <c r="D514" t="s">
        <v>88</v>
      </c>
      <c r="E514">
        <v>1297</v>
      </c>
      <c r="F514" t="s">
        <v>1224</v>
      </c>
      <c r="G514" t="s">
        <v>1219</v>
      </c>
      <c r="H514" t="s">
        <v>1210</v>
      </c>
    </row>
    <row r="515" spans="1:8" x14ac:dyDescent="0.45">
      <c r="A515" t="s">
        <v>627</v>
      </c>
      <c r="B515" t="s">
        <v>1217</v>
      </c>
      <c r="C515" t="s">
        <v>1116</v>
      </c>
      <c r="D515" t="s">
        <v>99</v>
      </c>
      <c r="E515">
        <v>1917</v>
      </c>
      <c r="F515" t="s">
        <v>1229</v>
      </c>
      <c r="G515" t="s">
        <v>1219</v>
      </c>
      <c r="H515" t="s">
        <v>1210</v>
      </c>
    </row>
    <row r="516" spans="1:8" x14ac:dyDescent="0.45">
      <c r="A516" t="s">
        <v>628</v>
      </c>
      <c r="B516" t="s">
        <v>1217</v>
      </c>
      <c r="C516" t="s">
        <v>1120</v>
      </c>
      <c r="D516" t="s">
        <v>76</v>
      </c>
      <c r="E516">
        <v>1151</v>
      </c>
      <c r="F516" t="s">
        <v>1224</v>
      </c>
      <c r="G516" t="s">
        <v>1219</v>
      </c>
      <c r="H516" t="s">
        <v>1210</v>
      </c>
    </row>
    <row r="517" spans="1:8" x14ac:dyDescent="0.45">
      <c r="A517" t="s">
        <v>629</v>
      </c>
      <c r="B517" t="s">
        <v>1225</v>
      </c>
      <c r="C517" t="s">
        <v>1125</v>
      </c>
      <c r="D517" t="s">
        <v>1140</v>
      </c>
      <c r="E517">
        <v>1769</v>
      </c>
      <c r="F517" t="s">
        <v>1218</v>
      </c>
      <c r="G517" t="s">
        <v>1219</v>
      </c>
      <c r="H517" t="s">
        <v>1210</v>
      </c>
    </row>
    <row r="518" spans="1:8" x14ac:dyDescent="0.45">
      <c r="A518" t="s">
        <v>630</v>
      </c>
      <c r="B518" t="s">
        <v>1225</v>
      </c>
      <c r="C518" t="s">
        <v>1119</v>
      </c>
      <c r="D518" t="s">
        <v>85</v>
      </c>
      <c r="E518">
        <v>2962</v>
      </c>
      <c r="F518" t="s">
        <v>1220</v>
      </c>
      <c r="G518" t="s">
        <v>1219</v>
      </c>
      <c r="H518" t="s">
        <v>1210</v>
      </c>
    </row>
    <row r="519" spans="1:8" x14ac:dyDescent="0.45">
      <c r="A519" t="s">
        <v>631</v>
      </c>
      <c r="B519" t="s">
        <v>1225</v>
      </c>
      <c r="C519" t="s">
        <v>1119</v>
      </c>
      <c r="D519" t="s">
        <v>105</v>
      </c>
      <c r="E519">
        <v>329</v>
      </c>
      <c r="F519" t="s">
        <v>1220</v>
      </c>
      <c r="G519" t="s">
        <v>1219</v>
      </c>
      <c r="H519" t="s">
        <v>1210</v>
      </c>
    </row>
    <row r="520" spans="1:8" x14ac:dyDescent="0.45">
      <c r="A520" t="s">
        <v>632</v>
      </c>
      <c r="B520" t="s">
        <v>1223</v>
      </c>
      <c r="C520" t="s">
        <v>1124</v>
      </c>
      <c r="D520" t="s">
        <v>1133</v>
      </c>
      <c r="E520">
        <v>556</v>
      </c>
      <c r="F520" t="s">
        <v>1224</v>
      </c>
      <c r="G520" t="s">
        <v>1221</v>
      </c>
      <c r="H520" t="s">
        <v>1210</v>
      </c>
    </row>
    <row r="521" spans="1:8" x14ac:dyDescent="0.45">
      <c r="A521" t="s">
        <v>633</v>
      </c>
      <c r="B521" t="s">
        <v>1223</v>
      </c>
      <c r="C521" t="s">
        <v>1117</v>
      </c>
      <c r="D521" t="s">
        <v>18</v>
      </c>
      <c r="E521">
        <v>1227</v>
      </c>
      <c r="F521" t="s">
        <v>1220</v>
      </c>
      <c r="G521" t="s">
        <v>1219</v>
      </c>
      <c r="H521" t="s">
        <v>1210</v>
      </c>
    </row>
    <row r="522" spans="1:8" x14ac:dyDescent="0.45">
      <c r="A522" t="s">
        <v>634</v>
      </c>
      <c r="B522" t="s">
        <v>1223</v>
      </c>
      <c r="C522" t="s">
        <v>1117</v>
      </c>
      <c r="D522" t="s">
        <v>32</v>
      </c>
      <c r="E522">
        <v>510</v>
      </c>
      <c r="F522" t="s">
        <v>1220</v>
      </c>
      <c r="G522" t="s">
        <v>1219</v>
      </c>
      <c r="H522" t="s">
        <v>1210</v>
      </c>
    </row>
    <row r="523" spans="1:8" x14ac:dyDescent="0.45">
      <c r="A523" t="s">
        <v>635</v>
      </c>
      <c r="B523" t="s">
        <v>1225</v>
      </c>
      <c r="C523" t="s">
        <v>1123</v>
      </c>
      <c r="D523" t="s">
        <v>109</v>
      </c>
      <c r="E523">
        <v>1750</v>
      </c>
      <c r="F523" t="s">
        <v>1224</v>
      </c>
      <c r="G523" t="s">
        <v>1221</v>
      </c>
      <c r="H523" t="s">
        <v>1210</v>
      </c>
    </row>
    <row r="524" spans="1:8" x14ac:dyDescent="0.45">
      <c r="A524" t="s">
        <v>636</v>
      </c>
      <c r="B524" t="s">
        <v>1223</v>
      </c>
      <c r="C524" t="s">
        <v>1117</v>
      </c>
      <c r="D524" t="s">
        <v>67</v>
      </c>
      <c r="E524">
        <v>811</v>
      </c>
      <c r="F524" t="s">
        <v>1239</v>
      </c>
      <c r="G524" t="s">
        <v>1219</v>
      </c>
      <c r="H524" t="s">
        <v>1210</v>
      </c>
    </row>
    <row r="525" spans="1:8" x14ac:dyDescent="0.45">
      <c r="A525" t="s">
        <v>637</v>
      </c>
      <c r="B525" t="s">
        <v>1223</v>
      </c>
      <c r="C525" t="s">
        <v>1121</v>
      </c>
      <c r="D525" t="s">
        <v>28</v>
      </c>
      <c r="E525">
        <v>2545</v>
      </c>
      <c r="F525" t="s">
        <v>1224</v>
      </c>
      <c r="G525" t="s">
        <v>1219</v>
      </c>
      <c r="H525" t="s">
        <v>1210</v>
      </c>
    </row>
    <row r="526" spans="1:8" x14ac:dyDescent="0.45">
      <c r="A526" t="s">
        <v>638</v>
      </c>
      <c r="B526" t="s">
        <v>1223</v>
      </c>
      <c r="C526" t="s">
        <v>1124</v>
      </c>
      <c r="D526" t="s">
        <v>19</v>
      </c>
      <c r="E526">
        <v>2557</v>
      </c>
      <c r="F526" t="s">
        <v>1220</v>
      </c>
      <c r="G526" t="s">
        <v>1219</v>
      </c>
      <c r="H526" t="s">
        <v>1210</v>
      </c>
    </row>
    <row r="527" spans="1:8" x14ac:dyDescent="0.45">
      <c r="A527" t="s">
        <v>639</v>
      </c>
      <c r="B527" t="s">
        <v>1223</v>
      </c>
      <c r="C527" t="s">
        <v>1127</v>
      </c>
      <c r="D527" t="s">
        <v>23</v>
      </c>
      <c r="E527">
        <v>2561</v>
      </c>
      <c r="F527" t="s">
        <v>1224</v>
      </c>
      <c r="G527" t="s">
        <v>1219</v>
      </c>
      <c r="H527" t="s">
        <v>1210</v>
      </c>
    </row>
    <row r="528" spans="1:8" x14ac:dyDescent="0.45">
      <c r="A528" t="s">
        <v>640</v>
      </c>
      <c r="B528" t="s">
        <v>1217</v>
      </c>
      <c r="C528" t="s">
        <v>1114</v>
      </c>
      <c r="D528" t="s">
        <v>56</v>
      </c>
      <c r="E528">
        <v>2010</v>
      </c>
      <c r="F528" t="s">
        <v>1224</v>
      </c>
      <c r="G528" t="s">
        <v>1219</v>
      </c>
      <c r="H528" t="s">
        <v>1210</v>
      </c>
    </row>
    <row r="529" spans="1:8" x14ac:dyDescent="0.45">
      <c r="A529" t="s">
        <v>641</v>
      </c>
      <c r="B529" t="s">
        <v>1225</v>
      </c>
      <c r="C529" t="s">
        <v>1118</v>
      </c>
      <c r="D529" t="s">
        <v>106</v>
      </c>
      <c r="E529">
        <v>1104</v>
      </c>
      <c r="F529" t="s">
        <v>1220</v>
      </c>
      <c r="G529" t="s">
        <v>1219</v>
      </c>
      <c r="H529" t="s">
        <v>1210</v>
      </c>
    </row>
    <row r="530" spans="1:8" x14ac:dyDescent="0.45">
      <c r="A530" t="s">
        <v>642</v>
      </c>
      <c r="B530" t="s">
        <v>1217</v>
      </c>
      <c r="C530" t="s">
        <v>1114</v>
      </c>
      <c r="D530" t="s">
        <v>25</v>
      </c>
      <c r="E530">
        <v>1981</v>
      </c>
      <c r="F530" t="s">
        <v>1220</v>
      </c>
      <c r="G530" t="s">
        <v>1219</v>
      </c>
      <c r="H530" t="s">
        <v>1210</v>
      </c>
    </row>
    <row r="531" spans="1:8" x14ac:dyDescent="0.45">
      <c r="A531" t="s">
        <v>643</v>
      </c>
      <c r="B531" t="s">
        <v>1223</v>
      </c>
      <c r="C531" t="s">
        <v>1124</v>
      </c>
      <c r="D531" t="s">
        <v>58</v>
      </c>
      <c r="E531">
        <v>1573</v>
      </c>
      <c r="F531" t="s">
        <v>1224</v>
      </c>
      <c r="G531" t="s">
        <v>1219</v>
      </c>
      <c r="H531" t="s">
        <v>1210</v>
      </c>
    </row>
    <row r="532" spans="1:8" x14ac:dyDescent="0.45">
      <c r="A532" t="s">
        <v>644</v>
      </c>
      <c r="B532" t="s">
        <v>1217</v>
      </c>
      <c r="C532" t="s">
        <v>1126</v>
      </c>
      <c r="D532" t="s">
        <v>31</v>
      </c>
      <c r="E532">
        <v>1415</v>
      </c>
      <c r="F532" t="s">
        <v>1224</v>
      </c>
      <c r="G532" t="s">
        <v>1219</v>
      </c>
      <c r="H532" t="s">
        <v>1210</v>
      </c>
    </row>
    <row r="533" spans="1:8" x14ac:dyDescent="0.45">
      <c r="A533" t="s">
        <v>645</v>
      </c>
      <c r="B533" t="s">
        <v>1225</v>
      </c>
      <c r="C533" t="s">
        <v>1118</v>
      </c>
      <c r="D533" t="s">
        <v>1130</v>
      </c>
      <c r="E533">
        <v>687</v>
      </c>
      <c r="F533" t="s">
        <v>1220</v>
      </c>
      <c r="G533" t="s">
        <v>1219</v>
      </c>
      <c r="H533" t="s">
        <v>1210</v>
      </c>
    </row>
    <row r="534" spans="1:8" x14ac:dyDescent="0.45">
      <c r="A534" t="s">
        <v>646</v>
      </c>
      <c r="B534" t="s">
        <v>1223</v>
      </c>
      <c r="C534" t="s">
        <v>1121</v>
      </c>
      <c r="D534" t="s">
        <v>70</v>
      </c>
      <c r="E534">
        <v>1457</v>
      </c>
      <c r="F534" t="s">
        <v>1224</v>
      </c>
      <c r="G534" t="s">
        <v>1219</v>
      </c>
      <c r="H534" t="s">
        <v>1210</v>
      </c>
    </row>
    <row r="535" spans="1:8" x14ac:dyDescent="0.45">
      <c r="A535" t="s">
        <v>647</v>
      </c>
      <c r="B535" t="s">
        <v>1217</v>
      </c>
      <c r="C535" t="s">
        <v>1115</v>
      </c>
      <c r="D535" t="s">
        <v>12</v>
      </c>
      <c r="E535">
        <v>1257</v>
      </c>
      <c r="F535" t="s">
        <v>1224</v>
      </c>
      <c r="G535" t="s">
        <v>1219</v>
      </c>
      <c r="H535" t="s">
        <v>1210</v>
      </c>
    </row>
    <row r="536" spans="1:8" x14ac:dyDescent="0.45">
      <c r="A536" t="s">
        <v>648</v>
      </c>
      <c r="B536" t="s">
        <v>1225</v>
      </c>
      <c r="C536" t="s">
        <v>1119</v>
      </c>
      <c r="D536" t="s">
        <v>10</v>
      </c>
      <c r="E536">
        <v>935</v>
      </c>
      <c r="F536" t="s">
        <v>1220</v>
      </c>
      <c r="G536" t="s">
        <v>1219</v>
      </c>
      <c r="H536" t="s">
        <v>1210</v>
      </c>
    </row>
    <row r="537" spans="1:8" x14ac:dyDescent="0.45">
      <c r="A537" t="s">
        <v>649</v>
      </c>
      <c r="B537" t="s">
        <v>1225</v>
      </c>
      <c r="C537" t="s">
        <v>1123</v>
      </c>
      <c r="D537" t="s">
        <v>95</v>
      </c>
      <c r="E537">
        <v>797</v>
      </c>
      <c r="F537" t="s">
        <v>1228</v>
      </c>
      <c r="G537" t="s">
        <v>1219</v>
      </c>
      <c r="H537" t="s">
        <v>1210</v>
      </c>
    </row>
    <row r="538" spans="1:8" x14ac:dyDescent="0.45">
      <c r="A538" t="s">
        <v>650</v>
      </c>
      <c r="B538" t="s">
        <v>1223</v>
      </c>
      <c r="C538" t="s">
        <v>1121</v>
      </c>
      <c r="D538" t="s">
        <v>62</v>
      </c>
      <c r="E538">
        <v>1003</v>
      </c>
      <c r="F538" t="s">
        <v>1224</v>
      </c>
      <c r="G538" t="s">
        <v>1219</v>
      </c>
      <c r="H538" t="s">
        <v>1210</v>
      </c>
    </row>
    <row r="539" spans="1:8" x14ac:dyDescent="0.45">
      <c r="A539" t="s">
        <v>651</v>
      </c>
      <c r="B539" t="s">
        <v>1225</v>
      </c>
      <c r="C539" t="s">
        <v>1118</v>
      </c>
      <c r="D539" t="s">
        <v>35</v>
      </c>
      <c r="E539">
        <v>1096</v>
      </c>
      <c r="F539" t="s">
        <v>1220</v>
      </c>
      <c r="G539" t="s">
        <v>1219</v>
      </c>
      <c r="H539" t="s">
        <v>1210</v>
      </c>
    </row>
    <row r="540" spans="1:8" x14ac:dyDescent="0.45">
      <c r="A540" t="s">
        <v>652</v>
      </c>
      <c r="B540" t="s">
        <v>1223</v>
      </c>
      <c r="C540" t="s">
        <v>1117</v>
      </c>
      <c r="D540" t="s">
        <v>99</v>
      </c>
      <c r="E540">
        <v>1928</v>
      </c>
      <c r="F540" t="s">
        <v>1234</v>
      </c>
      <c r="G540" t="s">
        <v>1219</v>
      </c>
      <c r="H540" t="s">
        <v>1210</v>
      </c>
    </row>
    <row r="541" spans="1:8" x14ac:dyDescent="0.45">
      <c r="A541" t="s">
        <v>653</v>
      </c>
      <c r="B541" t="s">
        <v>1223</v>
      </c>
      <c r="C541" t="s">
        <v>1122</v>
      </c>
      <c r="D541" t="s">
        <v>59</v>
      </c>
      <c r="E541">
        <v>1296</v>
      </c>
      <c r="F541" t="s">
        <v>1224</v>
      </c>
      <c r="G541" t="s">
        <v>1221</v>
      </c>
      <c r="H541" t="s">
        <v>1210</v>
      </c>
    </row>
    <row r="542" spans="1:8" x14ac:dyDescent="0.45">
      <c r="A542" t="s">
        <v>654</v>
      </c>
      <c r="B542" t="s">
        <v>1223</v>
      </c>
      <c r="C542" t="s">
        <v>1124</v>
      </c>
      <c r="D542" t="s">
        <v>71</v>
      </c>
      <c r="E542">
        <v>1683</v>
      </c>
      <c r="F542" t="s">
        <v>1224</v>
      </c>
      <c r="G542" t="s">
        <v>1219</v>
      </c>
      <c r="H542" t="s">
        <v>1210</v>
      </c>
    </row>
    <row r="543" spans="1:8" x14ac:dyDescent="0.45">
      <c r="A543" t="s">
        <v>655</v>
      </c>
      <c r="B543" t="s">
        <v>1223</v>
      </c>
      <c r="C543" t="s">
        <v>1121</v>
      </c>
      <c r="D543" t="s">
        <v>29</v>
      </c>
      <c r="E543">
        <v>1623</v>
      </c>
      <c r="F543" t="s">
        <v>1220</v>
      </c>
      <c r="G543" t="s">
        <v>1219</v>
      </c>
      <c r="H543" t="s">
        <v>1210</v>
      </c>
    </row>
    <row r="544" spans="1:8" x14ac:dyDescent="0.45">
      <c r="A544" t="s">
        <v>656</v>
      </c>
      <c r="B544" t="s">
        <v>1223</v>
      </c>
      <c r="C544" t="s">
        <v>1117</v>
      </c>
      <c r="D544" t="s">
        <v>89</v>
      </c>
      <c r="E544">
        <v>1524</v>
      </c>
      <c r="F544" t="s">
        <v>1224</v>
      </c>
      <c r="G544" t="s">
        <v>1219</v>
      </c>
      <c r="H544" t="s">
        <v>1210</v>
      </c>
    </row>
    <row r="545" spans="1:8" x14ac:dyDescent="0.45">
      <c r="A545" t="s">
        <v>657</v>
      </c>
      <c r="B545" t="s">
        <v>1217</v>
      </c>
      <c r="C545" t="s">
        <v>1114</v>
      </c>
      <c r="D545" t="s">
        <v>1130</v>
      </c>
      <c r="E545">
        <v>1778</v>
      </c>
      <c r="F545" t="s">
        <v>1227</v>
      </c>
      <c r="G545" t="s">
        <v>1219</v>
      </c>
      <c r="H545" t="s">
        <v>1210</v>
      </c>
    </row>
    <row r="546" spans="1:8" x14ac:dyDescent="0.45">
      <c r="A546" t="s">
        <v>658</v>
      </c>
      <c r="B546" t="s">
        <v>1223</v>
      </c>
      <c r="C546" t="s">
        <v>1121</v>
      </c>
      <c r="D546" t="s">
        <v>41</v>
      </c>
      <c r="E546">
        <v>3427</v>
      </c>
      <c r="F546" t="s">
        <v>1220</v>
      </c>
      <c r="G546" t="s">
        <v>1219</v>
      </c>
      <c r="H546" t="s">
        <v>1210</v>
      </c>
    </row>
    <row r="547" spans="1:8" x14ac:dyDescent="0.45">
      <c r="A547" t="s">
        <v>659</v>
      </c>
      <c r="B547" t="s">
        <v>1217</v>
      </c>
      <c r="C547" t="s">
        <v>1115</v>
      </c>
      <c r="D547" t="s">
        <v>65</v>
      </c>
      <c r="E547">
        <v>1919</v>
      </c>
      <c r="F547" t="s">
        <v>1220</v>
      </c>
      <c r="G547" t="s">
        <v>1219</v>
      </c>
      <c r="H547" t="s">
        <v>1210</v>
      </c>
    </row>
    <row r="548" spans="1:8" x14ac:dyDescent="0.45">
      <c r="A548" t="s">
        <v>660</v>
      </c>
      <c r="B548" t="s">
        <v>1223</v>
      </c>
      <c r="C548" t="s">
        <v>1117</v>
      </c>
      <c r="D548" t="s">
        <v>71</v>
      </c>
      <c r="E548">
        <v>1603</v>
      </c>
      <c r="F548" t="s">
        <v>1224</v>
      </c>
      <c r="G548" t="s">
        <v>1219</v>
      </c>
      <c r="H548" t="s">
        <v>1210</v>
      </c>
    </row>
    <row r="549" spans="1:8" x14ac:dyDescent="0.45">
      <c r="A549" t="s">
        <v>661</v>
      </c>
      <c r="B549" t="s">
        <v>1217</v>
      </c>
      <c r="C549" t="s">
        <v>1115</v>
      </c>
      <c r="D549" t="s">
        <v>32</v>
      </c>
      <c r="E549">
        <v>1975</v>
      </c>
      <c r="F549" t="s">
        <v>1224</v>
      </c>
      <c r="G549" t="s">
        <v>1219</v>
      </c>
      <c r="H549" t="s">
        <v>1210</v>
      </c>
    </row>
    <row r="550" spans="1:8" x14ac:dyDescent="0.45">
      <c r="A550" t="s">
        <v>662</v>
      </c>
      <c r="B550" t="s">
        <v>1223</v>
      </c>
      <c r="C550" t="s">
        <v>1122</v>
      </c>
      <c r="D550" t="s">
        <v>44</v>
      </c>
      <c r="E550">
        <v>685</v>
      </c>
      <c r="F550" t="s">
        <v>1224</v>
      </c>
      <c r="G550" t="s">
        <v>1219</v>
      </c>
      <c r="H550" t="s">
        <v>1210</v>
      </c>
    </row>
    <row r="551" spans="1:8" x14ac:dyDescent="0.45">
      <c r="A551" t="s">
        <v>663</v>
      </c>
      <c r="B551" t="s">
        <v>1217</v>
      </c>
      <c r="C551" t="s">
        <v>1120</v>
      </c>
      <c r="D551" t="s">
        <v>70</v>
      </c>
      <c r="E551">
        <v>753</v>
      </c>
      <c r="F551" t="s">
        <v>1220</v>
      </c>
      <c r="G551" t="s">
        <v>1219</v>
      </c>
      <c r="H551" t="s">
        <v>1210</v>
      </c>
    </row>
    <row r="552" spans="1:8" x14ac:dyDescent="0.45">
      <c r="A552" t="s">
        <v>664</v>
      </c>
      <c r="B552" t="s">
        <v>1217</v>
      </c>
      <c r="C552" t="s">
        <v>1116</v>
      </c>
      <c r="D552" t="s">
        <v>1138</v>
      </c>
      <c r="E552">
        <v>1447</v>
      </c>
      <c r="F552" t="s">
        <v>1218</v>
      </c>
      <c r="G552" t="s">
        <v>1219</v>
      </c>
      <c r="H552" t="s">
        <v>1210</v>
      </c>
    </row>
    <row r="553" spans="1:8" x14ac:dyDescent="0.45">
      <c r="A553" t="s">
        <v>665</v>
      </c>
      <c r="B553" t="s">
        <v>1225</v>
      </c>
      <c r="C553" t="s">
        <v>1118</v>
      </c>
      <c r="D553" t="s">
        <v>51</v>
      </c>
      <c r="E553">
        <v>2198</v>
      </c>
      <c r="F553" t="s">
        <v>1224</v>
      </c>
      <c r="G553" t="s">
        <v>1219</v>
      </c>
      <c r="H553" t="s">
        <v>1210</v>
      </c>
    </row>
    <row r="554" spans="1:8" x14ac:dyDescent="0.45">
      <c r="A554" t="s">
        <v>666</v>
      </c>
      <c r="B554" t="s">
        <v>1225</v>
      </c>
      <c r="C554" t="s">
        <v>1119</v>
      </c>
      <c r="D554" t="s">
        <v>53</v>
      </c>
      <c r="E554">
        <v>1403</v>
      </c>
      <c r="F554" t="s">
        <v>1226</v>
      </c>
      <c r="G554" t="s">
        <v>1221</v>
      </c>
      <c r="H554" t="s">
        <v>1210</v>
      </c>
    </row>
    <row r="555" spans="1:8" x14ac:dyDescent="0.45">
      <c r="A555" t="s">
        <v>667</v>
      </c>
      <c r="B555" t="s">
        <v>1217</v>
      </c>
      <c r="C555" t="s">
        <v>1126</v>
      </c>
      <c r="D555" t="s">
        <v>20</v>
      </c>
      <c r="E555">
        <v>1364</v>
      </c>
      <c r="F555" t="s">
        <v>1224</v>
      </c>
      <c r="G555" t="s">
        <v>1221</v>
      </c>
      <c r="H555" t="s">
        <v>1210</v>
      </c>
    </row>
    <row r="556" spans="1:8" x14ac:dyDescent="0.45">
      <c r="A556" t="s">
        <v>668</v>
      </c>
      <c r="B556" t="s">
        <v>1217</v>
      </c>
      <c r="C556" t="s">
        <v>1116</v>
      </c>
      <c r="D556" t="s">
        <v>105</v>
      </c>
      <c r="E556">
        <v>316</v>
      </c>
      <c r="F556" t="s">
        <v>1229</v>
      </c>
      <c r="G556" t="s">
        <v>1219</v>
      </c>
      <c r="H556" t="s">
        <v>1210</v>
      </c>
    </row>
    <row r="557" spans="1:8" x14ac:dyDescent="0.45">
      <c r="A557" t="s">
        <v>669</v>
      </c>
      <c r="B557" t="s">
        <v>1225</v>
      </c>
      <c r="C557" t="s">
        <v>1123</v>
      </c>
      <c r="D557" t="s">
        <v>62</v>
      </c>
      <c r="E557">
        <v>1003</v>
      </c>
      <c r="F557" t="s">
        <v>1224</v>
      </c>
      <c r="G557" t="s">
        <v>1219</v>
      </c>
      <c r="H557" t="s">
        <v>1210</v>
      </c>
    </row>
    <row r="558" spans="1:8" x14ac:dyDescent="0.45">
      <c r="A558" t="s">
        <v>670</v>
      </c>
      <c r="B558" t="s">
        <v>1225</v>
      </c>
      <c r="C558" t="s">
        <v>1125</v>
      </c>
      <c r="D558" t="s">
        <v>106</v>
      </c>
      <c r="E558">
        <v>1200</v>
      </c>
      <c r="F558" t="s">
        <v>1218</v>
      </c>
      <c r="G558" t="s">
        <v>1219</v>
      </c>
      <c r="H558" t="s">
        <v>1210</v>
      </c>
    </row>
    <row r="559" spans="1:8" x14ac:dyDescent="0.45">
      <c r="A559" t="s">
        <v>671</v>
      </c>
      <c r="B559" t="s">
        <v>1223</v>
      </c>
      <c r="C559" t="s">
        <v>1127</v>
      </c>
      <c r="D559" t="s">
        <v>43</v>
      </c>
      <c r="E559">
        <v>1432</v>
      </c>
      <c r="F559" t="s">
        <v>1227</v>
      </c>
      <c r="G559" t="s">
        <v>1219</v>
      </c>
      <c r="H559" t="s">
        <v>1210</v>
      </c>
    </row>
    <row r="560" spans="1:8" x14ac:dyDescent="0.45">
      <c r="A560" t="s">
        <v>672</v>
      </c>
      <c r="B560" t="s">
        <v>1217</v>
      </c>
      <c r="C560" t="s">
        <v>1116</v>
      </c>
      <c r="D560" t="s">
        <v>87</v>
      </c>
      <c r="E560">
        <v>1123</v>
      </c>
      <c r="F560" t="s">
        <v>1224</v>
      </c>
      <c r="G560" t="s">
        <v>1219</v>
      </c>
      <c r="H560" t="s">
        <v>1210</v>
      </c>
    </row>
    <row r="561" spans="1:8" x14ac:dyDescent="0.45">
      <c r="A561" t="s">
        <v>673</v>
      </c>
      <c r="B561" t="s">
        <v>1217</v>
      </c>
      <c r="C561" t="s">
        <v>1126</v>
      </c>
      <c r="D561" t="s">
        <v>107</v>
      </c>
      <c r="E561">
        <v>1294</v>
      </c>
      <c r="F561" t="s">
        <v>1224</v>
      </c>
      <c r="G561" t="s">
        <v>1219</v>
      </c>
      <c r="H561" t="s">
        <v>1210</v>
      </c>
    </row>
    <row r="562" spans="1:8" x14ac:dyDescent="0.45">
      <c r="A562" t="s">
        <v>674</v>
      </c>
      <c r="B562" t="s">
        <v>1223</v>
      </c>
      <c r="C562" t="s">
        <v>1127</v>
      </c>
      <c r="D562" t="s">
        <v>54</v>
      </c>
      <c r="E562">
        <v>1595</v>
      </c>
      <c r="F562" t="s">
        <v>1224</v>
      </c>
      <c r="G562" t="s">
        <v>1219</v>
      </c>
      <c r="H562" t="s">
        <v>1210</v>
      </c>
    </row>
    <row r="563" spans="1:8" x14ac:dyDescent="0.45">
      <c r="A563" t="s">
        <v>675</v>
      </c>
      <c r="B563" t="s">
        <v>1223</v>
      </c>
      <c r="C563" t="s">
        <v>1122</v>
      </c>
      <c r="D563" t="s">
        <v>97</v>
      </c>
      <c r="E563">
        <v>2394</v>
      </c>
      <c r="F563" t="s">
        <v>1224</v>
      </c>
      <c r="G563" t="s">
        <v>1219</v>
      </c>
      <c r="H563" t="s">
        <v>1210</v>
      </c>
    </row>
    <row r="564" spans="1:8" x14ac:dyDescent="0.45">
      <c r="A564" t="s">
        <v>676</v>
      </c>
      <c r="B564" t="s">
        <v>1217</v>
      </c>
      <c r="C564" t="s">
        <v>1126</v>
      </c>
      <c r="D564" t="s">
        <v>39</v>
      </c>
      <c r="E564">
        <v>1318</v>
      </c>
      <c r="F564" t="s">
        <v>1224</v>
      </c>
      <c r="G564" t="s">
        <v>1219</v>
      </c>
      <c r="H564" t="s">
        <v>1210</v>
      </c>
    </row>
    <row r="565" spans="1:8" x14ac:dyDescent="0.45">
      <c r="A565" t="s">
        <v>677</v>
      </c>
      <c r="B565" t="s">
        <v>1217</v>
      </c>
      <c r="C565" t="s">
        <v>1114</v>
      </c>
      <c r="D565" t="s">
        <v>58</v>
      </c>
      <c r="E565">
        <v>1447</v>
      </c>
      <c r="F565" t="s">
        <v>1218</v>
      </c>
      <c r="G565" t="s">
        <v>1219</v>
      </c>
      <c r="H565" t="s">
        <v>1210</v>
      </c>
    </row>
    <row r="566" spans="1:8" x14ac:dyDescent="0.45">
      <c r="A566" t="s">
        <v>678</v>
      </c>
      <c r="B566" t="s">
        <v>1223</v>
      </c>
      <c r="C566" t="s">
        <v>1122</v>
      </c>
      <c r="D566" t="s">
        <v>58</v>
      </c>
      <c r="E566">
        <v>1501</v>
      </c>
      <c r="F566" t="s">
        <v>1224</v>
      </c>
      <c r="G566" t="s">
        <v>1221</v>
      </c>
      <c r="H566" t="s">
        <v>1210</v>
      </c>
    </row>
    <row r="567" spans="1:8" x14ac:dyDescent="0.45">
      <c r="A567" t="s">
        <v>679</v>
      </c>
      <c r="B567" t="s">
        <v>1217</v>
      </c>
      <c r="C567" t="s">
        <v>1126</v>
      </c>
      <c r="D567" t="s">
        <v>67</v>
      </c>
      <c r="E567">
        <v>582</v>
      </c>
      <c r="F567" t="s">
        <v>1220</v>
      </c>
      <c r="G567" t="s">
        <v>1219</v>
      </c>
      <c r="H567" t="s">
        <v>1210</v>
      </c>
    </row>
    <row r="568" spans="1:8" x14ac:dyDescent="0.45">
      <c r="A568" t="s">
        <v>680</v>
      </c>
      <c r="B568" t="s">
        <v>1223</v>
      </c>
      <c r="C568" t="s">
        <v>1124</v>
      </c>
      <c r="D568" t="s">
        <v>50</v>
      </c>
      <c r="E568">
        <v>2230</v>
      </c>
      <c r="F568" t="s">
        <v>1226</v>
      </c>
      <c r="G568" t="s">
        <v>1219</v>
      </c>
      <c r="H568" t="s">
        <v>1210</v>
      </c>
    </row>
    <row r="569" spans="1:8" x14ac:dyDescent="0.45">
      <c r="A569" t="s">
        <v>681</v>
      </c>
      <c r="B569" t="s">
        <v>1217</v>
      </c>
      <c r="C569" t="s">
        <v>1120</v>
      </c>
      <c r="D569" t="s">
        <v>99</v>
      </c>
      <c r="E569">
        <v>2115</v>
      </c>
      <c r="F569" t="s">
        <v>1224</v>
      </c>
      <c r="G569" t="s">
        <v>1219</v>
      </c>
      <c r="H569" t="s">
        <v>1210</v>
      </c>
    </row>
    <row r="570" spans="1:8" x14ac:dyDescent="0.45">
      <c r="A570" t="s">
        <v>682</v>
      </c>
      <c r="B570" t="s">
        <v>1217</v>
      </c>
      <c r="C570" t="s">
        <v>1114</v>
      </c>
      <c r="D570" t="s">
        <v>22</v>
      </c>
      <c r="E570">
        <v>1701</v>
      </c>
      <c r="F570" t="s">
        <v>1224</v>
      </c>
      <c r="G570" t="s">
        <v>1219</v>
      </c>
      <c r="H570" t="s">
        <v>1210</v>
      </c>
    </row>
    <row r="571" spans="1:8" x14ac:dyDescent="0.45">
      <c r="A571" t="s">
        <v>683</v>
      </c>
      <c r="B571" t="s">
        <v>1225</v>
      </c>
      <c r="C571" t="s">
        <v>1125</v>
      </c>
      <c r="D571" t="s">
        <v>50</v>
      </c>
      <c r="E571">
        <v>624</v>
      </c>
      <c r="F571" t="s">
        <v>1224</v>
      </c>
      <c r="G571" t="s">
        <v>1219</v>
      </c>
      <c r="H571" t="s">
        <v>1210</v>
      </c>
    </row>
    <row r="572" spans="1:8" x14ac:dyDescent="0.45">
      <c r="A572" t="s">
        <v>684</v>
      </c>
      <c r="B572" t="s">
        <v>1223</v>
      </c>
      <c r="C572" t="s">
        <v>1121</v>
      </c>
      <c r="D572" t="s">
        <v>53</v>
      </c>
      <c r="E572">
        <v>1983</v>
      </c>
      <c r="F572" t="s">
        <v>1220</v>
      </c>
      <c r="G572" t="s">
        <v>1219</v>
      </c>
      <c r="H572" t="s">
        <v>1210</v>
      </c>
    </row>
    <row r="573" spans="1:8" x14ac:dyDescent="0.45">
      <c r="A573" t="s">
        <v>685</v>
      </c>
      <c r="B573" t="s">
        <v>1217</v>
      </c>
      <c r="C573" t="s">
        <v>1115</v>
      </c>
      <c r="D573" t="s">
        <v>5</v>
      </c>
      <c r="E573">
        <v>1911</v>
      </c>
      <c r="F573" t="s">
        <v>1220</v>
      </c>
      <c r="G573" t="s">
        <v>1219</v>
      </c>
      <c r="H573" t="s">
        <v>1210</v>
      </c>
    </row>
    <row r="574" spans="1:8" x14ac:dyDescent="0.45">
      <c r="A574" t="s">
        <v>686</v>
      </c>
      <c r="B574" t="s">
        <v>1217</v>
      </c>
      <c r="C574" t="s">
        <v>1114</v>
      </c>
      <c r="D574" t="s">
        <v>36</v>
      </c>
      <c r="E574">
        <v>1006</v>
      </c>
      <c r="F574" t="s">
        <v>1220</v>
      </c>
      <c r="G574" t="s">
        <v>1219</v>
      </c>
      <c r="H574" t="s">
        <v>1210</v>
      </c>
    </row>
    <row r="575" spans="1:8" x14ac:dyDescent="0.45">
      <c r="A575" t="s">
        <v>687</v>
      </c>
      <c r="B575" t="s">
        <v>1223</v>
      </c>
      <c r="C575" t="s">
        <v>1124</v>
      </c>
      <c r="D575" t="s">
        <v>61</v>
      </c>
      <c r="E575">
        <v>1097</v>
      </c>
      <c r="F575" t="s">
        <v>1224</v>
      </c>
      <c r="G575" t="s">
        <v>1219</v>
      </c>
      <c r="H575" t="s">
        <v>1210</v>
      </c>
    </row>
    <row r="576" spans="1:8" x14ac:dyDescent="0.45">
      <c r="A576" t="s">
        <v>688</v>
      </c>
      <c r="B576" t="s">
        <v>1225</v>
      </c>
      <c r="C576" t="s">
        <v>1123</v>
      </c>
      <c r="D576" t="s">
        <v>1131</v>
      </c>
      <c r="E576">
        <v>831</v>
      </c>
      <c r="F576" t="s">
        <v>1224</v>
      </c>
      <c r="G576" t="s">
        <v>1219</v>
      </c>
      <c r="H576" t="s">
        <v>1210</v>
      </c>
    </row>
    <row r="577" spans="1:8" x14ac:dyDescent="0.45">
      <c r="A577" t="s">
        <v>689</v>
      </c>
      <c r="B577" t="s">
        <v>1217</v>
      </c>
      <c r="C577" t="s">
        <v>1126</v>
      </c>
      <c r="D577" t="s">
        <v>92</v>
      </c>
      <c r="E577">
        <v>1981</v>
      </c>
      <c r="F577" t="s">
        <v>1224</v>
      </c>
      <c r="G577" t="s">
        <v>1219</v>
      </c>
      <c r="H577" t="s">
        <v>1210</v>
      </c>
    </row>
    <row r="578" spans="1:8" x14ac:dyDescent="0.45">
      <c r="A578" t="s">
        <v>690</v>
      </c>
      <c r="B578" t="s">
        <v>1217</v>
      </c>
      <c r="C578" t="s">
        <v>1126</v>
      </c>
      <c r="D578" t="s">
        <v>87</v>
      </c>
      <c r="E578">
        <v>1173</v>
      </c>
      <c r="F578" t="s">
        <v>1224</v>
      </c>
      <c r="G578" t="s">
        <v>1219</v>
      </c>
      <c r="H578" t="s">
        <v>1210</v>
      </c>
    </row>
    <row r="579" spans="1:8" x14ac:dyDescent="0.45">
      <c r="A579" t="s">
        <v>691</v>
      </c>
      <c r="B579" t="s">
        <v>1223</v>
      </c>
      <c r="C579" t="s">
        <v>1122</v>
      </c>
      <c r="D579" t="s">
        <v>110</v>
      </c>
      <c r="E579">
        <v>3298</v>
      </c>
      <c r="F579" t="s">
        <v>1224</v>
      </c>
      <c r="G579" t="s">
        <v>1219</v>
      </c>
      <c r="H579" t="s">
        <v>1210</v>
      </c>
    </row>
    <row r="580" spans="1:8" x14ac:dyDescent="0.45">
      <c r="A580" t="s">
        <v>692</v>
      </c>
      <c r="B580" t="s">
        <v>1225</v>
      </c>
      <c r="C580" t="s">
        <v>1125</v>
      </c>
      <c r="D580" t="s">
        <v>87</v>
      </c>
      <c r="E580">
        <v>1186</v>
      </c>
      <c r="F580" t="s">
        <v>1227</v>
      </c>
      <c r="G580" t="s">
        <v>1219</v>
      </c>
      <c r="H580" t="s">
        <v>1210</v>
      </c>
    </row>
    <row r="581" spans="1:8" x14ac:dyDescent="0.45">
      <c r="A581" t="s">
        <v>693</v>
      </c>
      <c r="B581" t="s">
        <v>1217</v>
      </c>
      <c r="C581" t="s">
        <v>1116</v>
      </c>
      <c r="D581" t="s">
        <v>105</v>
      </c>
      <c r="E581">
        <v>1163</v>
      </c>
      <c r="F581" t="s">
        <v>1224</v>
      </c>
      <c r="G581" t="s">
        <v>1219</v>
      </c>
      <c r="H581" t="s">
        <v>1210</v>
      </c>
    </row>
    <row r="582" spans="1:8" x14ac:dyDescent="0.45">
      <c r="A582" t="s">
        <v>694</v>
      </c>
      <c r="B582" t="s">
        <v>1223</v>
      </c>
      <c r="C582" t="s">
        <v>1124</v>
      </c>
      <c r="D582" t="s">
        <v>70</v>
      </c>
      <c r="E582">
        <v>1462</v>
      </c>
      <c r="F582" t="s">
        <v>1224</v>
      </c>
      <c r="G582" t="s">
        <v>1219</v>
      </c>
      <c r="H582" t="s">
        <v>1210</v>
      </c>
    </row>
    <row r="583" spans="1:8" x14ac:dyDescent="0.45">
      <c r="A583" t="s">
        <v>695</v>
      </c>
      <c r="B583" t="s">
        <v>1217</v>
      </c>
      <c r="C583" t="s">
        <v>1115</v>
      </c>
      <c r="D583" t="s">
        <v>83</v>
      </c>
      <c r="E583">
        <v>1815</v>
      </c>
      <c r="F583" t="s">
        <v>1220</v>
      </c>
      <c r="G583" t="s">
        <v>1219</v>
      </c>
      <c r="H583" t="s">
        <v>1210</v>
      </c>
    </row>
    <row r="584" spans="1:8" x14ac:dyDescent="0.45">
      <c r="A584" t="s">
        <v>696</v>
      </c>
      <c r="B584" t="s">
        <v>1223</v>
      </c>
      <c r="C584" t="s">
        <v>1121</v>
      </c>
      <c r="D584" t="s">
        <v>99</v>
      </c>
      <c r="E584">
        <v>2009</v>
      </c>
      <c r="F584" t="s">
        <v>1220</v>
      </c>
      <c r="G584" t="s">
        <v>1219</v>
      </c>
      <c r="H584" t="s">
        <v>1210</v>
      </c>
    </row>
    <row r="585" spans="1:8" x14ac:dyDescent="0.45">
      <c r="A585" t="s">
        <v>697</v>
      </c>
      <c r="B585" t="s">
        <v>1217</v>
      </c>
      <c r="C585" t="s">
        <v>1120</v>
      </c>
      <c r="D585" t="s">
        <v>61</v>
      </c>
      <c r="E585">
        <v>1620</v>
      </c>
      <c r="F585" t="s">
        <v>1220</v>
      </c>
      <c r="G585" t="s">
        <v>1219</v>
      </c>
      <c r="H585" t="s">
        <v>1210</v>
      </c>
    </row>
    <row r="586" spans="1:8" x14ac:dyDescent="0.45">
      <c r="A586" t="s">
        <v>698</v>
      </c>
      <c r="B586" t="s">
        <v>1225</v>
      </c>
      <c r="C586" t="s">
        <v>1128</v>
      </c>
      <c r="D586" t="s">
        <v>45</v>
      </c>
      <c r="E586">
        <v>1331</v>
      </c>
      <c r="F586" t="s">
        <v>1220</v>
      </c>
      <c r="G586" t="s">
        <v>1219</v>
      </c>
      <c r="H586" t="s">
        <v>1210</v>
      </c>
    </row>
    <row r="587" spans="1:8" x14ac:dyDescent="0.45">
      <c r="A587" t="s">
        <v>699</v>
      </c>
      <c r="B587" t="s">
        <v>1217</v>
      </c>
      <c r="C587" t="s">
        <v>1114</v>
      </c>
      <c r="D587" t="s">
        <v>72</v>
      </c>
      <c r="E587">
        <v>1200</v>
      </c>
      <c r="F587" t="s">
        <v>1224</v>
      </c>
      <c r="G587" t="s">
        <v>1219</v>
      </c>
      <c r="H587" t="s">
        <v>1210</v>
      </c>
    </row>
    <row r="588" spans="1:8" x14ac:dyDescent="0.45">
      <c r="A588" t="s">
        <v>700</v>
      </c>
      <c r="B588" t="s">
        <v>1223</v>
      </c>
      <c r="C588" t="s">
        <v>1121</v>
      </c>
      <c r="D588" t="s">
        <v>41</v>
      </c>
      <c r="E588">
        <v>3286</v>
      </c>
      <c r="F588" t="s">
        <v>1220</v>
      </c>
      <c r="G588" t="s">
        <v>1219</v>
      </c>
      <c r="H588" t="s">
        <v>1210</v>
      </c>
    </row>
    <row r="589" spans="1:8" x14ac:dyDescent="0.45">
      <c r="A589" t="s">
        <v>701</v>
      </c>
      <c r="B589" t="s">
        <v>1225</v>
      </c>
      <c r="C589" t="s">
        <v>1128</v>
      </c>
      <c r="D589" t="s">
        <v>47</v>
      </c>
      <c r="E589">
        <v>1263</v>
      </c>
      <c r="F589" t="s">
        <v>1224</v>
      </c>
      <c r="G589" t="s">
        <v>1221</v>
      </c>
      <c r="H589" t="s">
        <v>1210</v>
      </c>
    </row>
    <row r="590" spans="1:8" x14ac:dyDescent="0.45">
      <c r="A590" t="s">
        <v>702</v>
      </c>
      <c r="B590" t="s">
        <v>1225</v>
      </c>
      <c r="C590" t="s">
        <v>1125</v>
      </c>
      <c r="D590" t="s">
        <v>63</v>
      </c>
      <c r="E590">
        <v>367</v>
      </c>
      <c r="F590" t="s">
        <v>1227</v>
      </c>
      <c r="G590" t="s">
        <v>1219</v>
      </c>
      <c r="H590" t="s">
        <v>1210</v>
      </c>
    </row>
    <row r="591" spans="1:8" x14ac:dyDescent="0.45">
      <c r="A591" t="s">
        <v>703</v>
      </c>
      <c r="B591" t="s">
        <v>1225</v>
      </c>
      <c r="C591" t="s">
        <v>1123</v>
      </c>
      <c r="D591" t="s">
        <v>1136</v>
      </c>
      <c r="E591">
        <v>1703</v>
      </c>
      <c r="F591" t="s">
        <v>1224</v>
      </c>
      <c r="G591" t="s">
        <v>1219</v>
      </c>
      <c r="H591" t="s">
        <v>1210</v>
      </c>
    </row>
    <row r="592" spans="1:8" x14ac:dyDescent="0.45">
      <c r="A592" t="s">
        <v>704</v>
      </c>
      <c r="B592" t="s">
        <v>1223</v>
      </c>
      <c r="C592" t="s">
        <v>1124</v>
      </c>
      <c r="D592" t="s">
        <v>24</v>
      </c>
      <c r="E592">
        <v>1783</v>
      </c>
      <c r="F592" t="s">
        <v>1227</v>
      </c>
      <c r="G592" t="s">
        <v>1219</v>
      </c>
      <c r="H592" t="s">
        <v>1210</v>
      </c>
    </row>
    <row r="593" spans="1:8" x14ac:dyDescent="0.45">
      <c r="A593" t="s">
        <v>705</v>
      </c>
      <c r="B593" t="s">
        <v>1217</v>
      </c>
      <c r="C593" t="s">
        <v>1116</v>
      </c>
      <c r="D593" t="s">
        <v>1135</v>
      </c>
      <c r="E593">
        <v>1552</v>
      </c>
      <c r="F593" t="s">
        <v>1227</v>
      </c>
      <c r="G593" t="s">
        <v>1219</v>
      </c>
      <c r="H593" t="s">
        <v>1210</v>
      </c>
    </row>
    <row r="594" spans="1:8" x14ac:dyDescent="0.45">
      <c r="A594" t="s">
        <v>706</v>
      </c>
      <c r="B594" t="s">
        <v>1225</v>
      </c>
      <c r="C594" t="s">
        <v>1118</v>
      </c>
      <c r="D594" t="s">
        <v>10</v>
      </c>
      <c r="E594">
        <v>1514</v>
      </c>
      <c r="F594" t="s">
        <v>1224</v>
      </c>
      <c r="G594" t="s">
        <v>1219</v>
      </c>
      <c r="H594" t="s">
        <v>1210</v>
      </c>
    </row>
    <row r="595" spans="1:8" x14ac:dyDescent="0.45">
      <c r="A595" t="s">
        <v>707</v>
      </c>
      <c r="B595" t="s">
        <v>1217</v>
      </c>
      <c r="C595" t="s">
        <v>1126</v>
      </c>
      <c r="D595" t="s">
        <v>1140</v>
      </c>
      <c r="E595">
        <v>1914</v>
      </c>
      <c r="F595" t="s">
        <v>1224</v>
      </c>
      <c r="G595" t="s">
        <v>1219</v>
      </c>
      <c r="H595" t="s">
        <v>1210</v>
      </c>
    </row>
    <row r="596" spans="1:8" x14ac:dyDescent="0.45">
      <c r="A596" t="s">
        <v>708</v>
      </c>
      <c r="B596" t="s">
        <v>1217</v>
      </c>
      <c r="C596" t="s">
        <v>1114</v>
      </c>
      <c r="D596" t="s">
        <v>74</v>
      </c>
      <c r="E596">
        <v>1552</v>
      </c>
      <c r="F596" t="s">
        <v>1218</v>
      </c>
      <c r="G596" t="s">
        <v>1219</v>
      </c>
      <c r="H596" t="s">
        <v>1210</v>
      </c>
    </row>
    <row r="597" spans="1:8" x14ac:dyDescent="0.45">
      <c r="A597" t="s">
        <v>709</v>
      </c>
      <c r="B597" t="s">
        <v>1225</v>
      </c>
      <c r="C597" t="s">
        <v>1125</v>
      </c>
      <c r="D597" t="s">
        <v>43</v>
      </c>
      <c r="E597">
        <v>2117</v>
      </c>
      <c r="F597" t="s">
        <v>1224</v>
      </c>
      <c r="G597" t="s">
        <v>1219</v>
      </c>
      <c r="H597" t="s">
        <v>1210</v>
      </c>
    </row>
    <row r="598" spans="1:8" x14ac:dyDescent="0.45">
      <c r="A598" t="s">
        <v>710</v>
      </c>
      <c r="B598" t="s">
        <v>1225</v>
      </c>
      <c r="C598" t="s">
        <v>1119</v>
      </c>
      <c r="D598" t="s">
        <v>57</v>
      </c>
      <c r="E598">
        <v>2182</v>
      </c>
      <c r="F598" t="s">
        <v>1220</v>
      </c>
      <c r="G598" t="s">
        <v>1221</v>
      </c>
      <c r="H598" t="s">
        <v>1210</v>
      </c>
    </row>
    <row r="599" spans="1:8" x14ac:dyDescent="0.45">
      <c r="A599" t="s">
        <v>711</v>
      </c>
      <c r="B599" t="s">
        <v>1217</v>
      </c>
      <c r="C599" t="s">
        <v>1114</v>
      </c>
      <c r="D599" t="s">
        <v>1140</v>
      </c>
      <c r="E599">
        <v>1786</v>
      </c>
      <c r="F599" t="s">
        <v>1227</v>
      </c>
      <c r="G599" t="s">
        <v>1219</v>
      </c>
      <c r="H599" t="s">
        <v>1210</v>
      </c>
    </row>
    <row r="600" spans="1:8" x14ac:dyDescent="0.45">
      <c r="A600" t="s">
        <v>712</v>
      </c>
      <c r="B600" t="s">
        <v>1217</v>
      </c>
      <c r="C600" t="s">
        <v>1115</v>
      </c>
      <c r="D600" t="s">
        <v>1136</v>
      </c>
      <c r="E600">
        <v>1865</v>
      </c>
      <c r="F600" t="s">
        <v>1224</v>
      </c>
      <c r="G600" t="s">
        <v>1219</v>
      </c>
      <c r="H600" t="s">
        <v>1210</v>
      </c>
    </row>
    <row r="601" spans="1:8" x14ac:dyDescent="0.45">
      <c r="A601" t="s">
        <v>713</v>
      </c>
      <c r="B601" t="s">
        <v>1225</v>
      </c>
      <c r="C601" t="s">
        <v>1119</v>
      </c>
      <c r="D601" t="s">
        <v>99</v>
      </c>
      <c r="E601">
        <v>1831</v>
      </c>
      <c r="F601" t="s">
        <v>1227</v>
      </c>
      <c r="G601" t="s">
        <v>1219</v>
      </c>
      <c r="H601" t="s">
        <v>1210</v>
      </c>
    </row>
    <row r="602" spans="1:8" x14ac:dyDescent="0.45">
      <c r="A602" t="s">
        <v>714</v>
      </c>
      <c r="B602" t="s">
        <v>1223</v>
      </c>
      <c r="C602" t="s">
        <v>1127</v>
      </c>
      <c r="D602" t="s">
        <v>36</v>
      </c>
      <c r="E602">
        <v>927</v>
      </c>
      <c r="F602" t="s">
        <v>1227</v>
      </c>
      <c r="G602" t="s">
        <v>1219</v>
      </c>
      <c r="H602" t="s">
        <v>1210</v>
      </c>
    </row>
    <row r="603" spans="1:8" x14ac:dyDescent="0.45">
      <c r="A603" t="s">
        <v>715</v>
      </c>
      <c r="B603" t="s">
        <v>1225</v>
      </c>
      <c r="C603" t="s">
        <v>1119</v>
      </c>
      <c r="D603" t="s">
        <v>1135</v>
      </c>
      <c r="E603">
        <v>1485</v>
      </c>
      <c r="F603" t="s">
        <v>1227</v>
      </c>
      <c r="G603" t="s">
        <v>1219</v>
      </c>
      <c r="H603" t="s">
        <v>1210</v>
      </c>
    </row>
    <row r="604" spans="1:8" x14ac:dyDescent="0.45">
      <c r="A604" t="s">
        <v>716</v>
      </c>
      <c r="B604" t="s">
        <v>1225</v>
      </c>
      <c r="C604" t="s">
        <v>1119</v>
      </c>
      <c r="D604" t="s">
        <v>68</v>
      </c>
      <c r="E604">
        <v>1348</v>
      </c>
      <c r="F604" t="s">
        <v>1227</v>
      </c>
      <c r="G604" t="s">
        <v>1219</v>
      </c>
      <c r="H604" t="s">
        <v>1210</v>
      </c>
    </row>
    <row r="605" spans="1:8" x14ac:dyDescent="0.45">
      <c r="A605" t="s">
        <v>717</v>
      </c>
      <c r="B605" t="s">
        <v>1225</v>
      </c>
      <c r="C605" t="s">
        <v>1125</v>
      </c>
      <c r="D605" t="s">
        <v>69</v>
      </c>
      <c r="E605">
        <v>1483</v>
      </c>
      <c r="F605" t="s">
        <v>1220</v>
      </c>
      <c r="G605" t="s">
        <v>1219</v>
      </c>
      <c r="H605" t="s">
        <v>1210</v>
      </c>
    </row>
    <row r="606" spans="1:8" x14ac:dyDescent="0.45">
      <c r="A606" t="s">
        <v>718</v>
      </c>
      <c r="B606" t="s">
        <v>1217</v>
      </c>
      <c r="C606" t="s">
        <v>1120</v>
      </c>
      <c r="D606" t="s">
        <v>51</v>
      </c>
      <c r="E606">
        <v>2626</v>
      </c>
      <c r="F606" t="s">
        <v>1224</v>
      </c>
      <c r="G606" t="s">
        <v>1219</v>
      </c>
      <c r="H606" t="s">
        <v>1210</v>
      </c>
    </row>
    <row r="607" spans="1:8" x14ac:dyDescent="0.45">
      <c r="A607" t="s">
        <v>719</v>
      </c>
      <c r="B607" t="s">
        <v>1217</v>
      </c>
      <c r="C607" t="s">
        <v>1126</v>
      </c>
      <c r="D607" t="s">
        <v>1134</v>
      </c>
      <c r="E607">
        <v>1071</v>
      </c>
      <c r="F607" t="s">
        <v>1224</v>
      </c>
      <c r="G607" t="s">
        <v>1219</v>
      </c>
      <c r="H607" t="s">
        <v>1210</v>
      </c>
    </row>
    <row r="608" spans="1:8" x14ac:dyDescent="0.45">
      <c r="A608" t="s">
        <v>720</v>
      </c>
      <c r="B608" t="s">
        <v>1223</v>
      </c>
      <c r="C608" t="s">
        <v>1122</v>
      </c>
      <c r="D608" t="s">
        <v>107</v>
      </c>
      <c r="E608">
        <v>2498</v>
      </c>
      <c r="F608" t="s">
        <v>1224</v>
      </c>
      <c r="G608" t="s">
        <v>1219</v>
      </c>
      <c r="H608" t="s">
        <v>1210</v>
      </c>
    </row>
    <row r="609" spans="1:8" x14ac:dyDescent="0.45">
      <c r="A609" t="s">
        <v>721</v>
      </c>
      <c r="B609" t="s">
        <v>1223</v>
      </c>
      <c r="C609" t="s">
        <v>1117</v>
      </c>
      <c r="D609" t="s">
        <v>75</v>
      </c>
      <c r="E609">
        <v>986</v>
      </c>
      <c r="F609" t="s">
        <v>1220</v>
      </c>
      <c r="G609" t="s">
        <v>1219</v>
      </c>
      <c r="H609" t="s">
        <v>1210</v>
      </c>
    </row>
    <row r="610" spans="1:8" x14ac:dyDescent="0.45">
      <c r="A610" t="s">
        <v>722</v>
      </c>
      <c r="B610" t="s">
        <v>1225</v>
      </c>
      <c r="C610" t="s">
        <v>1118</v>
      </c>
      <c r="D610" t="s">
        <v>1136</v>
      </c>
      <c r="E610">
        <v>1802</v>
      </c>
      <c r="F610" t="s">
        <v>1218</v>
      </c>
      <c r="G610" t="s">
        <v>1219</v>
      </c>
      <c r="H610" t="s">
        <v>1210</v>
      </c>
    </row>
    <row r="611" spans="1:8" x14ac:dyDescent="0.45">
      <c r="A611" t="s">
        <v>723</v>
      </c>
      <c r="B611" t="s">
        <v>1217</v>
      </c>
      <c r="C611" t="s">
        <v>1115</v>
      </c>
      <c r="D611" t="s">
        <v>64</v>
      </c>
      <c r="E611">
        <v>1330</v>
      </c>
      <c r="F611" t="s">
        <v>1224</v>
      </c>
      <c r="G611" t="s">
        <v>1219</v>
      </c>
      <c r="H611" t="s">
        <v>1210</v>
      </c>
    </row>
    <row r="612" spans="1:8" x14ac:dyDescent="0.45">
      <c r="A612" t="s">
        <v>724</v>
      </c>
      <c r="B612" t="s">
        <v>1225</v>
      </c>
      <c r="C612" t="s">
        <v>1128</v>
      </c>
      <c r="D612" t="s">
        <v>105</v>
      </c>
      <c r="E612">
        <v>1093</v>
      </c>
      <c r="F612" t="s">
        <v>1220</v>
      </c>
      <c r="G612" t="s">
        <v>1219</v>
      </c>
      <c r="H612" t="s">
        <v>1210</v>
      </c>
    </row>
    <row r="613" spans="1:8" x14ac:dyDescent="0.45">
      <c r="A613" t="s">
        <v>725</v>
      </c>
      <c r="B613" t="s">
        <v>1223</v>
      </c>
      <c r="C613" t="s">
        <v>1124</v>
      </c>
      <c r="D613" t="s">
        <v>84</v>
      </c>
      <c r="E613">
        <v>2333</v>
      </c>
      <c r="F613" t="s">
        <v>1224</v>
      </c>
      <c r="G613" t="s">
        <v>1219</v>
      </c>
      <c r="H613" t="s">
        <v>1210</v>
      </c>
    </row>
    <row r="614" spans="1:8" x14ac:dyDescent="0.45">
      <c r="A614" t="s">
        <v>726</v>
      </c>
      <c r="B614" t="s">
        <v>1223</v>
      </c>
      <c r="C614" t="s">
        <v>1117</v>
      </c>
      <c r="D614" t="s">
        <v>1136</v>
      </c>
      <c r="E614">
        <v>1729</v>
      </c>
      <c r="F614" t="s">
        <v>1220</v>
      </c>
      <c r="G614" t="s">
        <v>1219</v>
      </c>
      <c r="H614" t="s">
        <v>1210</v>
      </c>
    </row>
    <row r="615" spans="1:8" x14ac:dyDescent="0.45">
      <c r="A615" t="s">
        <v>727</v>
      </c>
      <c r="B615" t="s">
        <v>1217</v>
      </c>
      <c r="C615" t="s">
        <v>1120</v>
      </c>
      <c r="D615" t="s">
        <v>42</v>
      </c>
      <c r="E615">
        <v>3115</v>
      </c>
      <c r="F615" t="s">
        <v>1224</v>
      </c>
      <c r="G615" t="s">
        <v>1219</v>
      </c>
      <c r="H615" t="s">
        <v>1210</v>
      </c>
    </row>
    <row r="616" spans="1:8" x14ac:dyDescent="0.45">
      <c r="A616" t="s">
        <v>728</v>
      </c>
      <c r="B616" t="s">
        <v>1223</v>
      </c>
      <c r="C616" t="s">
        <v>1124</v>
      </c>
      <c r="D616" t="s">
        <v>62</v>
      </c>
      <c r="E616">
        <v>1513</v>
      </c>
      <c r="F616" t="s">
        <v>1224</v>
      </c>
      <c r="G616" t="s">
        <v>1219</v>
      </c>
      <c r="H616" t="s">
        <v>1210</v>
      </c>
    </row>
    <row r="617" spans="1:8" x14ac:dyDescent="0.45">
      <c r="A617" t="s">
        <v>729</v>
      </c>
      <c r="B617" t="s">
        <v>1225</v>
      </c>
      <c r="C617" t="s">
        <v>1123</v>
      </c>
      <c r="D617" t="s">
        <v>43</v>
      </c>
      <c r="E617">
        <v>2363</v>
      </c>
      <c r="F617" t="s">
        <v>1224</v>
      </c>
      <c r="G617" t="s">
        <v>1219</v>
      </c>
      <c r="H617" t="s">
        <v>1210</v>
      </c>
    </row>
    <row r="618" spans="1:8" x14ac:dyDescent="0.45">
      <c r="A618" t="s">
        <v>730</v>
      </c>
      <c r="B618" t="s">
        <v>1217</v>
      </c>
      <c r="C618" t="s">
        <v>1120</v>
      </c>
      <c r="D618" t="s">
        <v>41</v>
      </c>
      <c r="E618">
        <v>3666</v>
      </c>
      <c r="F618" t="s">
        <v>1220</v>
      </c>
      <c r="G618" t="s">
        <v>1219</v>
      </c>
      <c r="H618" t="s">
        <v>1210</v>
      </c>
    </row>
    <row r="619" spans="1:8" x14ac:dyDescent="0.45">
      <c r="A619" t="s">
        <v>731</v>
      </c>
      <c r="B619" t="s">
        <v>1217</v>
      </c>
      <c r="C619" t="s">
        <v>1116</v>
      </c>
      <c r="D619" t="s">
        <v>81</v>
      </c>
      <c r="E619">
        <v>397</v>
      </c>
      <c r="F619" t="s">
        <v>1224</v>
      </c>
      <c r="G619" t="s">
        <v>1219</v>
      </c>
      <c r="H619" t="s">
        <v>1210</v>
      </c>
    </row>
    <row r="620" spans="1:8" x14ac:dyDescent="0.45">
      <c r="A620" t="s">
        <v>732</v>
      </c>
      <c r="B620" t="s">
        <v>1223</v>
      </c>
      <c r="C620" t="s">
        <v>1122</v>
      </c>
      <c r="D620" t="s">
        <v>18</v>
      </c>
      <c r="E620">
        <v>1239</v>
      </c>
      <c r="F620" t="s">
        <v>1224</v>
      </c>
      <c r="G620" t="s">
        <v>1219</v>
      </c>
      <c r="H620" t="s">
        <v>1210</v>
      </c>
    </row>
    <row r="621" spans="1:8" x14ac:dyDescent="0.45">
      <c r="A621" t="s">
        <v>733</v>
      </c>
      <c r="B621" t="s">
        <v>1217</v>
      </c>
      <c r="C621" t="s">
        <v>1114</v>
      </c>
      <c r="D621" t="s">
        <v>64</v>
      </c>
      <c r="E621">
        <v>1169</v>
      </c>
      <c r="F621" t="s">
        <v>1220</v>
      </c>
      <c r="G621" t="s">
        <v>1219</v>
      </c>
      <c r="H621" t="s">
        <v>1210</v>
      </c>
    </row>
    <row r="622" spans="1:8" x14ac:dyDescent="0.45">
      <c r="A622" t="s">
        <v>734</v>
      </c>
      <c r="B622" t="s">
        <v>1217</v>
      </c>
      <c r="C622" t="s">
        <v>1114</v>
      </c>
      <c r="D622" t="s">
        <v>1137</v>
      </c>
      <c r="E622">
        <v>1042</v>
      </c>
      <c r="F622" t="s">
        <v>1218</v>
      </c>
      <c r="G622" t="s">
        <v>1221</v>
      </c>
      <c r="H622" t="s">
        <v>1210</v>
      </c>
    </row>
    <row r="623" spans="1:8" x14ac:dyDescent="0.45">
      <c r="A623" t="s">
        <v>735</v>
      </c>
      <c r="B623" t="s">
        <v>1223</v>
      </c>
      <c r="C623" t="s">
        <v>1122</v>
      </c>
      <c r="D623" t="s">
        <v>8</v>
      </c>
      <c r="E623">
        <v>2246</v>
      </c>
      <c r="F623" t="s">
        <v>1224</v>
      </c>
      <c r="G623" t="s">
        <v>1219</v>
      </c>
      <c r="H623" t="s">
        <v>1210</v>
      </c>
    </row>
    <row r="624" spans="1:8" x14ac:dyDescent="0.45">
      <c r="A624" t="s">
        <v>736</v>
      </c>
      <c r="B624" t="s">
        <v>1217</v>
      </c>
      <c r="C624" t="s">
        <v>1114</v>
      </c>
      <c r="D624" t="s">
        <v>95</v>
      </c>
      <c r="E624">
        <v>1479</v>
      </c>
      <c r="F624" t="s">
        <v>1227</v>
      </c>
      <c r="G624" t="s">
        <v>1221</v>
      </c>
      <c r="H624" t="s">
        <v>1210</v>
      </c>
    </row>
    <row r="625" spans="1:8" x14ac:dyDescent="0.45">
      <c r="A625" t="s">
        <v>737</v>
      </c>
      <c r="B625" t="s">
        <v>1217</v>
      </c>
      <c r="C625" t="s">
        <v>1115</v>
      </c>
      <c r="D625" t="s">
        <v>80</v>
      </c>
      <c r="E625">
        <v>871</v>
      </c>
      <c r="F625" t="s">
        <v>1220</v>
      </c>
      <c r="G625" t="s">
        <v>1219</v>
      </c>
      <c r="H625" t="s">
        <v>1210</v>
      </c>
    </row>
    <row r="626" spans="1:8" x14ac:dyDescent="0.45">
      <c r="A626" t="s">
        <v>738</v>
      </c>
      <c r="B626" t="s">
        <v>1223</v>
      </c>
      <c r="C626" t="s">
        <v>1122</v>
      </c>
      <c r="D626" t="s">
        <v>59</v>
      </c>
      <c r="E626">
        <v>1331</v>
      </c>
      <c r="F626" t="s">
        <v>1224</v>
      </c>
      <c r="G626" t="s">
        <v>1219</v>
      </c>
      <c r="H626" t="s">
        <v>1210</v>
      </c>
    </row>
    <row r="627" spans="1:8" x14ac:dyDescent="0.45">
      <c r="A627" t="s">
        <v>739</v>
      </c>
      <c r="B627" t="s">
        <v>1217</v>
      </c>
      <c r="C627" t="s">
        <v>1115</v>
      </c>
      <c r="D627" t="s">
        <v>71</v>
      </c>
      <c r="E627">
        <v>1083</v>
      </c>
      <c r="F627" t="s">
        <v>1224</v>
      </c>
      <c r="G627" t="s">
        <v>1219</v>
      </c>
      <c r="H627" t="s">
        <v>1210</v>
      </c>
    </row>
    <row r="628" spans="1:8" x14ac:dyDescent="0.45">
      <c r="A628" t="s">
        <v>740</v>
      </c>
      <c r="B628" t="s">
        <v>1225</v>
      </c>
      <c r="C628" t="s">
        <v>1128</v>
      </c>
      <c r="D628" t="s">
        <v>19</v>
      </c>
      <c r="E628">
        <v>2638</v>
      </c>
      <c r="F628" t="s">
        <v>1220</v>
      </c>
      <c r="G628" t="s">
        <v>1219</v>
      </c>
      <c r="H628" t="s">
        <v>1210</v>
      </c>
    </row>
    <row r="629" spans="1:8" x14ac:dyDescent="0.45">
      <c r="A629" t="s">
        <v>741</v>
      </c>
      <c r="B629" t="s">
        <v>1225</v>
      </c>
      <c r="C629" t="s">
        <v>1125</v>
      </c>
      <c r="D629" t="s">
        <v>29</v>
      </c>
      <c r="E629">
        <v>969</v>
      </c>
      <c r="F629" t="s">
        <v>1224</v>
      </c>
      <c r="G629" t="s">
        <v>1219</v>
      </c>
      <c r="H629" t="s">
        <v>1210</v>
      </c>
    </row>
    <row r="630" spans="1:8" x14ac:dyDescent="0.45">
      <c r="A630" t="s">
        <v>742</v>
      </c>
      <c r="B630" t="s">
        <v>1223</v>
      </c>
      <c r="C630" t="s">
        <v>1121</v>
      </c>
      <c r="D630" t="s">
        <v>1129</v>
      </c>
      <c r="E630">
        <v>1190</v>
      </c>
      <c r="F630" t="s">
        <v>1220</v>
      </c>
      <c r="G630" t="s">
        <v>1219</v>
      </c>
      <c r="H630" t="s">
        <v>1210</v>
      </c>
    </row>
    <row r="631" spans="1:8" x14ac:dyDescent="0.45">
      <c r="A631" t="s">
        <v>743</v>
      </c>
      <c r="B631" t="s">
        <v>1217</v>
      </c>
      <c r="C631" t="s">
        <v>1114</v>
      </c>
      <c r="D631" t="s">
        <v>27</v>
      </c>
      <c r="E631">
        <v>1540</v>
      </c>
      <c r="F631" t="s">
        <v>1227</v>
      </c>
      <c r="G631" t="s">
        <v>1221</v>
      </c>
      <c r="H631" t="s">
        <v>1210</v>
      </c>
    </row>
    <row r="632" spans="1:8" x14ac:dyDescent="0.45">
      <c r="A632" t="s">
        <v>744</v>
      </c>
      <c r="B632" t="s">
        <v>1217</v>
      </c>
      <c r="C632" t="s">
        <v>1126</v>
      </c>
      <c r="D632" t="s">
        <v>65</v>
      </c>
      <c r="E632">
        <v>1917</v>
      </c>
      <c r="F632" t="s">
        <v>1224</v>
      </c>
      <c r="G632" t="s">
        <v>1219</v>
      </c>
      <c r="H632" t="s">
        <v>1210</v>
      </c>
    </row>
    <row r="633" spans="1:8" x14ac:dyDescent="0.45">
      <c r="A633" t="s">
        <v>745</v>
      </c>
      <c r="B633" t="s">
        <v>1225</v>
      </c>
      <c r="C633" t="s">
        <v>1125</v>
      </c>
      <c r="D633" t="s">
        <v>105</v>
      </c>
      <c r="E633">
        <v>1056</v>
      </c>
      <c r="F633" t="s">
        <v>1224</v>
      </c>
      <c r="G633" t="s">
        <v>1219</v>
      </c>
      <c r="H633" t="s">
        <v>1210</v>
      </c>
    </row>
    <row r="634" spans="1:8" x14ac:dyDescent="0.45">
      <c r="A634" t="s">
        <v>746</v>
      </c>
      <c r="B634" t="s">
        <v>1217</v>
      </c>
      <c r="C634" t="s">
        <v>1114</v>
      </c>
      <c r="D634" t="s">
        <v>12</v>
      </c>
      <c r="E634">
        <v>377</v>
      </c>
      <c r="F634" t="s">
        <v>1227</v>
      </c>
      <c r="G634" t="s">
        <v>1221</v>
      </c>
      <c r="H634" t="s">
        <v>1210</v>
      </c>
    </row>
    <row r="635" spans="1:8" x14ac:dyDescent="0.45">
      <c r="A635" t="s">
        <v>747</v>
      </c>
      <c r="B635" t="s">
        <v>1217</v>
      </c>
      <c r="C635" t="s">
        <v>1116</v>
      </c>
      <c r="D635" t="s">
        <v>77</v>
      </c>
      <c r="E635">
        <v>2105</v>
      </c>
      <c r="F635" t="s">
        <v>1240</v>
      </c>
      <c r="G635" t="s">
        <v>1219</v>
      </c>
      <c r="H635" t="s">
        <v>1210</v>
      </c>
    </row>
    <row r="636" spans="1:8" x14ac:dyDescent="0.45">
      <c r="A636" t="s">
        <v>748</v>
      </c>
      <c r="B636" t="s">
        <v>1223</v>
      </c>
      <c r="C636" t="s">
        <v>1122</v>
      </c>
      <c r="D636" t="s">
        <v>28</v>
      </c>
      <c r="E636">
        <v>2566</v>
      </c>
      <c r="F636" t="s">
        <v>1224</v>
      </c>
      <c r="G636" t="s">
        <v>1221</v>
      </c>
      <c r="H636" t="s">
        <v>1210</v>
      </c>
    </row>
    <row r="637" spans="1:8" x14ac:dyDescent="0.45">
      <c r="A637" t="s">
        <v>749</v>
      </c>
      <c r="B637" t="s">
        <v>1217</v>
      </c>
      <c r="C637" t="s">
        <v>1115</v>
      </c>
      <c r="D637" t="s">
        <v>32</v>
      </c>
      <c r="E637">
        <v>1911</v>
      </c>
      <c r="F637" t="s">
        <v>1240</v>
      </c>
      <c r="G637" t="s">
        <v>1219</v>
      </c>
      <c r="H637" t="s">
        <v>1210</v>
      </c>
    </row>
    <row r="638" spans="1:8" x14ac:dyDescent="0.45">
      <c r="A638" t="s">
        <v>750</v>
      </c>
      <c r="B638" t="s">
        <v>1225</v>
      </c>
      <c r="C638" t="s">
        <v>1123</v>
      </c>
      <c r="D638" t="s">
        <v>71</v>
      </c>
      <c r="E638">
        <v>1826</v>
      </c>
      <c r="F638" t="s">
        <v>1224</v>
      </c>
      <c r="G638" t="s">
        <v>1219</v>
      </c>
      <c r="H638" t="s">
        <v>1210</v>
      </c>
    </row>
    <row r="639" spans="1:8" x14ac:dyDescent="0.45">
      <c r="A639" t="s">
        <v>751</v>
      </c>
      <c r="B639" t="s">
        <v>1217</v>
      </c>
      <c r="C639" t="s">
        <v>1115</v>
      </c>
      <c r="D639" t="s">
        <v>33</v>
      </c>
      <c r="E639">
        <v>845</v>
      </c>
      <c r="F639" t="s">
        <v>1220</v>
      </c>
      <c r="G639" t="s">
        <v>1219</v>
      </c>
      <c r="H639" t="s">
        <v>1210</v>
      </c>
    </row>
    <row r="640" spans="1:8" x14ac:dyDescent="0.45">
      <c r="A640" t="s">
        <v>752</v>
      </c>
      <c r="B640" t="s">
        <v>1225</v>
      </c>
      <c r="C640" t="s">
        <v>1123</v>
      </c>
      <c r="D640" t="s">
        <v>96</v>
      </c>
      <c r="E640">
        <v>866</v>
      </c>
      <c r="F640" t="s">
        <v>1224</v>
      </c>
      <c r="G640" t="s">
        <v>1219</v>
      </c>
      <c r="H640" t="s">
        <v>1210</v>
      </c>
    </row>
    <row r="641" spans="1:8" x14ac:dyDescent="0.45">
      <c r="A641" t="s">
        <v>753</v>
      </c>
      <c r="B641" t="s">
        <v>1223</v>
      </c>
      <c r="C641" t="s">
        <v>1121</v>
      </c>
      <c r="D641" t="s">
        <v>1134</v>
      </c>
      <c r="E641">
        <v>417</v>
      </c>
      <c r="F641" t="s">
        <v>1220</v>
      </c>
      <c r="G641" t="s">
        <v>1219</v>
      </c>
      <c r="H641" t="s">
        <v>1210</v>
      </c>
    </row>
    <row r="642" spans="1:8" x14ac:dyDescent="0.45">
      <c r="A642" t="s">
        <v>754</v>
      </c>
      <c r="B642" t="s">
        <v>1217</v>
      </c>
      <c r="C642" t="s">
        <v>1115</v>
      </c>
      <c r="D642" t="s">
        <v>101</v>
      </c>
      <c r="E642">
        <v>870</v>
      </c>
      <c r="F642" t="s">
        <v>1224</v>
      </c>
      <c r="G642" t="s">
        <v>1219</v>
      </c>
      <c r="H642" t="s">
        <v>1210</v>
      </c>
    </row>
    <row r="643" spans="1:8" x14ac:dyDescent="0.45">
      <c r="A643" t="s">
        <v>755</v>
      </c>
      <c r="B643" t="s">
        <v>1217</v>
      </c>
      <c r="C643" t="s">
        <v>1120</v>
      </c>
      <c r="D643" t="s">
        <v>76</v>
      </c>
      <c r="E643">
        <v>345</v>
      </c>
      <c r="F643" t="s">
        <v>1220</v>
      </c>
      <c r="G643" t="s">
        <v>1221</v>
      </c>
      <c r="H643" t="s">
        <v>1210</v>
      </c>
    </row>
    <row r="644" spans="1:8" x14ac:dyDescent="0.45">
      <c r="A644" t="s">
        <v>756</v>
      </c>
      <c r="B644" t="s">
        <v>1217</v>
      </c>
      <c r="C644" t="s">
        <v>1114</v>
      </c>
      <c r="D644" t="s">
        <v>1135</v>
      </c>
      <c r="E644">
        <v>973</v>
      </c>
      <c r="F644" t="s">
        <v>1218</v>
      </c>
      <c r="G644" t="s">
        <v>1219</v>
      </c>
      <c r="H644" t="s">
        <v>1210</v>
      </c>
    </row>
    <row r="645" spans="1:8" x14ac:dyDescent="0.45">
      <c r="A645" t="s">
        <v>757</v>
      </c>
      <c r="B645" t="s">
        <v>1223</v>
      </c>
      <c r="C645" t="s">
        <v>1124</v>
      </c>
      <c r="D645" t="s">
        <v>1147</v>
      </c>
      <c r="E645">
        <v>723</v>
      </c>
      <c r="F645" t="s">
        <v>1224</v>
      </c>
      <c r="G645" t="s">
        <v>1219</v>
      </c>
      <c r="H645" t="s">
        <v>1210</v>
      </c>
    </row>
    <row r="646" spans="1:8" x14ac:dyDescent="0.45">
      <c r="A646" t="s">
        <v>758</v>
      </c>
      <c r="B646" t="s">
        <v>1225</v>
      </c>
      <c r="C646" t="s">
        <v>1118</v>
      </c>
      <c r="D646" t="s">
        <v>1138</v>
      </c>
      <c r="E646">
        <v>429</v>
      </c>
      <c r="F646" t="s">
        <v>1220</v>
      </c>
      <c r="G646" t="s">
        <v>1219</v>
      </c>
      <c r="H646" t="s">
        <v>1210</v>
      </c>
    </row>
    <row r="647" spans="1:8" x14ac:dyDescent="0.45">
      <c r="A647" t="s">
        <v>759</v>
      </c>
      <c r="B647" t="s">
        <v>1217</v>
      </c>
      <c r="C647" t="s">
        <v>1126</v>
      </c>
      <c r="D647" t="s">
        <v>56</v>
      </c>
      <c r="E647">
        <v>2072</v>
      </c>
      <c r="F647" t="s">
        <v>1224</v>
      </c>
      <c r="G647" t="s">
        <v>1219</v>
      </c>
      <c r="H647" t="s">
        <v>1210</v>
      </c>
    </row>
    <row r="648" spans="1:8" x14ac:dyDescent="0.45">
      <c r="A648" t="s">
        <v>760</v>
      </c>
      <c r="B648" t="s">
        <v>1225</v>
      </c>
      <c r="C648" t="s">
        <v>1119</v>
      </c>
      <c r="D648" t="s">
        <v>95</v>
      </c>
      <c r="E648">
        <v>1563</v>
      </c>
      <c r="F648" t="s">
        <v>1224</v>
      </c>
      <c r="G648" t="s">
        <v>1219</v>
      </c>
      <c r="H648" t="s">
        <v>1210</v>
      </c>
    </row>
    <row r="649" spans="1:8" x14ac:dyDescent="0.45">
      <c r="A649" t="s">
        <v>761</v>
      </c>
      <c r="B649" t="s">
        <v>1217</v>
      </c>
      <c r="C649" t="s">
        <v>1126</v>
      </c>
      <c r="D649" t="s">
        <v>42</v>
      </c>
      <c r="E649">
        <v>2616</v>
      </c>
      <c r="F649" t="s">
        <v>1224</v>
      </c>
      <c r="G649" t="s">
        <v>1219</v>
      </c>
      <c r="H649" t="s">
        <v>1210</v>
      </c>
    </row>
    <row r="650" spans="1:8" x14ac:dyDescent="0.45">
      <c r="A650" t="s">
        <v>762</v>
      </c>
      <c r="B650" t="s">
        <v>1225</v>
      </c>
      <c r="C650" t="s">
        <v>1123</v>
      </c>
      <c r="D650" t="s">
        <v>50</v>
      </c>
      <c r="E650">
        <v>2087</v>
      </c>
      <c r="F650" t="s">
        <v>1224</v>
      </c>
      <c r="G650" t="s">
        <v>1219</v>
      </c>
      <c r="H650" t="s">
        <v>1210</v>
      </c>
    </row>
    <row r="651" spans="1:8" x14ac:dyDescent="0.45">
      <c r="A651" t="s">
        <v>763</v>
      </c>
      <c r="B651" t="s">
        <v>1217</v>
      </c>
      <c r="C651" t="s">
        <v>1126</v>
      </c>
      <c r="D651" t="s">
        <v>22</v>
      </c>
      <c r="E651">
        <v>1705</v>
      </c>
      <c r="F651" t="s">
        <v>1224</v>
      </c>
      <c r="G651" t="s">
        <v>1219</v>
      </c>
      <c r="H651" t="s">
        <v>1210</v>
      </c>
    </row>
    <row r="652" spans="1:8" x14ac:dyDescent="0.45">
      <c r="A652" t="s">
        <v>764</v>
      </c>
      <c r="B652" t="s">
        <v>1225</v>
      </c>
      <c r="C652" t="s">
        <v>1128</v>
      </c>
      <c r="D652" t="s">
        <v>70</v>
      </c>
      <c r="E652">
        <v>491</v>
      </c>
      <c r="F652" t="s">
        <v>1224</v>
      </c>
      <c r="G652" t="s">
        <v>1219</v>
      </c>
      <c r="H652" t="s">
        <v>1210</v>
      </c>
    </row>
    <row r="653" spans="1:8" x14ac:dyDescent="0.45">
      <c r="A653" t="s">
        <v>765</v>
      </c>
      <c r="B653" t="s">
        <v>1225</v>
      </c>
      <c r="C653" t="s">
        <v>1128</v>
      </c>
      <c r="D653" t="s">
        <v>66</v>
      </c>
      <c r="E653">
        <v>804</v>
      </c>
      <c r="F653" t="s">
        <v>1220</v>
      </c>
      <c r="G653" t="s">
        <v>1219</v>
      </c>
      <c r="H653" t="s">
        <v>1210</v>
      </c>
    </row>
    <row r="654" spans="1:8" x14ac:dyDescent="0.45">
      <c r="A654" t="s">
        <v>766</v>
      </c>
      <c r="B654" t="s">
        <v>1217</v>
      </c>
      <c r="C654" t="s">
        <v>1120</v>
      </c>
      <c r="D654" t="s">
        <v>54</v>
      </c>
      <c r="E654">
        <v>1683</v>
      </c>
      <c r="F654" t="s">
        <v>1224</v>
      </c>
      <c r="G654" t="s">
        <v>1219</v>
      </c>
      <c r="H654" t="s">
        <v>1210</v>
      </c>
    </row>
    <row r="655" spans="1:8" x14ac:dyDescent="0.45">
      <c r="A655" t="s">
        <v>767</v>
      </c>
      <c r="B655" t="s">
        <v>1225</v>
      </c>
      <c r="C655" t="s">
        <v>1128</v>
      </c>
      <c r="D655" t="s">
        <v>1134</v>
      </c>
      <c r="E655">
        <v>951</v>
      </c>
      <c r="F655" t="s">
        <v>1224</v>
      </c>
      <c r="G655" t="s">
        <v>1219</v>
      </c>
      <c r="H655" t="s">
        <v>1210</v>
      </c>
    </row>
    <row r="656" spans="1:8" x14ac:dyDescent="0.45">
      <c r="A656" t="s">
        <v>768</v>
      </c>
      <c r="B656" t="s">
        <v>1223</v>
      </c>
      <c r="C656" t="s">
        <v>1124</v>
      </c>
      <c r="D656" t="s">
        <v>53</v>
      </c>
      <c r="E656">
        <v>879</v>
      </c>
      <c r="F656" t="s">
        <v>1224</v>
      </c>
      <c r="G656" t="s">
        <v>1221</v>
      </c>
      <c r="H656" t="s">
        <v>1210</v>
      </c>
    </row>
    <row r="657" spans="1:8" x14ac:dyDescent="0.45">
      <c r="A657" t="s">
        <v>769</v>
      </c>
      <c r="B657" t="s">
        <v>1217</v>
      </c>
      <c r="C657" t="s">
        <v>1116</v>
      </c>
      <c r="D657" t="s">
        <v>10</v>
      </c>
      <c r="E657">
        <v>-100</v>
      </c>
      <c r="F657" t="s">
        <v>1227</v>
      </c>
      <c r="G657" t="s">
        <v>1219</v>
      </c>
      <c r="H657" t="s">
        <v>1233</v>
      </c>
    </row>
    <row r="658" spans="1:8" x14ac:dyDescent="0.45">
      <c r="A658" t="s">
        <v>770</v>
      </c>
      <c r="B658" t="s">
        <v>1223</v>
      </c>
      <c r="C658" t="s">
        <v>1127</v>
      </c>
      <c r="D658" t="s">
        <v>1133</v>
      </c>
      <c r="E658">
        <v>1093</v>
      </c>
      <c r="F658" t="s">
        <v>1224</v>
      </c>
      <c r="G658" t="s">
        <v>1219</v>
      </c>
      <c r="H658" t="s">
        <v>1210</v>
      </c>
    </row>
    <row r="659" spans="1:8" x14ac:dyDescent="0.45">
      <c r="A659" t="s">
        <v>771</v>
      </c>
      <c r="B659" t="s">
        <v>1225</v>
      </c>
      <c r="C659" t="s">
        <v>1118</v>
      </c>
      <c r="D659" t="s">
        <v>67</v>
      </c>
      <c r="E659">
        <v>2673</v>
      </c>
      <c r="F659" t="s">
        <v>1229</v>
      </c>
      <c r="G659" t="s">
        <v>1219</v>
      </c>
      <c r="H659" t="s">
        <v>1210</v>
      </c>
    </row>
    <row r="660" spans="1:8" x14ac:dyDescent="0.45">
      <c r="A660" t="s">
        <v>772</v>
      </c>
      <c r="B660" t="s">
        <v>1223</v>
      </c>
      <c r="C660" t="s">
        <v>1122</v>
      </c>
      <c r="D660" t="s">
        <v>100</v>
      </c>
      <c r="E660">
        <v>2046</v>
      </c>
      <c r="F660" t="s">
        <v>1224</v>
      </c>
      <c r="G660" t="s">
        <v>1219</v>
      </c>
      <c r="H660" t="s">
        <v>1210</v>
      </c>
    </row>
    <row r="661" spans="1:8" x14ac:dyDescent="0.45">
      <c r="A661" t="s">
        <v>773</v>
      </c>
      <c r="B661" t="s">
        <v>1217</v>
      </c>
      <c r="C661" t="s">
        <v>1115</v>
      </c>
      <c r="D661" t="s">
        <v>95</v>
      </c>
      <c r="E661">
        <v>1483</v>
      </c>
      <c r="F661" t="s">
        <v>1224</v>
      </c>
      <c r="G661" t="s">
        <v>1219</v>
      </c>
      <c r="H661" t="s">
        <v>1210</v>
      </c>
    </row>
    <row r="662" spans="1:8" x14ac:dyDescent="0.45">
      <c r="A662" t="s">
        <v>774</v>
      </c>
      <c r="B662" t="s">
        <v>1223</v>
      </c>
      <c r="C662" t="s">
        <v>1127</v>
      </c>
      <c r="D662" t="s">
        <v>107</v>
      </c>
      <c r="E662">
        <v>962</v>
      </c>
      <c r="F662" t="s">
        <v>1224</v>
      </c>
      <c r="G662" t="s">
        <v>1219</v>
      </c>
      <c r="H662" t="s">
        <v>1210</v>
      </c>
    </row>
    <row r="663" spans="1:8" x14ac:dyDescent="0.45">
      <c r="A663" t="s">
        <v>775</v>
      </c>
      <c r="B663" t="s">
        <v>1225</v>
      </c>
      <c r="C663" t="s">
        <v>1119</v>
      </c>
      <c r="D663" t="s">
        <v>68</v>
      </c>
      <c r="E663">
        <v>1343</v>
      </c>
      <c r="F663" t="s">
        <v>1224</v>
      </c>
      <c r="G663" t="s">
        <v>1219</v>
      </c>
      <c r="H663" t="s">
        <v>1210</v>
      </c>
    </row>
    <row r="664" spans="1:8" x14ac:dyDescent="0.45">
      <c r="A664" t="s">
        <v>776</v>
      </c>
      <c r="B664" t="s">
        <v>1225</v>
      </c>
      <c r="C664" t="s">
        <v>1128</v>
      </c>
      <c r="D664" t="s">
        <v>1141</v>
      </c>
      <c r="E664">
        <v>1175</v>
      </c>
      <c r="F664" t="s">
        <v>1220</v>
      </c>
      <c r="G664" t="s">
        <v>1219</v>
      </c>
      <c r="H664" t="s">
        <v>1210</v>
      </c>
    </row>
    <row r="665" spans="1:8" x14ac:dyDescent="0.45">
      <c r="A665" t="s">
        <v>777</v>
      </c>
      <c r="B665" t="s">
        <v>1225</v>
      </c>
      <c r="C665" t="s">
        <v>1128</v>
      </c>
      <c r="D665" t="s">
        <v>88</v>
      </c>
      <c r="E665">
        <v>1859</v>
      </c>
      <c r="F665" t="s">
        <v>1220</v>
      </c>
      <c r="G665" t="s">
        <v>1219</v>
      </c>
      <c r="H665" t="s">
        <v>1210</v>
      </c>
    </row>
    <row r="666" spans="1:8" x14ac:dyDescent="0.45">
      <c r="A666" t="s">
        <v>778</v>
      </c>
      <c r="B666" t="s">
        <v>1223</v>
      </c>
      <c r="C666" t="s">
        <v>1121</v>
      </c>
      <c r="D666" t="s">
        <v>81</v>
      </c>
      <c r="E666">
        <v>1046</v>
      </c>
      <c r="F666" t="s">
        <v>1220</v>
      </c>
      <c r="G666" t="s">
        <v>1219</v>
      </c>
      <c r="H666" t="s">
        <v>1210</v>
      </c>
    </row>
    <row r="667" spans="1:8" x14ac:dyDescent="0.45">
      <c r="A667" t="s">
        <v>779</v>
      </c>
      <c r="B667" t="s">
        <v>1225</v>
      </c>
      <c r="C667" t="s">
        <v>1125</v>
      </c>
      <c r="D667" t="s">
        <v>47</v>
      </c>
      <c r="E667">
        <v>1516</v>
      </c>
      <c r="F667" t="s">
        <v>1224</v>
      </c>
      <c r="G667" t="s">
        <v>1219</v>
      </c>
      <c r="H667" t="s">
        <v>1210</v>
      </c>
    </row>
    <row r="668" spans="1:8" x14ac:dyDescent="0.45">
      <c r="A668" t="s">
        <v>780</v>
      </c>
      <c r="B668" t="s">
        <v>1217</v>
      </c>
      <c r="C668" t="s">
        <v>1126</v>
      </c>
      <c r="D668" t="s">
        <v>15</v>
      </c>
      <c r="E668">
        <v>431</v>
      </c>
      <c r="F668" t="s">
        <v>1224</v>
      </c>
      <c r="G668" t="s">
        <v>1219</v>
      </c>
      <c r="H668" t="s">
        <v>1210</v>
      </c>
    </row>
    <row r="669" spans="1:8" x14ac:dyDescent="0.45">
      <c r="A669" t="s">
        <v>781</v>
      </c>
      <c r="B669" t="s">
        <v>1225</v>
      </c>
      <c r="C669" t="s">
        <v>1125</v>
      </c>
      <c r="D669" t="s">
        <v>19</v>
      </c>
      <c r="E669">
        <v>2833</v>
      </c>
      <c r="F669" t="s">
        <v>1224</v>
      </c>
      <c r="G669" t="s">
        <v>1219</v>
      </c>
      <c r="H669" t="s">
        <v>1210</v>
      </c>
    </row>
    <row r="670" spans="1:8" x14ac:dyDescent="0.45">
      <c r="A670" t="s">
        <v>782</v>
      </c>
      <c r="B670" t="s">
        <v>1223</v>
      </c>
      <c r="C670" t="s">
        <v>1122</v>
      </c>
      <c r="D670" t="s">
        <v>75</v>
      </c>
      <c r="E670">
        <v>1269</v>
      </c>
      <c r="F670" t="s">
        <v>1224</v>
      </c>
      <c r="G670" t="s">
        <v>1219</v>
      </c>
      <c r="H670" t="s">
        <v>1210</v>
      </c>
    </row>
    <row r="671" spans="1:8" x14ac:dyDescent="0.45">
      <c r="A671" t="s">
        <v>783</v>
      </c>
      <c r="B671" t="s">
        <v>1217</v>
      </c>
      <c r="C671" t="s">
        <v>1114</v>
      </c>
      <c r="D671" t="s">
        <v>92</v>
      </c>
      <c r="E671">
        <v>756</v>
      </c>
      <c r="F671" t="s">
        <v>1227</v>
      </c>
      <c r="G671" t="s">
        <v>1219</v>
      </c>
      <c r="H671" t="s">
        <v>1210</v>
      </c>
    </row>
    <row r="672" spans="1:8" x14ac:dyDescent="0.45">
      <c r="A672" t="s">
        <v>784</v>
      </c>
      <c r="B672" t="s">
        <v>1225</v>
      </c>
      <c r="C672" t="s">
        <v>1125</v>
      </c>
      <c r="D672" t="s">
        <v>45</v>
      </c>
      <c r="E672">
        <v>1118</v>
      </c>
      <c r="F672" t="s">
        <v>1220</v>
      </c>
      <c r="G672" t="s">
        <v>1219</v>
      </c>
      <c r="H672" t="s">
        <v>1210</v>
      </c>
    </row>
    <row r="673" spans="1:8" x14ac:dyDescent="0.45">
      <c r="A673" t="s">
        <v>785</v>
      </c>
      <c r="B673" t="s">
        <v>1223</v>
      </c>
      <c r="C673" t="s">
        <v>1122</v>
      </c>
      <c r="D673" t="s">
        <v>61</v>
      </c>
      <c r="E673">
        <v>1769</v>
      </c>
      <c r="F673" t="s">
        <v>1224</v>
      </c>
      <c r="G673" t="s">
        <v>1219</v>
      </c>
      <c r="H673" t="s">
        <v>1210</v>
      </c>
    </row>
    <row r="674" spans="1:8" x14ac:dyDescent="0.45">
      <c r="A674" t="s">
        <v>786</v>
      </c>
      <c r="B674" t="s">
        <v>1225</v>
      </c>
      <c r="C674" t="s">
        <v>1119</v>
      </c>
      <c r="D674" t="s">
        <v>99</v>
      </c>
      <c r="E674">
        <v>2015</v>
      </c>
      <c r="F674" t="s">
        <v>1220</v>
      </c>
      <c r="G674" t="s">
        <v>1219</v>
      </c>
      <c r="H674" t="s">
        <v>1210</v>
      </c>
    </row>
    <row r="675" spans="1:8" x14ac:dyDescent="0.45">
      <c r="A675" t="s">
        <v>787</v>
      </c>
      <c r="B675" t="s">
        <v>1217</v>
      </c>
      <c r="C675" t="s">
        <v>1120</v>
      </c>
      <c r="D675" t="s">
        <v>43</v>
      </c>
      <c r="E675">
        <v>2129</v>
      </c>
      <c r="F675" t="s">
        <v>1224</v>
      </c>
      <c r="G675" t="s">
        <v>1219</v>
      </c>
      <c r="H675" t="s">
        <v>1210</v>
      </c>
    </row>
    <row r="676" spans="1:8" x14ac:dyDescent="0.45">
      <c r="A676" t="s">
        <v>788</v>
      </c>
      <c r="B676" t="s">
        <v>1225</v>
      </c>
      <c r="C676" t="s">
        <v>1125</v>
      </c>
      <c r="D676" t="s">
        <v>1129</v>
      </c>
      <c r="E676">
        <v>2645</v>
      </c>
      <c r="F676" t="s">
        <v>1227</v>
      </c>
      <c r="G676" t="s">
        <v>1219</v>
      </c>
      <c r="H676" t="s">
        <v>1210</v>
      </c>
    </row>
    <row r="677" spans="1:8" x14ac:dyDescent="0.45">
      <c r="A677" t="s">
        <v>789</v>
      </c>
      <c r="B677" t="s">
        <v>1225</v>
      </c>
      <c r="C677" t="s">
        <v>1125</v>
      </c>
      <c r="D677" t="s">
        <v>89</v>
      </c>
      <c r="E677">
        <v>509</v>
      </c>
      <c r="F677" t="s">
        <v>1220</v>
      </c>
      <c r="G677" t="s">
        <v>1219</v>
      </c>
      <c r="H677" t="s">
        <v>1210</v>
      </c>
    </row>
    <row r="678" spans="1:8" x14ac:dyDescent="0.45">
      <c r="A678" t="s">
        <v>790</v>
      </c>
      <c r="B678" t="s">
        <v>1225</v>
      </c>
      <c r="C678" t="s">
        <v>1118</v>
      </c>
      <c r="D678" t="s">
        <v>76</v>
      </c>
      <c r="E678">
        <v>428</v>
      </c>
      <c r="F678" t="s">
        <v>1227</v>
      </c>
      <c r="G678" t="s">
        <v>1219</v>
      </c>
      <c r="H678" t="s">
        <v>1210</v>
      </c>
    </row>
    <row r="679" spans="1:8" x14ac:dyDescent="0.45">
      <c r="A679" t="s">
        <v>791</v>
      </c>
      <c r="B679" t="s">
        <v>1225</v>
      </c>
      <c r="C679" t="s">
        <v>1128</v>
      </c>
      <c r="D679" t="s">
        <v>110</v>
      </c>
      <c r="E679">
        <v>2870</v>
      </c>
      <c r="F679" t="s">
        <v>1220</v>
      </c>
      <c r="G679" t="s">
        <v>1219</v>
      </c>
      <c r="H679" t="s">
        <v>1210</v>
      </c>
    </row>
    <row r="680" spans="1:8" x14ac:dyDescent="0.45">
      <c r="A680" t="s">
        <v>792</v>
      </c>
      <c r="B680" t="s">
        <v>1223</v>
      </c>
      <c r="C680" t="s">
        <v>1117</v>
      </c>
      <c r="D680" t="s">
        <v>19</v>
      </c>
      <c r="E680">
        <v>1419</v>
      </c>
      <c r="F680" t="s">
        <v>1224</v>
      </c>
      <c r="G680" t="s">
        <v>1219</v>
      </c>
      <c r="H680" t="s">
        <v>1210</v>
      </c>
    </row>
    <row r="681" spans="1:8" x14ac:dyDescent="0.45">
      <c r="A681" t="s">
        <v>793</v>
      </c>
      <c r="B681" t="s">
        <v>1223</v>
      </c>
      <c r="C681" t="s">
        <v>1122</v>
      </c>
      <c r="D681" t="s">
        <v>67</v>
      </c>
      <c r="E681">
        <v>2701</v>
      </c>
      <c r="F681" t="s">
        <v>1224</v>
      </c>
      <c r="G681" t="s">
        <v>1219</v>
      </c>
      <c r="H681" t="s">
        <v>1210</v>
      </c>
    </row>
    <row r="682" spans="1:8" x14ac:dyDescent="0.45">
      <c r="A682" t="s">
        <v>794</v>
      </c>
      <c r="B682" t="s">
        <v>1225</v>
      </c>
      <c r="C682" t="s">
        <v>1125</v>
      </c>
      <c r="D682" t="s">
        <v>29</v>
      </c>
      <c r="E682">
        <v>1691</v>
      </c>
      <c r="F682" t="s">
        <v>1220</v>
      </c>
      <c r="G682" t="s">
        <v>1219</v>
      </c>
      <c r="H682" t="s">
        <v>1210</v>
      </c>
    </row>
    <row r="683" spans="1:8" x14ac:dyDescent="0.45">
      <c r="A683" t="s">
        <v>795</v>
      </c>
      <c r="B683" t="s">
        <v>1217</v>
      </c>
      <c r="C683" t="s">
        <v>1126</v>
      </c>
      <c r="D683" t="s">
        <v>91</v>
      </c>
      <c r="E683">
        <v>1490</v>
      </c>
      <c r="F683" t="s">
        <v>1224</v>
      </c>
      <c r="G683" t="s">
        <v>1219</v>
      </c>
      <c r="H683" t="s">
        <v>1210</v>
      </c>
    </row>
    <row r="684" spans="1:8" x14ac:dyDescent="0.45">
      <c r="A684" t="s">
        <v>796</v>
      </c>
      <c r="B684" t="s">
        <v>1217</v>
      </c>
      <c r="C684" t="s">
        <v>1120</v>
      </c>
      <c r="D684" t="s">
        <v>19</v>
      </c>
      <c r="E684">
        <v>848</v>
      </c>
      <c r="F684" t="s">
        <v>1224</v>
      </c>
      <c r="G684" t="s">
        <v>1219</v>
      </c>
      <c r="H684" t="s">
        <v>1210</v>
      </c>
    </row>
    <row r="685" spans="1:8" x14ac:dyDescent="0.45">
      <c r="A685" t="s">
        <v>797</v>
      </c>
      <c r="B685" t="s">
        <v>1225</v>
      </c>
      <c r="C685" t="s">
        <v>1123</v>
      </c>
      <c r="D685" t="s">
        <v>63</v>
      </c>
      <c r="E685">
        <v>1314</v>
      </c>
      <c r="F685" t="s">
        <v>1227</v>
      </c>
      <c r="G685" t="s">
        <v>1219</v>
      </c>
      <c r="H685" t="s">
        <v>1210</v>
      </c>
    </row>
    <row r="686" spans="1:8" x14ac:dyDescent="0.45">
      <c r="A686" t="s">
        <v>798</v>
      </c>
      <c r="B686" t="s">
        <v>1223</v>
      </c>
      <c r="C686" t="s">
        <v>1117</v>
      </c>
      <c r="D686" t="s">
        <v>59</v>
      </c>
      <c r="E686">
        <v>1300</v>
      </c>
      <c r="F686" t="s">
        <v>1227</v>
      </c>
      <c r="G686" t="s">
        <v>1219</v>
      </c>
      <c r="H686" t="s">
        <v>1210</v>
      </c>
    </row>
    <row r="687" spans="1:8" x14ac:dyDescent="0.45">
      <c r="A687" t="s">
        <v>799</v>
      </c>
      <c r="B687" t="s">
        <v>1223</v>
      </c>
      <c r="C687" t="s">
        <v>1121</v>
      </c>
      <c r="D687" t="s">
        <v>36</v>
      </c>
      <c r="E687">
        <v>2180</v>
      </c>
      <c r="F687" t="s">
        <v>1224</v>
      </c>
      <c r="G687" t="s">
        <v>1219</v>
      </c>
      <c r="H687" t="s">
        <v>1210</v>
      </c>
    </row>
    <row r="688" spans="1:8" x14ac:dyDescent="0.45">
      <c r="A688" t="s">
        <v>800</v>
      </c>
      <c r="B688" t="s">
        <v>1217</v>
      </c>
      <c r="C688" t="s">
        <v>1116</v>
      </c>
      <c r="D688" t="s">
        <v>10</v>
      </c>
      <c r="E688">
        <v>1532</v>
      </c>
      <c r="F688" t="s">
        <v>1224</v>
      </c>
      <c r="G688" t="s">
        <v>1219</v>
      </c>
      <c r="H688" t="s">
        <v>1210</v>
      </c>
    </row>
    <row r="689" spans="1:8" x14ac:dyDescent="0.45">
      <c r="A689" t="s">
        <v>801</v>
      </c>
      <c r="B689" t="s">
        <v>1217</v>
      </c>
      <c r="C689" t="s">
        <v>1115</v>
      </c>
      <c r="D689" t="s">
        <v>65</v>
      </c>
      <c r="E689">
        <v>801</v>
      </c>
      <c r="F689" t="s">
        <v>1224</v>
      </c>
      <c r="G689" t="s">
        <v>1219</v>
      </c>
      <c r="H689" t="s">
        <v>1210</v>
      </c>
    </row>
    <row r="690" spans="1:8" x14ac:dyDescent="0.45">
      <c r="A690" t="s">
        <v>802</v>
      </c>
      <c r="B690" t="s">
        <v>1223</v>
      </c>
      <c r="C690" t="s">
        <v>1127</v>
      </c>
      <c r="D690" t="s">
        <v>100</v>
      </c>
      <c r="E690">
        <v>2014</v>
      </c>
      <c r="F690" t="s">
        <v>1227</v>
      </c>
      <c r="G690" t="s">
        <v>1219</v>
      </c>
      <c r="H690" t="s">
        <v>1210</v>
      </c>
    </row>
    <row r="691" spans="1:8" x14ac:dyDescent="0.45">
      <c r="A691" t="s">
        <v>803</v>
      </c>
      <c r="B691" t="s">
        <v>1225</v>
      </c>
      <c r="C691" t="s">
        <v>1118</v>
      </c>
      <c r="D691" t="s">
        <v>43</v>
      </c>
      <c r="E691">
        <v>2119</v>
      </c>
      <c r="F691" t="s">
        <v>1227</v>
      </c>
      <c r="G691" t="s">
        <v>1219</v>
      </c>
      <c r="H691" t="s">
        <v>1210</v>
      </c>
    </row>
    <row r="692" spans="1:8" x14ac:dyDescent="0.45">
      <c r="A692" t="s">
        <v>804</v>
      </c>
      <c r="B692" t="s">
        <v>1223</v>
      </c>
      <c r="C692" t="s">
        <v>1121</v>
      </c>
      <c r="D692" t="s">
        <v>85</v>
      </c>
      <c r="E692">
        <v>3074</v>
      </c>
      <c r="F692" t="s">
        <v>1220</v>
      </c>
      <c r="G692" t="s">
        <v>1219</v>
      </c>
      <c r="H692" t="s">
        <v>1210</v>
      </c>
    </row>
    <row r="693" spans="1:8" x14ac:dyDescent="0.45">
      <c r="A693" t="s">
        <v>805</v>
      </c>
      <c r="B693" t="s">
        <v>1225</v>
      </c>
      <c r="C693" t="s">
        <v>1123</v>
      </c>
      <c r="D693" t="s">
        <v>18</v>
      </c>
      <c r="E693">
        <v>1349</v>
      </c>
      <c r="F693" t="s">
        <v>1224</v>
      </c>
      <c r="G693" t="s">
        <v>1219</v>
      </c>
      <c r="H693" t="s">
        <v>1210</v>
      </c>
    </row>
    <row r="694" spans="1:8" x14ac:dyDescent="0.45">
      <c r="A694" t="s">
        <v>806</v>
      </c>
      <c r="B694" t="s">
        <v>1223</v>
      </c>
      <c r="C694" t="s">
        <v>1121</v>
      </c>
      <c r="D694" t="s">
        <v>88</v>
      </c>
      <c r="E694">
        <v>1209</v>
      </c>
      <c r="F694" t="s">
        <v>1220</v>
      </c>
      <c r="G694" t="s">
        <v>1219</v>
      </c>
      <c r="H694" t="s">
        <v>1210</v>
      </c>
    </row>
    <row r="695" spans="1:8" x14ac:dyDescent="0.45">
      <c r="A695" t="s">
        <v>807</v>
      </c>
      <c r="B695" t="s">
        <v>1223</v>
      </c>
      <c r="C695" t="s">
        <v>1117</v>
      </c>
      <c r="D695" t="s">
        <v>1135</v>
      </c>
      <c r="E695">
        <v>1447</v>
      </c>
      <c r="F695" t="s">
        <v>1220</v>
      </c>
      <c r="G695" t="s">
        <v>1221</v>
      </c>
      <c r="H695" t="s">
        <v>1210</v>
      </c>
    </row>
    <row r="696" spans="1:8" x14ac:dyDescent="0.45">
      <c r="A696" t="s">
        <v>808</v>
      </c>
      <c r="B696" t="s">
        <v>1223</v>
      </c>
      <c r="C696" t="s">
        <v>1121</v>
      </c>
      <c r="D696" t="s">
        <v>110</v>
      </c>
      <c r="E696">
        <v>3239</v>
      </c>
      <c r="F696" t="s">
        <v>1220</v>
      </c>
      <c r="G696" t="s">
        <v>1219</v>
      </c>
      <c r="H696" t="s">
        <v>1210</v>
      </c>
    </row>
    <row r="697" spans="1:8" x14ac:dyDescent="0.45">
      <c r="A697" t="s">
        <v>809</v>
      </c>
      <c r="B697" t="s">
        <v>1225</v>
      </c>
      <c r="C697" t="s">
        <v>1118</v>
      </c>
      <c r="D697" t="s">
        <v>1141</v>
      </c>
      <c r="E697">
        <v>722</v>
      </c>
      <c r="F697" t="s">
        <v>1227</v>
      </c>
      <c r="G697" t="s">
        <v>1219</v>
      </c>
      <c r="H697" t="s">
        <v>1210</v>
      </c>
    </row>
    <row r="698" spans="1:8" x14ac:dyDescent="0.45">
      <c r="A698" t="s">
        <v>810</v>
      </c>
      <c r="B698" t="s">
        <v>1225</v>
      </c>
      <c r="C698" t="s">
        <v>1123</v>
      </c>
      <c r="D698" t="s">
        <v>57</v>
      </c>
      <c r="E698">
        <v>1209</v>
      </c>
      <c r="F698" t="s">
        <v>1224</v>
      </c>
      <c r="G698" t="s">
        <v>1219</v>
      </c>
      <c r="H698" t="s">
        <v>1210</v>
      </c>
    </row>
    <row r="699" spans="1:8" x14ac:dyDescent="0.45">
      <c r="A699" t="s">
        <v>811</v>
      </c>
      <c r="B699" t="s">
        <v>1223</v>
      </c>
      <c r="C699" t="s">
        <v>1127</v>
      </c>
      <c r="D699" t="s">
        <v>1148</v>
      </c>
      <c r="E699">
        <v>2624</v>
      </c>
      <c r="F699" t="s">
        <v>1227</v>
      </c>
      <c r="G699" t="s">
        <v>1219</v>
      </c>
      <c r="H699" t="s">
        <v>1210</v>
      </c>
    </row>
    <row r="700" spans="1:8" x14ac:dyDescent="0.45">
      <c r="A700" t="s">
        <v>812</v>
      </c>
      <c r="B700" t="s">
        <v>1223</v>
      </c>
      <c r="C700" t="s">
        <v>1122</v>
      </c>
      <c r="D700" t="s">
        <v>101</v>
      </c>
      <c r="E700">
        <v>1881</v>
      </c>
      <c r="F700" t="s">
        <v>1224</v>
      </c>
      <c r="G700" t="s">
        <v>1219</v>
      </c>
      <c r="H700" t="s">
        <v>1210</v>
      </c>
    </row>
    <row r="701" spans="1:8" x14ac:dyDescent="0.45">
      <c r="A701" t="s">
        <v>813</v>
      </c>
      <c r="B701" t="s">
        <v>1223</v>
      </c>
      <c r="C701" t="s">
        <v>1127</v>
      </c>
      <c r="D701" t="s">
        <v>99</v>
      </c>
      <c r="E701">
        <v>1798</v>
      </c>
      <c r="F701" t="s">
        <v>1227</v>
      </c>
      <c r="G701" t="s">
        <v>1219</v>
      </c>
      <c r="H701" t="s">
        <v>1210</v>
      </c>
    </row>
    <row r="702" spans="1:8" x14ac:dyDescent="0.45">
      <c r="A702" t="s">
        <v>814</v>
      </c>
      <c r="B702" t="s">
        <v>1217</v>
      </c>
      <c r="C702" t="s">
        <v>1115</v>
      </c>
      <c r="D702" t="s">
        <v>40</v>
      </c>
      <c r="E702">
        <v>1249</v>
      </c>
      <c r="F702" t="s">
        <v>1220</v>
      </c>
      <c r="G702" t="s">
        <v>1219</v>
      </c>
      <c r="H702" t="s">
        <v>1210</v>
      </c>
    </row>
    <row r="703" spans="1:8" x14ac:dyDescent="0.45">
      <c r="A703" t="s">
        <v>815</v>
      </c>
      <c r="B703" t="s">
        <v>1217</v>
      </c>
      <c r="C703" t="s">
        <v>1116</v>
      </c>
      <c r="D703" t="s">
        <v>63</v>
      </c>
      <c r="E703">
        <v>622</v>
      </c>
      <c r="F703" t="s">
        <v>1224</v>
      </c>
      <c r="G703" t="s">
        <v>1219</v>
      </c>
      <c r="H703" t="s">
        <v>1210</v>
      </c>
    </row>
    <row r="704" spans="1:8" x14ac:dyDescent="0.45">
      <c r="A704" t="s">
        <v>816</v>
      </c>
      <c r="B704" t="s">
        <v>1225</v>
      </c>
      <c r="C704" t="s">
        <v>1123</v>
      </c>
      <c r="D704" t="s">
        <v>1137</v>
      </c>
      <c r="E704">
        <v>2046</v>
      </c>
      <c r="F704" t="s">
        <v>1220</v>
      </c>
      <c r="G704" t="s">
        <v>1219</v>
      </c>
      <c r="H704" t="s">
        <v>1210</v>
      </c>
    </row>
    <row r="705" spans="1:8" x14ac:dyDescent="0.45">
      <c r="A705" t="s">
        <v>817</v>
      </c>
      <c r="B705" t="s">
        <v>1217</v>
      </c>
      <c r="C705" t="s">
        <v>1115</v>
      </c>
      <c r="D705" t="s">
        <v>78</v>
      </c>
      <c r="E705">
        <v>1718</v>
      </c>
      <c r="F705" t="s">
        <v>1231</v>
      </c>
      <c r="G705" t="s">
        <v>1219</v>
      </c>
      <c r="H705" t="s">
        <v>1210</v>
      </c>
    </row>
    <row r="706" spans="1:8" x14ac:dyDescent="0.45">
      <c r="A706" t="s">
        <v>818</v>
      </c>
      <c r="B706" t="s">
        <v>1217</v>
      </c>
      <c r="C706" t="s">
        <v>1120</v>
      </c>
      <c r="D706" t="s">
        <v>15</v>
      </c>
      <c r="E706">
        <v>1196</v>
      </c>
      <c r="F706" t="s">
        <v>1224</v>
      </c>
      <c r="G706" t="s">
        <v>1219</v>
      </c>
      <c r="H706" t="s">
        <v>1210</v>
      </c>
    </row>
    <row r="707" spans="1:8" x14ac:dyDescent="0.45">
      <c r="A707" t="s">
        <v>819</v>
      </c>
      <c r="B707" t="s">
        <v>1217</v>
      </c>
      <c r="C707" t="s">
        <v>1114</v>
      </c>
      <c r="D707" t="s">
        <v>1129</v>
      </c>
      <c r="E707">
        <v>2796</v>
      </c>
      <c r="F707" t="s">
        <v>1218</v>
      </c>
      <c r="G707" t="s">
        <v>1219</v>
      </c>
      <c r="H707" t="s">
        <v>1210</v>
      </c>
    </row>
    <row r="708" spans="1:8" x14ac:dyDescent="0.45">
      <c r="A708" t="s">
        <v>820</v>
      </c>
      <c r="B708" t="s">
        <v>1217</v>
      </c>
      <c r="C708" t="s">
        <v>1120</v>
      </c>
      <c r="D708" t="s">
        <v>37</v>
      </c>
      <c r="E708">
        <v>2719</v>
      </c>
      <c r="F708" t="s">
        <v>1220</v>
      </c>
      <c r="G708" t="s">
        <v>1219</v>
      </c>
      <c r="H708" t="s">
        <v>1210</v>
      </c>
    </row>
    <row r="709" spans="1:8" x14ac:dyDescent="0.45">
      <c r="A709" t="s">
        <v>821</v>
      </c>
      <c r="B709" t="s">
        <v>1223</v>
      </c>
      <c r="C709" t="s">
        <v>1127</v>
      </c>
      <c r="D709" t="s">
        <v>75</v>
      </c>
      <c r="E709">
        <v>1773</v>
      </c>
      <c r="F709" t="s">
        <v>1227</v>
      </c>
      <c r="G709" t="s">
        <v>1219</v>
      </c>
      <c r="H709" t="s">
        <v>1210</v>
      </c>
    </row>
    <row r="710" spans="1:8" x14ac:dyDescent="0.45">
      <c r="A710" t="s">
        <v>822</v>
      </c>
      <c r="B710" t="s">
        <v>1223</v>
      </c>
      <c r="C710" t="s">
        <v>1117</v>
      </c>
      <c r="D710" t="s">
        <v>1141</v>
      </c>
      <c r="E710">
        <v>1848</v>
      </c>
      <c r="F710" t="s">
        <v>1224</v>
      </c>
      <c r="G710" t="s">
        <v>1219</v>
      </c>
      <c r="H710" t="s">
        <v>1210</v>
      </c>
    </row>
    <row r="711" spans="1:8" x14ac:dyDescent="0.45">
      <c r="A711" t="s">
        <v>823</v>
      </c>
      <c r="B711" t="s">
        <v>1225</v>
      </c>
      <c r="C711" t="s">
        <v>1128</v>
      </c>
      <c r="D711" t="s">
        <v>91</v>
      </c>
      <c r="E711">
        <v>1380</v>
      </c>
      <c r="F711" t="s">
        <v>1220</v>
      </c>
      <c r="G711" t="s">
        <v>1219</v>
      </c>
      <c r="H711" t="s">
        <v>1210</v>
      </c>
    </row>
    <row r="712" spans="1:8" x14ac:dyDescent="0.45">
      <c r="A712" t="s">
        <v>824</v>
      </c>
      <c r="B712" t="s">
        <v>1223</v>
      </c>
      <c r="C712" t="s">
        <v>1117</v>
      </c>
      <c r="D712" t="s">
        <v>98</v>
      </c>
      <c r="E712">
        <v>2398</v>
      </c>
      <c r="F712" t="s">
        <v>1224</v>
      </c>
      <c r="G712" t="s">
        <v>1219</v>
      </c>
      <c r="H712" t="s">
        <v>1210</v>
      </c>
    </row>
    <row r="713" spans="1:8" x14ac:dyDescent="0.45">
      <c r="A713" t="s">
        <v>825</v>
      </c>
      <c r="B713" t="s">
        <v>1223</v>
      </c>
      <c r="C713" t="s">
        <v>1127</v>
      </c>
      <c r="D713" t="s">
        <v>5</v>
      </c>
      <c r="E713">
        <v>1787</v>
      </c>
      <c r="F713" t="s">
        <v>1227</v>
      </c>
      <c r="G713" t="s">
        <v>1219</v>
      </c>
      <c r="H713" t="s">
        <v>1210</v>
      </c>
    </row>
    <row r="714" spans="1:8" x14ac:dyDescent="0.45">
      <c r="A714" t="s">
        <v>826</v>
      </c>
      <c r="B714" t="s">
        <v>1223</v>
      </c>
      <c r="C714" t="s">
        <v>1121</v>
      </c>
      <c r="D714" t="s">
        <v>44</v>
      </c>
      <c r="E714">
        <v>818</v>
      </c>
      <c r="F714" t="s">
        <v>1220</v>
      </c>
      <c r="G714" t="s">
        <v>1219</v>
      </c>
      <c r="H714" t="s">
        <v>1210</v>
      </c>
    </row>
    <row r="715" spans="1:8" x14ac:dyDescent="0.45">
      <c r="A715" t="s">
        <v>827</v>
      </c>
      <c r="B715" t="s">
        <v>1223</v>
      </c>
      <c r="C715" t="s">
        <v>1117</v>
      </c>
      <c r="D715" t="s">
        <v>49</v>
      </c>
      <c r="E715">
        <v>547</v>
      </c>
      <c r="F715" t="s">
        <v>1220</v>
      </c>
      <c r="G715" t="s">
        <v>1219</v>
      </c>
      <c r="H715" t="s">
        <v>1210</v>
      </c>
    </row>
    <row r="716" spans="1:8" x14ac:dyDescent="0.45">
      <c r="A716" t="s">
        <v>828</v>
      </c>
      <c r="B716" t="s">
        <v>1223</v>
      </c>
      <c r="C716" t="s">
        <v>1117</v>
      </c>
      <c r="D716" t="s">
        <v>58</v>
      </c>
      <c r="E716">
        <v>537</v>
      </c>
      <c r="F716" t="s">
        <v>1224</v>
      </c>
      <c r="G716" t="s">
        <v>1219</v>
      </c>
      <c r="H716" t="s">
        <v>1210</v>
      </c>
    </row>
    <row r="717" spans="1:8" x14ac:dyDescent="0.45">
      <c r="A717" t="s">
        <v>829</v>
      </c>
      <c r="B717" t="s">
        <v>1225</v>
      </c>
      <c r="C717" t="s">
        <v>1128</v>
      </c>
      <c r="D717" t="s">
        <v>42</v>
      </c>
      <c r="E717">
        <v>1225</v>
      </c>
      <c r="F717" t="s">
        <v>1220</v>
      </c>
      <c r="G717" t="s">
        <v>1221</v>
      </c>
      <c r="H717" t="s">
        <v>1210</v>
      </c>
    </row>
    <row r="718" spans="1:8" x14ac:dyDescent="0.45">
      <c r="A718" t="s">
        <v>830</v>
      </c>
      <c r="B718" t="s">
        <v>1217</v>
      </c>
      <c r="C718" t="s">
        <v>1114</v>
      </c>
      <c r="D718" t="s">
        <v>22</v>
      </c>
      <c r="E718">
        <v>1559</v>
      </c>
      <c r="F718" t="s">
        <v>1220</v>
      </c>
      <c r="G718" t="s">
        <v>1219</v>
      </c>
      <c r="H718" t="s">
        <v>1210</v>
      </c>
    </row>
    <row r="719" spans="1:8" x14ac:dyDescent="0.45">
      <c r="A719" t="s">
        <v>831</v>
      </c>
      <c r="B719" t="s">
        <v>1217</v>
      </c>
      <c r="C719" t="s">
        <v>1114</v>
      </c>
      <c r="D719" t="s">
        <v>84</v>
      </c>
      <c r="E719">
        <v>1105</v>
      </c>
      <c r="F719" t="s">
        <v>1227</v>
      </c>
      <c r="G719" t="s">
        <v>1219</v>
      </c>
      <c r="H719" t="s">
        <v>1210</v>
      </c>
    </row>
    <row r="720" spans="1:8" x14ac:dyDescent="0.45">
      <c r="A720" t="s">
        <v>832</v>
      </c>
      <c r="B720" t="s">
        <v>1225</v>
      </c>
      <c r="C720" t="s">
        <v>1128</v>
      </c>
      <c r="D720" t="s">
        <v>1134</v>
      </c>
      <c r="E720">
        <v>894</v>
      </c>
      <c r="F720" t="s">
        <v>1224</v>
      </c>
      <c r="G720" t="s">
        <v>1219</v>
      </c>
      <c r="H720" t="s">
        <v>1210</v>
      </c>
    </row>
    <row r="721" spans="1:8" x14ac:dyDescent="0.45">
      <c r="A721" t="s">
        <v>833</v>
      </c>
      <c r="B721" t="s">
        <v>1223</v>
      </c>
      <c r="C721" t="s">
        <v>1117</v>
      </c>
      <c r="D721" t="s">
        <v>27</v>
      </c>
      <c r="E721">
        <v>1621</v>
      </c>
      <c r="F721" t="s">
        <v>1224</v>
      </c>
      <c r="G721" t="s">
        <v>1219</v>
      </c>
      <c r="H721" t="s">
        <v>1210</v>
      </c>
    </row>
    <row r="722" spans="1:8" x14ac:dyDescent="0.45">
      <c r="A722" t="s">
        <v>834</v>
      </c>
      <c r="B722" t="s">
        <v>1223</v>
      </c>
      <c r="C722" t="s">
        <v>1124</v>
      </c>
      <c r="D722" t="s">
        <v>69</v>
      </c>
      <c r="E722">
        <v>1705</v>
      </c>
      <c r="F722" t="s">
        <v>1224</v>
      </c>
      <c r="G722" t="s">
        <v>1219</v>
      </c>
      <c r="H722" t="s">
        <v>1210</v>
      </c>
    </row>
    <row r="723" spans="1:8" x14ac:dyDescent="0.45">
      <c r="A723" t="s">
        <v>835</v>
      </c>
      <c r="B723" t="s">
        <v>1225</v>
      </c>
      <c r="C723" t="s">
        <v>1123</v>
      </c>
      <c r="D723" t="s">
        <v>89</v>
      </c>
      <c r="E723">
        <v>1469</v>
      </c>
      <c r="F723" t="s">
        <v>1224</v>
      </c>
      <c r="G723" t="s">
        <v>1219</v>
      </c>
      <c r="H723" t="s">
        <v>1210</v>
      </c>
    </row>
    <row r="724" spans="1:8" x14ac:dyDescent="0.45">
      <c r="A724" t="s">
        <v>836</v>
      </c>
      <c r="B724" t="s">
        <v>1223</v>
      </c>
      <c r="C724" t="s">
        <v>1121</v>
      </c>
      <c r="D724" t="s">
        <v>78</v>
      </c>
      <c r="E724">
        <v>2013</v>
      </c>
      <c r="F724" t="s">
        <v>1224</v>
      </c>
      <c r="G724" t="s">
        <v>1219</v>
      </c>
      <c r="H724" t="s">
        <v>1210</v>
      </c>
    </row>
    <row r="725" spans="1:8" x14ac:dyDescent="0.45">
      <c r="A725" t="s">
        <v>837</v>
      </c>
      <c r="B725" t="s">
        <v>1225</v>
      </c>
      <c r="C725" t="s">
        <v>1123</v>
      </c>
      <c r="D725" t="s">
        <v>84</v>
      </c>
      <c r="E725">
        <v>2271</v>
      </c>
      <c r="F725" t="s">
        <v>1224</v>
      </c>
      <c r="G725" t="s">
        <v>1219</v>
      </c>
      <c r="H725" t="s">
        <v>1210</v>
      </c>
    </row>
    <row r="726" spans="1:8" x14ac:dyDescent="0.45">
      <c r="A726" t="s">
        <v>838</v>
      </c>
      <c r="B726" t="s">
        <v>1223</v>
      </c>
      <c r="C726" t="s">
        <v>1127</v>
      </c>
      <c r="D726" t="s">
        <v>62</v>
      </c>
      <c r="E726">
        <v>655</v>
      </c>
      <c r="F726" t="s">
        <v>1224</v>
      </c>
      <c r="G726" t="s">
        <v>1219</v>
      </c>
      <c r="H726" t="s">
        <v>1210</v>
      </c>
    </row>
    <row r="727" spans="1:8" x14ac:dyDescent="0.45">
      <c r="A727" t="s">
        <v>839</v>
      </c>
      <c r="B727" t="s">
        <v>1225</v>
      </c>
      <c r="C727" t="s">
        <v>1128</v>
      </c>
      <c r="D727" t="s">
        <v>1138</v>
      </c>
      <c r="E727">
        <v>1300</v>
      </c>
      <c r="F727" t="s">
        <v>1224</v>
      </c>
      <c r="G727" t="s">
        <v>1219</v>
      </c>
      <c r="H727" t="s">
        <v>1210</v>
      </c>
    </row>
    <row r="728" spans="1:8" x14ac:dyDescent="0.45">
      <c r="A728" t="s">
        <v>840</v>
      </c>
      <c r="B728" t="s">
        <v>1217</v>
      </c>
      <c r="C728" t="s">
        <v>1116</v>
      </c>
      <c r="D728" t="s">
        <v>23</v>
      </c>
      <c r="E728">
        <v>2886</v>
      </c>
      <c r="F728" t="s">
        <v>1220</v>
      </c>
      <c r="G728" t="s">
        <v>1219</v>
      </c>
      <c r="H728" t="s">
        <v>1210</v>
      </c>
    </row>
    <row r="729" spans="1:8" x14ac:dyDescent="0.45">
      <c r="A729" t="s">
        <v>841</v>
      </c>
      <c r="B729" t="s">
        <v>1223</v>
      </c>
      <c r="C729" t="s">
        <v>1124</v>
      </c>
      <c r="D729" t="s">
        <v>66</v>
      </c>
      <c r="E729">
        <v>473</v>
      </c>
      <c r="F729" t="s">
        <v>1224</v>
      </c>
      <c r="G729" t="s">
        <v>1219</v>
      </c>
      <c r="H729" t="s">
        <v>1210</v>
      </c>
    </row>
    <row r="730" spans="1:8" x14ac:dyDescent="0.45">
      <c r="A730" t="s">
        <v>842</v>
      </c>
      <c r="B730" t="s">
        <v>1223</v>
      </c>
      <c r="C730" t="s">
        <v>1117</v>
      </c>
      <c r="D730" t="s">
        <v>59</v>
      </c>
      <c r="E730">
        <v>1466</v>
      </c>
      <c r="F730" t="s">
        <v>1224</v>
      </c>
      <c r="G730" t="s">
        <v>1219</v>
      </c>
      <c r="H730" t="s">
        <v>1210</v>
      </c>
    </row>
    <row r="731" spans="1:8" x14ac:dyDescent="0.45">
      <c r="A731" t="s">
        <v>843</v>
      </c>
      <c r="B731" t="s">
        <v>1225</v>
      </c>
      <c r="C731" t="s">
        <v>1125</v>
      </c>
      <c r="D731" t="s">
        <v>10</v>
      </c>
      <c r="E731">
        <v>1585</v>
      </c>
      <c r="F731" t="s">
        <v>1220</v>
      </c>
      <c r="G731" t="s">
        <v>1219</v>
      </c>
      <c r="H731" t="s">
        <v>1210</v>
      </c>
    </row>
    <row r="732" spans="1:8" x14ac:dyDescent="0.45">
      <c r="A732" t="s">
        <v>844</v>
      </c>
      <c r="B732" t="s">
        <v>1223</v>
      </c>
      <c r="C732" t="s">
        <v>1121</v>
      </c>
      <c r="D732" t="s">
        <v>58</v>
      </c>
      <c r="E732">
        <v>1484</v>
      </c>
      <c r="F732" t="s">
        <v>1224</v>
      </c>
      <c r="G732" t="s">
        <v>1219</v>
      </c>
      <c r="H732" t="s">
        <v>1210</v>
      </c>
    </row>
    <row r="733" spans="1:8" x14ac:dyDescent="0.45">
      <c r="A733" t="s">
        <v>845</v>
      </c>
      <c r="B733" t="s">
        <v>1217</v>
      </c>
      <c r="C733" t="s">
        <v>1115</v>
      </c>
      <c r="D733" t="s">
        <v>1134</v>
      </c>
      <c r="E733">
        <v>919</v>
      </c>
      <c r="F733" t="s">
        <v>1227</v>
      </c>
      <c r="G733" t="s">
        <v>1219</v>
      </c>
      <c r="H733" t="s">
        <v>1210</v>
      </c>
    </row>
    <row r="734" spans="1:8" x14ac:dyDescent="0.45">
      <c r="A734" t="s">
        <v>846</v>
      </c>
      <c r="B734" t="s">
        <v>1223</v>
      </c>
      <c r="C734" t="s">
        <v>1117</v>
      </c>
      <c r="D734" t="s">
        <v>30</v>
      </c>
      <c r="E734">
        <v>1934</v>
      </c>
      <c r="F734" t="s">
        <v>1220</v>
      </c>
      <c r="G734" t="s">
        <v>1219</v>
      </c>
      <c r="H734" t="s">
        <v>1210</v>
      </c>
    </row>
    <row r="735" spans="1:8" x14ac:dyDescent="0.45">
      <c r="A735" t="s">
        <v>847</v>
      </c>
      <c r="B735" t="s">
        <v>1225</v>
      </c>
      <c r="C735" t="s">
        <v>1123</v>
      </c>
      <c r="D735" t="s">
        <v>32</v>
      </c>
      <c r="E735">
        <v>1686</v>
      </c>
      <c r="F735" t="s">
        <v>1224</v>
      </c>
      <c r="G735" t="s">
        <v>1219</v>
      </c>
      <c r="H735" t="s">
        <v>1210</v>
      </c>
    </row>
    <row r="736" spans="1:8" x14ac:dyDescent="0.45">
      <c r="A736" t="s">
        <v>848</v>
      </c>
      <c r="B736" t="s">
        <v>1217</v>
      </c>
      <c r="C736" t="s">
        <v>1114</v>
      </c>
      <c r="D736" t="s">
        <v>84</v>
      </c>
      <c r="E736">
        <v>959</v>
      </c>
      <c r="F736" t="s">
        <v>1218</v>
      </c>
      <c r="G736" t="s">
        <v>1221</v>
      </c>
      <c r="H736" t="s">
        <v>1210</v>
      </c>
    </row>
    <row r="737" spans="1:8" x14ac:dyDescent="0.45">
      <c r="A737" t="s">
        <v>849</v>
      </c>
      <c r="B737" t="s">
        <v>1223</v>
      </c>
      <c r="C737" t="s">
        <v>1124</v>
      </c>
      <c r="D737" t="s">
        <v>108</v>
      </c>
      <c r="E737">
        <v>953</v>
      </c>
      <c r="F737" t="s">
        <v>1224</v>
      </c>
      <c r="G737" t="s">
        <v>1219</v>
      </c>
      <c r="H737" t="s">
        <v>1210</v>
      </c>
    </row>
    <row r="738" spans="1:8" x14ac:dyDescent="0.45">
      <c r="A738" t="s">
        <v>850</v>
      </c>
      <c r="B738" t="s">
        <v>1225</v>
      </c>
      <c r="C738" t="s">
        <v>1125</v>
      </c>
      <c r="D738" t="s">
        <v>107</v>
      </c>
      <c r="E738">
        <v>2573</v>
      </c>
      <c r="F738" t="s">
        <v>1218</v>
      </c>
      <c r="G738" t="s">
        <v>1219</v>
      </c>
      <c r="H738" t="s">
        <v>1210</v>
      </c>
    </row>
    <row r="739" spans="1:8" x14ac:dyDescent="0.45">
      <c r="A739" t="s">
        <v>851</v>
      </c>
      <c r="B739" t="s">
        <v>1217</v>
      </c>
      <c r="C739" t="s">
        <v>1116</v>
      </c>
      <c r="D739" t="s">
        <v>87</v>
      </c>
      <c r="E739">
        <v>1304</v>
      </c>
      <c r="F739" t="s">
        <v>1218</v>
      </c>
      <c r="G739" t="s">
        <v>1219</v>
      </c>
      <c r="H739" t="s">
        <v>1210</v>
      </c>
    </row>
    <row r="740" spans="1:8" x14ac:dyDescent="0.45">
      <c r="A740" t="s">
        <v>852</v>
      </c>
      <c r="B740" t="s">
        <v>1223</v>
      </c>
      <c r="C740" t="s">
        <v>1124</v>
      </c>
      <c r="D740" t="s">
        <v>93</v>
      </c>
      <c r="E740">
        <v>-100</v>
      </c>
      <c r="F740" t="s">
        <v>1224</v>
      </c>
      <c r="G740" t="s">
        <v>1219</v>
      </c>
      <c r="H740" t="s">
        <v>1233</v>
      </c>
    </row>
    <row r="741" spans="1:8" x14ac:dyDescent="0.45">
      <c r="A741" t="s">
        <v>853</v>
      </c>
      <c r="B741" t="s">
        <v>1223</v>
      </c>
      <c r="C741" t="s">
        <v>1127</v>
      </c>
      <c r="D741" t="s">
        <v>109</v>
      </c>
      <c r="E741">
        <v>837</v>
      </c>
      <c r="F741" t="s">
        <v>1227</v>
      </c>
      <c r="G741" t="s">
        <v>1219</v>
      </c>
      <c r="H741" t="s">
        <v>1210</v>
      </c>
    </row>
    <row r="742" spans="1:8" x14ac:dyDescent="0.45">
      <c r="A742" t="s">
        <v>854</v>
      </c>
      <c r="B742" t="s">
        <v>1217</v>
      </c>
      <c r="C742" t="s">
        <v>1120</v>
      </c>
      <c r="D742" t="s">
        <v>85</v>
      </c>
      <c r="E742">
        <v>3076</v>
      </c>
      <c r="F742" t="s">
        <v>1224</v>
      </c>
      <c r="G742" t="s">
        <v>1219</v>
      </c>
      <c r="H742" t="s">
        <v>1210</v>
      </c>
    </row>
    <row r="743" spans="1:8" x14ac:dyDescent="0.45">
      <c r="A743" t="s">
        <v>855</v>
      </c>
      <c r="B743" t="s">
        <v>1217</v>
      </c>
      <c r="C743" t="s">
        <v>1120</v>
      </c>
      <c r="D743" t="s">
        <v>36</v>
      </c>
      <c r="E743">
        <v>1071</v>
      </c>
      <c r="F743" t="s">
        <v>1220</v>
      </c>
      <c r="G743" t="s">
        <v>1219</v>
      </c>
      <c r="H743" t="s">
        <v>1210</v>
      </c>
    </row>
    <row r="744" spans="1:8" x14ac:dyDescent="0.45">
      <c r="A744" t="s">
        <v>856</v>
      </c>
      <c r="B744" t="s">
        <v>1225</v>
      </c>
      <c r="C744" t="s">
        <v>1128</v>
      </c>
      <c r="D744" t="s">
        <v>97</v>
      </c>
      <c r="E744">
        <v>2343</v>
      </c>
      <c r="F744" t="s">
        <v>1224</v>
      </c>
      <c r="G744" t="s">
        <v>1219</v>
      </c>
      <c r="H744" t="s">
        <v>1210</v>
      </c>
    </row>
    <row r="745" spans="1:8" x14ac:dyDescent="0.45">
      <c r="A745" t="s">
        <v>857</v>
      </c>
      <c r="B745" t="s">
        <v>1223</v>
      </c>
      <c r="C745" t="s">
        <v>1121</v>
      </c>
      <c r="D745" t="s">
        <v>103</v>
      </c>
      <c r="E745">
        <v>1274</v>
      </c>
      <c r="F745" t="s">
        <v>1224</v>
      </c>
      <c r="G745" t="s">
        <v>1219</v>
      </c>
      <c r="H745" t="s">
        <v>1210</v>
      </c>
    </row>
    <row r="746" spans="1:8" x14ac:dyDescent="0.45">
      <c r="A746" t="s">
        <v>858</v>
      </c>
      <c r="B746" t="s">
        <v>1225</v>
      </c>
      <c r="C746" t="s">
        <v>1118</v>
      </c>
      <c r="D746" t="s">
        <v>23</v>
      </c>
      <c r="E746">
        <v>2690</v>
      </c>
      <c r="F746" t="s">
        <v>1227</v>
      </c>
      <c r="G746" t="s">
        <v>1219</v>
      </c>
      <c r="H746" t="s">
        <v>1210</v>
      </c>
    </row>
    <row r="747" spans="1:8" x14ac:dyDescent="0.45">
      <c r="A747" t="s">
        <v>859</v>
      </c>
      <c r="B747" t="s">
        <v>1223</v>
      </c>
      <c r="C747" t="s">
        <v>1122</v>
      </c>
      <c r="D747" t="s">
        <v>1138</v>
      </c>
      <c r="E747">
        <v>1300</v>
      </c>
      <c r="F747" t="s">
        <v>1224</v>
      </c>
      <c r="G747" t="s">
        <v>1219</v>
      </c>
      <c r="H747" t="s">
        <v>1210</v>
      </c>
    </row>
    <row r="748" spans="1:8" x14ac:dyDescent="0.45">
      <c r="A748" t="s">
        <v>860</v>
      </c>
      <c r="B748" t="s">
        <v>1217</v>
      </c>
      <c r="C748" t="s">
        <v>1120</v>
      </c>
      <c r="D748" t="s">
        <v>88</v>
      </c>
      <c r="E748">
        <v>980</v>
      </c>
      <c r="F748" t="s">
        <v>1220</v>
      </c>
      <c r="G748" t="s">
        <v>1219</v>
      </c>
      <c r="H748" t="s">
        <v>1210</v>
      </c>
    </row>
    <row r="749" spans="1:8" x14ac:dyDescent="0.45">
      <c r="A749" t="s">
        <v>861</v>
      </c>
      <c r="B749" t="s">
        <v>1225</v>
      </c>
      <c r="C749" t="s">
        <v>1128</v>
      </c>
      <c r="D749" t="s">
        <v>1130</v>
      </c>
      <c r="E749">
        <v>1824</v>
      </c>
      <c r="F749" t="s">
        <v>1220</v>
      </c>
      <c r="G749" t="s">
        <v>1219</v>
      </c>
      <c r="H749" t="s">
        <v>1210</v>
      </c>
    </row>
    <row r="750" spans="1:8" x14ac:dyDescent="0.45">
      <c r="A750" t="s">
        <v>862</v>
      </c>
      <c r="B750" t="s">
        <v>1225</v>
      </c>
      <c r="C750" t="s">
        <v>1125</v>
      </c>
      <c r="D750" t="s">
        <v>110</v>
      </c>
      <c r="E750">
        <v>1248</v>
      </c>
      <c r="F750" t="s">
        <v>1218</v>
      </c>
      <c r="G750" t="s">
        <v>1219</v>
      </c>
      <c r="H750" t="s">
        <v>1210</v>
      </c>
    </row>
    <row r="751" spans="1:8" x14ac:dyDescent="0.45">
      <c r="A751" t="s">
        <v>863</v>
      </c>
      <c r="B751" t="s">
        <v>1225</v>
      </c>
      <c r="C751" t="s">
        <v>1119</v>
      </c>
      <c r="D751" t="s">
        <v>105</v>
      </c>
      <c r="E751">
        <v>1163</v>
      </c>
      <c r="F751" t="s">
        <v>1224</v>
      </c>
      <c r="G751" t="s">
        <v>1219</v>
      </c>
      <c r="H751" t="s">
        <v>1210</v>
      </c>
    </row>
    <row r="752" spans="1:8" x14ac:dyDescent="0.45">
      <c r="A752" t="s">
        <v>864</v>
      </c>
      <c r="B752" t="s">
        <v>1225</v>
      </c>
      <c r="C752" t="s">
        <v>1128</v>
      </c>
      <c r="D752" t="s">
        <v>68</v>
      </c>
      <c r="E752">
        <v>814</v>
      </c>
      <c r="F752" t="s">
        <v>1220</v>
      </c>
      <c r="G752" t="s">
        <v>1219</v>
      </c>
      <c r="H752" t="s">
        <v>1210</v>
      </c>
    </row>
    <row r="753" spans="1:8" x14ac:dyDescent="0.45">
      <c r="A753" t="s">
        <v>865</v>
      </c>
      <c r="B753" t="s">
        <v>1223</v>
      </c>
      <c r="C753" t="s">
        <v>1127</v>
      </c>
      <c r="D753" t="s">
        <v>59</v>
      </c>
      <c r="E753">
        <v>573</v>
      </c>
      <c r="F753" t="s">
        <v>1220</v>
      </c>
      <c r="G753" t="s">
        <v>1219</v>
      </c>
      <c r="H753" t="s">
        <v>1210</v>
      </c>
    </row>
    <row r="754" spans="1:8" x14ac:dyDescent="0.45">
      <c r="A754" t="s">
        <v>866</v>
      </c>
      <c r="B754" t="s">
        <v>1217</v>
      </c>
      <c r="C754" t="s">
        <v>1116</v>
      </c>
      <c r="D754" t="s">
        <v>23</v>
      </c>
      <c r="E754">
        <v>2499</v>
      </c>
      <c r="F754" t="s">
        <v>1218</v>
      </c>
      <c r="G754" t="s">
        <v>1221</v>
      </c>
      <c r="H754" t="s">
        <v>1210</v>
      </c>
    </row>
    <row r="755" spans="1:8" x14ac:dyDescent="0.45">
      <c r="A755" t="s">
        <v>867</v>
      </c>
      <c r="B755" t="s">
        <v>1225</v>
      </c>
      <c r="C755" t="s">
        <v>1128</v>
      </c>
      <c r="D755" t="s">
        <v>56</v>
      </c>
      <c r="E755">
        <v>2050</v>
      </c>
      <c r="F755" t="s">
        <v>1224</v>
      </c>
      <c r="G755" t="s">
        <v>1219</v>
      </c>
      <c r="H755" t="s">
        <v>1210</v>
      </c>
    </row>
    <row r="756" spans="1:8" x14ac:dyDescent="0.45">
      <c r="A756" t="s">
        <v>868</v>
      </c>
      <c r="B756" t="s">
        <v>1217</v>
      </c>
      <c r="C756" t="s">
        <v>1126</v>
      </c>
      <c r="D756" t="s">
        <v>53</v>
      </c>
      <c r="E756">
        <v>1926</v>
      </c>
      <c r="F756" t="s">
        <v>1224</v>
      </c>
      <c r="G756" t="s">
        <v>1219</v>
      </c>
      <c r="H756" t="s">
        <v>1210</v>
      </c>
    </row>
    <row r="757" spans="1:8" x14ac:dyDescent="0.45">
      <c r="A757" t="s">
        <v>869</v>
      </c>
      <c r="B757" t="s">
        <v>1217</v>
      </c>
      <c r="C757" t="s">
        <v>1115</v>
      </c>
      <c r="D757" t="s">
        <v>70</v>
      </c>
      <c r="E757">
        <v>1263</v>
      </c>
      <c r="F757" t="s">
        <v>1224</v>
      </c>
      <c r="G757" t="s">
        <v>1219</v>
      </c>
      <c r="H757" t="s">
        <v>1210</v>
      </c>
    </row>
    <row r="758" spans="1:8" x14ac:dyDescent="0.45">
      <c r="A758" t="s">
        <v>870</v>
      </c>
      <c r="B758" t="s">
        <v>1217</v>
      </c>
      <c r="C758" t="s">
        <v>1115</v>
      </c>
      <c r="D758" t="s">
        <v>100</v>
      </c>
      <c r="E758">
        <v>1954</v>
      </c>
      <c r="F758" t="s">
        <v>1220</v>
      </c>
      <c r="G758" t="s">
        <v>1219</v>
      </c>
      <c r="H758" t="s">
        <v>1210</v>
      </c>
    </row>
    <row r="759" spans="1:8" x14ac:dyDescent="0.45">
      <c r="A759" t="s">
        <v>871</v>
      </c>
      <c r="B759" t="s">
        <v>1223</v>
      </c>
      <c r="C759" t="s">
        <v>1122</v>
      </c>
      <c r="D759" t="s">
        <v>61</v>
      </c>
      <c r="E759">
        <v>1565</v>
      </c>
      <c r="F759" t="s">
        <v>1224</v>
      </c>
      <c r="G759" t="s">
        <v>1219</v>
      </c>
      <c r="H759" t="s">
        <v>1210</v>
      </c>
    </row>
    <row r="760" spans="1:8" x14ac:dyDescent="0.45">
      <c r="A760" t="s">
        <v>872</v>
      </c>
      <c r="B760" t="s">
        <v>1225</v>
      </c>
      <c r="C760" t="s">
        <v>1119</v>
      </c>
      <c r="D760" t="s">
        <v>53</v>
      </c>
      <c r="E760">
        <v>498</v>
      </c>
      <c r="F760" t="s">
        <v>1227</v>
      </c>
      <c r="G760" t="s">
        <v>1219</v>
      </c>
      <c r="H760" t="s">
        <v>1210</v>
      </c>
    </row>
    <row r="761" spans="1:8" x14ac:dyDescent="0.45">
      <c r="A761" t="s">
        <v>873</v>
      </c>
      <c r="B761" t="s">
        <v>1217</v>
      </c>
      <c r="C761" t="s">
        <v>1115</v>
      </c>
      <c r="D761" t="s">
        <v>45</v>
      </c>
      <c r="E761">
        <v>1139</v>
      </c>
      <c r="F761" t="s">
        <v>1220</v>
      </c>
      <c r="G761" t="s">
        <v>1219</v>
      </c>
      <c r="H761" t="s">
        <v>1210</v>
      </c>
    </row>
    <row r="762" spans="1:8" x14ac:dyDescent="0.45">
      <c r="A762" t="s">
        <v>874</v>
      </c>
      <c r="B762" t="s">
        <v>1225</v>
      </c>
      <c r="C762" t="s">
        <v>1125</v>
      </c>
      <c r="D762" t="s">
        <v>1129</v>
      </c>
      <c r="E762">
        <v>1576</v>
      </c>
      <c r="F762" t="s">
        <v>1220</v>
      </c>
      <c r="G762" t="s">
        <v>1219</v>
      </c>
      <c r="H762" t="s">
        <v>1210</v>
      </c>
    </row>
    <row r="763" spans="1:8" x14ac:dyDescent="0.45">
      <c r="A763" t="s">
        <v>875</v>
      </c>
      <c r="B763" t="s">
        <v>1225</v>
      </c>
      <c r="C763" t="s">
        <v>1123</v>
      </c>
      <c r="D763" t="s">
        <v>41</v>
      </c>
      <c r="E763">
        <v>3039</v>
      </c>
      <c r="F763" t="s">
        <v>1238</v>
      </c>
      <c r="G763" t="s">
        <v>1219</v>
      </c>
      <c r="H763" t="s">
        <v>1210</v>
      </c>
    </row>
    <row r="764" spans="1:8" x14ac:dyDescent="0.45">
      <c r="A764" t="s">
        <v>876</v>
      </c>
      <c r="B764" t="s">
        <v>1217</v>
      </c>
      <c r="C764" t="s">
        <v>1115</v>
      </c>
      <c r="D764" t="s">
        <v>74</v>
      </c>
      <c r="E764">
        <v>575</v>
      </c>
      <c r="F764" t="s">
        <v>1224</v>
      </c>
      <c r="G764" t="s">
        <v>1219</v>
      </c>
      <c r="H764" t="s">
        <v>1210</v>
      </c>
    </row>
    <row r="765" spans="1:8" x14ac:dyDescent="0.45">
      <c r="A765" t="s">
        <v>877</v>
      </c>
      <c r="B765" t="s">
        <v>1217</v>
      </c>
      <c r="C765" t="s">
        <v>1115</v>
      </c>
      <c r="D765" t="s">
        <v>1134</v>
      </c>
      <c r="E765">
        <v>407</v>
      </c>
      <c r="F765" t="s">
        <v>1224</v>
      </c>
      <c r="G765" t="s">
        <v>1219</v>
      </c>
      <c r="H765" t="s">
        <v>1210</v>
      </c>
    </row>
    <row r="766" spans="1:8" x14ac:dyDescent="0.45">
      <c r="A766" t="s">
        <v>878</v>
      </c>
      <c r="B766" t="s">
        <v>1217</v>
      </c>
      <c r="C766" t="s">
        <v>1115</v>
      </c>
      <c r="D766" t="s">
        <v>56</v>
      </c>
      <c r="E766">
        <v>1801</v>
      </c>
      <c r="F766" t="s">
        <v>1220</v>
      </c>
      <c r="G766" t="s">
        <v>1219</v>
      </c>
      <c r="H766" t="s">
        <v>1210</v>
      </c>
    </row>
    <row r="767" spans="1:8" x14ac:dyDescent="0.45">
      <c r="A767" t="s">
        <v>879</v>
      </c>
      <c r="B767" t="s">
        <v>1225</v>
      </c>
      <c r="C767" t="s">
        <v>1128</v>
      </c>
      <c r="D767" t="s">
        <v>36</v>
      </c>
      <c r="E767">
        <v>1550</v>
      </c>
      <c r="F767" t="s">
        <v>1232</v>
      </c>
      <c r="G767" t="s">
        <v>1219</v>
      </c>
      <c r="H767" t="s">
        <v>1210</v>
      </c>
    </row>
    <row r="768" spans="1:8" x14ac:dyDescent="0.45">
      <c r="A768" t="s">
        <v>880</v>
      </c>
      <c r="B768" t="s">
        <v>1217</v>
      </c>
      <c r="C768" t="s">
        <v>1114</v>
      </c>
      <c r="D768" t="s">
        <v>1131</v>
      </c>
      <c r="E768">
        <v>1017</v>
      </c>
      <c r="F768" t="s">
        <v>1220</v>
      </c>
      <c r="G768" t="s">
        <v>1219</v>
      </c>
      <c r="H768" t="s">
        <v>1210</v>
      </c>
    </row>
    <row r="769" spans="1:8" x14ac:dyDescent="0.45">
      <c r="A769" t="s">
        <v>881</v>
      </c>
      <c r="B769" t="s">
        <v>1217</v>
      </c>
      <c r="C769" t="s">
        <v>1114</v>
      </c>
      <c r="D769" t="s">
        <v>19</v>
      </c>
      <c r="E769">
        <v>2367</v>
      </c>
      <c r="F769" t="s">
        <v>1235</v>
      </c>
      <c r="G769" t="s">
        <v>1219</v>
      </c>
      <c r="H769" t="s">
        <v>1210</v>
      </c>
    </row>
    <row r="770" spans="1:8" x14ac:dyDescent="0.45">
      <c r="A770" t="s">
        <v>882</v>
      </c>
      <c r="B770" t="s">
        <v>1223</v>
      </c>
      <c r="C770" t="s">
        <v>1117</v>
      </c>
      <c r="D770" t="s">
        <v>64</v>
      </c>
      <c r="E770">
        <v>1343</v>
      </c>
      <c r="F770" t="s">
        <v>1220</v>
      </c>
      <c r="G770" t="s">
        <v>1219</v>
      </c>
      <c r="H770" t="s">
        <v>1210</v>
      </c>
    </row>
    <row r="771" spans="1:8" x14ac:dyDescent="0.45">
      <c r="A771" t="s">
        <v>883</v>
      </c>
      <c r="B771" t="s">
        <v>1217</v>
      </c>
      <c r="C771" t="s">
        <v>1114</v>
      </c>
      <c r="D771" t="s">
        <v>67</v>
      </c>
      <c r="E771">
        <v>2545</v>
      </c>
      <c r="F771" t="s">
        <v>1224</v>
      </c>
      <c r="G771" t="s">
        <v>1219</v>
      </c>
      <c r="H771" t="s">
        <v>1210</v>
      </c>
    </row>
    <row r="772" spans="1:8" x14ac:dyDescent="0.45">
      <c r="A772" t="s">
        <v>884</v>
      </c>
      <c r="B772" t="s">
        <v>1223</v>
      </c>
      <c r="C772" t="s">
        <v>1117</v>
      </c>
      <c r="D772" t="s">
        <v>15</v>
      </c>
      <c r="E772">
        <v>371</v>
      </c>
      <c r="F772" t="s">
        <v>1224</v>
      </c>
      <c r="G772" t="s">
        <v>1219</v>
      </c>
      <c r="H772" t="s">
        <v>1210</v>
      </c>
    </row>
    <row r="773" spans="1:8" x14ac:dyDescent="0.45">
      <c r="A773" t="s">
        <v>885</v>
      </c>
      <c r="B773" t="s">
        <v>1217</v>
      </c>
      <c r="C773" t="s">
        <v>1126</v>
      </c>
      <c r="D773" t="s">
        <v>39</v>
      </c>
      <c r="E773">
        <v>1439</v>
      </c>
      <c r="F773" t="s">
        <v>1224</v>
      </c>
      <c r="G773" t="s">
        <v>1219</v>
      </c>
      <c r="H773" t="s">
        <v>1210</v>
      </c>
    </row>
    <row r="774" spans="1:8" x14ac:dyDescent="0.45">
      <c r="A774" t="s">
        <v>886</v>
      </c>
      <c r="B774" t="s">
        <v>1223</v>
      </c>
      <c r="C774" t="s">
        <v>1117</v>
      </c>
      <c r="D774" t="s">
        <v>107</v>
      </c>
      <c r="E774">
        <v>2305</v>
      </c>
      <c r="F774" t="s">
        <v>1224</v>
      </c>
      <c r="G774" t="s">
        <v>1219</v>
      </c>
      <c r="H774" t="s">
        <v>1210</v>
      </c>
    </row>
    <row r="775" spans="1:8" x14ac:dyDescent="0.45">
      <c r="A775" t="s">
        <v>887</v>
      </c>
      <c r="B775" t="s">
        <v>1223</v>
      </c>
      <c r="C775" t="s">
        <v>1122</v>
      </c>
      <c r="D775" t="s">
        <v>1131</v>
      </c>
      <c r="E775">
        <v>1631</v>
      </c>
      <c r="F775" t="s">
        <v>1224</v>
      </c>
      <c r="G775" t="s">
        <v>1219</v>
      </c>
      <c r="H775" t="s">
        <v>1210</v>
      </c>
    </row>
    <row r="776" spans="1:8" x14ac:dyDescent="0.45">
      <c r="A776" t="s">
        <v>888</v>
      </c>
      <c r="B776" t="s">
        <v>1223</v>
      </c>
      <c r="C776" t="s">
        <v>1117</v>
      </c>
      <c r="D776" t="s">
        <v>50</v>
      </c>
      <c r="E776">
        <v>2292</v>
      </c>
      <c r="F776" t="s">
        <v>1220</v>
      </c>
      <c r="G776" t="s">
        <v>1219</v>
      </c>
      <c r="H776" t="s">
        <v>1210</v>
      </c>
    </row>
    <row r="777" spans="1:8" x14ac:dyDescent="0.45">
      <c r="A777" t="s">
        <v>889</v>
      </c>
      <c r="B777" t="s">
        <v>1223</v>
      </c>
      <c r="C777" t="s">
        <v>1127</v>
      </c>
      <c r="D777" t="s">
        <v>97</v>
      </c>
      <c r="E777">
        <v>1026</v>
      </c>
      <c r="F777" t="s">
        <v>1224</v>
      </c>
      <c r="G777" t="s">
        <v>1219</v>
      </c>
      <c r="H777" t="s">
        <v>1210</v>
      </c>
    </row>
    <row r="778" spans="1:8" x14ac:dyDescent="0.45">
      <c r="A778" t="s">
        <v>890</v>
      </c>
      <c r="B778" t="s">
        <v>1225</v>
      </c>
      <c r="C778" t="s">
        <v>1123</v>
      </c>
      <c r="D778" t="s">
        <v>8</v>
      </c>
      <c r="E778">
        <v>688</v>
      </c>
      <c r="F778" t="s">
        <v>1224</v>
      </c>
      <c r="G778" t="s">
        <v>1219</v>
      </c>
      <c r="H778" t="s">
        <v>1210</v>
      </c>
    </row>
    <row r="779" spans="1:8" x14ac:dyDescent="0.45">
      <c r="A779" t="s">
        <v>891</v>
      </c>
      <c r="B779" t="s">
        <v>1225</v>
      </c>
      <c r="C779" t="s">
        <v>1118</v>
      </c>
      <c r="D779" t="s">
        <v>19</v>
      </c>
      <c r="E779">
        <v>2806</v>
      </c>
      <c r="F779" t="s">
        <v>1235</v>
      </c>
      <c r="G779" t="s">
        <v>1219</v>
      </c>
      <c r="H779" t="s">
        <v>1210</v>
      </c>
    </row>
    <row r="780" spans="1:8" x14ac:dyDescent="0.45">
      <c r="A780" t="s">
        <v>892</v>
      </c>
      <c r="B780" t="s">
        <v>1223</v>
      </c>
      <c r="C780" t="s">
        <v>1124</v>
      </c>
      <c r="D780" t="s">
        <v>100</v>
      </c>
      <c r="E780">
        <v>1958</v>
      </c>
      <c r="F780" t="s">
        <v>1224</v>
      </c>
      <c r="G780" t="s">
        <v>1219</v>
      </c>
      <c r="H780" t="s">
        <v>1210</v>
      </c>
    </row>
    <row r="781" spans="1:8" x14ac:dyDescent="0.45">
      <c r="A781" t="s">
        <v>893</v>
      </c>
      <c r="B781" t="s">
        <v>1225</v>
      </c>
      <c r="C781" t="s">
        <v>1125</v>
      </c>
      <c r="D781" t="s">
        <v>95</v>
      </c>
      <c r="E781">
        <v>1438</v>
      </c>
      <c r="F781" t="s">
        <v>1224</v>
      </c>
      <c r="G781" t="s">
        <v>1219</v>
      </c>
      <c r="H781" t="s">
        <v>1210</v>
      </c>
    </row>
    <row r="782" spans="1:8" x14ac:dyDescent="0.45">
      <c r="A782" t="s">
        <v>894</v>
      </c>
      <c r="B782" t="s">
        <v>1225</v>
      </c>
      <c r="C782" t="s">
        <v>1118</v>
      </c>
      <c r="D782" t="s">
        <v>61</v>
      </c>
      <c r="E782">
        <v>1833</v>
      </c>
      <c r="F782" t="s">
        <v>1224</v>
      </c>
      <c r="G782" t="s">
        <v>1219</v>
      </c>
      <c r="H782" t="s">
        <v>1210</v>
      </c>
    </row>
    <row r="783" spans="1:8" x14ac:dyDescent="0.45">
      <c r="A783" t="s">
        <v>895</v>
      </c>
      <c r="B783" t="s">
        <v>1217</v>
      </c>
      <c r="C783" t="s">
        <v>1114</v>
      </c>
      <c r="D783" t="s">
        <v>1141</v>
      </c>
      <c r="E783">
        <v>2259</v>
      </c>
      <c r="F783" t="s">
        <v>1220</v>
      </c>
      <c r="G783" t="s">
        <v>1219</v>
      </c>
      <c r="H783" t="s">
        <v>1210</v>
      </c>
    </row>
    <row r="784" spans="1:8" x14ac:dyDescent="0.45">
      <c r="A784" t="s">
        <v>896</v>
      </c>
      <c r="B784" t="s">
        <v>1217</v>
      </c>
      <c r="C784" t="s">
        <v>1120</v>
      </c>
      <c r="D784" t="s">
        <v>1135</v>
      </c>
      <c r="E784">
        <v>689</v>
      </c>
      <c r="F784" t="s">
        <v>1220</v>
      </c>
      <c r="G784" t="s">
        <v>1219</v>
      </c>
      <c r="H784" t="s">
        <v>1210</v>
      </c>
    </row>
    <row r="785" spans="1:8" x14ac:dyDescent="0.45">
      <c r="A785" t="s">
        <v>897</v>
      </c>
      <c r="B785" t="s">
        <v>1223</v>
      </c>
      <c r="C785" t="s">
        <v>1124</v>
      </c>
      <c r="D785" t="s">
        <v>1130</v>
      </c>
      <c r="E785">
        <v>1603</v>
      </c>
      <c r="F785" t="s">
        <v>1224</v>
      </c>
      <c r="G785" t="s">
        <v>1219</v>
      </c>
      <c r="H785" t="s">
        <v>1210</v>
      </c>
    </row>
    <row r="786" spans="1:8" x14ac:dyDescent="0.45">
      <c r="A786" t="s">
        <v>898</v>
      </c>
      <c r="B786" t="s">
        <v>1223</v>
      </c>
      <c r="C786" t="s">
        <v>1117</v>
      </c>
      <c r="D786" t="s">
        <v>109</v>
      </c>
      <c r="E786">
        <v>718</v>
      </c>
      <c r="F786" t="s">
        <v>1224</v>
      </c>
      <c r="G786" t="s">
        <v>1219</v>
      </c>
      <c r="H786" t="s">
        <v>1210</v>
      </c>
    </row>
    <row r="787" spans="1:8" x14ac:dyDescent="0.45">
      <c r="A787" t="s">
        <v>899</v>
      </c>
      <c r="B787" t="s">
        <v>1225</v>
      </c>
      <c r="C787" t="s">
        <v>1118</v>
      </c>
      <c r="D787" t="s">
        <v>41</v>
      </c>
      <c r="E787">
        <v>3116</v>
      </c>
      <c r="F787" t="s">
        <v>1229</v>
      </c>
      <c r="G787" t="s">
        <v>1219</v>
      </c>
      <c r="H787" t="s">
        <v>1210</v>
      </c>
    </row>
    <row r="788" spans="1:8" x14ac:dyDescent="0.45">
      <c r="A788" t="s">
        <v>900</v>
      </c>
      <c r="B788" t="s">
        <v>1223</v>
      </c>
      <c r="C788" t="s">
        <v>1121</v>
      </c>
      <c r="D788" t="s">
        <v>74</v>
      </c>
      <c r="E788">
        <v>1815</v>
      </c>
      <c r="F788" t="s">
        <v>1220</v>
      </c>
      <c r="G788" t="s">
        <v>1219</v>
      </c>
      <c r="H788" t="s">
        <v>1210</v>
      </c>
    </row>
    <row r="789" spans="1:8" x14ac:dyDescent="0.45">
      <c r="A789" t="s">
        <v>901</v>
      </c>
      <c r="B789" t="s">
        <v>1223</v>
      </c>
      <c r="C789" t="s">
        <v>1122</v>
      </c>
      <c r="D789" t="s">
        <v>29</v>
      </c>
      <c r="E789">
        <v>684</v>
      </c>
      <c r="F789" t="s">
        <v>1224</v>
      </c>
      <c r="G789" t="s">
        <v>1219</v>
      </c>
      <c r="H789" t="s">
        <v>1210</v>
      </c>
    </row>
    <row r="790" spans="1:8" x14ac:dyDescent="0.45">
      <c r="A790" t="s">
        <v>902</v>
      </c>
      <c r="B790" t="s">
        <v>1225</v>
      </c>
      <c r="C790" t="s">
        <v>1128</v>
      </c>
      <c r="D790" t="s">
        <v>55</v>
      </c>
      <c r="E790">
        <v>1938</v>
      </c>
      <c r="F790" t="s">
        <v>1224</v>
      </c>
      <c r="G790" t="s">
        <v>1219</v>
      </c>
      <c r="H790" t="s">
        <v>1210</v>
      </c>
    </row>
    <row r="791" spans="1:8" x14ac:dyDescent="0.45">
      <c r="A791" t="s">
        <v>903</v>
      </c>
      <c r="B791" t="s">
        <v>1217</v>
      </c>
      <c r="C791" t="s">
        <v>1116</v>
      </c>
      <c r="D791" t="s">
        <v>99</v>
      </c>
      <c r="E791">
        <v>2074</v>
      </c>
      <c r="F791" t="s">
        <v>1227</v>
      </c>
      <c r="G791" t="s">
        <v>1219</v>
      </c>
      <c r="H791" t="s">
        <v>1210</v>
      </c>
    </row>
    <row r="792" spans="1:8" x14ac:dyDescent="0.45">
      <c r="A792" t="s">
        <v>904</v>
      </c>
      <c r="B792" t="s">
        <v>1223</v>
      </c>
      <c r="C792" t="s">
        <v>1122</v>
      </c>
      <c r="D792" t="s">
        <v>66</v>
      </c>
      <c r="E792">
        <v>939</v>
      </c>
      <c r="F792" t="s">
        <v>1224</v>
      </c>
      <c r="G792" t="s">
        <v>1221</v>
      </c>
      <c r="H792" t="s">
        <v>1210</v>
      </c>
    </row>
    <row r="793" spans="1:8" x14ac:dyDescent="0.45">
      <c r="A793" t="s">
        <v>905</v>
      </c>
      <c r="B793" t="s">
        <v>1225</v>
      </c>
      <c r="C793" t="s">
        <v>1118</v>
      </c>
      <c r="D793" t="s">
        <v>102</v>
      </c>
      <c r="E793">
        <v>649</v>
      </c>
      <c r="F793" t="s">
        <v>1220</v>
      </c>
      <c r="G793" t="s">
        <v>1219</v>
      </c>
      <c r="H793" t="s">
        <v>1210</v>
      </c>
    </row>
    <row r="794" spans="1:8" x14ac:dyDescent="0.45">
      <c r="A794" t="s">
        <v>906</v>
      </c>
      <c r="B794" t="s">
        <v>1217</v>
      </c>
      <c r="C794" t="s">
        <v>1126</v>
      </c>
      <c r="D794" t="s">
        <v>57</v>
      </c>
      <c r="E794">
        <v>2361</v>
      </c>
      <c r="F794" t="s">
        <v>1220</v>
      </c>
      <c r="G794" t="s">
        <v>1219</v>
      </c>
      <c r="H794" t="s">
        <v>1210</v>
      </c>
    </row>
    <row r="795" spans="1:8" x14ac:dyDescent="0.45">
      <c r="A795" t="s">
        <v>907</v>
      </c>
      <c r="B795" t="s">
        <v>1225</v>
      </c>
      <c r="C795" t="s">
        <v>1119</v>
      </c>
      <c r="D795" t="s">
        <v>64</v>
      </c>
      <c r="E795">
        <v>1690</v>
      </c>
      <c r="F795" t="s">
        <v>1220</v>
      </c>
      <c r="G795" t="s">
        <v>1219</v>
      </c>
      <c r="H795" t="s">
        <v>1210</v>
      </c>
    </row>
    <row r="796" spans="1:8" x14ac:dyDescent="0.45">
      <c r="A796" t="s">
        <v>908</v>
      </c>
      <c r="B796" t="s">
        <v>1217</v>
      </c>
      <c r="C796" t="s">
        <v>1116</v>
      </c>
      <c r="D796" t="s">
        <v>1149</v>
      </c>
      <c r="E796">
        <v>1238</v>
      </c>
      <c r="F796" t="s">
        <v>1227</v>
      </c>
      <c r="G796" t="s">
        <v>1219</v>
      </c>
      <c r="H796" t="s">
        <v>1210</v>
      </c>
    </row>
    <row r="797" spans="1:8" x14ac:dyDescent="0.45">
      <c r="A797" t="s">
        <v>909</v>
      </c>
      <c r="B797" t="s">
        <v>1223</v>
      </c>
      <c r="C797" t="s">
        <v>1124</v>
      </c>
      <c r="D797" t="s">
        <v>42</v>
      </c>
      <c r="E797">
        <v>825</v>
      </c>
      <c r="F797" t="s">
        <v>1224</v>
      </c>
      <c r="G797" t="s">
        <v>1219</v>
      </c>
      <c r="H797" t="s">
        <v>1210</v>
      </c>
    </row>
    <row r="798" spans="1:8" x14ac:dyDescent="0.45">
      <c r="A798" t="s">
        <v>910</v>
      </c>
      <c r="B798" t="s">
        <v>1225</v>
      </c>
      <c r="C798" t="s">
        <v>1125</v>
      </c>
      <c r="D798" t="s">
        <v>1137</v>
      </c>
      <c r="E798">
        <v>1846</v>
      </c>
      <c r="F798" t="s">
        <v>1227</v>
      </c>
      <c r="G798" t="s">
        <v>1219</v>
      </c>
      <c r="H798" t="s">
        <v>1210</v>
      </c>
    </row>
    <row r="799" spans="1:8" x14ac:dyDescent="0.45">
      <c r="A799" t="s">
        <v>911</v>
      </c>
      <c r="B799" t="s">
        <v>1217</v>
      </c>
      <c r="C799" t="s">
        <v>1126</v>
      </c>
      <c r="D799" t="s">
        <v>62</v>
      </c>
      <c r="E799">
        <v>574</v>
      </c>
      <c r="F799" t="s">
        <v>1224</v>
      </c>
      <c r="G799" t="s">
        <v>1219</v>
      </c>
      <c r="H799" t="s">
        <v>1210</v>
      </c>
    </row>
    <row r="800" spans="1:8" x14ac:dyDescent="0.45">
      <c r="A800" t="s">
        <v>912</v>
      </c>
      <c r="B800" t="s">
        <v>1223</v>
      </c>
      <c r="C800" t="s">
        <v>1124</v>
      </c>
      <c r="D800" t="s">
        <v>99</v>
      </c>
      <c r="E800">
        <v>2055</v>
      </c>
      <c r="F800" t="s">
        <v>1224</v>
      </c>
      <c r="G800" t="s">
        <v>1219</v>
      </c>
      <c r="H800" t="s">
        <v>1210</v>
      </c>
    </row>
    <row r="801" spans="1:8" x14ac:dyDescent="0.45">
      <c r="A801" t="s">
        <v>913</v>
      </c>
      <c r="B801" t="s">
        <v>1225</v>
      </c>
      <c r="C801" t="s">
        <v>1128</v>
      </c>
      <c r="D801" t="s">
        <v>107</v>
      </c>
      <c r="E801">
        <v>2648</v>
      </c>
      <c r="F801" t="s">
        <v>1220</v>
      </c>
      <c r="G801" t="s">
        <v>1219</v>
      </c>
      <c r="H801" t="s">
        <v>1210</v>
      </c>
    </row>
    <row r="802" spans="1:8" x14ac:dyDescent="0.45">
      <c r="A802" t="s">
        <v>914</v>
      </c>
      <c r="B802" t="s">
        <v>1223</v>
      </c>
      <c r="C802" t="s">
        <v>1122</v>
      </c>
      <c r="D802" t="s">
        <v>1137</v>
      </c>
      <c r="E802">
        <v>1889</v>
      </c>
      <c r="F802" t="s">
        <v>1224</v>
      </c>
      <c r="G802" t="s">
        <v>1219</v>
      </c>
      <c r="H802" t="s">
        <v>1210</v>
      </c>
    </row>
    <row r="803" spans="1:8" x14ac:dyDescent="0.45">
      <c r="A803" t="s">
        <v>915</v>
      </c>
      <c r="B803" t="s">
        <v>1225</v>
      </c>
      <c r="C803" t="s">
        <v>1125</v>
      </c>
      <c r="D803" t="s">
        <v>1135</v>
      </c>
      <c r="E803">
        <v>637</v>
      </c>
      <c r="F803" t="s">
        <v>1218</v>
      </c>
      <c r="G803" t="s">
        <v>1219</v>
      </c>
      <c r="H803" t="s">
        <v>1210</v>
      </c>
    </row>
    <row r="804" spans="1:8" x14ac:dyDescent="0.45">
      <c r="A804" t="s">
        <v>916</v>
      </c>
      <c r="B804" t="s">
        <v>1217</v>
      </c>
      <c r="C804" t="s">
        <v>1114</v>
      </c>
      <c r="D804" t="s">
        <v>35</v>
      </c>
      <c r="E804">
        <v>1039</v>
      </c>
      <c r="F804" t="s">
        <v>1224</v>
      </c>
      <c r="G804" t="s">
        <v>1219</v>
      </c>
      <c r="H804" t="s">
        <v>1210</v>
      </c>
    </row>
    <row r="805" spans="1:8" x14ac:dyDescent="0.45">
      <c r="A805" t="s">
        <v>917</v>
      </c>
      <c r="B805" t="s">
        <v>1223</v>
      </c>
      <c r="C805" t="s">
        <v>1122</v>
      </c>
      <c r="D805" t="s">
        <v>25</v>
      </c>
      <c r="E805">
        <v>1205</v>
      </c>
      <c r="F805" t="s">
        <v>1235</v>
      </c>
      <c r="G805" t="s">
        <v>1219</v>
      </c>
      <c r="H805" t="s">
        <v>1210</v>
      </c>
    </row>
    <row r="806" spans="1:8" x14ac:dyDescent="0.45">
      <c r="A806" t="s">
        <v>918</v>
      </c>
      <c r="B806" t="s">
        <v>1225</v>
      </c>
      <c r="C806" t="s">
        <v>1118</v>
      </c>
      <c r="D806" t="s">
        <v>64</v>
      </c>
      <c r="E806">
        <v>1522</v>
      </c>
      <c r="F806" t="s">
        <v>1218</v>
      </c>
      <c r="G806" t="s">
        <v>1219</v>
      </c>
      <c r="H806" t="s">
        <v>1210</v>
      </c>
    </row>
    <row r="807" spans="1:8" x14ac:dyDescent="0.45">
      <c r="A807" t="s">
        <v>919</v>
      </c>
      <c r="B807" t="s">
        <v>1223</v>
      </c>
      <c r="C807" t="s">
        <v>1122</v>
      </c>
      <c r="D807" t="s">
        <v>1135</v>
      </c>
      <c r="E807">
        <v>395</v>
      </c>
      <c r="F807" t="s">
        <v>1224</v>
      </c>
      <c r="G807" t="s">
        <v>1219</v>
      </c>
      <c r="H807" t="s">
        <v>1210</v>
      </c>
    </row>
    <row r="808" spans="1:8" x14ac:dyDescent="0.45">
      <c r="A808" t="s">
        <v>920</v>
      </c>
      <c r="B808" t="s">
        <v>1217</v>
      </c>
      <c r="C808" t="s">
        <v>1114</v>
      </c>
      <c r="D808" t="s">
        <v>33</v>
      </c>
      <c r="E808">
        <v>1288</v>
      </c>
      <c r="F808" t="s">
        <v>1224</v>
      </c>
      <c r="G808" t="s">
        <v>1219</v>
      </c>
      <c r="H808" t="s">
        <v>1210</v>
      </c>
    </row>
    <row r="809" spans="1:8" x14ac:dyDescent="0.45">
      <c r="A809" t="s">
        <v>921</v>
      </c>
      <c r="B809" t="s">
        <v>1217</v>
      </c>
      <c r="C809" t="s">
        <v>1114</v>
      </c>
      <c r="D809" t="s">
        <v>13</v>
      </c>
      <c r="E809">
        <v>2829</v>
      </c>
      <c r="F809" t="s">
        <v>1227</v>
      </c>
      <c r="G809" t="s">
        <v>1219</v>
      </c>
      <c r="H809" t="s">
        <v>1210</v>
      </c>
    </row>
    <row r="810" spans="1:8" x14ac:dyDescent="0.45">
      <c r="A810" t="s">
        <v>922</v>
      </c>
      <c r="B810" t="s">
        <v>1223</v>
      </c>
      <c r="C810" t="s">
        <v>1121</v>
      </c>
      <c r="D810" t="s">
        <v>39</v>
      </c>
      <c r="E810">
        <v>1506</v>
      </c>
      <c r="F810" t="s">
        <v>1220</v>
      </c>
      <c r="G810" t="s">
        <v>1219</v>
      </c>
      <c r="H810" t="s">
        <v>1210</v>
      </c>
    </row>
    <row r="811" spans="1:8" x14ac:dyDescent="0.45">
      <c r="A811" t="s">
        <v>923</v>
      </c>
      <c r="B811" t="s">
        <v>1223</v>
      </c>
      <c r="C811" t="s">
        <v>1121</v>
      </c>
      <c r="D811" t="s">
        <v>44</v>
      </c>
      <c r="E811">
        <v>647</v>
      </c>
      <c r="F811" t="s">
        <v>1220</v>
      </c>
      <c r="G811" t="s">
        <v>1219</v>
      </c>
      <c r="H811" t="s">
        <v>1210</v>
      </c>
    </row>
    <row r="812" spans="1:8" x14ac:dyDescent="0.45">
      <c r="A812" t="s">
        <v>924</v>
      </c>
      <c r="B812" t="s">
        <v>1223</v>
      </c>
      <c r="C812" t="s">
        <v>1124</v>
      </c>
      <c r="D812" t="s">
        <v>44</v>
      </c>
      <c r="E812">
        <v>1438</v>
      </c>
      <c r="F812" t="s">
        <v>1224</v>
      </c>
      <c r="G812" t="s">
        <v>1219</v>
      </c>
      <c r="H812" t="s">
        <v>1210</v>
      </c>
    </row>
    <row r="813" spans="1:8" x14ac:dyDescent="0.45">
      <c r="A813" t="s">
        <v>925</v>
      </c>
      <c r="B813" t="s">
        <v>1223</v>
      </c>
      <c r="C813" t="s">
        <v>1117</v>
      </c>
      <c r="D813" t="s">
        <v>1133</v>
      </c>
      <c r="E813">
        <v>448</v>
      </c>
      <c r="F813" t="s">
        <v>1224</v>
      </c>
      <c r="G813" t="s">
        <v>1219</v>
      </c>
      <c r="H813" t="s">
        <v>1210</v>
      </c>
    </row>
    <row r="814" spans="1:8" x14ac:dyDescent="0.45">
      <c r="A814" t="s">
        <v>926</v>
      </c>
      <c r="B814" t="s">
        <v>1217</v>
      </c>
      <c r="C814" t="s">
        <v>1120</v>
      </c>
      <c r="D814" t="s">
        <v>1132</v>
      </c>
      <c r="E814">
        <v>1294</v>
      </c>
      <c r="F814" t="s">
        <v>1220</v>
      </c>
      <c r="G814" t="s">
        <v>1219</v>
      </c>
      <c r="H814" t="s">
        <v>1210</v>
      </c>
    </row>
    <row r="815" spans="1:8" x14ac:dyDescent="0.45">
      <c r="A815" t="s">
        <v>927</v>
      </c>
      <c r="B815" t="s">
        <v>1223</v>
      </c>
      <c r="C815" t="s">
        <v>1117</v>
      </c>
      <c r="D815" t="s">
        <v>1140</v>
      </c>
      <c r="E815">
        <v>2018</v>
      </c>
      <c r="F815" t="s">
        <v>1220</v>
      </c>
      <c r="G815" t="s">
        <v>1219</v>
      </c>
      <c r="H815" t="s">
        <v>1210</v>
      </c>
    </row>
    <row r="816" spans="1:8" x14ac:dyDescent="0.45">
      <c r="A816" t="s">
        <v>928</v>
      </c>
      <c r="B816" t="s">
        <v>1223</v>
      </c>
      <c r="C816" t="s">
        <v>1124</v>
      </c>
      <c r="D816" t="s">
        <v>70</v>
      </c>
      <c r="E816">
        <v>1468</v>
      </c>
      <c r="F816" t="s">
        <v>1224</v>
      </c>
      <c r="G816" t="s">
        <v>1221</v>
      </c>
      <c r="H816" t="s">
        <v>1210</v>
      </c>
    </row>
    <row r="817" spans="1:8" x14ac:dyDescent="0.45">
      <c r="A817" t="s">
        <v>929</v>
      </c>
      <c r="B817" t="s">
        <v>1217</v>
      </c>
      <c r="C817" t="s">
        <v>1126</v>
      </c>
      <c r="D817" t="s">
        <v>60</v>
      </c>
      <c r="E817">
        <v>2581</v>
      </c>
      <c r="F817" t="s">
        <v>1224</v>
      </c>
      <c r="G817" t="s">
        <v>1219</v>
      </c>
      <c r="H817" t="s">
        <v>1210</v>
      </c>
    </row>
    <row r="818" spans="1:8" x14ac:dyDescent="0.45">
      <c r="A818" t="s">
        <v>930</v>
      </c>
      <c r="B818" t="s">
        <v>1225</v>
      </c>
      <c r="C818" t="s">
        <v>1128</v>
      </c>
      <c r="D818" t="s">
        <v>85</v>
      </c>
      <c r="E818">
        <v>884</v>
      </c>
      <c r="F818" t="s">
        <v>1220</v>
      </c>
      <c r="G818" t="s">
        <v>1219</v>
      </c>
      <c r="H818" t="s">
        <v>1210</v>
      </c>
    </row>
    <row r="819" spans="1:8" x14ac:dyDescent="0.45">
      <c r="A819" t="s">
        <v>931</v>
      </c>
      <c r="B819" t="s">
        <v>1223</v>
      </c>
      <c r="C819" t="s">
        <v>1127</v>
      </c>
      <c r="D819" t="s">
        <v>60</v>
      </c>
      <c r="E819">
        <v>675</v>
      </c>
      <c r="F819" t="s">
        <v>1224</v>
      </c>
      <c r="G819" t="s">
        <v>1219</v>
      </c>
      <c r="H819" t="s">
        <v>1210</v>
      </c>
    </row>
    <row r="820" spans="1:8" x14ac:dyDescent="0.45">
      <c r="A820" t="s">
        <v>932</v>
      </c>
      <c r="B820" t="s">
        <v>1217</v>
      </c>
      <c r="C820" t="s">
        <v>1116</v>
      </c>
      <c r="D820" t="s">
        <v>58</v>
      </c>
      <c r="E820">
        <v>1387</v>
      </c>
      <c r="F820" t="s">
        <v>1218</v>
      </c>
      <c r="G820" t="s">
        <v>1219</v>
      </c>
      <c r="H820" t="s">
        <v>1210</v>
      </c>
    </row>
    <row r="821" spans="1:8" x14ac:dyDescent="0.45">
      <c r="A821" t="s">
        <v>933</v>
      </c>
      <c r="B821" t="s">
        <v>1217</v>
      </c>
      <c r="C821" t="s">
        <v>1114</v>
      </c>
      <c r="D821" t="s">
        <v>1150</v>
      </c>
      <c r="E821">
        <v>1764</v>
      </c>
      <c r="F821" t="s">
        <v>1220</v>
      </c>
      <c r="G821" t="s">
        <v>1219</v>
      </c>
      <c r="H821" t="s">
        <v>1210</v>
      </c>
    </row>
    <row r="822" spans="1:8" x14ac:dyDescent="0.45">
      <c r="A822" t="s">
        <v>934</v>
      </c>
      <c r="B822" t="s">
        <v>1217</v>
      </c>
      <c r="C822" t="s">
        <v>1114</v>
      </c>
      <c r="D822" t="s">
        <v>98</v>
      </c>
      <c r="E822">
        <v>829</v>
      </c>
      <c r="F822" t="s">
        <v>1227</v>
      </c>
      <c r="G822" t="s">
        <v>1219</v>
      </c>
      <c r="H822" t="s">
        <v>1210</v>
      </c>
    </row>
    <row r="823" spans="1:8" x14ac:dyDescent="0.45">
      <c r="A823" t="s">
        <v>935</v>
      </c>
      <c r="B823" t="s">
        <v>1217</v>
      </c>
      <c r="C823" t="s">
        <v>1116</v>
      </c>
      <c r="D823" t="s">
        <v>41</v>
      </c>
      <c r="E823">
        <v>3509</v>
      </c>
      <c r="F823" t="s">
        <v>1220</v>
      </c>
      <c r="G823" t="s">
        <v>1219</v>
      </c>
      <c r="H823" t="s">
        <v>1210</v>
      </c>
    </row>
    <row r="824" spans="1:8" x14ac:dyDescent="0.45">
      <c r="A824" t="s">
        <v>936</v>
      </c>
      <c r="B824" t="s">
        <v>1217</v>
      </c>
      <c r="C824" t="s">
        <v>1126</v>
      </c>
      <c r="D824" t="s">
        <v>78</v>
      </c>
      <c r="E824">
        <v>1904</v>
      </c>
      <c r="F824" t="s">
        <v>1224</v>
      </c>
      <c r="G824" t="s">
        <v>1219</v>
      </c>
      <c r="H824" t="s">
        <v>1210</v>
      </c>
    </row>
    <row r="825" spans="1:8" x14ac:dyDescent="0.45">
      <c r="A825" t="s">
        <v>937</v>
      </c>
      <c r="B825" t="s">
        <v>1225</v>
      </c>
      <c r="C825" t="s">
        <v>1125</v>
      </c>
      <c r="D825" t="s">
        <v>85</v>
      </c>
      <c r="E825">
        <v>2830</v>
      </c>
      <c r="F825" t="s">
        <v>1218</v>
      </c>
      <c r="G825" t="s">
        <v>1219</v>
      </c>
      <c r="H825" t="s">
        <v>1210</v>
      </c>
    </row>
    <row r="826" spans="1:8" x14ac:dyDescent="0.45">
      <c r="A826" t="s">
        <v>938</v>
      </c>
      <c r="B826" t="s">
        <v>1225</v>
      </c>
      <c r="C826" t="s">
        <v>1128</v>
      </c>
      <c r="D826" t="s">
        <v>58</v>
      </c>
      <c r="E826">
        <v>1300</v>
      </c>
      <c r="F826" t="s">
        <v>1220</v>
      </c>
      <c r="G826" t="s">
        <v>1219</v>
      </c>
      <c r="H826" t="s">
        <v>1210</v>
      </c>
    </row>
    <row r="827" spans="1:8" x14ac:dyDescent="0.45">
      <c r="A827" t="s">
        <v>939</v>
      </c>
      <c r="B827" t="s">
        <v>1225</v>
      </c>
      <c r="C827" t="s">
        <v>1123</v>
      </c>
      <c r="D827" t="s">
        <v>101</v>
      </c>
      <c r="E827">
        <v>812</v>
      </c>
      <c r="F827" t="s">
        <v>1224</v>
      </c>
      <c r="G827" t="s">
        <v>1219</v>
      </c>
      <c r="H827" t="s">
        <v>1210</v>
      </c>
    </row>
    <row r="828" spans="1:8" x14ac:dyDescent="0.45">
      <c r="A828" t="s">
        <v>940</v>
      </c>
      <c r="B828" t="s">
        <v>1225</v>
      </c>
      <c r="C828" t="s">
        <v>1128</v>
      </c>
      <c r="D828" t="s">
        <v>95</v>
      </c>
      <c r="E828">
        <v>508</v>
      </c>
      <c r="F828" t="s">
        <v>1220</v>
      </c>
      <c r="G828" t="s">
        <v>1219</v>
      </c>
      <c r="H828" t="s">
        <v>1210</v>
      </c>
    </row>
    <row r="829" spans="1:8" x14ac:dyDescent="0.45">
      <c r="A829" t="s">
        <v>941</v>
      </c>
      <c r="B829" t="s">
        <v>1225</v>
      </c>
      <c r="C829" t="s">
        <v>1123</v>
      </c>
      <c r="D829" t="s">
        <v>67</v>
      </c>
      <c r="E829">
        <v>763</v>
      </c>
      <c r="F829" t="s">
        <v>1224</v>
      </c>
      <c r="G829" t="s">
        <v>1219</v>
      </c>
      <c r="H829" t="s">
        <v>1210</v>
      </c>
    </row>
    <row r="830" spans="1:8" x14ac:dyDescent="0.45">
      <c r="A830" t="s">
        <v>942</v>
      </c>
      <c r="B830" t="s">
        <v>1217</v>
      </c>
      <c r="C830" t="s">
        <v>1116</v>
      </c>
      <c r="D830" t="s">
        <v>51</v>
      </c>
      <c r="E830">
        <v>0</v>
      </c>
      <c r="F830" t="s">
        <v>1229</v>
      </c>
      <c r="G830" t="s">
        <v>1219</v>
      </c>
      <c r="H830" t="s">
        <v>1210</v>
      </c>
    </row>
    <row r="831" spans="1:8" x14ac:dyDescent="0.45">
      <c r="A831" t="s">
        <v>943</v>
      </c>
      <c r="B831" t="s">
        <v>1225</v>
      </c>
      <c r="C831" t="s">
        <v>1123</v>
      </c>
      <c r="D831" t="s">
        <v>80</v>
      </c>
      <c r="E831">
        <v>2180</v>
      </c>
      <c r="F831" t="s">
        <v>1224</v>
      </c>
      <c r="G831" t="s">
        <v>1219</v>
      </c>
      <c r="H831" t="s">
        <v>1210</v>
      </c>
    </row>
    <row r="832" spans="1:8" x14ac:dyDescent="0.45">
      <c r="A832" t="s">
        <v>944</v>
      </c>
      <c r="B832" t="s">
        <v>1223</v>
      </c>
      <c r="C832" t="s">
        <v>1127</v>
      </c>
      <c r="D832" t="s">
        <v>85</v>
      </c>
      <c r="E832">
        <v>1835</v>
      </c>
      <c r="F832" t="s">
        <v>1227</v>
      </c>
      <c r="G832" t="s">
        <v>1219</v>
      </c>
      <c r="H832" t="s">
        <v>1210</v>
      </c>
    </row>
    <row r="833" spans="1:8" x14ac:dyDescent="0.45">
      <c r="A833" t="s">
        <v>945</v>
      </c>
      <c r="B833" t="s">
        <v>1217</v>
      </c>
      <c r="C833" t="s">
        <v>1120</v>
      </c>
      <c r="D833" t="s">
        <v>1138</v>
      </c>
      <c r="E833">
        <v>1366</v>
      </c>
      <c r="F833" t="s">
        <v>1224</v>
      </c>
      <c r="G833" t="s">
        <v>1219</v>
      </c>
      <c r="H833" t="s">
        <v>1210</v>
      </c>
    </row>
    <row r="834" spans="1:8" x14ac:dyDescent="0.45">
      <c r="A834" t="s">
        <v>946</v>
      </c>
      <c r="B834" t="s">
        <v>1217</v>
      </c>
      <c r="C834" t="s">
        <v>1116</v>
      </c>
      <c r="D834" t="s">
        <v>106</v>
      </c>
      <c r="E834">
        <v>514</v>
      </c>
      <c r="F834" t="s">
        <v>1227</v>
      </c>
      <c r="G834" t="s">
        <v>1219</v>
      </c>
      <c r="H834" t="s">
        <v>1210</v>
      </c>
    </row>
    <row r="835" spans="1:8" x14ac:dyDescent="0.45">
      <c r="A835" t="s">
        <v>947</v>
      </c>
      <c r="B835" t="s">
        <v>1223</v>
      </c>
      <c r="C835" t="s">
        <v>1127</v>
      </c>
      <c r="D835" t="s">
        <v>5</v>
      </c>
      <c r="E835">
        <v>2007</v>
      </c>
      <c r="F835" t="s">
        <v>1227</v>
      </c>
      <c r="G835" t="s">
        <v>1221</v>
      </c>
      <c r="H835" t="s">
        <v>1210</v>
      </c>
    </row>
    <row r="836" spans="1:8" x14ac:dyDescent="0.45">
      <c r="A836" t="s">
        <v>948</v>
      </c>
      <c r="B836" t="s">
        <v>1217</v>
      </c>
      <c r="C836" t="s">
        <v>1114</v>
      </c>
      <c r="D836" t="s">
        <v>93</v>
      </c>
      <c r="E836">
        <v>832</v>
      </c>
      <c r="F836" t="s">
        <v>1218</v>
      </c>
      <c r="G836" t="s">
        <v>1219</v>
      </c>
      <c r="H836" t="s">
        <v>1210</v>
      </c>
    </row>
    <row r="837" spans="1:8" x14ac:dyDescent="0.45">
      <c r="A837" t="s">
        <v>949</v>
      </c>
      <c r="B837" t="s">
        <v>1225</v>
      </c>
      <c r="C837" t="s">
        <v>1119</v>
      </c>
      <c r="D837" t="s">
        <v>8</v>
      </c>
      <c r="E837">
        <v>2316</v>
      </c>
      <c r="F837" t="s">
        <v>1227</v>
      </c>
      <c r="G837" t="s">
        <v>1219</v>
      </c>
      <c r="H837" t="s">
        <v>1210</v>
      </c>
    </row>
    <row r="838" spans="1:8" x14ac:dyDescent="0.45">
      <c r="A838" t="s">
        <v>950</v>
      </c>
      <c r="B838" t="s">
        <v>1217</v>
      </c>
      <c r="C838" t="s">
        <v>1126</v>
      </c>
      <c r="D838" t="s">
        <v>107</v>
      </c>
      <c r="E838">
        <v>1740</v>
      </c>
      <c r="F838" t="s">
        <v>1224</v>
      </c>
      <c r="G838" t="s">
        <v>1219</v>
      </c>
      <c r="H838" t="s">
        <v>1210</v>
      </c>
    </row>
    <row r="839" spans="1:8" x14ac:dyDescent="0.45">
      <c r="A839" t="s">
        <v>951</v>
      </c>
      <c r="B839" t="s">
        <v>1223</v>
      </c>
      <c r="C839" t="s">
        <v>1121</v>
      </c>
      <c r="D839" t="s">
        <v>51</v>
      </c>
      <c r="E839">
        <v>2695</v>
      </c>
      <c r="F839" t="s">
        <v>1220</v>
      </c>
      <c r="G839" t="s">
        <v>1219</v>
      </c>
      <c r="H839" t="s">
        <v>1210</v>
      </c>
    </row>
    <row r="840" spans="1:8" x14ac:dyDescent="0.45">
      <c r="A840" t="s">
        <v>952</v>
      </c>
      <c r="B840" t="s">
        <v>1223</v>
      </c>
      <c r="C840" t="s">
        <v>1127</v>
      </c>
      <c r="D840" t="s">
        <v>76</v>
      </c>
      <c r="E840">
        <v>1211</v>
      </c>
      <c r="F840" t="s">
        <v>1224</v>
      </c>
      <c r="G840" t="s">
        <v>1219</v>
      </c>
      <c r="H840" t="s">
        <v>1210</v>
      </c>
    </row>
    <row r="841" spans="1:8" x14ac:dyDescent="0.45">
      <c r="A841" t="s">
        <v>953</v>
      </c>
      <c r="B841" t="s">
        <v>1217</v>
      </c>
      <c r="C841" t="s">
        <v>1120</v>
      </c>
      <c r="D841" t="s">
        <v>47</v>
      </c>
      <c r="E841">
        <v>1379</v>
      </c>
      <c r="F841" t="s">
        <v>1220</v>
      </c>
      <c r="G841" t="s">
        <v>1219</v>
      </c>
      <c r="H841" t="s">
        <v>1210</v>
      </c>
    </row>
    <row r="842" spans="1:8" x14ac:dyDescent="0.45">
      <c r="A842" t="s">
        <v>954</v>
      </c>
      <c r="B842" t="s">
        <v>1225</v>
      </c>
      <c r="C842" t="s">
        <v>1123</v>
      </c>
      <c r="D842" t="s">
        <v>52</v>
      </c>
      <c r="E842">
        <v>1819</v>
      </c>
      <c r="F842" t="s">
        <v>1224</v>
      </c>
      <c r="G842" t="s">
        <v>1219</v>
      </c>
      <c r="H842" t="s">
        <v>1210</v>
      </c>
    </row>
    <row r="843" spans="1:8" x14ac:dyDescent="0.45">
      <c r="A843" t="s">
        <v>955</v>
      </c>
      <c r="B843" t="s">
        <v>1223</v>
      </c>
      <c r="C843" t="s">
        <v>1122</v>
      </c>
      <c r="D843" t="s">
        <v>87</v>
      </c>
      <c r="E843">
        <v>1119</v>
      </c>
      <c r="F843" t="s">
        <v>1224</v>
      </c>
      <c r="G843" t="s">
        <v>1221</v>
      </c>
      <c r="H843" t="s">
        <v>1210</v>
      </c>
    </row>
    <row r="844" spans="1:8" x14ac:dyDescent="0.45">
      <c r="A844" t="s">
        <v>956</v>
      </c>
      <c r="B844" t="s">
        <v>1223</v>
      </c>
      <c r="C844" t="s">
        <v>1124</v>
      </c>
      <c r="D844" t="s">
        <v>58</v>
      </c>
      <c r="E844">
        <v>1363</v>
      </c>
      <c r="F844" t="s">
        <v>1224</v>
      </c>
      <c r="G844" t="s">
        <v>1219</v>
      </c>
      <c r="H844" t="s">
        <v>1210</v>
      </c>
    </row>
    <row r="845" spans="1:8" x14ac:dyDescent="0.45">
      <c r="A845" t="s">
        <v>957</v>
      </c>
      <c r="B845" t="s">
        <v>1225</v>
      </c>
      <c r="C845" t="s">
        <v>1128</v>
      </c>
      <c r="D845" t="s">
        <v>49</v>
      </c>
      <c r="E845">
        <v>892</v>
      </c>
      <c r="F845" t="s">
        <v>1224</v>
      </c>
      <c r="G845" t="s">
        <v>1221</v>
      </c>
      <c r="H845" t="s">
        <v>1210</v>
      </c>
    </row>
    <row r="846" spans="1:8" x14ac:dyDescent="0.45">
      <c r="A846" t="s">
        <v>958</v>
      </c>
      <c r="B846" t="s">
        <v>1217</v>
      </c>
      <c r="C846" t="s">
        <v>1114</v>
      </c>
      <c r="D846" t="s">
        <v>81</v>
      </c>
      <c r="E846">
        <v>401</v>
      </c>
      <c r="F846" t="s">
        <v>1227</v>
      </c>
      <c r="G846" t="s">
        <v>1219</v>
      </c>
      <c r="H846" t="s">
        <v>1210</v>
      </c>
    </row>
    <row r="847" spans="1:8" x14ac:dyDescent="0.45">
      <c r="A847" t="s">
        <v>959</v>
      </c>
      <c r="B847" t="s">
        <v>1223</v>
      </c>
      <c r="C847" t="s">
        <v>1121</v>
      </c>
      <c r="D847" t="s">
        <v>41</v>
      </c>
      <c r="E847">
        <v>3711</v>
      </c>
      <c r="F847" t="s">
        <v>1224</v>
      </c>
      <c r="G847" t="s">
        <v>1219</v>
      </c>
      <c r="H847" t="s">
        <v>1210</v>
      </c>
    </row>
    <row r="848" spans="1:8" x14ac:dyDescent="0.45">
      <c r="A848" t="s">
        <v>960</v>
      </c>
      <c r="B848" t="s">
        <v>1225</v>
      </c>
      <c r="C848" t="s">
        <v>1119</v>
      </c>
      <c r="D848" t="s">
        <v>5</v>
      </c>
      <c r="E848">
        <v>1128</v>
      </c>
      <c r="F848" t="s">
        <v>1220</v>
      </c>
      <c r="G848" t="s">
        <v>1219</v>
      </c>
      <c r="H848" t="s">
        <v>1210</v>
      </c>
    </row>
    <row r="849" spans="1:8" x14ac:dyDescent="0.45">
      <c r="A849" t="s">
        <v>961</v>
      </c>
      <c r="B849" t="s">
        <v>1217</v>
      </c>
      <c r="C849" t="s">
        <v>1115</v>
      </c>
      <c r="D849" t="s">
        <v>8</v>
      </c>
      <c r="E849">
        <v>648</v>
      </c>
      <c r="F849" t="s">
        <v>1224</v>
      </c>
      <c r="G849" t="s">
        <v>1219</v>
      </c>
      <c r="H849" t="s">
        <v>1210</v>
      </c>
    </row>
    <row r="850" spans="1:8" x14ac:dyDescent="0.45">
      <c r="A850" t="s">
        <v>962</v>
      </c>
      <c r="B850" t="s">
        <v>1217</v>
      </c>
      <c r="C850" t="s">
        <v>1120</v>
      </c>
      <c r="D850" t="s">
        <v>75</v>
      </c>
      <c r="E850">
        <v>1193</v>
      </c>
      <c r="F850" t="s">
        <v>1220</v>
      </c>
      <c r="G850" t="s">
        <v>1219</v>
      </c>
      <c r="H850" t="s">
        <v>1210</v>
      </c>
    </row>
    <row r="851" spans="1:8" x14ac:dyDescent="0.45">
      <c r="A851" t="s">
        <v>963</v>
      </c>
      <c r="B851" t="s">
        <v>1223</v>
      </c>
      <c r="C851" t="s">
        <v>1117</v>
      </c>
      <c r="D851" t="s">
        <v>107</v>
      </c>
      <c r="E851">
        <v>2290</v>
      </c>
      <c r="F851" t="s">
        <v>1224</v>
      </c>
      <c r="G851" t="s">
        <v>1219</v>
      </c>
      <c r="H851" t="s">
        <v>1210</v>
      </c>
    </row>
    <row r="852" spans="1:8" x14ac:dyDescent="0.45">
      <c r="A852" t="s">
        <v>964</v>
      </c>
      <c r="B852" t="s">
        <v>1223</v>
      </c>
      <c r="C852" t="s">
        <v>1127</v>
      </c>
      <c r="D852" t="s">
        <v>1138</v>
      </c>
      <c r="E852">
        <v>1488</v>
      </c>
      <c r="F852" t="s">
        <v>1227</v>
      </c>
      <c r="G852" t="s">
        <v>1219</v>
      </c>
      <c r="H852" t="s">
        <v>1210</v>
      </c>
    </row>
    <row r="853" spans="1:8" x14ac:dyDescent="0.45">
      <c r="A853" t="s">
        <v>965</v>
      </c>
      <c r="B853" t="s">
        <v>1223</v>
      </c>
      <c r="C853" t="s">
        <v>1121</v>
      </c>
      <c r="D853" t="s">
        <v>62</v>
      </c>
      <c r="E853">
        <v>1862</v>
      </c>
      <c r="F853" t="s">
        <v>1224</v>
      </c>
      <c r="G853" t="s">
        <v>1219</v>
      </c>
      <c r="H853" t="s">
        <v>1210</v>
      </c>
    </row>
    <row r="854" spans="1:8" x14ac:dyDescent="0.45">
      <c r="A854" t="s">
        <v>966</v>
      </c>
      <c r="B854" t="s">
        <v>1217</v>
      </c>
      <c r="C854" t="s">
        <v>1120</v>
      </c>
      <c r="D854" t="s">
        <v>39</v>
      </c>
      <c r="E854">
        <v>1570</v>
      </c>
      <c r="F854" t="s">
        <v>1224</v>
      </c>
      <c r="G854" t="s">
        <v>1219</v>
      </c>
      <c r="H854" t="s">
        <v>1210</v>
      </c>
    </row>
    <row r="855" spans="1:8" x14ac:dyDescent="0.45">
      <c r="A855" t="s">
        <v>967</v>
      </c>
      <c r="B855" t="s">
        <v>1223</v>
      </c>
      <c r="C855" t="s">
        <v>1121</v>
      </c>
      <c r="D855" t="s">
        <v>69</v>
      </c>
      <c r="E855">
        <v>1614</v>
      </c>
      <c r="F855" t="s">
        <v>1220</v>
      </c>
      <c r="G855" t="s">
        <v>1219</v>
      </c>
      <c r="H855" t="s">
        <v>1210</v>
      </c>
    </row>
    <row r="856" spans="1:8" x14ac:dyDescent="0.45">
      <c r="A856" t="s">
        <v>968</v>
      </c>
      <c r="B856" t="s">
        <v>1223</v>
      </c>
      <c r="C856" t="s">
        <v>1124</v>
      </c>
      <c r="D856" t="s">
        <v>92</v>
      </c>
      <c r="E856">
        <v>1994</v>
      </c>
      <c r="F856" t="s">
        <v>1224</v>
      </c>
      <c r="G856" t="s">
        <v>1219</v>
      </c>
      <c r="H856" t="s">
        <v>1210</v>
      </c>
    </row>
    <row r="857" spans="1:8" x14ac:dyDescent="0.45">
      <c r="A857" t="s">
        <v>969</v>
      </c>
      <c r="B857" t="s">
        <v>1217</v>
      </c>
      <c r="C857" t="s">
        <v>1115</v>
      </c>
      <c r="D857" t="s">
        <v>32</v>
      </c>
      <c r="E857">
        <v>1962</v>
      </c>
      <c r="F857" t="s">
        <v>1232</v>
      </c>
      <c r="G857" t="s">
        <v>1219</v>
      </c>
      <c r="H857" t="s">
        <v>1210</v>
      </c>
    </row>
    <row r="858" spans="1:8" x14ac:dyDescent="0.45">
      <c r="A858" t="s">
        <v>970</v>
      </c>
      <c r="B858" t="s">
        <v>1217</v>
      </c>
      <c r="C858" t="s">
        <v>1116</v>
      </c>
      <c r="D858" t="s">
        <v>1138</v>
      </c>
      <c r="E858">
        <v>1289</v>
      </c>
      <c r="F858" t="s">
        <v>1224</v>
      </c>
      <c r="G858" t="s">
        <v>1219</v>
      </c>
      <c r="H858" t="s">
        <v>1210</v>
      </c>
    </row>
    <row r="859" spans="1:8" x14ac:dyDescent="0.45">
      <c r="A859" t="s">
        <v>971</v>
      </c>
      <c r="B859" t="s">
        <v>1217</v>
      </c>
      <c r="C859" t="s">
        <v>1126</v>
      </c>
      <c r="D859" t="s">
        <v>54</v>
      </c>
      <c r="E859">
        <v>1514</v>
      </c>
      <c r="F859" t="s">
        <v>1224</v>
      </c>
      <c r="G859" t="s">
        <v>1219</v>
      </c>
      <c r="H859" t="s">
        <v>1210</v>
      </c>
    </row>
    <row r="860" spans="1:8" x14ac:dyDescent="0.45">
      <c r="A860" t="s">
        <v>972</v>
      </c>
      <c r="B860" t="s">
        <v>1223</v>
      </c>
      <c r="C860" t="s">
        <v>1124</v>
      </c>
      <c r="D860" t="s">
        <v>23</v>
      </c>
      <c r="E860">
        <v>3018</v>
      </c>
      <c r="F860" t="s">
        <v>1222</v>
      </c>
      <c r="G860" t="s">
        <v>1219</v>
      </c>
      <c r="H860" t="s">
        <v>1210</v>
      </c>
    </row>
    <row r="861" spans="1:8" x14ac:dyDescent="0.45">
      <c r="A861" t="s">
        <v>973</v>
      </c>
      <c r="B861" t="s">
        <v>1223</v>
      </c>
      <c r="C861" t="s">
        <v>1127</v>
      </c>
      <c r="D861" t="s">
        <v>107</v>
      </c>
      <c r="E861">
        <v>960</v>
      </c>
      <c r="F861" t="s">
        <v>1227</v>
      </c>
      <c r="G861" t="s">
        <v>1219</v>
      </c>
      <c r="H861" t="s">
        <v>1210</v>
      </c>
    </row>
    <row r="862" spans="1:8" x14ac:dyDescent="0.45">
      <c r="A862" t="s">
        <v>974</v>
      </c>
      <c r="B862" t="s">
        <v>1225</v>
      </c>
      <c r="C862" t="s">
        <v>1118</v>
      </c>
      <c r="D862" t="s">
        <v>48</v>
      </c>
      <c r="E862">
        <v>1794</v>
      </c>
      <c r="F862" t="s">
        <v>1227</v>
      </c>
      <c r="G862" t="s">
        <v>1219</v>
      </c>
      <c r="H862" t="s">
        <v>1210</v>
      </c>
    </row>
    <row r="863" spans="1:8" x14ac:dyDescent="0.45">
      <c r="A863" t="s">
        <v>975</v>
      </c>
      <c r="B863" t="s">
        <v>1225</v>
      </c>
      <c r="C863" t="s">
        <v>1128</v>
      </c>
      <c r="D863" t="s">
        <v>1131</v>
      </c>
      <c r="E863">
        <v>1677</v>
      </c>
      <c r="F863" t="s">
        <v>1236</v>
      </c>
      <c r="G863" t="s">
        <v>1219</v>
      </c>
      <c r="H863" t="s">
        <v>1210</v>
      </c>
    </row>
    <row r="864" spans="1:8" x14ac:dyDescent="0.45">
      <c r="A864" t="s">
        <v>976</v>
      </c>
      <c r="B864" t="s">
        <v>1217</v>
      </c>
      <c r="C864" t="s">
        <v>1114</v>
      </c>
      <c r="D864" t="s">
        <v>55</v>
      </c>
      <c r="E864">
        <v>1788</v>
      </c>
      <c r="F864" t="s">
        <v>1224</v>
      </c>
      <c r="G864" t="s">
        <v>1219</v>
      </c>
      <c r="H864" t="s">
        <v>1210</v>
      </c>
    </row>
    <row r="865" spans="1:8" x14ac:dyDescent="0.45">
      <c r="A865" t="s">
        <v>977</v>
      </c>
      <c r="B865" t="s">
        <v>1223</v>
      </c>
      <c r="C865" t="s">
        <v>1117</v>
      </c>
      <c r="D865" t="s">
        <v>48</v>
      </c>
      <c r="E865">
        <v>1932</v>
      </c>
      <c r="F865" t="s">
        <v>1220</v>
      </c>
      <c r="G865" t="s">
        <v>1219</v>
      </c>
      <c r="H865" t="s">
        <v>1210</v>
      </c>
    </row>
    <row r="866" spans="1:8" x14ac:dyDescent="0.45">
      <c r="A866" t="s">
        <v>978</v>
      </c>
      <c r="B866" t="s">
        <v>1225</v>
      </c>
      <c r="C866" t="s">
        <v>1123</v>
      </c>
      <c r="D866" t="s">
        <v>44</v>
      </c>
      <c r="E866">
        <v>1076</v>
      </c>
      <c r="F866" t="s">
        <v>1224</v>
      </c>
      <c r="G866" t="s">
        <v>1221</v>
      </c>
      <c r="H866" t="s">
        <v>1210</v>
      </c>
    </row>
    <row r="867" spans="1:8" x14ac:dyDescent="0.45">
      <c r="A867" t="s">
        <v>979</v>
      </c>
      <c r="B867" t="s">
        <v>1217</v>
      </c>
      <c r="C867" t="s">
        <v>1116</v>
      </c>
      <c r="D867" t="s">
        <v>59</v>
      </c>
      <c r="E867">
        <v>1283</v>
      </c>
      <c r="F867" t="s">
        <v>1218</v>
      </c>
      <c r="G867" t="s">
        <v>1219</v>
      </c>
      <c r="H867" t="s">
        <v>1210</v>
      </c>
    </row>
    <row r="868" spans="1:8" x14ac:dyDescent="0.45">
      <c r="A868" t="s">
        <v>980</v>
      </c>
      <c r="B868" t="s">
        <v>1223</v>
      </c>
      <c r="C868" t="s">
        <v>1127</v>
      </c>
      <c r="D868" t="s">
        <v>91</v>
      </c>
      <c r="E868">
        <v>1644</v>
      </c>
      <c r="F868" t="s">
        <v>1224</v>
      </c>
      <c r="G868" t="s">
        <v>1219</v>
      </c>
      <c r="H868" t="s">
        <v>1210</v>
      </c>
    </row>
    <row r="869" spans="1:8" x14ac:dyDescent="0.45">
      <c r="A869" t="s">
        <v>981</v>
      </c>
      <c r="B869" t="s">
        <v>1217</v>
      </c>
      <c r="C869" t="s">
        <v>1115</v>
      </c>
      <c r="D869" t="s">
        <v>25</v>
      </c>
      <c r="E869">
        <v>2164</v>
      </c>
      <c r="F869" t="s">
        <v>1224</v>
      </c>
      <c r="G869" t="s">
        <v>1219</v>
      </c>
      <c r="H869" t="s">
        <v>1210</v>
      </c>
    </row>
    <row r="870" spans="1:8" x14ac:dyDescent="0.45">
      <c r="A870" t="s">
        <v>982</v>
      </c>
      <c r="B870" t="s">
        <v>1225</v>
      </c>
      <c r="C870" t="s">
        <v>1123</v>
      </c>
      <c r="D870" t="s">
        <v>63</v>
      </c>
      <c r="E870">
        <v>1171</v>
      </c>
      <c r="F870" t="s">
        <v>1224</v>
      </c>
      <c r="G870" t="s">
        <v>1219</v>
      </c>
      <c r="H870" t="s">
        <v>1210</v>
      </c>
    </row>
    <row r="871" spans="1:8" x14ac:dyDescent="0.45">
      <c r="A871" t="s">
        <v>983</v>
      </c>
      <c r="B871" t="s">
        <v>1225</v>
      </c>
      <c r="C871" t="s">
        <v>1125</v>
      </c>
      <c r="D871" t="s">
        <v>28</v>
      </c>
      <c r="E871">
        <v>1065</v>
      </c>
      <c r="F871" t="s">
        <v>1218</v>
      </c>
      <c r="G871" t="s">
        <v>1219</v>
      </c>
      <c r="H871" t="s">
        <v>1210</v>
      </c>
    </row>
    <row r="872" spans="1:8" x14ac:dyDescent="0.45">
      <c r="A872" t="s">
        <v>984</v>
      </c>
      <c r="B872" t="s">
        <v>1217</v>
      </c>
      <c r="C872" t="s">
        <v>1120</v>
      </c>
      <c r="D872" t="s">
        <v>32</v>
      </c>
      <c r="E872">
        <v>892</v>
      </c>
      <c r="F872" t="s">
        <v>1232</v>
      </c>
      <c r="G872" t="s">
        <v>1219</v>
      </c>
      <c r="H872" t="s">
        <v>1210</v>
      </c>
    </row>
    <row r="873" spans="1:8" x14ac:dyDescent="0.45">
      <c r="A873" t="s">
        <v>985</v>
      </c>
      <c r="B873" t="s">
        <v>1223</v>
      </c>
      <c r="C873" t="s">
        <v>1117</v>
      </c>
      <c r="D873" t="s">
        <v>50</v>
      </c>
      <c r="E873">
        <v>2431</v>
      </c>
      <c r="F873" t="s">
        <v>1232</v>
      </c>
      <c r="G873" t="s">
        <v>1219</v>
      </c>
      <c r="H873" t="s">
        <v>1210</v>
      </c>
    </row>
    <row r="874" spans="1:8" x14ac:dyDescent="0.45">
      <c r="A874" t="s">
        <v>986</v>
      </c>
      <c r="B874" t="s">
        <v>1217</v>
      </c>
      <c r="C874" t="s">
        <v>1115</v>
      </c>
      <c r="D874" t="s">
        <v>37</v>
      </c>
      <c r="E874">
        <v>2295</v>
      </c>
      <c r="F874" t="s">
        <v>1224</v>
      </c>
      <c r="G874" t="s">
        <v>1219</v>
      </c>
      <c r="H874" t="s">
        <v>1210</v>
      </c>
    </row>
    <row r="875" spans="1:8" x14ac:dyDescent="0.45">
      <c r="A875" t="s">
        <v>987</v>
      </c>
      <c r="B875" t="s">
        <v>1225</v>
      </c>
      <c r="C875" t="s">
        <v>1118</v>
      </c>
      <c r="D875" t="s">
        <v>75</v>
      </c>
      <c r="E875">
        <v>849</v>
      </c>
      <c r="F875" t="s">
        <v>1224</v>
      </c>
      <c r="G875" t="s">
        <v>1219</v>
      </c>
      <c r="H875" t="s">
        <v>1210</v>
      </c>
    </row>
    <row r="876" spans="1:8" x14ac:dyDescent="0.45">
      <c r="A876" t="s">
        <v>988</v>
      </c>
      <c r="B876" t="s">
        <v>1225</v>
      </c>
      <c r="C876" t="s">
        <v>1125</v>
      </c>
      <c r="D876" t="s">
        <v>76</v>
      </c>
      <c r="E876">
        <v>790</v>
      </c>
      <c r="F876" t="s">
        <v>1220</v>
      </c>
      <c r="G876" t="s">
        <v>1219</v>
      </c>
      <c r="H876" t="s">
        <v>1210</v>
      </c>
    </row>
    <row r="877" spans="1:8" x14ac:dyDescent="0.45">
      <c r="A877" t="s">
        <v>989</v>
      </c>
      <c r="B877" t="s">
        <v>1225</v>
      </c>
      <c r="C877" t="s">
        <v>1123</v>
      </c>
      <c r="D877" t="s">
        <v>7</v>
      </c>
      <c r="E877">
        <v>1176</v>
      </c>
      <c r="F877" t="s">
        <v>1224</v>
      </c>
      <c r="G877" t="s">
        <v>1219</v>
      </c>
      <c r="H877" t="s">
        <v>1210</v>
      </c>
    </row>
    <row r="878" spans="1:8" x14ac:dyDescent="0.45">
      <c r="A878" t="s">
        <v>990</v>
      </c>
      <c r="B878" t="s">
        <v>1225</v>
      </c>
      <c r="C878" t="s">
        <v>1128</v>
      </c>
      <c r="D878" t="s">
        <v>55</v>
      </c>
      <c r="E878">
        <v>1130</v>
      </c>
      <c r="F878" t="s">
        <v>1220</v>
      </c>
      <c r="G878" t="s">
        <v>1219</v>
      </c>
      <c r="H878" t="s">
        <v>1210</v>
      </c>
    </row>
    <row r="879" spans="1:8" x14ac:dyDescent="0.45">
      <c r="A879" t="s">
        <v>991</v>
      </c>
      <c r="B879" t="s">
        <v>1225</v>
      </c>
      <c r="C879" t="s">
        <v>1125</v>
      </c>
      <c r="D879" t="s">
        <v>25</v>
      </c>
      <c r="E879">
        <v>2204</v>
      </c>
      <c r="F879" t="s">
        <v>1224</v>
      </c>
      <c r="G879" t="s">
        <v>1219</v>
      </c>
      <c r="H879" t="s">
        <v>1210</v>
      </c>
    </row>
    <row r="880" spans="1:8" x14ac:dyDescent="0.45">
      <c r="A880" t="s">
        <v>992</v>
      </c>
      <c r="B880" t="s">
        <v>1225</v>
      </c>
      <c r="C880" t="s">
        <v>1123</v>
      </c>
      <c r="D880" t="s">
        <v>64</v>
      </c>
      <c r="E880">
        <v>2171</v>
      </c>
      <c r="F880" t="s">
        <v>1224</v>
      </c>
      <c r="G880" t="s">
        <v>1219</v>
      </c>
      <c r="H880" t="s">
        <v>1210</v>
      </c>
    </row>
    <row r="881" spans="1:8" x14ac:dyDescent="0.45">
      <c r="A881" t="s">
        <v>993</v>
      </c>
      <c r="B881" t="s">
        <v>1225</v>
      </c>
      <c r="C881" t="s">
        <v>1128</v>
      </c>
      <c r="D881" t="s">
        <v>107</v>
      </c>
      <c r="E881">
        <v>2302</v>
      </c>
      <c r="F881" t="s">
        <v>1224</v>
      </c>
      <c r="G881" t="s">
        <v>1219</v>
      </c>
      <c r="H881" t="s">
        <v>1210</v>
      </c>
    </row>
    <row r="882" spans="1:8" x14ac:dyDescent="0.45">
      <c r="A882" t="s">
        <v>994</v>
      </c>
      <c r="B882" t="s">
        <v>1223</v>
      </c>
      <c r="C882" t="s">
        <v>1121</v>
      </c>
      <c r="D882" t="s">
        <v>76</v>
      </c>
      <c r="E882">
        <v>1064</v>
      </c>
      <c r="F882" t="s">
        <v>1227</v>
      </c>
      <c r="G882" t="s">
        <v>1219</v>
      </c>
      <c r="H882" t="s">
        <v>1210</v>
      </c>
    </row>
    <row r="883" spans="1:8" x14ac:dyDescent="0.45">
      <c r="A883" t="s">
        <v>995</v>
      </c>
      <c r="B883" t="s">
        <v>1223</v>
      </c>
      <c r="C883" t="s">
        <v>1127</v>
      </c>
      <c r="D883" t="s">
        <v>1130</v>
      </c>
      <c r="E883">
        <v>1140</v>
      </c>
      <c r="F883" t="s">
        <v>1227</v>
      </c>
      <c r="G883" t="s">
        <v>1219</v>
      </c>
      <c r="H883" t="s">
        <v>1210</v>
      </c>
    </row>
    <row r="884" spans="1:8" x14ac:dyDescent="0.45">
      <c r="A884" t="s">
        <v>996</v>
      </c>
      <c r="B884" t="s">
        <v>1223</v>
      </c>
      <c r="C884" t="s">
        <v>1127</v>
      </c>
      <c r="D884" t="s">
        <v>52</v>
      </c>
      <c r="E884">
        <v>553</v>
      </c>
      <c r="F884" t="s">
        <v>1227</v>
      </c>
      <c r="G884" t="s">
        <v>1219</v>
      </c>
      <c r="H884" t="s">
        <v>1210</v>
      </c>
    </row>
    <row r="885" spans="1:8" x14ac:dyDescent="0.45">
      <c r="A885" t="s">
        <v>997</v>
      </c>
      <c r="B885" t="s">
        <v>1223</v>
      </c>
      <c r="C885" t="s">
        <v>1127</v>
      </c>
      <c r="D885" t="s">
        <v>100</v>
      </c>
      <c r="E885">
        <v>2279</v>
      </c>
      <c r="F885" t="s">
        <v>1224</v>
      </c>
      <c r="G885" t="s">
        <v>1219</v>
      </c>
      <c r="H885" t="s">
        <v>1210</v>
      </c>
    </row>
    <row r="886" spans="1:8" x14ac:dyDescent="0.45">
      <c r="A886" t="s">
        <v>998</v>
      </c>
      <c r="B886" t="s">
        <v>1217</v>
      </c>
      <c r="C886" t="s">
        <v>1116</v>
      </c>
      <c r="D886" t="s">
        <v>84</v>
      </c>
      <c r="E886">
        <v>2122</v>
      </c>
      <c r="F886" t="s">
        <v>1218</v>
      </c>
      <c r="G886" t="s">
        <v>1219</v>
      </c>
      <c r="H886" t="s">
        <v>1210</v>
      </c>
    </row>
    <row r="887" spans="1:8" x14ac:dyDescent="0.45">
      <c r="A887" t="s">
        <v>999</v>
      </c>
      <c r="B887" t="s">
        <v>1223</v>
      </c>
      <c r="C887" t="s">
        <v>1127</v>
      </c>
      <c r="D887" t="s">
        <v>91</v>
      </c>
      <c r="E887">
        <v>1401</v>
      </c>
      <c r="F887" t="s">
        <v>1224</v>
      </c>
      <c r="G887" t="s">
        <v>1219</v>
      </c>
      <c r="H887" t="s">
        <v>1210</v>
      </c>
    </row>
    <row r="888" spans="1:8" x14ac:dyDescent="0.45">
      <c r="A888" t="s">
        <v>1000</v>
      </c>
      <c r="B888" t="s">
        <v>1217</v>
      </c>
      <c r="C888" t="s">
        <v>1120</v>
      </c>
      <c r="D888" t="s">
        <v>1137</v>
      </c>
      <c r="E888">
        <v>1861</v>
      </c>
      <c r="F888" t="s">
        <v>1220</v>
      </c>
      <c r="G888" t="s">
        <v>1219</v>
      </c>
      <c r="H888" t="s">
        <v>1210</v>
      </c>
    </row>
    <row r="889" spans="1:8" x14ac:dyDescent="0.45">
      <c r="A889" t="s">
        <v>1001</v>
      </c>
      <c r="B889" t="s">
        <v>1223</v>
      </c>
      <c r="C889" t="s">
        <v>1121</v>
      </c>
      <c r="D889" t="s">
        <v>59</v>
      </c>
      <c r="E889">
        <v>1466</v>
      </c>
      <c r="F889" t="s">
        <v>1220</v>
      </c>
      <c r="G889" t="s">
        <v>1219</v>
      </c>
      <c r="H889" t="s">
        <v>1210</v>
      </c>
    </row>
    <row r="890" spans="1:8" x14ac:dyDescent="0.45">
      <c r="A890" t="s">
        <v>1002</v>
      </c>
      <c r="B890" t="s">
        <v>1225</v>
      </c>
      <c r="C890" t="s">
        <v>1128</v>
      </c>
      <c r="D890" t="s">
        <v>1130</v>
      </c>
      <c r="E890">
        <v>1593</v>
      </c>
      <c r="F890" t="s">
        <v>1220</v>
      </c>
      <c r="G890" t="s">
        <v>1219</v>
      </c>
      <c r="H890" t="s">
        <v>1210</v>
      </c>
    </row>
    <row r="891" spans="1:8" x14ac:dyDescent="0.45">
      <c r="A891" t="s">
        <v>1003</v>
      </c>
      <c r="B891" t="s">
        <v>1217</v>
      </c>
      <c r="C891" t="s">
        <v>1116</v>
      </c>
      <c r="D891" t="s">
        <v>1138</v>
      </c>
      <c r="E891">
        <v>1397</v>
      </c>
      <c r="F891" t="s">
        <v>1224</v>
      </c>
      <c r="G891" t="s">
        <v>1219</v>
      </c>
      <c r="H891" t="s">
        <v>1210</v>
      </c>
    </row>
    <row r="892" spans="1:8" x14ac:dyDescent="0.45">
      <c r="A892" t="s">
        <v>1004</v>
      </c>
      <c r="B892" t="s">
        <v>1223</v>
      </c>
      <c r="C892" t="s">
        <v>1122</v>
      </c>
      <c r="D892" t="s">
        <v>20</v>
      </c>
      <c r="E892">
        <v>1207</v>
      </c>
      <c r="F892" t="s">
        <v>1224</v>
      </c>
      <c r="G892" t="s">
        <v>1219</v>
      </c>
      <c r="H892" t="s">
        <v>1210</v>
      </c>
    </row>
    <row r="893" spans="1:8" x14ac:dyDescent="0.45">
      <c r="A893" t="s">
        <v>1005</v>
      </c>
      <c r="B893" t="s">
        <v>1217</v>
      </c>
      <c r="C893" t="s">
        <v>1115</v>
      </c>
      <c r="D893" t="s">
        <v>83</v>
      </c>
      <c r="E893">
        <v>1756</v>
      </c>
      <c r="F893" t="s">
        <v>1220</v>
      </c>
      <c r="G893" t="s">
        <v>1219</v>
      </c>
      <c r="H893" t="s">
        <v>1210</v>
      </c>
    </row>
    <row r="894" spans="1:8" x14ac:dyDescent="0.45">
      <c r="A894" t="s">
        <v>1006</v>
      </c>
      <c r="B894" t="s">
        <v>1223</v>
      </c>
      <c r="C894" t="s">
        <v>1127</v>
      </c>
      <c r="D894" t="s">
        <v>57</v>
      </c>
      <c r="E894">
        <v>1391</v>
      </c>
      <c r="F894" t="s">
        <v>1227</v>
      </c>
      <c r="G894" t="s">
        <v>1219</v>
      </c>
      <c r="H894" t="s">
        <v>1210</v>
      </c>
    </row>
    <row r="895" spans="1:8" x14ac:dyDescent="0.45">
      <c r="A895" t="s">
        <v>1007</v>
      </c>
      <c r="B895" t="s">
        <v>1223</v>
      </c>
      <c r="C895" t="s">
        <v>1124</v>
      </c>
      <c r="D895" t="s">
        <v>92</v>
      </c>
      <c r="E895">
        <v>1985</v>
      </c>
      <c r="F895" t="s">
        <v>1231</v>
      </c>
      <c r="G895" t="s">
        <v>1219</v>
      </c>
      <c r="H895" t="s">
        <v>1210</v>
      </c>
    </row>
    <row r="896" spans="1:8" x14ac:dyDescent="0.45">
      <c r="A896" t="s">
        <v>1008</v>
      </c>
      <c r="B896" t="s">
        <v>1217</v>
      </c>
      <c r="C896" t="s">
        <v>1115</v>
      </c>
      <c r="D896" t="s">
        <v>107</v>
      </c>
      <c r="E896">
        <v>2521</v>
      </c>
      <c r="F896" t="s">
        <v>1220</v>
      </c>
      <c r="G896" t="s">
        <v>1219</v>
      </c>
      <c r="H896" t="s">
        <v>1210</v>
      </c>
    </row>
    <row r="897" spans="1:8" x14ac:dyDescent="0.45">
      <c r="A897" t="s">
        <v>1009</v>
      </c>
      <c r="B897" t="s">
        <v>1225</v>
      </c>
      <c r="C897" t="s">
        <v>1128</v>
      </c>
      <c r="D897" t="s">
        <v>19</v>
      </c>
      <c r="E897">
        <v>1206</v>
      </c>
      <c r="F897" t="s">
        <v>1220</v>
      </c>
      <c r="G897" t="s">
        <v>1219</v>
      </c>
      <c r="H897" t="s">
        <v>1210</v>
      </c>
    </row>
    <row r="898" spans="1:8" x14ac:dyDescent="0.45">
      <c r="A898" t="s">
        <v>1010</v>
      </c>
      <c r="B898" t="s">
        <v>1223</v>
      </c>
      <c r="C898" t="s">
        <v>1121</v>
      </c>
      <c r="D898" t="s">
        <v>1140</v>
      </c>
      <c r="E898">
        <v>1822</v>
      </c>
      <c r="F898" t="s">
        <v>1220</v>
      </c>
      <c r="G898" t="s">
        <v>1219</v>
      </c>
      <c r="H898" t="s">
        <v>1210</v>
      </c>
    </row>
    <row r="899" spans="1:8" x14ac:dyDescent="0.45">
      <c r="A899" t="s">
        <v>1011</v>
      </c>
      <c r="B899" t="s">
        <v>1217</v>
      </c>
      <c r="C899" t="s">
        <v>1120</v>
      </c>
      <c r="D899" t="s">
        <v>40</v>
      </c>
      <c r="E899">
        <v>1410</v>
      </c>
      <c r="F899" t="s">
        <v>1220</v>
      </c>
      <c r="G899" t="s">
        <v>1219</v>
      </c>
      <c r="H899" t="s">
        <v>1210</v>
      </c>
    </row>
    <row r="900" spans="1:8" x14ac:dyDescent="0.45">
      <c r="A900" t="s">
        <v>1012</v>
      </c>
      <c r="B900" t="s">
        <v>1225</v>
      </c>
      <c r="C900" t="s">
        <v>1119</v>
      </c>
      <c r="D900" t="s">
        <v>10</v>
      </c>
      <c r="E900">
        <v>1396</v>
      </c>
      <c r="F900" t="s">
        <v>1224</v>
      </c>
      <c r="G900" t="s">
        <v>1219</v>
      </c>
      <c r="H900" t="s">
        <v>1210</v>
      </c>
    </row>
    <row r="901" spans="1:8" x14ac:dyDescent="0.45">
      <c r="A901" t="s">
        <v>1013</v>
      </c>
      <c r="B901" t="s">
        <v>1225</v>
      </c>
      <c r="C901" t="s">
        <v>1123</v>
      </c>
      <c r="D901" t="s">
        <v>27</v>
      </c>
      <c r="E901">
        <v>780</v>
      </c>
      <c r="F901" t="s">
        <v>1224</v>
      </c>
      <c r="G901" t="s">
        <v>1219</v>
      </c>
      <c r="H901" t="s">
        <v>1210</v>
      </c>
    </row>
    <row r="902" spans="1:8" x14ac:dyDescent="0.45">
      <c r="A902" t="s">
        <v>1014</v>
      </c>
      <c r="B902" t="s">
        <v>1225</v>
      </c>
      <c r="C902" t="s">
        <v>1119</v>
      </c>
      <c r="D902" t="s">
        <v>89</v>
      </c>
      <c r="E902">
        <v>465</v>
      </c>
      <c r="F902" t="s">
        <v>1220</v>
      </c>
      <c r="G902" t="s">
        <v>1219</v>
      </c>
      <c r="H902" t="s">
        <v>1210</v>
      </c>
    </row>
    <row r="903" spans="1:8" x14ac:dyDescent="0.45">
      <c r="A903" t="s">
        <v>1015</v>
      </c>
      <c r="B903" t="s">
        <v>1217</v>
      </c>
      <c r="C903" t="s">
        <v>1115</v>
      </c>
      <c r="D903" t="s">
        <v>100</v>
      </c>
      <c r="E903">
        <v>2223</v>
      </c>
      <c r="F903" t="s">
        <v>1220</v>
      </c>
      <c r="G903" t="s">
        <v>1219</v>
      </c>
      <c r="H903" t="s">
        <v>1210</v>
      </c>
    </row>
    <row r="904" spans="1:8" x14ac:dyDescent="0.45">
      <c r="A904" t="s">
        <v>1016</v>
      </c>
      <c r="B904" t="s">
        <v>1223</v>
      </c>
      <c r="C904" t="s">
        <v>1124</v>
      </c>
      <c r="D904" t="s">
        <v>93</v>
      </c>
      <c r="E904">
        <v>509</v>
      </c>
      <c r="F904" t="s">
        <v>1224</v>
      </c>
      <c r="G904" t="s">
        <v>1219</v>
      </c>
      <c r="H904" t="s">
        <v>1210</v>
      </c>
    </row>
    <row r="905" spans="1:8" x14ac:dyDescent="0.45">
      <c r="A905" t="s">
        <v>1017</v>
      </c>
      <c r="B905" t="s">
        <v>1225</v>
      </c>
      <c r="C905" t="s">
        <v>1125</v>
      </c>
      <c r="D905" t="s">
        <v>80</v>
      </c>
      <c r="E905">
        <v>2461</v>
      </c>
      <c r="F905" t="s">
        <v>1227</v>
      </c>
      <c r="G905" t="s">
        <v>1219</v>
      </c>
      <c r="H905" t="s">
        <v>1210</v>
      </c>
    </row>
    <row r="906" spans="1:8" x14ac:dyDescent="0.45">
      <c r="A906" t="s">
        <v>1018</v>
      </c>
      <c r="B906" t="s">
        <v>1223</v>
      </c>
      <c r="C906" t="s">
        <v>1124</v>
      </c>
      <c r="D906" t="s">
        <v>77</v>
      </c>
      <c r="E906">
        <v>1167</v>
      </c>
      <c r="F906" t="s">
        <v>1224</v>
      </c>
      <c r="G906" t="s">
        <v>1219</v>
      </c>
      <c r="H906" t="s">
        <v>1210</v>
      </c>
    </row>
    <row r="907" spans="1:8" x14ac:dyDescent="0.45">
      <c r="A907" t="s">
        <v>1019</v>
      </c>
      <c r="B907" t="s">
        <v>1217</v>
      </c>
      <c r="C907" t="s">
        <v>1116</v>
      </c>
      <c r="D907" t="s">
        <v>8</v>
      </c>
      <c r="E907">
        <v>1390</v>
      </c>
      <c r="F907" t="s">
        <v>1220</v>
      </c>
      <c r="G907" t="s">
        <v>1219</v>
      </c>
      <c r="H907" t="s">
        <v>1210</v>
      </c>
    </row>
    <row r="908" spans="1:8" x14ac:dyDescent="0.45">
      <c r="A908" t="s">
        <v>1020</v>
      </c>
      <c r="B908" t="s">
        <v>1217</v>
      </c>
      <c r="C908" t="s">
        <v>1114</v>
      </c>
      <c r="D908" t="s">
        <v>103</v>
      </c>
      <c r="E908">
        <v>737</v>
      </c>
      <c r="F908" t="s">
        <v>1227</v>
      </c>
      <c r="G908" t="s">
        <v>1219</v>
      </c>
      <c r="H908" t="s">
        <v>1210</v>
      </c>
    </row>
    <row r="909" spans="1:8" x14ac:dyDescent="0.45">
      <c r="A909" t="s">
        <v>1021</v>
      </c>
      <c r="B909" t="s">
        <v>1225</v>
      </c>
      <c r="C909" t="s">
        <v>1125</v>
      </c>
      <c r="D909" t="s">
        <v>25</v>
      </c>
      <c r="E909">
        <v>2181</v>
      </c>
      <c r="F909" t="s">
        <v>1220</v>
      </c>
      <c r="G909" t="s">
        <v>1219</v>
      </c>
      <c r="H909" t="s">
        <v>1210</v>
      </c>
    </row>
    <row r="910" spans="1:8" x14ac:dyDescent="0.45">
      <c r="A910" t="s">
        <v>1022</v>
      </c>
      <c r="B910" t="s">
        <v>1225</v>
      </c>
      <c r="C910" t="s">
        <v>1125</v>
      </c>
      <c r="D910" t="s">
        <v>28</v>
      </c>
      <c r="E910">
        <v>1563</v>
      </c>
      <c r="F910" t="s">
        <v>1224</v>
      </c>
      <c r="G910" t="s">
        <v>1219</v>
      </c>
      <c r="H910" t="s">
        <v>1210</v>
      </c>
    </row>
    <row r="911" spans="1:8" x14ac:dyDescent="0.45">
      <c r="A911" t="s">
        <v>1023</v>
      </c>
      <c r="B911" t="s">
        <v>1223</v>
      </c>
      <c r="C911" t="s">
        <v>1117</v>
      </c>
      <c r="D911" t="s">
        <v>31</v>
      </c>
      <c r="E911">
        <v>1407</v>
      </c>
      <c r="F911" t="s">
        <v>1224</v>
      </c>
      <c r="G911" t="s">
        <v>1219</v>
      </c>
      <c r="H911" t="s">
        <v>1210</v>
      </c>
    </row>
    <row r="912" spans="1:8" x14ac:dyDescent="0.45">
      <c r="A912" t="s">
        <v>1024</v>
      </c>
      <c r="B912" t="s">
        <v>1223</v>
      </c>
      <c r="C912" t="s">
        <v>1124</v>
      </c>
      <c r="D912" t="s">
        <v>101</v>
      </c>
      <c r="E912">
        <v>1710</v>
      </c>
      <c r="F912" t="s">
        <v>1224</v>
      </c>
      <c r="G912" t="s">
        <v>1219</v>
      </c>
      <c r="H912" t="s">
        <v>1210</v>
      </c>
    </row>
    <row r="913" spans="1:8" x14ac:dyDescent="0.45">
      <c r="A913" t="s">
        <v>1025</v>
      </c>
      <c r="B913" t="s">
        <v>1223</v>
      </c>
      <c r="C913" t="s">
        <v>1117</v>
      </c>
      <c r="D913" t="s">
        <v>35</v>
      </c>
      <c r="E913">
        <v>1189</v>
      </c>
      <c r="F913" t="s">
        <v>1224</v>
      </c>
      <c r="G913" t="s">
        <v>1219</v>
      </c>
      <c r="H913" t="s">
        <v>1210</v>
      </c>
    </row>
    <row r="914" spans="1:8" x14ac:dyDescent="0.45">
      <c r="A914" t="s">
        <v>1026</v>
      </c>
      <c r="B914" t="s">
        <v>1223</v>
      </c>
      <c r="C914" t="s">
        <v>1117</v>
      </c>
      <c r="D914" t="s">
        <v>75</v>
      </c>
      <c r="E914">
        <v>1983</v>
      </c>
      <c r="F914" t="s">
        <v>1224</v>
      </c>
      <c r="G914" t="s">
        <v>1219</v>
      </c>
      <c r="H914" t="s">
        <v>1210</v>
      </c>
    </row>
    <row r="915" spans="1:8" x14ac:dyDescent="0.45">
      <c r="A915" t="s">
        <v>1027</v>
      </c>
      <c r="B915" t="s">
        <v>1223</v>
      </c>
      <c r="C915" t="s">
        <v>1121</v>
      </c>
      <c r="D915" t="s">
        <v>105</v>
      </c>
      <c r="E915">
        <v>1161</v>
      </c>
      <c r="F915" t="s">
        <v>1224</v>
      </c>
      <c r="G915" t="s">
        <v>1219</v>
      </c>
      <c r="H915" t="s">
        <v>1210</v>
      </c>
    </row>
    <row r="916" spans="1:8" x14ac:dyDescent="0.45">
      <c r="A916" t="s">
        <v>1028</v>
      </c>
      <c r="B916" t="s">
        <v>1217</v>
      </c>
      <c r="C916" t="s">
        <v>1114</v>
      </c>
      <c r="D916" t="s">
        <v>1135</v>
      </c>
      <c r="E916">
        <v>448</v>
      </c>
      <c r="F916" t="s">
        <v>1220</v>
      </c>
      <c r="G916" t="s">
        <v>1219</v>
      </c>
      <c r="H916" t="s">
        <v>1210</v>
      </c>
    </row>
    <row r="917" spans="1:8" x14ac:dyDescent="0.45">
      <c r="A917" t="s">
        <v>1029</v>
      </c>
      <c r="B917" t="s">
        <v>1217</v>
      </c>
      <c r="C917" t="s">
        <v>1120</v>
      </c>
      <c r="D917" t="s">
        <v>53</v>
      </c>
      <c r="E917">
        <v>2020</v>
      </c>
      <c r="F917" t="s">
        <v>1224</v>
      </c>
      <c r="G917" t="s">
        <v>1219</v>
      </c>
      <c r="H917" t="s">
        <v>1210</v>
      </c>
    </row>
    <row r="918" spans="1:8" x14ac:dyDescent="0.45">
      <c r="A918" t="s">
        <v>1030</v>
      </c>
      <c r="B918" t="s">
        <v>1225</v>
      </c>
      <c r="C918" t="s">
        <v>1123</v>
      </c>
      <c r="D918" t="s">
        <v>60</v>
      </c>
      <c r="E918">
        <v>2282</v>
      </c>
      <c r="F918" t="s">
        <v>1224</v>
      </c>
      <c r="G918" t="s">
        <v>1219</v>
      </c>
      <c r="H918" t="s">
        <v>1210</v>
      </c>
    </row>
    <row r="919" spans="1:8" x14ac:dyDescent="0.45">
      <c r="A919" t="s">
        <v>1031</v>
      </c>
      <c r="B919" t="s">
        <v>1223</v>
      </c>
      <c r="C919" t="s">
        <v>1122</v>
      </c>
      <c r="D919" t="s">
        <v>1151</v>
      </c>
      <c r="E919">
        <v>3077</v>
      </c>
      <c r="F919" t="s">
        <v>1224</v>
      </c>
      <c r="G919" t="s">
        <v>1219</v>
      </c>
      <c r="H919" t="s">
        <v>1210</v>
      </c>
    </row>
    <row r="920" spans="1:8" x14ac:dyDescent="0.45">
      <c r="A920" t="s">
        <v>1032</v>
      </c>
      <c r="B920" t="s">
        <v>1217</v>
      </c>
      <c r="C920" t="s">
        <v>1115</v>
      </c>
      <c r="D920" t="s">
        <v>28</v>
      </c>
      <c r="E920">
        <v>1579</v>
      </c>
      <c r="F920" t="s">
        <v>1224</v>
      </c>
      <c r="G920" t="s">
        <v>1219</v>
      </c>
      <c r="H920" t="s">
        <v>1210</v>
      </c>
    </row>
    <row r="921" spans="1:8" x14ac:dyDescent="0.45">
      <c r="A921" t="s">
        <v>1033</v>
      </c>
      <c r="B921" t="s">
        <v>1223</v>
      </c>
      <c r="C921" t="s">
        <v>1127</v>
      </c>
      <c r="D921" t="s">
        <v>39</v>
      </c>
      <c r="E921">
        <v>971</v>
      </c>
      <c r="F921" t="s">
        <v>1227</v>
      </c>
      <c r="G921" t="s">
        <v>1219</v>
      </c>
      <c r="H921" t="s">
        <v>1210</v>
      </c>
    </row>
    <row r="922" spans="1:8" x14ac:dyDescent="0.45">
      <c r="A922" t="s">
        <v>1034</v>
      </c>
      <c r="B922" t="s">
        <v>1223</v>
      </c>
      <c r="C922" t="s">
        <v>1127</v>
      </c>
      <c r="D922" t="s">
        <v>87</v>
      </c>
      <c r="E922">
        <v>1174</v>
      </c>
      <c r="F922" t="s">
        <v>1227</v>
      </c>
      <c r="G922" t="s">
        <v>1219</v>
      </c>
      <c r="H922" t="s">
        <v>1210</v>
      </c>
    </row>
    <row r="923" spans="1:8" x14ac:dyDescent="0.45">
      <c r="A923" t="s">
        <v>1035</v>
      </c>
      <c r="B923" t="s">
        <v>1217</v>
      </c>
      <c r="C923" t="s">
        <v>1116</v>
      </c>
      <c r="D923" t="s">
        <v>13</v>
      </c>
      <c r="E923">
        <v>908</v>
      </c>
      <c r="F923" t="s">
        <v>1220</v>
      </c>
      <c r="G923" t="s">
        <v>1219</v>
      </c>
      <c r="H923" t="s">
        <v>1210</v>
      </c>
    </row>
    <row r="924" spans="1:8" x14ac:dyDescent="0.45">
      <c r="A924" t="s">
        <v>1036</v>
      </c>
      <c r="B924" t="s">
        <v>1217</v>
      </c>
      <c r="C924" t="s">
        <v>1115</v>
      </c>
      <c r="D924" t="s">
        <v>61</v>
      </c>
      <c r="E924">
        <v>1720</v>
      </c>
      <c r="F924" t="s">
        <v>1224</v>
      </c>
      <c r="G924" t="s">
        <v>1219</v>
      </c>
      <c r="H924" t="s">
        <v>1210</v>
      </c>
    </row>
    <row r="925" spans="1:8" x14ac:dyDescent="0.45">
      <c r="A925" t="s">
        <v>1037</v>
      </c>
      <c r="B925" t="s">
        <v>1225</v>
      </c>
      <c r="C925" t="s">
        <v>1123</v>
      </c>
      <c r="D925" t="s">
        <v>68</v>
      </c>
      <c r="E925">
        <v>540</v>
      </c>
      <c r="F925" t="s">
        <v>1224</v>
      </c>
      <c r="G925" t="s">
        <v>1219</v>
      </c>
      <c r="H925" t="s">
        <v>1210</v>
      </c>
    </row>
    <row r="926" spans="1:8" x14ac:dyDescent="0.45">
      <c r="A926" t="s">
        <v>1038</v>
      </c>
      <c r="B926" t="s">
        <v>1217</v>
      </c>
      <c r="C926" t="s">
        <v>1126</v>
      </c>
      <c r="D926" t="s">
        <v>60</v>
      </c>
      <c r="E926">
        <v>2492</v>
      </c>
      <c r="F926" t="s">
        <v>1224</v>
      </c>
      <c r="G926" t="s">
        <v>1219</v>
      </c>
      <c r="H926" t="s">
        <v>1210</v>
      </c>
    </row>
    <row r="927" spans="1:8" x14ac:dyDescent="0.45">
      <c r="A927" t="s">
        <v>1039</v>
      </c>
      <c r="B927" t="s">
        <v>1217</v>
      </c>
      <c r="C927" t="s">
        <v>1116</v>
      </c>
      <c r="D927" t="s">
        <v>1129</v>
      </c>
      <c r="E927">
        <v>2587</v>
      </c>
      <c r="F927" t="s">
        <v>1224</v>
      </c>
      <c r="G927" t="s">
        <v>1219</v>
      </c>
      <c r="H927" t="s">
        <v>1210</v>
      </c>
    </row>
    <row r="928" spans="1:8" x14ac:dyDescent="0.45">
      <c r="A928" t="s">
        <v>1040</v>
      </c>
      <c r="B928" t="s">
        <v>1217</v>
      </c>
      <c r="C928" t="s">
        <v>1114</v>
      </c>
      <c r="D928" t="s">
        <v>51</v>
      </c>
      <c r="E928">
        <v>2260</v>
      </c>
      <c r="F928" t="s">
        <v>1224</v>
      </c>
      <c r="G928" t="s">
        <v>1219</v>
      </c>
      <c r="H928" t="s">
        <v>1210</v>
      </c>
    </row>
    <row r="929" spans="1:8" x14ac:dyDescent="0.45">
      <c r="A929" t="s">
        <v>1041</v>
      </c>
      <c r="B929" t="s">
        <v>1217</v>
      </c>
      <c r="C929" t="s">
        <v>1114</v>
      </c>
      <c r="D929" t="s">
        <v>72</v>
      </c>
      <c r="E929">
        <v>1150</v>
      </c>
      <c r="F929" t="s">
        <v>1224</v>
      </c>
      <c r="G929" t="s">
        <v>1219</v>
      </c>
      <c r="H929" t="s">
        <v>1210</v>
      </c>
    </row>
    <row r="930" spans="1:8" x14ac:dyDescent="0.45">
      <c r="A930" t="s">
        <v>1042</v>
      </c>
      <c r="B930" t="s">
        <v>1223</v>
      </c>
      <c r="C930" t="s">
        <v>1127</v>
      </c>
      <c r="D930" t="s">
        <v>1130</v>
      </c>
      <c r="E930">
        <v>833</v>
      </c>
      <c r="F930" t="s">
        <v>1220</v>
      </c>
      <c r="G930" t="s">
        <v>1219</v>
      </c>
      <c r="H930" t="s">
        <v>1210</v>
      </c>
    </row>
    <row r="931" spans="1:8" x14ac:dyDescent="0.45">
      <c r="A931" t="s">
        <v>1043</v>
      </c>
      <c r="B931" t="s">
        <v>1217</v>
      </c>
      <c r="C931" t="s">
        <v>1126</v>
      </c>
      <c r="D931" t="s">
        <v>1129</v>
      </c>
      <c r="E931">
        <v>2653</v>
      </c>
      <c r="F931" t="s">
        <v>1224</v>
      </c>
      <c r="G931" t="s">
        <v>1219</v>
      </c>
      <c r="H931" t="s">
        <v>1210</v>
      </c>
    </row>
    <row r="932" spans="1:8" x14ac:dyDescent="0.45">
      <c r="A932" t="s">
        <v>1044</v>
      </c>
      <c r="B932" t="s">
        <v>1225</v>
      </c>
      <c r="C932" t="s">
        <v>1118</v>
      </c>
      <c r="D932" t="s">
        <v>77</v>
      </c>
      <c r="E932">
        <v>3094</v>
      </c>
      <c r="F932" t="s">
        <v>1224</v>
      </c>
      <c r="G932" t="s">
        <v>1219</v>
      </c>
      <c r="H932" t="s">
        <v>1210</v>
      </c>
    </row>
    <row r="933" spans="1:8" x14ac:dyDescent="0.45">
      <c r="A933" t="s">
        <v>1045</v>
      </c>
      <c r="B933" t="s">
        <v>1217</v>
      </c>
      <c r="C933" t="s">
        <v>1114</v>
      </c>
      <c r="D933" t="s">
        <v>87</v>
      </c>
      <c r="E933">
        <v>1289</v>
      </c>
      <c r="F933" t="s">
        <v>1227</v>
      </c>
      <c r="G933" t="s">
        <v>1219</v>
      </c>
      <c r="H933" t="s">
        <v>1210</v>
      </c>
    </row>
    <row r="934" spans="1:8" x14ac:dyDescent="0.45">
      <c r="A934" t="s">
        <v>1046</v>
      </c>
      <c r="B934" t="s">
        <v>1217</v>
      </c>
      <c r="C934" t="s">
        <v>1114</v>
      </c>
      <c r="D934" t="s">
        <v>1132</v>
      </c>
      <c r="E934">
        <v>1326</v>
      </c>
      <c r="F934" t="s">
        <v>1220</v>
      </c>
      <c r="G934" t="s">
        <v>1219</v>
      </c>
      <c r="H934" t="s">
        <v>1210</v>
      </c>
    </row>
    <row r="935" spans="1:8" x14ac:dyDescent="0.45">
      <c r="A935" t="s">
        <v>1047</v>
      </c>
      <c r="B935" t="s">
        <v>1217</v>
      </c>
      <c r="C935" t="s">
        <v>1120</v>
      </c>
      <c r="D935" t="s">
        <v>51</v>
      </c>
      <c r="E935">
        <v>1140</v>
      </c>
      <c r="F935" t="s">
        <v>1220</v>
      </c>
      <c r="G935" t="s">
        <v>1219</v>
      </c>
      <c r="H935" t="s">
        <v>1210</v>
      </c>
    </row>
    <row r="936" spans="1:8" x14ac:dyDescent="0.45">
      <c r="A936" t="s">
        <v>1048</v>
      </c>
      <c r="B936" t="s">
        <v>1223</v>
      </c>
      <c r="C936" t="s">
        <v>1124</v>
      </c>
      <c r="D936" t="s">
        <v>70</v>
      </c>
      <c r="E936">
        <v>1485</v>
      </c>
      <c r="F936" t="s">
        <v>1224</v>
      </c>
      <c r="G936" t="s">
        <v>1219</v>
      </c>
      <c r="H936" t="s">
        <v>1210</v>
      </c>
    </row>
    <row r="937" spans="1:8" x14ac:dyDescent="0.45">
      <c r="A937" t="s">
        <v>1049</v>
      </c>
      <c r="B937" t="s">
        <v>1223</v>
      </c>
      <c r="C937" t="s">
        <v>1122</v>
      </c>
      <c r="D937" t="s">
        <v>65</v>
      </c>
      <c r="E937">
        <v>2199</v>
      </c>
      <c r="F937" t="s">
        <v>1224</v>
      </c>
      <c r="G937" t="s">
        <v>1219</v>
      </c>
      <c r="H937" t="s">
        <v>1210</v>
      </c>
    </row>
    <row r="938" spans="1:8" x14ac:dyDescent="0.45">
      <c r="A938" t="s">
        <v>1050</v>
      </c>
      <c r="B938" t="s">
        <v>1217</v>
      </c>
      <c r="C938" t="s">
        <v>1126</v>
      </c>
      <c r="D938" t="s">
        <v>10</v>
      </c>
      <c r="E938">
        <v>1566</v>
      </c>
      <c r="F938" t="s">
        <v>1224</v>
      </c>
      <c r="G938" t="s">
        <v>1219</v>
      </c>
      <c r="H938" t="s">
        <v>1210</v>
      </c>
    </row>
    <row r="939" spans="1:8" x14ac:dyDescent="0.45">
      <c r="A939" t="s">
        <v>1051</v>
      </c>
      <c r="B939" t="s">
        <v>1217</v>
      </c>
      <c r="C939" t="s">
        <v>1115</v>
      </c>
      <c r="D939" t="s">
        <v>89</v>
      </c>
      <c r="E939">
        <v>1609</v>
      </c>
      <c r="F939" t="s">
        <v>1224</v>
      </c>
      <c r="G939" t="s">
        <v>1219</v>
      </c>
      <c r="H939" t="s">
        <v>1210</v>
      </c>
    </row>
    <row r="940" spans="1:8" x14ac:dyDescent="0.45">
      <c r="A940" t="s">
        <v>1052</v>
      </c>
      <c r="B940" t="s">
        <v>1223</v>
      </c>
      <c r="C940" t="s">
        <v>1117</v>
      </c>
      <c r="D940" t="s">
        <v>1130</v>
      </c>
      <c r="E940">
        <v>1827</v>
      </c>
      <c r="F940" t="s">
        <v>1220</v>
      </c>
      <c r="G940" t="s">
        <v>1219</v>
      </c>
      <c r="H940" t="s">
        <v>1210</v>
      </c>
    </row>
    <row r="941" spans="1:8" x14ac:dyDescent="0.45">
      <c r="A941" t="s">
        <v>1053</v>
      </c>
      <c r="B941" t="s">
        <v>1223</v>
      </c>
      <c r="C941" t="s">
        <v>1127</v>
      </c>
      <c r="D941" t="s">
        <v>74</v>
      </c>
      <c r="E941">
        <v>1498</v>
      </c>
      <c r="F941" t="s">
        <v>1224</v>
      </c>
      <c r="G941" t="s">
        <v>1219</v>
      </c>
      <c r="H941" t="s">
        <v>1210</v>
      </c>
    </row>
    <row r="942" spans="1:8" x14ac:dyDescent="0.45">
      <c r="A942" t="s">
        <v>1054</v>
      </c>
      <c r="B942" t="s">
        <v>1225</v>
      </c>
      <c r="C942" t="s">
        <v>1125</v>
      </c>
      <c r="D942" t="s">
        <v>59</v>
      </c>
      <c r="E942">
        <v>636</v>
      </c>
      <c r="F942" t="s">
        <v>1220</v>
      </c>
      <c r="G942" t="s">
        <v>1219</v>
      </c>
      <c r="H942" t="s">
        <v>1210</v>
      </c>
    </row>
    <row r="943" spans="1:8" x14ac:dyDescent="0.45">
      <c r="A943" t="s">
        <v>1055</v>
      </c>
      <c r="B943" t="s">
        <v>1217</v>
      </c>
      <c r="C943" t="s">
        <v>1114</v>
      </c>
      <c r="D943" t="s">
        <v>41</v>
      </c>
      <c r="E943">
        <v>1495</v>
      </c>
      <c r="F943" t="s">
        <v>1227</v>
      </c>
      <c r="G943" t="s">
        <v>1221</v>
      </c>
      <c r="H943" t="s">
        <v>1210</v>
      </c>
    </row>
    <row r="944" spans="1:8" x14ac:dyDescent="0.45">
      <c r="A944" t="s">
        <v>1056</v>
      </c>
      <c r="B944" t="s">
        <v>1225</v>
      </c>
      <c r="C944" t="s">
        <v>1118</v>
      </c>
      <c r="D944" t="s">
        <v>109</v>
      </c>
      <c r="E944">
        <v>1836</v>
      </c>
      <c r="F944" t="s">
        <v>1220</v>
      </c>
      <c r="G944" t="s">
        <v>1219</v>
      </c>
      <c r="H944" t="s">
        <v>1210</v>
      </c>
    </row>
    <row r="945" spans="1:8" x14ac:dyDescent="0.45">
      <c r="A945" t="s">
        <v>1057</v>
      </c>
      <c r="B945" t="s">
        <v>1217</v>
      </c>
      <c r="C945" t="s">
        <v>1126</v>
      </c>
      <c r="D945" t="s">
        <v>107</v>
      </c>
      <c r="E945">
        <v>2533</v>
      </c>
      <c r="F945" t="s">
        <v>1224</v>
      </c>
      <c r="G945" t="s">
        <v>1219</v>
      </c>
      <c r="H945" t="s">
        <v>1210</v>
      </c>
    </row>
    <row r="946" spans="1:8" x14ac:dyDescent="0.45">
      <c r="A946" t="s">
        <v>1058</v>
      </c>
      <c r="B946" t="s">
        <v>1225</v>
      </c>
      <c r="C946" t="s">
        <v>1125</v>
      </c>
      <c r="D946" t="s">
        <v>69</v>
      </c>
      <c r="E946">
        <v>1647</v>
      </c>
      <c r="F946" t="s">
        <v>1224</v>
      </c>
      <c r="G946" t="s">
        <v>1219</v>
      </c>
      <c r="H946" t="s">
        <v>1210</v>
      </c>
    </row>
    <row r="947" spans="1:8" x14ac:dyDescent="0.45">
      <c r="A947" t="s">
        <v>1059</v>
      </c>
      <c r="B947" t="s">
        <v>1225</v>
      </c>
      <c r="C947" t="s">
        <v>1128</v>
      </c>
      <c r="D947" t="s">
        <v>25</v>
      </c>
      <c r="E947">
        <v>1016</v>
      </c>
      <c r="F947" t="s">
        <v>1238</v>
      </c>
      <c r="G947" t="s">
        <v>1219</v>
      </c>
      <c r="H947" t="s">
        <v>1210</v>
      </c>
    </row>
    <row r="948" spans="1:8" x14ac:dyDescent="0.45">
      <c r="A948" t="s">
        <v>1060</v>
      </c>
      <c r="B948" t="s">
        <v>1225</v>
      </c>
      <c r="C948" t="s">
        <v>1123</v>
      </c>
      <c r="D948" t="s">
        <v>89</v>
      </c>
      <c r="E948">
        <v>1614</v>
      </c>
      <c r="F948" t="s">
        <v>1224</v>
      </c>
      <c r="G948" t="s">
        <v>1219</v>
      </c>
      <c r="H948" t="s">
        <v>1210</v>
      </c>
    </row>
    <row r="949" spans="1:8" x14ac:dyDescent="0.45">
      <c r="A949" t="s">
        <v>1061</v>
      </c>
      <c r="B949" t="s">
        <v>1223</v>
      </c>
      <c r="C949" t="s">
        <v>1124</v>
      </c>
      <c r="D949" t="s">
        <v>97</v>
      </c>
      <c r="E949">
        <v>2370</v>
      </c>
      <c r="F949" t="s">
        <v>1224</v>
      </c>
      <c r="G949" t="s">
        <v>1219</v>
      </c>
      <c r="H949" t="s">
        <v>1210</v>
      </c>
    </row>
    <row r="950" spans="1:8" x14ac:dyDescent="0.45">
      <c r="A950" t="s">
        <v>1062</v>
      </c>
      <c r="B950" t="s">
        <v>1225</v>
      </c>
      <c r="C950" t="s">
        <v>1128</v>
      </c>
      <c r="D950" t="s">
        <v>89</v>
      </c>
      <c r="E950">
        <v>914</v>
      </c>
      <c r="F950" t="s">
        <v>1220</v>
      </c>
      <c r="G950" t="s">
        <v>1219</v>
      </c>
      <c r="H950" t="s">
        <v>1210</v>
      </c>
    </row>
    <row r="951" spans="1:8" x14ac:dyDescent="0.45">
      <c r="A951" t="s">
        <v>1063</v>
      </c>
      <c r="B951" t="s">
        <v>1217</v>
      </c>
      <c r="C951" t="s">
        <v>1115</v>
      </c>
      <c r="D951" t="s">
        <v>67</v>
      </c>
      <c r="E951">
        <v>2461</v>
      </c>
      <c r="F951" t="s">
        <v>1224</v>
      </c>
      <c r="G951" t="s">
        <v>1219</v>
      </c>
      <c r="H951" t="s">
        <v>1210</v>
      </c>
    </row>
    <row r="952" spans="1:8" x14ac:dyDescent="0.45">
      <c r="A952" t="s">
        <v>1064</v>
      </c>
      <c r="B952" t="s">
        <v>1223</v>
      </c>
      <c r="C952" t="s">
        <v>1122</v>
      </c>
      <c r="D952" t="s">
        <v>71</v>
      </c>
      <c r="E952">
        <v>415</v>
      </c>
      <c r="F952" t="s">
        <v>1224</v>
      </c>
      <c r="G952" t="s">
        <v>1219</v>
      </c>
      <c r="H952" t="s">
        <v>1210</v>
      </c>
    </row>
    <row r="953" spans="1:8" x14ac:dyDescent="0.45">
      <c r="A953" t="s">
        <v>1065</v>
      </c>
      <c r="B953" t="s">
        <v>1225</v>
      </c>
      <c r="C953" t="s">
        <v>1119</v>
      </c>
      <c r="D953" t="s">
        <v>41</v>
      </c>
      <c r="E953">
        <v>1192</v>
      </c>
      <c r="F953" t="s">
        <v>1224</v>
      </c>
      <c r="G953" t="s">
        <v>1219</v>
      </c>
      <c r="H953" t="s">
        <v>1210</v>
      </c>
    </row>
    <row r="954" spans="1:8" x14ac:dyDescent="0.45">
      <c r="A954" t="s">
        <v>1066</v>
      </c>
      <c r="B954" t="s">
        <v>1223</v>
      </c>
      <c r="C954" t="s">
        <v>1124</v>
      </c>
      <c r="D954" t="s">
        <v>25</v>
      </c>
      <c r="E954">
        <v>1935</v>
      </c>
      <c r="F954" t="s">
        <v>1224</v>
      </c>
      <c r="G954" t="s">
        <v>1219</v>
      </c>
      <c r="H954" t="s">
        <v>1210</v>
      </c>
    </row>
    <row r="955" spans="1:8" x14ac:dyDescent="0.45">
      <c r="A955" t="s">
        <v>1067</v>
      </c>
      <c r="B955" t="s">
        <v>1217</v>
      </c>
      <c r="C955" t="s">
        <v>1115</v>
      </c>
      <c r="D955" t="s">
        <v>5</v>
      </c>
      <c r="E955">
        <v>2077</v>
      </c>
      <c r="F955" t="s">
        <v>1220</v>
      </c>
      <c r="G955" t="s">
        <v>1219</v>
      </c>
      <c r="H955" t="s">
        <v>1210</v>
      </c>
    </row>
    <row r="956" spans="1:8" x14ac:dyDescent="0.45">
      <c r="A956" t="s">
        <v>1068</v>
      </c>
      <c r="B956" t="s">
        <v>1225</v>
      </c>
      <c r="C956" t="s">
        <v>1123</v>
      </c>
      <c r="D956" t="s">
        <v>66</v>
      </c>
      <c r="E956">
        <v>371</v>
      </c>
      <c r="F956" t="s">
        <v>1224</v>
      </c>
      <c r="G956" t="s">
        <v>1219</v>
      </c>
      <c r="H956" t="s">
        <v>1210</v>
      </c>
    </row>
    <row r="957" spans="1:8" x14ac:dyDescent="0.45">
      <c r="A957" t="s">
        <v>1069</v>
      </c>
      <c r="B957" t="s">
        <v>1225</v>
      </c>
      <c r="C957" t="s">
        <v>1125</v>
      </c>
      <c r="D957" t="s">
        <v>43</v>
      </c>
      <c r="E957">
        <v>2066</v>
      </c>
      <c r="F957" t="s">
        <v>1218</v>
      </c>
      <c r="G957" t="s">
        <v>1219</v>
      </c>
      <c r="H957" t="s">
        <v>1210</v>
      </c>
    </row>
    <row r="958" spans="1:8" x14ac:dyDescent="0.45">
      <c r="A958" t="s">
        <v>1070</v>
      </c>
      <c r="B958" t="s">
        <v>1217</v>
      </c>
      <c r="C958" t="s">
        <v>1120</v>
      </c>
      <c r="D958" t="s">
        <v>1131</v>
      </c>
      <c r="E958">
        <v>1831</v>
      </c>
      <c r="F958" t="s">
        <v>1224</v>
      </c>
      <c r="G958" t="s">
        <v>1219</v>
      </c>
      <c r="H958" t="s">
        <v>1210</v>
      </c>
    </row>
    <row r="959" spans="1:8" x14ac:dyDescent="0.45">
      <c r="A959" t="s">
        <v>1071</v>
      </c>
      <c r="B959" t="s">
        <v>1225</v>
      </c>
      <c r="C959" t="s">
        <v>1125</v>
      </c>
      <c r="D959" t="s">
        <v>83</v>
      </c>
      <c r="E959">
        <v>1680</v>
      </c>
      <c r="F959" t="s">
        <v>1220</v>
      </c>
      <c r="G959" t="s">
        <v>1219</v>
      </c>
      <c r="H959" t="s">
        <v>1210</v>
      </c>
    </row>
    <row r="960" spans="1:8" x14ac:dyDescent="0.45">
      <c r="A960" t="s">
        <v>1072</v>
      </c>
      <c r="B960" t="s">
        <v>1223</v>
      </c>
      <c r="C960" t="s">
        <v>1127</v>
      </c>
      <c r="D960" t="s">
        <v>77</v>
      </c>
      <c r="E960">
        <v>1804</v>
      </c>
      <c r="F960" t="s">
        <v>1224</v>
      </c>
      <c r="G960" t="s">
        <v>1219</v>
      </c>
      <c r="H960" t="s">
        <v>1210</v>
      </c>
    </row>
    <row r="961" spans="1:8" x14ac:dyDescent="0.45">
      <c r="A961" t="s">
        <v>1073</v>
      </c>
      <c r="B961" t="s">
        <v>1225</v>
      </c>
      <c r="C961" t="s">
        <v>1119</v>
      </c>
      <c r="D961" t="s">
        <v>30</v>
      </c>
      <c r="E961">
        <v>944</v>
      </c>
      <c r="F961" t="s">
        <v>1220</v>
      </c>
      <c r="G961" t="s">
        <v>1219</v>
      </c>
      <c r="H961" t="s">
        <v>1210</v>
      </c>
    </row>
    <row r="962" spans="1:8" x14ac:dyDescent="0.45">
      <c r="A962" t="s">
        <v>1074</v>
      </c>
      <c r="B962" t="s">
        <v>1225</v>
      </c>
      <c r="C962" t="s">
        <v>1118</v>
      </c>
      <c r="D962" t="s">
        <v>13</v>
      </c>
      <c r="E962">
        <v>1342</v>
      </c>
      <c r="F962" t="s">
        <v>1224</v>
      </c>
      <c r="G962" t="s">
        <v>1219</v>
      </c>
      <c r="H962" t="s">
        <v>1210</v>
      </c>
    </row>
    <row r="963" spans="1:8" x14ac:dyDescent="0.45">
      <c r="A963" t="s">
        <v>1075</v>
      </c>
      <c r="B963" t="s">
        <v>1217</v>
      </c>
      <c r="C963" t="s">
        <v>1114</v>
      </c>
      <c r="D963" t="s">
        <v>92</v>
      </c>
      <c r="E963">
        <v>491</v>
      </c>
      <c r="F963" t="s">
        <v>1218</v>
      </c>
      <c r="G963" t="s">
        <v>1219</v>
      </c>
      <c r="H963" t="s">
        <v>1210</v>
      </c>
    </row>
    <row r="964" spans="1:8" x14ac:dyDescent="0.45">
      <c r="A964" t="s">
        <v>1076</v>
      </c>
      <c r="B964" t="s">
        <v>1223</v>
      </c>
      <c r="C964" t="s">
        <v>1121</v>
      </c>
      <c r="D964" t="s">
        <v>25</v>
      </c>
      <c r="E964">
        <v>1173</v>
      </c>
      <c r="F964" t="s">
        <v>1220</v>
      </c>
      <c r="G964" t="s">
        <v>1219</v>
      </c>
      <c r="H964" t="s">
        <v>1210</v>
      </c>
    </row>
    <row r="965" spans="1:8" x14ac:dyDescent="0.45">
      <c r="A965" t="s">
        <v>1077</v>
      </c>
      <c r="B965" t="s">
        <v>1217</v>
      </c>
      <c r="C965" t="s">
        <v>1120</v>
      </c>
      <c r="D965" t="s">
        <v>83</v>
      </c>
      <c r="E965">
        <v>1523</v>
      </c>
      <c r="F965" t="s">
        <v>1220</v>
      </c>
      <c r="G965" t="s">
        <v>1219</v>
      </c>
      <c r="H965" t="s">
        <v>1210</v>
      </c>
    </row>
    <row r="966" spans="1:8" x14ac:dyDescent="0.45">
      <c r="A966" t="s">
        <v>1078</v>
      </c>
      <c r="B966" t="s">
        <v>1225</v>
      </c>
      <c r="C966" t="s">
        <v>1119</v>
      </c>
      <c r="D966" t="s">
        <v>80</v>
      </c>
      <c r="E966">
        <v>2289</v>
      </c>
      <c r="F966" t="s">
        <v>1220</v>
      </c>
      <c r="G966" t="s">
        <v>1219</v>
      </c>
      <c r="H966" t="s">
        <v>1210</v>
      </c>
    </row>
    <row r="967" spans="1:8" x14ac:dyDescent="0.45">
      <c r="A967" t="s">
        <v>1079</v>
      </c>
      <c r="B967" t="s">
        <v>1223</v>
      </c>
      <c r="C967" t="s">
        <v>1127</v>
      </c>
      <c r="D967" t="s">
        <v>39</v>
      </c>
      <c r="E967">
        <v>664</v>
      </c>
      <c r="F967" t="s">
        <v>1227</v>
      </c>
      <c r="G967" t="s">
        <v>1219</v>
      </c>
      <c r="H967" t="s">
        <v>1210</v>
      </c>
    </row>
    <row r="968" spans="1:8" x14ac:dyDescent="0.45">
      <c r="A968" t="s">
        <v>1080</v>
      </c>
      <c r="B968" t="s">
        <v>1223</v>
      </c>
      <c r="C968" t="s">
        <v>1121</v>
      </c>
      <c r="D968" t="s">
        <v>87</v>
      </c>
      <c r="E968">
        <v>1320</v>
      </c>
      <c r="F968" t="s">
        <v>1224</v>
      </c>
      <c r="G968" t="s">
        <v>1219</v>
      </c>
      <c r="H968" t="s">
        <v>1210</v>
      </c>
    </row>
    <row r="969" spans="1:8" x14ac:dyDescent="0.45">
      <c r="A969" t="s">
        <v>1081</v>
      </c>
      <c r="B969" t="s">
        <v>1217</v>
      </c>
      <c r="C969" t="s">
        <v>1126</v>
      </c>
      <c r="D969" t="s">
        <v>24</v>
      </c>
      <c r="E969">
        <v>929</v>
      </c>
      <c r="F969" t="s">
        <v>1227</v>
      </c>
      <c r="G969" t="s">
        <v>1219</v>
      </c>
      <c r="H969" t="s">
        <v>1210</v>
      </c>
    </row>
    <row r="970" spans="1:8" x14ac:dyDescent="0.45">
      <c r="A970" t="s">
        <v>1082</v>
      </c>
      <c r="B970" t="s">
        <v>1223</v>
      </c>
      <c r="C970" t="s">
        <v>1124</v>
      </c>
      <c r="D970" t="s">
        <v>77</v>
      </c>
      <c r="E970">
        <v>3116</v>
      </c>
      <c r="F970" t="s">
        <v>1224</v>
      </c>
      <c r="G970" t="s">
        <v>1219</v>
      </c>
      <c r="H970" t="s">
        <v>1210</v>
      </c>
    </row>
    <row r="971" spans="1:8" x14ac:dyDescent="0.45">
      <c r="A971" t="s">
        <v>1083</v>
      </c>
      <c r="B971" t="s">
        <v>1217</v>
      </c>
      <c r="C971" t="s">
        <v>1115</v>
      </c>
      <c r="D971" t="s">
        <v>85</v>
      </c>
      <c r="E971">
        <v>2716</v>
      </c>
      <c r="F971" t="s">
        <v>1220</v>
      </c>
      <c r="G971" t="s">
        <v>1219</v>
      </c>
      <c r="H971" t="s">
        <v>1210</v>
      </c>
    </row>
    <row r="972" spans="1:8" x14ac:dyDescent="0.45">
      <c r="A972" t="s">
        <v>1084</v>
      </c>
      <c r="B972" t="s">
        <v>1223</v>
      </c>
      <c r="C972" t="s">
        <v>1127</v>
      </c>
      <c r="D972" t="s">
        <v>12</v>
      </c>
      <c r="E972">
        <v>1010</v>
      </c>
      <c r="F972" t="s">
        <v>1227</v>
      </c>
      <c r="G972" t="s">
        <v>1219</v>
      </c>
      <c r="H972" t="s">
        <v>1210</v>
      </c>
    </row>
    <row r="973" spans="1:8" x14ac:dyDescent="0.45">
      <c r="A973" t="s">
        <v>1085</v>
      </c>
      <c r="B973" t="s">
        <v>1217</v>
      </c>
      <c r="C973" t="s">
        <v>1114</v>
      </c>
      <c r="D973" t="s">
        <v>1132</v>
      </c>
      <c r="E973">
        <v>1375</v>
      </c>
      <c r="F973" t="s">
        <v>1224</v>
      </c>
      <c r="G973" t="s">
        <v>1219</v>
      </c>
      <c r="H973" t="s">
        <v>1210</v>
      </c>
    </row>
    <row r="974" spans="1:8" x14ac:dyDescent="0.45">
      <c r="A974" t="s">
        <v>1086</v>
      </c>
      <c r="B974" t="s">
        <v>1223</v>
      </c>
      <c r="C974" t="s">
        <v>1117</v>
      </c>
      <c r="D974" t="s">
        <v>1135</v>
      </c>
      <c r="E974">
        <v>1689</v>
      </c>
      <c r="F974" t="s">
        <v>1224</v>
      </c>
      <c r="G974" t="s">
        <v>1219</v>
      </c>
      <c r="H974" t="s">
        <v>1210</v>
      </c>
    </row>
    <row r="975" spans="1:8" x14ac:dyDescent="0.45">
      <c r="A975" t="s">
        <v>1087</v>
      </c>
      <c r="B975" t="s">
        <v>1223</v>
      </c>
      <c r="C975" t="s">
        <v>1124</v>
      </c>
      <c r="D975" t="s">
        <v>25</v>
      </c>
      <c r="E975">
        <v>1948</v>
      </c>
      <c r="F975" t="s">
        <v>1224</v>
      </c>
      <c r="G975" t="s">
        <v>1219</v>
      </c>
      <c r="H975" t="s">
        <v>1210</v>
      </c>
    </row>
    <row r="976" spans="1:8" x14ac:dyDescent="0.45">
      <c r="A976" t="s">
        <v>1088</v>
      </c>
      <c r="B976" t="s">
        <v>1223</v>
      </c>
      <c r="C976" t="s">
        <v>1121</v>
      </c>
      <c r="D976" t="s">
        <v>62</v>
      </c>
      <c r="E976">
        <v>711</v>
      </c>
      <c r="F976" t="s">
        <v>1220</v>
      </c>
      <c r="G976" t="s">
        <v>1219</v>
      </c>
      <c r="H976" t="s">
        <v>1210</v>
      </c>
    </row>
    <row r="977" spans="1:8" x14ac:dyDescent="0.45">
      <c r="A977" t="s">
        <v>1089</v>
      </c>
      <c r="B977" t="s">
        <v>1217</v>
      </c>
      <c r="C977" t="s">
        <v>1116</v>
      </c>
      <c r="D977" t="s">
        <v>53</v>
      </c>
      <c r="E977">
        <v>2103</v>
      </c>
      <c r="F977" t="s">
        <v>1220</v>
      </c>
      <c r="G977" t="s">
        <v>1219</v>
      </c>
      <c r="H977" t="s">
        <v>1210</v>
      </c>
    </row>
    <row r="978" spans="1:8" x14ac:dyDescent="0.45">
      <c r="A978" t="s">
        <v>1090</v>
      </c>
      <c r="B978" t="s">
        <v>1223</v>
      </c>
      <c r="C978" t="s">
        <v>1122</v>
      </c>
      <c r="D978" t="s">
        <v>39</v>
      </c>
      <c r="E978">
        <v>1331</v>
      </c>
      <c r="F978" t="s">
        <v>1224</v>
      </c>
      <c r="G978" t="s">
        <v>1219</v>
      </c>
      <c r="H978" t="s">
        <v>1210</v>
      </c>
    </row>
    <row r="979" spans="1:8" x14ac:dyDescent="0.45">
      <c r="A979" t="s">
        <v>1091</v>
      </c>
      <c r="B979" t="s">
        <v>1223</v>
      </c>
      <c r="C979" t="s">
        <v>1122</v>
      </c>
      <c r="D979" t="s">
        <v>45</v>
      </c>
      <c r="E979">
        <v>1097</v>
      </c>
      <c r="F979" t="s">
        <v>1224</v>
      </c>
      <c r="G979" t="s">
        <v>1221</v>
      </c>
      <c r="H979" t="s">
        <v>1210</v>
      </c>
    </row>
    <row r="980" spans="1:8" x14ac:dyDescent="0.45">
      <c r="A980" t="s">
        <v>1092</v>
      </c>
      <c r="B980" t="s">
        <v>1223</v>
      </c>
      <c r="C980" t="s">
        <v>1127</v>
      </c>
      <c r="D980" t="s">
        <v>1136</v>
      </c>
      <c r="E980">
        <v>1121</v>
      </c>
      <c r="F980" t="s">
        <v>1227</v>
      </c>
      <c r="G980" t="s">
        <v>1219</v>
      </c>
      <c r="H980" t="s">
        <v>1210</v>
      </c>
    </row>
    <row r="981" spans="1:8" x14ac:dyDescent="0.45">
      <c r="A981" t="s">
        <v>1093</v>
      </c>
      <c r="B981" t="s">
        <v>1225</v>
      </c>
      <c r="C981" t="s">
        <v>1125</v>
      </c>
      <c r="D981" t="s">
        <v>32</v>
      </c>
      <c r="E981">
        <v>914</v>
      </c>
      <c r="F981" t="s">
        <v>1236</v>
      </c>
      <c r="G981" t="s">
        <v>1219</v>
      </c>
      <c r="H981" t="s">
        <v>1210</v>
      </c>
    </row>
    <row r="982" spans="1:8" x14ac:dyDescent="0.45">
      <c r="A982" t="s">
        <v>1094</v>
      </c>
      <c r="B982" t="s">
        <v>1225</v>
      </c>
      <c r="C982" t="s">
        <v>1119</v>
      </c>
      <c r="D982" t="s">
        <v>42</v>
      </c>
      <c r="E982">
        <v>3029</v>
      </c>
      <c r="F982" t="s">
        <v>1224</v>
      </c>
      <c r="G982" t="s">
        <v>1219</v>
      </c>
      <c r="H982" t="s">
        <v>1210</v>
      </c>
    </row>
    <row r="983" spans="1:8" x14ac:dyDescent="0.45">
      <c r="A983" t="s">
        <v>1095</v>
      </c>
      <c r="B983" t="s">
        <v>1217</v>
      </c>
      <c r="C983" t="s">
        <v>1114</v>
      </c>
      <c r="D983" t="s">
        <v>50</v>
      </c>
      <c r="E983">
        <v>2190</v>
      </c>
      <c r="F983" t="s">
        <v>1226</v>
      </c>
      <c r="G983" t="s">
        <v>1219</v>
      </c>
      <c r="H983" t="s">
        <v>1210</v>
      </c>
    </row>
    <row r="984" spans="1:8" x14ac:dyDescent="0.45">
      <c r="A984" t="s">
        <v>1096</v>
      </c>
      <c r="B984" t="s">
        <v>1225</v>
      </c>
      <c r="C984" t="s">
        <v>1118</v>
      </c>
      <c r="D984" t="s">
        <v>88</v>
      </c>
      <c r="E984">
        <v>1727</v>
      </c>
      <c r="F984" t="s">
        <v>1229</v>
      </c>
      <c r="G984" t="s">
        <v>1219</v>
      </c>
      <c r="H984" t="s">
        <v>1210</v>
      </c>
    </row>
    <row r="985" spans="1:8" x14ac:dyDescent="0.45">
      <c r="A985" t="s">
        <v>1097</v>
      </c>
      <c r="B985" t="s">
        <v>1223</v>
      </c>
      <c r="C985" t="s">
        <v>1124</v>
      </c>
      <c r="D985" t="s">
        <v>36</v>
      </c>
      <c r="E985">
        <v>2602</v>
      </c>
      <c r="F985" t="s">
        <v>1227</v>
      </c>
      <c r="G985" t="s">
        <v>1219</v>
      </c>
      <c r="H985" t="s">
        <v>1210</v>
      </c>
    </row>
    <row r="986" spans="1:8" x14ac:dyDescent="0.45">
      <c r="A986" t="s">
        <v>1098</v>
      </c>
      <c r="B986" t="s">
        <v>1223</v>
      </c>
      <c r="C986" t="s">
        <v>1121</v>
      </c>
      <c r="D986" t="s">
        <v>40</v>
      </c>
      <c r="E986">
        <v>1250</v>
      </c>
      <c r="F986" t="s">
        <v>1220</v>
      </c>
      <c r="G986" t="s">
        <v>1219</v>
      </c>
      <c r="H986" t="s">
        <v>1210</v>
      </c>
    </row>
    <row r="987" spans="1:8" x14ac:dyDescent="0.45">
      <c r="A987" t="s">
        <v>1099</v>
      </c>
      <c r="B987" t="s">
        <v>1217</v>
      </c>
      <c r="C987" t="s">
        <v>1116</v>
      </c>
      <c r="D987" t="s">
        <v>27</v>
      </c>
      <c r="E987">
        <v>1598</v>
      </c>
      <c r="F987" t="s">
        <v>1220</v>
      </c>
      <c r="G987" t="s">
        <v>1219</v>
      </c>
      <c r="H987" t="s">
        <v>1210</v>
      </c>
    </row>
    <row r="988" spans="1:8" x14ac:dyDescent="0.45">
      <c r="A988" t="s">
        <v>1100</v>
      </c>
      <c r="B988" t="s">
        <v>1225</v>
      </c>
      <c r="C988" t="s">
        <v>1118</v>
      </c>
      <c r="D988" t="s">
        <v>62</v>
      </c>
      <c r="E988">
        <v>1543</v>
      </c>
      <c r="F988" t="s">
        <v>1220</v>
      </c>
      <c r="G988" t="s">
        <v>1219</v>
      </c>
      <c r="H988" t="s">
        <v>1210</v>
      </c>
    </row>
    <row r="989" spans="1:8" x14ac:dyDescent="0.45">
      <c r="A989" t="s">
        <v>1101</v>
      </c>
      <c r="B989" t="s">
        <v>1223</v>
      </c>
      <c r="C989" t="s">
        <v>1124</v>
      </c>
      <c r="D989" t="s">
        <v>24</v>
      </c>
      <c r="E989">
        <v>816</v>
      </c>
      <c r="F989" t="s">
        <v>1224</v>
      </c>
      <c r="G989" t="s">
        <v>1219</v>
      </c>
      <c r="H989" t="s">
        <v>1210</v>
      </c>
    </row>
    <row r="990" spans="1:8" x14ac:dyDescent="0.45">
      <c r="A990" t="s">
        <v>1102</v>
      </c>
      <c r="B990" t="s">
        <v>1225</v>
      </c>
      <c r="C990" t="s">
        <v>1128</v>
      </c>
      <c r="D990" t="s">
        <v>32</v>
      </c>
      <c r="E990">
        <v>537</v>
      </c>
      <c r="F990" t="s">
        <v>1224</v>
      </c>
      <c r="G990" t="s">
        <v>1219</v>
      </c>
      <c r="H990" t="s">
        <v>1210</v>
      </c>
    </row>
    <row r="991" spans="1:8" x14ac:dyDescent="0.45">
      <c r="A991" t="s">
        <v>1103</v>
      </c>
      <c r="B991" t="s">
        <v>1223</v>
      </c>
      <c r="C991" t="s">
        <v>1127</v>
      </c>
      <c r="D991" t="s">
        <v>106</v>
      </c>
      <c r="E991">
        <v>1297</v>
      </c>
      <c r="F991" t="s">
        <v>1220</v>
      </c>
      <c r="G991" t="s">
        <v>1219</v>
      </c>
      <c r="H991" t="s">
        <v>1210</v>
      </c>
    </row>
    <row r="992" spans="1:8" x14ac:dyDescent="0.45">
      <c r="A992" t="s">
        <v>1104</v>
      </c>
      <c r="B992" t="s">
        <v>1225</v>
      </c>
      <c r="C992" t="s">
        <v>1125</v>
      </c>
      <c r="D992" t="s">
        <v>42</v>
      </c>
      <c r="E992">
        <v>3066</v>
      </c>
      <c r="F992" t="s">
        <v>1218</v>
      </c>
      <c r="G992" t="s">
        <v>1219</v>
      </c>
      <c r="H992" t="s">
        <v>1210</v>
      </c>
    </row>
    <row r="993" spans="1:8" x14ac:dyDescent="0.45">
      <c r="A993" t="s">
        <v>1105</v>
      </c>
      <c r="B993" t="s">
        <v>1217</v>
      </c>
      <c r="C993" t="s">
        <v>1120</v>
      </c>
      <c r="D993" t="s">
        <v>18</v>
      </c>
      <c r="E993">
        <v>626</v>
      </c>
      <c r="F993" t="s">
        <v>1220</v>
      </c>
      <c r="G993" t="s">
        <v>1219</v>
      </c>
      <c r="H993" t="s">
        <v>1210</v>
      </c>
    </row>
    <row r="994" spans="1:8" x14ac:dyDescent="0.45">
      <c r="A994" t="s">
        <v>1106</v>
      </c>
      <c r="B994" t="s">
        <v>1225</v>
      </c>
      <c r="C994" t="s">
        <v>1119</v>
      </c>
      <c r="D994" t="s">
        <v>45</v>
      </c>
      <c r="E994">
        <v>1318</v>
      </c>
      <c r="F994" t="s">
        <v>1224</v>
      </c>
      <c r="G994" t="s">
        <v>1219</v>
      </c>
      <c r="H994" t="s">
        <v>1210</v>
      </c>
    </row>
    <row r="995" spans="1:8" x14ac:dyDescent="0.45">
      <c r="A995" t="s">
        <v>1107</v>
      </c>
      <c r="B995" t="s">
        <v>1223</v>
      </c>
      <c r="C995" t="s">
        <v>1124</v>
      </c>
      <c r="D995" t="s">
        <v>1138</v>
      </c>
      <c r="E995">
        <v>1513</v>
      </c>
      <c r="F995" t="s">
        <v>1234</v>
      </c>
      <c r="G995" t="s">
        <v>1219</v>
      </c>
      <c r="H995" t="s">
        <v>1210</v>
      </c>
    </row>
    <row r="996" spans="1:8" x14ac:dyDescent="0.45">
      <c r="A996" t="s">
        <v>1108</v>
      </c>
      <c r="B996" t="s">
        <v>1225</v>
      </c>
      <c r="C996" t="s">
        <v>1128</v>
      </c>
      <c r="D996" t="s">
        <v>69</v>
      </c>
      <c r="E996">
        <v>413</v>
      </c>
      <c r="F996" t="s">
        <v>1220</v>
      </c>
      <c r="G996" t="s">
        <v>1219</v>
      </c>
      <c r="H996" t="s">
        <v>1210</v>
      </c>
    </row>
    <row r="997" spans="1:8" x14ac:dyDescent="0.45">
      <c r="A997" t="s">
        <v>1109</v>
      </c>
      <c r="B997" t="s">
        <v>1223</v>
      </c>
      <c r="C997" t="s">
        <v>1117</v>
      </c>
      <c r="D997" t="s">
        <v>13</v>
      </c>
      <c r="E997">
        <v>2568</v>
      </c>
      <c r="F997" t="s">
        <v>1220</v>
      </c>
      <c r="G997" t="s">
        <v>1219</v>
      </c>
      <c r="H997" t="s">
        <v>1210</v>
      </c>
    </row>
    <row r="998" spans="1:8" x14ac:dyDescent="0.45">
      <c r="A998" t="s">
        <v>1110</v>
      </c>
      <c r="B998" t="s">
        <v>1225</v>
      </c>
      <c r="C998" t="s">
        <v>1118</v>
      </c>
      <c r="D998" t="s">
        <v>103</v>
      </c>
      <c r="E998">
        <v>535</v>
      </c>
      <c r="F998" t="s">
        <v>1227</v>
      </c>
      <c r="G998" t="s">
        <v>1219</v>
      </c>
      <c r="H998" t="s">
        <v>1210</v>
      </c>
    </row>
    <row r="999" spans="1:8" x14ac:dyDescent="0.45">
      <c r="A999" t="s">
        <v>1111</v>
      </c>
      <c r="B999" t="s">
        <v>1225</v>
      </c>
      <c r="C999" t="s">
        <v>1118</v>
      </c>
      <c r="D999" t="s">
        <v>36</v>
      </c>
      <c r="E999">
        <v>2145</v>
      </c>
      <c r="F999" t="s">
        <v>1220</v>
      </c>
      <c r="G999" t="s">
        <v>1221</v>
      </c>
      <c r="H999" t="s">
        <v>1210</v>
      </c>
    </row>
    <row r="1000" spans="1:8" x14ac:dyDescent="0.45">
      <c r="A1000" t="s">
        <v>1112</v>
      </c>
      <c r="B1000" t="s">
        <v>1223</v>
      </c>
      <c r="C1000" t="s">
        <v>1121</v>
      </c>
      <c r="D1000" t="s">
        <v>7</v>
      </c>
      <c r="E1000">
        <v>2129</v>
      </c>
      <c r="F1000" t="s">
        <v>1224</v>
      </c>
      <c r="G1000" t="s">
        <v>1219</v>
      </c>
      <c r="H1000" t="s">
        <v>1210</v>
      </c>
    </row>
    <row r="1001" spans="1:8" x14ac:dyDescent="0.45">
      <c r="A1001" t="s">
        <v>1113</v>
      </c>
      <c r="B1001" t="s">
        <v>1225</v>
      </c>
      <c r="C1001" t="s">
        <v>1118</v>
      </c>
      <c r="D1001" t="s">
        <v>95</v>
      </c>
      <c r="E1001">
        <v>1561</v>
      </c>
      <c r="F1001" t="s">
        <v>1220</v>
      </c>
      <c r="G1001" t="s">
        <v>1221</v>
      </c>
      <c r="H1001" t="s">
        <v>1210</v>
      </c>
    </row>
    <row r="1002" spans="1:8" x14ac:dyDescent="0.45">
      <c r="A1002" t="s">
        <v>1241</v>
      </c>
      <c r="B1002" t="s">
        <v>1223</v>
      </c>
      <c r="C1002" t="s">
        <v>1124</v>
      </c>
      <c r="D1002" t="s">
        <v>47</v>
      </c>
      <c r="E1002">
        <v>1457</v>
      </c>
      <c r="F1002" t="s">
        <v>1224</v>
      </c>
      <c r="G1002" t="s">
        <v>1219</v>
      </c>
      <c r="H1002" t="s">
        <v>1210</v>
      </c>
    </row>
    <row r="1003" spans="1:8" x14ac:dyDescent="0.45">
      <c r="A1003" t="s">
        <v>1242</v>
      </c>
      <c r="B1003" t="s">
        <v>1225</v>
      </c>
      <c r="C1003" t="s">
        <v>1123</v>
      </c>
      <c r="D1003" t="s">
        <v>100</v>
      </c>
      <c r="E1003">
        <v>2168</v>
      </c>
      <c r="F1003" t="s">
        <v>1224</v>
      </c>
      <c r="G1003" t="s">
        <v>1219</v>
      </c>
      <c r="H1003" t="s">
        <v>1210</v>
      </c>
    </row>
    <row r="1004" spans="1:8" x14ac:dyDescent="0.45">
      <c r="A1004" t="s">
        <v>1243</v>
      </c>
      <c r="B1004" t="s">
        <v>1225</v>
      </c>
      <c r="C1004" t="s">
        <v>1123</v>
      </c>
      <c r="D1004" t="s">
        <v>68</v>
      </c>
      <c r="E1004">
        <v>467</v>
      </c>
      <c r="F1004" t="s">
        <v>1224</v>
      </c>
      <c r="G1004" t="s">
        <v>1219</v>
      </c>
      <c r="H1004" t="s">
        <v>1210</v>
      </c>
    </row>
    <row r="1005" spans="1:8" x14ac:dyDescent="0.45">
      <c r="A1005" t="s">
        <v>1244</v>
      </c>
      <c r="B1005" t="s">
        <v>1217</v>
      </c>
      <c r="C1005" t="s">
        <v>1126</v>
      </c>
      <c r="D1005" t="s">
        <v>87</v>
      </c>
      <c r="E1005">
        <v>1143</v>
      </c>
      <c r="F1005" t="s">
        <v>1224</v>
      </c>
      <c r="G1005" t="s">
        <v>1219</v>
      </c>
      <c r="H1005" t="s">
        <v>1210</v>
      </c>
    </row>
    <row r="1006" spans="1:8" x14ac:dyDescent="0.45">
      <c r="A1006" t="s">
        <v>1245</v>
      </c>
      <c r="B1006" t="s">
        <v>1223</v>
      </c>
      <c r="C1006" t="s">
        <v>1117</v>
      </c>
      <c r="D1006" t="s">
        <v>28</v>
      </c>
      <c r="E1006">
        <v>2400</v>
      </c>
      <c r="F1006" t="s">
        <v>1220</v>
      </c>
      <c r="G1006" t="s">
        <v>1219</v>
      </c>
      <c r="H1006" t="s">
        <v>1210</v>
      </c>
    </row>
    <row r="1007" spans="1:8" x14ac:dyDescent="0.45">
      <c r="A1007" t="s">
        <v>1246</v>
      </c>
      <c r="B1007" t="s">
        <v>1225</v>
      </c>
      <c r="C1007" t="s">
        <v>1125</v>
      </c>
      <c r="D1007" t="s">
        <v>1140</v>
      </c>
      <c r="E1007">
        <v>680</v>
      </c>
      <c r="F1007" t="s">
        <v>1224</v>
      </c>
      <c r="G1007" t="s">
        <v>1219</v>
      </c>
      <c r="H1007" t="s">
        <v>1210</v>
      </c>
    </row>
    <row r="1008" spans="1:8" x14ac:dyDescent="0.45">
      <c r="A1008" t="s">
        <v>1247</v>
      </c>
      <c r="B1008" t="s">
        <v>1217</v>
      </c>
      <c r="C1008" t="s">
        <v>1126</v>
      </c>
      <c r="D1008" t="s">
        <v>36</v>
      </c>
      <c r="E1008">
        <v>2211</v>
      </c>
      <c r="F1008" t="s">
        <v>1224</v>
      </c>
      <c r="G1008" t="s">
        <v>1219</v>
      </c>
      <c r="H1008" t="s">
        <v>1210</v>
      </c>
    </row>
    <row r="1009" spans="1:8" x14ac:dyDescent="0.45">
      <c r="A1009" t="s">
        <v>1248</v>
      </c>
      <c r="B1009" t="s">
        <v>1225</v>
      </c>
      <c r="C1009" t="s">
        <v>1123</v>
      </c>
      <c r="D1009" t="s">
        <v>64</v>
      </c>
      <c r="E1009">
        <v>909</v>
      </c>
      <c r="F1009" t="s">
        <v>1224</v>
      </c>
      <c r="G1009" t="s">
        <v>1219</v>
      </c>
      <c r="H1009" t="s">
        <v>1210</v>
      </c>
    </row>
    <row r="1010" spans="1:8" x14ac:dyDescent="0.45">
      <c r="A1010" t="s">
        <v>1249</v>
      </c>
      <c r="B1010" t="s">
        <v>1223</v>
      </c>
      <c r="C1010" t="s">
        <v>1127</v>
      </c>
      <c r="D1010" t="s">
        <v>50</v>
      </c>
      <c r="E1010">
        <v>2171</v>
      </c>
      <c r="F1010" t="s">
        <v>1220</v>
      </c>
      <c r="G1010" t="s">
        <v>1219</v>
      </c>
      <c r="H1010" t="s">
        <v>1210</v>
      </c>
    </row>
    <row r="1011" spans="1:8" x14ac:dyDescent="0.45">
      <c r="A1011" t="s">
        <v>1250</v>
      </c>
      <c r="B1011" t="s">
        <v>1223</v>
      </c>
      <c r="C1011" t="s">
        <v>1127</v>
      </c>
      <c r="D1011" t="s">
        <v>1138</v>
      </c>
      <c r="E1011">
        <v>573</v>
      </c>
      <c r="F1011" t="s">
        <v>1224</v>
      </c>
      <c r="G1011" t="s">
        <v>1219</v>
      </c>
      <c r="H1011" t="s">
        <v>1210</v>
      </c>
    </row>
    <row r="1012" spans="1:8" x14ac:dyDescent="0.45">
      <c r="A1012" t="s">
        <v>1251</v>
      </c>
      <c r="B1012" t="s">
        <v>1217</v>
      </c>
      <c r="C1012" t="s">
        <v>1114</v>
      </c>
      <c r="D1012" t="s">
        <v>25</v>
      </c>
      <c r="E1012">
        <v>2052</v>
      </c>
      <c r="F1012" t="s">
        <v>1220</v>
      </c>
      <c r="G1012" t="s">
        <v>1219</v>
      </c>
      <c r="H1012" t="s">
        <v>1210</v>
      </c>
    </row>
    <row r="1013" spans="1:8" x14ac:dyDescent="0.45">
      <c r="A1013" t="s">
        <v>1252</v>
      </c>
      <c r="B1013" t="s">
        <v>1225</v>
      </c>
      <c r="C1013" t="s">
        <v>1123</v>
      </c>
      <c r="D1013" t="s">
        <v>5</v>
      </c>
      <c r="E1013">
        <v>2068</v>
      </c>
      <c r="F1013" t="s">
        <v>1224</v>
      </c>
      <c r="G1013" t="s">
        <v>1219</v>
      </c>
      <c r="H1013" t="s">
        <v>1210</v>
      </c>
    </row>
    <row r="1014" spans="1:8" x14ac:dyDescent="0.45">
      <c r="A1014" t="s">
        <v>1253</v>
      </c>
      <c r="B1014" t="s">
        <v>1217</v>
      </c>
      <c r="C1014" t="s">
        <v>1114</v>
      </c>
      <c r="D1014" t="s">
        <v>85</v>
      </c>
      <c r="E1014">
        <v>3135</v>
      </c>
      <c r="F1014" t="s">
        <v>1218</v>
      </c>
      <c r="G1014" t="s">
        <v>1219</v>
      </c>
      <c r="H1014" t="s">
        <v>1210</v>
      </c>
    </row>
    <row r="1015" spans="1:8" x14ac:dyDescent="0.45">
      <c r="A1015" t="s">
        <v>1254</v>
      </c>
      <c r="B1015" t="s">
        <v>1223</v>
      </c>
      <c r="C1015" t="s">
        <v>1117</v>
      </c>
      <c r="D1015" t="s">
        <v>23</v>
      </c>
      <c r="E1015">
        <v>1063</v>
      </c>
      <c r="F1015" t="s">
        <v>1224</v>
      </c>
      <c r="G1015" t="s">
        <v>1219</v>
      </c>
      <c r="H1015" t="s">
        <v>1210</v>
      </c>
    </row>
    <row r="1016" spans="1:8" x14ac:dyDescent="0.45">
      <c r="A1016" t="s">
        <v>1255</v>
      </c>
      <c r="B1016" t="s">
        <v>1217</v>
      </c>
      <c r="C1016" t="s">
        <v>1120</v>
      </c>
      <c r="D1016" t="s">
        <v>15</v>
      </c>
      <c r="E1016">
        <v>1290</v>
      </c>
      <c r="F1016" t="s">
        <v>1220</v>
      </c>
      <c r="G1016" t="s">
        <v>1219</v>
      </c>
      <c r="H1016" t="s">
        <v>1210</v>
      </c>
    </row>
    <row r="1017" spans="1:8" x14ac:dyDescent="0.45">
      <c r="A1017" t="s">
        <v>1256</v>
      </c>
      <c r="B1017" t="s">
        <v>1217</v>
      </c>
      <c r="C1017" t="s">
        <v>1120</v>
      </c>
      <c r="D1017" t="s">
        <v>1130</v>
      </c>
      <c r="E1017">
        <v>1042</v>
      </c>
      <c r="F1017" t="s">
        <v>1224</v>
      </c>
      <c r="G1017" t="s">
        <v>1219</v>
      </c>
      <c r="H1017" t="s">
        <v>1210</v>
      </c>
    </row>
    <row r="1018" spans="1:8" x14ac:dyDescent="0.45">
      <c r="A1018" t="s">
        <v>1257</v>
      </c>
      <c r="B1018" t="s">
        <v>1223</v>
      </c>
      <c r="C1018" t="s">
        <v>1122</v>
      </c>
      <c r="D1018" t="s">
        <v>76</v>
      </c>
      <c r="E1018">
        <v>696</v>
      </c>
      <c r="F1018" t="s">
        <v>1224</v>
      </c>
      <c r="G1018" t="s">
        <v>1219</v>
      </c>
      <c r="H1018" t="s">
        <v>1210</v>
      </c>
    </row>
    <row r="1019" spans="1:8" x14ac:dyDescent="0.45">
      <c r="A1019" t="s">
        <v>1258</v>
      </c>
      <c r="B1019" t="s">
        <v>1225</v>
      </c>
      <c r="C1019" t="s">
        <v>1123</v>
      </c>
      <c r="D1019" t="s">
        <v>42</v>
      </c>
      <c r="E1019">
        <v>2635</v>
      </c>
      <c r="F1019" t="s">
        <v>1224</v>
      </c>
      <c r="G1019" t="s">
        <v>1219</v>
      </c>
      <c r="H1019" t="s">
        <v>1210</v>
      </c>
    </row>
    <row r="1020" spans="1:8" x14ac:dyDescent="0.45">
      <c r="A1020" t="s">
        <v>1259</v>
      </c>
      <c r="B1020" t="s">
        <v>1217</v>
      </c>
      <c r="C1020" t="s">
        <v>1126</v>
      </c>
      <c r="D1020" t="s">
        <v>64</v>
      </c>
      <c r="E1020">
        <v>2538</v>
      </c>
      <c r="F1020" t="s">
        <v>1224</v>
      </c>
      <c r="G1020" t="s">
        <v>1219</v>
      </c>
      <c r="H1020" t="s">
        <v>1210</v>
      </c>
    </row>
    <row r="1021" spans="1:8" x14ac:dyDescent="0.45">
      <c r="A1021" t="s">
        <v>1260</v>
      </c>
      <c r="B1021" t="s">
        <v>1225</v>
      </c>
      <c r="C1021" t="s">
        <v>1119</v>
      </c>
      <c r="D1021" t="s">
        <v>25</v>
      </c>
      <c r="E1021">
        <v>561</v>
      </c>
      <c r="F1021" t="s">
        <v>1224</v>
      </c>
      <c r="G1021" t="s">
        <v>1219</v>
      </c>
      <c r="H1021" t="s">
        <v>1210</v>
      </c>
    </row>
    <row r="1022" spans="1:8" x14ac:dyDescent="0.45">
      <c r="A1022" t="s">
        <v>1261</v>
      </c>
      <c r="B1022" t="s">
        <v>1225</v>
      </c>
      <c r="C1022" t="s">
        <v>1118</v>
      </c>
      <c r="D1022" t="s">
        <v>84</v>
      </c>
      <c r="E1022">
        <v>2055</v>
      </c>
      <c r="F1022" t="s">
        <v>1218</v>
      </c>
      <c r="G1022" t="s">
        <v>1219</v>
      </c>
      <c r="H1022" t="s">
        <v>1210</v>
      </c>
    </row>
    <row r="1023" spans="1:8" x14ac:dyDescent="0.45">
      <c r="A1023" t="s">
        <v>1262</v>
      </c>
      <c r="B1023" t="s">
        <v>1225</v>
      </c>
      <c r="C1023" t="s">
        <v>1128</v>
      </c>
      <c r="D1023" t="s">
        <v>27</v>
      </c>
      <c r="E1023">
        <v>1588</v>
      </c>
      <c r="F1023" t="s">
        <v>1220</v>
      </c>
      <c r="G1023" t="s">
        <v>1219</v>
      </c>
      <c r="H1023" t="s">
        <v>1210</v>
      </c>
    </row>
    <row r="1024" spans="1:8" x14ac:dyDescent="0.45">
      <c r="A1024" t="s">
        <v>1263</v>
      </c>
      <c r="B1024" t="s">
        <v>1217</v>
      </c>
      <c r="C1024" t="s">
        <v>1126</v>
      </c>
      <c r="D1024" t="s">
        <v>48</v>
      </c>
      <c r="E1024">
        <v>640</v>
      </c>
      <c r="F1024" t="s">
        <v>1224</v>
      </c>
      <c r="G1024" t="s">
        <v>1219</v>
      </c>
      <c r="H1024" t="s">
        <v>1210</v>
      </c>
    </row>
    <row r="1025" spans="1:8" x14ac:dyDescent="0.45">
      <c r="A1025" t="s">
        <v>1264</v>
      </c>
      <c r="B1025" t="s">
        <v>1225</v>
      </c>
      <c r="C1025" t="s">
        <v>1123</v>
      </c>
      <c r="D1025" t="s">
        <v>1129</v>
      </c>
      <c r="E1025">
        <v>2743</v>
      </c>
      <c r="F1025" t="s">
        <v>1224</v>
      </c>
      <c r="G1025" t="s">
        <v>1219</v>
      </c>
      <c r="H1025" t="s">
        <v>1210</v>
      </c>
    </row>
    <row r="1026" spans="1:8" x14ac:dyDescent="0.45">
      <c r="A1026" t="s">
        <v>1265</v>
      </c>
      <c r="B1026" t="s">
        <v>1217</v>
      </c>
      <c r="C1026" t="s">
        <v>1115</v>
      </c>
      <c r="D1026" t="s">
        <v>88</v>
      </c>
      <c r="E1026">
        <v>1979</v>
      </c>
      <c r="F1026" t="s">
        <v>1224</v>
      </c>
      <c r="G1026" t="s">
        <v>1219</v>
      </c>
      <c r="H1026" t="s">
        <v>1210</v>
      </c>
    </row>
    <row r="1027" spans="1:8" x14ac:dyDescent="0.45">
      <c r="A1027" t="s">
        <v>1266</v>
      </c>
      <c r="B1027" t="s">
        <v>1217</v>
      </c>
      <c r="C1027" t="s">
        <v>1126</v>
      </c>
      <c r="D1027" t="s">
        <v>47</v>
      </c>
      <c r="E1027">
        <v>899</v>
      </c>
      <c r="F1027" t="s">
        <v>1224</v>
      </c>
      <c r="G1027" t="s">
        <v>1219</v>
      </c>
      <c r="H1027" t="s">
        <v>1210</v>
      </c>
    </row>
    <row r="1028" spans="1:8" x14ac:dyDescent="0.45">
      <c r="A1028" t="s">
        <v>1267</v>
      </c>
      <c r="B1028" t="s">
        <v>1223</v>
      </c>
      <c r="C1028" t="s">
        <v>1124</v>
      </c>
      <c r="D1028" t="s">
        <v>101</v>
      </c>
      <c r="E1028">
        <v>1910</v>
      </c>
      <c r="F1028" t="s">
        <v>1224</v>
      </c>
      <c r="G1028" t="s">
        <v>1219</v>
      </c>
      <c r="H1028" t="s">
        <v>1210</v>
      </c>
    </row>
    <row r="1029" spans="1:8" x14ac:dyDescent="0.45">
      <c r="A1029" t="s">
        <v>1268</v>
      </c>
      <c r="B1029" t="s">
        <v>1225</v>
      </c>
      <c r="C1029" t="s">
        <v>1119</v>
      </c>
      <c r="D1029" t="s">
        <v>109</v>
      </c>
      <c r="E1029">
        <v>1809</v>
      </c>
      <c r="F1029" t="s">
        <v>1227</v>
      </c>
      <c r="G1029" t="s">
        <v>1221</v>
      </c>
      <c r="H1029" t="s">
        <v>1210</v>
      </c>
    </row>
    <row r="1030" spans="1:8" x14ac:dyDescent="0.45">
      <c r="A1030" t="s">
        <v>1269</v>
      </c>
      <c r="B1030" t="s">
        <v>1223</v>
      </c>
      <c r="C1030" t="s">
        <v>1121</v>
      </c>
      <c r="D1030" t="s">
        <v>109</v>
      </c>
      <c r="E1030">
        <v>1902</v>
      </c>
      <c r="F1030" t="s">
        <v>1224</v>
      </c>
      <c r="G1030" t="s">
        <v>1219</v>
      </c>
      <c r="H1030" t="s">
        <v>1210</v>
      </c>
    </row>
    <row r="1031" spans="1:8" x14ac:dyDescent="0.45">
      <c r="A1031" t="s">
        <v>1270</v>
      </c>
      <c r="B1031" t="s">
        <v>1223</v>
      </c>
      <c r="C1031" t="s">
        <v>1121</v>
      </c>
      <c r="D1031" t="s">
        <v>41</v>
      </c>
      <c r="E1031">
        <v>1361</v>
      </c>
      <c r="F1031" t="s">
        <v>1220</v>
      </c>
      <c r="G1031" t="s">
        <v>1219</v>
      </c>
      <c r="H1031" t="s">
        <v>1210</v>
      </c>
    </row>
    <row r="1032" spans="1:8" x14ac:dyDescent="0.45">
      <c r="A1032" t="s">
        <v>1271</v>
      </c>
      <c r="B1032" t="s">
        <v>1223</v>
      </c>
      <c r="C1032" t="s">
        <v>1124</v>
      </c>
      <c r="D1032" t="s">
        <v>71</v>
      </c>
      <c r="E1032">
        <v>1637</v>
      </c>
      <c r="F1032" t="s">
        <v>1224</v>
      </c>
      <c r="G1032" t="s">
        <v>1219</v>
      </c>
      <c r="H1032" t="s">
        <v>1210</v>
      </c>
    </row>
    <row r="1033" spans="1:8" x14ac:dyDescent="0.45">
      <c r="A1033" t="s">
        <v>1272</v>
      </c>
      <c r="B1033" t="s">
        <v>1225</v>
      </c>
      <c r="C1033" t="s">
        <v>1119</v>
      </c>
      <c r="D1033" t="s">
        <v>35</v>
      </c>
      <c r="E1033">
        <v>396</v>
      </c>
      <c r="F1033" t="s">
        <v>1227</v>
      </c>
      <c r="G1033" t="s">
        <v>1219</v>
      </c>
      <c r="H1033" t="s">
        <v>1210</v>
      </c>
    </row>
    <row r="1034" spans="1:8" x14ac:dyDescent="0.45">
      <c r="A1034" t="s">
        <v>1273</v>
      </c>
      <c r="B1034" t="s">
        <v>1223</v>
      </c>
      <c r="C1034" t="s">
        <v>1122</v>
      </c>
      <c r="D1034" t="s">
        <v>1274</v>
      </c>
      <c r="E1034">
        <v>1721</v>
      </c>
      <c r="F1034" t="s">
        <v>1224</v>
      </c>
      <c r="G1034" t="s">
        <v>1219</v>
      </c>
      <c r="H1034" t="s">
        <v>1210</v>
      </c>
    </row>
    <row r="1035" spans="1:8" x14ac:dyDescent="0.45">
      <c r="A1035" t="s">
        <v>1275</v>
      </c>
      <c r="B1035" t="s">
        <v>1225</v>
      </c>
      <c r="C1035" t="s">
        <v>1119</v>
      </c>
      <c r="D1035" t="s">
        <v>80</v>
      </c>
      <c r="E1035">
        <v>558</v>
      </c>
      <c r="F1035" t="s">
        <v>1224</v>
      </c>
      <c r="G1035" t="s">
        <v>1219</v>
      </c>
      <c r="H1035" t="s">
        <v>1210</v>
      </c>
    </row>
    <row r="1036" spans="1:8" x14ac:dyDescent="0.45">
      <c r="A1036" t="s">
        <v>1276</v>
      </c>
      <c r="B1036" t="s">
        <v>1217</v>
      </c>
      <c r="C1036" t="s">
        <v>1126</v>
      </c>
      <c r="D1036" t="s">
        <v>69</v>
      </c>
      <c r="E1036">
        <v>585</v>
      </c>
      <c r="F1036" t="s">
        <v>1224</v>
      </c>
      <c r="G1036" t="s">
        <v>1219</v>
      </c>
      <c r="H1036" t="s">
        <v>1210</v>
      </c>
    </row>
    <row r="1037" spans="1:8" x14ac:dyDescent="0.45">
      <c r="A1037" t="s">
        <v>1277</v>
      </c>
      <c r="B1037" t="s">
        <v>1225</v>
      </c>
      <c r="C1037" t="s">
        <v>1123</v>
      </c>
      <c r="D1037" t="s">
        <v>84</v>
      </c>
      <c r="E1037">
        <v>1926</v>
      </c>
      <c r="F1037" t="s">
        <v>1224</v>
      </c>
      <c r="G1037" t="s">
        <v>1219</v>
      </c>
      <c r="H1037" t="s">
        <v>1210</v>
      </c>
    </row>
    <row r="1038" spans="1:8" x14ac:dyDescent="0.45">
      <c r="A1038" t="s">
        <v>1278</v>
      </c>
      <c r="B1038" t="s">
        <v>1217</v>
      </c>
      <c r="C1038" t="s">
        <v>1120</v>
      </c>
      <c r="D1038" t="s">
        <v>36</v>
      </c>
      <c r="E1038">
        <v>1025</v>
      </c>
      <c r="F1038" t="s">
        <v>1220</v>
      </c>
      <c r="G1038" t="s">
        <v>1219</v>
      </c>
      <c r="H1038" t="s">
        <v>1210</v>
      </c>
    </row>
    <row r="1039" spans="1:8" x14ac:dyDescent="0.45">
      <c r="A1039" t="s">
        <v>1279</v>
      </c>
      <c r="B1039" t="s">
        <v>1217</v>
      </c>
      <c r="C1039" t="s">
        <v>1120</v>
      </c>
      <c r="D1039" t="s">
        <v>70</v>
      </c>
      <c r="E1039">
        <v>1329</v>
      </c>
      <c r="F1039" t="s">
        <v>1220</v>
      </c>
      <c r="G1039" t="s">
        <v>1219</v>
      </c>
      <c r="H1039" t="s">
        <v>1210</v>
      </c>
    </row>
    <row r="1040" spans="1:8" x14ac:dyDescent="0.45">
      <c r="A1040" t="s">
        <v>1280</v>
      </c>
      <c r="B1040" t="s">
        <v>1223</v>
      </c>
      <c r="C1040" t="s">
        <v>1121</v>
      </c>
      <c r="D1040" t="s">
        <v>87</v>
      </c>
      <c r="E1040">
        <v>624</v>
      </c>
      <c r="F1040" t="s">
        <v>1220</v>
      </c>
      <c r="G1040" t="s">
        <v>1219</v>
      </c>
      <c r="H1040" t="s">
        <v>1210</v>
      </c>
    </row>
    <row r="1041" spans="1:8" x14ac:dyDescent="0.45">
      <c r="A1041" t="s">
        <v>1281</v>
      </c>
      <c r="B1041" t="s">
        <v>1217</v>
      </c>
      <c r="C1041" t="s">
        <v>1114</v>
      </c>
      <c r="D1041" t="s">
        <v>60</v>
      </c>
      <c r="E1041">
        <v>930</v>
      </c>
      <c r="F1041" t="s">
        <v>1220</v>
      </c>
      <c r="G1041" t="s">
        <v>1219</v>
      </c>
      <c r="H1041" t="s">
        <v>1210</v>
      </c>
    </row>
    <row r="1042" spans="1:8" x14ac:dyDescent="0.45">
      <c r="A1042" t="s">
        <v>1282</v>
      </c>
      <c r="B1042" t="s">
        <v>1217</v>
      </c>
      <c r="C1042" t="s">
        <v>1114</v>
      </c>
      <c r="D1042" t="s">
        <v>37</v>
      </c>
      <c r="E1042">
        <v>700</v>
      </c>
      <c r="F1042" t="s">
        <v>1218</v>
      </c>
      <c r="G1042" t="s">
        <v>1219</v>
      </c>
      <c r="H1042" t="s">
        <v>1210</v>
      </c>
    </row>
    <row r="1043" spans="1:8" x14ac:dyDescent="0.45">
      <c r="A1043" t="s">
        <v>1283</v>
      </c>
      <c r="B1043" t="s">
        <v>1217</v>
      </c>
      <c r="C1043" t="s">
        <v>1120</v>
      </c>
      <c r="D1043" t="s">
        <v>98</v>
      </c>
      <c r="E1043">
        <v>586</v>
      </c>
      <c r="F1043" t="s">
        <v>1224</v>
      </c>
      <c r="G1043" t="s">
        <v>1219</v>
      </c>
      <c r="H1043" t="s">
        <v>1210</v>
      </c>
    </row>
    <row r="1044" spans="1:8" x14ac:dyDescent="0.45">
      <c r="A1044" t="s">
        <v>1284</v>
      </c>
      <c r="B1044" t="s">
        <v>1223</v>
      </c>
      <c r="C1044" t="s">
        <v>1117</v>
      </c>
      <c r="D1044" t="s">
        <v>54</v>
      </c>
      <c r="E1044">
        <v>1545</v>
      </c>
      <c r="F1044" t="s">
        <v>1220</v>
      </c>
      <c r="G1044" t="s">
        <v>1219</v>
      </c>
      <c r="H1044" t="s">
        <v>1210</v>
      </c>
    </row>
    <row r="1045" spans="1:8" x14ac:dyDescent="0.45">
      <c r="A1045" t="s">
        <v>1285</v>
      </c>
      <c r="B1045" t="s">
        <v>1223</v>
      </c>
      <c r="C1045" t="s">
        <v>1127</v>
      </c>
      <c r="D1045" t="s">
        <v>43</v>
      </c>
      <c r="E1045">
        <v>2170</v>
      </c>
      <c r="F1045" t="s">
        <v>1227</v>
      </c>
      <c r="G1045" t="s">
        <v>1219</v>
      </c>
      <c r="H1045" t="s">
        <v>1210</v>
      </c>
    </row>
    <row r="1046" spans="1:8" x14ac:dyDescent="0.45">
      <c r="A1046" t="s">
        <v>1286</v>
      </c>
      <c r="B1046" t="s">
        <v>1225</v>
      </c>
      <c r="C1046" t="s">
        <v>1119</v>
      </c>
      <c r="D1046" t="s">
        <v>10</v>
      </c>
      <c r="E1046">
        <v>1429</v>
      </c>
      <c r="F1046" t="s">
        <v>1227</v>
      </c>
      <c r="G1046" t="s">
        <v>1219</v>
      </c>
      <c r="H1046" t="s">
        <v>1210</v>
      </c>
    </row>
    <row r="1047" spans="1:8" x14ac:dyDescent="0.45">
      <c r="A1047" t="s">
        <v>1287</v>
      </c>
      <c r="B1047" t="s">
        <v>1223</v>
      </c>
      <c r="C1047" t="s">
        <v>1122</v>
      </c>
      <c r="D1047" t="s">
        <v>53</v>
      </c>
      <c r="E1047">
        <v>2224</v>
      </c>
      <c r="F1047" t="s">
        <v>1224</v>
      </c>
      <c r="G1047" t="s">
        <v>1219</v>
      </c>
      <c r="H1047" t="s">
        <v>1210</v>
      </c>
    </row>
    <row r="1048" spans="1:8" x14ac:dyDescent="0.45">
      <c r="A1048" t="s">
        <v>1288</v>
      </c>
      <c r="B1048" t="s">
        <v>1225</v>
      </c>
      <c r="C1048" t="s">
        <v>1123</v>
      </c>
      <c r="D1048" t="s">
        <v>51</v>
      </c>
      <c r="E1048">
        <v>1174</v>
      </c>
      <c r="F1048" t="s">
        <v>1224</v>
      </c>
      <c r="G1048" t="s">
        <v>1219</v>
      </c>
      <c r="H1048" t="s">
        <v>1210</v>
      </c>
    </row>
    <row r="1049" spans="1:8" x14ac:dyDescent="0.45">
      <c r="A1049" t="s">
        <v>1289</v>
      </c>
      <c r="B1049" t="s">
        <v>1225</v>
      </c>
      <c r="C1049" t="s">
        <v>1128</v>
      </c>
      <c r="D1049" t="s">
        <v>84</v>
      </c>
      <c r="E1049">
        <v>2093</v>
      </c>
      <c r="F1049" t="s">
        <v>1220</v>
      </c>
      <c r="G1049" t="s">
        <v>1219</v>
      </c>
      <c r="H1049" t="s">
        <v>1210</v>
      </c>
    </row>
    <row r="1050" spans="1:8" x14ac:dyDescent="0.45">
      <c r="A1050" t="s">
        <v>1290</v>
      </c>
      <c r="B1050" t="s">
        <v>1223</v>
      </c>
      <c r="C1050" t="s">
        <v>1117</v>
      </c>
      <c r="D1050" t="s">
        <v>56</v>
      </c>
      <c r="E1050">
        <v>2078</v>
      </c>
      <c r="F1050" t="s">
        <v>1224</v>
      </c>
      <c r="G1050" t="s">
        <v>1219</v>
      </c>
      <c r="H1050" t="s">
        <v>1210</v>
      </c>
    </row>
    <row r="1051" spans="1:8" x14ac:dyDescent="0.45">
      <c r="A1051" t="s">
        <v>1291</v>
      </c>
      <c r="B1051" t="s">
        <v>1225</v>
      </c>
      <c r="C1051" t="s">
        <v>1128</v>
      </c>
      <c r="D1051" t="s">
        <v>103</v>
      </c>
      <c r="E1051">
        <v>1237</v>
      </c>
      <c r="F1051" t="s">
        <v>1224</v>
      </c>
      <c r="G1051" t="s">
        <v>1219</v>
      </c>
      <c r="H1051" t="s">
        <v>1210</v>
      </c>
    </row>
    <row r="1052" spans="1:8" x14ac:dyDescent="0.45">
      <c r="A1052" t="s">
        <v>1292</v>
      </c>
      <c r="B1052" t="s">
        <v>1217</v>
      </c>
      <c r="C1052" t="s">
        <v>1114</v>
      </c>
      <c r="D1052" t="s">
        <v>43</v>
      </c>
      <c r="E1052">
        <v>1468</v>
      </c>
      <c r="F1052" t="s">
        <v>1224</v>
      </c>
      <c r="G1052" t="s">
        <v>1219</v>
      </c>
      <c r="H1052" t="s">
        <v>1210</v>
      </c>
    </row>
    <row r="1053" spans="1:8" x14ac:dyDescent="0.45">
      <c r="A1053" t="s">
        <v>1293</v>
      </c>
      <c r="B1053" t="s">
        <v>1225</v>
      </c>
      <c r="C1053" t="s">
        <v>1119</v>
      </c>
      <c r="D1053" t="s">
        <v>36</v>
      </c>
      <c r="E1053">
        <v>2572</v>
      </c>
      <c r="F1053" t="s">
        <v>1227</v>
      </c>
      <c r="G1053" t="s">
        <v>1219</v>
      </c>
      <c r="H1053" t="s">
        <v>1210</v>
      </c>
    </row>
    <row r="1054" spans="1:8" x14ac:dyDescent="0.45">
      <c r="A1054" t="s">
        <v>1294</v>
      </c>
      <c r="B1054" t="s">
        <v>1225</v>
      </c>
      <c r="C1054" t="s">
        <v>1128</v>
      </c>
      <c r="D1054" t="s">
        <v>1140</v>
      </c>
      <c r="E1054">
        <v>692</v>
      </c>
      <c r="F1054" t="s">
        <v>1224</v>
      </c>
      <c r="G1054" t="s">
        <v>1219</v>
      </c>
      <c r="H1054" t="s">
        <v>1210</v>
      </c>
    </row>
    <row r="1055" spans="1:8" x14ac:dyDescent="0.45">
      <c r="A1055" t="s">
        <v>1295</v>
      </c>
      <c r="B1055" t="s">
        <v>1217</v>
      </c>
      <c r="C1055" t="s">
        <v>1115</v>
      </c>
      <c r="D1055" t="s">
        <v>53</v>
      </c>
      <c r="E1055">
        <v>2293</v>
      </c>
      <c r="F1055" t="s">
        <v>1224</v>
      </c>
      <c r="G1055" t="s">
        <v>1219</v>
      </c>
      <c r="H1055" t="s">
        <v>1210</v>
      </c>
    </row>
    <row r="1056" spans="1:8" x14ac:dyDescent="0.45">
      <c r="A1056" t="s">
        <v>1296</v>
      </c>
      <c r="B1056" t="s">
        <v>1225</v>
      </c>
      <c r="C1056" t="s">
        <v>1123</v>
      </c>
      <c r="D1056" t="s">
        <v>39</v>
      </c>
      <c r="E1056">
        <v>1442</v>
      </c>
      <c r="F1056" t="s">
        <v>1224</v>
      </c>
      <c r="G1056" t="s">
        <v>1219</v>
      </c>
      <c r="H1056" t="s">
        <v>1210</v>
      </c>
    </row>
    <row r="1057" spans="1:8" x14ac:dyDescent="0.45">
      <c r="A1057" t="s">
        <v>1297</v>
      </c>
      <c r="B1057" t="s">
        <v>1223</v>
      </c>
      <c r="C1057" t="s">
        <v>1117</v>
      </c>
      <c r="D1057" t="s">
        <v>35</v>
      </c>
      <c r="E1057">
        <v>1190</v>
      </c>
      <c r="F1057" t="s">
        <v>1224</v>
      </c>
      <c r="G1057" t="s">
        <v>1219</v>
      </c>
      <c r="H1057" t="s">
        <v>1210</v>
      </c>
    </row>
    <row r="1058" spans="1:8" x14ac:dyDescent="0.45">
      <c r="A1058" t="s">
        <v>1298</v>
      </c>
      <c r="B1058" t="s">
        <v>1217</v>
      </c>
      <c r="C1058" t="s">
        <v>1115</v>
      </c>
      <c r="D1058" t="s">
        <v>70</v>
      </c>
      <c r="E1058">
        <v>1253</v>
      </c>
      <c r="F1058" t="s">
        <v>1224</v>
      </c>
      <c r="G1058" t="s">
        <v>1219</v>
      </c>
      <c r="H1058" t="s">
        <v>1210</v>
      </c>
    </row>
    <row r="1059" spans="1:8" x14ac:dyDescent="0.45">
      <c r="A1059" t="s">
        <v>1299</v>
      </c>
      <c r="B1059" t="s">
        <v>1217</v>
      </c>
      <c r="C1059" t="s">
        <v>1120</v>
      </c>
      <c r="D1059" t="s">
        <v>60</v>
      </c>
      <c r="E1059">
        <v>2685</v>
      </c>
      <c r="F1059" t="s">
        <v>1220</v>
      </c>
      <c r="G1059" t="s">
        <v>1219</v>
      </c>
      <c r="H1059" t="s">
        <v>1210</v>
      </c>
    </row>
    <row r="1060" spans="1:8" x14ac:dyDescent="0.45">
      <c r="A1060" t="s">
        <v>1300</v>
      </c>
      <c r="B1060" t="s">
        <v>1217</v>
      </c>
      <c r="C1060" t="s">
        <v>1115</v>
      </c>
      <c r="D1060" t="s">
        <v>55</v>
      </c>
      <c r="E1060">
        <v>1894</v>
      </c>
      <c r="F1060" t="s">
        <v>1224</v>
      </c>
      <c r="G1060" t="s">
        <v>1219</v>
      </c>
      <c r="H1060" t="s">
        <v>1210</v>
      </c>
    </row>
    <row r="1061" spans="1:8" x14ac:dyDescent="0.45">
      <c r="A1061" t="s">
        <v>1301</v>
      </c>
      <c r="B1061" t="s">
        <v>1225</v>
      </c>
      <c r="C1061" t="s">
        <v>1128</v>
      </c>
      <c r="D1061" t="s">
        <v>7</v>
      </c>
      <c r="E1061">
        <v>645</v>
      </c>
      <c r="F1061" t="s">
        <v>1220</v>
      </c>
      <c r="G1061" t="s">
        <v>1219</v>
      </c>
      <c r="H1061" t="s">
        <v>1210</v>
      </c>
    </row>
    <row r="1062" spans="1:8" x14ac:dyDescent="0.45">
      <c r="A1062" t="s">
        <v>1302</v>
      </c>
      <c r="B1062" t="s">
        <v>1223</v>
      </c>
      <c r="C1062" t="s">
        <v>1124</v>
      </c>
      <c r="D1062" t="s">
        <v>63</v>
      </c>
      <c r="E1062">
        <v>1308</v>
      </c>
      <c r="F1062" t="s">
        <v>1224</v>
      </c>
      <c r="G1062" t="s">
        <v>1219</v>
      </c>
      <c r="H1062" t="s">
        <v>1210</v>
      </c>
    </row>
    <row r="1063" spans="1:8" x14ac:dyDescent="0.45">
      <c r="A1063" t="s">
        <v>1303</v>
      </c>
      <c r="B1063" t="s">
        <v>1225</v>
      </c>
      <c r="C1063" t="s">
        <v>1119</v>
      </c>
      <c r="D1063" t="s">
        <v>53</v>
      </c>
      <c r="E1063">
        <v>1997</v>
      </c>
      <c r="F1063" t="s">
        <v>1224</v>
      </c>
      <c r="G1063" t="s">
        <v>1219</v>
      </c>
      <c r="H1063" t="s">
        <v>1210</v>
      </c>
    </row>
    <row r="1064" spans="1:8" x14ac:dyDescent="0.45">
      <c r="A1064" t="s">
        <v>1304</v>
      </c>
      <c r="B1064" t="s">
        <v>1225</v>
      </c>
      <c r="C1064" t="s">
        <v>1118</v>
      </c>
      <c r="D1064" t="s">
        <v>63</v>
      </c>
      <c r="E1064">
        <v>1315</v>
      </c>
      <c r="F1064" t="s">
        <v>1224</v>
      </c>
      <c r="G1064" t="s">
        <v>1219</v>
      </c>
      <c r="H1064" t="s">
        <v>1210</v>
      </c>
    </row>
    <row r="1065" spans="1:8" x14ac:dyDescent="0.45">
      <c r="A1065" t="s">
        <v>1305</v>
      </c>
      <c r="B1065" t="s">
        <v>1223</v>
      </c>
      <c r="C1065" t="s">
        <v>1127</v>
      </c>
      <c r="D1065" t="s">
        <v>63</v>
      </c>
      <c r="E1065">
        <v>294</v>
      </c>
      <c r="F1065" t="s">
        <v>1227</v>
      </c>
      <c r="G1065" t="s">
        <v>1219</v>
      </c>
      <c r="H1065" t="s">
        <v>1210</v>
      </c>
    </row>
    <row r="1066" spans="1:8" x14ac:dyDescent="0.45">
      <c r="A1066" t="s">
        <v>1306</v>
      </c>
      <c r="B1066" t="s">
        <v>1223</v>
      </c>
      <c r="C1066" t="s">
        <v>1121</v>
      </c>
      <c r="D1066" t="s">
        <v>12</v>
      </c>
      <c r="E1066">
        <v>1490</v>
      </c>
      <c r="F1066" t="s">
        <v>1220</v>
      </c>
      <c r="G1066" t="s">
        <v>1219</v>
      </c>
      <c r="H1066" t="s">
        <v>1210</v>
      </c>
    </row>
    <row r="1067" spans="1:8" x14ac:dyDescent="0.45">
      <c r="A1067" t="s">
        <v>1307</v>
      </c>
      <c r="B1067" t="s">
        <v>1225</v>
      </c>
      <c r="C1067" t="s">
        <v>1128</v>
      </c>
      <c r="D1067" t="s">
        <v>36</v>
      </c>
      <c r="E1067">
        <v>2448</v>
      </c>
      <c r="F1067" t="s">
        <v>1234</v>
      </c>
      <c r="G1067" t="s">
        <v>1221</v>
      </c>
      <c r="H1067" t="s">
        <v>1210</v>
      </c>
    </row>
    <row r="1068" spans="1:8" x14ac:dyDescent="0.45">
      <c r="A1068" t="s">
        <v>1308</v>
      </c>
      <c r="B1068" t="s">
        <v>1223</v>
      </c>
      <c r="C1068" t="s">
        <v>1117</v>
      </c>
      <c r="D1068" t="s">
        <v>37</v>
      </c>
      <c r="E1068">
        <v>1080</v>
      </c>
      <c r="F1068" t="s">
        <v>1220</v>
      </c>
      <c r="G1068" t="s">
        <v>1219</v>
      </c>
      <c r="H1068" t="s">
        <v>1210</v>
      </c>
    </row>
    <row r="1069" spans="1:8" x14ac:dyDescent="0.45">
      <c r="A1069" t="s">
        <v>1309</v>
      </c>
      <c r="B1069" t="s">
        <v>1223</v>
      </c>
      <c r="C1069" t="s">
        <v>1122</v>
      </c>
      <c r="D1069" t="s">
        <v>87</v>
      </c>
      <c r="E1069">
        <v>564</v>
      </c>
      <c r="F1069" t="s">
        <v>1224</v>
      </c>
      <c r="G1069" t="s">
        <v>1219</v>
      </c>
      <c r="H1069" t="s">
        <v>1210</v>
      </c>
    </row>
    <row r="1070" spans="1:8" x14ac:dyDescent="0.45">
      <c r="A1070" t="s">
        <v>1310</v>
      </c>
      <c r="B1070" t="s">
        <v>1223</v>
      </c>
      <c r="C1070" t="s">
        <v>1127</v>
      </c>
      <c r="D1070" t="s">
        <v>53</v>
      </c>
      <c r="E1070">
        <v>2168</v>
      </c>
      <c r="F1070" t="s">
        <v>1227</v>
      </c>
      <c r="G1070" t="s">
        <v>1219</v>
      </c>
      <c r="H1070" t="s">
        <v>1210</v>
      </c>
    </row>
    <row r="1071" spans="1:8" x14ac:dyDescent="0.45">
      <c r="A1071" t="s">
        <v>1311</v>
      </c>
      <c r="B1071" t="s">
        <v>1217</v>
      </c>
      <c r="C1071" t="s">
        <v>1120</v>
      </c>
      <c r="D1071" t="s">
        <v>93</v>
      </c>
      <c r="E1071">
        <v>757</v>
      </c>
      <c r="F1071" t="s">
        <v>1220</v>
      </c>
      <c r="G1071" t="s">
        <v>1219</v>
      </c>
      <c r="H1071" t="s">
        <v>1210</v>
      </c>
    </row>
    <row r="1072" spans="1:8" x14ac:dyDescent="0.45">
      <c r="A1072" t="s">
        <v>1312</v>
      </c>
      <c r="B1072" t="s">
        <v>1225</v>
      </c>
      <c r="C1072" t="s">
        <v>1119</v>
      </c>
      <c r="D1072" t="s">
        <v>37</v>
      </c>
      <c r="E1072">
        <v>2721</v>
      </c>
      <c r="F1072" t="s">
        <v>1227</v>
      </c>
      <c r="G1072" t="s">
        <v>1219</v>
      </c>
      <c r="H1072" t="s">
        <v>1210</v>
      </c>
    </row>
    <row r="1073" spans="1:8" x14ac:dyDescent="0.45">
      <c r="A1073" t="s">
        <v>1313</v>
      </c>
      <c r="B1073" t="s">
        <v>1223</v>
      </c>
      <c r="C1073" t="s">
        <v>1117</v>
      </c>
      <c r="D1073" t="s">
        <v>1140</v>
      </c>
      <c r="E1073">
        <v>1676</v>
      </c>
      <c r="F1073" t="s">
        <v>1220</v>
      </c>
      <c r="G1073" t="s">
        <v>1219</v>
      </c>
      <c r="H1073" t="s">
        <v>1210</v>
      </c>
    </row>
    <row r="1074" spans="1:8" x14ac:dyDescent="0.45">
      <c r="A1074" t="s">
        <v>1314</v>
      </c>
      <c r="B1074" t="s">
        <v>1223</v>
      </c>
      <c r="C1074" t="s">
        <v>1122</v>
      </c>
      <c r="D1074" t="s">
        <v>36</v>
      </c>
      <c r="E1074">
        <v>871</v>
      </c>
      <c r="F1074" t="s">
        <v>1224</v>
      </c>
      <c r="G1074" t="s">
        <v>1219</v>
      </c>
      <c r="H1074" t="s">
        <v>1210</v>
      </c>
    </row>
    <row r="1075" spans="1:8" x14ac:dyDescent="0.45">
      <c r="A1075" t="s">
        <v>1315</v>
      </c>
      <c r="B1075" t="s">
        <v>1217</v>
      </c>
      <c r="C1075" t="s">
        <v>1126</v>
      </c>
      <c r="D1075" t="s">
        <v>69</v>
      </c>
      <c r="E1075">
        <v>1453</v>
      </c>
      <c r="F1075" t="s">
        <v>1224</v>
      </c>
      <c r="G1075" t="s">
        <v>1219</v>
      </c>
      <c r="H1075" t="s">
        <v>1210</v>
      </c>
    </row>
    <row r="1076" spans="1:8" x14ac:dyDescent="0.45">
      <c r="A1076" t="s">
        <v>1316</v>
      </c>
      <c r="B1076" t="s">
        <v>1225</v>
      </c>
      <c r="C1076" t="s">
        <v>1118</v>
      </c>
      <c r="D1076" t="s">
        <v>12</v>
      </c>
      <c r="E1076">
        <v>1792</v>
      </c>
      <c r="F1076" t="s">
        <v>1220</v>
      </c>
      <c r="G1076" t="s">
        <v>1219</v>
      </c>
      <c r="H1076" t="s">
        <v>1210</v>
      </c>
    </row>
    <row r="1077" spans="1:8" x14ac:dyDescent="0.45">
      <c r="A1077" t="s">
        <v>1317</v>
      </c>
      <c r="B1077" t="s">
        <v>1223</v>
      </c>
      <c r="C1077" t="s">
        <v>1124</v>
      </c>
      <c r="D1077" t="s">
        <v>53</v>
      </c>
      <c r="E1077">
        <v>1984</v>
      </c>
      <c r="F1077" t="s">
        <v>1224</v>
      </c>
      <c r="G1077" t="s">
        <v>1219</v>
      </c>
      <c r="H1077" t="s">
        <v>1210</v>
      </c>
    </row>
    <row r="1078" spans="1:8" x14ac:dyDescent="0.45">
      <c r="A1078" t="s">
        <v>1318</v>
      </c>
      <c r="B1078" t="s">
        <v>1225</v>
      </c>
      <c r="C1078" t="s">
        <v>1123</v>
      </c>
      <c r="D1078" t="s">
        <v>96</v>
      </c>
      <c r="E1078">
        <v>1844</v>
      </c>
      <c r="F1078" t="s">
        <v>1224</v>
      </c>
      <c r="G1078" t="s">
        <v>1219</v>
      </c>
      <c r="H1078" t="s">
        <v>1210</v>
      </c>
    </row>
    <row r="1079" spans="1:8" x14ac:dyDescent="0.45">
      <c r="A1079" t="s">
        <v>1319</v>
      </c>
      <c r="B1079" t="s">
        <v>1223</v>
      </c>
      <c r="C1079" t="s">
        <v>1117</v>
      </c>
      <c r="D1079" t="s">
        <v>61</v>
      </c>
      <c r="E1079">
        <v>1553</v>
      </c>
      <c r="F1079" t="s">
        <v>1220</v>
      </c>
      <c r="G1079" t="s">
        <v>1219</v>
      </c>
      <c r="H1079" t="s">
        <v>1210</v>
      </c>
    </row>
    <row r="1080" spans="1:8" x14ac:dyDescent="0.45">
      <c r="A1080" t="s">
        <v>1320</v>
      </c>
      <c r="B1080" t="s">
        <v>1223</v>
      </c>
      <c r="C1080" t="s">
        <v>1121</v>
      </c>
      <c r="D1080" t="s">
        <v>13</v>
      </c>
      <c r="E1080">
        <v>2839</v>
      </c>
      <c r="F1080" t="s">
        <v>1235</v>
      </c>
      <c r="G1080" t="s">
        <v>1219</v>
      </c>
      <c r="H1080" t="s">
        <v>1210</v>
      </c>
    </row>
    <row r="1081" spans="1:8" x14ac:dyDescent="0.45">
      <c r="A1081" t="s">
        <v>1321</v>
      </c>
      <c r="B1081" t="s">
        <v>1225</v>
      </c>
      <c r="C1081" t="s">
        <v>1119</v>
      </c>
      <c r="D1081" t="s">
        <v>44</v>
      </c>
      <c r="E1081">
        <v>649</v>
      </c>
      <c r="F1081" t="s">
        <v>1220</v>
      </c>
      <c r="G1081" t="s">
        <v>1219</v>
      </c>
      <c r="H1081" t="s">
        <v>1210</v>
      </c>
    </row>
    <row r="1082" spans="1:8" x14ac:dyDescent="0.45">
      <c r="A1082" t="s">
        <v>1322</v>
      </c>
      <c r="B1082" t="s">
        <v>1223</v>
      </c>
      <c r="C1082" t="s">
        <v>1127</v>
      </c>
      <c r="D1082" t="s">
        <v>1137</v>
      </c>
      <c r="E1082">
        <v>2045</v>
      </c>
      <c r="F1082" t="s">
        <v>1220</v>
      </c>
      <c r="G1082" t="s">
        <v>1219</v>
      </c>
      <c r="H1082" t="s">
        <v>1210</v>
      </c>
    </row>
    <row r="1083" spans="1:8" x14ac:dyDescent="0.45">
      <c r="A1083" t="s">
        <v>1323</v>
      </c>
      <c r="B1083" t="s">
        <v>1225</v>
      </c>
      <c r="C1083" t="s">
        <v>1125</v>
      </c>
      <c r="D1083" t="s">
        <v>56</v>
      </c>
      <c r="E1083">
        <v>963</v>
      </c>
      <c r="F1083" t="s">
        <v>1220</v>
      </c>
      <c r="G1083" t="s">
        <v>1219</v>
      </c>
      <c r="H1083" t="s">
        <v>1210</v>
      </c>
    </row>
    <row r="1084" spans="1:8" x14ac:dyDescent="0.45">
      <c r="A1084" t="s">
        <v>1324</v>
      </c>
      <c r="B1084" t="s">
        <v>1223</v>
      </c>
      <c r="C1084" t="s">
        <v>1124</v>
      </c>
      <c r="D1084" t="s">
        <v>102</v>
      </c>
      <c r="E1084">
        <v>1989</v>
      </c>
      <c r="F1084" t="s">
        <v>1224</v>
      </c>
      <c r="G1084" t="s">
        <v>1219</v>
      </c>
      <c r="H1084" t="s">
        <v>1210</v>
      </c>
    </row>
    <row r="1085" spans="1:8" x14ac:dyDescent="0.45">
      <c r="A1085" t="s">
        <v>1325</v>
      </c>
      <c r="B1085" t="s">
        <v>1223</v>
      </c>
      <c r="C1085" t="s">
        <v>1127</v>
      </c>
      <c r="D1085" t="s">
        <v>55</v>
      </c>
      <c r="E1085">
        <v>662</v>
      </c>
      <c r="F1085" t="s">
        <v>1227</v>
      </c>
      <c r="G1085" t="s">
        <v>1219</v>
      </c>
      <c r="H1085" t="s">
        <v>1210</v>
      </c>
    </row>
    <row r="1086" spans="1:8" x14ac:dyDescent="0.45">
      <c r="A1086" t="s">
        <v>1326</v>
      </c>
      <c r="B1086" t="s">
        <v>1225</v>
      </c>
      <c r="C1086" t="s">
        <v>1119</v>
      </c>
      <c r="D1086" t="s">
        <v>66</v>
      </c>
      <c r="E1086">
        <v>924</v>
      </c>
      <c r="F1086" t="s">
        <v>1220</v>
      </c>
      <c r="G1086" t="s">
        <v>1219</v>
      </c>
      <c r="H1086" t="s">
        <v>1210</v>
      </c>
    </row>
    <row r="1087" spans="1:8" x14ac:dyDescent="0.45">
      <c r="A1087" t="s">
        <v>1327</v>
      </c>
      <c r="B1087" t="s">
        <v>1223</v>
      </c>
      <c r="C1087" t="s">
        <v>1122</v>
      </c>
      <c r="D1087" t="s">
        <v>57</v>
      </c>
      <c r="E1087">
        <v>769</v>
      </c>
      <c r="F1087" t="s">
        <v>1224</v>
      </c>
      <c r="G1087" t="s">
        <v>1219</v>
      </c>
      <c r="H1087" t="s">
        <v>1210</v>
      </c>
    </row>
    <row r="1088" spans="1:8" x14ac:dyDescent="0.45">
      <c r="A1088" t="s">
        <v>1328</v>
      </c>
      <c r="B1088" t="s">
        <v>1223</v>
      </c>
      <c r="C1088" t="s">
        <v>1121</v>
      </c>
      <c r="D1088" t="s">
        <v>108</v>
      </c>
      <c r="E1088">
        <v>630</v>
      </c>
      <c r="F1088" t="s">
        <v>1220</v>
      </c>
      <c r="G1088" t="s">
        <v>1219</v>
      </c>
      <c r="H1088" t="s">
        <v>1210</v>
      </c>
    </row>
    <row r="1089" spans="1:8" x14ac:dyDescent="0.45">
      <c r="A1089" t="s">
        <v>1329</v>
      </c>
      <c r="B1089" t="s">
        <v>1217</v>
      </c>
      <c r="C1089" t="s">
        <v>1116</v>
      </c>
      <c r="D1089" t="s">
        <v>13</v>
      </c>
      <c r="E1089">
        <v>2516</v>
      </c>
      <c r="F1089" t="s">
        <v>1220</v>
      </c>
      <c r="G1089" t="s">
        <v>1219</v>
      </c>
      <c r="H1089" t="s">
        <v>1210</v>
      </c>
    </row>
    <row r="1090" spans="1:8" x14ac:dyDescent="0.45">
      <c r="A1090" t="s">
        <v>1330</v>
      </c>
      <c r="B1090" t="s">
        <v>1217</v>
      </c>
      <c r="C1090" t="s">
        <v>1116</v>
      </c>
      <c r="D1090" t="s">
        <v>23</v>
      </c>
      <c r="E1090">
        <v>1434</v>
      </c>
      <c r="F1090" t="s">
        <v>1240</v>
      </c>
      <c r="G1090" t="s">
        <v>1219</v>
      </c>
      <c r="H1090" t="s">
        <v>1210</v>
      </c>
    </row>
    <row r="1091" spans="1:8" x14ac:dyDescent="0.45">
      <c r="A1091" t="s">
        <v>1331</v>
      </c>
      <c r="B1091" t="s">
        <v>1223</v>
      </c>
      <c r="C1091" t="s">
        <v>1127</v>
      </c>
      <c r="D1091" t="s">
        <v>51</v>
      </c>
      <c r="E1091">
        <v>2717</v>
      </c>
      <c r="F1091" t="s">
        <v>1220</v>
      </c>
      <c r="G1091" t="s">
        <v>1219</v>
      </c>
      <c r="H1091" t="s">
        <v>1210</v>
      </c>
    </row>
    <row r="1092" spans="1:8" x14ac:dyDescent="0.45">
      <c r="A1092" t="s">
        <v>1332</v>
      </c>
      <c r="B1092" t="s">
        <v>1217</v>
      </c>
      <c r="C1092" t="s">
        <v>1126</v>
      </c>
      <c r="D1092" t="s">
        <v>5</v>
      </c>
      <c r="E1092">
        <v>1957</v>
      </c>
      <c r="F1092" t="s">
        <v>1224</v>
      </c>
      <c r="G1092" t="s">
        <v>1219</v>
      </c>
      <c r="H1092" t="s">
        <v>1210</v>
      </c>
    </row>
    <row r="1093" spans="1:8" x14ac:dyDescent="0.45">
      <c r="A1093" t="s">
        <v>1333</v>
      </c>
      <c r="B1093" t="s">
        <v>1223</v>
      </c>
      <c r="C1093" t="s">
        <v>1124</v>
      </c>
      <c r="D1093" t="s">
        <v>36</v>
      </c>
      <c r="E1093">
        <v>2201</v>
      </c>
      <c r="F1093" t="s">
        <v>1226</v>
      </c>
      <c r="G1093" t="s">
        <v>1219</v>
      </c>
      <c r="H1093" t="s">
        <v>1210</v>
      </c>
    </row>
    <row r="1094" spans="1:8" x14ac:dyDescent="0.45">
      <c r="A1094" t="s">
        <v>1334</v>
      </c>
      <c r="B1094" t="s">
        <v>1217</v>
      </c>
      <c r="C1094" t="s">
        <v>1114</v>
      </c>
      <c r="D1094" t="s">
        <v>84</v>
      </c>
      <c r="E1094">
        <v>2138</v>
      </c>
      <c r="F1094" t="s">
        <v>1227</v>
      </c>
      <c r="G1094" t="s">
        <v>1219</v>
      </c>
      <c r="H1094" t="s">
        <v>1210</v>
      </c>
    </row>
    <row r="1095" spans="1:8" x14ac:dyDescent="0.45">
      <c r="A1095" t="s">
        <v>1335</v>
      </c>
      <c r="B1095" t="s">
        <v>1225</v>
      </c>
      <c r="C1095" t="s">
        <v>1118</v>
      </c>
      <c r="D1095" t="s">
        <v>68</v>
      </c>
      <c r="E1095">
        <v>327</v>
      </c>
      <c r="F1095" t="s">
        <v>1224</v>
      </c>
      <c r="G1095" t="s">
        <v>1219</v>
      </c>
      <c r="H1095" t="s">
        <v>1210</v>
      </c>
    </row>
    <row r="1096" spans="1:8" x14ac:dyDescent="0.45">
      <c r="A1096" t="s">
        <v>1336</v>
      </c>
      <c r="B1096" t="s">
        <v>1217</v>
      </c>
      <c r="C1096" t="s">
        <v>1120</v>
      </c>
      <c r="D1096" t="s">
        <v>1130</v>
      </c>
      <c r="E1096">
        <v>1586</v>
      </c>
      <c r="F1096" t="s">
        <v>1220</v>
      </c>
      <c r="G1096" t="s">
        <v>1219</v>
      </c>
      <c r="H1096" t="s">
        <v>1210</v>
      </c>
    </row>
    <row r="1097" spans="1:8" x14ac:dyDescent="0.45">
      <c r="A1097" t="s">
        <v>1337</v>
      </c>
      <c r="B1097" t="s">
        <v>1225</v>
      </c>
      <c r="C1097" t="s">
        <v>1119</v>
      </c>
      <c r="D1097" t="s">
        <v>1133</v>
      </c>
      <c r="E1097">
        <v>558</v>
      </c>
      <c r="F1097" t="s">
        <v>1224</v>
      </c>
      <c r="G1097" t="s">
        <v>1221</v>
      </c>
      <c r="H1097" t="s">
        <v>1210</v>
      </c>
    </row>
    <row r="1098" spans="1:8" x14ac:dyDescent="0.45">
      <c r="A1098" t="s">
        <v>1338</v>
      </c>
      <c r="B1098" t="s">
        <v>1223</v>
      </c>
      <c r="C1098" t="s">
        <v>1117</v>
      </c>
      <c r="D1098" t="s">
        <v>106</v>
      </c>
      <c r="E1098">
        <v>507</v>
      </c>
      <c r="F1098" t="s">
        <v>1224</v>
      </c>
      <c r="G1098" t="s">
        <v>1219</v>
      </c>
      <c r="H1098" t="s">
        <v>1210</v>
      </c>
    </row>
    <row r="1099" spans="1:8" x14ac:dyDescent="0.45">
      <c r="A1099" t="s">
        <v>1339</v>
      </c>
      <c r="B1099" t="s">
        <v>1225</v>
      </c>
      <c r="C1099" t="s">
        <v>1123</v>
      </c>
      <c r="D1099" t="s">
        <v>51</v>
      </c>
      <c r="E1099">
        <v>2301</v>
      </c>
      <c r="F1099" t="s">
        <v>1224</v>
      </c>
      <c r="G1099" t="s">
        <v>1219</v>
      </c>
      <c r="H1099" t="s">
        <v>1210</v>
      </c>
    </row>
    <row r="1100" spans="1:8" x14ac:dyDescent="0.45">
      <c r="A1100" t="s">
        <v>1340</v>
      </c>
      <c r="B1100" t="s">
        <v>1223</v>
      </c>
      <c r="C1100" t="s">
        <v>1124</v>
      </c>
      <c r="D1100" t="s">
        <v>99</v>
      </c>
      <c r="E1100">
        <v>1831</v>
      </c>
      <c r="F1100" t="s">
        <v>1224</v>
      </c>
      <c r="G1100" t="s">
        <v>1219</v>
      </c>
      <c r="H1100" t="s">
        <v>1210</v>
      </c>
    </row>
    <row r="1101" spans="1:8" x14ac:dyDescent="0.45">
      <c r="A1101" t="s">
        <v>1341</v>
      </c>
      <c r="B1101" t="s">
        <v>1217</v>
      </c>
      <c r="C1101" t="s">
        <v>1115</v>
      </c>
      <c r="D1101" t="s">
        <v>43</v>
      </c>
      <c r="E1101">
        <v>2062</v>
      </c>
      <c r="F1101" t="s">
        <v>1220</v>
      </c>
      <c r="G1101" t="s">
        <v>1219</v>
      </c>
      <c r="H1101" t="s">
        <v>1210</v>
      </c>
    </row>
    <row r="1102" spans="1:8" x14ac:dyDescent="0.45">
      <c r="A1102" t="s">
        <v>1342</v>
      </c>
      <c r="B1102" t="s">
        <v>1223</v>
      </c>
      <c r="C1102" t="s">
        <v>1122</v>
      </c>
      <c r="D1102" t="s">
        <v>54</v>
      </c>
      <c r="E1102">
        <v>1723</v>
      </c>
      <c r="F1102" t="s">
        <v>1224</v>
      </c>
      <c r="G1102" t="s">
        <v>1219</v>
      </c>
      <c r="H1102" t="s">
        <v>1210</v>
      </c>
    </row>
    <row r="1103" spans="1:8" x14ac:dyDescent="0.45">
      <c r="A1103" t="s">
        <v>1343</v>
      </c>
      <c r="B1103" t="s">
        <v>1223</v>
      </c>
      <c r="C1103" t="s">
        <v>1121</v>
      </c>
      <c r="D1103" t="s">
        <v>59</v>
      </c>
      <c r="E1103">
        <v>1527</v>
      </c>
      <c r="F1103" t="s">
        <v>1224</v>
      </c>
      <c r="G1103" t="s">
        <v>1219</v>
      </c>
      <c r="H1103" t="s">
        <v>1210</v>
      </c>
    </row>
    <row r="1104" spans="1:8" x14ac:dyDescent="0.45">
      <c r="A1104" t="s">
        <v>1344</v>
      </c>
      <c r="B1104" t="s">
        <v>1225</v>
      </c>
      <c r="C1104" t="s">
        <v>1128</v>
      </c>
      <c r="D1104" t="s">
        <v>52</v>
      </c>
      <c r="E1104">
        <v>668</v>
      </c>
      <c r="F1104" t="s">
        <v>1224</v>
      </c>
      <c r="G1104" t="s">
        <v>1219</v>
      </c>
      <c r="H1104" t="s">
        <v>1210</v>
      </c>
    </row>
    <row r="1105" spans="1:8" x14ac:dyDescent="0.45">
      <c r="A1105" t="s">
        <v>1345</v>
      </c>
      <c r="B1105" t="s">
        <v>1223</v>
      </c>
      <c r="C1105" t="s">
        <v>1124</v>
      </c>
      <c r="D1105" t="s">
        <v>100</v>
      </c>
      <c r="E1105">
        <v>611</v>
      </c>
      <c r="F1105" t="s">
        <v>1224</v>
      </c>
      <c r="G1105" t="s">
        <v>1219</v>
      </c>
      <c r="H1105" t="s">
        <v>1210</v>
      </c>
    </row>
    <row r="1106" spans="1:8" x14ac:dyDescent="0.45">
      <c r="A1106" t="s">
        <v>1346</v>
      </c>
      <c r="B1106" t="s">
        <v>1225</v>
      </c>
      <c r="C1106" t="s">
        <v>1128</v>
      </c>
      <c r="D1106" t="s">
        <v>18</v>
      </c>
      <c r="E1106">
        <v>1170</v>
      </c>
      <c r="F1106" t="s">
        <v>1224</v>
      </c>
      <c r="G1106" t="s">
        <v>1219</v>
      </c>
      <c r="H1106" t="s">
        <v>1210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2D54C-35C1-42B9-85B1-ABF9F55581AE}">
  <dimension ref="A1:H1501"/>
  <sheetViews>
    <sheetView zoomScale="87" workbookViewId="0">
      <selection activeCell="C17" sqref="C17"/>
    </sheetView>
  </sheetViews>
  <sheetFormatPr defaultRowHeight="14.25" x14ac:dyDescent="0.45"/>
  <cols>
    <col min="1" max="1" width="8.53125" bestFit="1" customWidth="1"/>
    <col min="2" max="2" width="11.59765625" bestFit="1" customWidth="1"/>
    <col min="3" max="3" width="17.46484375" bestFit="1" customWidth="1"/>
    <col min="4" max="4" width="18.06640625" bestFit="1" customWidth="1"/>
    <col min="5" max="5" width="16.19921875" bestFit="1" customWidth="1"/>
    <col min="6" max="6" width="16.1328125" bestFit="1" customWidth="1"/>
    <col min="7" max="7" width="18" bestFit="1" customWidth="1"/>
    <col min="8" max="8" width="11.796875" bestFit="1" customWidth="1"/>
  </cols>
  <sheetData>
    <row r="1" spans="1:8" x14ac:dyDescent="0.45">
      <c r="A1" t="s">
        <v>1203</v>
      </c>
      <c r="B1" t="s">
        <v>0</v>
      </c>
      <c r="C1" t="s">
        <v>1204</v>
      </c>
      <c r="D1" t="s">
        <v>1205</v>
      </c>
      <c r="E1" t="s">
        <v>1206</v>
      </c>
      <c r="F1" t="s">
        <v>1207</v>
      </c>
      <c r="G1" t="s">
        <v>1208</v>
      </c>
      <c r="H1" t="s">
        <v>1209</v>
      </c>
    </row>
    <row r="2" spans="1:8" x14ac:dyDescent="0.45">
      <c r="A2" t="s">
        <v>1117</v>
      </c>
      <c r="B2" t="s">
        <v>22</v>
      </c>
      <c r="C2">
        <v>2862</v>
      </c>
      <c r="D2">
        <v>395</v>
      </c>
      <c r="E2">
        <v>268.5</v>
      </c>
      <c r="F2">
        <v>2</v>
      </c>
      <c r="G2">
        <v>0.5</v>
      </c>
      <c r="H2" t="s">
        <v>1210</v>
      </c>
    </row>
    <row r="3" spans="1:8" x14ac:dyDescent="0.45">
      <c r="A3" t="s">
        <v>1122</v>
      </c>
      <c r="B3" t="s">
        <v>106</v>
      </c>
      <c r="C3">
        <v>3657</v>
      </c>
      <c r="D3">
        <v>408.6</v>
      </c>
      <c r="E3">
        <v>117.3</v>
      </c>
      <c r="F3">
        <v>0.7</v>
      </c>
      <c r="G3">
        <v>0.2</v>
      </c>
      <c r="H3" t="s">
        <v>1210</v>
      </c>
    </row>
    <row r="4" spans="1:8" x14ac:dyDescent="0.45">
      <c r="A4" t="s">
        <v>1127</v>
      </c>
      <c r="B4" t="s">
        <v>66</v>
      </c>
      <c r="C4">
        <v>4182</v>
      </c>
      <c r="E4">
        <v>63.7</v>
      </c>
      <c r="F4">
        <v>5</v>
      </c>
      <c r="G4">
        <v>0.9</v>
      </c>
      <c r="H4" t="s">
        <v>1210</v>
      </c>
    </row>
    <row r="5" spans="1:8" x14ac:dyDescent="0.45">
      <c r="A5" t="s">
        <v>1117</v>
      </c>
      <c r="B5" t="s">
        <v>100</v>
      </c>
      <c r="C5">
        <v>8913</v>
      </c>
      <c r="D5">
        <v>553.79999999999995</v>
      </c>
      <c r="E5">
        <v>67.5</v>
      </c>
      <c r="F5">
        <v>1.7</v>
      </c>
      <c r="G5">
        <v>0.5</v>
      </c>
      <c r="H5" t="s">
        <v>1210</v>
      </c>
    </row>
    <row r="6" spans="1:8" x14ac:dyDescent="0.45">
      <c r="A6" t="s">
        <v>1122</v>
      </c>
      <c r="B6" t="s">
        <v>18</v>
      </c>
      <c r="C6">
        <v>6474</v>
      </c>
      <c r="D6">
        <v>366.7</v>
      </c>
      <c r="E6">
        <v>43.8</v>
      </c>
      <c r="F6">
        <v>0.7</v>
      </c>
      <c r="G6">
        <v>0.2</v>
      </c>
      <c r="H6" t="s">
        <v>1210</v>
      </c>
    </row>
    <row r="7" spans="1:8" x14ac:dyDescent="0.45">
      <c r="A7" t="s">
        <v>1122</v>
      </c>
      <c r="B7" t="s">
        <v>29</v>
      </c>
      <c r="C7">
        <v>7599</v>
      </c>
      <c r="D7">
        <v>454.2</v>
      </c>
      <c r="E7">
        <v>93.4</v>
      </c>
      <c r="F7">
        <v>1.1000000000000001</v>
      </c>
      <c r="G7">
        <v>0.2</v>
      </c>
      <c r="H7" t="s">
        <v>1210</v>
      </c>
    </row>
    <row r="8" spans="1:8" x14ac:dyDescent="0.45">
      <c r="A8" t="s">
        <v>1127</v>
      </c>
      <c r="B8" t="s">
        <v>76</v>
      </c>
      <c r="C8">
        <v>6848</v>
      </c>
      <c r="D8">
        <v>784.3</v>
      </c>
      <c r="E8">
        <v>122.2</v>
      </c>
      <c r="F8">
        <v>3.1</v>
      </c>
      <c r="G8">
        <v>0.9</v>
      </c>
      <c r="H8" t="s">
        <v>1210</v>
      </c>
    </row>
    <row r="9" spans="1:8" x14ac:dyDescent="0.45">
      <c r="A9" t="s">
        <v>1119</v>
      </c>
      <c r="B9" t="s">
        <v>53</v>
      </c>
      <c r="C9">
        <v>1444</v>
      </c>
      <c r="D9">
        <v>209.7</v>
      </c>
      <c r="E9">
        <v>56.1</v>
      </c>
      <c r="F9">
        <v>3.1</v>
      </c>
      <c r="G9">
        <v>1</v>
      </c>
      <c r="H9" t="s">
        <v>1210</v>
      </c>
    </row>
    <row r="10" spans="1:8" x14ac:dyDescent="0.45">
      <c r="A10" t="s">
        <v>1127</v>
      </c>
      <c r="B10" t="s">
        <v>99</v>
      </c>
      <c r="C10">
        <v>16574</v>
      </c>
      <c r="D10">
        <v>948.9</v>
      </c>
      <c r="E10">
        <v>207.4</v>
      </c>
      <c r="F10">
        <v>0.9</v>
      </c>
      <c r="G10">
        <v>0.9</v>
      </c>
      <c r="H10" t="s">
        <v>1210</v>
      </c>
    </row>
    <row r="11" spans="1:8" x14ac:dyDescent="0.45">
      <c r="A11" t="s">
        <v>1124</v>
      </c>
      <c r="B11" t="s">
        <v>100</v>
      </c>
      <c r="C11">
        <v>1422</v>
      </c>
      <c r="D11">
        <v>289.89999999999998</v>
      </c>
      <c r="E11">
        <v>31.2</v>
      </c>
      <c r="F11">
        <v>0.5</v>
      </c>
      <c r="G11">
        <v>0.3</v>
      </c>
      <c r="H11" t="s">
        <v>1210</v>
      </c>
    </row>
    <row r="12" spans="1:8" x14ac:dyDescent="0.45">
      <c r="A12" t="s">
        <v>1119</v>
      </c>
      <c r="B12" t="s">
        <v>97</v>
      </c>
      <c r="C12">
        <v>8663</v>
      </c>
      <c r="D12">
        <v>495.2</v>
      </c>
      <c r="E12">
        <v>204.3</v>
      </c>
      <c r="F12">
        <v>2.1</v>
      </c>
      <c r="G12">
        <v>1</v>
      </c>
      <c r="H12" t="s">
        <v>1210</v>
      </c>
    </row>
    <row r="13" spans="1:8" x14ac:dyDescent="0.45">
      <c r="A13" t="s">
        <v>1118</v>
      </c>
      <c r="B13" t="s">
        <v>15</v>
      </c>
      <c r="C13">
        <v>580</v>
      </c>
      <c r="D13">
        <v>800.5</v>
      </c>
      <c r="E13">
        <v>236.1</v>
      </c>
      <c r="F13">
        <v>3.4</v>
      </c>
      <c r="G13">
        <v>1.5</v>
      </c>
      <c r="H13" t="s">
        <v>1210</v>
      </c>
    </row>
    <row r="14" spans="1:8" x14ac:dyDescent="0.45">
      <c r="A14" t="s">
        <v>1124</v>
      </c>
      <c r="B14" t="s">
        <v>24</v>
      </c>
      <c r="C14">
        <v>4706</v>
      </c>
      <c r="D14">
        <v>1097.7</v>
      </c>
      <c r="E14">
        <v>258.7</v>
      </c>
      <c r="F14">
        <v>0.9</v>
      </c>
      <c r="G14">
        <v>0.3</v>
      </c>
      <c r="H14" t="s">
        <v>1210</v>
      </c>
    </row>
    <row r="15" spans="1:8" x14ac:dyDescent="0.45">
      <c r="A15" t="s">
        <v>1124</v>
      </c>
      <c r="B15" t="s">
        <v>76</v>
      </c>
      <c r="C15">
        <v>1583</v>
      </c>
      <c r="D15">
        <v>833.9</v>
      </c>
      <c r="E15">
        <v>188.9</v>
      </c>
      <c r="F15">
        <v>0.8</v>
      </c>
      <c r="G15">
        <v>0.3</v>
      </c>
      <c r="H15" t="s">
        <v>1210</v>
      </c>
    </row>
    <row r="16" spans="1:8" x14ac:dyDescent="0.45">
      <c r="A16" t="s">
        <v>1121</v>
      </c>
      <c r="B16" t="s">
        <v>108</v>
      </c>
      <c r="C16">
        <v>1077</v>
      </c>
      <c r="D16">
        <v>325.89999999999998</v>
      </c>
      <c r="E16">
        <v>33</v>
      </c>
      <c r="F16">
        <v>1.2</v>
      </c>
      <c r="G16">
        <v>0.4</v>
      </c>
      <c r="H16" t="s">
        <v>1210</v>
      </c>
    </row>
    <row r="17" spans="1:8" x14ac:dyDescent="0.45">
      <c r="A17" t="s">
        <v>1116</v>
      </c>
      <c r="B17" t="s">
        <v>83</v>
      </c>
      <c r="C17">
        <v>9404</v>
      </c>
      <c r="D17">
        <v>577.9</v>
      </c>
      <c r="E17">
        <v>168.2</v>
      </c>
      <c r="F17">
        <v>2.8</v>
      </c>
      <c r="G17">
        <v>1.6</v>
      </c>
      <c r="H17" t="s">
        <v>1210</v>
      </c>
    </row>
    <row r="18" spans="1:8" x14ac:dyDescent="0.45">
      <c r="A18" t="s">
        <v>1123</v>
      </c>
      <c r="B18" t="s">
        <v>64</v>
      </c>
      <c r="C18">
        <v>4575</v>
      </c>
      <c r="D18">
        <v>403.7</v>
      </c>
      <c r="E18">
        <v>105.7</v>
      </c>
      <c r="F18">
        <v>1</v>
      </c>
      <c r="G18">
        <v>0.3</v>
      </c>
      <c r="H18" t="s">
        <v>1210</v>
      </c>
    </row>
    <row r="19" spans="1:8" x14ac:dyDescent="0.45">
      <c r="A19" t="s">
        <v>1121</v>
      </c>
      <c r="B19" t="s">
        <v>83</v>
      </c>
      <c r="C19">
        <v>1722</v>
      </c>
      <c r="D19">
        <v>861.2</v>
      </c>
      <c r="E19">
        <v>144.5</v>
      </c>
      <c r="F19">
        <v>2.1</v>
      </c>
      <c r="G19">
        <v>0.4</v>
      </c>
      <c r="H19" t="s">
        <v>1210</v>
      </c>
    </row>
    <row r="20" spans="1:8" x14ac:dyDescent="0.45">
      <c r="A20" t="s">
        <v>1125</v>
      </c>
      <c r="B20" t="s">
        <v>44</v>
      </c>
      <c r="C20">
        <v>4566</v>
      </c>
      <c r="D20">
        <v>281.10000000000002</v>
      </c>
      <c r="E20">
        <v>65.8</v>
      </c>
      <c r="F20">
        <v>6.2</v>
      </c>
      <c r="G20">
        <v>1.2</v>
      </c>
      <c r="H20" t="s">
        <v>1210</v>
      </c>
    </row>
    <row r="21" spans="1:8" x14ac:dyDescent="0.45">
      <c r="A21" t="s">
        <v>1118</v>
      </c>
      <c r="B21" t="s">
        <v>89</v>
      </c>
      <c r="C21">
        <v>968</v>
      </c>
      <c r="D21">
        <v>367.9</v>
      </c>
      <c r="E21">
        <v>51.3</v>
      </c>
      <c r="F21">
        <v>6.3</v>
      </c>
      <c r="G21">
        <v>1.5</v>
      </c>
      <c r="H21" t="s">
        <v>1210</v>
      </c>
    </row>
    <row r="22" spans="1:8" x14ac:dyDescent="0.45">
      <c r="A22" t="s">
        <v>1115</v>
      </c>
      <c r="B22" t="s">
        <v>58</v>
      </c>
      <c r="C22">
        <v>6020</v>
      </c>
      <c r="D22">
        <v>583.20000000000005</v>
      </c>
      <c r="E22">
        <v>85.2</v>
      </c>
      <c r="F22">
        <v>1.8</v>
      </c>
      <c r="G22">
        <v>0.6</v>
      </c>
      <c r="H22" t="s">
        <v>1210</v>
      </c>
    </row>
    <row r="23" spans="1:8" x14ac:dyDescent="0.45">
      <c r="A23" t="s">
        <v>1117</v>
      </c>
      <c r="B23" t="s">
        <v>75</v>
      </c>
      <c r="C23">
        <v>2037</v>
      </c>
      <c r="D23">
        <v>356.5</v>
      </c>
      <c r="E23">
        <v>50.9</v>
      </c>
      <c r="F23">
        <v>2.6</v>
      </c>
      <c r="G23">
        <v>0.5</v>
      </c>
      <c r="H23" t="s">
        <v>1210</v>
      </c>
    </row>
    <row r="24" spans="1:8" x14ac:dyDescent="0.45">
      <c r="A24" t="s">
        <v>1125</v>
      </c>
      <c r="B24" t="s">
        <v>22</v>
      </c>
      <c r="C24">
        <v>735</v>
      </c>
      <c r="D24">
        <v>280.39999999999998</v>
      </c>
      <c r="E24">
        <v>154.69999999999999</v>
      </c>
      <c r="F24">
        <v>3.9</v>
      </c>
      <c r="G24">
        <v>1.2</v>
      </c>
      <c r="H24" t="s">
        <v>1210</v>
      </c>
    </row>
    <row r="25" spans="1:8" x14ac:dyDescent="0.45">
      <c r="A25" t="s">
        <v>1124</v>
      </c>
      <c r="B25" t="s">
        <v>50</v>
      </c>
      <c r="C25">
        <v>1408</v>
      </c>
      <c r="D25">
        <v>188.5</v>
      </c>
      <c r="E25">
        <v>54.1</v>
      </c>
      <c r="F25">
        <v>1.2</v>
      </c>
      <c r="G25">
        <v>0.3</v>
      </c>
      <c r="H25" t="s">
        <v>1210</v>
      </c>
    </row>
    <row r="26" spans="1:8" x14ac:dyDescent="0.45">
      <c r="A26" t="s">
        <v>1123</v>
      </c>
      <c r="B26" t="s">
        <v>51</v>
      </c>
      <c r="C26">
        <v>5022</v>
      </c>
      <c r="D26">
        <v>787.9</v>
      </c>
      <c r="E26">
        <v>167.2</v>
      </c>
      <c r="F26">
        <v>1</v>
      </c>
      <c r="G26">
        <v>0.3</v>
      </c>
      <c r="H26" t="s">
        <v>1210</v>
      </c>
    </row>
    <row r="27" spans="1:8" x14ac:dyDescent="0.45">
      <c r="A27" t="s">
        <v>1119</v>
      </c>
      <c r="B27" t="s">
        <v>5</v>
      </c>
      <c r="C27">
        <v>7498</v>
      </c>
      <c r="D27">
        <v>483.5</v>
      </c>
      <c r="E27">
        <v>42.4</v>
      </c>
      <c r="F27">
        <v>1</v>
      </c>
      <c r="G27">
        <v>1</v>
      </c>
      <c r="H27" t="s">
        <v>1210</v>
      </c>
    </row>
    <row r="28" spans="1:8" x14ac:dyDescent="0.45">
      <c r="A28" t="s">
        <v>1116</v>
      </c>
      <c r="B28" t="s">
        <v>12</v>
      </c>
      <c r="C28">
        <v>5143</v>
      </c>
      <c r="D28">
        <v>408.3</v>
      </c>
      <c r="E28">
        <v>47.8</v>
      </c>
      <c r="F28">
        <v>3.6</v>
      </c>
      <c r="G28">
        <v>1.6</v>
      </c>
      <c r="H28" t="s">
        <v>1210</v>
      </c>
    </row>
    <row r="29" spans="1:8" x14ac:dyDescent="0.45">
      <c r="A29" t="s">
        <v>1124</v>
      </c>
      <c r="B29" t="s">
        <v>77</v>
      </c>
      <c r="C29">
        <v>3572</v>
      </c>
      <c r="D29">
        <v>210</v>
      </c>
      <c r="E29">
        <v>64.900000000000006</v>
      </c>
      <c r="F29">
        <v>1.6</v>
      </c>
      <c r="G29">
        <v>0.3</v>
      </c>
      <c r="H29" t="s">
        <v>1210</v>
      </c>
    </row>
    <row r="30" spans="1:8" x14ac:dyDescent="0.45">
      <c r="A30" t="s">
        <v>1115</v>
      </c>
      <c r="B30" t="s">
        <v>49</v>
      </c>
      <c r="C30">
        <v>3264</v>
      </c>
      <c r="D30">
        <v>486.1</v>
      </c>
      <c r="E30">
        <v>80.8</v>
      </c>
      <c r="F30">
        <v>2.7</v>
      </c>
      <c r="G30">
        <v>0.6</v>
      </c>
      <c r="H30" t="s">
        <v>1210</v>
      </c>
    </row>
    <row r="31" spans="1:8" x14ac:dyDescent="0.45">
      <c r="A31" t="s">
        <v>1115</v>
      </c>
      <c r="B31" t="s">
        <v>81</v>
      </c>
      <c r="C31">
        <v>6366</v>
      </c>
      <c r="D31">
        <v>428.7</v>
      </c>
      <c r="E31">
        <v>71.900000000000006</v>
      </c>
      <c r="F31">
        <v>0.8</v>
      </c>
      <c r="G31">
        <v>0.6</v>
      </c>
      <c r="H31" t="s">
        <v>1210</v>
      </c>
    </row>
    <row r="32" spans="1:8" x14ac:dyDescent="0.45">
      <c r="A32" t="s">
        <v>1122</v>
      </c>
      <c r="B32" t="s">
        <v>30</v>
      </c>
      <c r="C32">
        <v>4488</v>
      </c>
      <c r="D32">
        <v>751.3</v>
      </c>
      <c r="E32">
        <v>183.7</v>
      </c>
      <c r="F32">
        <v>0.9</v>
      </c>
      <c r="G32">
        <v>0.2</v>
      </c>
      <c r="H32" t="s">
        <v>1210</v>
      </c>
    </row>
    <row r="33" spans="1:8" x14ac:dyDescent="0.45">
      <c r="A33" t="s">
        <v>1120</v>
      </c>
      <c r="B33" t="s">
        <v>110</v>
      </c>
      <c r="C33">
        <v>1096</v>
      </c>
      <c r="D33">
        <v>364.1</v>
      </c>
      <c r="E33">
        <v>172.5</v>
      </c>
      <c r="F33">
        <v>2.2000000000000002</v>
      </c>
      <c r="G33">
        <v>0.5</v>
      </c>
      <c r="H33" t="s">
        <v>1210</v>
      </c>
    </row>
    <row r="34" spans="1:8" x14ac:dyDescent="0.45">
      <c r="A34" t="s">
        <v>1121</v>
      </c>
      <c r="B34" t="s">
        <v>48</v>
      </c>
      <c r="C34">
        <v>3055</v>
      </c>
      <c r="D34">
        <v>909.1</v>
      </c>
      <c r="E34">
        <v>206.5</v>
      </c>
      <c r="F34">
        <v>1.9</v>
      </c>
      <c r="G34">
        <v>0.4</v>
      </c>
      <c r="H34" t="s">
        <v>1210</v>
      </c>
    </row>
    <row r="35" spans="1:8" x14ac:dyDescent="0.45">
      <c r="A35" t="s">
        <v>1116</v>
      </c>
      <c r="B35" t="s">
        <v>49</v>
      </c>
      <c r="C35">
        <v>1168</v>
      </c>
      <c r="D35">
        <v>343.4</v>
      </c>
      <c r="E35">
        <v>43.3</v>
      </c>
      <c r="F35">
        <v>5.7</v>
      </c>
      <c r="G35">
        <v>1.6</v>
      </c>
      <c r="H35" t="s">
        <v>1210</v>
      </c>
    </row>
    <row r="36" spans="1:8" x14ac:dyDescent="0.45">
      <c r="A36" t="s">
        <v>1122</v>
      </c>
      <c r="B36" t="s">
        <v>89</v>
      </c>
      <c r="C36">
        <v>2143</v>
      </c>
      <c r="D36">
        <v>308.10000000000002</v>
      </c>
      <c r="E36">
        <v>35.700000000000003</v>
      </c>
      <c r="F36">
        <v>1.3</v>
      </c>
      <c r="G36">
        <v>0.2</v>
      </c>
      <c r="H36" t="s">
        <v>1210</v>
      </c>
    </row>
    <row r="37" spans="1:8" x14ac:dyDescent="0.45">
      <c r="A37" t="s">
        <v>1121</v>
      </c>
      <c r="B37" t="s">
        <v>54</v>
      </c>
      <c r="C37">
        <v>1575</v>
      </c>
      <c r="D37">
        <v>188.3</v>
      </c>
      <c r="E37">
        <v>17.7</v>
      </c>
      <c r="F37">
        <v>1.8</v>
      </c>
      <c r="G37">
        <v>0.4</v>
      </c>
      <c r="H37" t="s">
        <v>1210</v>
      </c>
    </row>
    <row r="38" spans="1:8" x14ac:dyDescent="0.45">
      <c r="A38" t="s">
        <v>1128</v>
      </c>
      <c r="B38" t="s">
        <v>13</v>
      </c>
      <c r="D38">
        <v>334.9</v>
      </c>
      <c r="E38">
        <v>99.2</v>
      </c>
      <c r="F38">
        <v>1.7</v>
      </c>
      <c r="G38">
        <v>0.5</v>
      </c>
    </row>
    <row r="39" spans="1:8" x14ac:dyDescent="0.45">
      <c r="A39" t="s">
        <v>1123</v>
      </c>
      <c r="B39" t="s">
        <v>83</v>
      </c>
      <c r="C39">
        <v>9638</v>
      </c>
      <c r="D39">
        <v>541.9</v>
      </c>
      <c r="E39">
        <v>88.2</v>
      </c>
      <c r="F39">
        <v>1.1000000000000001</v>
      </c>
      <c r="G39">
        <v>0.3</v>
      </c>
      <c r="H39" t="s">
        <v>1210</v>
      </c>
    </row>
    <row r="40" spans="1:8" x14ac:dyDescent="0.45">
      <c r="A40" t="s">
        <v>1119</v>
      </c>
      <c r="B40" t="s">
        <v>41</v>
      </c>
      <c r="C40">
        <v>4103</v>
      </c>
      <c r="D40">
        <v>485.8</v>
      </c>
      <c r="E40">
        <v>198.2</v>
      </c>
      <c r="F40">
        <v>2.5</v>
      </c>
      <c r="G40">
        <v>1</v>
      </c>
      <c r="H40" t="s">
        <v>1210</v>
      </c>
    </row>
    <row r="41" spans="1:8" x14ac:dyDescent="0.45">
      <c r="A41" t="s">
        <v>1120</v>
      </c>
      <c r="B41" t="s">
        <v>12</v>
      </c>
      <c r="C41">
        <v>2497</v>
      </c>
      <c r="D41">
        <v>162.4</v>
      </c>
      <c r="E41">
        <v>19.3</v>
      </c>
      <c r="F41">
        <v>1.7</v>
      </c>
      <c r="G41">
        <v>0.5</v>
      </c>
      <c r="H41" t="s">
        <v>1210</v>
      </c>
    </row>
    <row r="42" spans="1:8" x14ac:dyDescent="0.45">
      <c r="A42" t="s">
        <v>1122</v>
      </c>
      <c r="B42" t="s">
        <v>65</v>
      </c>
      <c r="C42">
        <v>2440</v>
      </c>
      <c r="D42">
        <v>275.39999999999998</v>
      </c>
      <c r="E42">
        <v>102.8</v>
      </c>
      <c r="F42">
        <v>0.6</v>
      </c>
      <c r="G42">
        <v>0.2</v>
      </c>
      <c r="H42" t="s">
        <v>1210</v>
      </c>
    </row>
    <row r="43" spans="1:8" x14ac:dyDescent="0.45">
      <c r="A43" t="s">
        <v>1121</v>
      </c>
      <c r="B43" t="s">
        <v>1138</v>
      </c>
      <c r="C43">
        <v>1048</v>
      </c>
      <c r="D43">
        <v>360.1</v>
      </c>
      <c r="E43">
        <v>85.6</v>
      </c>
      <c r="F43">
        <v>1.7</v>
      </c>
      <c r="G43">
        <v>0.4</v>
      </c>
      <c r="H43" t="s">
        <v>1210</v>
      </c>
    </row>
    <row r="44" spans="1:8" x14ac:dyDescent="0.45">
      <c r="A44" t="s">
        <v>1126</v>
      </c>
      <c r="B44" t="s">
        <v>1130</v>
      </c>
      <c r="C44">
        <v>3885</v>
      </c>
      <c r="D44">
        <v>394.7</v>
      </c>
      <c r="E44">
        <v>258.3</v>
      </c>
      <c r="F44">
        <v>0.5</v>
      </c>
      <c r="G44">
        <v>0.2</v>
      </c>
      <c r="H44" t="s">
        <v>1210</v>
      </c>
    </row>
    <row r="45" spans="1:8" x14ac:dyDescent="0.45">
      <c r="A45" t="s">
        <v>1121</v>
      </c>
      <c r="B45" t="s">
        <v>65</v>
      </c>
      <c r="C45">
        <v>2600</v>
      </c>
      <c r="D45">
        <v>152.69999999999999</v>
      </c>
      <c r="E45">
        <v>51.4</v>
      </c>
      <c r="F45">
        <v>1.7</v>
      </c>
      <c r="G45">
        <v>0.4</v>
      </c>
      <c r="H45" t="s">
        <v>1210</v>
      </c>
    </row>
    <row r="46" spans="1:8" x14ac:dyDescent="0.45">
      <c r="A46" t="s">
        <v>1119</v>
      </c>
      <c r="B46" t="s">
        <v>76</v>
      </c>
      <c r="C46">
        <v>5685</v>
      </c>
      <c r="D46">
        <v>352.1</v>
      </c>
      <c r="E46">
        <v>103.1</v>
      </c>
      <c r="F46">
        <v>4.2</v>
      </c>
      <c r="G46">
        <v>1</v>
      </c>
      <c r="H46" t="s">
        <v>1210</v>
      </c>
    </row>
    <row r="47" spans="1:8" x14ac:dyDescent="0.45">
      <c r="A47" t="s">
        <v>1114</v>
      </c>
      <c r="B47" t="s">
        <v>15</v>
      </c>
      <c r="C47">
        <v>2068</v>
      </c>
      <c r="D47">
        <v>378.2</v>
      </c>
      <c r="E47">
        <v>89.2</v>
      </c>
      <c r="F47">
        <v>1.8</v>
      </c>
      <c r="G47">
        <v>1.3</v>
      </c>
      <c r="H47" t="s">
        <v>1210</v>
      </c>
    </row>
    <row r="48" spans="1:8" x14ac:dyDescent="0.45">
      <c r="A48" t="s">
        <v>1128</v>
      </c>
      <c r="B48" t="s">
        <v>8</v>
      </c>
      <c r="C48">
        <v>10536</v>
      </c>
      <c r="D48">
        <v>627</v>
      </c>
      <c r="E48">
        <v>160.4</v>
      </c>
      <c r="F48">
        <v>2</v>
      </c>
      <c r="G48">
        <v>0.5</v>
      </c>
      <c r="H48" t="s">
        <v>1210</v>
      </c>
    </row>
    <row r="49" spans="1:8" x14ac:dyDescent="0.45">
      <c r="A49" t="s">
        <v>1116</v>
      </c>
      <c r="B49" t="s">
        <v>62</v>
      </c>
      <c r="C49">
        <v>6643</v>
      </c>
      <c r="D49">
        <v>463.7</v>
      </c>
      <c r="E49">
        <v>43.5</v>
      </c>
      <c r="F49">
        <v>7.7</v>
      </c>
      <c r="G49">
        <v>1.6</v>
      </c>
      <c r="H49" t="s">
        <v>1210</v>
      </c>
    </row>
    <row r="50" spans="1:8" x14ac:dyDescent="0.45">
      <c r="A50" t="s">
        <v>1123</v>
      </c>
      <c r="B50" t="s">
        <v>13</v>
      </c>
      <c r="C50">
        <v>3134</v>
      </c>
      <c r="D50">
        <v>370.7</v>
      </c>
      <c r="E50">
        <v>133.6</v>
      </c>
      <c r="F50">
        <v>1.3</v>
      </c>
      <c r="G50">
        <v>0.3</v>
      </c>
      <c r="H50" t="s">
        <v>1210</v>
      </c>
    </row>
    <row r="51" spans="1:8" x14ac:dyDescent="0.45">
      <c r="A51" t="s">
        <v>1127</v>
      </c>
      <c r="B51" t="s">
        <v>107</v>
      </c>
      <c r="C51">
        <v>850</v>
      </c>
      <c r="D51">
        <v>632</v>
      </c>
      <c r="E51">
        <v>425.7</v>
      </c>
      <c r="F51">
        <v>4.2</v>
      </c>
      <c r="G51">
        <v>0.9</v>
      </c>
      <c r="H51" t="s">
        <v>1210</v>
      </c>
    </row>
    <row r="52" spans="1:8" x14ac:dyDescent="0.45">
      <c r="A52" t="s">
        <v>1115</v>
      </c>
      <c r="B52" t="s">
        <v>102</v>
      </c>
      <c r="C52">
        <v>1658</v>
      </c>
      <c r="D52">
        <v>185.9</v>
      </c>
      <c r="E52">
        <v>19.600000000000001</v>
      </c>
      <c r="F52">
        <v>2.1</v>
      </c>
      <c r="G52">
        <v>0.6</v>
      </c>
      <c r="H52" t="s">
        <v>1210</v>
      </c>
    </row>
    <row r="53" spans="1:8" x14ac:dyDescent="0.45">
      <c r="A53" t="s">
        <v>1124</v>
      </c>
      <c r="B53" t="s">
        <v>1141</v>
      </c>
      <c r="C53">
        <v>1340</v>
      </c>
      <c r="D53">
        <v>531.6</v>
      </c>
      <c r="E53">
        <v>62.3</v>
      </c>
      <c r="F53">
        <v>0.9</v>
      </c>
      <c r="G53">
        <v>0.3</v>
      </c>
      <c r="H53" t="s">
        <v>1210</v>
      </c>
    </row>
    <row r="54" spans="1:8" x14ac:dyDescent="0.45">
      <c r="A54" t="s">
        <v>1116</v>
      </c>
      <c r="B54" t="s">
        <v>100</v>
      </c>
      <c r="C54">
        <v>3786</v>
      </c>
      <c r="D54">
        <v>300.2</v>
      </c>
      <c r="E54">
        <v>44.5</v>
      </c>
      <c r="F54">
        <v>4.9000000000000004</v>
      </c>
      <c r="G54">
        <v>1.6</v>
      </c>
      <c r="H54" t="s">
        <v>1210</v>
      </c>
    </row>
    <row r="55" spans="1:8" x14ac:dyDescent="0.45">
      <c r="A55" t="s">
        <v>1118</v>
      </c>
      <c r="B55" t="s">
        <v>53</v>
      </c>
      <c r="C55">
        <v>1644</v>
      </c>
      <c r="D55">
        <v>159.9</v>
      </c>
      <c r="E55">
        <v>40.5</v>
      </c>
      <c r="F55">
        <v>6.5</v>
      </c>
      <c r="G55">
        <v>1.5</v>
      </c>
      <c r="H55" t="s">
        <v>1210</v>
      </c>
    </row>
    <row r="56" spans="1:8" x14ac:dyDescent="0.45">
      <c r="A56" t="s">
        <v>1121</v>
      </c>
      <c r="B56" t="s">
        <v>41</v>
      </c>
      <c r="C56">
        <v>5387</v>
      </c>
      <c r="D56">
        <v>315.89999999999998</v>
      </c>
      <c r="E56">
        <v>131.30000000000001</v>
      </c>
      <c r="F56">
        <v>1.7</v>
      </c>
      <c r="G56">
        <v>0.4</v>
      </c>
      <c r="H56" t="s">
        <v>1210</v>
      </c>
    </row>
    <row r="57" spans="1:8" x14ac:dyDescent="0.45">
      <c r="A57" t="s">
        <v>1126</v>
      </c>
      <c r="B57" t="s">
        <v>33</v>
      </c>
      <c r="D57">
        <v>414.7</v>
      </c>
      <c r="E57">
        <v>49.3</v>
      </c>
      <c r="F57">
        <v>1.1000000000000001</v>
      </c>
      <c r="G57">
        <v>0.2</v>
      </c>
    </row>
    <row r="58" spans="1:8" x14ac:dyDescent="0.45">
      <c r="A58" t="s">
        <v>1114</v>
      </c>
      <c r="B58" t="s">
        <v>103</v>
      </c>
      <c r="C58">
        <v>3654</v>
      </c>
      <c r="D58">
        <v>468.4</v>
      </c>
      <c r="E58">
        <v>83.8</v>
      </c>
      <c r="F58">
        <v>1.5</v>
      </c>
      <c r="G58">
        <v>1.3</v>
      </c>
      <c r="H58" t="s">
        <v>1210</v>
      </c>
    </row>
    <row r="59" spans="1:8" x14ac:dyDescent="0.45">
      <c r="A59" t="s">
        <v>1114</v>
      </c>
      <c r="B59" t="s">
        <v>1130</v>
      </c>
      <c r="C59">
        <v>2172</v>
      </c>
      <c r="D59">
        <v>170.9</v>
      </c>
      <c r="E59">
        <v>106.9</v>
      </c>
      <c r="F59">
        <v>5.0999999999999996</v>
      </c>
      <c r="G59">
        <v>1.3</v>
      </c>
      <c r="H59" t="s">
        <v>1210</v>
      </c>
    </row>
    <row r="60" spans="1:8" x14ac:dyDescent="0.45">
      <c r="A60" t="s">
        <v>1125</v>
      </c>
      <c r="B60" t="s">
        <v>105</v>
      </c>
      <c r="C60">
        <v>2699</v>
      </c>
      <c r="D60">
        <v>196</v>
      </c>
      <c r="E60">
        <v>31.3</v>
      </c>
      <c r="F60">
        <v>2.9</v>
      </c>
      <c r="G60">
        <v>1.2</v>
      </c>
      <c r="H60" t="s">
        <v>1210</v>
      </c>
    </row>
    <row r="61" spans="1:8" x14ac:dyDescent="0.45">
      <c r="A61" t="s">
        <v>1122</v>
      </c>
      <c r="B61" t="s">
        <v>1141</v>
      </c>
      <c r="C61">
        <v>1154</v>
      </c>
      <c r="D61">
        <v>362.4</v>
      </c>
      <c r="E61">
        <v>45.4</v>
      </c>
      <c r="F61">
        <v>1.2</v>
      </c>
      <c r="G61">
        <v>0.2</v>
      </c>
      <c r="H61" t="s">
        <v>1210</v>
      </c>
    </row>
    <row r="62" spans="1:8" x14ac:dyDescent="0.45">
      <c r="A62" t="s">
        <v>1121</v>
      </c>
      <c r="B62" t="s">
        <v>1134</v>
      </c>
      <c r="D62">
        <v>349.7</v>
      </c>
      <c r="E62">
        <v>68.7</v>
      </c>
      <c r="F62">
        <v>1.1000000000000001</v>
      </c>
      <c r="G62">
        <v>0.4</v>
      </c>
    </row>
    <row r="63" spans="1:8" x14ac:dyDescent="0.45">
      <c r="A63" t="s">
        <v>1118</v>
      </c>
      <c r="B63" t="s">
        <v>100</v>
      </c>
      <c r="D63">
        <v>336.6</v>
      </c>
      <c r="E63">
        <v>38.200000000000003</v>
      </c>
      <c r="F63">
        <v>5.9</v>
      </c>
      <c r="G63">
        <v>1.5</v>
      </c>
    </row>
    <row r="64" spans="1:8" x14ac:dyDescent="0.45">
      <c r="A64" t="s">
        <v>1114</v>
      </c>
      <c r="B64" t="s">
        <v>36</v>
      </c>
      <c r="C64">
        <v>2390</v>
      </c>
      <c r="D64">
        <v>265.8</v>
      </c>
      <c r="E64">
        <v>95</v>
      </c>
      <c r="F64">
        <v>6.3</v>
      </c>
      <c r="G64">
        <v>1.3</v>
      </c>
      <c r="H64" t="s">
        <v>1210</v>
      </c>
    </row>
    <row r="65" spans="1:8" x14ac:dyDescent="0.45">
      <c r="A65" t="s">
        <v>1116</v>
      </c>
      <c r="B65" t="s">
        <v>41</v>
      </c>
      <c r="C65">
        <v>1363</v>
      </c>
      <c r="D65">
        <v>363.8</v>
      </c>
      <c r="E65">
        <v>116.7</v>
      </c>
      <c r="F65">
        <v>2.9</v>
      </c>
      <c r="G65">
        <v>1.6</v>
      </c>
      <c r="H65" t="s">
        <v>1210</v>
      </c>
    </row>
    <row r="66" spans="1:8" x14ac:dyDescent="0.45">
      <c r="A66" t="s">
        <v>1115</v>
      </c>
      <c r="B66" t="s">
        <v>105</v>
      </c>
      <c r="C66">
        <v>3354</v>
      </c>
      <c r="D66">
        <v>379.3</v>
      </c>
      <c r="E66">
        <v>69.3</v>
      </c>
      <c r="F66">
        <v>1.8</v>
      </c>
      <c r="G66">
        <v>0.6</v>
      </c>
      <c r="H66" t="s">
        <v>1210</v>
      </c>
    </row>
    <row r="67" spans="1:8" x14ac:dyDescent="0.45">
      <c r="A67" t="s">
        <v>1125</v>
      </c>
      <c r="B67" t="s">
        <v>108</v>
      </c>
      <c r="C67">
        <v>448</v>
      </c>
      <c r="D67">
        <v>324.3</v>
      </c>
      <c r="E67">
        <v>47.3</v>
      </c>
      <c r="F67">
        <v>3.8</v>
      </c>
      <c r="G67">
        <v>1.2</v>
      </c>
      <c r="H67" t="s">
        <v>1210</v>
      </c>
    </row>
    <row r="68" spans="1:8" x14ac:dyDescent="0.45">
      <c r="A68" t="s">
        <v>1117</v>
      </c>
      <c r="B68" t="s">
        <v>69</v>
      </c>
      <c r="C68">
        <v>1903</v>
      </c>
      <c r="E68">
        <v>319.60000000000002</v>
      </c>
      <c r="F68">
        <v>2</v>
      </c>
      <c r="G68">
        <v>0.5</v>
      </c>
      <c r="H68" t="s">
        <v>1210</v>
      </c>
    </row>
    <row r="69" spans="1:8" x14ac:dyDescent="0.45">
      <c r="A69" t="s">
        <v>1120</v>
      </c>
      <c r="B69" t="s">
        <v>19</v>
      </c>
      <c r="C69">
        <v>736</v>
      </c>
      <c r="D69">
        <v>255.2</v>
      </c>
      <c r="E69">
        <v>112.2</v>
      </c>
      <c r="F69">
        <v>2.4</v>
      </c>
      <c r="G69">
        <v>0.5</v>
      </c>
      <c r="H69" t="s">
        <v>1210</v>
      </c>
    </row>
    <row r="70" spans="1:8" x14ac:dyDescent="0.45">
      <c r="A70" t="s">
        <v>1125</v>
      </c>
      <c r="B70" t="s">
        <v>62</v>
      </c>
      <c r="C70">
        <v>343</v>
      </c>
      <c r="D70">
        <v>257.89999999999998</v>
      </c>
      <c r="E70">
        <v>22.5</v>
      </c>
      <c r="F70">
        <v>3.7</v>
      </c>
      <c r="G70">
        <v>1.2</v>
      </c>
      <c r="H70" t="s">
        <v>1210</v>
      </c>
    </row>
    <row r="71" spans="1:8" x14ac:dyDescent="0.45">
      <c r="A71" t="s">
        <v>1121</v>
      </c>
      <c r="B71" t="s">
        <v>102</v>
      </c>
      <c r="C71">
        <v>2361</v>
      </c>
      <c r="D71">
        <v>551.6</v>
      </c>
      <c r="E71">
        <v>80.8</v>
      </c>
      <c r="F71">
        <v>2</v>
      </c>
      <c r="G71">
        <v>0.4</v>
      </c>
      <c r="H71" t="s">
        <v>1210</v>
      </c>
    </row>
    <row r="72" spans="1:8" x14ac:dyDescent="0.45">
      <c r="A72" t="s">
        <v>1119</v>
      </c>
      <c r="B72" t="s">
        <v>71</v>
      </c>
      <c r="C72">
        <v>5718</v>
      </c>
      <c r="D72">
        <v>483.7</v>
      </c>
      <c r="E72">
        <v>60.3</v>
      </c>
      <c r="F72">
        <v>3.9</v>
      </c>
      <c r="G72">
        <v>1</v>
      </c>
      <c r="H72" t="s">
        <v>1210</v>
      </c>
    </row>
    <row r="73" spans="1:8" x14ac:dyDescent="0.45">
      <c r="A73" t="s">
        <v>1120</v>
      </c>
      <c r="B73" t="s">
        <v>93</v>
      </c>
      <c r="C73">
        <v>2292</v>
      </c>
      <c r="D73">
        <v>478.5</v>
      </c>
      <c r="E73">
        <v>75.5</v>
      </c>
      <c r="F73">
        <v>2.1</v>
      </c>
      <c r="G73">
        <v>0.5</v>
      </c>
      <c r="H73" t="s">
        <v>1210</v>
      </c>
    </row>
    <row r="74" spans="1:8" x14ac:dyDescent="0.45">
      <c r="A74" t="s">
        <v>1118</v>
      </c>
      <c r="B74" t="s">
        <v>93</v>
      </c>
      <c r="D74">
        <v>565.9</v>
      </c>
      <c r="E74">
        <v>57.7</v>
      </c>
      <c r="F74">
        <v>7.9</v>
      </c>
      <c r="G74">
        <v>1.5</v>
      </c>
    </row>
    <row r="75" spans="1:8" x14ac:dyDescent="0.45">
      <c r="A75" t="s">
        <v>1120</v>
      </c>
      <c r="B75" t="s">
        <v>69</v>
      </c>
      <c r="C75">
        <v>2826</v>
      </c>
      <c r="D75">
        <v>271.89999999999998</v>
      </c>
      <c r="E75">
        <v>163.1</v>
      </c>
      <c r="F75">
        <v>2.9</v>
      </c>
      <c r="G75">
        <v>0.5</v>
      </c>
      <c r="H75" t="s">
        <v>1210</v>
      </c>
    </row>
    <row r="76" spans="1:8" x14ac:dyDescent="0.45">
      <c r="A76" t="s">
        <v>1119</v>
      </c>
      <c r="B76" t="s">
        <v>66</v>
      </c>
      <c r="C76">
        <v>4046</v>
      </c>
      <c r="D76">
        <v>444.7</v>
      </c>
      <c r="E76">
        <v>74.400000000000006</v>
      </c>
      <c r="F76">
        <v>3.6</v>
      </c>
      <c r="G76">
        <v>1</v>
      </c>
      <c r="H76" t="s">
        <v>1210</v>
      </c>
    </row>
    <row r="77" spans="1:8" x14ac:dyDescent="0.45">
      <c r="A77" t="s">
        <v>1125</v>
      </c>
      <c r="B77" t="s">
        <v>76</v>
      </c>
      <c r="C77">
        <v>351</v>
      </c>
      <c r="D77">
        <v>359.9</v>
      </c>
      <c r="E77">
        <v>62.9</v>
      </c>
      <c r="F77">
        <v>5.4</v>
      </c>
      <c r="G77">
        <v>1.2</v>
      </c>
      <c r="H77" t="s">
        <v>1210</v>
      </c>
    </row>
    <row r="78" spans="1:8" x14ac:dyDescent="0.45">
      <c r="A78" t="s">
        <v>1123</v>
      </c>
      <c r="B78" t="s">
        <v>30</v>
      </c>
      <c r="C78">
        <v>856</v>
      </c>
      <c r="D78">
        <v>566.9</v>
      </c>
      <c r="E78">
        <v>162.5</v>
      </c>
      <c r="F78">
        <v>1.1000000000000001</v>
      </c>
      <c r="G78">
        <v>0.3</v>
      </c>
      <c r="H78" t="s">
        <v>1210</v>
      </c>
    </row>
    <row r="79" spans="1:8" x14ac:dyDescent="0.45">
      <c r="A79" t="s">
        <v>1121</v>
      </c>
      <c r="B79" t="s">
        <v>88</v>
      </c>
      <c r="C79">
        <v>1158</v>
      </c>
      <c r="D79">
        <v>105.1</v>
      </c>
      <c r="E79">
        <v>66.599999999999994</v>
      </c>
      <c r="F79">
        <v>2.1</v>
      </c>
      <c r="G79">
        <v>0.4</v>
      </c>
      <c r="H79" t="s">
        <v>1210</v>
      </c>
    </row>
    <row r="80" spans="1:8" x14ac:dyDescent="0.45">
      <c r="A80" t="s">
        <v>1115</v>
      </c>
      <c r="B80" t="s">
        <v>1136</v>
      </c>
      <c r="C80">
        <v>1441</v>
      </c>
      <c r="D80">
        <v>509.2</v>
      </c>
      <c r="E80">
        <v>299.8</v>
      </c>
      <c r="F80">
        <v>2.6</v>
      </c>
      <c r="G80">
        <v>0.6</v>
      </c>
      <c r="H80" t="s">
        <v>1210</v>
      </c>
    </row>
    <row r="81" spans="1:8" x14ac:dyDescent="0.45">
      <c r="A81" t="s">
        <v>1122</v>
      </c>
      <c r="B81" t="s">
        <v>57</v>
      </c>
      <c r="C81">
        <v>999999</v>
      </c>
      <c r="D81">
        <v>269.3</v>
      </c>
      <c r="E81">
        <v>25.7</v>
      </c>
      <c r="F81">
        <v>1.2</v>
      </c>
      <c r="G81">
        <v>0.2</v>
      </c>
      <c r="H81" t="s">
        <v>1211</v>
      </c>
    </row>
    <row r="82" spans="1:8" x14ac:dyDescent="0.45">
      <c r="A82" t="s">
        <v>1119</v>
      </c>
      <c r="B82" t="s">
        <v>7</v>
      </c>
      <c r="D82">
        <v>203.6</v>
      </c>
      <c r="E82">
        <v>18.399999999999999</v>
      </c>
      <c r="F82">
        <v>3.1</v>
      </c>
      <c r="G82">
        <v>1</v>
      </c>
    </row>
    <row r="83" spans="1:8" x14ac:dyDescent="0.45">
      <c r="A83" t="s">
        <v>1119</v>
      </c>
      <c r="B83" t="s">
        <v>56</v>
      </c>
      <c r="C83">
        <v>3824</v>
      </c>
      <c r="D83">
        <v>371.1</v>
      </c>
      <c r="E83">
        <v>68.3</v>
      </c>
      <c r="F83">
        <v>2.4</v>
      </c>
      <c r="G83">
        <v>1</v>
      </c>
      <c r="H83" t="s">
        <v>1210</v>
      </c>
    </row>
    <row r="84" spans="1:8" x14ac:dyDescent="0.45">
      <c r="A84" t="s">
        <v>1116</v>
      </c>
      <c r="B84" t="s">
        <v>50</v>
      </c>
      <c r="C84">
        <v>1484</v>
      </c>
      <c r="E84">
        <v>46.7</v>
      </c>
      <c r="F84">
        <v>3.6</v>
      </c>
      <c r="G84">
        <v>1.6</v>
      </c>
      <c r="H84" t="s">
        <v>1210</v>
      </c>
    </row>
    <row r="85" spans="1:8" x14ac:dyDescent="0.45">
      <c r="A85" t="s">
        <v>1121</v>
      </c>
      <c r="B85" t="s">
        <v>28</v>
      </c>
      <c r="C85">
        <v>1801</v>
      </c>
      <c r="D85">
        <v>156.30000000000001</v>
      </c>
      <c r="E85">
        <v>56.3</v>
      </c>
      <c r="F85">
        <v>1.9</v>
      </c>
      <c r="G85">
        <v>0.4</v>
      </c>
      <c r="H85" t="s">
        <v>1210</v>
      </c>
    </row>
    <row r="86" spans="1:8" x14ac:dyDescent="0.45">
      <c r="A86" t="s">
        <v>1121</v>
      </c>
      <c r="B86" t="s">
        <v>52</v>
      </c>
      <c r="C86">
        <v>1300</v>
      </c>
      <c r="D86">
        <v>396.1</v>
      </c>
      <c r="E86">
        <v>164.7</v>
      </c>
      <c r="F86">
        <v>2.1</v>
      </c>
      <c r="G86">
        <v>0.4</v>
      </c>
      <c r="H86" t="s">
        <v>1210</v>
      </c>
    </row>
    <row r="87" spans="1:8" x14ac:dyDescent="0.45">
      <c r="A87" t="s">
        <v>1114</v>
      </c>
      <c r="B87" t="s">
        <v>106</v>
      </c>
      <c r="C87">
        <v>5113</v>
      </c>
      <c r="D87">
        <v>360.9</v>
      </c>
      <c r="E87">
        <v>81</v>
      </c>
      <c r="F87">
        <v>2.4</v>
      </c>
      <c r="G87">
        <v>1.3</v>
      </c>
      <c r="H87" t="s">
        <v>1210</v>
      </c>
    </row>
    <row r="88" spans="1:8" x14ac:dyDescent="0.45">
      <c r="A88" t="s">
        <v>1123</v>
      </c>
      <c r="B88" t="s">
        <v>19</v>
      </c>
      <c r="C88">
        <v>1441</v>
      </c>
      <c r="D88">
        <v>137.1</v>
      </c>
      <c r="E88">
        <v>53.8</v>
      </c>
      <c r="F88">
        <v>1</v>
      </c>
      <c r="G88">
        <v>0.3</v>
      </c>
      <c r="H88" t="s">
        <v>1210</v>
      </c>
    </row>
    <row r="89" spans="1:8" x14ac:dyDescent="0.45">
      <c r="A89" t="s">
        <v>1114</v>
      </c>
      <c r="B89" t="s">
        <v>51</v>
      </c>
      <c r="C89">
        <v>5245</v>
      </c>
      <c r="D89">
        <v>390.7</v>
      </c>
      <c r="E89">
        <v>63.6</v>
      </c>
      <c r="F89">
        <v>5.7</v>
      </c>
      <c r="G89">
        <v>1.3</v>
      </c>
      <c r="H89" t="s">
        <v>1210</v>
      </c>
    </row>
    <row r="90" spans="1:8" x14ac:dyDescent="0.45">
      <c r="A90" t="s">
        <v>1115</v>
      </c>
      <c r="B90" t="s">
        <v>29</v>
      </c>
      <c r="C90">
        <v>15116</v>
      </c>
      <c r="D90">
        <v>913.7</v>
      </c>
      <c r="E90">
        <v>146.9</v>
      </c>
      <c r="F90">
        <v>1.1000000000000001</v>
      </c>
      <c r="G90">
        <v>0.6</v>
      </c>
      <c r="H90" t="s">
        <v>1210</v>
      </c>
    </row>
    <row r="91" spans="1:8" x14ac:dyDescent="0.45">
      <c r="A91" t="s">
        <v>1117</v>
      </c>
      <c r="B91" t="s">
        <v>45</v>
      </c>
      <c r="C91">
        <v>2432</v>
      </c>
      <c r="D91">
        <v>594.5</v>
      </c>
      <c r="E91">
        <v>100.6</v>
      </c>
      <c r="F91">
        <v>2</v>
      </c>
      <c r="G91">
        <v>0.5</v>
      </c>
      <c r="H91" t="s">
        <v>1210</v>
      </c>
    </row>
    <row r="92" spans="1:8" x14ac:dyDescent="0.45">
      <c r="A92" t="s">
        <v>1122</v>
      </c>
      <c r="B92" t="s">
        <v>102</v>
      </c>
      <c r="C92">
        <v>2084</v>
      </c>
      <c r="D92">
        <v>236.9</v>
      </c>
      <c r="E92">
        <v>22.5</v>
      </c>
      <c r="F92">
        <v>1.2</v>
      </c>
      <c r="G92">
        <v>0.2</v>
      </c>
      <c r="H92" t="s">
        <v>1210</v>
      </c>
    </row>
    <row r="93" spans="1:8" x14ac:dyDescent="0.45">
      <c r="A93" t="s">
        <v>1127</v>
      </c>
      <c r="B93" t="s">
        <v>78</v>
      </c>
      <c r="C93">
        <v>2263</v>
      </c>
      <c r="D93">
        <v>199.8</v>
      </c>
      <c r="E93">
        <v>84.6</v>
      </c>
      <c r="F93">
        <v>3.4</v>
      </c>
      <c r="G93">
        <v>0.9</v>
      </c>
      <c r="H93" t="s">
        <v>1210</v>
      </c>
    </row>
    <row r="94" spans="1:8" x14ac:dyDescent="0.45">
      <c r="A94" t="s">
        <v>1120</v>
      </c>
      <c r="B94" t="s">
        <v>63</v>
      </c>
      <c r="C94">
        <v>3238</v>
      </c>
      <c r="D94">
        <v>268.60000000000002</v>
      </c>
      <c r="E94">
        <v>58.8</v>
      </c>
      <c r="F94">
        <v>2.5</v>
      </c>
      <c r="G94">
        <v>0.5</v>
      </c>
      <c r="H94" t="s">
        <v>1210</v>
      </c>
    </row>
    <row r="95" spans="1:8" x14ac:dyDescent="0.45">
      <c r="A95" t="s">
        <v>1118</v>
      </c>
      <c r="B95" t="s">
        <v>67</v>
      </c>
      <c r="C95">
        <v>1712</v>
      </c>
      <c r="D95">
        <v>393.6</v>
      </c>
      <c r="E95">
        <v>143.9</v>
      </c>
      <c r="F95">
        <v>4.0999999999999996</v>
      </c>
      <c r="G95">
        <v>1.5</v>
      </c>
      <c r="H95" t="s">
        <v>1210</v>
      </c>
    </row>
    <row r="96" spans="1:8" x14ac:dyDescent="0.45">
      <c r="A96" t="s">
        <v>1122</v>
      </c>
      <c r="B96" t="s">
        <v>76</v>
      </c>
      <c r="C96">
        <v>1085</v>
      </c>
      <c r="D96">
        <v>329.2</v>
      </c>
      <c r="E96">
        <v>85.6</v>
      </c>
      <c r="F96">
        <v>1.3</v>
      </c>
      <c r="G96">
        <v>0.2</v>
      </c>
      <c r="H96" t="s">
        <v>1210</v>
      </c>
    </row>
    <row r="97" spans="1:8" x14ac:dyDescent="0.45">
      <c r="A97" t="s">
        <v>1122</v>
      </c>
      <c r="B97" t="s">
        <v>20</v>
      </c>
      <c r="C97">
        <v>1946</v>
      </c>
      <c r="D97">
        <v>266</v>
      </c>
      <c r="E97">
        <v>34.200000000000003</v>
      </c>
      <c r="F97">
        <v>1.4</v>
      </c>
      <c r="G97">
        <v>0.2</v>
      </c>
      <c r="H97" t="s">
        <v>1210</v>
      </c>
    </row>
    <row r="98" spans="1:8" x14ac:dyDescent="0.45">
      <c r="A98" t="s">
        <v>1123</v>
      </c>
      <c r="B98" t="s">
        <v>1137</v>
      </c>
      <c r="C98">
        <v>6883</v>
      </c>
      <c r="D98">
        <v>419.9</v>
      </c>
      <c r="E98">
        <v>40.4</v>
      </c>
      <c r="F98">
        <v>0.5</v>
      </c>
      <c r="G98">
        <v>0.3</v>
      </c>
      <c r="H98" t="s">
        <v>1210</v>
      </c>
    </row>
    <row r="99" spans="1:8" x14ac:dyDescent="0.45">
      <c r="A99" t="s">
        <v>1116</v>
      </c>
      <c r="B99" t="s">
        <v>52</v>
      </c>
      <c r="C99">
        <v>1166</v>
      </c>
      <c r="D99">
        <v>206.7</v>
      </c>
      <c r="E99">
        <v>85.8</v>
      </c>
      <c r="F99">
        <v>5.7</v>
      </c>
      <c r="G99">
        <v>1.6</v>
      </c>
      <c r="H99" t="s">
        <v>1210</v>
      </c>
    </row>
    <row r="100" spans="1:8" x14ac:dyDescent="0.45">
      <c r="A100" t="s">
        <v>1119</v>
      </c>
      <c r="B100" t="s">
        <v>30</v>
      </c>
      <c r="C100">
        <v>3996</v>
      </c>
      <c r="D100">
        <v>325.7</v>
      </c>
      <c r="E100">
        <v>50</v>
      </c>
      <c r="F100">
        <v>2.2999999999999998</v>
      </c>
      <c r="G100">
        <v>1</v>
      </c>
      <c r="H100" t="s">
        <v>1210</v>
      </c>
    </row>
    <row r="101" spans="1:8" x14ac:dyDescent="0.45">
      <c r="A101" t="s">
        <v>1124</v>
      </c>
      <c r="B101" t="s">
        <v>43</v>
      </c>
      <c r="C101">
        <v>652</v>
      </c>
      <c r="D101">
        <v>113.7</v>
      </c>
      <c r="E101">
        <v>68.099999999999994</v>
      </c>
      <c r="F101">
        <v>0.7</v>
      </c>
      <c r="G101">
        <v>0.3</v>
      </c>
      <c r="H101" t="s">
        <v>1210</v>
      </c>
    </row>
    <row r="102" spans="1:8" x14ac:dyDescent="0.45">
      <c r="A102" t="s">
        <v>1116</v>
      </c>
      <c r="B102" t="s">
        <v>7</v>
      </c>
      <c r="C102">
        <v>5270</v>
      </c>
      <c r="D102">
        <v>347.2</v>
      </c>
      <c r="E102">
        <v>35.6</v>
      </c>
      <c r="F102">
        <v>5.4</v>
      </c>
      <c r="G102">
        <v>1.6</v>
      </c>
      <c r="H102" t="s">
        <v>1210</v>
      </c>
    </row>
    <row r="103" spans="1:8" x14ac:dyDescent="0.45">
      <c r="A103" t="s">
        <v>1119</v>
      </c>
      <c r="B103" t="s">
        <v>55</v>
      </c>
      <c r="C103">
        <v>2533</v>
      </c>
      <c r="D103">
        <v>415</v>
      </c>
      <c r="E103">
        <v>106.4</v>
      </c>
      <c r="F103">
        <v>3.2</v>
      </c>
      <c r="G103">
        <v>1</v>
      </c>
      <c r="H103" t="s">
        <v>1210</v>
      </c>
    </row>
    <row r="104" spans="1:8" x14ac:dyDescent="0.45">
      <c r="A104" t="s">
        <v>1128</v>
      </c>
      <c r="B104" t="s">
        <v>5</v>
      </c>
      <c r="C104">
        <v>3084</v>
      </c>
      <c r="D104">
        <v>390.6</v>
      </c>
      <c r="E104">
        <v>37.1</v>
      </c>
      <c r="F104">
        <v>2</v>
      </c>
      <c r="G104">
        <v>0.5</v>
      </c>
      <c r="H104" t="s">
        <v>1210</v>
      </c>
    </row>
    <row r="105" spans="1:8" x14ac:dyDescent="0.45">
      <c r="A105" t="s">
        <v>1119</v>
      </c>
      <c r="B105" t="s">
        <v>95</v>
      </c>
      <c r="C105">
        <v>3780</v>
      </c>
      <c r="D105">
        <v>264.2</v>
      </c>
      <c r="E105">
        <v>26.6</v>
      </c>
      <c r="F105">
        <v>3.9</v>
      </c>
      <c r="G105">
        <v>1</v>
      </c>
      <c r="H105" t="s">
        <v>1210</v>
      </c>
    </row>
    <row r="106" spans="1:8" x14ac:dyDescent="0.45">
      <c r="A106" t="s">
        <v>1120</v>
      </c>
      <c r="B106" t="s">
        <v>1136</v>
      </c>
      <c r="C106">
        <v>4015</v>
      </c>
      <c r="D106">
        <v>436.6</v>
      </c>
      <c r="E106">
        <v>293.39999999999998</v>
      </c>
      <c r="F106">
        <v>1.6</v>
      </c>
      <c r="G106">
        <v>0.5</v>
      </c>
      <c r="H106" t="s">
        <v>1210</v>
      </c>
    </row>
    <row r="107" spans="1:8" x14ac:dyDescent="0.45">
      <c r="A107" t="s">
        <v>1128</v>
      </c>
      <c r="B107" t="s">
        <v>75</v>
      </c>
      <c r="C107">
        <v>6260</v>
      </c>
      <c r="D107">
        <v>384.5</v>
      </c>
      <c r="E107">
        <v>49.7</v>
      </c>
      <c r="F107">
        <v>1.2</v>
      </c>
      <c r="G107">
        <v>0.5</v>
      </c>
      <c r="H107" t="s">
        <v>1210</v>
      </c>
    </row>
    <row r="108" spans="1:8" x14ac:dyDescent="0.45">
      <c r="A108" t="s">
        <v>1128</v>
      </c>
      <c r="B108" t="s">
        <v>39</v>
      </c>
      <c r="C108">
        <v>3651</v>
      </c>
      <c r="D108">
        <v>315.89999999999998</v>
      </c>
      <c r="E108">
        <v>59.2</v>
      </c>
      <c r="F108">
        <v>2.2999999999999998</v>
      </c>
      <c r="G108">
        <v>0.5</v>
      </c>
      <c r="H108" t="s">
        <v>1210</v>
      </c>
    </row>
    <row r="109" spans="1:8" x14ac:dyDescent="0.45">
      <c r="A109" t="s">
        <v>1127</v>
      </c>
      <c r="B109" t="s">
        <v>81</v>
      </c>
      <c r="C109">
        <v>1461</v>
      </c>
      <c r="D109">
        <v>374.1</v>
      </c>
      <c r="E109">
        <v>59</v>
      </c>
      <c r="F109">
        <v>2.5</v>
      </c>
      <c r="G109">
        <v>0.9</v>
      </c>
      <c r="H109" t="s">
        <v>1210</v>
      </c>
    </row>
    <row r="110" spans="1:8" x14ac:dyDescent="0.45">
      <c r="A110" t="s">
        <v>1118</v>
      </c>
      <c r="B110" t="s">
        <v>37</v>
      </c>
      <c r="C110">
        <v>5035</v>
      </c>
      <c r="D110">
        <v>400.4</v>
      </c>
      <c r="E110">
        <v>257.10000000000002</v>
      </c>
      <c r="F110">
        <v>7.2</v>
      </c>
      <c r="G110">
        <v>1.5</v>
      </c>
      <c r="H110" t="s">
        <v>1210</v>
      </c>
    </row>
    <row r="111" spans="1:8" x14ac:dyDescent="0.45">
      <c r="A111" t="s">
        <v>1117</v>
      </c>
      <c r="B111" t="s">
        <v>15</v>
      </c>
      <c r="C111">
        <v>8315</v>
      </c>
      <c r="D111">
        <v>560.4</v>
      </c>
      <c r="E111">
        <v>87.1</v>
      </c>
      <c r="F111">
        <v>1.9</v>
      </c>
      <c r="G111">
        <v>0.5</v>
      </c>
      <c r="H111" t="s">
        <v>1210</v>
      </c>
    </row>
    <row r="112" spans="1:8" x14ac:dyDescent="0.45">
      <c r="A112" t="s">
        <v>1116</v>
      </c>
      <c r="B112" t="s">
        <v>48</v>
      </c>
      <c r="C112">
        <v>5248</v>
      </c>
      <c r="D112">
        <v>323.89999999999998</v>
      </c>
      <c r="E112">
        <v>75.3</v>
      </c>
      <c r="F112">
        <v>3.1</v>
      </c>
      <c r="G112">
        <v>1.6</v>
      </c>
      <c r="H112" t="s">
        <v>1210</v>
      </c>
    </row>
    <row r="113" spans="1:8" x14ac:dyDescent="0.45">
      <c r="A113" t="s">
        <v>1122</v>
      </c>
      <c r="B113" t="s">
        <v>80</v>
      </c>
      <c r="C113">
        <v>1589</v>
      </c>
      <c r="D113">
        <v>303.60000000000002</v>
      </c>
      <c r="E113">
        <v>34.4</v>
      </c>
      <c r="F113">
        <v>0.8</v>
      </c>
      <c r="G113">
        <v>0.2</v>
      </c>
      <c r="H113" t="s">
        <v>1210</v>
      </c>
    </row>
    <row r="114" spans="1:8" x14ac:dyDescent="0.45">
      <c r="A114" t="s">
        <v>1123</v>
      </c>
      <c r="B114" t="s">
        <v>70</v>
      </c>
      <c r="D114">
        <v>687</v>
      </c>
      <c r="E114">
        <v>149.5</v>
      </c>
      <c r="F114">
        <v>1.1000000000000001</v>
      </c>
      <c r="G114">
        <v>0.3</v>
      </c>
    </row>
    <row r="115" spans="1:8" x14ac:dyDescent="0.45">
      <c r="A115" t="s">
        <v>1123</v>
      </c>
      <c r="B115" t="s">
        <v>37</v>
      </c>
      <c r="C115">
        <v>6970</v>
      </c>
      <c r="D115">
        <v>831.4</v>
      </c>
      <c r="E115">
        <v>363.7</v>
      </c>
      <c r="F115">
        <v>1.8</v>
      </c>
      <c r="G115">
        <v>0.3</v>
      </c>
      <c r="H115" t="s">
        <v>1210</v>
      </c>
    </row>
    <row r="116" spans="1:8" x14ac:dyDescent="0.45">
      <c r="A116" t="s">
        <v>1116</v>
      </c>
      <c r="B116" t="s">
        <v>102</v>
      </c>
      <c r="C116">
        <v>1368</v>
      </c>
      <c r="D116">
        <v>453.5</v>
      </c>
      <c r="E116">
        <v>57.9</v>
      </c>
      <c r="F116">
        <v>3.9</v>
      </c>
      <c r="G116">
        <v>1.6</v>
      </c>
      <c r="H116" t="s">
        <v>1210</v>
      </c>
    </row>
    <row r="117" spans="1:8" x14ac:dyDescent="0.45">
      <c r="A117" t="s">
        <v>1123</v>
      </c>
      <c r="B117" t="s">
        <v>24</v>
      </c>
      <c r="C117">
        <v>2696</v>
      </c>
      <c r="D117">
        <v>696.3</v>
      </c>
      <c r="E117">
        <v>141.1</v>
      </c>
      <c r="F117">
        <v>1</v>
      </c>
      <c r="G117">
        <v>0.3</v>
      </c>
      <c r="H117" t="s">
        <v>1210</v>
      </c>
    </row>
    <row r="118" spans="1:8" x14ac:dyDescent="0.45">
      <c r="A118" t="s">
        <v>1121</v>
      </c>
      <c r="B118" t="s">
        <v>27</v>
      </c>
      <c r="C118">
        <v>3357</v>
      </c>
      <c r="D118">
        <v>686.2</v>
      </c>
      <c r="E118">
        <v>392.3</v>
      </c>
      <c r="F118">
        <v>2.2000000000000002</v>
      </c>
      <c r="G118">
        <v>0.4</v>
      </c>
      <c r="H118" t="s">
        <v>1210</v>
      </c>
    </row>
    <row r="119" spans="1:8" x14ac:dyDescent="0.45">
      <c r="A119" t="s">
        <v>1120</v>
      </c>
      <c r="B119" t="s">
        <v>108</v>
      </c>
      <c r="C119">
        <v>4639</v>
      </c>
      <c r="D119">
        <v>261</v>
      </c>
      <c r="E119">
        <v>29.3</v>
      </c>
      <c r="F119">
        <v>2.2999999999999998</v>
      </c>
      <c r="G119">
        <v>0.5</v>
      </c>
      <c r="H119" t="s">
        <v>1210</v>
      </c>
    </row>
    <row r="120" spans="1:8" x14ac:dyDescent="0.45">
      <c r="A120" t="s">
        <v>1118</v>
      </c>
      <c r="B120" t="s">
        <v>19</v>
      </c>
      <c r="C120">
        <v>3200</v>
      </c>
      <c r="D120">
        <v>425.4</v>
      </c>
      <c r="E120">
        <v>139.4</v>
      </c>
      <c r="F120">
        <v>3.2</v>
      </c>
      <c r="G120">
        <v>1.5</v>
      </c>
      <c r="H120" t="s">
        <v>1210</v>
      </c>
    </row>
    <row r="121" spans="1:8" x14ac:dyDescent="0.45">
      <c r="A121" t="s">
        <v>1115</v>
      </c>
      <c r="B121" t="s">
        <v>30</v>
      </c>
      <c r="C121">
        <v>999999</v>
      </c>
      <c r="D121">
        <v>824.6</v>
      </c>
      <c r="E121">
        <v>185.9</v>
      </c>
      <c r="F121">
        <v>1.1000000000000001</v>
      </c>
      <c r="G121">
        <v>0.6</v>
      </c>
      <c r="H121" t="s">
        <v>1211</v>
      </c>
    </row>
    <row r="122" spans="1:8" x14ac:dyDescent="0.45">
      <c r="A122" t="s">
        <v>1120</v>
      </c>
      <c r="B122" t="s">
        <v>81</v>
      </c>
      <c r="C122">
        <v>1835</v>
      </c>
      <c r="D122">
        <v>230.7</v>
      </c>
      <c r="E122">
        <v>28.8</v>
      </c>
      <c r="F122">
        <v>2.2000000000000002</v>
      </c>
      <c r="G122">
        <v>0.5</v>
      </c>
      <c r="H122" t="s">
        <v>1210</v>
      </c>
    </row>
    <row r="123" spans="1:8" x14ac:dyDescent="0.45">
      <c r="A123" t="s">
        <v>1122</v>
      </c>
      <c r="B123" t="s">
        <v>51</v>
      </c>
      <c r="C123">
        <v>4422</v>
      </c>
      <c r="D123">
        <v>717.5</v>
      </c>
      <c r="E123">
        <v>178.1</v>
      </c>
      <c r="F123">
        <v>1</v>
      </c>
      <c r="G123">
        <v>0.2</v>
      </c>
      <c r="H123" t="s">
        <v>1210</v>
      </c>
    </row>
    <row r="124" spans="1:8" x14ac:dyDescent="0.45">
      <c r="A124" t="s">
        <v>1115</v>
      </c>
      <c r="B124" t="s">
        <v>65</v>
      </c>
      <c r="C124">
        <v>5639</v>
      </c>
      <c r="D124">
        <v>459.5</v>
      </c>
      <c r="E124">
        <v>163.69999999999999</v>
      </c>
      <c r="F124">
        <v>2.2999999999999998</v>
      </c>
      <c r="G124">
        <v>0.6</v>
      </c>
      <c r="H124" t="s">
        <v>1210</v>
      </c>
    </row>
    <row r="125" spans="1:8" x14ac:dyDescent="0.45">
      <c r="A125" t="s">
        <v>1122</v>
      </c>
      <c r="B125" t="s">
        <v>1129</v>
      </c>
      <c r="C125">
        <v>15892</v>
      </c>
      <c r="D125">
        <v>1047.8</v>
      </c>
      <c r="E125">
        <v>283.7</v>
      </c>
      <c r="F125">
        <v>1.2</v>
      </c>
      <c r="G125">
        <v>0.2</v>
      </c>
      <c r="H125" t="s">
        <v>1210</v>
      </c>
    </row>
    <row r="126" spans="1:8" x14ac:dyDescent="0.45">
      <c r="A126" t="s">
        <v>1127</v>
      </c>
      <c r="B126" t="s">
        <v>35</v>
      </c>
      <c r="C126">
        <v>3444</v>
      </c>
      <c r="D126">
        <v>595.29999999999995</v>
      </c>
      <c r="E126">
        <v>96.1</v>
      </c>
      <c r="F126">
        <v>4.5</v>
      </c>
      <c r="G126">
        <v>0.9</v>
      </c>
      <c r="H126" t="s">
        <v>1210</v>
      </c>
    </row>
    <row r="127" spans="1:8" x14ac:dyDescent="0.45">
      <c r="A127" t="s">
        <v>1125</v>
      </c>
      <c r="B127" t="s">
        <v>57</v>
      </c>
      <c r="C127">
        <v>3223</v>
      </c>
      <c r="D127">
        <v>387.7</v>
      </c>
      <c r="E127">
        <v>38.5</v>
      </c>
      <c r="F127">
        <v>5.3</v>
      </c>
      <c r="G127">
        <v>1.2</v>
      </c>
      <c r="H127" t="s">
        <v>1210</v>
      </c>
    </row>
    <row r="128" spans="1:8" x14ac:dyDescent="0.45">
      <c r="A128" t="s">
        <v>1114</v>
      </c>
      <c r="B128" t="s">
        <v>41</v>
      </c>
      <c r="C128">
        <v>3186</v>
      </c>
      <c r="D128">
        <v>207.9</v>
      </c>
      <c r="E128">
        <v>60.8</v>
      </c>
      <c r="F128">
        <v>4.7</v>
      </c>
      <c r="G128">
        <v>1.3</v>
      </c>
      <c r="H128" t="s">
        <v>1210</v>
      </c>
    </row>
    <row r="129" spans="1:8" x14ac:dyDescent="0.45">
      <c r="A129" t="s">
        <v>1124</v>
      </c>
      <c r="B129" t="s">
        <v>35</v>
      </c>
      <c r="C129">
        <v>3654</v>
      </c>
      <c r="D129">
        <v>679.3</v>
      </c>
      <c r="E129">
        <v>112.7</v>
      </c>
      <c r="F129">
        <v>1</v>
      </c>
      <c r="G129">
        <v>0.3</v>
      </c>
      <c r="H129" t="s">
        <v>1210</v>
      </c>
    </row>
    <row r="130" spans="1:8" x14ac:dyDescent="0.45">
      <c r="A130" t="s">
        <v>1127</v>
      </c>
      <c r="B130" t="s">
        <v>27</v>
      </c>
      <c r="C130">
        <v>4283</v>
      </c>
      <c r="D130">
        <v>349.5</v>
      </c>
      <c r="E130">
        <v>237.2</v>
      </c>
      <c r="F130">
        <v>4.7</v>
      </c>
      <c r="G130">
        <v>0.9</v>
      </c>
      <c r="H130" t="s">
        <v>1210</v>
      </c>
    </row>
    <row r="131" spans="1:8" x14ac:dyDescent="0.45">
      <c r="A131" t="s">
        <v>1124</v>
      </c>
      <c r="B131" t="s">
        <v>1130</v>
      </c>
      <c r="C131">
        <v>2540</v>
      </c>
      <c r="D131">
        <v>292.3</v>
      </c>
      <c r="E131">
        <v>153.5</v>
      </c>
      <c r="F131">
        <v>0.9</v>
      </c>
      <c r="G131">
        <v>0.3</v>
      </c>
      <c r="H131" t="s">
        <v>1210</v>
      </c>
    </row>
    <row r="132" spans="1:8" x14ac:dyDescent="0.45">
      <c r="A132" t="s">
        <v>1117</v>
      </c>
      <c r="B132" t="s">
        <v>40</v>
      </c>
      <c r="C132">
        <v>5250</v>
      </c>
      <c r="D132">
        <v>316.8</v>
      </c>
      <c r="E132">
        <v>33.9</v>
      </c>
      <c r="F132">
        <v>1.7</v>
      </c>
      <c r="G132">
        <v>0.5</v>
      </c>
      <c r="H132" t="s">
        <v>1210</v>
      </c>
    </row>
    <row r="133" spans="1:8" x14ac:dyDescent="0.45">
      <c r="A133" t="s">
        <v>1126</v>
      </c>
      <c r="B133" t="s">
        <v>1135</v>
      </c>
      <c r="C133">
        <v>9128</v>
      </c>
      <c r="D133">
        <v>529.6</v>
      </c>
      <c r="E133">
        <v>53.1</v>
      </c>
      <c r="F133">
        <v>1.1000000000000001</v>
      </c>
      <c r="G133">
        <v>0.2</v>
      </c>
      <c r="H133" t="s">
        <v>1210</v>
      </c>
    </row>
    <row r="134" spans="1:8" x14ac:dyDescent="0.45">
      <c r="A134" t="s">
        <v>1126</v>
      </c>
      <c r="B134" t="s">
        <v>51</v>
      </c>
      <c r="C134">
        <v>1239</v>
      </c>
      <c r="D134">
        <v>779.6</v>
      </c>
      <c r="E134">
        <v>199.8</v>
      </c>
      <c r="F134">
        <v>1</v>
      </c>
      <c r="G134">
        <v>0.2</v>
      </c>
      <c r="H134" t="s">
        <v>1210</v>
      </c>
    </row>
    <row r="135" spans="1:8" x14ac:dyDescent="0.45">
      <c r="A135" t="s">
        <v>1118</v>
      </c>
      <c r="B135" t="s">
        <v>1138</v>
      </c>
      <c r="C135">
        <v>5726</v>
      </c>
      <c r="D135">
        <v>698.1</v>
      </c>
      <c r="E135">
        <v>144.19999999999999</v>
      </c>
      <c r="F135">
        <v>4.9000000000000004</v>
      </c>
      <c r="G135">
        <v>1.5</v>
      </c>
      <c r="H135" t="s">
        <v>1210</v>
      </c>
    </row>
    <row r="136" spans="1:8" x14ac:dyDescent="0.45">
      <c r="A136" t="s">
        <v>1114</v>
      </c>
      <c r="B136" t="s">
        <v>40</v>
      </c>
      <c r="C136">
        <v>5541</v>
      </c>
      <c r="D136">
        <v>370.2</v>
      </c>
      <c r="E136">
        <v>34.5</v>
      </c>
      <c r="F136">
        <v>8.1999999999999993</v>
      </c>
      <c r="G136">
        <v>1.3</v>
      </c>
      <c r="H136" t="s">
        <v>1210</v>
      </c>
    </row>
    <row r="137" spans="1:8" x14ac:dyDescent="0.45">
      <c r="A137" t="s">
        <v>1116</v>
      </c>
      <c r="B137" t="s">
        <v>1130</v>
      </c>
      <c r="C137">
        <v>1595</v>
      </c>
      <c r="D137">
        <v>94</v>
      </c>
      <c r="E137">
        <v>37.799999999999997</v>
      </c>
      <c r="F137">
        <v>4.3</v>
      </c>
      <c r="G137">
        <v>1.6</v>
      </c>
      <c r="H137" t="s">
        <v>1210</v>
      </c>
    </row>
    <row r="138" spans="1:8" x14ac:dyDescent="0.45">
      <c r="A138" t="s">
        <v>1122</v>
      </c>
      <c r="B138" t="s">
        <v>1137</v>
      </c>
      <c r="C138">
        <v>2078</v>
      </c>
      <c r="D138">
        <v>233.1</v>
      </c>
      <c r="E138">
        <v>24.7</v>
      </c>
      <c r="F138">
        <v>1.2</v>
      </c>
      <c r="G138">
        <v>0.2</v>
      </c>
      <c r="H138" t="s">
        <v>1210</v>
      </c>
    </row>
    <row r="139" spans="1:8" x14ac:dyDescent="0.45">
      <c r="A139" t="s">
        <v>1122</v>
      </c>
      <c r="B139" t="s">
        <v>99</v>
      </c>
      <c r="C139">
        <v>12184</v>
      </c>
      <c r="D139">
        <v>882.5</v>
      </c>
      <c r="E139">
        <v>158.9</v>
      </c>
      <c r="F139">
        <v>1.3</v>
      </c>
      <c r="G139">
        <v>0.2</v>
      </c>
      <c r="H139" t="s">
        <v>1210</v>
      </c>
    </row>
    <row r="140" spans="1:8" x14ac:dyDescent="0.45">
      <c r="A140" t="s">
        <v>1124</v>
      </c>
      <c r="B140" t="s">
        <v>97</v>
      </c>
      <c r="C140">
        <v>5692</v>
      </c>
      <c r="D140">
        <v>686.7</v>
      </c>
      <c r="E140">
        <v>292</v>
      </c>
      <c r="F140">
        <v>0.9</v>
      </c>
      <c r="G140">
        <v>0.3</v>
      </c>
      <c r="H140" t="s">
        <v>1210</v>
      </c>
    </row>
    <row r="141" spans="1:8" x14ac:dyDescent="0.45">
      <c r="A141" t="s">
        <v>1124</v>
      </c>
      <c r="B141" t="s">
        <v>29</v>
      </c>
      <c r="C141">
        <v>3101</v>
      </c>
      <c r="D141">
        <v>374.9</v>
      </c>
      <c r="E141">
        <v>101.3</v>
      </c>
      <c r="F141">
        <v>0.7</v>
      </c>
      <c r="G141">
        <v>0.3</v>
      </c>
      <c r="H141" t="s">
        <v>1210</v>
      </c>
    </row>
    <row r="142" spans="1:8" x14ac:dyDescent="0.45">
      <c r="A142" t="s">
        <v>1118</v>
      </c>
      <c r="B142" t="s">
        <v>68</v>
      </c>
      <c r="C142">
        <v>4512</v>
      </c>
      <c r="D142">
        <v>406.2</v>
      </c>
      <c r="E142">
        <v>60.5</v>
      </c>
      <c r="F142">
        <v>5.4</v>
      </c>
      <c r="G142">
        <v>1.5</v>
      </c>
      <c r="H142" t="s">
        <v>1210</v>
      </c>
    </row>
    <row r="143" spans="1:8" x14ac:dyDescent="0.45">
      <c r="A143" t="s">
        <v>1118</v>
      </c>
      <c r="B143" t="s">
        <v>1133</v>
      </c>
      <c r="C143">
        <v>6484</v>
      </c>
      <c r="D143">
        <v>835.6</v>
      </c>
      <c r="E143">
        <v>131.4</v>
      </c>
      <c r="F143">
        <v>6.6</v>
      </c>
      <c r="G143">
        <v>1.5</v>
      </c>
      <c r="H143" t="s">
        <v>1210</v>
      </c>
    </row>
    <row r="144" spans="1:8" x14ac:dyDescent="0.45">
      <c r="A144" t="s">
        <v>1122</v>
      </c>
      <c r="B144" t="s">
        <v>56</v>
      </c>
      <c r="C144">
        <v>5075</v>
      </c>
      <c r="D144">
        <v>315.10000000000002</v>
      </c>
      <c r="E144">
        <v>50.6</v>
      </c>
      <c r="F144">
        <v>1.1000000000000001</v>
      </c>
      <c r="G144">
        <v>0.2</v>
      </c>
      <c r="H144" t="s">
        <v>1210</v>
      </c>
    </row>
    <row r="145" spans="1:8" x14ac:dyDescent="0.45">
      <c r="A145" t="s">
        <v>1124</v>
      </c>
      <c r="B145" t="s">
        <v>1140</v>
      </c>
      <c r="C145">
        <v>1395</v>
      </c>
      <c r="D145">
        <v>355.5</v>
      </c>
      <c r="E145">
        <v>43.5</v>
      </c>
      <c r="F145">
        <v>1.4</v>
      </c>
      <c r="G145">
        <v>0.3</v>
      </c>
      <c r="H145" t="s">
        <v>1210</v>
      </c>
    </row>
    <row r="146" spans="1:8" x14ac:dyDescent="0.45">
      <c r="A146" t="s">
        <v>1117</v>
      </c>
      <c r="B146" t="s">
        <v>102</v>
      </c>
      <c r="C146">
        <v>2170</v>
      </c>
      <c r="D146">
        <v>277.89999999999998</v>
      </c>
      <c r="E146">
        <v>38.700000000000003</v>
      </c>
      <c r="F146">
        <v>2.2000000000000002</v>
      </c>
      <c r="G146">
        <v>0.5</v>
      </c>
      <c r="H146" t="s">
        <v>1210</v>
      </c>
    </row>
    <row r="147" spans="1:8" x14ac:dyDescent="0.45">
      <c r="A147" t="s">
        <v>1117</v>
      </c>
      <c r="B147" t="s">
        <v>60</v>
      </c>
      <c r="C147">
        <v>2986</v>
      </c>
      <c r="D147">
        <v>785.7</v>
      </c>
      <c r="E147">
        <v>160.6</v>
      </c>
      <c r="F147">
        <v>2.2000000000000002</v>
      </c>
      <c r="G147">
        <v>0.5</v>
      </c>
      <c r="H147" t="s">
        <v>1210</v>
      </c>
    </row>
    <row r="148" spans="1:8" x14ac:dyDescent="0.45">
      <c r="A148" t="s">
        <v>1123</v>
      </c>
      <c r="B148" t="s">
        <v>5</v>
      </c>
      <c r="C148">
        <v>3188</v>
      </c>
      <c r="D148">
        <v>270.89999999999998</v>
      </c>
      <c r="E148">
        <v>31.3</v>
      </c>
      <c r="F148">
        <v>0.9</v>
      </c>
      <c r="G148">
        <v>0.3</v>
      </c>
      <c r="H148" t="s">
        <v>1210</v>
      </c>
    </row>
    <row r="149" spans="1:8" x14ac:dyDescent="0.45">
      <c r="A149" t="s">
        <v>1125</v>
      </c>
      <c r="B149" t="s">
        <v>83</v>
      </c>
      <c r="C149">
        <v>5634</v>
      </c>
      <c r="D149">
        <v>742.2</v>
      </c>
      <c r="E149">
        <v>179.1</v>
      </c>
      <c r="F149">
        <v>4.7</v>
      </c>
      <c r="G149">
        <v>1.2</v>
      </c>
      <c r="H149" t="s">
        <v>1210</v>
      </c>
    </row>
    <row r="150" spans="1:8" x14ac:dyDescent="0.45">
      <c r="A150" t="s">
        <v>1125</v>
      </c>
      <c r="B150" t="s">
        <v>24</v>
      </c>
      <c r="C150">
        <v>3885</v>
      </c>
      <c r="D150">
        <v>630.5</v>
      </c>
      <c r="E150">
        <v>134.19999999999999</v>
      </c>
      <c r="F150">
        <v>4.0999999999999996</v>
      </c>
      <c r="G150">
        <v>1.2</v>
      </c>
      <c r="H150" t="s">
        <v>1210</v>
      </c>
    </row>
    <row r="151" spans="1:8" x14ac:dyDescent="0.45">
      <c r="A151" t="s">
        <v>1125</v>
      </c>
      <c r="B151" t="s">
        <v>72</v>
      </c>
      <c r="C151">
        <v>3259</v>
      </c>
      <c r="D151">
        <v>547.70000000000005</v>
      </c>
      <c r="E151">
        <v>107.2</v>
      </c>
      <c r="F151">
        <v>2.8</v>
      </c>
      <c r="G151">
        <v>1.2</v>
      </c>
      <c r="H151" t="s">
        <v>1210</v>
      </c>
    </row>
    <row r="152" spans="1:8" x14ac:dyDescent="0.45">
      <c r="A152" t="s">
        <v>1128</v>
      </c>
      <c r="B152" t="s">
        <v>1138</v>
      </c>
      <c r="C152">
        <v>3623</v>
      </c>
      <c r="D152">
        <v>301.60000000000002</v>
      </c>
      <c r="E152">
        <v>69.599999999999994</v>
      </c>
      <c r="F152">
        <v>1.7</v>
      </c>
      <c r="G152">
        <v>0.5</v>
      </c>
      <c r="H152" t="s">
        <v>1210</v>
      </c>
    </row>
    <row r="153" spans="1:8" x14ac:dyDescent="0.45">
      <c r="A153" t="s">
        <v>1117</v>
      </c>
      <c r="B153" t="s">
        <v>51</v>
      </c>
      <c r="C153">
        <v>625</v>
      </c>
      <c r="D153">
        <v>762.3</v>
      </c>
      <c r="E153">
        <v>200.6</v>
      </c>
      <c r="F153">
        <v>2.8</v>
      </c>
      <c r="G153">
        <v>0.5</v>
      </c>
      <c r="H153" t="s">
        <v>1210</v>
      </c>
    </row>
    <row r="154" spans="1:8" x14ac:dyDescent="0.45">
      <c r="A154" t="s">
        <v>1118</v>
      </c>
      <c r="B154" t="s">
        <v>1141</v>
      </c>
      <c r="C154">
        <v>829</v>
      </c>
      <c r="D154">
        <v>155.1</v>
      </c>
      <c r="E154">
        <v>17.2</v>
      </c>
      <c r="F154">
        <v>2.2000000000000002</v>
      </c>
      <c r="G154">
        <v>1.5</v>
      </c>
      <c r="H154" t="s">
        <v>1210</v>
      </c>
    </row>
    <row r="155" spans="1:8" x14ac:dyDescent="0.45">
      <c r="A155" t="s">
        <v>1122</v>
      </c>
      <c r="B155" t="s">
        <v>1133</v>
      </c>
      <c r="C155">
        <v>1635</v>
      </c>
      <c r="D155">
        <v>695.8</v>
      </c>
      <c r="E155">
        <v>150.69999999999999</v>
      </c>
      <c r="F155">
        <v>1</v>
      </c>
      <c r="G155">
        <v>0.2</v>
      </c>
      <c r="H155" t="s">
        <v>1210</v>
      </c>
    </row>
    <row r="156" spans="1:8" x14ac:dyDescent="0.45">
      <c r="A156" t="s">
        <v>1115</v>
      </c>
      <c r="B156" t="s">
        <v>107</v>
      </c>
      <c r="C156">
        <v>8096</v>
      </c>
      <c r="D156">
        <v>807.8</v>
      </c>
      <c r="E156">
        <v>374.1</v>
      </c>
      <c r="F156">
        <v>2.1</v>
      </c>
      <c r="G156">
        <v>0.6</v>
      </c>
      <c r="H156" t="s">
        <v>1210</v>
      </c>
    </row>
    <row r="157" spans="1:8" x14ac:dyDescent="0.45">
      <c r="A157" t="s">
        <v>1125</v>
      </c>
      <c r="B157" t="s">
        <v>60</v>
      </c>
      <c r="C157">
        <v>10512</v>
      </c>
      <c r="D157">
        <v>951.8</v>
      </c>
      <c r="E157">
        <v>179.4</v>
      </c>
      <c r="F157">
        <v>2.7</v>
      </c>
      <c r="G157">
        <v>1.2</v>
      </c>
      <c r="H157" t="s">
        <v>1210</v>
      </c>
    </row>
    <row r="158" spans="1:8" x14ac:dyDescent="0.45">
      <c r="A158" t="s">
        <v>1125</v>
      </c>
      <c r="B158" t="s">
        <v>1140</v>
      </c>
      <c r="C158">
        <v>3639</v>
      </c>
      <c r="D158">
        <v>280.3</v>
      </c>
      <c r="E158">
        <v>27.5</v>
      </c>
      <c r="F158">
        <v>4.2</v>
      </c>
      <c r="G158">
        <v>1.2</v>
      </c>
      <c r="H158" t="s">
        <v>1210</v>
      </c>
    </row>
    <row r="159" spans="1:8" x14ac:dyDescent="0.45">
      <c r="A159" t="s">
        <v>1119</v>
      </c>
      <c r="B159" t="s">
        <v>60</v>
      </c>
      <c r="C159">
        <v>8919</v>
      </c>
      <c r="D159">
        <v>661.2</v>
      </c>
      <c r="E159">
        <v>159.5</v>
      </c>
      <c r="F159">
        <v>3.7</v>
      </c>
      <c r="G159">
        <v>1</v>
      </c>
      <c r="H159" t="s">
        <v>1210</v>
      </c>
    </row>
    <row r="160" spans="1:8" x14ac:dyDescent="0.45">
      <c r="A160" t="s">
        <v>1121</v>
      </c>
      <c r="B160" t="s">
        <v>64</v>
      </c>
      <c r="C160">
        <v>6595</v>
      </c>
      <c r="D160">
        <v>370.6</v>
      </c>
      <c r="E160">
        <v>65.400000000000006</v>
      </c>
      <c r="F160">
        <v>1.8</v>
      </c>
      <c r="G160">
        <v>0.4</v>
      </c>
      <c r="H160" t="s">
        <v>1210</v>
      </c>
    </row>
    <row r="161" spans="1:8" x14ac:dyDescent="0.45">
      <c r="A161" t="s">
        <v>1114</v>
      </c>
      <c r="B161" t="s">
        <v>89</v>
      </c>
      <c r="C161">
        <v>695</v>
      </c>
      <c r="D161">
        <v>252.7</v>
      </c>
      <c r="E161">
        <v>32.5</v>
      </c>
      <c r="F161">
        <v>3.7</v>
      </c>
      <c r="G161">
        <v>1.3</v>
      </c>
      <c r="H161" t="s">
        <v>1210</v>
      </c>
    </row>
    <row r="162" spans="1:8" x14ac:dyDescent="0.45">
      <c r="A162" t="s">
        <v>1120</v>
      </c>
      <c r="B162" t="s">
        <v>51</v>
      </c>
      <c r="C162">
        <v>7777</v>
      </c>
      <c r="D162">
        <v>608.70000000000005</v>
      </c>
      <c r="E162">
        <v>177.6</v>
      </c>
      <c r="F162">
        <v>2.1</v>
      </c>
      <c r="G162">
        <v>0.5</v>
      </c>
      <c r="H162" t="s">
        <v>1210</v>
      </c>
    </row>
    <row r="163" spans="1:8" x14ac:dyDescent="0.45">
      <c r="A163" t="s">
        <v>1114</v>
      </c>
      <c r="B163" t="s">
        <v>24</v>
      </c>
      <c r="C163">
        <v>3842</v>
      </c>
      <c r="D163">
        <v>278.2</v>
      </c>
      <c r="E163">
        <v>50.7</v>
      </c>
      <c r="F163">
        <v>7.7</v>
      </c>
      <c r="G163">
        <v>1.3</v>
      </c>
      <c r="H163" t="s">
        <v>1210</v>
      </c>
    </row>
    <row r="164" spans="1:8" x14ac:dyDescent="0.45">
      <c r="A164" t="s">
        <v>1124</v>
      </c>
      <c r="B164" t="s">
        <v>107</v>
      </c>
      <c r="C164">
        <v>350</v>
      </c>
      <c r="D164">
        <v>124.1</v>
      </c>
      <c r="E164">
        <v>77.7</v>
      </c>
      <c r="F164">
        <v>0.8</v>
      </c>
      <c r="G164">
        <v>0.3</v>
      </c>
      <c r="H164" t="s">
        <v>1210</v>
      </c>
    </row>
    <row r="165" spans="1:8" x14ac:dyDescent="0.45">
      <c r="A165" t="s">
        <v>1121</v>
      </c>
      <c r="B165" t="s">
        <v>33</v>
      </c>
      <c r="C165">
        <v>9794</v>
      </c>
      <c r="D165">
        <v>571.6</v>
      </c>
      <c r="E165">
        <v>96</v>
      </c>
      <c r="F165">
        <v>2.1</v>
      </c>
      <c r="G165">
        <v>0.4</v>
      </c>
      <c r="H165" t="s">
        <v>1210</v>
      </c>
    </row>
    <row r="166" spans="1:8" x14ac:dyDescent="0.45">
      <c r="A166" t="s">
        <v>1123</v>
      </c>
      <c r="B166" t="s">
        <v>63</v>
      </c>
      <c r="C166">
        <v>5828</v>
      </c>
      <c r="D166">
        <v>406</v>
      </c>
      <c r="E166">
        <v>92.6</v>
      </c>
      <c r="F166">
        <v>1.5</v>
      </c>
      <c r="G166">
        <v>0.3</v>
      </c>
      <c r="H166" t="s">
        <v>1210</v>
      </c>
    </row>
    <row r="167" spans="1:8" x14ac:dyDescent="0.45">
      <c r="A167" t="s">
        <v>1114</v>
      </c>
      <c r="B167" t="s">
        <v>100</v>
      </c>
      <c r="C167">
        <v>1783</v>
      </c>
      <c r="D167">
        <v>139.30000000000001</v>
      </c>
      <c r="E167">
        <v>16.399999999999999</v>
      </c>
      <c r="F167">
        <v>5.6</v>
      </c>
      <c r="G167">
        <v>1.3</v>
      </c>
      <c r="H167" t="s">
        <v>1210</v>
      </c>
    </row>
    <row r="168" spans="1:8" x14ac:dyDescent="0.45">
      <c r="A168" t="s">
        <v>1123</v>
      </c>
      <c r="B168" t="s">
        <v>58</v>
      </c>
      <c r="C168">
        <v>2769</v>
      </c>
      <c r="D168">
        <v>285.60000000000002</v>
      </c>
      <c r="E168">
        <v>25.9</v>
      </c>
      <c r="F168">
        <v>0.9</v>
      </c>
      <c r="G168">
        <v>0.3</v>
      </c>
      <c r="H168" t="s">
        <v>1210</v>
      </c>
    </row>
    <row r="169" spans="1:8" x14ac:dyDescent="0.45">
      <c r="A169" t="s">
        <v>1125</v>
      </c>
      <c r="B169" t="s">
        <v>102</v>
      </c>
      <c r="C169">
        <v>331</v>
      </c>
      <c r="D169">
        <v>128.1</v>
      </c>
      <c r="E169">
        <v>12.2</v>
      </c>
      <c r="F169">
        <v>3.2</v>
      </c>
      <c r="G169">
        <v>1.2</v>
      </c>
      <c r="H169" t="s">
        <v>1210</v>
      </c>
    </row>
    <row r="170" spans="1:8" x14ac:dyDescent="0.45">
      <c r="A170" t="s">
        <v>1120</v>
      </c>
      <c r="B170" t="s">
        <v>54</v>
      </c>
      <c r="C170">
        <v>328</v>
      </c>
      <c r="D170">
        <v>234.3</v>
      </c>
      <c r="E170">
        <v>20.100000000000001</v>
      </c>
      <c r="F170">
        <v>2.2999999999999998</v>
      </c>
      <c r="G170">
        <v>0.5</v>
      </c>
      <c r="H170" t="s">
        <v>1210</v>
      </c>
    </row>
    <row r="171" spans="1:8" x14ac:dyDescent="0.45">
      <c r="A171" t="s">
        <v>1125</v>
      </c>
      <c r="B171" t="s">
        <v>28</v>
      </c>
      <c r="C171">
        <v>983</v>
      </c>
      <c r="D171">
        <v>315.8</v>
      </c>
      <c r="E171">
        <v>122.3</v>
      </c>
      <c r="F171">
        <v>4.2</v>
      </c>
      <c r="G171">
        <v>1.2</v>
      </c>
      <c r="H171" t="s">
        <v>1210</v>
      </c>
    </row>
    <row r="172" spans="1:8" x14ac:dyDescent="0.45">
      <c r="A172" t="s">
        <v>1123</v>
      </c>
      <c r="B172" t="s">
        <v>110</v>
      </c>
      <c r="C172">
        <v>6105</v>
      </c>
      <c r="D172">
        <v>483.9</v>
      </c>
      <c r="E172">
        <v>195.5</v>
      </c>
      <c r="F172">
        <v>1</v>
      </c>
      <c r="G172">
        <v>0.3</v>
      </c>
      <c r="H172" t="s">
        <v>1210</v>
      </c>
    </row>
    <row r="173" spans="1:8" x14ac:dyDescent="0.45">
      <c r="A173" t="s">
        <v>1120</v>
      </c>
      <c r="B173" t="s">
        <v>1129</v>
      </c>
      <c r="C173">
        <v>1896</v>
      </c>
      <c r="D173">
        <v>768.1</v>
      </c>
      <c r="E173">
        <v>189.8</v>
      </c>
      <c r="F173">
        <v>1.5</v>
      </c>
      <c r="G173">
        <v>0.5</v>
      </c>
      <c r="H173" t="s">
        <v>1210</v>
      </c>
    </row>
    <row r="174" spans="1:8" x14ac:dyDescent="0.45">
      <c r="A174" t="s">
        <v>1117</v>
      </c>
      <c r="B174" t="s">
        <v>99</v>
      </c>
      <c r="C174">
        <v>744</v>
      </c>
      <c r="D174">
        <v>371.6</v>
      </c>
      <c r="E174">
        <v>67.099999999999994</v>
      </c>
      <c r="F174">
        <v>1.3</v>
      </c>
      <c r="G174">
        <v>0.5</v>
      </c>
      <c r="H174" t="s">
        <v>1210</v>
      </c>
    </row>
    <row r="175" spans="1:8" x14ac:dyDescent="0.45">
      <c r="A175" t="s">
        <v>1127</v>
      </c>
      <c r="B175" t="s">
        <v>20</v>
      </c>
      <c r="C175">
        <v>557</v>
      </c>
      <c r="D175">
        <v>170.2</v>
      </c>
      <c r="E175">
        <v>33.4</v>
      </c>
      <c r="F175">
        <v>4.2</v>
      </c>
      <c r="G175">
        <v>0.9</v>
      </c>
      <c r="H175" t="s">
        <v>1210</v>
      </c>
    </row>
    <row r="176" spans="1:8" x14ac:dyDescent="0.45">
      <c r="A176" t="s">
        <v>1119</v>
      </c>
      <c r="B176" t="s">
        <v>35</v>
      </c>
      <c r="C176">
        <v>1695</v>
      </c>
      <c r="D176">
        <v>414.2</v>
      </c>
      <c r="E176">
        <v>73.5</v>
      </c>
      <c r="F176">
        <v>2.9</v>
      </c>
      <c r="G176">
        <v>1</v>
      </c>
      <c r="H176" t="s">
        <v>1210</v>
      </c>
    </row>
    <row r="177" spans="1:8" x14ac:dyDescent="0.45">
      <c r="A177" t="s">
        <v>1128</v>
      </c>
      <c r="B177" t="s">
        <v>64</v>
      </c>
      <c r="C177">
        <v>11769</v>
      </c>
      <c r="D177">
        <v>938.5</v>
      </c>
      <c r="E177">
        <v>254.3</v>
      </c>
      <c r="F177">
        <v>1.9</v>
      </c>
      <c r="G177">
        <v>0.5</v>
      </c>
      <c r="H177" t="s">
        <v>1210</v>
      </c>
    </row>
    <row r="178" spans="1:8" x14ac:dyDescent="0.45">
      <c r="A178" t="s">
        <v>1116</v>
      </c>
      <c r="B178" t="s">
        <v>44</v>
      </c>
      <c r="C178">
        <v>11266</v>
      </c>
      <c r="D178">
        <v>683.1</v>
      </c>
      <c r="E178">
        <v>203.2</v>
      </c>
      <c r="F178">
        <v>3.3</v>
      </c>
      <c r="G178">
        <v>1.6</v>
      </c>
      <c r="H178" t="s">
        <v>1210</v>
      </c>
    </row>
    <row r="179" spans="1:8" x14ac:dyDescent="0.45">
      <c r="A179" t="s">
        <v>1124</v>
      </c>
      <c r="B179" t="s">
        <v>67</v>
      </c>
      <c r="C179">
        <v>1126</v>
      </c>
      <c r="D179">
        <v>120.8</v>
      </c>
      <c r="E179">
        <v>46.9</v>
      </c>
      <c r="F179">
        <v>1.1000000000000001</v>
      </c>
      <c r="G179">
        <v>0.3</v>
      </c>
      <c r="H179" t="s">
        <v>1210</v>
      </c>
    </row>
    <row r="180" spans="1:8" x14ac:dyDescent="0.45">
      <c r="A180" t="s">
        <v>1116</v>
      </c>
      <c r="B180" t="s">
        <v>63</v>
      </c>
      <c r="C180">
        <v>6821</v>
      </c>
      <c r="D180">
        <v>483.1</v>
      </c>
      <c r="E180">
        <v>139.30000000000001</v>
      </c>
      <c r="F180">
        <v>5.7</v>
      </c>
      <c r="G180">
        <v>1.6</v>
      </c>
      <c r="H180" t="s">
        <v>1210</v>
      </c>
    </row>
    <row r="181" spans="1:8" x14ac:dyDescent="0.45">
      <c r="A181" t="s">
        <v>1126</v>
      </c>
      <c r="B181" t="s">
        <v>106</v>
      </c>
      <c r="C181">
        <v>14363</v>
      </c>
      <c r="D181">
        <v>991.2</v>
      </c>
      <c r="E181">
        <v>184.9</v>
      </c>
      <c r="F181">
        <v>1</v>
      </c>
      <c r="G181">
        <v>0.2</v>
      </c>
      <c r="H181" t="s">
        <v>1210</v>
      </c>
    </row>
    <row r="182" spans="1:8" x14ac:dyDescent="0.45">
      <c r="A182" t="s">
        <v>1117</v>
      </c>
      <c r="B182" t="s">
        <v>59</v>
      </c>
      <c r="C182">
        <v>3116</v>
      </c>
      <c r="D182">
        <v>240.8</v>
      </c>
      <c r="E182">
        <v>32.799999999999997</v>
      </c>
      <c r="F182">
        <v>1.8</v>
      </c>
      <c r="G182">
        <v>0.5</v>
      </c>
      <c r="H182" t="s">
        <v>1210</v>
      </c>
    </row>
    <row r="183" spans="1:8" x14ac:dyDescent="0.45">
      <c r="A183" t="s">
        <v>1128</v>
      </c>
      <c r="B183" t="s">
        <v>80</v>
      </c>
      <c r="C183">
        <v>6418</v>
      </c>
      <c r="D183">
        <v>534</v>
      </c>
      <c r="E183">
        <v>71.5</v>
      </c>
      <c r="F183">
        <v>2.2000000000000002</v>
      </c>
      <c r="G183">
        <v>0.5</v>
      </c>
      <c r="H183" t="s">
        <v>1210</v>
      </c>
    </row>
    <row r="184" spans="1:8" x14ac:dyDescent="0.45">
      <c r="A184" t="s">
        <v>1125</v>
      </c>
      <c r="B184" t="s">
        <v>32</v>
      </c>
      <c r="C184">
        <v>1238</v>
      </c>
      <c r="D184">
        <v>308.10000000000002</v>
      </c>
      <c r="E184">
        <v>106.1</v>
      </c>
      <c r="F184">
        <v>4</v>
      </c>
      <c r="G184">
        <v>1.2</v>
      </c>
      <c r="H184" t="s">
        <v>1210</v>
      </c>
    </row>
    <row r="185" spans="1:8" x14ac:dyDescent="0.45">
      <c r="A185" t="s">
        <v>1124</v>
      </c>
      <c r="B185" t="s">
        <v>89</v>
      </c>
      <c r="C185">
        <v>1018</v>
      </c>
      <c r="D185">
        <v>233.8</v>
      </c>
      <c r="E185">
        <v>27.3</v>
      </c>
      <c r="F185">
        <v>0.8</v>
      </c>
      <c r="G185">
        <v>0.3</v>
      </c>
      <c r="H185" t="s">
        <v>1210</v>
      </c>
    </row>
    <row r="186" spans="1:8" x14ac:dyDescent="0.45">
      <c r="A186" t="s">
        <v>1122</v>
      </c>
      <c r="B186" t="s">
        <v>23</v>
      </c>
      <c r="C186">
        <v>3535</v>
      </c>
      <c r="D186">
        <v>253</v>
      </c>
      <c r="E186">
        <v>97.5</v>
      </c>
      <c r="F186">
        <v>1</v>
      </c>
      <c r="G186">
        <v>0.2</v>
      </c>
      <c r="H186" t="s">
        <v>1210</v>
      </c>
    </row>
    <row r="187" spans="1:8" x14ac:dyDescent="0.45">
      <c r="A187" t="s">
        <v>1124</v>
      </c>
      <c r="B187" t="s">
        <v>59</v>
      </c>
      <c r="C187">
        <v>1609</v>
      </c>
      <c r="D187">
        <v>412.9</v>
      </c>
      <c r="E187">
        <v>46.3</v>
      </c>
      <c r="F187">
        <v>1.1000000000000001</v>
      </c>
      <c r="G187">
        <v>0.3</v>
      </c>
      <c r="H187" t="s">
        <v>1210</v>
      </c>
    </row>
    <row r="188" spans="1:8" x14ac:dyDescent="0.45">
      <c r="A188" t="s">
        <v>1128</v>
      </c>
      <c r="B188" t="s">
        <v>98</v>
      </c>
      <c r="C188">
        <v>8734</v>
      </c>
      <c r="D188">
        <v>632.9</v>
      </c>
      <c r="E188">
        <v>177.9</v>
      </c>
      <c r="F188">
        <v>1.2</v>
      </c>
      <c r="G188">
        <v>0.5</v>
      </c>
      <c r="H188" t="s">
        <v>1210</v>
      </c>
    </row>
    <row r="189" spans="1:8" x14ac:dyDescent="0.45">
      <c r="A189" t="s">
        <v>1120</v>
      </c>
      <c r="B189" t="s">
        <v>101</v>
      </c>
      <c r="C189">
        <v>11699</v>
      </c>
      <c r="D189">
        <v>664.9</v>
      </c>
      <c r="E189">
        <v>111.8</v>
      </c>
      <c r="F189">
        <v>1.9</v>
      </c>
      <c r="G189">
        <v>0.5</v>
      </c>
      <c r="H189" t="s">
        <v>1210</v>
      </c>
    </row>
    <row r="190" spans="1:8" x14ac:dyDescent="0.45">
      <c r="A190" t="s">
        <v>1116</v>
      </c>
      <c r="B190" t="s">
        <v>31</v>
      </c>
      <c r="C190">
        <v>2200</v>
      </c>
      <c r="D190">
        <v>242</v>
      </c>
      <c r="E190">
        <v>34</v>
      </c>
      <c r="F190">
        <v>5.2</v>
      </c>
      <c r="G190">
        <v>1.6</v>
      </c>
      <c r="H190" t="s">
        <v>1210</v>
      </c>
    </row>
    <row r="191" spans="1:8" x14ac:dyDescent="0.45">
      <c r="A191" t="s">
        <v>1115</v>
      </c>
      <c r="B191" t="s">
        <v>63</v>
      </c>
      <c r="C191">
        <v>1660</v>
      </c>
      <c r="D191">
        <v>348.6</v>
      </c>
      <c r="E191">
        <v>67.599999999999994</v>
      </c>
      <c r="F191">
        <v>1.7</v>
      </c>
      <c r="G191">
        <v>0.6</v>
      </c>
      <c r="H191" t="s">
        <v>1210</v>
      </c>
    </row>
    <row r="192" spans="1:8" x14ac:dyDescent="0.45">
      <c r="A192" t="s">
        <v>1120</v>
      </c>
      <c r="B192" t="s">
        <v>31</v>
      </c>
      <c r="C192">
        <v>961</v>
      </c>
      <c r="D192">
        <v>293.2</v>
      </c>
      <c r="E192">
        <v>27.6</v>
      </c>
      <c r="F192">
        <v>1.5</v>
      </c>
      <c r="G192">
        <v>0.5</v>
      </c>
      <c r="H192" t="s">
        <v>1210</v>
      </c>
    </row>
    <row r="193" spans="1:8" x14ac:dyDescent="0.45">
      <c r="A193" t="s">
        <v>1128</v>
      </c>
      <c r="B193" t="s">
        <v>22</v>
      </c>
      <c r="C193">
        <v>4153</v>
      </c>
      <c r="D193">
        <v>420.5</v>
      </c>
      <c r="E193">
        <v>258.5</v>
      </c>
      <c r="F193">
        <v>2.2000000000000002</v>
      </c>
      <c r="G193">
        <v>0.5</v>
      </c>
      <c r="H193" t="s">
        <v>1210</v>
      </c>
    </row>
    <row r="194" spans="1:8" x14ac:dyDescent="0.45">
      <c r="A194" t="s">
        <v>1126</v>
      </c>
      <c r="B194" t="s">
        <v>59</v>
      </c>
      <c r="C194">
        <v>470</v>
      </c>
      <c r="D194">
        <v>222.8</v>
      </c>
      <c r="E194">
        <v>24.2</v>
      </c>
      <c r="F194">
        <v>0.7</v>
      </c>
      <c r="G194">
        <v>0.2</v>
      </c>
      <c r="H194" t="s">
        <v>1210</v>
      </c>
    </row>
    <row r="195" spans="1:8" x14ac:dyDescent="0.45">
      <c r="A195" t="s">
        <v>1119</v>
      </c>
      <c r="B195" t="s">
        <v>1136</v>
      </c>
      <c r="C195">
        <v>7377</v>
      </c>
      <c r="D195">
        <v>688.2</v>
      </c>
      <c r="E195">
        <v>435.6</v>
      </c>
      <c r="F195">
        <v>2</v>
      </c>
      <c r="G195">
        <v>1</v>
      </c>
      <c r="H195" t="s">
        <v>1210</v>
      </c>
    </row>
    <row r="196" spans="1:8" x14ac:dyDescent="0.45">
      <c r="A196" t="s">
        <v>1123</v>
      </c>
      <c r="B196" t="s">
        <v>33</v>
      </c>
      <c r="C196">
        <v>3996</v>
      </c>
      <c r="D196">
        <v>284.7</v>
      </c>
      <c r="E196">
        <v>47.6</v>
      </c>
      <c r="F196">
        <v>1.3</v>
      </c>
      <c r="G196">
        <v>0.3</v>
      </c>
      <c r="H196" t="s">
        <v>1210</v>
      </c>
    </row>
    <row r="197" spans="1:8" x14ac:dyDescent="0.45">
      <c r="A197" t="s">
        <v>1114</v>
      </c>
      <c r="B197" t="s">
        <v>31</v>
      </c>
      <c r="C197">
        <v>6172</v>
      </c>
      <c r="D197">
        <v>456.2</v>
      </c>
      <c r="E197">
        <v>40.1</v>
      </c>
      <c r="F197">
        <v>5.2</v>
      </c>
      <c r="G197">
        <v>1.3</v>
      </c>
      <c r="H197" t="s">
        <v>1210</v>
      </c>
    </row>
    <row r="198" spans="1:8" x14ac:dyDescent="0.45">
      <c r="A198" t="s">
        <v>1126</v>
      </c>
      <c r="B198" t="s">
        <v>58</v>
      </c>
      <c r="C198">
        <v>3213</v>
      </c>
      <c r="D198">
        <v>225.6</v>
      </c>
      <c r="E198">
        <v>26</v>
      </c>
      <c r="F198">
        <v>1.4</v>
      </c>
      <c r="G198">
        <v>0.2</v>
      </c>
      <c r="H198" t="s">
        <v>1210</v>
      </c>
    </row>
    <row r="199" spans="1:8" x14ac:dyDescent="0.45">
      <c r="A199" t="s">
        <v>1114</v>
      </c>
      <c r="B199" t="s">
        <v>57</v>
      </c>
      <c r="C199">
        <v>6278</v>
      </c>
      <c r="D199">
        <v>448.1</v>
      </c>
      <c r="E199">
        <v>64.099999999999994</v>
      </c>
      <c r="F199">
        <v>6.5</v>
      </c>
      <c r="G199">
        <v>1.3</v>
      </c>
      <c r="H199" t="s">
        <v>1210</v>
      </c>
    </row>
    <row r="200" spans="1:8" x14ac:dyDescent="0.45">
      <c r="A200" t="s">
        <v>1122</v>
      </c>
      <c r="B200" t="s">
        <v>98</v>
      </c>
      <c r="C200">
        <v>1774</v>
      </c>
      <c r="D200">
        <v>481.4</v>
      </c>
      <c r="E200">
        <v>76.3</v>
      </c>
      <c r="F200">
        <v>1.2</v>
      </c>
      <c r="G200">
        <v>0.2</v>
      </c>
      <c r="H200" t="s">
        <v>1210</v>
      </c>
    </row>
    <row r="201" spans="1:8" x14ac:dyDescent="0.45">
      <c r="A201" t="s">
        <v>1116</v>
      </c>
      <c r="B201" t="s">
        <v>69</v>
      </c>
      <c r="C201">
        <v>1605</v>
      </c>
      <c r="D201">
        <v>315.89999999999998</v>
      </c>
      <c r="E201">
        <v>208.9</v>
      </c>
      <c r="F201">
        <v>5.5</v>
      </c>
      <c r="G201">
        <v>1.6</v>
      </c>
      <c r="H201" t="s">
        <v>1210</v>
      </c>
    </row>
    <row r="202" spans="1:8" x14ac:dyDescent="0.45">
      <c r="A202" t="s">
        <v>1117</v>
      </c>
      <c r="B202" t="s">
        <v>55</v>
      </c>
      <c r="C202">
        <v>2931</v>
      </c>
      <c r="D202">
        <v>334.8</v>
      </c>
      <c r="E202">
        <v>83.5</v>
      </c>
      <c r="F202">
        <v>1.2</v>
      </c>
      <c r="G202">
        <v>0.5</v>
      </c>
      <c r="H202" t="s">
        <v>1210</v>
      </c>
    </row>
    <row r="203" spans="1:8" x14ac:dyDescent="0.45">
      <c r="A203" t="s">
        <v>1119</v>
      </c>
      <c r="B203" t="s">
        <v>102</v>
      </c>
      <c r="C203">
        <v>4175</v>
      </c>
      <c r="D203">
        <v>592.6</v>
      </c>
      <c r="E203">
        <v>80.099999999999994</v>
      </c>
      <c r="F203">
        <v>0.7</v>
      </c>
      <c r="G203">
        <v>1</v>
      </c>
      <c r="H203" t="s">
        <v>1210</v>
      </c>
    </row>
    <row r="204" spans="1:8" x14ac:dyDescent="0.45">
      <c r="A204" t="s">
        <v>1123</v>
      </c>
      <c r="B204" t="s">
        <v>72</v>
      </c>
      <c r="C204">
        <v>4890</v>
      </c>
      <c r="D204">
        <v>299.5</v>
      </c>
      <c r="E204">
        <v>45.1</v>
      </c>
      <c r="F204">
        <v>0.8</v>
      </c>
      <c r="G204">
        <v>0.3</v>
      </c>
      <c r="H204" t="s">
        <v>1210</v>
      </c>
    </row>
    <row r="205" spans="1:8" x14ac:dyDescent="0.45">
      <c r="A205" t="s">
        <v>1122</v>
      </c>
      <c r="B205" t="s">
        <v>97</v>
      </c>
      <c r="C205">
        <v>767</v>
      </c>
      <c r="D205">
        <v>106.2</v>
      </c>
      <c r="E205">
        <v>74.3</v>
      </c>
      <c r="F205">
        <v>1.1000000000000001</v>
      </c>
      <c r="G205">
        <v>0.2</v>
      </c>
      <c r="H205" t="s">
        <v>1210</v>
      </c>
    </row>
    <row r="206" spans="1:8" x14ac:dyDescent="0.45">
      <c r="A206" t="s">
        <v>1116</v>
      </c>
      <c r="B206" t="s">
        <v>65</v>
      </c>
      <c r="C206">
        <v>3039</v>
      </c>
      <c r="D206">
        <v>354.7</v>
      </c>
      <c r="E206">
        <v>124</v>
      </c>
      <c r="F206">
        <v>5.6</v>
      </c>
      <c r="G206">
        <v>1.6</v>
      </c>
      <c r="H206" t="s">
        <v>1210</v>
      </c>
    </row>
    <row r="207" spans="1:8" x14ac:dyDescent="0.45">
      <c r="A207" t="s">
        <v>1125</v>
      </c>
      <c r="B207" t="s">
        <v>107</v>
      </c>
      <c r="C207">
        <v>1660</v>
      </c>
      <c r="D207">
        <v>527.5</v>
      </c>
      <c r="E207">
        <v>264.89999999999998</v>
      </c>
      <c r="F207">
        <v>3.5</v>
      </c>
      <c r="G207">
        <v>1.2</v>
      </c>
      <c r="H207" t="s">
        <v>1210</v>
      </c>
    </row>
    <row r="208" spans="1:8" x14ac:dyDescent="0.45">
      <c r="A208" t="s">
        <v>1117</v>
      </c>
      <c r="B208" t="s">
        <v>36</v>
      </c>
      <c r="C208">
        <v>1566</v>
      </c>
      <c r="D208">
        <v>231.6</v>
      </c>
      <c r="E208">
        <v>60.7</v>
      </c>
      <c r="F208">
        <v>2.5</v>
      </c>
      <c r="G208">
        <v>0.5</v>
      </c>
      <c r="H208" t="s">
        <v>1210</v>
      </c>
    </row>
    <row r="209" spans="1:8" x14ac:dyDescent="0.45">
      <c r="A209" t="s">
        <v>1115</v>
      </c>
      <c r="B209" t="s">
        <v>99</v>
      </c>
      <c r="C209">
        <v>6324</v>
      </c>
      <c r="D209">
        <v>987.7</v>
      </c>
      <c r="E209">
        <v>151</v>
      </c>
      <c r="F209">
        <v>2.7</v>
      </c>
      <c r="G209">
        <v>0.6</v>
      </c>
      <c r="H209" t="s">
        <v>1210</v>
      </c>
    </row>
    <row r="210" spans="1:8" x14ac:dyDescent="0.45">
      <c r="A210" t="s">
        <v>1120</v>
      </c>
      <c r="B210" t="s">
        <v>109</v>
      </c>
      <c r="C210">
        <v>6261</v>
      </c>
      <c r="D210">
        <v>474.6</v>
      </c>
      <c r="E210">
        <v>304.89999999999998</v>
      </c>
      <c r="F210">
        <v>2.2999999999999998</v>
      </c>
      <c r="G210">
        <v>0.5</v>
      </c>
      <c r="H210" t="s">
        <v>1210</v>
      </c>
    </row>
    <row r="211" spans="1:8" x14ac:dyDescent="0.45">
      <c r="A211" t="s">
        <v>1123</v>
      </c>
      <c r="B211" t="s">
        <v>65</v>
      </c>
      <c r="C211">
        <v>514</v>
      </c>
      <c r="D211">
        <v>150.5</v>
      </c>
      <c r="E211">
        <v>42.7</v>
      </c>
      <c r="F211">
        <v>0.8</v>
      </c>
      <c r="G211">
        <v>0.3</v>
      </c>
      <c r="H211" t="s">
        <v>1210</v>
      </c>
    </row>
    <row r="212" spans="1:8" x14ac:dyDescent="0.45">
      <c r="A212" t="s">
        <v>1119</v>
      </c>
      <c r="B212" t="s">
        <v>93</v>
      </c>
      <c r="C212">
        <v>7707</v>
      </c>
      <c r="D212">
        <v>557.9</v>
      </c>
      <c r="E212">
        <v>104.4</v>
      </c>
      <c r="F212">
        <v>3.3</v>
      </c>
      <c r="G212">
        <v>1</v>
      </c>
      <c r="H212" t="s">
        <v>1210</v>
      </c>
    </row>
    <row r="213" spans="1:8" x14ac:dyDescent="0.45">
      <c r="A213" t="s">
        <v>1126</v>
      </c>
      <c r="B213" t="s">
        <v>105</v>
      </c>
      <c r="C213">
        <v>4193</v>
      </c>
      <c r="D213">
        <v>548.9</v>
      </c>
      <c r="E213">
        <v>66.2</v>
      </c>
      <c r="F213">
        <v>1.3</v>
      </c>
      <c r="G213">
        <v>0.2</v>
      </c>
      <c r="H213" t="s">
        <v>1210</v>
      </c>
    </row>
    <row r="214" spans="1:8" x14ac:dyDescent="0.45">
      <c r="A214" t="s">
        <v>1123</v>
      </c>
      <c r="B214" t="s">
        <v>44</v>
      </c>
      <c r="C214">
        <v>7174</v>
      </c>
      <c r="D214">
        <v>928</v>
      </c>
      <c r="E214">
        <v>171</v>
      </c>
      <c r="F214">
        <v>1.3</v>
      </c>
      <c r="G214">
        <v>0.3</v>
      </c>
      <c r="H214" t="s">
        <v>1210</v>
      </c>
    </row>
    <row r="215" spans="1:8" x14ac:dyDescent="0.45">
      <c r="A215" t="s">
        <v>1124</v>
      </c>
      <c r="B215" t="s">
        <v>1129</v>
      </c>
      <c r="C215">
        <v>767</v>
      </c>
      <c r="E215">
        <v>167.5</v>
      </c>
      <c r="F215">
        <v>1</v>
      </c>
      <c r="G215">
        <v>0.3</v>
      </c>
      <c r="H215" t="s">
        <v>1210</v>
      </c>
    </row>
    <row r="216" spans="1:8" x14ac:dyDescent="0.45">
      <c r="A216" t="s">
        <v>1116</v>
      </c>
      <c r="B216" t="s">
        <v>99</v>
      </c>
      <c r="C216">
        <v>3419</v>
      </c>
      <c r="D216">
        <v>255.3</v>
      </c>
      <c r="E216">
        <v>64.400000000000006</v>
      </c>
      <c r="F216">
        <v>7.8</v>
      </c>
      <c r="G216">
        <v>1.6</v>
      </c>
      <c r="H216" t="s">
        <v>1210</v>
      </c>
    </row>
    <row r="217" spans="1:8" x14ac:dyDescent="0.45">
      <c r="A217" t="s">
        <v>1114</v>
      </c>
      <c r="B217" t="s">
        <v>12</v>
      </c>
      <c r="C217">
        <v>4146</v>
      </c>
      <c r="D217">
        <v>308.60000000000002</v>
      </c>
      <c r="E217">
        <v>35.4</v>
      </c>
      <c r="F217">
        <v>5.5</v>
      </c>
      <c r="G217">
        <v>1.3</v>
      </c>
      <c r="H217" t="s">
        <v>1210</v>
      </c>
    </row>
    <row r="218" spans="1:8" x14ac:dyDescent="0.45">
      <c r="A218" t="s">
        <v>1119</v>
      </c>
      <c r="B218" t="s">
        <v>1130</v>
      </c>
      <c r="C218">
        <v>6350</v>
      </c>
      <c r="D218">
        <v>441.2</v>
      </c>
      <c r="E218">
        <v>203.7</v>
      </c>
      <c r="F218">
        <v>3.3</v>
      </c>
      <c r="G218">
        <v>1</v>
      </c>
      <c r="H218" t="s">
        <v>1210</v>
      </c>
    </row>
    <row r="219" spans="1:8" x14ac:dyDescent="0.45">
      <c r="A219" t="s">
        <v>1115</v>
      </c>
      <c r="B219" t="s">
        <v>51</v>
      </c>
      <c r="C219">
        <v>5817</v>
      </c>
      <c r="D219">
        <v>714.9</v>
      </c>
      <c r="E219">
        <v>207</v>
      </c>
      <c r="F219">
        <v>1.8</v>
      </c>
      <c r="G219">
        <v>0.6</v>
      </c>
      <c r="H219" t="s">
        <v>1210</v>
      </c>
    </row>
    <row r="220" spans="1:8" x14ac:dyDescent="0.45">
      <c r="A220" t="s">
        <v>1116</v>
      </c>
      <c r="B220" t="s">
        <v>47</v>
      </c>
      <c r="C220">
        <v>465</v>
      </c>
      <c r="D220">
        <v>392.2</v>
      </c>
      <c r="E220">
        <v>46.2</v>
      </c>
      <c r="F220">
        <v>4</v>
      </c>
      <c r="G220">
        <v>1.6</v>
      </c>
      <c r="H220" t="s">
        <v>1210</v>
      </c>
    </row>
    <row r="221" spans="1:8" x14ac:dyDescent="0.45">
      <c r="A221" t="s">
        <v>1122</v>
      </c>
      <c r="B221" t="s">
        <v>64</v>
      </c>
      <c r="C221">
        <v>6116</v>
      </c>
      <c r="D221">
        <v>517.79999999999995</v>
      </c>
      <c r="E221">
        <v>123.5</v>
      </c>
      <c r="F221">
        <v>0.9</v>
      </c>
      <c r="G221">
        <v>0.2</v>
      </c>
      <c r="H221" t="s">
        <v>1210</v>
      </c>
    </row>
    <row r="222" spans="1:8" x14ac:dyDescent="0.45">
      <c r="A222" t="s">
        <v>1115</v>
      </c>
      <c r="B222" t="s">
        <v>41</v>
      </c>
      <c r="C222">
        <v>2945</v>
      </c>
      <c r="D222">
        <v>342</v>
      </c>
      <c r="E222">
        <v>99.1</v>
      </c>
      <c r="F222">
        <v>1.6</v>
      </c>
      <c r="G222">
        <v>0.6</v>
      </c>
      <c r="H222" t="s">
        <v>1210</v>
      </c>
    </row>
    <row r="223" spans="1:8" x14ac:dyDescent="0.45">
      <c r="A223" t="s">
        <v>1120</v>
      </c>
      <c r="B223" t="s">
        <v>89</v>
      </c>
      <c r="C223">
        <v>1666</v>
      </c>
      <c r="D223">
        <v>246.7</v>
      </c>
      <c r="E223">
        <v>44.1</v>
      </c>
      <c r="F223">
        <v>1.9</v>
      </c>
      <c r="G223">
        <v>0.5</v>
      </c>
      <c r="H223" t="s">
        <v>1210</v>
      </c>
    </row>
    <row r="224" spans="1:8" x14ac:dyDescent="0.45">
      <c r="A224" t="s">
        <v>1123</v>
      </c>
      <c r="B224" t="s">
        <v>15</v>
      </c>
      <c r="C224">
        <v>15661</v>
      </c>
      <c r="D224">
        <v>987.7</v>
      </c>
      <c r="E224">
        <v>239</v>
      </c>
      <c r="F224">
        <v>1.2</v>
      </c>
      <c r="G224">
        <v>0.3</v>
      </c>
      <c r="H224" t="s">
        <v>1210</v>
      </c>
    </row>
    <row r="225" spans="1:8" x14ac:dyDescent="0.45">
      <c r="A225" t="s">
        <v>1128</v>
      </c>
      <c r="B225" t="s">
        <v>81</v>
      </c>
      <c r="C225">
        <v>4488</v>
      </c>
      <c r="D225">
        <v>495.9</v>
      </c>
      <c r="E225">
        <v>75.599999999999994</v>
      </c>
      <c r="F225">
        <v>1.4</v>
      </c>
      <c r="G225">
        <v>0.5</v>
      </c>
      <c r="H225" t="s">
        <v>1210</v>
      </c>
    </row>
    <row r="226" spans="1:8" x14ac:dyDescent="0.45">
      <c r="A226" t="s">
        <v>1118</v>
      </c>
      <c r="B226" t="s">
        <v>31</v>
      </c>
      <c r="C226">
        <v>7145</v>
      </c>
      <c r="D226">
        <v>398.8</v>
      </c>
      <c r="E226">
        <v>58.5</v>
      </c>
      <c r="F226">
        <v>5.6</v>
      </c>
      <c r="G226">
        <v>1.5</v>
      </c>
      <c r="H226" t="s">
        <v>1210</v>
      </c>
    </row>
    <row r="227" spans="1:8" x14ac:dyDescent="0.45">
      <c r="A227" t="s">
        <v>1121</v>
      </c>
      <c r="B227" t="s">
        <v>23</v>
      </c>
      <c r="C227">
        <v>5800</v>
      </c>
      <c r="D227">
        <v>335.8</v>
      </c>
      <c r="E227">
        <v>127.5</v>
      </c>
      <c r="F227">
        <v>2.1</v>
      </c>
      <c r="G227">
        <v>0.4</v>
      </c>
      <c r="H227" t="s">
        <v>1210</v>
      </c>
    </row>
    <row r="228" spans="1:8" x14ac:dyDescent="0.45">
      <c r="A228" t="s">
        <v>1120</v>
      </c>
      <c r="B228" t="s">
        <v>33</v>
      </c>
      <c r="C228">
        <v>4679</v>
      </c>
      <c r="D228">
        <v>370.9</v>
      </c>
      <c r="E228">
        <v>60.1</v>
      </c>
      <c r="F228">
        <v>1.5</v>
      </c>
      <c r="G228">
        <v>0.5</v>
      </c>
      <c r="H228" t="s">
        <v>1210</v>
      </c>
    </row>
    <row r="229" spans="1:8" x14ac:dyDescent="0.45">
      <c r="A229" t="s">
        <v>1115</v>
      </c>
      <c r="B229" t="s">
        <v>19</v>
      </c>
      <c r="C229">
        <v>472</v>
      </c>
      <c r="D229">
        <v>141.69999999999999</v>
      </c>
      <c r="E229">
        <v>62.3</v>
      </c>
      <c r="F229">
        <v>1.5</v>
      </c>
      <c r="G229">
        <v>0.6</v>
      </c>
      <c r="H229" t="s">
        <v>1210</v>
      </c>
    </row>
    <row r="230" spans="1:8" x14ac:dyDescent="0.45">
      <c r="A230" t="s">
        <v>1124</v>
      </c>
      <c r="B230" t="s">
        <v>54</v>
      </c>
      <c r="C230">
        <v>5135</v>
      </c>
      <c r="D230">
        <v>475</v>
      </c>
      <c r="E230">
        <v>60</v>
      </c>
      <c r="F230">
        <v>0.9</v>
      </c>
      <c r="G230">
        <v>0.3</v>
      </c>
      <c r="H230" t="s">
        <v>1210</v>
      </c>
    </row>
    <row r="231" spans="1:8" x14ac:dyDescent="0.45">
      <c r="A231" t="s">
        <v>1114</v>
      </c>
      <c r="B231" t="s">
        <v>54</v>
      </c>
      <c r="C231">
        <v>4489</v>
      </c>
      <c r="D231">
        <v>420.5</v>
      </c>
      <c r="E231">
        <v>60.7</v>
      </c>
      <c r="F231">
        <v>3.9</v>
      </c>
      <c r="G231">
        <v>1.3</v>
      </c>
      <c r="H231" t="s">
        <v>1210</v>
      </c>
    </row>
    <row r="232" spans="1:8" x14ac:dyDescent="0.45">
      <c r="A232" t="s">
        <v>1118</v>
      </c>
      <c r="B232" t="s">
        <v>91</v>
      </c>
      <c r="C232">
        <v>9230</v>
      </c>
      <c r="D232">
        <v>704.7</v>
      </c>
      <c r="E232">
        <v>352.1</v>
      </c>
      <c r="F232">
        <v>6.1</v>
      </c>
      <c r="G232">
        <v>1.5</v>
      </c>
      <c r="H232" t="s">
        <v>1210</v>
      </c>
    </row>
    <row r="233" spans="1:8" x14ac:dyDescent="0.45">
      <c r="A233" t="s">
        <v>1116</v>
      </c>
      <c r="B233" t="s">
        <v>96</v>
      </c>
      <c r="C233">
        <v>1731</v>
      </c>
      <c r="D233">
        <v>637.6</v>
      </c>
      <c r="E233">
        <v>158.19999999999999</v>
      </c>
      <c r="F233">
        <v>7.5</v>
      </c>
      <c r="G233">
        <v>1.6</v>
      </c>
      <c r="H233" t="s">
        <v>1210</v>
      </c>
    </row>
    <row r="234" spans="1:8" x14ac:dyDescent="0.45">
      <c r="A234" t="s">
        <v>1115</v>
      </c>
      <c r="B234" t="s">
        <v>1138</v>
      </c>
      <c r="C234">
        <v>3182</v>
      </c>
      <c r="E234">
        <v>150.1</v>
      </c>
      <c r="F234">
        <v>1.5</v>
      </c>
      <c r="G234">
        <v>0.6</v>
      </c>
      <c r="H234" t="s">
        <v>1210</v>
      </c>
    </row>
    <row r="235" spans="1:8" x14ac:dyDescent="0.45">
      <c r="A235" t="s">
        <v>1117</v>
      </c>
      <c r="B235" t="s">
        <v>1130</v>
      </c>
      <c r="C235">
        <v>7745</v>
      </c>
      <c r="D235">
        <v>625.9</v>
      </c>
      <c r="E235">
        <v>433.5</v>
      </c>
      <c r="F235">
        <v>1.1000000000000001</v>
      </c>
      <c r="G235">
        <v>0.5</v>
      </c>
      <c r="H235" t="s">
        <v>1210</v>
      </c>
    </row>
    <row r="236" spans="1:8" x14ac:dyDescent="0.45">
      <c r="A236" t="s">
        <v>1117</v>
      </c>
      <c r="B236" t="s">
        <v>93</v>
      </c>
      <c r="C236">
        <v>7278</v>
      </c>
      <c r="E236">
        <v>51.7</v>
      </c>
      <c r="F236">
        <v>2.5</v>
      </c>
      <c r="G236">
        <v>0.5</v>
      </c>
      <c r="H236" t="s">
        <v>1210</v>
      </c>
    </row>
    <row r="237" spans="1:8" x14ac:dyDescent="0.45">
      <c r="A237" t="s">
        <v>1117</v>
      </c>
      <c r="B237" t="s">
        <v>1140</v>
      </c>
      <c r="C237">
        <v>2788</v>
      </c>
      <c r="D237">
        <v>180.8</v>
      </c>
      <c r="E237">
        <v>14.5</v>
      </c>
      <c r="F237">
        <v>2.4</v>
      </c>
      <c r="G237">
        <v>0.5</v>
      </c>
      <c r="H237" t="s">
        <v>1210</v>
      </c>
    </row>
    <row r="238" spans="1:8" x14ac:dyDescent="0.45">
      <c r="A238" t="s">
        <v>1127</v>
      </c>
      <c r="B238" t="s">
        <v>87</v>
      </c>
      <c r="C238">
        <v>2395</v>
      </c>
      <c r="D238">
        <v>596.1</v>
      </c>
      <c r="E238">
        <v>93.9</v>
      </c>
      <c r="F238">
        <v>1.5</v>
      </c>
      <c r="G238">
        <v>0.9</v>
      </c>
      <c r="H238" t="s">
        <v>1210</v>
      </c>
    </row>
    <row r="239" spans="1:8" x14ac:dyDescent="0.45">
      <c r="A239" t="s">
        <v>1124</v>
      </c>
      <c r="B239" t="s">
        <v>84</v>
      </c>
      <c r="C239">
        <v>3858</v>
      </c>
      <c r="D239">
        <v>510.4</v>
      </c>
      <c r="E239">
        <v>154.1</v>
      </c>
      <c r="F239">
        <v>1</v>
      </c>
      <c r="G239">
        <v>0.3</v>
      </c>
      <c r="H239" t="s">
        <v>1210</v>
      </c>
    </row>
    <row r="240" spans="1:8" x14ac:dyDescent="0.45">
      <c r="A240" t="s">
        <v>1117</v>
      </c>
      <c r="B240" t="s">
        <v>80</v>
      </c>
      <c r="C240">
        <v>4594</v>
      </c>
      <c r="D240">
        <v>306.5</v>
      </c>
      <c r="E240">
        <v>44</v>
      </c>
      <c r="F240">
        <v>2.8</v>
      </c>
      <c r="G240">
        <v>0.5</v>
      </c>
      <c r="H240" t="s">
        <v>1210</v>
      </c>
    </row>
    <row r="241" spans="1:8" x14ac:dyDescent="0.45">
      <c r="A241" t="s">
        <v>1119</v>
      </c>
      <c r="B241" t="s">
        <v>1131</v>
      </c>
      <c r="C241">
        <v>4043</v>
      </c>
      <c r="D241">
        <v>872.1</v>
      </c>
      <c r="E241">
        <v>360.1</v>
      </c>
      <c r="F241">
        <v>3.5</v>
      </c>
      <c r="G241">
        <v>1</v>
      </c>
      <c r="H241" t="s">
        <v>1210</v>
      </c>
    </row>
    <row r="242" spans="1:8" x14ac:dyDescent="0.45">
      <c r="A242" t="s">
        <v>1119</v>
      </c>
      <c r="B242" t="s">
        <v>85</v>
      </c>
      <c r="C242">
        <v>4103</v>
      </c>
      <c r="D242">
        <v>289.39999999999998</v>
      </c>
      <c r="E242">
        <v>175.6</v>
      </c>
      <c r="F242">
        <v>3.3</v>
      </c>
      <c r="G242">
        <v>1</v>
      </c>
      <c r="H242" t="s">
        <v>1210</v>
      </c>
    </row>
    <row r="243" spans="1:8" x14ac:dyDescent="0.45">
      <c r="A243" t="s">
        <v>1121</v>
      </c>
      <c r="B243" t="s">
        <v>74</v>
      </c>
      <c r="C243">
        <v>2685</v>
      </c>
      <c r="D243">
        <v>193.5</v>
      </c>
      <c r="E243">
        <v>109.5</v>
      </c>
      <c r="F243">
        <v>1.4</v>
      </c>
      <c r="G243">
        <v>0.4</v>
      </c>
      <c r="H243" t="s">
        <v>1210</v>
      </c>
    </row>
    <row r="244" spans="1:8" x14ac:dyDescent="0.45">
      <c r="A244" t="s">
        <v>1128</v>
      </c>
      <c r="B244" t="s">
        <v>30</v>
      </c>
      <c r="C244">
        <v>2126</v>
      </c>
      <c r="D244">
        <v>889.4</v>
      </c>
      <c r="E244">
        <v>164.5</v>
      </c>
      <c r="F244">
        <v>2.5</v>
      </c>
      <c r="G244">
        <v>0.5</v>
      </c>
      <c r="H244" t="s">
        <v>1210</v>
      </c>
    </row>
    <row r="245" spans="1:8" x14ac:dyDescent="0.45">
      <c r="A245" t="s">
        <v>1122</v>
      </c>
      <c r="B245" t="s">
        <v>91</v>
      </c>
      <c r="C245">
        <v>1150</v>
      </c>
      <c r="D245">
        <v>104</v>
      </c>
      <c r="E245">
        <v>66.099999999999994</v>
      </c>
      <c r="F245">
        <v>0.9</v>
      </c>
      <c r="G245">
        <v>0.2</v>
      </c>
      <c r="H245" t="s">
        <v>1210</v>
      </c>
    </row>
    <row r="246" spans="1:8" x14ac:dyDescent="0.45">
      <c r="A246" t="s">
        <v>1123</v>
      </c>
      <c r="B246" t="s">
        <v>1141</v>
      </c>
      <c r="C246">
        <v>1928</v>
      </c>
      <c r="D246">
        <v>247</v>
      </c>
      <c r="E246">
        <v>24.7</v>
      </c>
      <c r="F246">
        <v>1.3</v>
      </c>
      <c r="G246">
        <v>0.3</v>
      </c>
      <c r="H246" t="s">
        <v>1210</v>
      </c>
    </row>
    <row r="247" spans="1:8" x14ac:dyDescent="0.45">
      <c r="A247" t="s">
        <v>1115</v>
      </c>
      <c r="B247" t="s">
        <v>36</v>
      </c>
      <c r="C247">
        <v>583</v>
      </c>
      <c r="D247">
        <v>221.5</v>
      </c>
      <c r="E247">
        <v>82.6</v>
      </c>
      <c r="F247">
        <v>1.9</v>
      </c>
      <c r="G247">
        <v>0.6</v>
      </c>
      <c r="H247" t="s">
        <v>1210</v>
      </c>
    </row>
    <row r="248" spans="1:8" x14ac:dyDescent="0.45">
      <c r="A248" t="s">
        <v>1117</v>
      </c>
      <c r="B248" t="s">
        <v>8</v>
      </c>
      <c r="C248">
        <v>7803</v>
      </c>
      <c r="D248">
        <v>630.29999999999995</v>
      </c>
      <c r="E248">
        <v>172.1</v>
      </c>
      <c r="F248">
        <v>2.9</v>
      </c>
      <c r="G248">
        <v>0.5</v>
      </c>
      <c r="H248" t="s">
        <v>1210</v>
      </c>
    </row>
    <row r="249" spans="1:8" x14ac:dyDescent="0.45">
      <c r="A249" t="s">
        <v>1122</v>
      </c>
      <c r="B249" t="s">
        <v>40</v>
      </c>
      <c r="C249">
        <v>2700</v>
      </c>
      <c r="D249">
        <v>354.9</v>
      </c>
      <c r="E249">
        <v>39.200000000000003</v>
      </c>
      <c r="F249">
        <v>0.8</v>
      </c>
      <c r="G249">
        <v>0.2</v>
      </c>
      <c r="H249" t="s">
        <v>1210</v>
      </c>
    </row>
    <row r="250" spans="1:8" x14ac:dyDescent="0.45">
      <c r="A250" t="s">
        <v>1120</v>
      </c>
      <c r="B250" t="s">
        <v>15</v>
      </c>
      <c r="C250">
        <v>1545</v>
      </c>
      <c r="D250">
        <v>487.6</v>
      </c>
      <c r="E250">
        <v>120.8</v>
      </c>
      <c r="F250">
        <v>1.8</v>
      </c>
      <c r="G250">
        <v>0.5</v>
      </c>
      <c r="H250" t="s">
        <v>1210</v>
      </c>
    </row>
    <row r="251" spans="1:8" x14ac:dyDescent="0.45">
      <c r="A251" t="s">
        <v>1124</v>
      </c>
      <c r="B251" t="s">
        <v>101</v>
      </c>
      <c r="C251">
        <v>2343</v>
      </c>
      <c r="D251">
        <v>356.6</v>
      </c>
      <c r="E251">
        <v>65.2</v>
      </c>
      <c r="F251">
        <v>1.1000000000000001</v>
      </c>
      <c r="G251">
        <v>0.3</v>
      </c>
      <c r="H251" t="s">
        <v>1210</v>
      </c>
    </row>
    <row r="252" spans="1:8" x14ac:dyDescent="0.45">
      <c r="A252" t="s">
        <v>1125</v>
      </c>
      <c r="B252" t="s">
        <v>1138</v>
      </c>
      <c r="C252">
        <v>10813</v>
      </c>
      <c r="D252">
        <v>736.3</v>
      </c>
      <c r="E252">
        <v>196.1</v>
      </c>
      <c r="F252">
        <v>1.8</v>
      </c>
      <c r="G252">
        <v>1.2</v>
      </c>
      <c r="H252" t="s">
        <v>1210</v>
      </c>
    </row>
    <row r="253" spans="1:8" x14ac:dyDescent="0.45">
      <c r="A253" t="s">
        <v>1117</v>
      </c>
      <c r="B253" t="s">
        <v>56</v>
      </c>
      <c r="C253">
        <v>6076</v>
      </c>
      <c r="D253">
        <v>807</v>
      </c>
      <c r="E253">
        <v>224.9</v>
      </c>
      <c r="F253">
        <v>2.1</v>
      </c>
      <c r="G253">
        <v>0.5</v>
      </c>
      <c r="H253" t="s">
        <v>1210</v>
      </c>
    </row>
    <row r="254" spans="1:8" x14ac:dyDescent="0.45">
      <c r="A254" t="s">
        <v>1122</v>
      </c>
      <c r="B254" t="s">
        <v>93</v>
      </c>
      <c r="C254">
        <v>3046</v>
      </c>
      <c r="E254">
        <v>27.1</v>
      </c>
      <c r="F254">
        <v>1.3</v>
      </c>
      <c r="G254">
        <v>0.2</v>
      </c>
      <c r="H254" t="s">
        <v>1210</v>
      </c>
    </row>
    <row r="255" spans="1:8" x14ac:dyDescent="0.45">
      <c r="A255" t="s">
        <v>1122</v>
      </c>
      <c r="B255" t="s">
        <v>62</v>
      </c>
      <c r="C255">
        <v>4594</v>
      </c>
      <c r="E255">
        <v>60.2</v>
      </c>
      <c r="F255">
        <v>1.2</v>
      </c>
      <c r="G255">
        <v>0.2</v>
      </c>
      <c r="H255" t="s">
        <v>1210</v>
      </c>
    </row>
    <row r="256" spans="1:8" x14ac:dyDescent="0.45">
      <c r="A256" t="s">
        <v>1116</v>
      </c>
      <c r="B256" t="s">
        <v>56</v>
      </c>
      <c r="C256">
        <v>2679</v>
      </c>
      <c r="D256">
        <v>282.2</v>
      </c>
      <c r="E256">
        <v>79.5</v>
      </c>
      <c r="F256">
        <v>3.8</v>
      </c>
      <c r="G256">
        <v>1.6</v>
      </c>
      <c r="H256" t="s">
        <v>1210</v>
      </c>
    </row>
    <row r="257" spans="1:8" x14ac:dyDescent="0.45">
      <c r="A257" t="s">
        <v>1114</v>
      </c>
      <c r="B257" t="s">
        <v>69</v>
      </c>
      <c r="C257">
        <v>5494</v>
      </c>
      <c r="D257">
        <v>341.3</v>
      </c>
      <c r="E257">
        <v>143.9</v>
      </c>
      <c r="F257">
        <v>5.0999999999999996</v>
      </c>
      <c r="G257">
        <v>1.3</v>
      </c>
      <c r="H257" t="s">
        <v>1210</v>
      </c>
    </row>
    <row r="258" spans="1:8" x14ac:dyDescent="0.45">
      <c r="A258" t="s">
        <v>1115</v>
      </c>
      <c r="B258" t="s">
        <v>108</v>
      </c>
      <c r="C258">
        <v>2170</v>
      </c>
      <c r="D258">
        <v>194.5</v>
      </c>
      <c r="E258">
        <v>35.700000000000003</v>
      </c>
      <c r="F258">
        <v>2.2999999999999998</v>
      </c>
      <c r="G258">
        <v>0.6</v>
      </c>
      <c r="H258" t="s">
        <v>1210</v>
      </c>
    </row>
    <row r="259" spans="1:8" x14ac:dyDescent="0.45">
      <c r="A259" t="s">
        <v>1122</v>
      </c>
      <c r="B259" t="s">
        <v>1140</v>
      </c>
      <c r="C259">
        <v>1775</v>
      </c>
      <c r="D259">
        <v>162.6</v>
      </c>
      <c r="E259">
        <v>13.4</v>
      </c>
      <c r="F259">
        <v>0.9</v>
      </c>
      <c r="G259">
        <v>0.2</v>
      </c>
      <c r="H259" t="s">
        <v>1210</v>
      </c>
    </row>
    <row r="260" spans="1:8" x14ac:dyDescent="0.45">
      <c r="A260" t="s">
        <v>1122</v>
      </c>
      <c r="B260" t="s">
        <v>10</v>
      </c>
      <c r="C260">
        <v>5400</v>
      </c>
      <c r="D260">
        <v>535.9</v>
      </c>
      <c r="E260">
        <v>56.4</v>
      </c>
      <c r="F260">
        <v>0.8</v>
      </c>
      <c r="G260">
        <v>0.2</v>
      </c>
      <c r="H260" t="s">
        <v>1210</v>
      </c>
    </row>
    <row r="261" spans="1:8" x14ac:dyDescent="0.45">
      <c r="A261" t="s">
        <v>1115</v>
      </c>
      <c r="B261" t="s">
        <v>10</v>
      </c>
      <c r="C261">
        <v>3364</v>
      </c>
      <c r="D261">
        <v>491.6</v>
      </c>
      <c r="E261">
        <v>67.8</v>
      </c>
      <c r="F261">
        <v>1.7</v>
      </c>
      <c r="G261">
        <v>0.6</v>
      </c>
      <c r="H261" t="s">
        <v>1210</v>
      </c>
    </row>
    <row r="262" spans="1:8" x14ac:dyDescent="0.45">
      <c r="A262" t="s">
        <v>1127</v>
      </c>
      <c r="B262" t="s">
        <v>105</v>
      </c>
      <c r="C262">
        <v>233</v>
      </c>
      <c r="D262">
        <v>437.3</v>
      </c>
      <c r="E262">
        <v>57.6</v>
      </c>
      <c r="F262">
        <v>4.9000000000000004</v>
      </c>
      <c r="G262">
        <v>0.9</v>
      </c>
      <c r="H262" t="s">
        <v>1210</v>
      </c>
    </row>
    <row r="263" spans="1:8" x14ac:dyDescent="0.45">
      <c r="A263" t="s">
        <v>1114</v>
      </c>
      <c r="B263" t="s">
        <v>59</v>
      </c>
      <c r="C263">
        <v>2358</v>
      </c>
      <c r="D263">
        <v>177.8</v>
      </c>
      <c r="E263">
        <v>21.6</v>
      </c>
      <c r="F263">
        <v>4.9000000000000004</v>
      </c>
      <c r="G263">
        <v>1.3</v>
      </c>
      <c r="H263" t="s">
        <v>1210</v>
      </c>
    </row>
    <row r="264" spans="1:8" x14ac:dyDescent="0.45">
      <c r="A264" t="s">
        <v>1117</v>
      </c>
      <c r="B264" t="s">
        <v>13</v>
      </c>
      <c r="C264">
        <v>1856</v>
      </c>
      <c r="D264">
        <v>254.9</v>
      </c>
      <c r="E264">
        <v>108.4</v>
      </c>
      <c r="F264">
        <v>2</v>
      </c>
      <c r="G264">
        <v>0.5</v>
      </c>
      <c r="H264" t="s">
        <v>1210</v>
      </c>
    </row>
    <row r="265" spans="1:8" x14ac:dyDescent="0.45">
      <c r="A265" t="s">
        <v>1123</v>
      </c>
      <c r="B265" t="s">
        <v>100</v>
      </c>
      <c r="D265">
        <v>315</v>
      </c>
      <c r="E265">
        <v>42.2</v>
      </c>
      <c r="F265">
        <v>1.1000000000000001</v>
      </c>
      <c r="G265">
        <v>0.3</v>
      </c>
    </row>
    <row r="266" spans="1:8" x14ac:dyDescent="0.45">
      <c r="A266" t="s">
        <v>1125</v>
      </c>
      <c r="B266" t="s">
        <v>41</v>
      </c>
      <c r="C266">
        <v>1435</v>
      </c>
      <c r="D266">
        <v>177.5</v>
      </c>
      <c r="E266">
        <v>60.7</v>
      </c>
      <c r="F266">
        <v>4.2</v>
      </c>
      <c r="G266">
        <v>1.2</v>
      </c>
      <c r="H266" t="s">
        <v>1210</v>
      </c>
    </row>
    <row r="267" spans="1:8" x14ac:dyDescent="0.45">
      <c r="A267" t="s">
        <v>1126</v>
      </c>
      <c r="B267" t="s">
        <v>64</v>
      </c>
      <c r="C267">
        <v>1076</v>
      </c>
      <c r="E267">
        <v>192.4</v>
      </c>
      <c r="F267">
        <v>1</v>
      </c>
      <c r="G267">
        <v>0.2</v>
      </c>
      <c r="H267" t="s">
        <v>1210</v>
      </c>
    </row>
    <row r="268" spans="1:8" x14ac:dyDescent="0.45">
      <c r="A268" t="s">
        <v>1121</v>
      </c>
      <c r="B268" t="s">
        <v>60</v>
      </c>
      <c r="C268">
        <v>6094</v>
      </c>
      <c r="D268">
        <v>722.8</v>
      </c>
      <c r="E268">
        <v>145.6</v>
      </c>
      <c r="F268">
        <v>1.7</v>
      </c>
      <c r="G268">
        <v>0.4</v>
      </c>
      <c r="H268" t="s">
        <v>1210</v>
      </c>
    </row>
    <row r="269" spans="1:8" x14ac:dyDescent="0.45">
      <c r="A269" t="s">
        <v>1126</v>
      </c>
      <c r="B269" t="s">
        <v>89</v>
      </c>
      <c r="C269">
        <v>2281</v>
      </c>
      <c r="D269">
        <v>151</v>
      </c>
      <c r="E269">
        <v>23.7</v>
      </c>
      <c r="F269">
        <v>0.9</v>
      </c>
      <c r="G269">
        <v>0.2</v>
      </c>
      <c r="H269" t="s">
        <v>1210</v>
      </c>
    </row>
    <row r="270" spans="1:8" x14ac:dyDescent="0.45">
      <c r="A270" t="s">
        <v>1124</v>
      </c>
      <c r="B270" t="s">
        <v>47</v>
      </c>
      <c r="C270">
        <v>7675</v>
      </c>
      <c r="D270">
        <v>494.7</v>
      </c>
      <c r="E270">
        <v>44.6</v>
      </c>
      <c r="F270">
        <v>1</v>
      </c>
      <c r="G270">
        <v>0.3</v>
      </c>
      <c r="H270" t="s">
        <v>1210</v>
      </c>
    </row>
    <row r="271" spans="1:8" x14ac:dyDescent="0.45">
      <c r="A271" t="s">
        <v>1116</v>
      </c>
      <c r="B271" t="s">
        <v>78</v>
      </c>
      <c r="C271">
        <v>2283</v>
      </c>
      <c r="D271">
        <v>210.9</v>
      </c>
      <c r="E271">
        <v>73</v>
      </c>
      <c r="F271">
        <v>6</v>
      </c>
      <c r="G271">
        <v>1.6</v>
      </c>
      <c r="H271" t="s">
        <v>1210</v>
      </c>
    </row>
    <row r="272" spans="1:8" x14ac:dyDescent="0.45">
      <c r="A272" t="s">
        <v>1126</v>
      </c>
      <c r="B272" t="s">
        <v>5</v>
      </c>
      <c r="C272">
        <v>4543</v>
      </c>
      <c r="D272">
        <v>455.1</v>
      </c>
      <c r="E272">
        <v>57.6</v>
      </c>
      <c r="F272">
        <v>0.6</v>
      </c>
      <c r="G272">
        <v>0.2</v>
      </c>
      <c r="H272" t="s">
        <v>1210</v>
      </c>
    </row>
    <row r="273" spans="1:8" x14ac:dyDescent="0.45">
      <c r="A273" t="s">
        <v>1122</v>
      </c>
      <c r="B273" t="s">
        <v>108</v>
      </c>
      <c r="C273">
        <v>4764</v>
      </c>
      <c r="D273">
        <v>269.39999999999998</v>
      </c>
      <c r="E273">
        <v>38.6</v>
      </c>
      <c r="F273">
        <v>0.9</v>
      </c>
      <c r="G273">
        <v>0.2</v>
      </c>
      <c r="H273" t="s">
        <v>1210</v>
      </c>
    </row>
    <row r="274" spans="1:8" x14ac:dyDescent="0.45">
      <c r="A274" t="s">
        <v>1117</v>
      </c>
      <c r="B274" t="s">
        <v>31</v>
      </c>
      <c r="C274">
        <v>208</v>
      </c>
      <c r="D274">
        <v>180.2</v>
      </c>
      <c r="E274">
        <v>16</v>
      </c>
      <c r="F274">
        <v>1.9</v>
      </c>
      <c r="G274">
        <v>0.5</v>
      </c>
      <c r="H274" t="s">
        <v>1210</v>
      </c>
    </row>
    <row r="275" spans="1:8" x14ac:dyDescent="0.45">
      <c r="A275" t="s">
        <v>1115</v>
      </c>
      <c r="B275" t="s">
        <v>93</v>
      </c>
      <c r="C275">
        <v>3432</v>
      </c>
      <c r="D275">
        <v>523</v>
      </c>
      <c r="E275">
        <v>67</v>
      </c>
      <c r="F275">
        <v>1.8</v>
      </c>
      <c r="G275">
        <v>0.6</v>
      </c>
      <c r="H275" t="s">
        <v>1210</v>
      </c>
    </row>
    <row r="276" spans="1:8" x14ac:dyDescent="0.45">
      <c r="A276" t="s">
        <v>1127</v>
      </c>
      <c r="B276" t="s">
        <v>48</v>
      </c>
      <c r="C276">
        <v>10179</v>
      </c>
      <c r="D276">
        <v>722</v>
      </c>
      <c r="E276">
        <v>143.6</v>
      </c>
      <c r="F276">
        <v>2.8</v>
      </c>
      <c r="G276">
        <v>0.9</v>
      </c>
      <c r="H276" t="s">
        <v>1210</v>
      </c>
    </row>
    <row r="277" spans="1:8" x14ac:dyDescent="0.45">
      <c r="A277" t="s">
        <v>1114</v>
      </c>
      <c r="B277" t="s">
        <v>25</v>
      </c>
      <c r="C277">
        <v>3615</v>
      </c>
      <c r="D277">
        <v>281.2</v>
      </c>
      <c r="E277">
        <v>93</v>
      </c>
      <c r="F277">
        <v>3.1</v>
      </c>
      <c r="G277">
        <v>1.3</v>
      </c>
      <c r="H277" t="s">
        <v>1210</v>
      </c>
    </row>
    <row r="278" spans="1:8" x14ac:dyDescent="0.45">
      <c r="A278" t="s">
        <v>1115</v>
      </c>
      <c r="B278" t="s">
        <v>52</v>
      </c>
      <c r="C278">
        <v>1448</v>
      </c>
      <c r="D278">
        <v>185.8</v>
      </c>
      <c r="E278">
        <v>77.8</v>
      </c>
      <c r="F278">
        <v>1.9</v>
      </c>
      <c r="G278">
        <v>0.6</v>
      </c>
      <c r="H278" t="s">
        <v>1210</v>
      </c>
    </row>
    <row r="279" spans="1:8" x14ac:dyDescent="0.45">
      <c r="A279" t="s">
        <v>1128</v>
      </c>
      <c r="B279" t="s">
        <v>60</v>
      </c>
      <c r="C279">
        <v>2487</v>
      </c>
      <c r="D279">
        <v>881.2</v>
      </c>
      <c r="E279">
        <v>229</v>
      </c>
      <c r="F279">
        <v>2.2999999999999998</v>
      </c>
      <c r="G279">
        <v>0.5</v>
      </c>
      <c r="H279" t="s">
        <v>1210</v>
      </c>
    </row>
    <row r="280" spans="1:8" x14ac:dyDescent="0.45">
      <c r="A280" t="s">
        <v>1119</v>
      </c>
      <c r="B280" t="s">
        <v>24</v>
      </c>
      <c r="C280">
        <v>2391</v>
      </c>
      <c r="D280">
        <v>285.3</v>
      </c>
      <c r="E280">
        <v>59.1</v>
      </c>
      <c r="F280">
        <v>4.0999999999999996</v>
      </c>
      <c r="G280">
        <v>1</v>
      </c>
      <c r="H280" t="s">
        <v>1210</v>
      </c>
    </row>
    <row r="281" spans="1:8" x14ac:dyDescent="0.45">
      <c r="A281" t="s">
        <v>1121</v>
      </c>
      <c r="B281" t="s">
        <v>37</v>
      </c>
      <c r="C281">
        <v>1713</v>
      </c>
      <c r="D281">
        <v>201.2</v>
      </c>
      <c r="E281">
        <v>86</v>
      </c>
      <c r="F281">
        <v>2.2999999999999998</v>
      </c>
      <c r="G281">
        <v>0.4</v>
      </c>
      <c r="H281" t="s">
        <v>1210</v>
      </c>
    </row>
    <row r="282" spans="1:8" x14ac:dyDescent="0.45">
      <c r="A282" t="s">
        <v>1114</v>
      </c>
      <c r="B282" t="s">
        <v>1136</v>
      </c>
      <c r="C282">
        <v>3495</v>
      </c>
      <c r="E282">
        <v>182.6</v>
      </c>
      <c r="F282">
        <v>2.9</v>
      </c>
      <c r="G282">
        <v>1.3</v>
      </c>
      <c r="H282" t="s">
        <v>1210</v>
      </c>
    </row>
    <row r="283" spans="1:8" x14ac:dyDescent="0.45">
      <c r="A283" t="s">
        <v>1114</v>
      </c>
      <c r="B283" t="s">
        <v>97</v>
      </c>
      <c r="C283">
        <v>333</v>
      </c>
      <c r="D283">
        <v>419.2</v>
      </c>
      <c r="E283">
        <v>172.5</v>
      </c>
      <c r="F283">
        <v>5.3</v>
      </c>
      <c r="G283">
        <v>1.3</v>
      </c>
      <c r="H283" t="s">
        <v>1210</v>
      </c>
    </row>
    <row r="284" spans="1:8" x14ac:dyDescent="0.45">
      <c r="A284" t="s">
        <v>1128</v>
      </c>
      <c r="B284" t="s">
        <v>106</v>
      </c>
      <c r="C284">
        <v>5211</v>
      </c>
      <c r="D284">
        <v>488.4</v>
      </c>
      <c r="E284">
        <v>99.7</v>
      </c>
      <c r="F284">
        <v>1.3</v>
      </c>
      <c r="G284">
        <v>0.5</v>
      </c>
      <c r="H284" t="s">
        <v>1210</v>
      </c>
    </row>
    <row r="285" spans="1:8" x14ac:dyDescent="0.45">
      <c r="A285" t="s">
        <v>1122</v>
      </c>
      <c r="B285" t="s">
        <v>49</v>
      </c>
      <c r="C285">
        <v>9305</v>
      </c>
      <c r="D285">
        <v>617.29999999999995</v>
      </c>
      <c r="E285">
        <v>88.7</v>
      </c>
      <c r="F285">
        <v>1.2</v>
      </c>
      <c r="G285">
        <v>0.2</v>
      </c>
      <c r="H285" t="s">
        <v>1210</v>
      </c>
    </row>
    <row r="286" spans="1:8" x14ac:dyDescent="0.45">
      <c r="A286" t="s">
        <v>1124</v>
      </c>
      <c r="B286" t="s">
        <v>1134</v>
      </c>
      <c r="C286">
        <v>7619</v>
      </c>
      <c r="D286">
        <v>494.4</v>
      </c>
      <c r="E286">
        <v>73.3</v>
      </c>
      <c r="F286">
        <v>0.9</v>
      </c>
      <c r="G286">
        <v>0.3</v>
      </c>
      <c r="H286" t="s">
        <v>1210</v>
      </c>
    </row>
    <row r="287" spans="1:8" x14ac:dyDescent="0.45">
      <c r="A287" t="s">
        <v>1115</v>
      </c>
      <c r="B287" t="s">
        <v>80</v>
      </c>
      <c r="C287">
        <v>4611</v>
      </c>
      <c r="D287">
        <v>463</v>
      </c>
      <c r="E287">
        <v>41.3</v>
      </c>
      <c r="F287">
        <v>1.7</v>
      </c>
      <c r="G287">
        <v>0.6</v>
      </c>
      <c r="H287" t="s">
        <v>1210</v>
      </c>
    </row>
    <row r="288" spans="1:8" x14ac:dyDescent="0.45">
      <c r="A288" t="s">
        <v>1124</v>
      </c>
      <c r="B288" t="s">
        <v>70</v>
      </c>
      <c r="D288">
        <v>484.6</v>
      </c>
      <c r="E288">
        <v>97.7</v>
      </c>
      <c r="F288">
        <v>0.6</v>
      </c>
      <c r="G288">
        <v>0.3</v>
      </c>
    </row>
    <row r="289" spans="1:8" x14ac:dyDescent="0.45">
      <c r="A289" t="s">
        <v>1115</v>
      </c>
      <c r="B289" t="s">
        <v>25</v>
      </c>
      <c r="C289">
        <v>4653</v>
      </c>
      <c r="D289">
        <v>362.5</v>
      </c>
      <c r="E289">
        <v>129.80000000000001</v>
      </c>
      <c r="F289">
        <v>1.2</v>
      </c>
      <c r="G289">
        <v>0.6</v>
      </c>
      <c r="H289" t="s">
        <v>1210</v>
      </c>
    </row>
    <row r="290" spans="1:8" x14ac:dyDescent="0.45">
      <c r="A290" t="s">
        <v>1127</v>
      </c>
      <c r="B290" t="s">
        <v>97</v>
      </c>
      <c r="C290">
        <v>5866</v>
      </c>
      <c r="D290">
        <v>628.5</v>
      </c>
      <c r="E290">
        <v>373.3</v>
      </c>
      <c r="F290">
        <v>3.3</v>
      </c>
      <c r="G290">
        <v>0.9</v>
      </c>
      <c r="H290" t="s">
        <v>1210</v>
      </c>
    </row>
    <row r="291" spans="1:8" x14ac:dyDescent="0.45">
      <c r="A291" t="s">
        <v>1124</v>
      </c>
      <c r="B291" t="s">
        <v>8</v>
      </c>
      <c r="C291">
        <v>2662</v>
      </c>
      <c r="D291">
        <v>261.8</v>
      </c>
      <c r="E291">
        <v>52.6</v>
      </c>
      <c r="F291">
        <v>0.9</v>
      </c>
      <c r="G291">
        <v>0.3</v>
      </c>
      <c r="H291" t="s">
        <v>1210</v>
      </c>
    </row>
    <row r="292" spans="1:8" x14ac:dyDescent="0.45">
      <c r="A292" t="s">
        <v>1117</v>
      </c>
      <c r="B292" t="s">
        <v>108</v>
      </c>
      <c r="C292">
        <v>6418</v>
      </c>
      <c r="D292">
        <v>641.29999999999995</v>
      </c>
      <c r="E292">
        <v>85.4</v>
      </c>
      <c r="F292">
        <v>2.2000000000000002</v>
      </c>
      <c r="G292">
        <v>0.5</v>
      </c>
      <c r="H292" t="s">
        <v>1210</v>
      </c>
    </row>
    <row r="293" spans="1:8" x14ac:dyDescent="0.45">
      <c r="A293" t="s">
        <v>1116</v>
      </c>
      <c r="B293" t="s">
        <v>77</v>
      </c>
      <c r="C293">
        <v>4624</v>
      </c>
      <c r="D293">
        <v>294.89999999999998</v>
      </c>
      <c r="E293">
        <v>89.7</v>
      </c>
      <c r="F293">
        <v>6.1</v>
      </c>
      <c r="G293">
        <v>1.6</v>
      </c>
      <c r="H293" t="s">
        <v>1210</v>
      </c>
    </row>
    <row r="294" spans="1:8" x14ac:dyDescent="0.45">
      <c r="A294" t="s">
        <v>1115</v>
      </c>
      <c r="B294" t="s">
        <v>47</v>
      </c>
      <c r="C294">
        <v>3446</v>
      </c>
      <c r="D294">
        <v>282.5</v>
      </c>
      <c r="E294">
        <v>32.6</v>
      </c>
      <c r="F294">
        <v>2.2000000000000002</v>
      </c>
      <c r="G294">
        <v>0.6</v>
      </c>
      <c r="H294" t="s">
        <v>1210</v>
      </c>
    </row>
    <row r="295" spans="1:8" x14ac:dyDescent="0.45">
      <c r="A295" t="s">
        <v>1128</v>
      </c>
      <c r="B295" t="s">
        <v>55</v>
      </c>
      <c r="C295">
        <v>15402</v>
      </c>
      <c r="D295">
        <v>865.2</v>
      </c>
      <c r="E295">
        <v>162.19999999999999</v>
      </c>
      <c r="F295">
        <v>1.2</v>
      </c>
      <c r="G295">
        <v>0.5</v>
      </c>
      <c r="H295" t="s">
        <v>1210</v>
      </c>
    </row>
    <row r="296" spans="1:8" x14ac:dyDescent="0.45">
      <c r="A296" t="s">
        <v>1117</v>
      </c>
      <c r="B296" t="s">
        <v>77</v>
      </c>
      <c r="C296">
        <v>811</v>
      </c>
      <c r="D296">
        <v>190.6</v>
      </c>
      <c r="E296">
        <v>83.8</v>
      </c>
      <c r="F296">
        <v>2.2000000000000002</v>
      </c>
      <c r="G296">
        <v>0.5</v>
      </c>
      <c r="H296" t="s">
        <v>1210</v>
      </c>
    </row>
    <row r="297" spans="1:8" x14ac:dyDescent="0.45">
      <c r="A297" t="s">
        <v>1126</v>
      </c>
      <c r="B297" t="s">
        <v>50</v>
      </c>
      <c r="C297">
        <v>1318</v>
      </c>
      <c r="D297">
        <v>145.19999999999999</v>
      </c>
      <c r="E297">
        <v>57.2</v>
      </c>
      <c r="F297">
        <v>1.5</v>
      </c>
      <c r="G297">
        <v>0.2</v>
      </c>
      <c r="H297" t="s">
        <v>1210</v>
      </c>
    </row>
    <row r="298" spans="1:8" x14ac:dyDescent="0.45">
      <c r="A298" t="s">
        <v>1117</v>
      </c>
      <c r="B298" t="s">
        <v>58</v>
      </c>
      <c r="C298">
        <v>2604</v>
      </c>
      <c r="D298">
        <v>285.7</v>
      </c>
      <c r="E298">
        <v>42.1</v>
      </c>
      <c r="F298">
        <v>1.6</v>
      </c>
      <c r="G298">
        <v>0.5</v>
      </c>
      <c r="H298" t="s">
        <v>1210</v>
      </c>
    </row>
    <row r="299" spans="1:8" x14ac:dyDescent="0.45">
      <c r="A299" t="s">
        <v>1127</v>
      </c>
      <c r="B299" t="s">
        <v>23</v>
      </c>
      <c r="C299">
        <v>1577</v>
      </c>
      <c r="D299">
        <v>352.7</v>
      </c>
      <c r="E299">
        <v>92.1</v>
      </c>
      <c r="F299">
        <v>2.2999999999999998</v>
      </c>
      <c r="G299">
        <v>0.9</v>
      </c>
      <c r="H299" t="s">
        <v>1210</v>
      </c>
    </row>
    <row r="300" spans="1:8" x14ac:dyDescent="0.45">
      <c r="A300" t="s">
        <v>1128</v>
      </c>
      <c r="B300" t="s">
        <v>59</v>
      </c>
      <c r="C300">
        <v>3709</v>
      </c>
      <c r="D300">
        <v>310.8</v>
      </c>
      <c r="E300">
        <v>26.3</v>
      </c>
      <c r="F300">
        <v>1.1000000000000001</v>
      </c>
      <c r="G300">
        <v>0.5</v>
      </c>
      <c r="H300" t="s">
        <v>1210</v>
      </c>
    </row>
    <row r="301" spans="1:8" x14ac:dyDescent="0.45">
      <c r="A301" t="s">
        <v>1125</v>
      </c>
      <c r="B301" t="s">
        <v>69</v>
      </c>
      <c r="C301">
        <v>4919</v>
      </c>
      <c r="D301">
        <v>333</v>
      </c>
      <c r="E301">
        <v>177.8</v>
      </c>
      <c r="F301">
        <v>3.1</v>
      </c>
      <c r="G301">
        <v>1.2</v>
      </c>
      <c r="H301" t="s">
        <v>1210</v>
      </c>
    </row>
    <row r="302" spans="1:8" x14ac:dyDescent="0.45">
      <c r="A302" t="s">
        <v>1125</v>
      </c>
      <c r="B302" t="s">
        <v>18</v>
      </c>
      <c r="C302">
        <v>1754</v>
      </c>
      <c r="D302">
        <v>400.4</v>
      </c>
      <c r="E302">
        <v>62.2</v>
      </c>
      <c r="F302">
        <v>2.2999999999999998</v>
      </c>
      <c r="G302">
        <v>1.2</v>
      </c>
      <c r="H302" t="s">
        <v>1210</v>
      </c>
    </row>
    <row r="303" spans="1:8" x14ac:dyDescent="0.45">
      <c r="A303" t="s">
        <v>1127</v>
      </c>
      <c r="B303" t="s">
        <v>41</v>
      </c>
      <c r="C303">
        <v>1653</v>
      </c>
      <c r="D303">
        <v>349.8</v>
      </c>
      <c r="E303">
        <v>123.5</v>
      </c>
      <c r="F303">
        <v>4.2</v>
      </c>
      <c r="G303">
        <v>0.9</v>
      </c>
      <c r="H303" t="s">
        <v>1210</v>
      </c>
    </row>
    <row r="304" spans="1:8" x14ac:dyDescent="0.45">
      <c r="A304" t="s">
        <v>1124</v>
      </c>
      <c r="B304" t="s">
        <v>57</v>
      </c>
      <c r="C304">
        <v>2934</v>
      </c>
      <c r="D304">
        <v>166.2</v>
      </c>
      <c r="E304">
        <v>13.4</v>
      </c>
      <c r="F304">
        <v>0.5</v>
      </c>
      <c r="G304">
        <v>0.3</v>
      </c>
      <c r="H304" t="s">
        <v>1210</v>
      </c>
    </row>
    <row r="305" spans="1:8" x14ac:dyDescent="0.45">
      <c r="A305" t="s">
        <v>1116</v>
      </c>
      <c r="B305" t="s">
        <v>1129</v>
      </c>
      <c r="C305">
        <v>2189</v>
      </c>
      <c r="D305">
        <v>785.1</v>
      </c>
      <c r="E305">
        <v>181.1</v>
      </c>
      <c r="F305">
        <v>7.1</v>
      </c>
      <c r="G305">
        <v>1.6</v>
      </c>
      <c r="H305" t="s">
        <v>1210</v>
      </c>
    </row>
    <row r="306" spans="1:8" x14ac:dyDescent="0.45">
      <c r="A306" t="s">
        <v>1118</v>
      </c>
      <c r="B306" t="s">
        <v>55</v>
      </c>
      <c r="C306">
        <v>5185</v>
      </c>
      <c r="D306">
        <v>502.3</v>
      </c>
      <c r="E306">
        <v>137.30000000000001</v>
      </c>
      <c r="F306">
        <v>5.4</v>
      </c>
      <c r="G306">
        <v>1.5</v>
      </c>
      <c r="H306" t="s">
        <v>1210</v>
      </c>
    </row>
    <row r="307" spans="1:8" x14ac:dyDescent="0.45">
      <c r="A307" t="s">
        <v>1128</v>
      </c>
      <c r="B307" t="s">
        <v>50</v>
      </c>
      <c r="C307">
        <v>1589</v>
      </c>
      <c r="D307">
        <v>284.3</v>
      </c>
      <c r="E307">
        <v>117.5</v>
      </c>
      <c r="F307">
        <v>1.4</v>
      </c>
      <c r="G307">
        <v>0.5</v>
      </c>
      <c r="H307" t="s">
        <v>1210</v>
      </c>
    </row>
    <row r="308" spans="1:8" x14ac:dyDescent="0.45">
      <c r="A308" t="s">
        <v>1124</v>
      </c>
      <c r="B308" t="s">
        <v>98</v>
      </c>
      <c r="C308">
        <v>4754</v>
      </c>
      <c r="D308">
        <v>738.3</v>
      </c>
      <c r="E308">
        <v>145.9</v>
      </c>
      <c r="F308">
        <v>1.1000000000000001</v>
      </c>
      <c r="G308">
        <v>0.3</v>
      </c>
      <c r="H308" t="s">
        <v>1210</v>
      </c>
    </row>
    <row r="309" spans="1:8" x14ac:dyDescent="0.45">
      <c r="A309" t="s">
        <v>1116</v>
      </c>
      <c r="B309" t="s">
        <v>20</v>
      </c>
      <c r="C309">
        <v>1704</v>
      </c>
      <c r="D309">
        <v>459.1</v>
      </c>
      <c r="E309">
        <v>56.6</v>
      </c>
      <c r="F309">
        <v>3.9</v>
      </c>
      <c r="G309">
        <v>1.6</v>
      </c>
      <c r="H309" t="s">
        <v>1210</v>
      </c>
    </row>
    <row r="310" spans="1:8" x14ac:dyDescent="0.45">
      <c r="A310" t="s">
        <v>1128</v>
      </c>
      <c r="B310" t="s">
        <v>1140</v>
      </c>
      <c r="C310">
        <v>3224</v>
      </c>
      <c r="D310">
        <v>423.7</v>
      </c>
      <c r="E310">
        <v>50.5</v>
      </c>
      <c r="F310">
        <v>1.6</v>
      </c>
      <c r="G310">
        <v>0.5</v>
      </c>
      <c r="H310" t="s">
        <v>1210</v>
      </c>
    </row>
    <row r="311" spans="1:8" x14ac:dyDescent="0.45">
      <c r="A311" t="s">
        <v>1118</v>
      </c>
      <c r="B311" t="s">
        <v>35</v>
      </c>
      <c r="C311">
        <v>3490</v>
      </c>
      <c r="D311">
        <v>527.70000000000005</v>
      </c>
      <c r="E311">
        <v>104.7</v>
      </c>
      <c r="F311">
        <v>5.3</v>
      </c>
      <c r="G311">
        <v>1.5</v>
      </c>
      <c r="H311" t="s">
        <v>1210</v>
      </c>
    </row>
    <row r="312" spans="1:8" x14ac:dyDescent="0.45">
      <c r="A312" t="s">
        <v>1120</v>
      </c>
      <c r="B312" t="s">
        <v>7</v>
      </c>
      <c r="C312">
        <v>5365</v>
      </c>
      <c r="D312">
        <v>477.7</v>
      </c>
      <c r="E312">
        <v>50.5</v>
      </c>
      <c r="F312">
        <v>1.5</v>
      </c>
      <c r="G312">
        <v>0.5</v>
      </c>
      <c r="H312" t="s">
        <v>1210</v>
      </c>
    </row>
    <row r="313" spans="1:8" x14ac:dyDescent="0.45">
      <c r="A313" t="s">
        <v>1114</v>
      </c>
      <c r="B313" t="s">
        <v>96</v>
      </c>
      <c r="C313">
        <v>5106</v>
      </c>
      <c r="D313">
        <v>812.5</v>
      </c>
      <c r="E313">
        <v>206.4</v>
      </c>
      <c r="F313">
        <v>7.7</v>
      </c>
      <c r="G313">
        <v>1.3</v>
      </c>
      <c r="H313" t="s">
        <v>1210</v>
      </c>
    </row>
    <row r="314" spans="1:8" x14ac:dyDescent="0.45">
      <c r="A314" t="s">
        <v>1128</v>
      </c>
      <c r="B314" t="s">
        <v>1135</v>
      </c>
      <c r="C314">
        <v>1457</v>
      </c>
      <c r="D314">
        <v>228.7</v>
      </c>
      <c r="E314">
        <v>28.8</v>
      </c>
      <c r="F314">
        <v>2.5</v>
      </c>
      <c r="G314">
        <v>0.5</v>
      </c>
      <c r="H314" t="s">
        <v>1210</v>
      </c>
    </row>
    <row r="315" spans="1:8" x14ac:dyDescent="0.45">
      <c r="A315" t="s">
        <v>1126</v>
      </c>
      <c r="B315" t="s">
        <v>30</v>
      </c>
      <c r="C315">
        <v>2526</v>
      </c>
      <c r="D315">
        <v>701.3</v>
      </c>
      <c r="E315">
        <v>136.69999999999999</v>
      </c>
      <c r="F315">
        <v>1.1000000000000001</v>
      </c>
      <c r="G315">
        <v>0.2</v>
      </c>
      <c r="H315" t="s">
        <v>1210</v>
      </c>
    </row>
    <row r="316" spans="1:8" x14ac:dyDescent="0.45">
      <c r="A316" t="s">
        <v>1120</v>
      </c>
      <c r="B316" t="s">
        <v>96</v>
      </c>
      <c r="C316">
        <v>9169</v>
      </c>
      <c r="D316">
        <v>826</v>
      </c>
      <c r="E316">
        <v>218.3</v>
      </c>
      <c r="F316">
        <v>1.5</v>
      </c>
      <c r="G316">
        <v>0.5</v>
      </c>
      <c r="H316" t="s">
        <v>1210</v>
      </c>
    </row>
    <row r="317" spans="1:8" x14ac:dyDescent="0.45">
      <c r="A317" t="s">
        <v>1126</v>
      </c>
      <c r="B317" t="s">
        <v>108</v>
      </c>
      <c r="C317">
        <v>6619</v>
      </c>
      <c r="D317">
        <v>468</v>
      </c>
      <c r="E317">
        <v>53.6</v>
      </c>
      <c r="F317">
        <v>0.9</v>
      </c>
      <c r="G317">
        <v>0.2</v>
      </c>
      <c r="H317" t="s">
        <v>1210</v>
      </c>
    </row>
    <row r="318" spans="1:8" x14ac:dyDescent="0.45">
      <c r="A318" t="s">
        <v>1126</v>
      </c>
      <c r="B318" t="s">
        <v>8</v>
      </c>
      <c r="C318">
        <v>5549</v>
      </c>
      <c r="D318">
        <v>334.4</v>
      </c>
      <c r="E318">
        <v>63.6</v>
      </c>
      <c r="F318">
        <v>1</v>
      </c>
      <c r="G318">
        <v>0.2</v>
      </c>
      <c r="H318" t="s">
        <v>1210</v>
      </c>
    </row>
    <row r="319" spans="1:8" x14ac:dyDescent="0.45">
      <c r="A319" t="s">
        <v>1118</v>
      </c>
      <c r="B319" t="s">
        <v>96</v>
      </c>
      <c r="D319">
        <v>983.5</v>
      </c>
      <c r="E319">
        <v>207.3</v>
      </c>
      <c r="F319">
        <v>4.5999999999999996</v>
      </c>
      <c r="G319">
        <v>1.5</v>
      </c>
    </row>
    <row r="320" spans="1:8" x14ac:dyDescent="0.45">
      <c r="A320" t="s">
        <v>1127</v>
      </c>
      <c r="B320" t="s">
        <v>1133</v>
      </c>
      <c r="C320">
        <v>3153</v>
      </c>
      <c r="D320">
        <v>559.20000000000005</v>
      </c>
      <c r="E320">
        <v>123.4</v>
      </c>
      <c r="F320">
        <v>2.5</v>
      </c>
      <c r="G320">
        <v>0.9</v>
      </c>
      <c r="H320" t="s">
        <v>1210</v>
      </c>
    </row>
    <row r="321" spans="1:8" x14ac:dyDescent="0.45">
      <c r="A321" t="s">
        <v>1119</v>
      </c>
      <c r="B321" t="s">
        <v>1140</v>
      </c>
      <c r="C321">
        <v>417</v>
      </c>
      <c r="D321">
        <v>178.9</v>
      </c>
      <c r="E321">
        <v>22.6</v>
      </c>
      <c r="F321">
        <v>2.2000000000000002</v>
      </c>
      <c r="G321">
        <v>1</v>
      </c>
      <c r="H321" t="s">
        <v>1210</v>
      </c>
    </row>
    <row r="322" spans="1:8" x14ac:dyDescent="0.45">
      <c r="A322" t="s">
        <v>1124</v>
      </c>
      <c r="B322" t="s">
        <v>30</v>
      </c>
      <c r="C322">
        <v>1844</v>
      </c>
      <c r="D322">
        <v>799.5</v>
      </c>
      <c r="E322">
        <v>127.9</v>
      </c>
      <c r="F322">
        <v>0.7</v>
      </c>
      <c r="G322">
        <v>0.3</v>
      </c>
      <c r="H322" t="s">
        <v>1210</v>
      </c>
    </row>
    <row r="323" spans="1:8" x14ac:dyDescent="0.45">
      <c r="A323" t="s">
        <v>1123</v>
      </c>
      <c r="B323" t="s">
        <v>1138</v>
      </c>
      <c r="C323">
        <v>7292</v>
      </c>
      <c r="D323">
        <v>485.5</v>
      </c>
      <c r="E323">
        <v>143.80000000000001</v>
      </c>
      <c r="F323">
        <v>0.5</v>
      </c>
      <c r="G323">
        <v>0.3</v>
      </c>
      <c r="H323" t="s">
        <v>1210</v>
      </c>
    </row>
    <row r="324" spans="1:8" x14ac:dyDescent="0.45">
      <c r="A324" t="s">
        <v>1124</v>
      </c>
      <c r="B324" t="s">
        <v>80</v>
      </c>
      <c r="C324">
        <v>3422</v>
      </c>
      <c r="D324">
        <v>405</v>
      </c>
      <c r="E324">
        <v>57.5</v>
      </c>
      <c r="F324">
        <v>1.4</v>
      </c>
      <c r="G324">
        <v>0.3</v>
      </c>
      <c r="H324" t="s">
        <v>1210</v>
      </c>
    </row>
    <row r="325" spans="1:8" x14ac:dyDescent="0.45">
      <c r="A325" t="s">
        <v>1124</v>
      </c>
      <c r="B325" t="s">
        <v>51</v>
      </c>
      <c r="C325">
        <v>8066</v>
      </c>
      <c r="D325">
        <v>599.4</v>
      </c>
      <c r="E325">
        <v>90.8</v>
      </c>
      <c r="F325">
        <v>1.2</v>
      </c>
      <c r="G325">
        <v>0.3</v>
      </c>
      <c r="H325" t="s">
        <v>1210</v>
      </c>
    </row>
    <row r="326" spans="1:8" x14ac:dyDescent="0.45">
      <c r="A326" t="s">
        <v>1120</v>
      </c>
      <c r="B326" t="s">
        <v>32</v>
      </c>
      <c r="C326">
        <v>1843</v>
      </c>
      <c r="D326">
        <v>221.1</v>
      </c>
      <c r="E326">
        <v>77.900000000000006</v>
      </c>
      <c r="F326">
        <v>2.5</v>
      </c>
      <c r="G326">
        <v>0.5</v>
      </c>
      <c r="H326" t="s">
        <v>1210</v>
      </c>
    </row>
    <row r="327" spans="1:8" x14ac:dyDescent="0.45">
      <c r="A327" t="s">
        <v>1123</v>
      </c>
      <c r="B327" t="s">
        <v>102</v>
      </c>
      <c r="C327">
        <v>3844</v>
      </c>
      <c r="D327">
        <v>447.6</v>
      </c>
      <c r="E327">
        <v>50.6</v>
      </c>
      <c r="F327">
        <v>1.2</v>
      </c>
      <c r="G327">
        <v>0.3</v>
      </c>
      <c r="H327" t="s">
        <v>1210</v>
      </c>
    </row>
    <row r="328" spans="1:8" x14ac:dyDescent="0.45">
      <c r="A328" t="s">
        <v>1125</v>
      </c>
      <c r="B328" t="s">
        <v>19</v>
      </c>
      <c r="C328">
        <v>1235</v>
      </c>
      <c r="D328">
        <v>324.89999999999998</v>
      </c>
      <c r="E328">
        <v>135.1</v>
      </c>
      <c r="F328">
        <v>4.8</v>
      </c>
      <c r="G328">
        <v>1.2</v>
      </c>
      <c r="H328" t="s">
        <v>1210</v>
      </c>
    </row>
    <row r="329" spans="1:8" x14ac:dyDescent="0.45">
      <c r="A329" t="s">
        <v>1125</v>
      </c>
      <c r="B329" t="s">
        <v>80</v>
      </c>
      <c r="C329">
        <v>2805</v>
      </c>
      <c r="D329">
        <v>273.3</v>
      </c>
      <c r="E329">
        <v>33.5</v>
      </c>
      <c r="F329">
        <v>2.9</v>
      </c>
      <c r="G329">
        <v>1.2</v>
      </c>
      <c r="H329" t="s">
        <v>1210</v>
      </c>
    </row>
    <row r="330" spans="1:8" x14ac:dyDescent="0.45">
      <c r="A330" t="s">
        <v>1119</v>
      </c>
      <c r="B330" t="s">
        <v>72</v>
      </c>
      <c r="C330">
        <v>2375</v>
      </c>
      <c r="D330">
        <v>605.5</v>
      </c>
      <c r="E330">
        <v>108.9</v>
      </c>
      <c r="F330">
        <v>4.3</v>
      </c>
      <c r="G330">
        <v>1</v>
      </c>
      <c r="H330" t="s">
        <v>1210</v>
      </c>
    </row>
    <row r="331" spans="1:8" x14ac:dyDescent="0.45">
      <c r="A331" t="s">
        <v>1118</v>
      </c>
      <c r="B331" t="s">
        <v>1135</v>
      </c>
      <c r="C331">
        <v>1100</v>
      </c>
      <c r="D331">
        <v>218.3</v>
      </c>
      <c r="E331">
        <v>32.5</v>
      </c>
      <c r="F331">
        <v>2.6</v>
      </c>
      <c r="G331">
        <v>1.5</v>
      </c>
      <c r="H331" t="s">
        <v>1210</v>
      </c>
    </row>
    <row r="332" spans="1:8" x14ac:dyDescent="0.45">
      <c r="A332" t="s">
        <v>1122</v>
      </c>
      <c r="B332" t="s">
        <v>32</v>
      </c>
      <c r="C332">
        <v>1042</v>
      </c>
      <c r="D332">
        <v>227.5</v>
      </c>
      <c r="E332">
        <v>67.3</v>
      </c>
      <c r="F332">
        <v>1</v>
      </c>
      <c r="G332">
        <v>0.2</v>
      </c>
      <c r="H332" t="s">
        <v>1210</v>
      </c>
    </row>
    <row r="333" spans="1:8" x14ac:dyDescent="0.45">
      <c r="A333" t="s">
        <v>1124</v>
      </c>
      <c r="B333" t="s">
        <v>10</v>
      </c>
      <c r="C333">
        <v>1211</v>
      </c>
      <c r="D333">
        <v>702.4</v>
      </c>
      <c r="E333">
        <v>130.1</v>
      </c>
      <c r="F333">
        <v>0.9</v>
      </c>
      <c r="G333">
        <v>0.3</v>
      </c>
      <c r="H333" t="s">
        <v>1210</v>
      </c>
    </row>
    <row r="334" spans="1:8" x14ac:dyDescent="0.45">
      <c r="A334" t="s">
        <v>1127</v>
      </c>
      <c r="B334" t="s">
        <v>67</v>
      </c>
      <c r="C334">
        <v>467</v>
      </c>
      <c r="D334">
        <v>217.9</v>
      </c>
      <c r="E334">
        <v>65.8</v>
      </c>
      <c r="F334">
        <v>2.5</v>
      </c>
      <c r="G334">
        <v>0.9</v>
      </c>
      <c r="H334" t="s">
        <v>1210</v>
      </c>
    </row>
    <row r="335" spans="1:8" x14ac:dyDescent="0.45">
      <c r="A335" t="s">
        <v>1122</v>
      </c>
      <c r="B335" t="s">
        <v>110</v>
      </c>
      <c r="C335">
        <v>3358</v>
      </c>
      <c r="D335">
        <v>200.6</v>
      </c>
      <c r="E335">
        <v>96.9</v>
      </c>
      <c r="F335">
        <v>1.6</v>
      </c>
      <c r="G335">
        <v>0.2</v>
      </c>
      <c r="H335" t="s">
        <v>1210</v>
      </c>
    </row>
    <row r="336" spans="1:8" x14ac:dyDescent="0.45">
      <c r="A336" t="s">
        <v>1126</v>
      </c>
      <c r="B336" t="s">
        <v>1137</v>
      </c>
      <c r="C336">
        <v>1085</v>
      </c>
      <c r="D336">
        <v>269.10000000000002</v>
      </c>
      <c r="E336">
        <v>32.700000000000003</v>
      </c>
      <c r="F336">
        <v>0.8</v>
      </c>
      <c r="G336">
        <v>0.2</v>
      </c>
      <c r="H336" t="s">
        <v>1210</v>
      </c>
    </row>
    <row r="337" spans="1:8" x14ac:dyDescent="0.45">
      <c r="A337" t="s">
        <v>1118</v>
      </c>
      <c r="B337" t="s">
        <v>56</v>
      </c>
      <c r="C337">
        <v>15440</v>
      </c>
      <c r="D337">
        <v>960.1</v>
      </c>
      <c r="E337">
        <v>174.5</v>
      </c>
      <c r="F337">
        <v>4.4000000000000004</v>
      </c>
      <c r="G337">
        <v>1.5</v>
      </c>
      <c r="H337" t="s">
        <v>1210</v>
      </c>
    </row>
    <row r="338" spans="1:8" x14ac:dyDescent="0.45">
      <c r="A338" t="s">
        <v>1118</v>
      </c>
      <c r="B338" t="s">
        <v>41</v>
      </c>
      <c r="C338">
        <v>3842</v>
      </c>
      <c r="D338">
        <v>221.8</v>
      </c>
      <c r="E338">
        <v>88.6</v>
      </c>
      <c r="F338">
        <v>4</v>
      </c>
      <c r="G338">
        <v>1.5</v>
      </c>
      <c r="H338" t="s">
        <v>1210</v>
      </c>
    </row>
    <row r="339" spans="1:8" x14ac:dyDescent="0.45">
      <c r="A339" t="s">
        <v>1114</v>
      </c>
      <c r="B339" t="s">
        <v>99</v>
      </c>
      <c r="C339">
        <v>3240</v>
      </c>
      <c r="D339">
        <v>449.6</v>
      </c>
      <c r="E339">
        <v>134</v>
      </c>
      <c r="F339">
        <v>6.4</v>
      </c>
      <c r="G339">
        <v>1.3</v>
      </c>
      <c r="H339" t="s">
        <v>1210</v>
      </c>
    </row>
    <row r="340" spans="1:8" x14ac:dyDescent="0.45">
      <c r="A340" t="s">
        <v>1116</v>
      </c>
      <c r="B340" t="s">
        <v>27</v>
      </c>
      <c r="C340">
        <v>13483</v>
      </c>
      <c r="D340">
        <v>763.7</v>
      </c>
      <c r="E340">
        <v>516.6</v>
      </c>
      <c r="F340">
        <v>6.1</v>
      </c>
      <c r="G340">
        <v>1.6</v>
      </c>
      <c r="H340" t="s">
        <v>1210</v>
      </c>
    </row>
    <row r="341" spans="1:8" x14ac:dyDescent="0.45">
      <c r="A341" t="s">
        <v>1127</v>
      </c>
      <c r="B341" t="s">
        <v>59</v>
      </c>
      <c r="C341">
        <v>3755</v>
      </c>
      <c r="D341">
        <v>360.5</v>
      </c>
      <c r="E341">
        <v>53.2</v>
      </c>
      <c r="F341">
        <v>1.3</v>
      </c>
      <c r="G341">
        <v>0.9</v>
      </c>
      <c r="H341" t="s">
        <v>1210</v>
      </c>
    </row>
    <row r="342" spans="1:8" x14ac:dyDescent="0.45">
      <c r="A342" t="s">
        <v>1126</v>
      </c>
      <c r="B342" t="s">
        <v>96</v>
      </c>
      <c r="C342">
        <v>5624</v>
      </c>
      <c r="D342">
        <v>314.8</v>
      </c>
      <c r="E342">
        <v>89.3</v>
      </c>
      <c r="F342">
        <v>1.2</v>
      </c>
      <c r="G342">
        <v>0.2</v>
      </c>
      <c r="H342" t="s">
        <v>1210</v>
      </c>
    </row>
    <row r="343" spans="1:8" x14ac:dyDescent="0.45">
      <c r="A343" t="s">
        <v>1122</v>
      </c>
      <c r="B343" t="s">
        <v>45</v>
      </c>
      <c r="C343">
        <v>4636</v>
      </c>
      <c r="D343">
        <v>386.4</v>
      </c>
      <c r="E343">
        <v>64.599999999999994</v>
      </c>
      <c r="F343">
        <v>0.9</v>
      </c>
      <c r="G343">
        <v>0.2</v>
      </c>
      <c r="H343" t="s">
        <v>1210</v>
      </c>
    </row>
    <row r="344" spans="1:8" x14ac:dyDescent="0.45">
      <c r="A344" t="s">
        <v>1125</v>
      </c>
      <c r="B344" t="s">
        <v>95</v>
      </c>
      <c r="C344">
        <v>1592</v>
      </c>
      <c r="D344">
        <v>201.5</v>
      </c>
      <c r="E344">
        <v>22.6</v>
      </c>
      <c r="F344">
        <v>3.3</v>
      </c>
      <c r="G344">
        <v>1.2</v>
      </c>
      <c r="H344" t="s">
        <v>1210</v>
      </c>
    </row>
    <row r="345" spans="1:8" x14ac:dyDescent="0.45">
      <c r="A345" t="s">
        <v>1114</v>
      </c>
      <c r="B345" t="s">
        <v>1134</v>
      </c>
      <c r="C345">
        <v>4261</v>
      </c>
      <c r="D345">
        <v>241.4</v>
      </c>
      <c r="E345">
        <v>28</v>
      </c>
      <c r="F345">
        <v>5</v>
      </c>
      <c r="G345">
        <v>1.3</v>
      </c>
      <c r="H345" t="s">
        <v>1210</v>
      </c>
    </row>
    <row r="346" spans="1:8" x14ac:dyDescent="0.45">
      <c r="A346" t="s">
        <v>1121</v>
      </c>
      <c r="B346" t="s">
        <v>91</v>
      </c>
      <c r="C346">
        <v>3599</v>
      </c>
      <c r="D346">
        <v>321.10000000000002</v>
      </c>
      <c r="E346">
        <v>185.6</v>
      </c>
      <c r="F346">
        <v>1.5</v>
      </c>
      <c r="G346">
        <v>0.4</v>
      </c>
      <c r="H346" t="s">
        <v>1210</v>
      </c>
    </row>
    <row r="347" spans="1:8" x14ac:dyDescent="0.45">
      <c r="A347" t="s">
        <v>1123</v>
      </c>
      <c r="B347" t="s">
        <v>1136</v>
      </c>
      <c r="C347">
        <v>5719</v>
      </c>
      <c r="D347">
        <v>415</v>
      </c>
      <c r="E347">
        <v>237.7</v>
      </c>
      <c r="F347">
        <v>0.6</v>
      </c>
      <c r="G347">
        <v>0.3</v>
      </c>
      <c r="H347" t="s">
        <v>1210</v>
      </c>
    </row>
    <row r="348" spans="1:8" x14ac:dyDescent="0.45">
      <c r="A348" t="s">
        <v>1125</v>
      </c>
      <c r="B348" t="s">
        <v>30</v>
      </c>
      <c r="C348">
        <v>5824</v>
      </c>
      <c r="D348">
        <v>698.8</v>
      </c>
      <c r="E348">
        <v>188.5</v>
      </c>
      <c r="F348">
        <v>4.2</v>
      </c>
      <c r="G348">
        <v>1.2</v>
      </c>
      <c r="H348" t="s">
        <v>1210</v>
      </c>
    </row>
    <row r="349" spans="1:8" x14ac:dyDescent="0.45">
      <c r="A349" t="s">
        <v>1125</v>
      </c>
      <c r="B349" t="s">
        <v>75</v>
      </c>
      <c r="C349">
        <v>11002</v>
      </c>
      <c r="D349">
        <v>755.1</v>
      </c>
      <c r="E349">
        <v>124</v>
      </c>
      <c r="F349">
        <v>6.2</v>
      </c>
      <c r="G349">
        <v>1.2</v>
      </c>
      <c r="H349" t="s">
        <v>1210</v>
      </c>
    </row>
    <row r="350" spans="1:8" x14ac:dyDescent="0.45">
      <c r="A350" t="s">
        <v>1121</v>
      </c>
      <c r="B350" t="s">
        <v>69</v>
      </c>
      <c r="C350">
        <v>2667</v>
      </c>
      <c r="D350">
        <v>306.39999999999998</v>
      </c>
      <c r="E350">
        <v>146.6</v>
      </c>
      <c r="F350">
        <v>2.2999999999999998</v>
      </c>
      <c r="G350">
        <v>0.4</v>
      </c>
      <c r="H350" t="s">
        <v>1210</v>
      </c>
    </row>
    <row r="351" spans="1:8" x14ac:dyDescent="0.45">
      <c r="A351" t="s">
        <v>1128</v>
      </c>
      <c r="B351" t="s">
        <v>74</v>
      </c>
      <c r="C351">
        <v>6991</v>
      </c>
      <c r="D351">
        <v>510.1</v>
      </c>
      <c r="E351">
        <v>273.3</v>
      </c>
      <c r="F351">
        <v>2.2000000000000002</v>
      </c>
      <c r="G351">
        <v>0.5</v>
      </c>
      <c r="H351" t="s">
        <v>1210</v>
      </c>
    </row>
    <row r="352" spans="1:8" x14ac:dyDescent="0.45">
      <c r="A352" t="s">
        <v>1123</v>
      </c>
      <c r="B352" t="s">
        <v>109</v>
      </c>
      <c r="C352">
        <v>3221</v>
      </c>
      <c r="D352">
        <v>201.9</v>
      </c>
      <c r="E352">
        <v>111.4</v>
      </c>
      <c r="F352">
        <v>0.9</v>
      </c>
      <c r="G352">
        <v>0.3</v>
      </c>
      <c r="H352" t="s">
        <v>1210</v>
      </c>
    </row>
    <row r="353" spans="1:8" x14ac:dyDescent="0.45">
      <c r="A353" t="s">
        <v>1123</v>
      </c>
      <c r="B353" t="s">
        <v>1130</v>
      </c>
      <c r="C353">
        <v>3364</v>
      </c>
      <c r="D353">
        <v>481.5</v>
      </c>
      <c r="E353">
        <v>321.7</v>
      </c>
      <c r="F353">
        <v>0.9</v>
      </c>
      <c r="G353">
        <v>0.3</v>
      </c>
      <c r="H353" t="s">
        <v>1210</v>
      </c>
    </row>
    <row r="354" spans="1:8" x14ac:dyDescent="0.45">
      <c r="A354" t="s">
        <v>1122</v>
      </c>
      <c r="B354" t="s">
        <v>36</v>
      </c>
      <c r="D354">
        <v>169.1</v>
      </c>
      <c r="E354">
        <v>61</v>
      </c>
      <c r="F354">
        <v>1</v>
      </c>
      <c r="G354">
        <v>0.2</v>
      </c>
    </row>
    <row r="355" spans="1:8" x14ac:dyDescent="0.45">
      <c r="A355" t="s">
        <v>1124</v>
      </c>
      <c r="B355" t="s">
        <v>12</v>
      </c>
      <c r="C355">
        <v>9966</v>
      </c>
      <c r="D355">
        <v>671.5</v>
      </c>
      <c r="E355">
        <v>80.400000000000006</v>
      </c>
      <c r="F355">
        <v>0.7</v>
      </c>
      <c r="G355">
        <v>0.3</v>
      </c>
      <c r="H355" t="s">
        <v>1210</v>
      </c>
    </row>
    <row r="356" spans="1:8" x14ac:dyDescent="0.45">
      <c r="A356" t="s">
        <v>1118</v>
      </c>
      <c r="B356" t="s">
        <v>74</v>
      </c>
      <c r="C356">
        <v>4008</v>
      </c>
      <c r="D356">
        <v>614.9</v>
      </c>
      <c r="E356">
        <v>273.89999999999998</v>
      </c>
      <c r="F356">
        <v>5.2</v>
      </c>
      <c r="G356">
        <v>1.5</v>
      </c>
      <c r="H356" t="s">
        <v>1210</v>
      </c>
    </row>
    <row r="357" spans="1:8" x14ac:dyDescent="0.45">
      <c r="A357" t="s">
        <v>1126</v>
      </c>
      <c r="B357" t="s">
        <v>56</v>
      </c>
      <c r="C357">
        <v>3913</v>
      </c>
      <c r="D357">
        <v>370.7</v>
      </c>
      <c r="E357">
        <v>91</v>
      </c>
      <c r="F357">
        <v>1</v>
      </c>
      <c r="G357">
        <v>0.2</v>
      </c>
      <c r="H357" t="s">
        <v>1210</v>
      </c>
    </row>
    <row r="358" spans="1:8" x14ac:dyDescent="0.45">
      <c r="A358" t="s">
        <v>1123</v>
      </c>
      <c r="B358" t="s">
        <v>56</v>
      </c>
      <c r="C358">
        <v>6964</v>
      </c>
      <c r="D358">
        <v>406.9</v>
      </c>
      <c r="E358">
        <v>110.7</v>
      </c>
      <c r="F358">
        <v>1.5</v>
      </c>
      <c r="G358">
        <v>0.3</v>
      </c>
      <c r="H358" t="s">
        <v>1210</v>
      </c>
    </row>
    <row r="359" spans="1:8" x14ac:dyDescent="0.45">
      <c r="A359" t="s">
        <v>1118</v>
      </c>
      <c r="B359" t="s">
        <v>7</v>
      </c>
      <c r="C359">
        <v>2716</v>
      </c>
      <c r="D359">
        <v>352.2</v>
      </c>
      <c r="E359">
        <v>50.8</v>
      </c>
      <c r="F359">
        <v>5.2</v>
      </c>
      <c r="G359">
        <v>1.5</v>
      </c>
      <c r="H359" t="s">
        <v>1210</v>
      </c>
    </row>
    <row r="360" spans="1:8" x14ac:dyDescent="0.45">
      <c r="A360" t="s">
        <v>1120</v>
      </c>
      <c r="B360" t="s">
        <v>95</v>
      </c>
      <c r="C360">
        <v>1933</v>
      </c>
      <c r="D360">
        <v>283.2</v>
      </c>
      <c r="E360">
        <v>31.7</v>
      </c>
      <c r="F360">
        <v>0.8</v>
      </c>
      <c r="G360">
        <v>0.5</v>
      </c>
      <c r="H360" t="s">
        <v>1210</v>
      </c>
    </row>
    <row r="361" spans="1:8" x14ac:dyDescent="0.45">
      <c r="A361" t="s">
        <v>1120</v>
      </c>
      <c r="B361" t="s">
        <v>59</v>
      </c>
      <c r="C361">
        <v>2178</v>
      </c>
      <c r="D361">
        <v>267.7</v>
      </c>
      <c r="E361">
        <v>25.1</v>
      </c>
      <c r="F361">
        <v>2.2999999999999998</v>
      </c>
      <c r="G361">
        <v>0.5</v>
      </c>
      <c r="H361" t="s">
        <v>1210</v>
      </c>
    </row>
    <row r="362" spans="1:8" x14ac:dyDescent="0.45">
      <c r="A362" t="s">
        <v>1121</v>
      </c>
      <c r="B362" t="s">
        <v>103</v>
      </c>
      <c r="C362">
        <v>4765</v>
      </c>
      <c r="D362">
        <v>290.5</v>
      </c>
      <c r="E362">
        <v>37.6</v>
      </c>
      <c r="F362">
        <v>2.8</v>
      </c>
      <c r="G362">
        <v>0.4</v>
      </c>
      <c r="H362" t="s">
        <v>1210</v>
      </c>
    </row>
    <row r="363" spans="1:8" x14ac:dyDescent="0.45">
      <c r="A363" t="s">
        <v>1122</v>
      </c>
      <c r="B363" t="s">
        <v>107</v>
      </c>
      <c r="D363">
        <v>564.5</v>
      </c>
      <c r="E363">
        <v>272.39999999999998</v>
      </c>
      <c r="F363">
        <v>0.7</v>
      </c>
      <c r="G363">
        <v>0.2</v>
      </c>
    </row>
    <row r="364" spans="1:8" x14ac:dyDescent="0.45">
      <c r="A364" t="s">
        <v>1115</v>
      </c>
      <c r="B364" t="s">
        <v>76</v>
      </c>
      <c r="C364">
        <v>2570</v>
      </c>
      <c r="D364">
        <v>280</v>
      </c>
      <c r="E364">
        <v>80.2</v>
      </c>
      <c r="F364">
        <v>1.8</v>
      </c>
      <c r="G364">
        <v>0.6</v>
      </c>
      <c r="H364" t="s">
        <v>1210</v>
      </c>
    </row>
    <row r="365" spans="1:8" x14ac:dyDescent="0.45">
      <c r="A365" t="s">
        <v>1124</v>
      </c>
      <c r="B365" t="s">
        <v>56</v>
      </c>
      <c r="C365">
        <v>2535</v>
      </c>
      <c r="D365">
        <v>777</v>
      </c>
      <c r="E365">
        <v>231.9</v>
      </c>
      <c r="F365">
        <v>0.7</v>
      </c>
      <c r="G365">
        <v>0.3</v>
      </c>
      <c r="H365" t="s">
        <v>1210</v>
      </c>
    </row>
    <row r="366" spans="1:8" x14ac:dyDescent="0.45">
      <c r="A366" t="s">
        <v>1121</v>
      </c>
      <c r="B366" t="s">
        <v>22</v>
      </c>
      <c r="C366">
        <v>2441</v>
      </c>
      <c r="D366">
        <v>214</v>
      </c>
      <c r="E366">
        <v>101.4</v>
      </c>
      <c r="F366">
        <v>2.2000000000000002</v>
      </c>
      <c r="G366">
        <v>0.4</v>
      </c>
      <c r="H366" t="s">
        <v>1210</v>
      </c>
    </row>
    <row r="367" spans="1:8" x14ac:dyDescent="0.45">
      <c r="A367" t="s">
        <v>1126</v>
      </c>
      <c r="B367" t="s">
        <v>109</v>
      </c>
      <c r="C367">
        <v>1478</v>
      </c>
      <c r="D367">
        <v>279.10000000000002</v>
      </c>
      <c r="E367">
        <v>132</v>
      </c>
      <c r="F367">
        <v>1.3</v>
      </c>
      <c r="G367">
        <v>0.2</v>
      </c>
      <c r="H367" t="s">
        <v>1210</v>
      </c>
    </row>
    <row r="368" spans="1:8" x14ac:dyDescent="0.45">
      <c r="A368" t="s">
        <v>1123</v>
      </c>
      <c r="B368" t="s">
        <v>93</v>
      </c>
      <c r="C368">
        <v>9542</v>
      </c>
      <c r="D368">
        <v>564.9</v>
      </c>
      <c r="E368">
        <v>77.5</v>
      </c>
      <c r="F368">
        <v>0.8</v>
      </c>
      <c r="G368">
        <v>0.3</v>
      </c>
      <c r="H368" t="s">
        <v>1210</v>
      </c>
    </row>
    <row r="369" spans="1:8" x14ac:dyDescent="0.45">
      <c r="A369" t="s">
        <v>1114</v>
      </c>
      <c r="B369" t="s">
        <v>45</v>
      </c>
      <c r="C369">
        <v>9465</v>
      </c>
      <c r="D369">
        <v>569.20000000000005</v>
      </c>
      <c r="E369">
        <v>66.2</v>
      </c>
      <c r="F369">
        <v>4.5</v>
      </c>
      <c r="G369">
        <v>1.3</v>
      </c>
      <c r="H369" t="s">
        <v>1210</v>
      </c>
    </row>
    <row r="370" spans="1:8" x14ac:dyDescent="0.45">
      <c r="A370" t="s">
        <v>1123</v>
      </c>
      <c r="B370" t="s">
        <v>57</v>
      </c>
      <c r="C370">
        <v>6386</v>
      </c>
      <c r="D370">
        <v>398.3</v>
      </c>
      <c r="E370">
        <v>41.9</v>
      </c>
      <c r="F370">
        <v>0.9</v>
      </c>
      <c r="G370">
        <v>0.3</v>
      </c>
      <c r="H370" t="s">
        <v>1210</v>
      </c>
    </row>
    <row r="371" spans="1:8" x14ac:dyDescent="0.45">
      <c r="A371" t="s">
        <v>1123</v>
      </c>
      <c r="B371" t="s">
        <v>81</v>
      </c>
      <c r="C371">
        <v>2998</v>
      </c>
      <c r="D371">
        <v>223.2</v>
      </c>
      <c r="E371">
        <v>34.6</v>
      </c>
      <c r="F371">
        <v>1.5</v>
      </c>
      <c r="G371">
        <v>0.3</v>
      </c>
      <c r="H371" t="s">
        <v>1210</v>
      </c>
    </row>
    <row r="372" spans="1:8" x14ac:dyDescent="0.45">
      <c r="A372" t="s">
        <v>1118</v>
      </c>
      <c r="B372" t="s">
        <v>81</v>
      </c>
      <c r="C372">
        <v>6626</v>
      </c>
      <c r="D372">
        <v>432</v>
      </c>
      <c r="E372">
        <v>76.099999999999994</v>
      </c>
      <c r="F372">
        <v>1.9</v>
      </c>
      <c r="G372">
        <v>1.5</v>
      </c>
      <c r="H372" t="s">
        <v>1210</v>
      </c>
    </row>
    <row r="373" spans="1:8" x14ac:dyDescent="0.45">
      <c r="A373" t="s">
        <v>1124</v>
      </c>
      <c r="B373" t="s">
        <v>110</v>
      </c>
      <c r="C373">
        <v>71</v>
      </c>
      <c r="D373">
        <v>113</v>
      </c>
      <c r="E373">
        <v>68.8</v>
      </c>
      <c r="F373">
        <v>0.7</v>
      </c>
      <c r="G373">
        <v>0.3</v>
      </c>
      <c r="H373" t="s">
        <v>1210</v>
      </c>
    </row>
    <row r="374" spans="1:8" x14ac:dyDescent="0.45">
      <c r="A374" t="s">
        <v>1117</v>
      </c>
      <c r="B374" t="s">
        <v>106</v>
      </c>
      <c r="D374">
        <v>476.8</v>
      </c>
      <c r="E374">
        <v>96.1</v>
      </c>
      <c r="F374">
        <v>0.6</v>
      </c>
      <c r="G374">
        <v>0.5</v>
      </c>
    </row>
    <row r="375" spans="1:8" x14ac:dyDescent="0.45">
      <c r="A375" t="s">
        <v>1119</v>
      </c>
      <c r="B375" t="s">
        <v>101</v>
      </c>
      <c r="C375">
        <v>6351</v>
      </c>
      <c r="D375">
        <v>657</v>
      </c>
      <c r="E375">
        <v>136</v>
      </c>
      <c r="F375">
        <v>3.1</v>
      </c>
      <c r="G375">
        <v>1</v>
      </c>
      <c r="H375" t="s">
        <v>1210</v>
      </c>
    </row>
    <row r="376" spans="1:8" x14ac:dyDescent="0.45">
      <c r="A376" t="s">
        <v>1115</v>
      </c>
      <c r="B376" t="s">
        <v>31</v>
      </c>
      <c r="C376">
        <v>1104</v>
      </c>
      <c r="D376">
        <v>248.9</v>
      </c>
      <c r="E376">
        <v>26.6</v>
      </c>
      <c r="F376">
        <v>2.8</v>
      </c>
      <c r="G376">
        <v>0.6</v>
      </c>
      <c r="H376" t="s">
        <v>1210</v>
      </c>
    </row>
    <row r="377" spans="1:8" x14ac:dyDescent="0.45">
      <c r="A377" t="s">
        <v>1120</v>
      </c>
      <c r="B377" t="s">
        <v>103</v>
      </c>
      <c r="C377">
        <v>839</v>
      </c>
      <c r="D377">
        <v>366.9</v>
      </c>
      <c r="E377">
        <v>53.7</v>
      </c>
      <c r="F377">
        <v>1.7</v>
      </c>
      <c r="G377">
        <v>0.5</v>
      </c>
      <c r="H377" t="s">
        <v>1210</v>
      </c>
    </row>
    <row r="378" spans="1:8" x14ac:dyDescent="0.45">
      <c r="A378" t="s">
        <v>1127</v>
      </c>
      <c r="B378" t="s">
        <v>91</v>
      </c>
      <c r="C378">
        <v>4906</v>
      </c>
      <c r="D378">
        <v>333.3</v>
      </c>
      <c r="E378">
        <v>202.5</v>
      </c>
      <c r="F378">
        <v>2.2999999999999998</v>
      </c>
      <c r="G378">
        <v>0.9</v>
      </c>
      <c r="H378" t="s">
        <v>1210</v>
      </c>
    </row>
    <row r="379" spans="1:8" x14ac:dyDescent="0.45">
      <c r="A379" t="s">
        <v>1119</v>
      </c>
      <c r="B379" t="s">
        <v>44</v>
      </c>
      <c r="C379">
        <v>11478</v>
      </c>
      <c r="D379">
        <v>903</v>
      </c>
      <c r="E379">
        <v>207.6</v>
      </c>
      <c r="F379">
        <v>1.8</v>
      </c>
      <c r="G379">
        <v>1</v>
      </c>
      <c r="H379" t="s">
        <v>1210</v>
      </c>
    </row>
    <row r="380" spans="1:8" x14ac:dyDescent="0.45">
      <c r="A380" t="s">
        <v>1127</v>
      </c>
      <c r="B380" t="s">
        <v>103</v>
      </c>
      <c r="C380">
        <v>7478</v>
      </c>
      <c r="D380">
        <v>450.2</v>
      </c>
      <c r="E380">
        <v>84.9</v>
      </c>
      <c r="F380">
        <v>3.1</v>
      </c>
      <c r="G380">
        <v>0.9</v>
      </c>
      <c r="H380" t="s">
        <v>1210</v>
      </c>
    </row>
    <row r="381" spans="1:8" x14ac:dyDescent="0.45">
      <c r="A381" t="s">
        <v>1118</v>
      </c>
      <c r="B381" t="s">
        <v>22</v>
      </c>
      <c r="C381">
        <v>3802</v>
      </c>
      <c r="D381">
        <v>405.1</v>
      </c>
      <c r="E381">
        <v>262.60000000000002</v>
      </c>
      <c r="F381">
        <v>6.6</v>
      </c>
      <c r="G381">
        <v>1.5</v>
      </c>
      <c r="H381" t="s">
        <v>1210</v>
      </c>
    </row>
    <row r="382" spans="1:8" x14ac:dyDescent="0.45">
      <c r="A382" t="s">
        <v>1118</v>
      </c>
      <c r="B382" t="s">
        <v>83</v>
      </c>
      <c r="C382">
        <v>3086</v>
      </c>
      <c r="D382">
        <v>475.2</v>
      </c>
      <c r="E382">
        <v>87.8</v>
      </c>
      <c r="F382">
        <v>5.0999999999999996</v>
      </c>
      <c r="G382">
        <v>1.5</v>
      </c>
      <c r="H382" t="s">
        <v>1210</v>
      </c>
    </row>
    <row r="383" spans="1:8" x14ac:dyDescent="0.45">
      <c r="A383" t="s">
        <v>1123</v>
      </c>
      <c r="B383" t="s">
        <v>105</v>
      </c>
      <c r="C383">
        <v>2244</v>
      </c>
      <c r="D383">
        <v>487.1</v>
      </c>
      <c r="E383">
        <v>80.8</v>
      </c>
      <c r="F383">
        <v>0.9</v>
      </c>
      <c r="G383">
        <v>0.3</v>
      </c>
      <c r="H383" t="s">
        <v>1210</v>
      </c>
    </row>
    <row r="384" spans="1:8" x14ac:dyDescent="0.45">
      <c r="A384" t="s">
        <v>1116</v>
      </c>
      <c r="B384" t="s">
        <v>106</v>
      </c>
      <c r="C384">
        <v>3638</v>
      </c>
      <c r="D384">
        <v>433</v>
      </c>
      <c r="E384">
        <v>78.599999999999994</v>
      </c>
      <c r="F384">
        <v>2.4</v>
      </c>
      <c r="G384">
        <v>1.6</v>
      </c>
      <c r="H384" t="s">
        <v>1210</v>
      </c>
    </row>
    <row r="385" spans="1:8" x14ac:dyDescent="0.45">
      <c r="A385" t="s">
        <v>1126</v>
      </c>
      <c r="B385" t="s">
        <v>31</v>
      </c>
      <c r="C385">
        <v>8676</v>
      </c>
      <c r="D385">
        <v>505.8</v>
      </c>
      <c r="E385">
        <v>54.6</v>
      </c>
      <c r="F385">
        <v>1.2</v>
      </c>
      <c r="G385">
        <v>0.2</v>
      </c>
      <c r="H385" t="s">
        <v>1210</v>
      </c>
    </row>
    <row r="386" spans="1:8" x14ac:dyDescent="0.45">
      <c r="A386" t="s">
        <v>1114</v>
      </c>
      <c r="B386" t="s">
        <v>107</v>
      </c>
      <c r="C386">
        <v>4003</v>
      </c>
      <c r="D386">
        <v>508.8</v>
      </c>
      <c r="E386">
        <v>208.6</v>
      </c>
      <c r="F386">
        <v>3.4</v>
      </c>
      <c r="G386">
        <v>1.3</v>
      </c>
      <c r="H386" t="s">
        <v>1210</v>
      </c>
    </row>
    <row r="387" spans="1:8" x14ac:dyDescent="0.45">
      <c r="A387" t="s">
        <v>1117</v>
      </c>
      <c r="B387" t="s">
        <v>1141</v>
      </c>
      <c r="C387">
        <v>606</v>
      </c>
      <c r="D387">
        <v>209.6</v>
      </c>
      <c r="E387">
        <v>21.4</v>
      </c>
      <c r="F387">
        <v>2.4</v>
      </c>
      <c r="G387">
        <v>0.5</v>
      </c>
      <c r="H387" t="s">
        <v>1210</v>
      </c>
    </row>
    <row r="388" spans="1:8" x14ac:dyDescent="0.45">
      <c r="A388" t="s">
        <v>1118</v>
      </c>
      <c r="B388" t="s">
        <v>25</v>
      </c>
      <c r="C388">
        <v>1595</v>
      </c>
      <c r="D388">
        <v>234.8</v>
      </c>
      <c r="E388">
        <v>58.8</v>
      </c>
      <c r="F388">
        <v>3.9</v>
      </c>
      <c r="G388">
        <v>1.5</v>
      </c>
      <c r="H388" t="s">
        <v>1210</v>
      </c>
    </row>
    <row r="389" spans="1:8" x14ac:dyDescent="0.45">
      <c r="A389" t="s">
        <v>1119</v>
      </c>
      <c r="B389" t="s">
        <v>40</v>
      </c>
      <c r="C389">
        <v>5334</v>
      </c>
      <c r="D389">
        <v>445.2</v>
      </c>
      <c r="E389">
        <v>61</v>
      </c>
      <c r="F389">
        <v>1.5</v>
      </c>
      <c r="G389">
        <v>1</v>
      </c>
      <c r="H389" t="s">
        <v>1210</v>
      </c>
    </row>
    <row r="390" spans="1:8" x14ac:dyDescent="0.45">
      <c r="A390" t="s">
        <v>1116</v>
      </c>
      <c r="B390" t="s">
        <v>59</v>
      </c>
      <c r="C390">
        <v>5234</v>
      </c>
      <c r="D390">
        <v>460.7</v>
      </c>
      <c r="E390">
        <v>63.7</v>
      </c>
      <c r="F390">
        <v>6</v>
      </c>
      <c r="G390">
        <v>1.6</v>
      </c>
      <c r="H390" t="s">
        <v>1210</v>
      </c>
    </row>
    <row r="391" spans="1:8" x14ac:dyDescent="0.45">
      <c r="A391" t="s">
        <v>1123</v>
      </c>
      <c r="B391" t="s">
        <v>62</v>
      </c>
      <c r="C391">
        <v>4115</v>
      </c>
      <c r="D391">
        <v>377.3</v>
      </c>
      <c r="E391">
        <v>34.700000000000003</v>
      </c>
      <c r="F391">
        <v>1.2</v>
      </c>
      <c r="G391">
        <v>0.3</v>
      </c>
      <c r="H391" t="s">
        <v>1210</v>
      </c>
    </row>
    <row r="392" spans="1:8" x14ac:dyDescent="0.45">
      <c r="A392" t="s">
        <v>1123</v>
      </c>
      <c r="B392" t="s">
        <v>28</v>
      </c>
      <c r="C392">
        <v>999999</v>
      </c>
      <c r="D392">
        <v>370.6</v>
      </c>
      <c r="E392">
        <v>129.19999999999999</v>
      </c>
      <c r="F392">
        <v>1.2</v>
      </c>
      <c r="G392">
        <v>0.3</v>
      </c>
      <c r="H392" t="s">
        <v>1211</v>
      </c>
    </row>
    <row r="393" spans="1:8" x14ac:dyDescent="0.45">
      <c r="A393" t="s">
        <v>1120</v>
      </c>
      <c r="B393" t="s">
        <v>1133</v>
      </c>
      <c r="C393">
        <v>7985</v>
      </c>
      <c r="D393">
        <v>597.9</v>
      </c>
      <c r="E393">
        <v>143.19999999999999</v>
      </c>
      <c r="F393">
        <v>2.6</v>
      </c>
      <c r="G393">
        <v>0.5</v>
      </c>
      <c r="H393" t="s">
        <v>1210</v>
      </c>
    </row>
    <row r="394" spans="1:8" x14ac:dyDescent="0.45">
      <c r="A394" t="s">
        <v>1127</v>
      </c>
      <c r="B394" t="s">
        <v>84</v>
      </c>
      <c r="C394">
        <v>2018</v>
      </c>
      <c r="D394">
        <v>347.3</v>
      </c>
      <c r="E394">
        <v>126.9</v>
      </c>
      <c r="F394">
        <v>4</v>
      </c>
      <c r="G394">
        <v>0.9</v>
      </c>
      <c r="H394" t="s">
        <v>1210</v>
      </c>
    </row>
    <row r="395" spans="1:8" x14ac:dyDescent="0.45">
      <c r="A395" t="s">
        <v>1118</v>
      </c>
      <c r="B395" t="s">
        <v>28</v>
      </c>
      <c r="C395">
        <v>1988</v>
      </c>
      <c r="D395">
        <v>133.30000000000001</v>
      </c>
      <c r="E395">
        <v>53.9</v>
      </c>
      <c r="F395">
        <v>7.3</v>
      </c>
      <c r="G395">
        <v>1.5</v>
      </c>
      <c r="H395" t="s">
        <v>1210</v>
      </c>
    </row>
    <row r="396" spans="1:8" x14ac:dyDescent="0.45">
      <c r="A396" t="s">
        <v>1121</v>
      </c>
      <c r="B396" t="s">
        <v>13</v>
      </c>
      <c r="C396">
        <v>249</v>
      </c>
      <c r="D396">
        <v>217.4</v>
      </c>
      <c r="E396">
        <v>97.7</v>
      </c>
      <c r="F396">
        <v>1.2</v>
      </c>
      <c r="G396">
        <v>0.4</v>
      </c>
      <c r="H396" t="s">
        <v>1210</v>
      </c>
    </row>
    <row r="397" spans="1:8" x14ac:dyDescent="0.45">
      <c r="A397" t="s">
        <v>1114</v>
      </c>
      <c r="B397" t="s">
        <v>23</v>
      </c>
      <c r="C397">
        <v>1495</v>
      </c>
      <c r="E397">
        <v>103.8</v>
      </c>
      <c r="F397">
        <v>2.2000000000000002</v>
      </c>
      <c r="G397">
        <v>1.3</v>
      </c>
      <c r="H397" t="s">
        <v>1210</v>
      </c>
    </row>
    <row r="398" spans="1:8" x14ac:dyDescent="0.45">
      <c r="A398" t="s">
        <v>1127</v>
      </c>
      <c r="B398" t="s">
        <v>32</v>
      </c>
      <c r="C398">
        <v>1729</v>
      </c>
      <c r="D398">
        <v>155.30000000000001</v>
      </c>
      <c r="E398">
        <v>68.8</v>
      </c>
      <c r="F398">
        <v>2.9</v>
      </c>
      <c r="G398">
        <v>0.9</v>
      </c>
      <c r="H398" t="s">
        <v>1210</v>
      </c>
    </row>
    <row r="399" spans="1:8" x14ac:dyDescent="0.45">
      <c r="A399" t="s">
        <v>1121</v>
      </c>
      <c r="B399" t="s">
        <v>61</v>
      </c>
      <c r="C399">
        <v>6616</v>
      </c>
      <c r="D399">
        <v>392.4</v>
      </c>
      <c r="E399">
        <v>68</v>
      </c>
      <c r="F399">
        <v>1.9</v>
      </c>
      <c r="G399">
        <v>0.4</v>
      </c>
      <c r="H399" t="s">
        <v>1210</v>
      </c>
    </row>
    <row r="400" spans="1:8" x14ac:dyDescent="0.45">
      <c r="A400" t="s">
        <v>1117</v>
      </c>
      <c r="B400" t="s">
        <v>66</v>
      </c>
      <c r="C400">
        <v>4534</v>
      </c>
      <c r="E400">
        <v>37.4</v>
      </c>
      <c r="F400">
        <v>2.4</v>
      </c>
      <c r="G400">
        <v>0.5</v>
      </c>
      <c r="H400" t="s">
        <v>1210</v>
      </c>
    </row>
    <row r="401" spans="1:8" x14ac:dyDescent="0.45">
      <c r="A401" t="s">
        <v>1119</v>
      </c>
      <c r="B401" t="s">
        <v>48</v>
      </c>
      <c r="C401">
        <v>3494</v>
      </c>
      <c r="D401">
        <v>505.2</v>
      </c>
      <c r="E401">
        <v>97.4</v>
      </c>
      <c r="F401">
        <v>3.6</v>
      </c>
      <c r="G401">
        <v>1</v>
      </c>
      <c r="H401" t="s">
        <v>1210</v>
      </c>
    </row>
    <row r="402" spans="1:8" x14ac:dyDescent="0.45">
      <c r="A402" t="s">
        <v>1118</v>
      </c>
      <c r="B402" t="s">
        <v>65</v>
      </c>
      <c r="C402">
        <v>4121</v>
      </c>
      <c r="D402">
        <v>441.8</v>
      </c>
      <c r="E402">
        <v>185.3</v>
      </c>
      <c r="F402">
        <v>6</v>
      </c>
      <c r="G402">
        <v>1.5</v>
      </c>
      <c r="H402" t="s">
        <v>1210</v>
      </c>
    </row>
    <row r="403" spans="1:8" x14ac:dyDescent="0.45">
      <c r="A403" t="s">
        <v>1120</v>
      </c>
      <c r="B403" t="s">
        <v>99</v>
      </c>
      <c r="C403">
        <v>3436</v>
      </c>
      <c r="D403">
        <v>674.7</v>
      </c>
      <c r="E403">
        <v>156.4</v>
      </c>
      <c r="F403">
        <v>1.7</v>
      </c>
      <c r="G403">
        <v>0.5</v>
      </c>
      <c r="H403" t="s">
        <v>1210</v>
      </c>
    </row>
    <row r="404" spans="1:8" x14ac:dyDescent="0.45">
      <c r="A404" t="s">
        <v>1116</v>
      </c>
      <c r="B404" t="s">
        <v>75</v>
      </c>
      <c r="C404">
        <v>2327</v>
      </c>
      <c r="D404">
        <v>422.5</v>
      </c>
      <c r="E404">
        <v>43.3</v>
      </c>
      <c r="F404">
        <v>7.1</v>
      </c>
      <c r="G404">
        <v>1.6</v>
      </c>
      <c r="H404" t="s">
        <v>1210</v>
      </c>
    </row>
    <row r="405" spans="1:8" x14ac:dyDescent="0.45">
      <c r="A405" t="s">
        <v>1121</v>
      </c>
      <c r="B405" t="s">
        <v>1130</v>
      </c>
      <c r="C405">
        <v>4915</v>
      </c>
      <c r="D405">
        <v>456.1</v>
      </c>
      <c r="E405">
        <v>277.10000000000002</v>
      </c>
      <c r="F405">
        <v>1.9</v>
      </c>
      <c r="G405">
        <v>0.4</v>
      </c>
      <c r="H405" t="s">
        <v>1210</v>
      </c>
    </row>
    <row r="406" spans="1:8" x14ac:dyDescent="0.45">
      <c r="A406" t="s">
        <v>1114</v>
      </c>
      <c r="B406" t="s">
        <v>56</v>
      </c>
      <c r="C406">
        <v>3668</v>
      </c>
      <c r="D406">
        <v>465.4</v>
      </c>
      <c r="E406">
        <v>97.1</v>
      </c>
      <c r="F406">
        <v>2.8</v>
      </c>
      <c r="G406">
        <v>1.3</v>
      </c>
      <c r="H406" t="s">
        <v>1210</v>
      </c>
    </row>
    <row r="407" spans="1:8" x14ac:dyDescent="0.45">
      <c r="A407" t="s">
        <v>1114</v>
      </c>
      <c r="B407" t="s">
        <v>110</v>
      </c>
      <c r="C407">
        <v>4889</v>
      </c>
      <c r="D407">
        <v>326.8</v>
      </c>
      <c r="E407">
        <v>130.80000000000001</v>
      </c>
      <c r="F407">
        <v>3.8</v>
      </c>
      <c r="G407">
        <v>1.3</v>
      </c>
      <c r="H407" t="s">
        <v>1210</v>
      </c>
    </row>
    <row r="408" spans="1:8" x14ac:dyDescent="0.45">
      <c r="A408" t="s">
        <v>1116</v>
      </c>
      <c r="B408" t="s">
        <v>105</v>
      </c>
      <c r="C408">
        <v>3837</v>
      </c>
      <c r="D408">
        <v>390.5</v>
      </c>
      <c r="E408">
        <v>75.900000000000006</v>
      </c>
      <c r="F408">
        <v>6.9</v>
      </c>
      <c r="G408">
        <v>1.6</v>
      </c>
      <c r="H408" t="s">
        <v>1210</v>
      </c>
    </row>
    <row r="409" spans="1:8" x14ac:dyDescent="0.45">
      <c r="A409" t="s">
        <v>1117</v>
      </c>
      <c r="B409" t="s">
        <v>92</v>
      </c>
      <c r="C409">
        <v>2533</v>
      </c>
      <c r="D409">
        <v>206.2</v>
      </c>
      <c r="E409">
        <v>59.7</v>
      </c>
      <c r="F409">
        <v>1.6</v>
      </c>
      <c r="G409">
        <v>0.5</v>
      </c>
      <c r="H409" t="s">
        <v>1210</v>
      </c>
    </row>
    <row r="410" spans="1:8" x14ac:dyDescent="0.45">
      <c r="A410" t="s">
        <v>1126</v>
      </c>
      <c r="B410" t="s">
        <v>98</v>
      </c>
      <c r="C410">
        <v>6850</v>
      </c>
      <c r="D410">
        <v>688.6</v>
      </c>
      <c r="E410">
        <v>110.5</v>
      </c>
      <c r="F410">
        <v>1.1000000000000001</v>
      </c>
      <c r="G410">
        <v>0.2</v>
      </c>
      <c r="H410" t="s">
        <v>1210</v>
      </c>
    </row>
    <row r="411" spans="1:8" x14ac:dyDescent="0.45">
      <c r="A411" t="s">
        <v>1117</v>
      </c>
      <c r="B411" t="s">
        <v>89</v>
      </c>
      <c r="C411">
        <v>4401</v>
      </c>
      <c r="D411">
        <v>642.20000000000005</v>
      </c>
      <c r="E411">
        <v>124.2</v>
      </c>
      <c r="F411">
        <v>1.2</v>
      </c>
      <c r="G411">
        <v>0.5</v>
      </c>
      <c r="H411" t="s">
        <v>1210</v>
      </c>
    </row>
    <row r="412" spans="1:8" x14ac:dyDescent="0.45">
      <c r="A412" t="s">
        <v>1114</v>
      </c>
      <c r="B412" t="s">
        <v>87</v>
      </c>
      <c r="C412">
        <v>5217</v>
      </c>
      <c r="D412">
        <v>326.10000000000002</v>
      </c>
      <c r="E412">
        <v>46.6</v>
      </c>
      <c r="F412">
        <v>2.6</v>
      </c>
      <c r="G412">
        <v>1.3</v>
      </c>
      <c r="H412" t="s">
        <v>1210</v>
      </c>
    </row>
    <row r="413" spans="1:8" x14ac:dyDescent="0.45">
      <c r="A413" t="s">
        <v>1125</v>
      </c>
      <c r="B413" t="s">
        <v>33</v>
      </c>
      <c r="C413">
        <v>3780</v>
      </c>
      <c r="D413">
        <v>440.8</v>
      </c>
      <c r="E413">
        <v>67.5</v>
      </c>
      <c r="F413">
        <v>4</v>
      </c>
      <c r="G413">
        <v>1.2</v>
      </c>
      <c r="H413" t="s">
        <v>1210</v>
      </c>
    </row>
    <row r="414" spans="1:8" x14ac:dyDescent="0.45">
      <c r="A414" t="s">
        <v>1118</v>
      </c>
      <c r="B414" t="s">
        <v>48</v>
      </c>
      <c r="C414">
        <v>5505</v>
      </c>
      <c r="D414">
        <v>472.3</v>
      </c>
      <c r="E414">
        <v>140.19999999999999</v>
      </c>
      <c r="F414">
        <v>6</v>
      </c>
      <c r="G414">
        <v>1.5</v>
      </c>
      <c r="H414" t="s">
        <v>1210</v>
      </c>
    </row>
    <row r="415" spans="1:8" x14ac:dyDescent="0.45">
      <c r="A415" t="s">
        <v>1114</v>
      </c>
      <c r="B415" t="s">
        <v>72</v>
      </c>
      <c r="C415">
        <v>2322</v>
      </c>
      <c r="D415">
        <v>261.39999999999998</v>
      </c>
      <c r="E415">
        <v>35.700000000000003</v>
      </c>
      <c r="F415">
        <v>2.8</v>
      </c>
      <c r="G415">
        <v>1.3</v>
      </c>
      <c r="H415" t="s">
        <v>1210</v>
      </c>
    </row>
    <row r="416" spans="1:8" x14ac:dyDescent="0.45">
      <c r="A416" t="s">
        <v>1120</v>
      </c>
      <c r="B416" t="s">
        <v>56</v>
      </c>
      <c r="C416">
        <v>3756</v>
      </c>
      <c r="D416">
        <v>332</v>
      </c>
      <c r="E416">
        <v>61.8</v>
      </c>
      <c r="F416">
        <v>0.8</v>
      </c>
      <c r="G416">
        <v>0.5</v>
      </c>
      <c r="H416" t="s">
        <v>1210</v>
      </c>
    </row>
    <row r="417" spans="1:8" x14ac:dyDescent="0.45">
      <c r="A417" t="s">
        <v>1126</v>
      </c>
      <c r="B417" t="s">
        <v>102</v>
      </c>
      <c r="C417">
        <v>931</v>
      </c>
      <c r="E417">
        <v>34.200000000000003</v>
      </c>
      <c r="F417">
        <v>1</v>
      </c>
      <c r="G417">
        <v>0.2</v>
      </c>
      <c r="H417" t="s">
        <v>1210</v>
      </c>
    </row>
    <row r="418" spans="1:8" x14ac:dyDescent="0.45">
      <c r="A418" t="s">
        <v>1122</v>
      </c>
      <c r="B418" t="s">
        <v>92</v>
      </c>
      <c r="C418">
        <v>1971</v>
      </c>
      <c r="D418">
        <v>399.4</v>
      </c>
      <c r="E418">
        <v>126.5</v>
      </c>
      <c r="F418">
        <v>1</v>
      </c>
      <c r="G418">
        <v>0.2</v>
      </c>
      <c r="H418" t="s">
        <v>1210</v>
      </c>
    </row>
    <row r="419" spans="1:8" x14ac:dyDescent="0.45">
      <c r="A419" t="s">
        <v>1115</v>
      </c>
      <c r="B419" t="s">
        <v>66</v>
      </c>
      <c r="C419">
        <v>5724</v>
      </c>
      <c r="D419">
        <v>519.9</v>
      </c>
      <c r="E419">
        <v>60.4</v>
      </c>
      <c r="F419">
        <v>2.8</v>
      </c>
      <c r="G419">
        <v>0.6</v>
      </c>
      <c r="H419" t="s">
        <v>1210</v>
      </c>
    </row>
    <row r="420" spans="1:8" x14ac:dyDescent="0.45">
      <c r="A420" t="s">
        <v>1126</v>
      </c>
      <c r="B420" t="s">
        <v>1138</v>
      </c>
      <c r="C420">
        <v>19378</v>
      </c>
      <c r="D420">
        <v>1098.5999999999999</v>
      </c>
      <c r="E420">
        <v>247.7</v>
      </c>
      <c r="F420">
        <v>0.9</v>
      </c>
      <c r="G420">
        <v>0.2</v>
      </c>
      <c r="H420" t="s">
        <v>1210</v>
      </c>
    </row>
    <row r="421" spans="1:8" x14ac:dyDescent="0.45">
      <c r="A421" t="s">
        <v>1117</v>
      </c>
      <c r="B421" t="s">
        <v>49</v>
      </c>
      <c r="D421">
        <v>425.8</v>
      </c>
      <c r="E421">
        <v>80</v>
      </c>
      <c r="F421">
        <v>1.9</v>
      </c>
      <c r="G421">
        <v>0.5</v>
      </c>
    </row>
    <row r="422" spans="1:8" x14ac:dyDescent="0.45">
      <c r="A422" t="s">
        <v>1126</v>
      </c>
      <c r="B422" t="s">
        <v>1140</v>
      </c>
      <c r="C422">
        <v>2547</v>
      </c>
      <c r="D422">
        <v>252.3</v>
      </c>
      <c r="E422">
        <v>32.6</v>
      </c>
      <c r="F422">
        <v>0.9</v>
      </c>
      <c r="G422">
        <v>0.2</v>
      </c>
      <c r="H422" t="s">
        <v>1210</v>
      </c>
    </row>
    <row r="423" spans="1:8" x14ac:dyDescent="0.45">
      <c r="A423" t="s">
        <v>1119</v>
      </c>
      <c r="B423" t="s">
        <v>108</v>
      </c>
      <c r="C423">
        <v>736</v>
      </c>
      <c r="D423">
        <v>265.60000000000002</v>
      </c>
      <c r="E423">
        <v>53.1</v>
      </c>
      <c r="F423">
        <v>4.5999999999999996</v>
      </c>
      <c r="G423">
        <v>1</v>
      </c>
      <c r="H423" t="s">
        <v>1210</v>
      </c>
    </row>
    <row r="424" spans="1:8" x14ac:dyDescent="0.45">
      <c r="A424" t="s">
        <v>1126</v>
      </c>
      <c r="B424" t="s">
        <v>85</v>
      </c>
      <c r="C424">
        <v>1943</v>
      </c>
      <c r="D424">
        <v>285.8</v>
      </c>
      <c r="E424">
        <v>118.8</v>
      </c>
      <c r="F424">
        <v>1</v>
      </c>
      <c r="G424">
        <v>0.2</v>
      </c>
      <c r="H424" t="s">
        <v>1210</v>
      </c>
    </row>
    <row r="425" spans="1:8" x14ac:dyDescent="0.45">
      <c r="A425" t="s">
        <v>1119</v>
      </c>
      <c r="B425" t="s">
        <v>43</v>
      </c>
      <c r="C425">
        <v>7085</v>
      </c>
      <c r="D425">
        <v>507.2</v>
      </c>
      <c r="E425">
        <v>352</v>
      </c>
      <c r="F425">
        <v>4.5</v>
      </c>
      <c r="G425">
        <v>1</v>
      </c>
      <c r="H425" t="s">
        <v>1210</v>
      </c>
    </row>
    <row r="426" spans="1:8" x14ac:dyDescent="0.45">
      <c r="A426" t="s">
        <v>1128</v>
      </c>
      <c r="B426" t="s">
        <v>25</v>
      </c>
      <c r="C426">
        <v>2226</v>
      </c>
      <c r="D426">
        <v>224.1</v>
      </c>
      <c r="E426">
        <v>88.4</v>
      </c>
      <c r="F426">
        <v>2.1</v>
      </c>
      <c r="G426">
        <v>0.5</v>
      </c>
      <c r="H426" t="s">
        <v>1210</v>
      </c>
    </row>
    <row r="427" spans="1:8" x14ac:dyDescent="0.45">
      <c r="A427" t="s">
        <v>1128</v>
      </c>
      <c r="B427" t="s">
        <v>56</v>
      </c>
      <c r="C427">
        <v>5167</v>
      </c>
      <c r="D427">
        <v>401.4</v>
      </c>
      <c r="E427">
        <v>62.7</v>
      </c>
      <c r="F427">
        <v>1</v>
      </c>
      <c r="G427">
        <v>0.5</v>
      </c>
      <c r="H427" t="s">
        <v>1210</v>
      </c>
    </row>
    <row r="428" spans="1:8" x14ac:dyDescent="0.45">
      <c r="A428" t="s">
        <v>1121</v>
      </c>
      <c r="B428" t="s">
        <v>75</v>
      </c>
      <c r="C428">
        <v>6609</v>
      </c>
      <c r="D428">
        <v>567.29999999999995</v>
      </c>
      <c r="E428">
        <v>75.099999999999994</v>
      </c>
      <c r="F428">
        <v>2.4</v>
      </c>
      <c r="G428">
        <v>0.4</v>
      </c>
      <c r="H428" t="s">
        <v>1210</v>
      </c>
    </row>
    <row r="429" spans="1:8" x14ac:dyDescent="0.45">
      <c r="A429" t="s">
        <v>1115</v>
      </c>
      <c r="B429" t="s">
        <v>13</v>
      </c>
      <c r="C429">
        <v>912</v>
      </c>
      <c r="D429">
        <v>328.8</v>
      </c>
      <c r="E429">
        <v>122.7</v>
      </c>
      <c r="F429">
        <v>2.4</v>
      </c>
      <c r="G429">
        <v>0.6</v>
      </c>
      <c r="H429" t="s">
        <v>1210</v>
      </c>
    </row>
    <row r="430" spans="1:8" x14ac:dyDescent="0.45">
      <c r="A430" t="s">
        <v>1125</v>
      </c>
      <c r="B430" t="s">
        <v>39</v>
      </c>
      <c r="C430">
        <v>6763</v>
      </c>
      <c r="D430">
        <v>478</v>
      </c>
      <c r="E430">
        <v>60.8</v>
      </c>
      <c r="F430">
        <v>2.9</v>
      </c>
      <c r="G430">
        <v>1.2</v>
      </c>
      <c r="H430" t="s">
        <v>1210</v>
      </c>
    </row>
    <row r="431" spans="1:8" x14ac:dyDescent="0.45">
      <c r="A431" t="s">
        <v>1121</v>
      </c>
      <c r="B431" t="s">
        <v>43</v>
      </c>
      <c r="C431">
        <v>4614</v>
      </c>
      <c r="D431">
        <v>473.7</v>
      </c>
      <c r="E431">
        <v>208.4</v>
      </c>
      <c r="F431">
        <v>2.5</v>
      </c>
      <c r="G431">
        <v>0.4</v>
      </c>
      <c r="H431" t="s">
        <v>1210</v>
      </c>
    </row>
    <row r="432" spans="1:8" x14ac:dyDescent="0.45">
      <c r="A432" t="s">
        <v>1126</v>
      </c>
      <c r="B432" t="s">
        <v>36</v>
      </c>
      <c r="C432">
        <v>4012</v>
      </c>
      <c r="D432">
        <v>253.6</v>
      </c>
      <c r="E432">
        <v>106.6</v>
      </c>
      <c r="F432">
        <v>1.2</v>
      </c>
      <c r="G432">
        <v>0.2</v>
      </c>
      <c r="H432" t="s">
        <v>1210</v>
      </c>
    </row>
    <row r="433" spans="1:8" x14ac:dyDescent="0.45">
      <c r="A433" t="s">
        <v>1116</v>
      </c>
      <c r="B433" t="s">
        <v>33</v>
      </c>
      <c r="C433">
        <v>2307</v>
      </c>
      <c r="D433">
        <v>175.2</v>
      </c>
      <c r="E433">
        <v>22.8</v>
      </c>
      <c r="F433">
        <v>5.6</v>
      </c>
      <c r="G433">
        <v>1.6</v>
      </c>
      <c r="H433" t="s">
        <v>1210</v>
      </c>
    </row>
    <row r="434" spans="1:8" x14ac:dyDescent="0.45">
      <c r="A434" t="s">
        <v>1115</v>
      </c>
      <c r="B434" t="s">
        <v>67</v>
      </c>
      <c r="C434">
        <v>3385</v>
      </c>
      <c r="D434">
        <v>355.2</v>
      </c>
      <c r="E434">
        <v>119.3</v>
      </c>
      <c r="F434">
        <v>2</v>
      </c>
      <c r="G434">
        <v>0.6</v>
      </c>
      <c r="H434" t="s">
        <v>1210</v>
      </c>
    </row>
    <row r="435" spans="1:8" x14ac:dyDescent="0.45">
      <c r="A435" t="s">
        <v>1114</v>
      </c>
      <c r="B435" t="s">
        <v>35</v>
      </c>
      <c r="C435">
        <v>1967</v>
      </c>
      <c r="D435">
        <v>415.7</v>
      </c>
      <c r="E435">
        <v>60.5</v>
      </c>
      <c r="F435">
        <v>3</v>
      </c>
      <c r="G435">
        <v>1.3</v>
      </c>
      <c r="H435" t="s">
        <v>1210</v>
      </c>
    </row>
    <row r="436" spans="1:8" x14ac:dyDescent="0.45">
      <c r="A436" t="s">
        <v>1122</v>
      </c>
      <c r="B436" t="s">
        <v>78</v>
      </c>
      <c r="C436">
        <v>5676</v>
      </c>
      <c r="D436">
        <v>374.9</v>
      </c>
      <c r="E436">
        <v>156.4</v>
      </c>
      <c r="F436">
        <v>1.2</v>
      </c>
      <c r="G436">
        <v>0.2</v>
      </c>
      <c r="H436" t="s">
        <v>1210</v>
      </c>
    </row>
    <row r="437" spans="1:8" x14ac:dyDescent="0.45">
      <c r="A437" t="s">
        <v>1119</v>
      </c>
      <c r="B437" t="s">
        <v>8</v>
      </c>
      <c r="C437">
        <v>9389</v>
      </c>
      <c r="D437">
        <v>869.1</v>
      </c>
      <c r="E437">
        <v>235.4</v>
      </c>
      <c r="F437">
        <v>2.1</v>
      </c>
      <c r="G437">
        <v>1</v>
      </c>
      <c r="H437" t="s">
        <v>1210</v>
      </c>
    </row>
    <row r="438" spans="1:8" x14ac:dyDescent="0.45">
      <c r="A438" t="s">
        <v>1122</v>
      </c>
      <c r="B438" t="s">
        <v>24</v>
      </c>
      <c r="C438">
        <v>11344</v>
      </c>
      <c r="D438">
        <v>662.8</v>
      </c>
      <c r="E438">
        <v>114.8</v>
      </c>
      <c r="F438">
        <v>0.7</v>
      </c>
      <c r="G438">
        <v>0.2</v>
      </c>
      <c r="H438" t="s">
        <v>1210</v>
      </c>
    </row>
    <row r="439" spans="1:8" x14ac:dyDescent="0.45">
      <c r="A439" t="s">
        <v>1121</v>
      </c>
      <c r="B439" t="s">
        <v>47</v>
      </c>
      <c r="C439">
        <v>3070</v>
      </c>
      <c r="E439">
        <v>26.7</v>
      </c>
      <c r="F439">
        <v>1.6</v>
      </c>
      <c r="G439">
        <v>0.4</v>
      </c>
      <c r="H439" t="s">
        <v>1210</v>
      </c>
    </row>
    <row r="440" spans="1:8" x14ac:dyDescent="0.45">
      <c r="A440" t="s">
        <v>1117</v>
      </c>
      <c r="B440" t="s">
        <v>78</v>
      </c>
      <c r="C440">
        <v>3045</v>
      </c>
      <c r="D440">
        <v>202.6</v>
      </c>
      <c r="E440">
        <v>74.8</v>
      </c>
      <c r="F440">
        <v>1.4</v>
      </c>
      <c r="G440">
        <v>0.5</v>
      </c>
      <c r="H440" t="s">
        <v>1210</v>
      </c>
    </row>
    <row r="441" spans="1:8" x14ac:dyDescent="0.45">
      <c r="A441" t="s">
        <v>1126</v>
      </c>
      <c r="B441" t="s">
        <v>47</v>
      </c>
      <c r="C441">
        <v>4556</v>
      </c>
      <c r="D441">
        <v>324.2</v>
      </c>
      <c r="E441">
        <v>44.2</v>
      </c>
      <c r="F441">
        <v>0.5</v>
      </c>
      <c r="G441">
        <v>0.2</v>
      </c>
      <c r="H441" t="s">
        <v>1210</v>
      </c>
    </row>
    <row r="442" spans="1:8" x14ac:dyDescent="0.45">
      <c r="A442" t="s">
        <v>1123</v>
      </c>
      <c r="B442" t="s">
        <v>61</v>
      </c>
      <c r="C442">
        <v>4107</v>
      </c>
      <c r="D442">
        <v>276.5</v>
      </c>
      <c r="E442">
        <v>45</v>
      </c>
      <c r="F442">
        <v>1.1000000000000001</v>
      </c>
      <c r="G442">
        <v>0.3</v>
      </c>
      <c r="H442" t="s">
        <v>1210</v>
      </c>
    </row>
    <row r="443" spans="1:8" x14ac:dyDescent="0.45">
      <c r="A443" t="s">
        <v>1126</v>
      </c>
      <c r="B443" t="s">
        <v>10</v>
      </c>
      <c r="C443">
        <v>3576</v>
      </c>
      <c r="D443">
        <v>316</v>
      </c>
      <c r="E443">
        <v>55.5</v>
      </c>
      <c r="F443">
        <v>1.2</v>
      </c>
      <c r="G443">
        <v>0.2</v>
      </c>
      <c r="H443" t="s">
        <v>1210</v>
      </c>
    </row>
    <row r="444" spans="1:8" x14ac:dyDescent="0.45">
      <c r="A444" t="s">
        <v>1127</v>
      </c>
      <c r="B444" t="s">
        <v>47</v>
      </c>
      <c r="C444">
        <v>4648</v>
      </c>
      <c r="D444">
        <v>355</v>
      </c>
      <c r="E444">
        <v>29.9</v>
      </c>
      <c r="F444">
        <v>1.5</v>
      </c>
      <c r="G444">
        <v>0.9</v>
      </c>
      <c r="H444" t="s">
        <v>1210</v>
      </c>
    </row>
    <row r="445" spans="1:8" x14ac:dyDescent="0.45">
      <c r="A445" t="s">
        <v>1119</v>
      </c>
      <c r="B445" t="s">
        <v>99</v>
      </c>
      <c r="C445">
        <v>6377</v>
      </c>
      <c r="D445">
        <v>996.9</v>
      </c>
      <c r="E445">
        <v>202.4</v>
      </c>
      <c r="F445">
        <v>3.7</v>
      </c>
      <c r="G445">
        <v>1</v>
      </c>
      <c r="H445" t="s">
        <v>1210</v>
      </c>
    </row>
    <row r="446" spans="1:8" x14ac:dyDescent="0.45">
      <c r="A446" t="s">
        <v>1118</v>
      </c>
      <c r="B446" t="s">
        <v>40</v>
      </c>
      <c r="C446">
        <v>1388</v>
      </c>
      <c r="D446">
        <v>236.4</v>
      </c>
      <c r="E446">
        <v>35.1</v>
      </c>
      <c r="F446">
        <v>5.7</v>
      </c>
      <c r="G446">
        <v>1.5</v>
      </c>
      <c r="H446" t="s">
        <v>1210</v>
      </c>
    </row>
    <row r="447" spans="1:8" x14ac:dyDescent="0.45">
      <c r="A447" t="s">
        <v>1117</v>
      </c>
      <c r="B447" t="s">
        <v>1132</v>
      </c>
      <c r="C447">
        <v>4541</v>
      </c>
      <c r="D447">
        <v>277.5</v>
      </c>
      <c r="E447">
        <v>41</v>
      </c>
      <c r="F447">
        <v>1.6</v>
      </c>
      <c r="G447">
        <v>0.5</v>
      </c>
      <c r="H447" t="s">
        <v>1210</v>
      </c>
    </row>
    <row r="448" spans="1:8" x14ac:dyDescent="0.45">
      <c r="A448" t="s">
        <v>1119</v>
      </c>
      <c r="B448" t="s">
        <v>105</v>
      </c>
      <c r="C448">
        <v>4884</v>
      </c>
      <c r="D448">
        <v>385.5</v>
      </c>
      <c r="E448">
        <v>57.4</v>
      </c>
      <c r="F448">
        <v>3.5</v>
      </c>
      <c r="G448">
        <v>1</v>
      </c>
      <c r="H448" t="s">
        <v>1210</v>
      </c>
    </row>
    <row r="449" spans="1:8" x14ac:dyDescent="0.45">
      <c r="A449" t="s">
        <v>1120</v>
      </c>
      <c r="B449" t="s">
        <v>76</v>
      </c>
      <c r="D449">
        <v>524.6</v>
      </c>
      <c r="E449">
        <v>131.5</v>
      </c>
      <c r="F449">
        <v>1.5</v>
      </c>
      <c r="G449">
        <v>0.5</v>
      </c>
    </row>
    <row r="450" spans="1:8" x14ac:dyDescent="0.45">
      <c r="A450" t="s">
        <v>1116</v>
      </c>
      <c r="B450" t="s">
        <v>54</v>
      </c>
      <c r="C450">
        <v>5364</v>
      </c>
      <c r="D450">
        <v>472.4</v>
      </c>
      <c r="E450">
        <v>55.4</v>
      </c>
      <c r="F450">
        <v>4.5999999999999996</v>
      </c>
      <c r="G450">
        <v>1.6</v>
      </c>
      <c r="H450" t="s">
        <v>1210</v>
      </c>
    </row>
    <row r="451" spans="1:8" x14ac:dyDescent="0.45">
      <c r="A451" t="s">
        <v>1120</v>
      </c>
      <c r="B451" t="s">
        <v>27</v>
      </c>
      <c r="C451">
        <v>5966</v>
      </c>
      <c r="D451">
        <v>427.9</v>
      </c>
      <c r="E451">
        <v>215.7</v>
      </c>
      <c r="F451">
        <v>1.8</v>
      </c>
      <c r="G451">
        <v>0.5</v>
      </c>
      <c r="H451" t="s">
        <v>1210</v>
      </c>
    </row>
    <row r="452" spans="1:8" x14ac:dyDescent="0.45">
      <c r="A452" t="s">
        <v>1128</v>
      </c>
      <c r="B452" t="s">
        <v>24</v>
      </c>
      <c r="C452">
        <v>6177</v>
      </c>
      <c r="D452">
        <v>642.4</v>
      </c>
      <c r="E452">
        <v>150.9</v>
      </c>
      <c r="F452">
        <v>1.6</v>
      </c>
      <c r="G452">
        <v>0.5</v>
      </c>
      <c r="H452" t="s">
        <v>1210</v>
      </c>
    </row>
    <row r="453" spans="1:8" x14ac:dyDescent="0.45">
      <c r="A453" t="s">
        <v>1117</v>
      </c>
      <c r="B453" t="s">
        <v>1131</v>
      </c>
      <c r="C453">
        <v>3245</v>
      </c>
      <c r="D453">
        <v>185.3</v>
      </c>
      <c r="E453">
        <v>108.4</v>
      </c>
      <c r="F453">
        <v>2.6</v>
      </c>
      <c r="G453">
        <v>0.5</v>
      </c>
      <c r="H453" t="s">
        <v>1210</v>
      </c>
    </row>
    <row r="454" spans="1:8" x14ac:dyDescent="0.45">
      <c r="A454" t="s">
        <v>1115</v>
      </c>
      <c r="B454" t="s">
        <v>96</v>
      </c>
      <c r="C454">
        <v>1822</v>
      </c>
      <c r="D454">
        <v>445.1</v>
      </c>
      <c r="E454">
        <v>118.4</v>
      </c>
      <c r="F454">
        <v>1.9</v>
      </c>
      <c r="G454">
        <v>0.6</v>
      </c>
      <c r="H454" t="s">
        <v>1210</v>
      </c>
    </row>
    <row r="455" spans="1:8" x14ac:dyDescent="0.45">
      <c r="A455" t="s">
        <v>1114</v>
      </c>
      <c r="B455" t="s">
        <v>93</v>
      </c>
      <c r="C455">
        <v>1181</v>
      </c>
      <c r="D455">
        <v>363.7</v>
      </c>
      <c r="E455">
        <v>70.900000000000006</v>
      </c>
      <c r="F455">
        <v>4.5999999999999996</v>
      </c>
      <c r="G455">
        <v>1.3</v>
      </c>
      <c r="H455" t="s">
        <v>1210</v>
      </c>
    </row>
    <row r="456" spans="1:8" x14ac:dyDescent="0.45">
      <c r="A456" t="s">
        <v>1122</v>
      </c>
      <c r="B456" t="s">
        <v>72</v>
      </c>
      <c r="C456">
        <v>4886</v>
      </c>
      <c r="D456">
        <v>279.3</v>
      </c>
      <c r="E456">
        <v>35.4</v>
      </c>
      <c r="F456">
        <v>1.2</v>
      </c>
      <c r="G456">
        <v>0.2</v>
      </c>
      <c r="H456" t="s">
        <v>1210</v>
      </c>
    </row>
    <row r="457" spans="1:8" x14ac:dyDescent="0.45">
      <c r="A457" t="s">
        <v>1121</v>
      </c>
      <c r="B457" t="s">
        <v>99</v>
      </c>
      <c r="C457">
        <v>6474</v>
      </c>
      <c r="D457">
        <v>545.29999999999995</v>
      </c>
      <c r="E457">
        <v>83.9</v>
      </c>
      <c r="F457">
        <v>1.8</v>
      </c>
      <c r="G457">
        <v>0.4</v>
      </c>
      <c r="H457" t="s">
        <v>1210</v>
      </c>
    </row>
    <row r="458" spans="1:8" x14ac:dyDescent="0.45">
      <c r="A458" t="s">
        <v>1120</v>
      </c>
      <c r="B458" t="s">
        <v>20</v>
      </c>
      <c r="C458">
        <v>2007</v>
      </c>
      <c r="D458">
        <v>263.7</v>
      </c>
      <c r="E458">
        <v>39.5</v>
      </c>
      <c r="F458">
        <v>1.9</v>
      </c>
      <c r="G458">
        <v>0.5</v>
      </c>
      <c r="H458" t="s">
        <v>1210</v>
      </c>
    </row>
    <row r="459" spans="1:8" x14ac:dyDescent="0.45">
      <c r="A459" t="s">
        <v>1123</v>
      </c>
      <c r="B459" t="s">
        <v>54</v>
      </c>
      <c r="C459">
        <v>3699</v>
      </c>
      <c r="D459">
        <v>208.8</v>
      </c>
      <c r="E459">
        <v>19.2</v>
      </c>
      <c r="F459">
        <v>0.5</v>
      </c>
      <c r="G459">
        <v>0.3</v>
      </c>
      <c r="H459" t="s">
        <v>1210</v>
      </c>
    </row>
    <row r="460" spans="1:8" x14ac:dyDescent="0.45">
      <c r="A460" t="s">
        <v>1117</v>
      </c>
      <c r="B460" t="s">
        <v>18</v>
      </c>
      <c r="C460">
        <v>4071</v>
      </c>
      <c r="D460">
        <v>271.60000000000002</v>
      </c>
      <c r="E460">
        <v>33</v>
      </c>
      <c r="F460">
        <v>1.6</v>
      </c>
      <c r="G460">
        <v>0.5</v>
      </c>
      <c r="H460" t="s">
        <v>1210</v>
      </c>
    </row>
    <row r="461" spans="1:8" x14ac:dyDescent="0.45">
      <c r="A461" t="s">
        <v>1128</v>
      </c>
      <c r="B461" t="s">
        <v>110</v>
      </c>
      <c r="C461">
        <v>3107</v>
      </c>
      <c r="D461">
        <v>303.60000000000002</v>
      </c>
      <c r="E461">
        <v>162</v>
      </c>
      <c r="F461">
        <v>1.9</v>
      </c>
      <c r="G461">
        <v>0.5</v>
      </c>
      <c r="H461" t="s">
        <v>1210</v>
      </c>
    </row>
    <row r="462" spans="1:8" x14ac:dyDescent="0.45">
      <c r="A462" t="s">
        <v>1117</v>
      </c>
      <c r="B462" t="s">
        <v>28</v>
      </c>
      <c r="C462">
        <v>2629</v>
      </c>
      <c r="D462">
        <v>155.1</v>
      </c>
      <c r="E462">
        <v>62.6</v>
      </c>
      <c r="F462">
        <v>2.1</v>
      </c>
      <c r="G462">
        <v>0.5</v>
      </c>
      <c r="H462" t="s">
        <v>1210</v>
      </c>
    </row>
    <row r="463" spans="1:8" x14ac:dyDescent="0.45">
      <c r="A463" t="s">
        <v>1116</v>
      </c>
      <c r="B463" t="s">
        <v>1133</v>
      </c>
      <c r="C463">
        <v>2855</v>
      </c>
      <c r="D463">
        <v>671.2</v>
      </c>
      <c r="E463">
        <v>139.1</v>
      </c>
      <c r="F463">
        <v>4.4000000000000004</v>
      </c>
      <c r="G463">
        <v>1.6</v>
      </c>
      <c r="H463" t="s">
        <v>1210</v>
      </c>
    </row>
    <row r="464" spans="1:8" x14ac:dyDescent="0.45">
      <c r="A464" t="s">
        <v>1119</v>
      </c>
      <c r="B464" t="s">
        <v>87</v>
      </c>
      <c r="C464">
        <v>9643</v>
      </c>
      <c r="D464">
        <v>570.79999999999995</v>
      </c>
      <c r="E464">
        <v>58.8</v>
      </c>
      <c r="F464">
        <v>5</v>
      </c>
      <c r="G464">
        <v>1</v>
      </c>
      <c r="H464" t="s">
        <v>1210</v>
      </c>
    </row>
    <row r="465" spans="1:8" x14ac:dyDescent="0.45">
      <c r="A465" t="s">
        <v>1124</v>
      </c>
      <c r="B465" t="s">
        <v>1135</v>
      </c>
      <c r="C465">
        <v>4372</v>
      </c>
      <c r="D465">
        <v>370.9</v>
      </c>
      <c r="E465">
        <v>50.8</v>
      </c>
      <c r="F465">
        <v>0.8</v>
      </c>
      <c r="G465">
        <v>0.3</v>
      </c>
      <c r="H465" t="s">
        <v>1210</v>
      </c>
    </row>
    <row r="466" spans="1:8" x14ac:dyDescent="0.45">
      <c r="A466" t="s">
        <v>1127</v>
      </c>
      <c r="B466" t="s">
        <v>39</v>
      </c>
      <c r="C466">
        <v>274</v>
      </c>
      <c r="E466">
        <v>39.299999999999997</v>
      </c>
      <c r="F466">
        <v>2.7</v>
      </c>
      <c r="G466">
        <v>0.9</v>
      </c>
      <c r="H466" t="s">
        <v>1210</v>
      </c>
    </row>
    <row r="467" spans="1:8" x14ac:dyDescent="0.45">
      <c r="A467" t="s">
        <v>1126</v>
      </c>
      <c r="B467" t="s">
        <v>107</v>
      </c>
      <c r="C467">
        <v>5233</v>
      </c>
      <c r="D467">
        <v>293.60000000000002</v>
      </c>
      <c r="E467">
        <v>175.5</v>
      </c>
      <c r="F467">
        <v>1</v>
      </c>
      <c r="G467">
        <v>0.2</v>
      </c>
      <c r="H467" t="s">
        <v>1210</v>
      </c>
    </row>
    <row r="468" spans="1:8" x14ac:dyDescent="0.45">
      <c r="A468" t="s">
        <v>1128</v>
      </c>
      <c r="B468" t="s">
        <v>96</v>
      </c>
      <c r="C468">
        <v>2429</v>
      </c>
      <c r="D468">
        <v>271.2</v>
      </c>
      <c r="E468">
        <v>70.3</v>
      </c>
      <c r="F468">
        <v>3</v>
      </c>
      <c r="G468">
        <v>0.5</v>
      </c>
      <c r="H468" t="s">
        <v>1210</v>
      </c>
    </row>
    <row r="469" spans="1:8" x14ac:dyDescent="0.45">
      <c r="A469" t="s">
        <v>1114</v>
      </c>
      <c r="B469" t="s">
        <v>19</v>
      </c>
      <c r="C469">
        <v>3088</v>
      </c>
      <c r="D469">
        <v>261.7</v>
      </c>
      <c r="E469">
        <v>94.8</v>
      </c>
      <c r="F469">
        <v>2.9</v>
      </c>
      <c r="G469">
        <v>1.3</v>
      </c>
      <c r="H469" t="s">
        <v>1210</v>
      </c>
    </row>
    <row r="470" spans="1:8" x14ac:dyDescent="0.45">
      <c r="A470" t="s">
        <v>1128</v>
      </c>
      <c r="B470" t="s">
        <v>85</v>
      </c>
      <c r="C470">
        <v>4732</v>
      </c>
      <c r="D470">
        <v>412.3</v>
      </c>
      <c r="E470">
        <v>225.1</v>
      </c>
      <c r="F470">
        <v>1.2</v>
      </c>
      <c r="G470">
        <v>0.5</v>
      </c>
      <c r="H470" t="s">
        <v>1210</v>
      </c>
    </row>
    <row r="471" spans="1:8" x14ac:dyDescent="0.45">
      <c r="A471" t="s">
        <v>1125</v>
      </c>
      <c r="B471" t="s">
        <v>47</v>
      </c>
      <c r="C471">
        <v>1297</v>
      </c>
      <c r="D471">
        <v>193.8</v>
      </c>
      <c r="E471">
        <v>26.4</v>
      </c>
      <c r="F471">
        <v>4.5999999999999996</v>
      </c>
      <c r="G471">
        <v>1.2</v>
      </c>
      <c r="H471" t="s">
        <v>1210</v>
      </c>
    </row>
    <row r="472" spans="1:8" x14ac:dyDescent="0.45">
      <c r="A472" t="s">
        <v>1127</v>
      </c>
      <c r="B472" t="s">
        <v>24</v>
      </c>
      <c r="C472">
        <v>9439</v>
      </c>
      <c r="D472">
        <v>559.5</v>
      </c>
      <c r="E472">
        <v>148.19999999999999</v>
      </c>
      <c r="F472">
        <v>2.8</v>
      </c>
      <c r="G472">
        <v>0.9</v>
      </c>
      <c r="H472" t="s">
        <v>1210</v>
      </c>
    </row>
    <row r="473" spans="1:8" x14ac:dyDescent="0.45">
      <c r="A473" t="s">
        <v>1127</v>
      </c>
      <c r="B473" t="s">
        <v>77</v>
      </c>
      <c r="C473">
        <v>3496</v>
      </c>
      <c r="D473">
        <v>241</v>
      </c>
      <c r="E473">
        <v>81.099999999999994</v>
      </c>
      <c r="F473">
        <v>2.5</v>
      </c>
      <c r="G473">
        <v>0.9</v>
      </c>
      <c r="H473" t="s">
        <v>1210</v>
      </c>
    </row>
    <row r="474" spans="1:8" x14ac:dyDescent="0.45">
      <c r="A474" t="s">
        <v>1124</v>
      </c>
      <c r="B474" t="s">
        <v>1136</v>
      </c>
      <c r="C474">
        <v>2880</v>
      </c>
      <c r="D474">
        <v>326.7</v>
      </c>
      <c r="E474">
        <v>167.4</v>
      </c>
      <c r="F474">
        <v>0.8</v>
      </c>
      <c r="G474">
        <v>0.3</v>
      </c>
      <c r="H474" t="s">
        <v>1210</v>
      </c>
    </row>
    <row r="475" spans="1:8" x14ac:dyDescent="0.45">
      <c r="A475" t="s">
        <v>1117</v>
      </c>
      <c r="B475" t="s">
        <v>33</v>
      </c>
      <c r="C475">
        <v>3051</v>
      </c>
      <c r="D475">
        <v>283</v>
      </c>
      <c r="E475">
        <v>52</v>
      </c>
      <c r="F475">
        <v>2.9</v>
      </c>
      <c r="G475">
        <v>0.5</v>
      </c>
      <c r="H475" t="s">
        <v>1210</v>
      </c>
    </row>
    <row r="476" spans="1:8" x14ac:dyDescent="0.45">
      <c r="A476" t="s">
        <v>1120</v>
      </c>
      <c r="B476" t="s">
        <v>48</v>
      </c>
      <c r="C476">
        <v>7270</v>
      </c>
      <c r="D476">
        <v>787.2</v>
      </c>
      <c r="E476">
        <v>232.2</v>
      </c>
      <c r="F476">
        <v>2.2999999999999998</v>
      </c>
      <c r="G476">
        <v>0.5</v>
      </c>
      <c r="H476" t="s">
        <v>1210</v>
      </c>
    </row>
    <row r="477" spans="1:8" x14ac:dyDescent="0.45">
      <c r="A477" t="s">
        <v>1122</v>
      </c>
      <c r="B477" t="s">
        <v>109</v>
      </c>
      <c r="C477">
        <v>5355</v>
      </c>
      <c r="D477">
        <v>650.9</v>
      </c>
      <c r="E477">
        <v>373.8</v>
      </c>
      <c r="F477">
        <v>1.4</v>
      </c>
      <c r="G477">
        <v>0.2</v>
      </c>
      <c r="H477" t="s">
        <v>1210</v>
      </c>
    </row>
    <row r="478" spans="1:8" x14ac:dyDescent="0.45">
      <c r="A478" t="s">
        <v>1115</v>
      </c>
      <c r="B478" t="s">
        <v>53</v>
      </c>
      <c r="C478">
        <v>337</v>
      </c>
      <c r="D478">
        <v>159.9</v>
      </c>
      <c r="E478">
        <v>68.2</v>
      </c>
      <c r="F478">
        <v>0.5</v>
      </c>
      <c r="G478">
        <v>0.6</v>
      </c>
      <c r="H478" t="s">
        <v>1210</v>
      </c>
    </row>
    <row r="479" spans="1:8" x14ac:dyDescent="0.45">
      <c r="A479" t="s">
        <v>1128</v>
      </c>
      <c r="B479" t="s">
        <v>105</v>
      </c>
      <c r="C479">
        <v>4956</v>
      </c>
      <c r="D479">
        <v>593.20000000000005</v>
      </c>
      <c r="E479">
        <v>108.6</v>
      </c>
      <c r="F479">
        <v>1.9</v>
      </c>
      <c r="G479">
        <v>0.5</v>
      </c>
      <c r="H479" t="s">
        <v>1210</v>
      </c>
    </row>
    <row r="480" spans="1:8" x14ac:dyDescent="0.45">
      <c r="A480" t="s">
        <v>1118</v>
      </c>
      <c r="B480" t="s">
        <v>1129</v>
      </c>
      <c r="C480">
        <v>1101</v>
      </c>
      <c r="D480">
        <v>534.20000000000005</v>
      </c>
      <c r="E480">
        <v>147.4</v>
      </c>
      <c r="F480">
        <v>5</v>
      </c>
      <c r="G480">
        <v>1.5</v>
      </c>
      <c r="H480" t="s">
        <v>1210</v>
      </c>
    </row>
    <row r="481" spans="1:8" x14ac:dyDescent="0.45">
      <c r="A481" t="s">
        <v>1120</v>
      </c>
      <c r="B481" t="s">
        <v>36</v>
      </c>
      <c r="C481">
        <v>2698</v>
      </c>
      <c r="D481">
        <v>418.6</v>
      </c>
      <c r="E481">
        <v>187.6</v>
      </c>
      <c r="F481">
        <v>2.1</v>
      </c>
      <c r="G481">
        <v>0.5</v>
      </c>
      <c r="H481" t="s">
        <v>1210</v>
      </c>
    </row>
    <row r="482" spans="1:8" x14ac:dyDescent="0.45">
      <c r="A482" t="s">
        <v>1124</v>
      </c>
      <c r="B482" t="s">
        <v>88</v>
      </c>
      <c r="C482">
        <v>332</v>
      </c>
      <c r="D482">
        <v>415.8</v>
      </c>
      <c r="E482">
        <v>169.9</v>
      </c>
      <c r="F482">
        <v>1</v>
      </c>
      <c r="G482">
        <v>0.3</v>
      </c>
      <c r="H482" t="s">
        <v>1210</v>
      </c>
    </row>
    <row r="483" spans="1:8" x14ac:dyDescent="0.45">
      <c r="A483" t="s">
        <v>1119</v>
      </c>
      <c r="B483" t="s">
        <v>58</v>
      </c>
      <c r="C483">
        <v>1510</v>
      </c>
      <c r="D483">
        <v>209.9</v>
      </c>
      <c r="E483">
        <v>19</v>
      </c>
      <c r="F483">
        <v>5.0999999999999996</v>
      </c>
      <c r="G483">
        <v>1</v>
      </c>
      <c r="H483" t="s">
        <v>1210</v>
      </c>
    </row>
    <row r="484" spans="1:8" x14ac:dyDescent="0.45">
      <c r="A484" t="s">
        <v>1126</v>
      </c>
      <c r="B484" t="s">
        <v>66</v>
      </c>
      <c r="C484">
        <v>7976</v>
      </c>
      <c r="D484">
        <v>550</v>
      </c>
      <c r="E484">
        <v>89</v>
      </c>
      <c r="F484">
        <v>1.1000000000000001</v>
      </c>
      <c r="G484">
        <v>0.2</v>
      </c>
      <c r="H484" t="s">
        <v>1210</v>
      </c>
    </row>
    <row r="485" spans="1:8" x14ac:dyDescent="0.45">
      <c r="A485" t="s">
        <v>1125</v>
      </c>
      <c r="B485" t="s">
        <v>58</v>
      </c>
      <c r="C485">
        <v>1421</v>
      </c>
      <c r="D485">
        <v>194.7</v>
      </c>
      <c r="E485">
        <v>28.8</v>
      </c>
      <c r="F485">
        <v>1.4</v>
      </c>
      <c r="G485">
        <v>1.2</v>
      </c>
      <c r="H485" t="s">
        <v>1210</v>
      </c>
    </row>
    <row r="486" spans="1:8" x14ac:dyDescent="0.45">
      <c r="A486" t="s">
        <v>1128</v>
      </c>
      <c r="B486" t="s">
        <v>52</v>
      </c>
      <c r="C486">
        <v>3990</v>
      </c>
      <c r="D486">
        <v>361.1</v>
      </c>
      <c r="E486">
        <v>139.19999999999999</v>
      </c>
      <c r="F486">
        <v>1.6</v>
      </c>
      <c r="G486">
        <v>0.5</v>
      </c>
      <c r="H486" t="s">
        <v>1210</v>
      </c>
    </row>
    <row r="487" spans="1:8" x14ac:dyDescent="0.45">
      <c r="A487" t="s">
        <v>1116</v>
      </c>
      <c r="B487" t="s">
        <v>58</v>
      </c>
      <c r="C487">
        <v>388</v>
      </c>
      <c r="D487">
        <v>293.89999999999998</v>
      </c>
      <c r="E487">
        <v>25.9</v>
      </c>
      <c r="F487">
        <v>4.2</v>
      </c>
      <c r="G487">
        <v>1.6</v>
      </c>
      <c r="H487" t="s">
        <v>1210</v>
      </c>
    </row>
    <row r="488" spans="1:8" x14ac:dyDescent="0.45">
      <c r="A488" t="s">
        <v>1116</v>
      </c>
      <c r="B488" t="s">
        <v>81</v>
      </c>
      <c r="C488">
        <v>2580</v>
      </c>
      <c r="D488">
        <v>293</v>
      </c>
      <c r="E488">
        <v>33.1</v>
      </c>
      <c r="F488">
        <v>6.7</v>
      </c>
      <c r="G488">
        <v>1.6</v>
      </c>
      <c r="H488" t="s">
        <v>1210</v>
      </c>
    </row>
    <row r="489" spans="1:8" x14ac:dyDescent="0.45">
      <c r="A489" t="s">
        <v>1125</v>
      </c>
      <c r="B489" t="s">
        <v>35</v>
      </c>
      <c r="C489">
        <v>3118</v>
      </c>
      <c r="D489">
        <v>395.1</v>
      </c>
      <c r="E489">
        <v>78.900000000000006</v>
      </c>
      <c r="F489">
        <v>2.7</v>
      </c>
      <c r="G489">
        <v>1.2</v>
      </c>
      <c r="H489" t="s">
        <v>1210</v>
      </c>
    </row>
    <row r="490" spans="1:8" x14ac:dyDescent="0.45">
      <c r="A490" t="s">
        <v>1118</v>
      </c>
      <c r="B490" t="s">
        <v>1132</v>
      </c>
      <c r="C490">
        <v>863</v>
      </c>
      <c r="D490">
        <v>329.4</v>
      </c>
      <c r="E490">
        <v>30.8</v>
      </c>
      <c r="F490">
        <v>2.7</v>
      </c>
      <c r="G490">
        <v>1.5</v>
      </c>
      <c r="H490" t="s">
        <v>1210</v>
      </c>
    </row>
    <row r="491" spans="1:8" x14ac:dyDescent="0.45">
      <c r="A491" t="s">
        <v>1128</v>
      </c>
      <c r="B491" t="s">
        <v>63</v>
      </c>
      <c r="C491">
        <v>9304</v>
      </c>
      <c r="D491">
        <v>750.7</v>
      </c>
      <c r="E491">
        <v>218.8</v>
      </c>
      <c r="F491">
        <v>1.7</v>
      </c>
      <c r="G491">
        <v>0.5</v>
      </c>
      <c r="H491" t="s">
        <v>1210</v>
      </c>
    </row>
    <row r="492" spans="1:8" x14ac:dyDescent="0.45">
      <c r="A492" t="s">
        <v>1119</v>
      </c>
      <c r="B492" t="s">
        <v>62</v>
      </c>
      <c r="C492">
        <v>867</v>
      </c>
      <c r="D492">
        <v>159.30000000000001</v>
      </c>
      <c r="E492">
        <v>21.2</v>
      </c>
      <c r="F492">
        <v>3.1</v>
      </c>
      <c r="G492">
        <v>1</v>
      </c>
      <c r="H492" t="s">
        <v>1210</v>
      </c>
    </row>
    <row r="493" spans="1:8" x14ac:dyDescent="0.45">
      <c r="A493" t="s">
        <v>1124</v>
      </c>
      <c r="B493" t="s">
        <v>22</v>
      </c>
      <c r="D493">
        <v>163.19999999999999</v>
      </c>
      <c r="E493">
        <v>83</v>
      </c>
      <c r="F493">
        <v>1.5</v>
      </c>
      <c r="G493">
        <v>0.3</v>
      </c>
    </row>
    <row r="494" spans="1:8" x14ac:dyDescent="0.45">
      <c r="A494" t="s">
        <v>1118</v>
      </c>
      <c r="B494" t="s">
        <v>20</v>
      </c>
      <c r="C494">
        <v>999999</v>
      </c>
      <c r="D494">
        <v>258.3</v>
      </c>
      <c r="E494">
        <v>45.5</v>
      </c>
      <c r="F494">
        <v>5.4</v>
      </c>
      <c r="G494">
        <v>1.5</v>
      </c>
      <c r="H494" t="s">
        <v>1211</v>
      </c>
    </row>
    <row r="495" spans="1:8" x14ac:dyDescent="0.45">
      <c r="A495" t="s">
        <v>1126</v>
      </c>
      <c r="B495" t="s">
        <v>61</v>
      </c>
      <c r="C495">
        <v>3423</v>
      </c>
      <c r="D495">
        <v>345.5</v>
      </c>
      <c r="E495">
        <v>59.2</v>
      </c>
      <c r="F495">
        <v>0.9</v>
      </c>
      <c r="G495">
        <v>0.2</v>
      </c>
      <c r="H495" t="s">
        <v>1210</v>
      </c>
    </row>
    <row r="496" spans="1:8" x14ac:dyDescent="0.45">
      <c r="A496" t="s">
        <v>1123</v>
      </c>
      <c r="B496" t="s">
        <v>97</v>
      </c>
      <c r="C496">
        <v>3175</v>
      </c>
      <c r="D496">
        <v>285.60000000000002</v>
      </c>
      <c r="E496">
        <v>117.1</v>
      </c>
      <c r="F496">
        <v>1.1000000000000001</v>
      </c>
      <c r="G496">
        <v>0.3</v>
      </c>
      <c r="H496" t="s">
        <v>1210</v>
      </c>
    </row>
    <row r="497" spans="1:8" x14ac:dyDescent="0.45">
      <c r="A497" t="s">
        <v>1120</v>
      </c>
      <c r="B497" t="s">
        <v>83</v>
      </c>
      <c r="C497">
        <v>2132</v>
      </c>
      <c r="D497">
        <v>416.6</v>
      </c>
      <c r="E497">
        <v>115.2</v>
      </c>
      <c r="F497">
        <v>2.6</v>
      </c>
      <c r="G497">
        <v>0.5</v>
      </c>
      <c r="H497" t="s">
        <v>1210</v>
      </c>
    </row>
    <row r="498" spans="1:8" x14ac:dyDescent="0.45">
      <c r="A498" t="s">
        <v>1117</v>
      </c>
      <c r="B498" t="s">
        <v>87</v>
      </c>
      <c r="C498">
        <v>2134</v>
      </c>
      <c r="D498">
        <v>301.89999999999998</v>
      </c>
      <c r="E498">
        <v>37.700000000000003</v>
      </c>
      <c r="F498">
        <v>1.4</v>
      </c>
      <c r="G498">
        <v>0.5</v>
      </c>
      <c r="H498" t="s">
        <v>1210</v>
      </c>
    </row>
    <row r="499" spans="1:8" x14ac:dyDescent="0.45">
      <c r="A499" t="s">
        <v>1120</v>
      </c>
      <c r="B499" t="s">
        <v>52</v>
      </c>
      <c r="C499">
        <v>2542</v>
      </c>
      <c r="D499">
        <v>242.8</v>
      </c>
      <c r="E499">
        <v>66.8</v>
      </c>
      <c r="F499">
        <v>2</v>
      </c>
      <c r="G499">
        <v>0.5</v>
      </c>
      <c r="H499" t="s">
        <v>1210</v>
      </c>
    </row>
    <row r="500" spans="1:8" x14ac:dyDescent="0.45">
      <c r="A500" t="s">
        <v>1124</v>
      </c>
      <c r="B500" t="s">
        <v>66</v>
      </c>
      <c r="C500">
        <v>4220</v>
      </c>
      <c r="D500">
        <v>432.8</v>
      </c>
      <c r="E500">
        <v>46.9</v>
      </c>
      <c r="F500">
        <v>1.1000000000000001</v>
      </c>
      <c r="G500">
        <v>0.3</v>
      </c>
      <c r="H500" t="s">
        <v>1210</v>
      </c>
    </row>
    <row r="501" spans="1:8" x14ac:dyDescent="0.45">
      <c r="A501" t="s">
        <v>1119</v>
      </c>
      <c r="B501" t="s">
        <v>69</v>
      </c>
      <c r="C501">
        <v>5194</v>
      </c>
      <c r="E501">
        <v>347.4</v>
      </c>
      <c r="F501">
        <v>3.3</v>
      </c>
      <c r="G501">
        <v>1</v>
      </c>
      <c r="H501" t="s">
        <v>1210</v>
      </c>
    </row>
    <row r="502" spans="1:8" x14ac:dyDescent="0.45">
      <c r="A502" t="s">
        <v>1128</v>
      </c>
      <c r="B502" t="s">
        <v>12</v>
      </c>
      <c r="C502">
        <v>1073</v>
      </c>
      <c r="D502">
        <v>351.8</v>
      </c>
      <c r="E502">
        <v>42.4</v>
      </c>
      <c r="F502">
        <v>3.3</v>
      </c>
      <c r="G502">
        <v>0.5</v>
      </c>
      <c r="H502" t="s">
        <v>1210</v>
      </c>
    </row>
    <row r="503" spans="1:8" x14ac:dyDescent="0.45">
      <c r="A503" t="s">
        <v>1114</v>
      </c>
      <c r="B503" t="s">
        <v>66</v>
      </c>
      <c r="C503">
        <v>1070</v>
      </c>
      <c r="D503">
        <v>327.7</v>
      </c>
      <c r="E503">
        <v>59.2</v>
      </c>
      <c r="F503">
        <v>3.5</v>
      </c>
      <c r="G503">
        <v>1.3</v>
      </c>
      <c r="H503" t="s">
        <v>1210</v>
      </c>
    </row>
    <row r="504" spans="1:8" x14ac:dyDescent="0.45">
      <c r="A504" t="s">
        <v>1127</v>
      </c>
      <c r="B504" t="s">
        <v>1130</v>
      </c>
      <c r="D504">
        <v>190.8</v>
      </c>
      <c r="E504">
        <v>122.6</v>
      </c>
      <c r="F504">
        <v>2.6</v>
      </c>
      <c r="G504">
        <v>0.9</v>
      </c>
    </row>
    <row r="505" spans="1:8" x14ac:dyDescent="0.45">
      <c r="A505" t="s">
        <v>1125</v>
      </c>
      <c r="B505" t="s">
        <v>77</v>
      </c>
      <c r="C505">
        <v>907</v>
      </c>
      <c r="E505">
        <v>113.6</v>
      </c>
      <c r="F505">
        <v>5.3</v>
      </c>
      <c r="G505">
        <v>1.2</v>
      </c>
      <c r="H505" t="s">
        <v>1210</v>
      </c>
    </row>
    <row r="506" spans="1:8" x14ac:dyDescent="0.45">
      <c r="A506" t="s">
        <v>1128</v>
      </c>
      <c r="B506" t="s">
        <v>1132</v>
      </c>
      <c r="C506">
        <v>1800</v>
      </c>
      <c r="D506">
        <v>489.3</v>
      </c>
      <c r="E506">
        <v>65.900000000000006</v>
      </c>
      <c r="F506">
        <v>2</v>
      </c>
      <c r="G506">
        <v>0.5</v>
      </c>
      <c r="H506" t="s">
        <v>1210</v>
      </c>
    </row>
    <row r="507" spans="1:8" x14ac:dyDescent="0.45">
      <c r="A507" t="s">
        <v>1114</v>
      </c>
      <c r="B507" t="s">
        <v>43</v>
      </c>
      <c r="C507">
        <v>7416</v>
      </c>
      <c r="D507">
        <v>566.79999999999995</v>
      </c>
      <c r="E507">
        <v>287.5</v>
      </c>
      <c r="F507">
        <v>5.0999999999999996</v>
      </c>
      <c r="G507">
        <v>1.3</v>
      </c>
      <c r="H507" t="s">
        <v>1210</v>
      </c>
    </row>
    <row r="508" spans="1:8" x14ac:dyDescent="0.45">
      <c r="A508" t="s">
        <v>1118</v>
      </c>
      <c r="B508" t="s">
        <v>101</v>
      </c>
      <c r="C508">
        <v>6908</v>
      </c>
      <c r="D508">
        <v>402.5</v>
      </c>
      <c r="E508">
        <v>81.400000000000006</v>
      </c>
      <c r="F508">
        <v>5.2</v>
      </c>
      <c r="G508">
        <v>1.5</v>
      </c>
      <c r="H508" t="s">
        <v>1210</v>
      </c>
    </row>
    <row r="509" spans="1:8" x14ac:dyDescent="0.45">
      <c r="A509" t="s">
        <v>1123</v>
      </c>
      <c r="B509" t="s">
        <v>39</v>
      </c>
      <c r="C509">
        <v>869</v>
      </c>
      <c r="D509">
        <v>251.3</v>
      </c>
      <c r="E509">
        <v>47.9</v>
      </c>
      <c r="F509">
        <v>1.3</v>
      </c>
      <c r="G509">
        <v>0.3</v>
      </c>
      <c r="H509" t="s">
        <v>1210</v>
      </c>
    </row>
    <row r="510" spans="1:8" x14ac:dyDescent="0.45">
      <c r="A510" t="s">
        <v>1126</v>
      </c>
      <c r="B510" t="s">
        <v>95</v>
      </c>
      <c r="C510">
        <v>9565</v>
      </c>
      <c r="D510">
        <v>556</v>
      </c>
      <c r="E510">
        <v>64.5</v>
      </c>
      <c r="F510">
        <v>1.1000000000000001</v>
      </c>
      <c r="G510">
        <v>0.2</v>
      </c>
      <c r="H510" t="s">
        <v>1210</v>
      </c>
    </row>
    <row r="511" spans="1:8" x14ac:dyDescent="0.45">
      <c r="A511" t="s">
        <v>1127</v>
      </c>
      <c r="B511" t="s">
        <v>40</v>
      </c>
      <c r="C511">
        <v>1300</v>
      </c>
      <c r="E511">
        <v>19.100000000000001</v>
      </c>
      <c r="F511">
        <v>2.9</v>
      </c>
      <c r="G511">
        <v>0.9</v>
      </c>
      <c r="H511" t="s">
        <v>1210</v>
      </c>
    </row>
    <row r="512" spans="1:8" x14ac:dyDescent="0.45">
      <c r="A512" t="s">
        <v>1128</v>
      </c>
      <c r="B512" t="s">
        <v>95</v>
      </c>
      <c r="C512">
        <v>587</v>
      </c>
      <c r="D512">
        <v>142.4</v>
      </c>
      <c r="E512">
        <v>15.3</v>
      </c>
      <c r="F512">
        <v>2</v>
      </c>
      <c r="G512">
        <v>0.5</v>
      </c>
      <c r="H512" t="s">
        <v>1210</v>
      </c>
    </row>
    <row r="513" spans="1:8" x14ac:dyDescent="0.45">
      <c r="A513" t="s">
        <v>1123</v>
      </c>
      <c r="B513" t="s">
        <v>40</v>
      </c>
      <c r="C513">
        <v>2336</v>
      </c>
      <c r="D513">
        <v>403.1</v>
      </c>
      <c r="E513">
        <v>42.3</v>
      </c>
      <c r="F513">
        <v>1</v>
      </c>
      <c r="G513">
        <v>0.3</v>
      </c>
      <c r="H513" t="s">
        <v>1210</v>
      </c>
    </row>
    <row r="514" spans="1:8" x14ac:dyDescent="0.45">
      <c r="A514" t="s">
        <v>1121</v>
      </c>
      <c r="B514" t="s">
        <v>24</v>
      </c>
      <c r="C514">
        <v>3341</v>
      </c>
      <c r="D514">
        <v>465.6</v>
      </c>
      <c r="E514">
        <v>120.7</v>
      </c>
      <c r="F514">
        <v>1.5</v>
      </c>
      <c r="G514">
        <v>0.4</v>
      </c>
      <c r="H514" t="s">
        <v>1210</v>
      </c>
    </row>
    <row r="515" spans="1:8" x14ac:dyDescent="0.45">
      <c r="A515" t="s">
        <v>1120</v>
      </c>
      <c r="B515" t="s">
        <v>87</v>
      </c>
      <c r="C515">
        <v>4732</v>
      </c>
      <c r="D515">
        <v>601.70000000000005</v>
      </c>
      <c r="E515">
        <v>69.400000000000006</v>
      </c>
      <c r="F515">
        <v>1.5</v>
      </c>
      <c r="G515">
        <v>0.5</v>
      </c>
      <c r="H515" t="s">
        <v>1210</v>
      </c>
    </row>
    <row r="516" spans="1:8" x14ac:dyDescent="0.45">
      <c r="A516" t="s">
        <v>1125</v>
      </c>
      <c r="B516" t="s">
        <v>92</v>
      </c>
      <c r="C516">
        <v>1025</v>
      </c>
      <c r="D516">
        <v>150.80000000000001</v>
      </c>
      <c r="E516">
        <v>46.8</v>
      </c>
      <c r="F516">
        <v>2.1</v>
      </c>
      <c r="G516">
        <v>1.2</v>
      </c>
      <c r="H516" t="s">
        <v>1210</v>
      </c>
    </row>
    <row r="517" spans="1:8" x14ac:dyDescent="0.45">
      <c r="A517" t="s">
        <v>1128</v>
      </c>
      <c r="B517" t="s">
        <v>1131</v>
      </c>
      <c r="C517">
        <v>968</v>
      </c>
      <c r="D517">
        <v>103</v>
      </c>
      <c r="E517">
        <v>49.2</v>
      </c>
      <c r="F517">
        <v>2.2999999999999998</v>
      </c>
      <c r="G517">
        <v>0.5</v>
      </c>
      <c r="H517" t="s">
        <v>1210</v>
      </c>
    </row>
    <row r="518" spans="1:8" x14ac:dyDescent="0.45">
      <c r="A518" t="s">
        <v>1115</v>
      </c>
      <c r="B518" t="s">
        <v>20</v>
      </c>
      <c r="C518">
        <v>6404</v>
      </c>
      <c r="D518">
        <v>405.6</v>
      </c>
      <c r="E518">
        <v>50.2</v>
      </c>
      <c r="F518">
        <v>2.1</v>
      </c>
      <c r="G518">
        <v>0.6</v>
      </c>
      <c r="H518" t="s">
        <v>1210</v>
      </c>
    </row>
    <row r="519" spans="1:8" x14ac:dyDescent="0.45">
      <c r="A519" t="s">
        <v>1114</v>
      </c>
      <c r="B519" t="s">
        <v>32</v>
      </c>
      <c r="C519">
        <v>1790</v>
      </c>
      <c r="D519">
        <v>243.7</v>
      </c>
      <c r="E519">
        <v>101.7</v>
      </c>
      <c r="F519">
        <v>5.5</v>
      </c>
      <c r="G519">
        <v>1.3</v>
      </c>
      <c r="H519" t="s">
        <v>1210</v>
      </c>
    </row>
    <row r="520" spans="1:8" x14ac:dyDescent="0.45">
      <c r="A520" t="s">
        <v>1120</v>
      </c>
      <c r="B520" t="s">
        <v>91</v>
      </c>
      <c r="C520">
        <v>1859</v>
      </c>
      <c r="D520">
        <v>720.2</v>
      </c>
      <c r="E520">
        <v>341.6</v>
      </c>
      <c r="F520">
        <v>2</v>
      </c>
      <c r="G520">
        <v>0.5</v>
      </c>
      <c r="H520" t="s">
        <v>1210</v>
      </c>
    </row>
    <row r="521" spans="1:8" x14ac:dyDescent="0.45">
      <c r="A521" t="s">
        <v>1122</v>
      </c>
      <c r="B521" t="s">
        <v>81</v>
      </c>
      <c r="C521">
        <v>552</v>
      </c>
      <c r="E521">
        <v>46.5</v>
      </c>
      <c r="F521">
        <v>0.9</v>
      </c>
      <c r="G521">
        <v>0.2</v>
      </c>
      <c r="H521" t="s">
        <v>1210</v>
      </c>
    </row>
    <row r="522" spans="1:8" x14ac:dyDescent="0.45">
      <c r="A522" t="s">
        <v>1127</v>
      </c>
      <c r="B522" t="s">
        <v>37</v>
      </c>
      <c r="C522">
        <v>2383</v>
      </c>
      <c r="D522">
        <v>588</v>
      </c>
      <c r="E522">
        <v>382.7</v>
      </c>
      <c r="F522">
        <v>4.2</v>
      </c>
      <c r="G522">
        <v>0.9</v>
      </c>
      <c r="H522" t="s">
        <v>1210</v>
      </c>
    </row>
    <row r="523" spans="1:8" x14ac:dyDescent="0.45">
      <c r="A523" t="s">
        <v>1117</v>
      </c>
      <c r="B523" t="s">
        <v>30</v>
      </c>
      <c r="C523">
        <v>6595</v>
      </c>
      <c r="D523">
        <v>552.29999999999995</v>
      </c>
      <c r="E523">
        <v>113.9</v>
      </c>
      <c r="F523">
        <v>2.4</v>
      </c>
      <c r="G523">
        <v>0.5</v>
      </c>
      <c r="H523" t="s">
        <v>1210</v>
      </c>
    </row>
    <row r="524" spans="1:8" x14ac:dyDescent="0.45">
      <c r="A524" t="s">
        <v>1120</v>
      </c>
      <c r="B524" t="s">
        <v>1131</v>
      </c>
      <c r="C524">
        <v>10631</v>
      </c>
      <c r="D524">
        <v>651.6</v>
      </c>
      <c r="E524">
        <v>357.3</v>
      </c>
      <c r="F524">
        <v>2.1</v>
      </c>
      <c r="G524">
        <v>0.5</v>
      </c>
      <c r="H524" t="s">
        <v>1210</v>
      </c>
    </row>
    <row r="525" spans="1:8" x14ac:dyDescent="0.45">
      <c r="A525" t="s">
        <v>1124</v>
      </c>
      <c r="B525" t="s">
        <v>93</v>
      </c>
      <c r="C525">
        <v>3273</v>
      </c>
      <c r="D525">
        <v>333</v>
      </c>
      <c r="E525">
        <v>61.3</v>
      </c>
      <c r="F525">
        <v>0.6</v>
      </c>
      <c r="G525">
        <v>0.3</v>
      </c>
      <c r="H525" t="s">
        <v>1210</v>
      </c>
    </row>
    <row r="526" spans="1:8" x14ac:dyDescent="0.45">
      <c r="A526" t="s">
        <v>1123</v>
      </c>
      <c r="B526" t="s">
        <v>87</v>
      </c>
      <c r="C526">
        <v>2500</v>
      </c>
      <c r="D526">
        <v>384.1</v>
      </c>
      <c r="E526">
        <v>69.7</v>
      </c>
      <c r="F526">
        <v>1.1000000000000001</v>
      </c>
      <c r="G526">
        <v>0.3</v>
      </c>
      <c r="H526" t="s">
        <v>1210</v>
      </c>
    </row>
    <row r="527" spans="1:8" x14ac:dyDescent="0.45">
      <c r="A527" t="s">
        <v>1125</v>
      </c>
      <c r="B527" t="s">
        <v>1129</v>
      </c>
      <c r="C527">
        <v>8264</v>
      </c>
      <c r="D527">
        <v>518.79999999999995</v>
      </c>
      <c r="E527">
        <v>146.30000000000001</v>
      </c>
      <c r="F527">
        <v>3.1</v>
      </c>
      <c r="G527">
        <v>1.2</v>
      </c>
      <c r="H527" t="s">
        <v>1210</v>
      </c>
    </row>
    <row r="528" spans="1:8" x14ac:dyDescent="0.45">
      <c r="A528" t="s">
        <v>1116</v>
      </c>
      <c r="B528" t="s">
        <v>60</v>
      </c>
      <c r="C528">
        <v>702</v>
      </c>
      <c r="D528">
        <v>328.8</v>
      </c>
      <c r="E528">
        <v>64.900000000000006</v>
      </c>
      <c r="F528">
        <v>3</v>
      </c>
      <c r="G528">
        <v>1.6</v>
      </c>
      <c r="H528" t="s">
        <v>1210</v>
      </c>
    </row>
    <row r="529" spans="1:8" x14ac:dyDescent="0.45">
      <c r="A529" t="s">
        <v>1118</v>
      </c>
      <c r="B529" t="s">
        <v>42</v>
      </c>
      <c r="C529">
        <v>184</v>
      </c>
      <c r="D529">
        <v>261.10000000000002</v>
      </c>
      <c r="E529">
        <v>91.4</v>
      </c>
      <c r="F529">
        <v>4.8</v>
      </c>
      <c r="G529">
        <v>1.5</v>
      </c>
      <c r="H529" t="s">
        <v>1210</v>
      </c>
    </row>
    <row r="530" spans="1:8" x14ac:dyDescent="0.45">
      <c r="A530" t="s">
        <v>1125</v>
      </c>
      <c r="B530" t="s">
        <v>87</v>
      </c>
      <c r="C530">
        <v>2586</v>
      </c>
      <c r="D530">
        <v>251.4</v>
      </c>
      <c r="E530">
        <v>32</v>
      </c>
      <c r="F530">
        <v>2.6</v>
      </c>
      <c r="G530">
        <v>1.2</v>
      </c>
      <c r="H530" t="s">
        <v>1210</v>
      </c>
    </row>
    <row r="531" spans="1:8" x14ac:dyDescent="0.45">
      <c r="A531" t="s">
        <v>1114</v>
      </c>
      <c r="B531" t="s">
        <v>28</v>
      </c>
      <c r="C531">
        <v>2917</v>
      </c>
      <c r="D531">
        <v>285.89999999999998</v>
      </c>
      <c r="E531">
        <v>121.3</v>
      </c>
      <c r="F531">
        <v>6</v>
      </c>
      <c r="G531">
        <v>1.3</v>
      </c>
      <c r="H531" t="s">
        <v>1210</v>
      </c>
    </row>
    <row r="532" spans="1:8" x14ac:dyDescent="0.45">
      <c r="A532" t="s">
        <v>1121</v>
      </c>
      <c r="B532" t="s">
        <v>30</v>
      </c>
      <c r="C532">
        <v>2192</v>
      </c>
      <c r="D532">
        <v>381.9</v>
      </c>
      <c r="E532">
        <v>88.5</v>
      </c>
      <c r="F532">
        <v>2</v>
      </c>
      <c r="G532">
        <v>0.4</v>
      </c>
      <c r="H532" t="s">
        <v>1210</v>
      </c>
    </row>
    <row r="533" spans="1:8" x14ac:dyDescent="0.45">
      <c r="A533" t="s">
        <v>1123</v>
      </c>
      <c r="B533" t="s">
        <v>52</v>
      </c>
      <c r="C533">
        <v>1423</v>
      </c>
      <c r="D533">
        <v>181.8</v>
      </c>
      <c r="E533">
        <v>53</v>
      </c>
      <c r="F533">
        <v>0.8</v>
      </c>
      <c r="G533">
        <v>0.3</v>
      </c>
      <c r="H533" t="s">
        <v>1210</v>
      </c>
    </row>
    <row r="534" spans="1:8" x14ac:dyDescent="0.45">
      <c r="A534" t="s">
        <v>1127</v>
      </c>
      <c r="B534" t="s">
        <v>1141</v>
      </c>
      <c r="C534">
        <v>977</v>
      </c>
      <c r="D534">
        <v>345.7</v>
      </c>
      <c r="E534">
        <v>45.5</v>
      </c>
      <c r="F534">
        <v>2.5</v>
      </c>
      <c r="G534">
        <v>0.9</v>
      </c>
      <c r="H534" t="s">
        <v>1210</v>
      </c>
    </row>
    <row r="535" spans="1:8" x14ac:dyDescent="0.45">
      <c r="A535" t="s">
        <v>1119</v>
      </c>
      <c r="B535" t="s">
        <v>109</v>
      </c>
      <c r="C535">
        <v>10686</v>
      </c>
      <c r="D535">
        <v>687.5</v>
      </c>
      <c r="E535">
        <v>334</v>
      </c>
      <c r="F535">
        <v>3.3</v>
      </c>
      <c r="G535">
        <v>1</v>
      </c>
      <c r="H535" t="s">
        <v>1210</v>
      </c>
    </row>
    <row r="536" spans="1:8" x14ac:dyDescent="0.45">
      <c r="A536" t="s">
        <v>1122</v>
      </c>
      <c r="B536" t="s">
        <v>47</v>
      </c>
      <c r="C536">
        <v>3838</v>
      </c>
      <c r="D536">
        <v>472.5</v>
      </c>
      <c r="E536">
        <v>44</v>
      </c>
      <c r="F536">
        <v>1</v>
      </c>
      <c r="G536">
        <v>0.2</v>
      </c>
      <c r="H536" t="s">
        <v>1210</v>
      </c>
    </row>
    <row r="537" spans="1:8" x14ac:dyDescent="0.45">
      <c r="A537" t="s">
        <v>1127</v>
      </c>
      <c r="B537" t="s">
        <v>70</v>
      </c>
      <c r="C537">
        <v>865</v>
      </c>
      <c r="D537">
        <v>399</v>
      </c>
      <c r="E537">
        <v>106.7</v>
      </c>
      <c r="F537">
        <v>2</v>
      </c>
      <c r="G537">
        <v>0.9</v>
      </c>
      <c r="H537" t="s">
        <v>1210</v>
      </c>
    </row>
    <row r="538" spans="1:8" x14ac:dyDescent="0.45">
      <c r="A538" t="s">
        <v>1117</v>
      </c>
      <c r="B538" t="s">
        <v>105</v>
      </c>
      <c r="C538">
        <v>2830</v>
      </c>
      <c r="D538">
        <v>533.20000000000005</v>
      </c>
      <c r="E538">
        <v>84</v>
      </c>
      <c r="F538">
        <v>2.2000000000000002</v>
      </c>
      <c r="G538">
        <v>0.5</v>
      </c>
      <c r="H538" t="s">
        <v>1210</v>
      </c>
    </row>
    <row r="539" spans="1:8" x14ac:dyDescent="0.45">
      <c r="A539" t="s">
        <v>1127</v>
      </c>
      <c r="B539" t="s">
        <v>85</v>
      </c>
      <c r="C539">
        <v>327</v>
      </c>
      <c r="D539">
        <v>113.7</v>
      </c>
      <c r="E539">
        <v>73.7</v>
      </c>
      <c r="F539">
        <v>2.7</v>
      </c>
      <c r="G539">
        <v>0.9</v>
      </c>
      <c r="H539" t="s">
        <v>1210</v>
      </c>
    </row>
    <row r="540" spans="1:8" x14ac:dyDescent="0.45">
      <c r="A540" t="s">
        <v>1126</v>
      </c>
      <c r="B540" t="s">
        <v>77</v>
      </c>
      <c r="C540">
        <v>2090</v>
      </c>
      <c r="D540">
        <v>174.7</v>
      </c>
      <c r="E540">
        <v>47.1</v>
      </c>
      <c r="F540">
        <v>1.1000000000000001</v>
      </c>
      <c r="G540">
        <v>0.2</v>
      </c>
      <c r="H540" t="s">
        <v>1210</v>
      </c>
    </row>
    <row r="541" spans="1:8" x14ac:dyDescent="0.45">
      <c r="A541" t="s">
        <v>1125</v>
      </c>
      <c r="B541" t="s">
        <v>101</v>
      </c>
      <c r="C541">
        <v>6910</v>
      </c>
      <c r="D541">
        <v>630.4</v>
      </c>
      <c r="E541">
        <v>96.6</v>
      </c>
      <c r="F541">
        <v>4.3</v>
      </c>
      <c r="G541">
        <v>1.2</v>
      </c>
      <c r="H541" t="s">
        <v>1210</v>
      </c>
    </row>
    <row r="542" spans="1:8" x14ac:dyDescent="0.45">
      <c r="A542" t="s">
        <v>1124</v>
      </c>
      <c r="B542" t="s">
        <v>74</v>
      </c>
      <c r="C542">
        <v>767</v>
      </c>
      <c r="D542">
        <v>291.7</v>
      </c>
      <c r="E542">
        <v>197.8</v>
      </c>
      <c r="F542">
        <v>0.8</v>
      </c>
      <c r="G542">
        <v>0.3</v>
      </c>
      <c r="H542" t="s">
        <v>1210</v>
      </c>
    </row>
    <row r="543" spans="1:8" x14ac:dyDescent="0.45">
      <c r="A543" t="s">
        <v>1124</v>
      </c>
      <c r="B543" t="s">
        <v>23</v>
      </c>
      <c r="C543">
        <v>4315</v>
      </c>
      <c r="D543">
        <v>330.5</v>
      </c>
      <c r="E543">
        <v>109.2</v>
      </c>
      <c r="F543">
        <v>0.9</v>
      </c>
      <c r="G543">
        <v>0.3</v>
      </c>
      <c r="H543" t="s">
        <v>1210</v>
      </c>
    </row>
    <row r="544" spans="1:8" x14ac:dyDescent="0.45">
      <c r="A544" t="s">
        <v>1122</v>
      </c>
      <c r="B544" t="s">
        <v>105</v>
      </c>
      <c r="C544">
        <v>1128</v>
      </c>
      <c r="D544">
        <v>514.29999999999995</v>
      </c>
      <c r="E544">
        <v>98</v>
      </c>
      <c r="F544">
        <v>1.2</v>
      </c>
      <c r="G544">
        <v>0.2</v>
      </c>
      <c r="H544" t="s">
        <v>1210</v>
      </c>
    </row>
    <row r="545" spans="1:8" x14ac:dyDescent="0.45">
      <c r="A545" t="s">
        <v>1116</v>
      </c>
      <c r="B545" t="s">
        <v>10</v>
      </c>
      <c r="D545">
        <v>402.3</v>
      </c>
      <c r="E545">
        <v>66.8</v>
      </c>
      <c r="F545">
        <v>3</v>
      </c>
      <c r="G545">
        <v>1.6</v>
      </c>
    </row>
    <row r="546" spans="1:8" x14ac:dyDescent="0.45">
      <c r="A546" t="s">
        <v>1123</v>
      </c>
      <c r="B546" t="s">
        <v>1133</v>
      </c>
      <c r="C546">
        <v>3505</v>
      </c>
      <c r="D546">
        <v>234.2</v>
      </c>
      <c r="E546">
        <v>48.4</v>
      </c>
      <c r="F546">
        <v>1</v>
      </c>
      <c r="G546">
        <v>0.3</v>
      </c>
      <c r="H546" t="s">
        <v>1210</v>
      </c>
    </row>
    <row r="547" spans="1:8" x14ac:dyDescent="0.45">
      <c r="A547" t="s">
        <v>1119</v>
      </c>
      <c r="B547" t="s">
        <v>49</v>
      </c>
      <c r="C547">
        <v>2049</v>
      </c>
      <c r="D547">
        <v>213.6</v>
      </c>
      <c r="E547">
        <v>22.1</v>
      </c>
      <c r="F547">
        <v>3.8</v>
      </c>
      <c r="G547">
        <v>1</v>
      </c>
      <c r="H547" t="s">
        <v>1210</v>
      </c>
    </row>
    <row r="548" spans="1:8" x14ac:dyDescent="0.45">
      <c r="A548" t="s">
        <v>1116</v>
      </c>
      <c r="B548" t="s">
        <v>18</v>
      </c>
      <c r="C548">
        <v>827</v>
      </c>
      <c r="D548">
        <v>253.9</v>
      </c>
      <c r="E548">
        <v>48.6</v>
      </c>
      <c r="F548">
        <v>6</v>
      </c>
      <c r="G548">
        <v>1.6</v>
      </c>
      <c r="H548" t="s">
        <v>1210</v>
      </c>
    </row>
    <row r="549" spans="1:8" x14ac:dyDescent="0.45">
      <c r="A549" t="s">
        <v>1120</v>
      </c>
      <c r="B549" t="s">
        <v>70</v>
      </c>
      <c r="C549">
        <v>6273</v>
      </c>
      <c r="D549">
        <v>410.5</v>
      </c>
      <c r="E549">
        <v>92.6</v>
      </c>
      <c r="F549">
        <v>1.2</v>
      </c>
      <c r="G549">
        <v>0.5</v>
      </c>
      <c r="H549" t="s">
        <v>1210</v>
      </c>
    </row>
    <row r="550" spans="1:8" x14ac:dyDescent="0.45">
      <c r="A550" t="s">
        <v>1126</v>
      </c>
      <c r="B550" t="s">
        <v>52</v>
      </c>
      <c r="C550">
        <v>1439</v>
      </c>
      <c r="D550">
        <v>242.7</v>
      </c>
      <c r="E550">
        <v>83.2</v>
      </c>
      <c r="F550">
        <v>0.9</v>
      </c>
      <c r="G550">
        <v>0.2</v>
      </c>
      <c r="H550" t="s">
        <v>1210</v>
      </c>
    </row>
    <row r="551" spans="1:8" x14ac:dyDescent="0.45">
      <c r="A551" t="s">
        <v>1124</v>
      </c>
      <c r="B551" t="s">
        <v>71</v>
      </c>
      <c r="C551">
        <v>1774</v>
      </c>
      <c r="D551">
        <v>294.89999999999998</v>
      </c>
      <c r="E551">
        <v>42.5</v>
      </c>
      <c r="F551">
        <v>1.4</v>
      </c>
      <c r="G551">
        <v>0.3</v>
      </c>
      <c r="H551" t="s">
        <v>1210</v>
      </c>
    </row>
    <row r="552" spans="1:8" x14ac:dyDescent="0.45">
      <c r="A552" t="s">
        <v>1122</v>
      </c>
      <c r="B552" t="s">
        <v>41</v>
      </c>
      <c r="C552">
        <v>1093</v>
      </c>
      <c r="D552">
        <v>284.2</v>
      </c>
      <c r="E552">
        <v>120.5</v>
      </c>
      <c r="F552">
        <v>1.1000000000000001</v>
      </c>
      <c r="G552">
        <v>0.2</v>
      </c>
      <c r="H552" t="s">
        <v>1210</v>
      </c>
    </row>
    <row r="553" spans="1:8" x14ac:dyDescent="0.45">
      <c r="A553" t="s">
        <v>1114</v>
      </c>
      <c r="B553" t="s">
        <v>63</v>
      </c>
      <c r="C553">
        <v>1163</v>
      </c>
      <c r="D553">
        <v>363.2</v>
      </c>
      <c r="E553">
        <v>89.3</v>
      </c>
      <c r="F553">
        <v>4.3</v>
      </c>
      <c r="G553">
        <v>1.3</v>
      </c>
      <c r="H553" t="s">
        <v>1210</v>
      </c>
    </row>
    <row r="554" spans="1:8" x14ac:dyDescent="0.45">
      <c r="A554" t="s">
        <v>1118</v>
      </c>
      <c r="B554" t="s">
        <v>109</v>
      </c>
      <c r="C554">
        <v>651</v>
      </c>
      <c r="D554">
        <v>95</v>
      </c>
      <c r="E554">
        <v>52.9</v>
      </c>
      <c r="F554">
        <v>3.9</v>
      </c>
      <c r="G554">
        <v>1.5</v>
      </c>
      <c r="H554" t="s">
        <v>1210</v>
      </c>
    </row>
    <row r="555" spans="1:8" x14ac:dyDescent="0.45">
      <c r="A555" t="s">
        <v>1121</v>
      </c>
      <c r="B555" t="s">
        <v>45</v>
      </c>
      <c r="D555">
        <v>363.2</v>
      </c>
      <c r="E555">
        <v>66</v>
      </c>
      <c r="F555">
        <v>2.2999999999999998</v>
      </c>
      <c r="G555">
        <v>0.4</v>
      </c>
    </row>
    <row r="556" spans="1:8" x14ac:dyDescent="0.45">
      <c r="A556" t="s">
        <v>1127</v>
      </c>
      <c r="B556" t="s">
        <v>12</v>
      </c>
      <c r="C556">
        <v>445</v>
      </c>
      <c r="D556">
        <v>376.7</v>
      </c>
      <c r="E556">
        <v>40.5</v>
      </c>
      <c r="F556">
        <v>2.4</v>
      </c>
      <c r="G556">
        <v>0.9</v>
      </c>
      <c r="H556" t="s">
        <v>1210</v>
      </c>
    </row>
    <row r="557" spans="1:8" x14ac:dyDescent="0.45">
      <c r="A557" t="s">
        <v>1114</v>
      </c>
      <c r="B557" t="s">
        <v>55</v>
      </c>
      <c r="C557">
        <v>5601</v>
      </c>
      <c r="D557">
        <v>702.7</v>
      </c>
      <c r="E557">
        <v>162.4</v>
      </c>
      <c r="F557">
        <v>3.9</v>
      </c>
      <c r="G557">
        <v>1.3</v>
      </c>
      <c r="H557" t="s">
        <v>1210</v>
      </c>
    </row>
    <row r="558" spans="1:8" x14ac:dyDescent="0.45">
      <c r="A558" t="s">
        <v>1118</v>
      </c>
      <c r="B558" t="s">
        <v>92</v>
      </c>
      <c r="C558">
        <v>4628</v>
      </c>
      <c r="D558">
        <v>267.10000000000002</v>
      </c>
      <c r="E558">
        <v>74.599999999999994</v>
      </c>
      <c r="F558">
        <v>3.4</v>
      </c>
      <c r="G558">
        <v>1.5</v>
      </c>
      <c r="H558" t="s">
        <v>1210</v>
      </c>
    </row>
    <row r="559" spans="1:8" x14ac:dyDescent="0.45">
      <c r="A559" t="s">
        <v>1123</v>
      </c>
      <c r="B559" t="s">
        <v>91</v>
      </c>
      <c r="C559">
        <v>3299</v>
      </c>
      <c r="D559">
        <v>269.2</v>
      </c>
      <c r="E559">
        <v>165.8</v>
      </c>
      <c r="F559">
        <v>0.9</v>
      </c>
      <c r="G559">
        <v>0.3</v>
      </c>
      <c r="H559" t="s">
        <v>1210</v>
      </c>
    </row>
    <row r="560" spans="1:8" x14ac:dyDescent="0.45">
      <c r="A560" t="s">
        <v>1122</v>
      </c>
      <c r="B560" t="s">
        <v>27</v>
      </c>
      <c r="C560">
        <v>6986</v>
      </c>
      <c r="D560">
        <v>483</v>
      </c>
      <c r="E560">
        <v>196</v>
      </c>
      <c r="F560">
        <v>1.4</v>
      </c>
      <c r="G560">
        <v>0.2</v>
      </c>
      <c r="H560" t="s">
        <v>1210</v>
      </c>
    </row>
    <row r="561" spans="1:8" x14ac:dyDescent="0.45">
      <c r="A561" t="s">
        <v>1128</v>
      </c>
      <c r="B561" t="s">
        <v>47</v>
      </c>
      <c r="C561">
        <v>3821</v>
      </c>
      <c r="D561">
        <v>430.1</v>
      </c>
      <c r="E561">
        <v>37.9</v>
      </c>
      <c r="F561">
        <v>2.2000000000000002</v>
      </c>
      <c r="G561">
        <v>0.5</v>
      </c>
      <c r="H561" t="s">
        <v>1210</v>
      </c>
    </row>
    <row r="562" spans="1:8" x14ac:dyDescent="0.45">
      <c r="A562" t="s">
        <v>1128</v>
      </c>
      <c r="B562" t="s">
        <v>36</v>
      </c>
      <c r="C562">
        <v>6116</v>
      </c>
      <c r="D562">
        <v>349.4</v>
      </c>
      <c r="E562">
        <v>91.4</v>
      </c>
      <c r="F562">
        <v>1.7</v>
      </c>
      <c r="G562">
        <v>0.5</v>
      </c>
      <c r="H562" t="s">
        <v>1210</v>
      </c>
    </row>
    <row r="563" spans="1:8" x14ac:dyDescent="0.45">
      <c r="A563" t="s">
        <v>1128</v>
      </c>
      <c r="B563" t="s">
        <v>23</v>
      </c>
      <c r="C563">
        <v>7372</v>
      </c>
      <c r="D563">
        <v>521.70000000000005</v>
      </c>
      <c r="E563">
        <v>234.2</v>
      </c>
      <c r="F563">
        <v>1.8</v>
      </c>
      <c r="G563">
        <v>0.5</v>
      </c>
      <c r="H563" t="s">
        <v>1210</v>
      </c>
    </row>
    <row r="564" spans="1:8" x14ac:dyDescent="0.45">
      <c r="A564" t="s">
        <v>1121</v>
      </c>
      <c r="B564" t="s">
        <v>87</v>
      </c>
      <c r="C564">
        <v>2474</v>
      </c>
      <c r="D564">
        <v>211.6</v>
      </c>
      <c r="E564">
        <v>23.9</v>
      </c>
      <c r="F564">
        <v>1.5</v>
      </c>
      <c r="G564">
        <v>0.4</v>
      </c>
      <c r="H564" t="s">
        <v>1210</v>
      </c>
    </row>
    <row r="565" spans="1:8" x14ac:dyDescent="0.45">
      <c r="A565" t="s">
        <v>1125</v>
      </c>
      <c r="B565" t="s">
        <v>1135</v>
      </c>
      <c r="C565">
        <v>362</v>
      </c>
      <c r="D565">
        <v>403.8</v>
      </c>
      <c r="E565">
        <v>49</v>
      </c>
      <c r="F565">
        <v>4.3</v>
      </c>
      <c r="G565">
        <v>1.2</v>
      </c>
      <c r="H565" t="s">
        <v>1210</v>
      </c>
    </row>
    <row r="566" spans="1:8" x14ac:dyDescent="0.45">
      <c r="A566" t="s">
        <v>1126</v>
      </c>
      <c r="B566" t="s">
        <v>57</v>
      </c>
      <c r="C566">
        <v>2403</v>
      </c>
      <c r="D566">
        <v>312.2</v>
      </c>
      <c r="E566">
        <v>38.6</v>
      </c>
      <c r="F566">
        <v>0.9</v>
      </c>
      <c r="G566">
        <v>0.2</v>
      </c>
      <c r="H566" t="s">
        <v>1210</v>
      </c>
    </row>
    <row r="567" spans="1:8" x14ac:dyDescent="0.45">
      <c r="A567" t="s">
        <v>1114</v>
      </c>
      <c r="B567" t="s">
        <v>7</v>
      </c>
      <c r="C567">
        <v>5875</v>
      </c>
      <c r="D567">
        <v>473.5</v>
      </c>
      <c r="E567">
        <v>43.1</v>
      </c>
      <c r="F567">
        <v>4.2</v>
      </c>
      <c r="G567">
        <v>1.3</v>
      </c>
      <c r="H567" t="s">
        <v>1210</v>
      </c>
    </row>
    <row r="568" spans="1:8" x14ac:dyDescent="0.45">
      <c r="A568" t="s">
        <v>1117</v>
      </c>
      <c r="B568" t="s">
        <v>50</v>
      </c>
      <c r="C568">
        <v>700</v>
      </c>
      <c r="D568">
        <v>138.9</v>
      </c>
      <c r="E568">
        <v>60</v>
      </c>
      <c r="F568">
        <v>2.1</v>
      </c>
      <c r="G568">
        <v>0.5</v>
      </c>
      <c r="H568" t="s">
        <v>1210</v>
      </c>
    </row>
    <row r="569" spans="1:8" x14ac:dyDescent="0.45">
      <c r="A569" t="s">
        <v>1128</v>
      </c>
      <c r="B569" t="s">
        <v>93</v>
      </c>
      <c r="C569">
        <v>1952</v>
      </c>
      <c r="D569">
        <v>307.10000000000002</v>
      </c>
      <c r="E569">
        <v>60.9</v>
      </c>
      <c r="F569">
        <v>1.4</v>
      </c>
      <c r="G569">
        <v>0.5</v>
      </c>
      <c r="H569" t="s">
        <v>1210</v>
      </c>
    </row>
    <row r="570" spans="1:8" x14ac:dyDescent="0.45">
      <c r="A570" t="s">
        <v>1125</v>
      </c>
      <c r="B570" t="s">
        <v>13</v>
      </c>
      <c r="C570">
        <v>6140</v>
      </c>
      <c r="D570">
        <v>405.4</v>
      </c>
      <c r="E570">
        <v>158.9</v>
      </c>
      <c r="F570">
        <v>3.6</v>
      </c>
      <c r="G570">
        <v>1.2</v>
      </c>
      <c r="H570" t="s">
        <v>1210</v>
      </c>
    </row>
    <row r="571" spans="1:8" x14ac:dyDescent="0.45">
      <c r="A571" t="s">
        <v>1126</v>
      </c>
      <c r="B571" t="s">
        <v>1136</v>
      </c>
      <c r="C571">
        <v>5033</v>
      </c>
      <c r="D571">
        <v>314.8</v>
      </c>
      <c r="E571">
        <v>145.30000000000001</v>
      </c>
      <c r="F571">
        <v>0.9</v>
      </c>
      <c r="G571">
        <v>0.2</v>
      </c>
      <c r="H571" t="s">
        <v>1210</v>
      </c>
    </row>
    <row r="572" spans="1:8" x14ac:dyDescent="0.45">
      <c r="A572" t="s">
        <v>1115</v>
      </c>
      <c r="B572" t="s">
        <v>54</v>
      </c>
      <c r="C572">
        <v>5265</v>
      </c>
      <c r="D572">
        <v>342.4</v>
      </c>
      <c r="E572">
        <v>41.4</v>
      </c>
      <c r="F572">
        <v>1.2</v>
      </c>
      <c r="G572">
        <v>0.6</v>
      </c>
      <c r="H572" t="s">
        <v>1210</v>
      </c>
    </row>
    <row r="573" spans="1:8" x14ac:dyDescent="0.45">
      <c r="A573" t="s">
        <v>1121</v>
      </c>
      <c r="B573" t="s">
        <v>66</v>
      </c>
      <c r="C573">
        <v>3171</v>
      </c>
      <c r="D573">
        <v>494.4</v>
      </c>
      <c r="E573">
        <v>70.7</v>
      </c>
      <c r="F573">
        <v>2.7</v>
      </c>
      <c r="G573">
        <v>0.4</v>
      </c>
      <c r="H573" t="s">
        <v>1210</v>
      </c>
    </row>
    <row r="574" spans="1:8" x14ac:dyDescent="0.45">
      <c r="A574" t="s">
        <v>1124</v>
      </c>
      <c r="B574" t="s">
        <v>42</v>
      </c>
      <c r="C574">
        <v>5003</v>
      </c>
      <c r="D574">
        <v>335</v>
      </c>
      <c r="E574">
        <v>109.3</v>
      </c>
      <c r="F574">
        <v>0.7</v>
      </c>
      <c r="G574">
        <v>0.3</v>
      </c>
      <c r="H574" t="s">
        <v>1210</v>
      </c>
    </row>
    <row r="575" spans="1:8" x14ac:dyDescent="0.45">
      <c r="A575" t="s">
        <v>1119</v>
      </c>
      <c r="B575" t="s">
        <v>42</v>
      </c>
      <c r="C575">
        <v>6719</v>
      </c>
      <c r="D575">
        <v>375</v>
      </c>
      <c r="E575">
        <v>98.1</v>
      </c>
      <c r="F575">
        <v>3.4</v>
      </c>
      <c r="G575">
        <v>1</v>
      </c>
      <c r="H575" t="s">
        <v>1210</v>
      </c>
    </row>
    <row r="576" spans="1:8" x14ac:dyDescent="0.45">
      <c r="A576" t="s">
        <v>1125</v>
      </c>
      <c r="B576" t="s">
        <v>84</v>
      </c>
      <c r="C576">
        <v>7711</v>
      </c>
      <c r="D576">
        <v>465.3</v>
      </c>
      <c r="E576">
        <v>142.4</v>
      </c>
      <c r="F576">
        <v>3.5</v>
      </c>
      <c r="G576">
        <v>1.2</v>
      </c>
      <c r="H576" t="s">
        <v>1210</v>
      </c>
    </row>
    <row r="577" spans="1:8" x14ac:dyDescent="0.45">
      <c r="A577" t="s">
        <v>1118</v>
      </c>
      <c r="B577" t="s">
        <v>97</v>
      </c>
      <c r="C577">
        <v>5787</v>
      </c>
      <c r="D577">
        <v>369.1</v>
      </c>
      <c r="E577">
        <v>184.4</v>
      </c>
      <c r="F577">
        <v>0.5</v>
      </c>
      <c r="G577">
        <v>1.5</v>
      </c>
      <c r="H577" t="s">
        <v>1210</v>
      </c>
    </row>
    <row r="578" spans="1:8" x14ac:dyDescent="0.45">
      <c r="A578" t="s">
        <v>1115</v>
      </c>
      <c r="B578" t="s">
        <v>109</v>
      </c>
      <c r="C578">
        <v>6496</v>
      </c>
      <c r="D578">
        <v>428.4</v>
      </c>
      <c r="E578">
        <v>295</v>
      </c>
      <c r="F578">
        <v>1.8</v>
      </c>
      <c r="G578">
        <v>0.6</v>
      </c>
      <c r="H578" t="s">
        <v>1210</v>
      </c>
    </row>
    <row r="579" spans="1:8" x14ac:dyDescent="0.45">
      <c r="A579" t="s">
        <v>1126</v>
      </c>
      <c r="B579" t="s">
        <v>97</v>
      </c>
      <c r="C579">
        <v>5347</v>
      </c>
      <c r="D579">
        <v>729.2</v>
      </c>
      <c r="E579">
        <v>380</v>
      </c>
      <c r="F579">
        <v>0.8</v>
      </c>
      <c r="G579">
        <v>0.2</v>
      </c>
      <c r="H579" t="s">
        <v>1210</v>
      </c>
    </row>
    <row r="580" spans="1:8" x14ac:dyDescent="0.45">
      <c r="A580" t="s">
        <v>1114</v>
      </c>
      <c r="B580" t="s">
        <v>22</v>
      </c>
      <c r="C580">
        <v>5372</v>
      </c>
      <c r="D580">
        <v>503.1</v>
      </c>
      <c r="E580">
        <v>215.7</v>
      </c>
      <c r="F580">
        <v>4.9000000000000004</v>
      </c>
      <c r="G580">
        <v>1.3</v>
      </c>
      <c r="H580" t="s">
        <v>1210</v>
      </c>
    </row>
    <row r="581" spans="1:8" x14ac:dyDescent="0.45">
      <c r="A581" t="s">
        <v>1127</v>
      </c>
      <c r="B581" t="s">
        <v>75</v>
      </c>
      <c r="C581">
        <v>1322</v>
      </c>
      <c r="E581">
        <v>42.2</v>
      </c>
      <c r="F581">
        <v>3.8</v>
      </c>
      <c r="G581">
        <v>0.9</v>
      </c>
      <c r="H581" t="s">
        <v>1210</v>
      </c>
    </row>
    <row r="582" spans="1:8" x14ac:dyDescent="0.45">
      <c r="A582" t="s">
        <v>1116</v>
      </c>
      <c r="B582" t="s">
        <v>35</v>
      </c>
      <c r="C582">
        <v>2403</v>
      </c>
      <c r="D582">
        <v>352.5</v>
      </c>
      <c r="E582">
        <v>61.2</v>
      </c>
      <c r="F582">
        <v>3.2</v>
      </c>
      <c r="G582">
        <v>1.6</v>
      </c>
      <c r="H582" t="s">
        <v>1210</v>
      </c>
    </row>
    <row r="583" spans="1:8" x14ac:dyDescent="0.45">
      <c r="A583" t="s">
        <v>1115</v>
      </c>
      <c r="B583" t="s">
        <v>27</v>
      </c>
      <c r="C583">
        <v>4937</v>
      </c>
      <c r="D583">
        <v>422.7</v>
      </c>
      <c r="E583">
        <v>232.7</v>
      </c>
      <c r="F583">
        <v>2.4</v>
      </c>
      <c r="G583">
        <v>0.6</v>
      </c>
      <c r="H583" t="s">
        <v>1210</v>
      </c>
    </row>
    <row r="584" spans="1:8" x14ac:dyDescent="0.45">
      <c r="A584" t="s">
        <v>1118</v>
      </c>
      <c r="B584" t="s">
        <v>72</v>
      </c>
      <c r="C584">
        <v>1008</v>
      </c>
      <c r="D584">
        <v>452.5</v>
      </c>
      <c r="E584">
        <v>54.8</v>
      </c>
      <c r="F584">
        <v>4.2</v>
      </c>
      <c r="G584">
        <v>1.5</v>
      </c>
      <c r="H584" t="s">
        <v>1210</v>
      </c>
    </row>
    <row r="585" spans="1:8" x14ac:dyDescent="0.45">
      <c r="A585" t="s">
        <v>1127</v>
      </c>
      <c r="B585" t="s">
        <v>1134</v>
      </c>
      <c r="C585">
        <v>861</v>
      </c>
      <c r="D585">
        <v>325.60000000000002</v>
      </c>
      <c r="E585">
        <v>52.6</v>
      </c>
      <c r="F585">
        <v>2.5</v>
      </c>
      <c r="G585">
        <v>0.9</v>
      </c>
      <c r="H585" t="s">
        <v>1210</v>
      </c>
    </row>
    <row r="586" spans="1:8" x14ac:dyDescent="0.45">
      <c r="A586" t="s">
        <v>1121</v>
      </c>
      <c r="B586" t="s">
        <v>15</v>
      </c>
      <c r="C586">
        <v>4912</v>
      </c>
      <c r="D586">
        <v>813.8</v>
      </c>
      <c r="E586">
        <v>127.1</v>
      </c>
      <c r="F586">
        <v>2.8</v>
      </c>
      <c r="G586">
        <v>0.4</v>
      </c>
      <c r="H586" t="s">
        <v>1210</v>
      </c>
    </row>
    <row r="587" spans="1:8" x14ac:dyDescent="0.45">
      <c r="A587" t="s">
        <v>1116</v>
      </c>
      <c r="B587" t="s">
        <v>1140</v>
      </c>
      <c r="C587">
        <v>1769</v>
      </c>
      <c r="D587">
        <v>261.10000000000002</v>
      </c>
      <c r="E587">
        <v>35.799999999999997</v>
      </c>
      <c r="F587">
        <v>4.9000000000000004</v>
      </c>
      <c r="G587">
        <v>1.6</v>
      </c>
      <c r="H587" t="s">
        <v>1210</v>
      </c>
    </row>
    <row r="588" spans="1:8" x14ac:dyDescent="0.45">
      <c r="A588" t="s">
        <v>1124</v>
      </c>
      <c r="B588" t="s">
        <v>52</v>
      </c>
      <c r="C588">
        <v>5591</v>
      </c>
      <c r="D588">
        <v>316.10000000000002</v>
      </c>
      <c r="E588">
        <v>86.5</v>
      </c>
      <c r="F588">
        <v>1.2</v>
      </c>
      <c r="G588">
        <v>0.3</v>
      </c>
      <c r="H588" t="s">
        <v>1210</v>
      </c>
    </row>
    <row r="589" spans="1:8" x14ac:dyDescent="0.45">
      <c r="A589" t="s">
        <v>1116</v>
      </c>
      <c r="B589" t="s">
        <v>93</v>
      </c>
      <c r="C589">
        <v>4985</v>
      </c>
      <c r="D589">
        <v>317.39999999999998</v>
      </c>
      <c r="E589">
        <v>44.8</v>
      </c>
      <c r="F589">
        <v>4.4000000000000004</v>
      </c>
      <c r="G589">
        <v>1.6</v>
      </c>
      <c r="H589" t="s">
        <v>1210</v>
      </c>
    </row>
    <row r="590" spans="1:8" x14ac:dyDescent="0.45">
      <c r="A590" t="s">
        <v>1117</v>
      </c>
      <c r="B590" t="s">
        <v>96</v>
      </c>
      <c r="C590">
        <v>6327</v>
      </c>
      <c r="D590">
        <v>763.3</v>
      </c>
      <c r="E590">
        <v>145.5</v>
      </c>
      <c r="F590">
        <v>2.5</v>
      </c>
      <c r="G590">
        <v>0.5</v>
      </c>
      <c r="H590" t="s">
        <v>1210</v>
      </c>
    </row>
    <row r="591" spans="1:8" x14ac:dyDescent="0.45">
      <c r="A591" t="s">
        <v>1121</v>
      </c>
      <c r="B591" t="s">
        <v>35</v>
      </c>
      <c r="C591">
        <v>4683</v>
      </c>
      <c r="D591">
        <v>307.8</v>
      </c>
      <c r="E591">
        <v>51.5</v>
      </c>
      <c r="F591">
        <v>2.2000000000000002</v>
      </c>
      <c r="G591">
        <v>0.4</v>
      </c>
      <c r="H591" t="s">
        <v>1210</v>
      </c>
    </row>
    <row r="592" spans="1:8" x14ac:dyDescent="0.45">
      <c r="A592" t="s">
        <v>1114</v>
      </c>
      <c r="B592" t="s">
        <v>77</v>
      </c>
      <c r="C592">
        <v>2501</v>
      </c>
      <c r="D592">
        <v>145.9</v>
      </c>
      <c r="E592">
        <v>52.7</v>
      </c>
      <c r="F592">
        <v>6.6</v>
      </c>
      <c r="G592">
        <v>1.3</v>
      </c>
      <c r="H592" t="s">
        <v>1210</v>
      </c>
    </row>
    <row r="593" spans="1:8" x14ac:dyDescent="0.45">
      <c r="A593" t="s">
        <v>1126</v>
      </c>
      <c r="B593" t="s">
        <v>93</v>
      </c>
      <c r="C593">
        <v>2250</v>
      </c>
      <c r="D593">
        <v>499.1</v>
      </c>
      <c r="E593">
        <v>57.2</v>
      </c>
      <c r="F593">
        <v>0.8</v>
      </c>
      <c r="G593">
        <v>0.2</v>
      </c>
      <c r="H593" t="s">
        <v>1210</v>
      </c>
    </row>
    <row r="594" spans="1:8" x14ac:dyDescent="0.45">
      <c r="A594" t="s">
        <v>1124</v>
      </c>
      <c r="B594" t="s">
        <v>69</v>
      </c>
      <c r="C594">
        <v>9377</v>
      </c>
      <c r="D594">
        <v>702.4</v>
      </c>
      <c r="E594">
        <v>339</v>
      </c>
      <c r="F594">
        <v>0.8</v>
      </c>
      <c r="G594">
        <v>0.3</v>
      </c>
      <c r="H594" t="s">
        <v>1210</v>
      </c>
    </row>
    <row r="595" spans="1:8" x14ac:dyDescent="0.45">
      <c r="A595" t="s">
        <v>1122</v>
      </c>
      <c r="B595" t="s">
        <v>88</v>
      </c>
      <c r="C595">
        <v>7742</v>
      </c>
      <c r="D595">
        <v>645.5</v>
      </c>
      <c r="E595">
        <v>367.3</v>
      </c>
      <c r="F595">
        <v>1.1000000000000001</v>
      </c>
      <c r="G595">
        <v>0.2</v>
      </c>
      <c r="H595" t="s">
        <v>1210</v>
      </c>
    </row>
    <row r="596" spans="1:8" x14ac:dyDescent="0.45">
      <c r="A596" t="s">
        <v>1114</v>
      </c>
      <c r="B596" t="s">
        <v>58</v>
      </c>
      <c r="C596">
        <v>399</v>
      </c>
      <c r="D596">
        <v>281.60000000000002</v>
      </c>
      <c r="E596">
        <v>26.7</v>
      </c>
      <c r="F596">
        <v>5</v>
      </c>
      <c r="G596">
        <v>1.3</v>
      </c>
      <c r="H596" t="s">
        <v>1210</v>
      </c>
    </row>
    <row r="597" spans="1:8" x14ac:dyDescent="0.45">
      <c r="A597" t="s">
        <v>1122</v>
      </c>
      <c r="B597" t="s">
        <v>58</v>
      </c>
      <c r="C597">
        <v>4565</v>
      </c>
      <c r="D597">
        <v>405.4</v>
      </c>
      <c r="E597">
        <v>57.7</v>
      </c>
      <c r="F597">
        <v>1</v>
      </c>
      <c r="G597">
        <v>0.2</v>
      </c>
      <c r="H597" t="s">
        <v>1210</v>
      </c>
    </row>
    <row r="598" spans="1:8" x14ac:dyDescent="0.45">
      <c r="A598" t="s">
        <v>1124</v>
      </c>
      <c r="B598" t="s">
        <v>40</v>
      </c>
      <c r="C598">
        <v>3450</v>
      </c>
      <c r="D598">
        <v>313.8</v>
      </c>
      <c r="E598">
        <v>28.6</v>
      </c>
      <c r="F598">
        <v>1</v>
      </c>
      <c r="G598">
        <v>0.3</v>
      </c>
      <c r="H598" t="s">
        <v>1210</v>
      </c>
    </row>
    <row r="599" spans="1:8" x14ac:dyDescent="0.45">
      <c r="A599" t="s">
        <v>1115</v>
      </c>
      <c r="B599" t="s">
        <v>75</v>
      </c>
      <c r="C599">
        <v>1843</v>
      </c>
      <c r="D599">
        <v>330.5</v>
      </c>
      <c r="E599">
        <v>44.2</v>
      </c>
      <c r="F599">
        <v>1.9</v>
      </c>
      <c r="G599">
        <v>0.6</v>
      </c>
      <c r="H599" t="s">
        <v>1210</v>
      </c>
    </row>
    <row r="600" spans="1:8" x14ac:dyDescent="0.45">
      <c r="A600" t="s">
        <v>1125</v>
      </c>
      <c r="B600" t="s">
        <v>7</v>
      </c>
      <c r="C600">
        <v>2598</v>
      </c>
      <c r="D600">
        <v>196.3</v>
      </c>
      <c r="E600">
        <v>22.7</v>
      </c>
      <c r="F600">
        <v>4</v>
      </c>
      <c r="G600">
        <v>1.2</v>
      </c>
      <c r="H600" t="s">
        <v>1210</v>
      </c>
    </row>
    <row r="601" spans="1:8" x14ac:dyDescent="0.45">
      <c r="A601" t="s">
        <v>1116</v>
      </c>
      <c r="B601" t="s">
        <v>19</v>
      </c>
      <c r="C601">
        <v>1267</v>
      </c>
      <c r="D601">
        <v>151.6</v>
      </c>
      <c r="E601">
        <v>67</v>
      </c>
      <c r="F601">
        <v>6.6</v>
      </c>
      <c r="G601">
        <v>1.6</v>
      </c>
      <c r="H601" t="s">
        <v>1210</v>
      </c>
    </row>
    <row r="602" spans="1:8" x14ac:dyDescent="0.45">
      <c r="A602" t="s">
        <v>1128</v>
      </c>
      <c r="B602" t="s">
        <v>40</v>
      </c>
      <c r="C602">
        <v>4680</v>
      </c>
      <c r="D602">
        <v>326.7</v>
      </c>
      <c r="E602">
        <v>43.5</v>
      </c>
      <c r="F602">
        <v>1.9</v>
      </c>
      <c r="G602">
        <v>0.5</v>
      </c>
      <c r="H602" t="s">
        <v>1210</v>
      </c>
    </row>
    <row r="603" spans="1:8" x14ac:dyDescent="0.45">
      <c r="A603" t="s">
        <v>1120</v>
      </c>
      <c r="B603" t="s">
        <v>60</v>
      </c>
      <c r="C603">
        <v>6493</v>
      </c>
      <c r="D603">
        <v>521.79999999999995</v>
      </c>
      <c r="E603">
        <v>105.7</v>
      </c>
      <c r="F603">
        <v>3.1</v>
      </c>
      <c r="G603">
        <v>0.5</v>
      </c>
      <c r="H603" t="s">
        <v>1210</v>
      </c>
    </row>
    <row r="604" spans="1:8" x14ac:dyDescent="0.45">
      <c r="A604" t="s">
        <v>1127</v>
      </c>
      <c r="B604" t="s">
        <v>19</v>
      </c>
      <c r="C604">
        <v>415</v>
      </c>
      <c r="D604">
        <v>346.8</v>
      </c>
      <c r="E604">
        <v>117.6</v>
      </c>
      <c r="F604">
        <v>3.1</v>
      </c>
      <c r="G604">
        <v>0.9</v>
      </c>
      <c r="H604" t="s">
        <v>1210</v>
      </c>
    </row>
    <row r="605" spans="1:8" x14ac:dyDescent="0.45">
      <c r="A605" t="s">
        <v>1116</v>
      </c>
      <c r="B605" t="s">
        <v>15</v>
      </c>
      <c r="C605">
        <v>7804</v>
      </c>
      <c r="D605">
        <v>636.79999999999995</v>
      </c>
      <c r="E605">
        <v>129.80000000000001</v>
      </c>
      <c r="F605">
        <v>1.4</v>
      </c>
      <c r="G605">
        <v>1.6</v>
      </c>
      <c r="H605" t="s">
        <v>1210</v>
      </c>
    </row>
    <row r="606" spans="1:8" x14ac:dyDescent="0.45">
      <c r="A606" t="s">
        <v>1118</v>
      </c>
      <c r="B606" t="s">
        <v>52</v>
      </c>
      <c r="C606">
        <v>1342</v>
      </c>
      <c r="D606">
        <v>237.5</v>
      </c>
      <c r="E606">
        <v>62.5</v>
      </c>
      <c r="F606">
        <v>6</v>
      </c>
      <c r="G606">
        <v>1.5</v>
      </c>
      <c r="H606" t="s">
        <v>1210</v>
      </c>
    </row>
    <row r="607" spans="1:8" x14ac:dyDescent="0.45">
      <c r="A607" t="s">
        <v>1127</v>
      </c>
      <c r="B607" t="s">
        <v>71</v>
      </c>
      <c r="C607">
        <v>2514</v>
      </c>
      <c r="D607">
        <v>375.2</v>
      </c>
      <c r="E607">
        <v>51.3</v>
      </c>
      <c r="F607">
        <v>2.2000000000000002</v>
      </c>
      <c r="G607">
        <v>0.9</v>
      </c>
      <c r="H607" t="s">
        <v>1210</v>
      </c>
    </row>
    <row r="608" spans="1:8" x14ac:dyDescent="0.45">
      <c r="A608" t="s">
        <v>1124</v>
      </c>
      <c r="B608" t="s">
        <v>60</v>
      </c>
      <c r="C608">
        <v>9600</v>
      </c>
      <c r="D608">
        <v>618.5</v>
      </c>
      <c r="E608">
        <v>126.9</v>
      </c>
      <c r="F608">
        <v>1</v>
      </c>
      <c r="G608">
        <v>0.3</v>
      </c>
      <c r="H608" t="s">
        <v>1210</v>
      </c>
    </row>
    <row r="609" spans="1:8" x14ac:dyDescent="0.45">
      <c r="A609" t="s">
        <v>1118</v>
      </c>
      <c r="B609" t="s">
        <v>64</v>
      </c>
      <c r="C609">
        <v>9049</v>
      </c>
      <c r="D609">
        <v>700.3</v>
      </c>
      <c r="E609">
        <v>112.6</v>
      </c>
      <c r="F609">
        <v>6.5</v>
      </c>
      <c r="G609">
        <v>1.5</v>
      </c>
      <c r="H609" t="s">
        <v>1210</v>
      </c>
    </row>
    <row r="610" spans="1:8" x14ac:dyDescent="0.45">
      <c r="A610" t="s">
        <v>1123</v>
      </c>
      <c r="B610" t="s">
        <v>101</v>
      </c>
      <c r="C610">
        <v>9816</v>
      </c>
      <c r="D610">
        <v>909.6</v>
      </c>
      <c r="E610">
        <v>148.9</v>
      </c>
      <c r="F610">
        <v>0.8</v>
      </c>
      <c r="G610">
        <v>0.3</v>
      </c>
      <c r="H610" t="s">
        <v>1210</v>
      </c>
    </row>
    <row r="611" spans="1:8" x14ac:dyDescent="0.45">
      <c r="A611" t="s">
        <v>1115</v>
      </c>
      <c r="B611" t="s">
        <v>70</v>
      </c>
      <c r="C611">
        <v>994</v>
      </c>
      <c r="D611">
        <v>350.4</v>
      </c>
      <c r="E611">
        <v>66.400000000000006</v>
      </c>
      <c r="F611">
        <v>1.7</v>
      </c>
      <c r="G611">
        <v>0.6</v>
      </c>
      <c r="H611" t="s">
        <v>1210</v>
      </c>
    </row>
    <row r="612" spans="1:8" x14ac:dyDescent="0.45">
      <c r="A612" t="s">
        <v>1127</v>
      </c>
      <c r="B612" t="s">
        <v>95</v>
      </c>
      <c r="C612">
        <v>3727</v>
      </c>
      <c r="D612">
        <v>279.8</v>
      </c>
      <c r="E612">
        <v>39.4</v>
      </c>
      <c r="F612">
        <v>2.2000000000000002</v>
      </c>
      <c r="G612">
        <v>0.9</v>
      </c>
      <c r="H612" t="s">
        <v>1210</v>
      </c>
    </row>
    <row r="613" spans="1:8" x14ac:dyDescent="0.45">
      <c r="A613" t="s">
        <v>1124</v>
      </c>
      <c r="B613" t="s">
        <v>27</v>
      </c>
      <c r="C613">
        <v>2340</v>
      </c>
      <c r="D613">
        <v>524.4</v>
      </c>
      <c r="E613">
        <v>329.3</v>
      </c>
      <c r="F613">
        <v>0.5</v>
      </c>
      <c r="G613">
        <v>0.3</v>
      </c>
      <c r="H613" t="s">
        <v>1210</v>
      </c>
    </row>
    <row r="614" spans="1:8" x14ac:dyDescent="0.45">
      <c r="A614" t="s">
        <v>1114</v>
      </c>
      <c r="B614" t="s">
        <v>29</v>
      </c>
      <c r="C614">
        <v>4027</v>
      </c>
      <c r="D614">
        <v>458.7</v>
      </c>
      <c r="E614">
        <v>88.5</v>
      </c>
      <c r="F614">
        <v>4.8</v>
      </c>
      <c r="G614">
        <v>1.3</v>
      </c>
      <c r="H614" t="s">
        <v>1210</v>
      </c>
    </row>
    <row r="615" spans="1:8" x14ac:dyDescent="0.45">
      <c r="A615" t="s">
        <v>1126</v>
      </c>
      <c r="B615" t="s">
        <v>15</v>
      </c>
      <c r="C615">
        <v>9750</v>
      </c>
      <c r="D615">
        <v>550.79999999999995</v>
      </c>
      <c r="E615">
        <v>113.9</v>
      </c>
      <c r="F615">
        <v>0.9</v>
      </c>
      <c r="G615">
        <v>0.2</v>
      </c>
      <c r="H615" t="s">
        <v>1210</v>
      </c>
    </row>
    <row r="616" spans="1:8" x14ac:dyDescent="0.45">
      <c r="A616" t="s">
        <v>1125</v>
      </c>
      <c r="B616" t="s">
        <v>98</v>
      </c>
      <c r="C616">
        <v>1399</v>
      </c>
      <c r="D616">
        <v>315.7</v>
      </c>
      <c r="E616">
        <v>56.1</v>
      </c>
      <c r="F616">
        <v>4.4000000000000004</v>
      </c>
      <c r="G616">
        <v>1.2</v>
      </c>
      <c r="H616" t="s">
        <v>1210</v>
      </c>
    </row>
    <row r="617" spans="1:8" x14ac:dyDescent="0.45">
      <c r="A617" t="s">
        <v>1125</v>
      </c>
      <c r="B617" t="s">
        <v>50</v>
      </c>
      <c r="C617">
        <v>3911</v>
      </c>
      <c r="D617">
        <v>327.7</v>
      </c>
      <c r="E617">
        <v>124.6</v>
      </c>
      <c r="F617">
        <v>3.5</v>
      </c>
      <c r="G617">
        <v>1.2</v>
      </c>
      <c r="H617" t="s">
        <v>1210</v>
      </c>
    </row>
    <row r="618" spans="1:8" x14ac:dyDescent="0.45">
      <c r="A618" t="s">
        <v>1114</v>
      </c>
      <c r="B618" t="s">
        <v>61</v>
      </c>
      <c r="C618">
        <v>693</v>
      </c>
      <c r="D618">
        <v>242.6</v>
      </c>
      <c r="E618">
        <v>42.7</v>
      </c>
      <c r="F618">
        <v>5.7</v>
      </c>
      <c r="G618">
        <v>1.3</v>
      </c>
      <c r="H618" t="s">
        <v>1210</v>
      </c>
    </row>
    <row r="619" spans="1:8" x14ac:dyDescent="0.45">
      <c r="A619" t="s">
        <v>1114</v>
      </c>
      <c r="B619" t="s">
        <v>1132</v>
      </c>
      <c r="C619">
        <v>4276</v>
      </c>
      <c r="D619">
        <v>357.2</v>
      </c>
      <c r="E619">
        <v>36.700000000000003</v>
      </c>
      <c r="F619">
        <v>3.9</v>
      </c>
      <c r="G619">
        <v>1.3</v>
      </c>
      <c r="H619" t="s">
        <v>1210</v>
      </c>
    </row>
    <row r="620" spans="1:8" x14ac:dyDescent="0.45">
      <c r="A620" t="s">
        <v>1118</v>
      </c>
      <c r="B620" t="s">
        <v>106</v>
      </c>
      <c r="C620">
        <v>5148</v>
      </c>
      <c r="D620">
        <v>560.29999999999995</v>
      </c>
      <c r="E620">
        <v>94.4</v>
      </c>
      <c r="F620">
        <v>5</v>
      </c>
      <c r="G620">
        <v>1.5</v>
      </c>
      <c r="H620" t="s">
        <v>1210</v>
      </c>
    </row>
    <row r="621" spans="1:8" x14ac:dyDescent="0.45">
      <c r="A621" t="s">
        <v>1120</v>
      </c>
      <c r="B621" t="s">
        <v>18</v>
      </c>
      <c r="C621">
        <v>2922</v>
      </c>
      <c r="D621">
        <v>298.3</v>
      </c>
      <c r="E621">
        <v>53.2</v>
      </c>
      <c r="F621">
        <v>2</v>
      </c>
      <c r="G621">
        <v>0.5</v>
      </c>
      <c r="H621" t="s">
        <v>1210</v>
      </c>
    </row>
    <row r="622" spans="1:8" x14ac:dyDescent="0.45">
      <c r="A622" t="s">
        <v>1124</v>
      </c>
      <c r="B622" t="s">
        <v>53</v>
      </c>
      <c r="C622">
        <v>2107</v>
      </c>
      <c r="D622">
        <v>153.5</v>
      </c>
      <c r="E622">
        <v>55.2</v>
      </c>
      <c r="F622">
        <v>0.9</v>
      </c>
      <c r="G622">
        <v>0.3</v>
      </c>
      <c r="H622" t="s">
        <v>1210</v>
      </c>
    </row>
    <row r="623" spans="1:8" x14ac:dyDescent="0.45">
      <c r="A623" t="s">
        <v>1127</v>
      </c>
      <c r="B623" t="s">
        <v>88</v>
      </c>
      <c r="C623">
        <v>2725</v>
      </c>
      <c r="D623">
        <v>178.7</v>
      </c>
      <c r="E623">
        <v>118</v>
      </c>
      <c r="F623">
        <v>3.9</v>
      </c>
      <c r="G623">
        <v>0.9</v>
      </c>
      <c r="H623" t="s">
        <v>1210</v>
      </c>
    </row>
    <row r="624" spans="1:8" x14ac:dyDescent="0.45">
      <c r="A624" t="s">
        <v>1125</v>
      </c>
      <c r="B624" t="s">
        <v>103</v>
      </c>
      <c r="C624">
        <v>1330</v>
      </c>
      <c r="D624">
        <v>443</v>
      </c>
      <c r="E624">
        <v>47.2</v>
      </c>
      <c r="F624">
        <v>3.4</v>
      </c>
      <c r="G624">
        <v>1.2</v>
      </c>
      <c r="H624" t="s">
        <v>1210</v>
      </c>
    </row>
    <row r="625" spans="1:8" x14ac:dyDescent="0.45">
      <c r="A625" t="s">
        <v>1125</v>
      </c>
      <c r="B625" t="s">
        <v>1132</v>
      </c>
      <c r="C625">
        <v>2072</v>
      </c>
      <c r="D625">
        <v>298.2</v>
      </c>
      <c r="E625">
        <v>42.8</v>
      </c>
      <c r="F625">
        <v>4.9000000000000004</v>
      </c>
      <c r="G625">
        <v>1.2</v>
      </c>
      <c r="H625" t="s">
        <v>1210</v>
      </c>
    </row>
    <row r="626" spans="1:8" x14ac:dyDescent="0.45">
      <c r="A626" t="s">
        <v>1116</v>
      </c>
      <c r="B626" t="s">
        <v>109</v>
      </c>
      <c r="C626">
        <v>794</v>
      </c>
      <c r="D626">
        <v>113.3</v>
      </c>
      <c r="E626">
        <v>58.2</v>
      </c>
      <c r="F626">
        <v>9.6</v>
      </c>
      <c r="G626">
        <v>1.6</v>
      </c>
      <c r="H626" t="s">
        <v>1210</v>
      </c>
    </row>
    <row r="627" spans="1:8" x14ac:dyDescent="0.45">
      <c r="A627" t="s">
        <v>1117</v>
      </c>
      <c r="B627" t="s">
        <v>12</v>
      </c>
      <c r="C627">
        <v>4502</v>
      </c>
      <c r="D627">
        <v>408.1</v>
      </c>
      <c r="E627">
        <v>47.1</v>
      </c>
      <c r="F627">
        <v>1.9</v>
      </c>
      <c r="G627">
        <v>0.5</v>
      </c>
      <c r="H627" t="s">
        <v>1210</v>
      </c>
    </row>
    <row r="628" spans="1:8" x14ac:dyDescent="0.45">
      <c r="A628" t="s">
        <v>1125</v>
      </c>
      <c r="B628" t="s">
        <v>40</v>
      </c>
      <c r="C628">
        <v>3667</v>
      </c>
      <c r="D628">
        <v>240.2</v>
      </c>
      <c r="E628">
        <v>29.3</v>
      </c>
      <c r="F628">
        <v>4.3</v>
      </c>
      <c r="G628">
        <v>1.2</v>
      </c>
      <c r="H628" t="s">
        <v>1210</v>
      </c>
    </row>
    <row r="629" spans="1:8" x14ac:dyDescent="0.45">
      <c r="A629" t="s">
        <v>1114</v>
      </c>
      <c r="B629" t="s">
        <v>18</v>
      </c>
      <c r="C629">
        <v>2310</v>
      </c>
      <c r="D629">
        <v>271.60000000000002</v>
      </c>
      <c r="E629">
        <v>41.2</v>
      </c>
      <c r="F629">
        <v>3.3</v>
      </c>
      <c r="G629">
        <v>1.3</v>
      </c>
      <c r="H629" t="s">
        <v>1210</v>
      </c>
    </row>
    <row r="630" spans="1:8" x14ac:dyDescent="0.45">
      <c r="A630" t="s">
        <v>1120</v>
      </c>
      <c r="B630" t="s">
        <v>65</v>
      </c>
      <c r="C630">
        <v>2671</v>
      </c>
      <c r="D630">
        <v>243</v>
      </c>
      <c r="E630">
        <v>95.8</v>
      </c>
      <c r="F630">
        <v>2.8</v>
      </c>
      <c r="G630">
        <v>0.5</v>
      </c>
      <c r="H630" t="s">
        <v>1210</v>
      </c>
    </row>
    <row r="631" spans="1:8" x14ac:dyDescent="0.45">
      <c r="A631" t="s">
        <v>1124</v>
      </c>
      <c r="B631" t="s">
        <v>78</v>
      </c>
      <c r="C631">
        <v>3048</v>
      </c>
      <c r="D631">
        <v>390.8</v>
      </c>
      <c r="E631">
        <v>125.1</v>
      </c>
      <c r="F631">
        <v>1.3</v>
      </c>
      <c r="G631">
        <v>0.3</v>
      </c>
      <c r="H631" t="s">
        <v>1210</v>
      </c>
    </row>
    <row r="632" spans="1:8" x14ac:dyDescent="0.45">
      <c r="A632" t="s">
        <v>1114</v>
      </c>
      <c r="B632" t="s">
        <v>74</v>
      </c>
      <c r="C632">
        <v>11161</v>
      </c>
      <c r="D632">
        <v>640.20000000000005</v>
      </c>
      <c r="E632">
        <v>355.5</v>
      </c>
      <c r="F632">
        <v>6</v>
      </c>
      <c r="G632">
        <v>1.3</v>
      </c>
      <c r="H632" t="s">
        <v>1210</v>
      </c>
    </row>
    <row r="633" spans="1:8" x14ac:dyDescent="0.45">
      <c r="A633" t="s">
        <v>1122</v>
      </c>
      <c r="B633" t="s">
        <v>101</v>
      </c>
      <c r="C633">
        <v>12238</v>
      </c>
      <c r="D633">
        <v>771.8</v>
      </c>
      <c r="E633">
        <v>152</v>
      </c>
      <c r="F633">
        <v>1.1000000000000001</v>
      </c>
      <c r="G633">
        <v>0.2</v>
      </c>
      <c r="H633" t="s">
        <v>1210</v>
      </c>
    </row>
    <row r="634" spans="1:8" x14ac:dyDescent="0.45">
      <c r="A634" t="s">
        <v>1122</v>
      </c>
      <c r="B634" t="s">
        <v>1138</v>
      </c>
      <c r="C634">
        <v>8428</v>
      </c>
      <c r="D634">
        <v>665.6</v>
      </c>
      <c r="E634">
        <v>126.7</v>
      </c>
      <c r="F634">
        <v>1.2</v>
      </c>
      <c r="G634">
        <v>0.2</v>
      </c>
      <c r="H634" t="s">
        <v>1210</v>
      </c>
    </row>
    <row r="635" spans="1:8" x14ac:dyDescent="0.45">
      <c r="A635" t="s">
        <v>1128</v>
      </c>
      <c r="B635" t="s">
        <v>1141</v>
      </c>
      <c r="C635">
        <v>4165</v>
      </c>
      <c r="D635">
        <v>238</v>
      </c>
      <c r="E635">
        <v>35.299999999999997</v>
      </c>
      <c r="F635">
        <v>2.5</v>
      </c>
      <c r="G635">
        <v>0.5</v>
      </c>
      <c r="H635" t="s">
        <v>1210</v>
      </c>
    </row>
    <row r="636" spans="1:8" x14ac:dyDescent="0.45">
      <c r="A636" t="s">
        <v>1128</v>
      </c>
      <c r="B636" t="s">
        <v>1133</v>
      </c>
      <c r="C636">
        <v>6899</v>
      </c>
      <c r="D636">
        <v>818.3</v>
      </c>
      <c r="E636">
        <v>216.9</v>
      </c>
      <c r="F636">
        <v>2</v>
      </c>
      <c r="G636">
        <v>0.5</v>
      </c>
      <c r="H636" t="s">
        <v>1210</v>
      </c>
    </row>
    <row r="637" spans="1:8" x14ac:dyDescent="0.45">
      <c r="A637" t="s">
        <v>1121</v>
      </c>
      <c r="B637" t="s">
        <v>98</v>
      </c>
      <c r="C637">
        <v>3726</v>
      </c>
      <c r="D637">
        <v>739.6</v>
      </c>
      <c r="E637">
        <v>151.4</v>
      </c>
      <c r="F637">
        <v>1.8</v>
      </c>
      <c r="G637">
        <v>0.4</v>
      </c>
      <c r="H637" t="s">
        <v>1210</v>
      </c>
    </row>
    <row r="638" spans="1:8" x14ac:dyDescent="0.45">
      <c r="A638" t="s">
        <v>1126</v>
      </c>
      <c r="B638" t="s">
        <v>54</v>
      </c>
      <c r="C638">
        <v>1880</v>
      </c>
      <c r="D638">
        <v>360.6</v>
      </c>
      <c r="E638">
        <v>41.1</v>
      </c>
      <c r="F638">
        <v>1.1000000000000001</v>
      </c>
      <c r="G638">
        <v>0.2</v>
      </c>
      <c r="H638" t="s">
        <v>1210</v>
      </c>
    </row>
    <row r="639" spans="1:8" x14ac:dyDescent="0.45">
      <c r="A639" t="s">
        <v>1126</v>
      </c>
      <c r="B639" t="s">
        <v>101</v>
      </c>
      <c r="C639">
        <v>1192</v>
      </c>
      <c r="D639">
        <v>279.8</v>
      </c>
      <c r="E639">
        <v>46.4</v>
      </c>
      <c r="F639">
        <v>1.3</v>
      </c>
      <c r="G639">
        <v>0.2</v>
      </c>
      <c r="H639" t="s">
        <v>1210</v>
      </c>
    </row>
    <row r="640" spans="1:8" x14ac:dyDescent="0.45">
      <c r="A640" t="s">
        <v>1116</v>
      </c>
      <c r="B640" t="s">
        <v>36</v>
      </c>
      <c r="C640">
        <v>3045</v>
      </c>
      <c r="D640">
        <v>329.2</v>
      </c>
      <c r="E640">
        <v>133.9</v>
      </c>
      <c r="F640">
        <v>3.4</v>
      </c>
      <c r="G640">
        <v>1.6</v>
      </c>
      <c r="H640" t="s">
        <v>1210</v>
      </c>
    </row>
    <row r="641" spans="1:8" x14ac:dyDescent="0.45">
      <c r="A641" t="s">
        <v>1115</v>
      </c>
      <c r="B641" t="s">
        <v>48</v>
      </c>
      <c r="C641">
        <v>7424</v>
      </c>
      <c r="D641">
        <v>555.9</v>
      </c>
      <c r="E641">
        <v>155.1</v>
      </c>
      <c r="F641">
        <v>2.9</v>
      </c>
      <c r="G641">
        <v>0.6</v>
      </c>
      <c r="H641" t="s">
        <v>1210</v>
      </c>
    </row>
    <row r="642" spans="1:8" x14ac:dyDescent="0.45">
      <c r="A642" t="s">
        <v>1121</v>
      </c>
      <c r="B642" t="s">
        <v>106</v>
      </c>
      <c r="C642">
        <v>2055</v>
      </c>
      <c r="D642">
        <v>584</v>
      </c>
      <c r="E642">
        <v>140.80000000000001</v>
      </c>
      <c r="F642">
        <v>1.4</v>
      </c>
      <c r="G642">
        <v>0.4</v>
      </c>
      <c r="H642" t="s">
        <v>1210</v>
      </c>
    </row>
    <row r="643" spans="1:8" x14ac:dyDescent="0.45">
      <c r="A643" t="s">
        <v>1125</v>
      </c>
      <c r="B643" t="s">
        <v>1136</v>
      </c>
      <c r="D643">
        <v>720.8</v>
      </c>
      <c r="E643">
        <v>486.5</v>
      </c>
      <c r="F643">
        <v>1.8</v>
      </c>
      <c r="G643">
        <v>1.2</v>
      </c>
    </row>
    <row r="644" spans="1:8" x14ac:dyDescent="0.45">
      <c r="A644" t="s">
        <v>1121</v>
      </c>
      <c r="B644" t="s">
        <v>20</v>
      </c>
      <c r="D644">
        <v>424.1</v>
      </c>
      <c r="E644">
        <v>71.8</v>
      </c>
      <c r="F644">
        <v>2.2000000000000002</v>
      </c>
      <c r="G644">
        <v>0.4</v>
      </c>
    </row>
    <row r="645" spans="1:8" x14ac:dyDescent="0.45">
      <c r="A645" t="s">
        <v>1114</v>
      </c>
      <c r="B645" t="s">
        <v>33</v>
      </c>
      <c r="C645">
        <v>3657</v>
      </c>
      <c r="D645">
        <v>293.10000000000002</v>
      </c>
      <c r="E645">
        <v>30.5</v>
      </c>
      <c r="F645">
        <v>4.3</v>
      </c>
      <c r="G645">
        <v>1.3</v>
      </c>
      <c r="H645" t="s">
        <v>1210</v>
      </c>
    </row>
    <row r="646" spans="1:8" x14ac:dyDescent="0.45">
      <c r="A646" t="s">
        <v>1128</v>
      </c>
      <c r="B646" t="s">
        <v>91</v>
      </c>
      <c r="C646">
        <v>5890</v>
      </c>
      <c r="D646">
        <v>361</v>
      </c>
      <c r="E646">
        <v>153.1</v>
      </c>
      <c r="F646">
        <v>2.2999999999999998</v>
      </c>
      <c r="G646">
        <v>0.5</v>
      </c>
      <c r="H646" t="s">
        <v>1210</v>
      </c>
    </row>
    <row r="647" spans="1:8" x14ac:dyDescent="0.45">
      <c r="A647" t="s">
        <v>1127</v>
      </c>
      <c r="B647" t="s">
        <v>92</v>
      </c>
      <c r="C647">
        <v>5355</v>
      </c>
      <c r="D647">
        <v>337.4</v>
      </c>
      <c r="E647">
        <v>90.6</v>
      </c>
      <c r="F647">
        <v>1</v>
      </c>
      <c r="G647">
        <v>0.9</v>
      </c>
      <c r="H647" t="s">
        <v>1210</v>
      </c>
    </row>
    <row r="648" spans="1:8" x14ac:dyDescent="0.45">
      <c r="A648" t="s">
        <v>1126</v>
      </c>
      <c r="B648" t="s">
        <v>13</v>
      </c>
      <c r="C648">
        <v>3502</v>
      </c>
      <c r="D648">
        <v>346.9</v>
      </c>
      <c r="E648">
        <v>101.4</v>
      </c>
      <c r="F648">
        <v>0.8</v>
      </c>
      <c r="G648">
        <v>0.2</v>
      </c>
      <c r="H648" t="s">
        <v>1210</v>
      </c>
    </row>
    <row r="649" spans="1:8" x14ac:dyDescent="0.45">
      <c r="A649" t="s">
        <v>1125</v>
      </c>
      <c r="B649" t="s">
        <v>20</v>
      </c>
      <c r="C649">
        <v>1091</v>
      </c>
      <c r="D649">
        <v>451.3</v>
      </c>
      <c r="E649">
        <v>53.5</v>
      </c>
      <c r="F649">
        <v>2.2999999999999998</v>
      </c>
      <c r="G649">
        <v>1.2</v>
      </c>
      <c r="H649" t="s">
        <v>1210</v>
      </c>
    </row>
    <row r="650" spans="1:8" x14ac:dyDescent="0.45">
      <c r="A650" t="s">
        <v>1127</v>
      </c>
      <c r="B650" t="s">
        <v>93</v>
      </c>
      <c r="C650">
        <v>9189</v>
      </c>
      <c r="D650">
        <v>651.6</v>
      </c>
      <c r="E650">
        <v>109.2</v>
      </c>
      <c r="F650">
        <v>2.2000000000000002</v>
      </c>
      <c r="G650">
        <v>0.9</v>
      </c>
      <c r="H650" t="s">
        <v>1210</v>
      </c>
    </row>
    <row r="651" spans="1:8" x14ac:dyDescent="0.45">
      <c r="A651" t="s">
        <v>1125</v>
      </c>
      <c r="B651" t="s">
        <v>91</v>
      </c>
      <c r="C651">
        <v>2028</v>
      </c>
      <c r="D651">
        <v>474.6</v>
      </c>
      <c r="E651">
        <v>265.89999999999998</v>
      </c>
      <c r="F651">
        <v>4.8</v>
      </c>
      <c r="G651">
        <v>1.2</v>
      </c>
      <c r="H651" t="s">
        <v>1210</v>
      </c>
    </row>
    <row r="652" spans="1:8" x14ac:dyDescent="0.45">
      <c r="A652" t="s">
        <v>1119</v>
      </c>
      <c r="B652" t="s">
        <v>50</v>
      </c>
      <c r="C652">
        <v>8703</v>
      </c>
      <c r="D652">
        <v>562.5</v>
      </c>
      <c r="E652">
        <v>201.4</v>
      </c>
      <c r="F652">
        <v>1.6</v>
      </c>
      <c r="G652">
        <v>1</v>
      </c>
      <c r="H652" t="s">
        <v>1210</v>
      </c>
    </row>
    <row r="653" spans="1:8" x14ac:dyDescent="0.45">
      <c r="A653" t="s">
        <v>1127</v>
      </c>
      <c r="B653" t="s">
        <v>57</v>
      </c>
      <c r="C653">
        <v>1693</v>
      </c>
      <c r="D653">
        <v>264.8</v>
      </c>
      <c r="E653">
        <v>31.7</v>
      </c>
      <c r="F653">
        <v>4.4000000000000004</v>
      </c>
      <c r="G653">
        <v>0.9</v>
      </c>
      <c r="H653" t="s">
        <v>1210</v>
      </c>
    </row>
    <row r="654" spans="1:8" x14ac:dyDescent="0.45">
      <c r="A654" t="s">
        <v>1126</v>
      </c>
      <c r="B654" t="s">
        <v>32</v>
      </c>
      <c r="D654">
        <v>310.39999999999998</v>
      </c>
      <c r="E654">
        <v>128.1</v>
      </c>
      <c r="F654">
        <v>0.7</v>
      </c>
      <c r="G654">
        <v>0.2</v>
      </c>
    </row>
    <row r="655" spans="1:8" x14ac:dyDescent="0.45">
      <c r="A655" t="s">
        <v>1116</v>
      </c>
      <c r="B655" t="s">
        <v>108</v>
      </c>
      <c r="C655">
        <v>4218</v>
      </c>
      <c r="D655">
        <v>381.1</v>
      </c>
      <c r="E655">
        <v>72.599999999999994</v>
      </c>
      <c r="F655">
        <v>4.4000000000000004</v>
      </c>
      <c r="G655">
        <v>1.6</v>
      </c>
      <c r="H655" t="s">
        <v>1210</v>
      </c>
    </row>
    <row r="656" spans="1:8" x14ac:dyDescent="0.45">
      <c r="A656" t="s">
        <v>1117</v>
      </c>
      <c r="B656" t="s">
        <v>39</v>
      </c>
      <c r="C656">
        <v>3332</v>
      </c>
      <c r="D656">
        <v>552</v>
      </c>
      <c r="E656">
        <v>92.6</v>
      </c>
      <c r="F656">
        <v>1.8</v>
      </c>
      <c r="G656">
        <v>0.5</v>
      </c>
      <c r="H656" t="s">
        <v>1210</v>
      </c>
    </row>
    <row r="657" spans="1:8" x14ac:dyDescent="0.45">
      <c r="A657" t="s">
        <v>1117</v>
      </c>
      <c r="B657" t="s">
        <v>76</v>
      </c>
      <c r="C657">
        <v>3834</v>
      </c>
      <c r="D657">
        <v>537.5</v>
      </c>
      <c r="E657">
        <v>101.3</v>
      </c>
      <c r="F657">
        <v>2</v>
      </c>
      <c r="G657">
        <v>0.5</v>
      </c>
      <c r="H657" t="s">
        <v>1210</v>
      </c>
    </row>
    <row r="658" spans="1:8" x14ac:dyDescent="0.45">
      <c r="A658" t="s">
        <v>1121</v>
      </c>
      <c r="B658" t="s">
        <v>32</v>
      </c>
      <c r="C658">
        <v>3357</v>
      </c>
      <c r="D658">
        <v>244.2</v>
      </c>
      <c r="E658">
        <v>67.2</v>
      </c>
      <c r="F658">
        <v>1.6</v>
      </c>
      <c r="G658">
        <v>0.4</v>
      </c>
      <c r="H658" t="s">
        <v>1210</v>
      </c>
    </row>
    <row r="659" spans="1:8" x14ac:dyDescent="0.45">
      <c r="A659" t="s">
        <v>1119</v>
      </c>
      <c r="B659" t="s">
        <v>65</v>
      </c>
      <c r="C659">
        <v>7178</v>
      </c>
      <c r="D659">
        <v>425</v>
      </c>
      <c r="E659">
        <v>190.6</v>
      </c>
      <c r="F659">
        <v>2.6</v>
      </c>
      <c r="G659">
        <v>1</v>
      </c>
      <c r="H659" t="s">
        <v>1210</v>
      </c>
    </row>
    <row r="660" spans="1:8" x14ac:dyDescent="0.45">
      <c r="A660" t="s">
        <v>1120</v>
      </c>
      <c r="B660" t="s">
        <v>30</v>
      </c>
      <c r="C660">
        <v>2147</v>
      </c>
      <c r="D660">
        <v>326.39999999999998</v>
      </c>
      <c r="E660">
        <v>71.5</v>
      </c>
      <c r="F660">
        <v>2</v>
      </c>
      <c r="G660">
        <v>0.5</v>
      </c>
      <c r="H660" t="s">
        <v>1210</v>
      </c>
    </row>
    <row r="661" spans="1:8" x14ac:dyDescent="0.45">
      <c r="A661" t="s">
        <v>1120</v>
      </c>
      <c r="B661" t="s">
        <v>64</v>
      </c>
      <c r="C661">
        <v>2672</v>
      </c>
      <c r="D661">
        <v>382.6</v>
      </c>
      <c r="E661">
        <v>99</v>
      </c>
      <c r="F661">
        <v>1.8</v>
      </c>
      <c r="G661">
        <v>0.5</v>
      </c>
      <c r="H661" t="s">
        <v>1210</v>
      </c>
    </row>
    <row r="662" spans="1:8" x14ac:dyDescent="0.45">
      <c r="A662" t="s">
        <v>1118</v>
      </c>
      <c r="B662" t="s">
        <v>1134</v>
      </c>
      <c r="C662">
        <v>2882</v>
      </c>
      <c r="D662">
        <v>372.4</v>
      </c>
      <c r="E662">
        <v>48.4</v>
      </c>
      <c r="F662">
        <v>4.5999999999999996</v>
      </c>
      <c r="G662">
        <v>1.5</v>
      </c>
      <c r="H662" t="s">
        <v>1210</v>
      </c>
    </row>
    <row r="663" spans="1:8" x14ac:dyDescent="0.45">
      <c r="A663" t="s">
        <v>1114</v>
      </c>
      <c r="B663" t="s">
        <v>64</v>
      </c>
      <c r="C663">
        <v>18075</v>
      </c>
      <c r="D663">
        <v>1129.3</v>
      </c>
      <c r="E663">
        <v>202.8</v>
      </c>
      <c r="F663">
        <v>4.2</v>
      </c>
      <c r="G663">
        <v>1.3</v>
      </c>
      <c r="H663" t="s">
        <v>1210</v>
      </c>
    </row>
    <row r="664" spans="1:8" x14ac:dyDescent="0.45">
      <c r="A664" t="s">
        <v>1115</v>
      </c>
      <c r="B664" t="s">
        <v>1129</v>
      </c>
      <c r="C664">
        <v>8282</v>
      </c>
      <c r="D664">
        <v>490</v>
      </c>
      <c r="E664">
        <v>90.2</v>
      </c>
      <c r="F664">
        <v>1.2</v>
      </c>
      <c r="G664">
        <v>0.6</v>
      </c>
      <c r="H664" t="s">
        <v>1210</v>
      </c>
    </row>
    <row r="665" spans="1:8" x14ac:dyDescent="0.45">
      <c r="A665" t="s">
        <v>1126</v>
      </c>
      <c r="B665" t="s">
        <v>29</v>
      </c>
      <c r="C665">
        <v>9377</v>
      </c>
      <c r="D665">
        <v>743.9</v>
      </c>
      <c r="E665">
        <v>141.19999999999999</v>
      </c>
      <c r="F665">
        <v>1.1000000000000001</v>
      </c>
      <c r="G665">
        <v>0.2</v>
      </c>
      <c r="H665" t="s">
        <v>1210</v>
      </c>
    </row>
    <row r="666" spans="1:8" x14ac:dyDescent="0.45">
      <c r="A666" t="s">
        <v>1127</v>
      </c>
      <c r="B666" t="s">
        <v>44</v>
      </c>
      <c r="C666">
        <v>7699</v>
      </c>
      <c r="D666">
        <v>935.8</v>
      </c>
      <c r="E666">
        <v>201.1</v>
      </c>
      <c r="F666">
        <v>1.5</v>
      </c>
      <c r="G666">
        <v>0.9</v>
      </c>
      <c r="H666" t="s">
        <v>1210</v>
      </c>
    </row>
    <row r="667" spans="1:8" x14ac:dyDescent="0.45">
      <c r="A667" t="s">
        <v>1123</v>
      </c>
      <c r="B667" t="s">
        <v>1131</v>
      </c>
      <c r="C667">
        <v>3161</v>
      </c>
      <c r="D667">
        <v>829.3</v>
      </c>
      <c r="E667">
        <v>443.9</v>
      </c>
      <c r="F667">
        <v>1.6</v>
      </c>
      <c r="G667">
        <v>0.3</v>
      </c>
      <c r="H667" t="s">
        <v>1210</v>
      </c>
    </row>
    <row r="668" spans="1:8" x14ac:dyDescent="0.45">
      <c r="A668" t="s">
        <v>1115</v>
      </c>
      <c r="B668" t="s">
        <v>74</v>
      </c>
      <c r="C668">
        <v>7034</v>
      </c>
      <c r="D668">
        <v>520.29999999999995</v>
      </c>
      <c r="E668">
        <v>329</v>
      </c>
      <c r="F668">
        <v>2.1</v>
      </c>
      <c r="G668">
        <v>0.6</v>
      </c>
      <c r="H668" t="s">
        <v>1210</v>
      </c>
    </row>
    <row r="669" spans="1:8" x14ac:dyDescent="0.45">
      <c r="A669" t="s">
        <v>1126</v>
      </c>
      <c r="B669" t="s">
        <v>28</v>
      </c>
      <c r="C669">
        <v>2486</v>
      </c>
      <c r="D669">
        <v>405.4</v>
      </c>
      <c r="E669">
        <v>135</v>
      </c>
      <c r="F669">
        <v>1.1000000000000001</v>
      </c>
      <c r="G669">
        <v>0.2</v>
      </c>
      <c r="H669" t="s">
        <v>1210</v>
      </c>
    </row>
    <row r="670" spans="1:8" x14ac:dyDescent="0.45">
      <c r="A670" t="s">
        <v>1121</v>
      </c>
      <c r="B670" t="s">
        <v>100</v>
      </c>
      <c r="C670">
        <v>744</v>
      </c>
      <c r="D670">
        <v>477</v>
      </c>
      <c r="E670">
        <v>70.2</v>
      </c>
      <c r="F670">
        <v>1.7</v>
      </c>
      <c r="G670">
        <v>0.4</v>
      </c>
      <c r="H670" t="s">
        <v>1210</v>
      </c>
    </row>
    <row r="671" spans="1:8" x14ac:dyDescent="0.45">
      <c r="A671" t="s">
        <v>1120</v>
      </c>
      <c r="B671" t="s">
        <v>43</v>
      </c>
      <c r="C671">
        <v>2624</v>
      </c>
      <c r="D671">
        <v>378.5</v>
      </c>
      <c r="E671">
        <v>210.8</v>
      </c>
      <c r="F671">
        <v>2.4</v>
      </c>
      <c r="G671">
        <v>0.5</v>
      </c>
      <c r="H671" t="s">
        <v>1210</v>
      </c>
    </row>
    <row r="672" spans="1:8" x14ac:dyDescent="0.45">
      <c r="A672" t="s">
        <v>1117</v>
      </c>
      <c r="B672" t="s">
        <v>19</v>
      </c>
      <c r="C672">
        <v>6379</v>
      </c>
      <c r="D672">
        <v>524.20000000000005</v>
      </c>
      <c r="E672">
        <v>196.6</v>
      </c>
      <c r="F672">
        <v>1.4</v>
      </c>
      <c r="G672">
        <v>0.5</v>
      </c>
      <c r="H672" t="s">
        <v>1210</v>
      </c>
    </row>
    <row r="673" spans="1:8" x14ac:dyDescent="0.45">
      <c r="A673" t="s">
        <v>1118</v>
      </c>
      <c r="B673" t="s">
        <v>70</v>
      </c>
      <c r="C673">
        <v>3196</v>
      </c>
      <c r="D673">
        <v>475.3</v>
      </c>
      <c r="E673">
        <v>114.6</v>
      </c>
      <c r="F673">
        <v>8.1999999999999993</v>
      </c>
      <c r="G673">
        <v>1.5</v>
      </c>
      <c r="H673" t="s">
        <v>1210</v>
      </c>
    </row>
    <row r="674" spans="1:8" x14ac:dyDescent="0.45">
      <c r="A674" t="s">
        <v>1128</v>
      </c>
      <c r="B674" t="s">
        <v>107</v>
      </c>
      <c r="C674">
        <v>5646</v>
      </c>
      <c r="E674">
        <v>331</v>
      </c>
      <c r="F674">
        <v>1.5</v>
      </c>
      <c r="G674">
        <v>0.5</v>
      </c>
      <c r="H674" t="s">
        <v>1210</v>
      </c>
    </row>
    <row r="675" spans="1:8" x14ac:dyDescent="0.45">
      <c r="A675" t="s">
        <v>1121</v>
      </c>
      <c r="B675" t="s">
        <v>31</v>
      </c>
      <c r="C675">
        <v>2519</v>
      </c>
      <c r="D675">
        <v>277.8</v>
      </c>
      <c r="E675">
        <v>23.8</v>
      </c>
      <c r="F675">
        <v>2.2000000000000002</v>
      </c>
      <c r="G675">
        <v>0.4</v>
      </c>
      <c r="H675" t="s">
        <v>1210</v>
      </c>
    </row>
    <row r="676" spans="1:8" x14ac:dyDescent="0.45">
      <c r="A676" t="s">
        <v>1123</v>
      </c>
      <c r="B676" t="s">
        <v>53</v>
      </c>
      <c r="C676">
        <v>2161</v>
      </c>
      <c r="D676">
        <v>287</v>
      </c>
      <c r="E676">
        <v>76.099999999999994</v>
      </c>
      <c r="F676">
        <v>0.7</v>
      </c>
      <c r="G676">
        <v>0.3</v>
      </c>
      <c r="H676" t="s">
        <v>1210</v>
      </c>
    </row>
    <row r="677" spans="1:8" x14ac:dyDescent="0.45">
      <c r="A677" t="s">
        <v>1115</v>
      </c>
      <c r="B677" t="s">
        <v>35</v>
      </c>
      <c r="C677">
        <v>2697</v>
      </c>
      <c r="D677">
        <v>388.2</v>
      </c>
      <c r="E677">
        <v>72.400000000000006</v>
      </c>
      <c r="F677">
        <v>1</v>
      </c>
      <c r="G677">
        <v>0.6</v>
      </c>
      <c r="H677" t="s">
        <v>1210</v>
      </c>
    </row>
    <row r="678" spans="1:8" x14ac:dyDescent="0.45">
      <c r="A678" t="s">
        <v>1117</v>
      </c>
      <c r="B678" t="s">
        <v>23</v>
      </c>
      <c r="C678">
        <v>2597</v>
      </c>
      <c r="D678">
        <v>213.6</v>
      </c>
      <c r="E678">
        <v>60.4</v>
      </c>
      <c r="F678">
        <v>1.8</v>
      </c>
      <c r="G678">
        <v>0.5</v>
      </c>
      <c r="H678" t="s">
        <v>1210</v>
      </c>
    </row>
    <row r="679" spans="1:8" x14ac:dyDescent="0.45">
      <c r="A679" t="s">
        <v>1126</v>
      </c>
      <c r="B679" t="s">
        <v>103</v>
      </c>
      <c r="C679">
        <v>7289</v>
      </c>
      <c r="D679">
        <v>425.5</v>
      </c>
      <c r="E679">
        <v>70.5</v>
      </c>
      <c r="F679">
        <v>1</v>
      </c>
      <c r="G679">
        <v>0.2</v>
      </c>
      <c r="H679" t="s">
        <v>1210</v>
      </c>
    </row>
    <row r="680" spans="1:8" x14ac:dyDescent="0.45">
      <c r="A680" t="s">
        <v>1115</v>
      </c>
      <c r="B680" t="s">
        <v>15</v>
      </c>
      <c r="C680">
        <v>3073</v>
      </c>
      <c r="D680">
        <v>607.6</v>
      </c>
      <c r="E680">
        <v>169.1</v>
      </c>
      <c r="F680">
        <v>1.2</v>
      </c>
      <c r="G680">
        <v>0.6</v>
      </c>
      <c r="H680" t="s">
        <v>1210</v>
      </c>
    </row>
    <row r="681" spans="1:8" x14ac:dyDescent="0.45">
      <c r="A681" t="s">
        <v>1117</v>
      </c>
      <c r="B681" t="s">
        <v>81</v>
      </c>
      <c r="C681">
        <v>9248</v>
      </c>
      <c r="D681">
        <v>515.20000000000005</v>
      </c>
      <c r="E681">
        <v>99.5</v>
      </c>
      <c r="F681">
        <v>2.5</v>
      </c>
      <c r="G681">
        <v>0.5</v>
      </c>
      <c r="H681" t="s">
        <v>1210</v>
      </c>
    </row>
    <row r="682" spans="1:8" x14ac:dyDescent="0.45">
      <c r="A682" t="s">
        <v>1123</v>
      </c>
      <c r="B682" t="s">
        <v>36</v>
      </c>
      <c r="C682">
        <v>1626</v>
      </c>
      <c r="D682">
        <v>136.4</v>
      </c>
      <c r="E682">
        <v>54.7</v>
      </c>
      <c r="F682">
        <v>1</v>
      </c>
      <c r="G682">
        <v>0.3</v>
      </c>
      <c r="H682" t="s">
        <v>1210</v>
      </c>
    </row>
    <row r="683" spans="1:8" x14ac:dyDescent="0.45">
      <c r="A683" t="s">
        <v>1117</v>
      </c>
      <c r="B683" t="s">
        <v>29</v>
      </c>
      <c r="D683">
        <v>1024.2</v>
      </c>
      <c r="E683">
        <v>267.7</v>
      </c>
      <c r="F683">
        <v>1.8</v>
      </c>
      <c r="G683">
        <v>0.5</v>
      </c>
    </row>
    <row r="684" spans="1:8" x14ac:dyDescent="0.45">
      <c r="A684" t="s">
        <v>1123</v>
      </c>
      <c r="B684" t="s">
        <v>96</v>
      </c>
      <c r="C684">
        <v>1613</v>
      </c>
      <c r="D684">
        <v>483.8</v>
      </c>
      <c r="E684">
        <v>131.6</v>
      </c>
      <c r="F684">
        <v>0.8</v>
      </c>
      <c r="G684">
        <v>0.3</v>
      </c>
      <c r="H684" t="s">
        <v>1210</v>
      </c>
    </row>
    <row r="685" spans="1:8" x14ac:dyDescent="0.45">
      <c r="A685" t="s">
        <v>1115</v>
      </c>
      <c r="B685" t="s">
        <v>42</v>
      </c>
      <c r="D685">
        <v>236.3</v>
      </c>
      <c r="E685">
        <v>84.3</v>
      </c>
      <c r="F685">
        <v>1.7</v>
      </c>
      <c r="G685">
        <v>0.6</v>
      </c>
    </row>
    <row r="686" spans="1:8" x14ac:dyDescent="0.45">
      <c r="A686" t="s">
        <v>1114</v>
      </c>
      <c r="B686" t="s">
        <v>5</v>
      </c>
      <c r="C686">
        <v>5824</v>
      </c>
      <c r="D686">
        <v>357</v>
      </c>
      <c r="E686">
        <v>41.6</v>
      </c>
      <c r="F686">
        <v>4.5999999999999996</v>
      </c>
      <c r="G686">
        <v>1.3</v>
      </c>
      <c r="H686" t="s">
        <v>1210</v>
      </c>
    </row>
    <row r="687" spans="1:8" x14ac:dyDescent="0.45">
      <c r="A687" t="s">
        <v>1119</v>
      </c>
      <c r="B687" t="s">
        <v>78</v>
      </c>
      <c r="C687">
        <v>901</v>
      </c>
      <c r="D687">
        <v>244.4</v>
      </c>
      <c r="E687">
        <v>82.6</v>
      </c>
      <c r="F687">
        <v>3.1</v>
      </c>
      <c r="G687">
        <v>1</v>
      </c>
      <c r="H687" t="s">
        <v>1210</v>
      </c>
    </row>
    <row r="688" spans="1:8" x14ac:dyDescent="0.45">
      <c r="A688" t="s">
        <v>1120</v>
      </c>
      <c r="B688" t="s">
        <v>80</v>
      </c>
      <c r="C688">
        <v>2033</v>
      </c>
      <c r="D688">
        <v>173.6</v>
      </c>
      <c r="E688">
        <v>22</v>
      </c>
      <c r="F688">
        <v>1.9</v>
      </c>
      <c r="G688">
        <v>0.5</v>
      </c>
      <c r="H688" t="s">
        <v>1210</v>
      </c>
    </row>
    <row r="689" spans="1:8" x14ac:dyDescent="0.45">
      <c r="A689" t="s">
        <v>1123</v>
      </c>
      <c r="B689" t="s">
        <v>8</v>
      </c>
      <c r="C689">
        <v>6404</v>
      </c>
      <c r="D689">
        <v>393.9</v>
      </c>
      <c r="E689">
        <v>61.6</v>
      </c>
      <c r="F689">
        <v>1.1000000000000001</v>
      </c>
      <c r="G689">
        <v>0.3</v>
      </c>
      <c r="H689" t="s">
        <v>1210</v>
      </c>
    </row>
    <row r="690" spans="1:8" x14ac:dyDescent="0.45">
      <c r="A690" t="s">
        <v>1114</v>
      </c>
      <c r="B690" t="s">
        <v>109</v>
      </c>
      <c r="C690">
        <v>3242</v>
      </c>
      <c r="D690">
        <v>464</v>
      </c>
      <c r="E690">
        <v>198.6</v>
      </c>
      <c r="F690">
        <v>5</v>
      </c>
      <c r="G690">
        <v>1.3</v>
      </c>
      <c r="H690" t="s">
        <v>1210</v>
      </c>
    </row>
    <row r="691" spans="1:8" x14ac:dyDescent="0.45">
      <c r="A691" t="s">
        <v>1116</v>
      </c>
      <c r="B691" t="s">
        <v>87</v>
      </c>
      <c r="C691">
        <v>1381</v>
      </c>
      <c r="D691">
        <v>591.6</v>
      </c>
      <c r="E691">
        <v>74.400000000000006</v>
      </c>
      <c r="F691">
        <v>4.4000000000000004</v>
      </c>
      <c r="G691">
        <v>1.6</v>
      </c>
      <c r="H691" t="s">
        <v>1210</v>
      </c>
    </row>
    <row r="692" spans="1:8" x14ac:dyDescent="0.45">
      <c r="A692" t="s">
        <v>1125</v>
      </c>
      <c r="B692" t="s">
        <v>15</v>
      </c>
      <c r="C692">
        <v>6120</v>
      </c>
      <c r="D692">
        <v>865.9</v>
      </c>
      <c r="E692">
        <v>150.4</v>
      </c>
      <c r="F692">
        <v>5.2</v>
      </c>
      <c r="G692">
        <v>1.2</v>
      </c>
      <c r="H692" t="s">
        <v>1210</v>
      </c>
    </row>
    <row r="693" spans="1:8" x14ac:dyDescent="0.45">
      <c r="A693" t="s">
        <v>1118</v>
      </c>
      <c r="B693" t="s">
        <v>23</v>
      </c>
      <c r="C693">
        <v>2046</v>
      </c>
      <c r="D693">
        <v>177.6</v>
      </c>
      <c r="E693">
        <v>61.9</v>
      </c>
      <c r="F693">
        <v>6.2</v>
      </c>
      <c r="G693">
        <v>1.5</v>
      </c>
      <c r="H693" t="s">
        <v>1210</v>
      </c>
    </row>
    <row r="694" spans="1:8" x14ac:dyDescent="0.45">
      <c r="A694" t="s">
        <v>1127</v>
      </c>
      <c r="B694" t="s">
        <v>74</v>
      </c>
      <c r="C694">
        <v>1430</v>
      </c>
      <c r="D694">
        <v>151</v>
      </c>
      <c r="E694">
        <v>67</v>
      </c>
      <c r="F694">
        <v>3.1</v>
      </c>
      <c r="G694">
        <v>0.9</v>
      </c>
      <c r="H694" t="s">
        <v>1210</v>
      </c>
    </row>
    <row r="695" spans="1:8" x14ac:dyDescent="0.45">
      <c r="A695" t="s">
        <v>1128</v>
      </c>
      <c r="B695" t="s">
        <v>29</v>
      </c>
      <c r="C695">
        <v>5260</v>
      </c>
      <c r="D695">
        <v>386.9</v>
      </c>
      <c r="E695">
        <v>77.8</v>
      </c>
      <c r="F695">
        <v>2.2999999999999998</v>
      </c>
      <c r="G695">
        <v>0.5</v>
      </c>
      <c r="H695" t="s">
        <v>1210</v>
      </c>
    </row>
    <row r="696" spans="1:8" x14ac:dyDescent="0.45">
      <c r="A696" t="s">
        <v>1127</v>
      </c>
      <c r="B696" t="s">
        <v>69</v>
      </c>
      <c r="C696">
        <v>9488</v>
      </c>
      <c r="D696">
        <v>709.9</v>
      </c>
      <c r="E696">
        <v>461.8</v>
      </c>
      <c r="F696">
        <v>2.4</v>
      </c>
      <c r="G696">
        <v>0.9</v>
      </c>
      <c r="H696" t="s">
        <v>1210</v>
      </c>
    </row>
    <row r="697" spans="1:8" x14ac:dyDescent="0.45">
      <c r="A697" t="s">
        <v>1121</v>
      </c>
      <c r="B697" t="s">
        <v>105</v>
      </c>
      <c r="C697">
        <v>7350</v>
      </c>
      <c r="D697">
        <v>416.1</v>
      </c>
      <c r="E697">
        <v>46.9</v>
      </c>
      <c r="F697">
        <v>1.7</v>
      </c>
      <c r="G697">
        <v>0.4</v>
      </c>
      <c r="H697" t="s">
        <v>1210</v>
      </c>
    </row>
    <row r="698" spans="1:8" x14ac:dyDescent="0.45">
      <c r="A698" t="s">
        <v>1122</v>
      </c>
      <c r="B698" t="s">
        <v>22</v>
      </c>
      <c r="C698">
        <v>4397</v>
      </c>
      <c r="D698">
        <v>521.6</v>
      </c>
      <c r="E698">
        <v>339.8</v>
      </c>
      <c r="F698">
        <v>0.8</v>
      </c>
      <c r="G698">
        <v>0.2</v>
      </c>
      <c r="H698" t="s">
        <v>1210</v>
      </c>
    </row>
    <row r="699" spans="1:8" x14ac:dyDescent="0.45">
      <c r="A699" t="s">
        <v>1115</v>
      </c>
      <c r="B699" t="s">
        <v>100</v>
      </c>
      <c r="C699">
        <v>2544</v>
      </c>
      <c r="D699">
        <v>243.8</v>
      </c>
      <c r="E699">
        <v>34.5</v>
      </c>
      <c r="F699">
        <v>1.6</v>
      </c>
      <c r="G699">
        <v>0.6</v>
      </c>
      <c r="H699" t="s">
        <v>1210</v>
      </c>
    </row>
    <row r="700" spans="1:8" x14ac:dyDescent="0.45">
      <c r="A700" t="s">
        <v>1116</v>
      </c>
      <c r="B700" t="s">
        <v>80</v>
      </c>
      <c r="C700">
        <v>2224</v>
      </c>
      <c r="D700">
        <v>189.5</v>
      </c>
      <c r="E700">
        <v>16.8</v>
      </c>
      <c r="F700">
        <v>6.2</v>
      </c>
      <c r="G700">
        <v>1.6</v>
      </c>
      <c r="H700" t="s">
        <v>1210</v>
      </c>
    </row>
    <row r="701" spans="1:8" x14ac:dyDescent="0.45">
      <c r="A701" t="s">
        <v>1126</v>
      </c>
      <c r="B701" t="s">
        <v>67</v>
      </c>
      <c r="C701">
        <v>1156</v>
      </c>
      <c r="D701">
        <v>345.5</v>
      </c>
      <c r="E701">
        <v>122.1</v>
      </c>
      <c r="F701">
        <v>0.8</v>
      </c>
      <c r="G701">
        <v>0.2</v>
      </c>
      <c r="H701" t="s">
        <v>1210</v>
      </c>
    </row>
    <row r="702" spans="1:8" x14ac:dyDescent="0.45">
      <c r="A702" t="s">
        <v>1115</v>
      </c>
      <c r="B702" t="s">
        <v>23</v>
      </c>
      <c r="C702">
        <v>1032</v>
      </c>
      <c r="D702">
        <v>295.2</v>
      </c>
      <c r="E702">
        <v>115</v>
      </c>
      <c r="F702">
        <v>1.2</v>
      </c>
      <c r="G702">
        <v>0.6</v>
      </c>
      <c r="H702" t="s">
        <v>1210</v>
      </c>
    </row>
    <row r="703" spans="1:8" x14ac:dyDescent="0.45">
      <c r="A703" t="s">
        <v>1116</v>
      </c>
      <c r="B703" t="s">
        <v>89</v>
      </c>
      <c r="C703">
        <v>646</v>
      </c>
      <c r="D703">
        <v>268</v>
      </c>
      <c r="E703">
        <v>35.799999999999997</v>
      </c>
      <c r="F703">
        <v>7.9</v>
      </c>
      <c r="G703">
        <v>1.6</v>
      </c>
      <c r="H703" t="s">
        <v>1210</v>
      </c>
    </row>
    <row r="704" spans="1:8" x14ac:dyDescent="0.45">
      <c r="A704" t="s">
        <v>1117</v>
      </c>
      <c r="B704" t="s">
        <v>1133</v>
      </c>
      <c r="C704">
        <v>4947</v>
      </c>
      <c r="D704">
        <v>487.8</v>
      </c>
      <c r="E704">
        <v>122.6</v>
      </c>
      <c r="F704">
        <v>1.8</v>
      </c>
      <c r="G704">
        <v>0.5</v>
      </c>
      <c r="H704" t="s">
        <v>1210</v>
      </c>
    </row>
    <row r="705" spans="1:8" x14ac:dyDescent="0.45">
      <c r="A705" t="s">
        <v>1127</v>
      </c>
      <c r="B705" t="s">
        <v>1137</v>
      </c>
      <c r="C705">
        <v>2495</v>
      </c>
      <c r="D705">
        <v>252.8</v>
      </c>
      <c r="E705">
        <v>24.3</v>
      </c>
      <c r="F705">
        <v>3.9</v>
      </c>
      <c r="G705">
        <v>0.9</v>
      </c>
      <c r="H705" t="s">
        <v>1210</v>
      </c>
    </row>
    <row r="706" spans="1:8" x14ac:dyDescent="0.45">
      <c r="A706" t="s">
        <v>1126</v>
      </c>
      <c r="B706" t="s">
        <v>65</v>
      </c>
      <c r="C706">
        <v>4548</v>
      </c>
      <c r="D706">
        <v>399.7</v>
      </c>
      <c r="E706">
        <v>163.9</v>
      </c>
      <c r="F706">
        <v>1.3</v>
      </c>
      <c r="G706">
        <v>0.2</v>
      </c>
      <c r="H706" t="s">
        <v>1210</v>
      </c>
    </row>
    <row r="707" spans="1:8" x14ac:dyDescent="0.45">
      <c r="A707" t="s">
        <v>1123</v>
      </c>
      <c r="B707" t="s">
        <v>68</v>
      </c>
      <c r="C707">
        <v>564</v>
      </c>
      <c r="D707">
        <v>158.4</v>
      </c>
      <c r="E707">
        <v>16.600000000000001</v>
      </c>
      <c r="F707">
        <v>0.9</v>
      </c>
      <c r="G707">
        <v>0.3</v>
      </c>
      <c r="H707" t="s">
        <v>1210</v>
      </c>
    </row>
    <row r="708" spans="1:8" x14ac:dyDescent="0.45">
      <c r="A708" t="s">
        <v>1123</v>
      </c>
      <c r="B708" t="s">
        <v>71</v>
      </c>
      <c r="C708">
        <v>118</v>
      </c>
      <c r="D708">
        <v>230.4</v>
      </c>
      <c r="E708">
        <v>27.7</v>
      </c>
      <c r="F708">
        <v>1</v>
      </c>
      <c r="G708">
        <v>0.3</v>
      </c>
      <c r="H708" t="s">
        <v>1210</v>
      </c>
    </row>
    <row r="709" spans="1:8" x14ac:dyDescent="0.45">
      <c r="A709" t="s">
        <v>1127</v>
      </c>
      <c r="B709" t="s">
        <v>63</v>
      </c>
      <c r="C709">
        <v>1064</v>
      </c>
      <c r="D709">
        <v>1029.2</v>
      </c>
      <c r="E709">
        <v>206.2</v>
      </c>
      <c r="F709">
        <v>5.4</v>
      </c>
      <c r="G709">
        <v>0.9</v>
      </c>
      <c r="H709" t="s">
        <v>1210</v>
      </c>
    </row>
    <row r="710" spans="1:8" x14ac:dyDescent="0.45">
      <c r="A710" t="s">
        <v>1118</v>
      </c>
      <c r="B710" t="s">
        <v>10</v>
      </c>
      <c r="C710">
        <v>1624</v>
      </c>
      <c r="D710">
        <v>384.3</v>
      </c>
      <c r="E710">
        <v>60.7</v>
      </c>
      <c r="F710">
        <v>3.7</v>
      </c>
      <c r="G710">
        <v>1.5</v>
      </c>
      <c r="H710" t="s">
        <v>1210</v>
      </c>
    </row>
    <row r="711" spans="1:8" x14ac:dyDescent="0.45">
      <c r="A711" t="s">
        <v>1121</v>
      </c>
      <c r="B711" t="s">
        <v>107</v>
      </c>
      <c r="C711">
        <v>1206</v>
      </c>
      <c r="D711">
        <v>511.1</v>
      </c>
      <c r="E711">
        <v>234.5</v>
      </c>
      <c r="F711">
        <v>2.8</v>
      </c>
      <c r="G711">
        <v>0.4</v>
      </c>
      <c r="H711" t="s">
        <v>1210</v>
      </c>
    </row>
    <row r="712" spans="1:8" x14ac:dyDescent="0.45">
      <c r="A712" t="s">
        <v>1126</v>
      </c>
      <c r="B712" t="s">
        <v>18</v>
      </c>
      <c r="C712">
        <v>3160</v>
      </c>
      <c r="E712">
        <v>30.8</v>
      </c>
      <c r="F712">
        <v>0.9</v>
      </c>
      <c r="G712">
        <v>0.2</v>
      </c>
      <c r="H712" t="s">
        <v>1210</v>
      </c>
    </row>
    <row r="713" spans="1:8" x14ac:dyDescent="0.45">
      <c r="A713" t="s">
        <v>1117</v>
      </c>
      <c r="B713" t="s">
        <v>109</v>
      </c>
      <c r="C713">
        <v>7151</v>
      </c>
      <c r="D713">
        <v>529.4</v>
      </c>
      <c r="E713">
        <v>317.7</v>
      </c>
      <c r="F713">
        <v>2.2999999999999998</v>
      </c>
      <c r="G713">
        <v>0.5</v>
      </c>
      <c r="H713" t="s">
        <v>1210</v>
      </c>
    </row>
    <row r="714" spans="1:8" x14ac:dyDescent="0.45">
      <c r="A714" t="s">
        <v>1126</v>
      </c>
      <c r="B714" t="s">
        <v>22</v>
      </c>
      <c r="C714">
        <v>5356</v>
      </c>
      <c r="D714">
        <v>316.39999999999998</v>
      </c>
      <c r="E714">
        <v>128.30000000000001</v>
      </c>
      <c r="F714">
        <v>1</v>
      </c>
      <c r="G714">
        <v>0.2</v>
      </c>
      <c r="H714" t="s">
        <v>1210</v>
      </c>
    </row>
    <row r="715" spans="1:8" x14ac:dyDescent="0.45">
      <c r="A715" t="s">
        <v>1125</v>
      </c>
      <c r="B715" t="s">
        <v>37</v>
      </c>
      <c r="C715">
        <v>625</v>
      </c>
      <c r="D715">
        <v>259.8</v>
      </c>
      <c r="E715">
        <v>137.5</v>
      </c>
      <c r="F715">
        <v>2.8</v>
      </c>
      <c r="G715">
        <v>1.2</v>
      </c>
      <c r="H715" t="s">
        <v>1210</v>
      </c>
    </row>
    <row r="716" spans="1:8" x14ac:dyDescent="0.45">
      <c r="A716" t="s">
        <v>1125</v>
      </c>
      <c r="B716" t="s">
        <v>93</v>
      </c>
      <c r="C716">
        <v>2592</v>
      </c>
      <c r="D716">
        <v>189.6</v>
      </c>
      <c r="E716">
        <v>32.799999999999997</v>
      </c>
      <c r="F716">
        <v>0.6</v>
      </c>
      <c r="G716">
        <v>1.2</v>
      </c>
      <c r="H716" t="s">
        <v>1210</v>
      </c>
    </row>
    <row r="717" spans="1:8" x14ac:dyDescent="0.45">
      <c r="A717" t="s">
        <v>1119</v>
      </c>
      <c r="B717" t="s">
        <v>1141</v>
      </c>
      <c r="C717">
        <v>631</v>
      </c>
      <c r="D717">
        <v>210.7</v>
      </c>
      <c r="E717">
        <v>27.1</v>
      </c>
      <c r="F717">
        <v>2.6</v>
      </c>
      <c r="G717">
        <v>1</v>
      </c>
      <c r="H717" t="s">
        <v>1210</v>
      </c>
    </row>
    <row r="718" spans="1:8" x14ac:dyDescent="0.45">
      <c r="A718" t="s">
        <v>1115</v>
      </c>
      <c r="B718" t="s">
        <v>61</v>
      </c>
      <c r="C718">
        <v>1908</v>
      </c>
      <c r="D718">
        <v>564.1</v>
      </c>
      <c r="E718">
        <v>72.599999999999994</v>
      </c>
      <c r="F718">
        <v>0.9</v>
      </c>
      <c r="G718">
        <v>0.6</v>
      </c>
      <c r="H718" t="s">
        <v>1210</v>
      </c>
    </row>
    <row r="719" spans="1:8" x14ac:dyDescent="0.45">
      <c r="A719" t="s">
        <v>1128</v>
      </c>
      <c r="B719" t="s">
        <v>88</v>
      </c>
      <c r="C719">
        <v>499</v>
      </c>
      <c r="D719">
        <v>109.7</v>
      </c>
      <c r="E719">
        <v>52</v>
      </c>
      <c r="F719">
        <v>3.1</v>
      </c>
      <c r="G719">
        <v>0.5</v>
      </c>
      <c r="H719" t="s">
        <v>1210</v>
      </c>
    </row>
    <row r="720" spans="1:8" x14ac:dyDescent="0.45">
      <c r="A720" t="s">
        <v>1125</v>
      </c>
      <c r="B720" t="s">
        <v>45</v>
      </c>
      <c r="D720">
        <v>520.79999999999995</v>
      </c>
      <c r="E720">
        <v>75</v>
      </c>
      <c r="F720">
        <v>3.5</v>
      </c>
      <c r="G720">
        <v>1.2</v>
      </c>
    </row>
    <row r="721" spans="1:8" x14ac:dyDescent="0.45">
      <c r="A721" t="s">
        <v>1120</v>
      </c>
      <c r="B721" t="s">
        <v>1132</v>
      </c>
      <c r="C721">
        <v>1830</v>
      </c>
      <c r="D721">
        <v>289.10000000000002</v>
      </c>
      <c r="E721">
        <v>34.5</v>
      </c>
      <c r="F721">
        <v>2.2000000000000002</v>
      </c>
      <c r="G721">
        <v>0.5</v>
      </c>
      <c r="H721" t="s">
        <v>1210</v>
      </c>
    </row>
    <row r="722" spans="1:8" x14ac:dyDescent="0.45">
      <c r="A722" t="s">
        <v>1127</v>
      </c>
      <c r="B722" t="s">
        <v>56</v>
      </c>
      <c r="C722">
        <v>4740</v>
      </c>
      <c r="D722">
        <v>405.4</v>
      </c>
      <c r="E722">
        <v>77.900000000000006</v>
      </c>
      <c r="F722">
        <v>2.9</v>
      </c>
      <c r="G722">
        <v>0.9</v>
      </c>
      <c r="H722" t="s">
        <v>1210</v>
      </c>
    </row>
    <row r="723" spans="1:8" x14ac:dyDescent="0.45">
      <c r="A723" t="s">
        <v>1126</v>
      </c>
      <c r="B723" t="s">
        <v>70</v>
      </c>
      <c r="C723">
        <v>7879</v>
      </c>
      <c r="D723">
        <v>884</v>
      </c>
      <c r="E723">
        <v>240.8</v>
      </c>
      <c r="F723">
        <v>0.9</v>
      </c>
      <c r="G723">
        <v>0.2</v>
      </c>
      <c r="H723" t="s">
        <v>1210</v>
      </c>
    </row>
    <row r="724" spans="1:8" x14ac:dyDescent="0.45">
      <c r="A724" t="s">
        <v>1118</v>
      </c>
      <c r="B724" t="s">
        <v>32</v>
      </c>
      <c r="C724">
        <v>5520</v>
      </c>
      <c r="D724">
        <v>313.39999999999998</v>
      </c>
      <c r="E724">
        <v>126.9</v>
      </c>
      <c r="F724">
        <v>5.2</v>
      </c>
      <c r="G724">
        <v>1.5</v>
      </c>
      <c r="H724" t="s">
        <v>1210</v>
      </c>
    </row>
    <row r="725" spans="1:8" x14ac:dyDescent="0.45">
      <c r="A725" t="s">
        <v>1119</v>
      </c>
      <c r="B725" t="s">
        <v>19</v>
      </c>
      <c r="C725">
        <v>1719</v>
      </c>
      <c r="D725">
        <v>192.8</v>
      </c>
      <c r="E725">
        <v>49.2</v>
      </c>
      <c r="F725">
        <v>3.5</v>
      </c>
      <c r="G725">
        <v>1</v>
      </c>
      <c r="H725" t="s">
        <v>1210</v>
      </c>
    </row>
    <row r="726" spans="1:8" x14ac:dyDescent="0.45">
      <c r="A726" t="s">
        <v>1123</v>
      </c>
      <c r="B726" t="s">
        <v>103</v>
      </c>
      <c r="C726">
        <v>3818</v>
      </c>
      <c r="D726">
        <v>416.2</v>
      </c>
      <c r="E726">
        <v>81.2</v>
      </c>
      <c r="F726">
        <v>1.6</v>
      </c>
      <c r="G726">
        <v>0.3</v>
      </c>
      <c r="H726" t="s">
        <v>1210</v>
      </c>
    </row>
    <row r="727" spans="1:8" x14ac:dyDescent="0.45">
      <c r="A727" t="s">
        <v>1128</v>
      </c>
      <c r="B727" t="s">
        <v>48</v>
      </c>
      <c r="C727">
        <v>6998</v>
      </c>
      <c r="D727">
        <v>533.6</v>
      </c>
      <c r="E727">
        <v>144</v>
      </c>
      <c r="F727">
        <v>2</v>
      </c>
      <c r="G727">
        <v>0.5</v>
      </c>
      <c r="H727" t="s">
        <v>1210</v>
      </c>
    </row>
    <row r="728" spans="1:8" x14ac:dyDescent="0.45">
      <c r="A728" t="s">
        <v>1116</v>
      </c>
      <c r="B728" t="s">
        <v>43</v>
      </c>
      <c r="C728">
        <v>1645</v>
      </c>
      <c r="D728">
        <v>248.1</v>
      </c>
      <c r="E728">
        <v>127.4</v>
      </c>
      <c r="F728">
        <v>6.8</v>
      </c>
      <c r="G728">
        <v>1.6</v>
      </c>
      <c r="H728" t="s">
        <v>1210</v>
      </c>
    </row>
    <row r="729" spans="1:8" x14ac:dyDescent="0.45">
      <c r="A729" t="s">
        <v>1127</v>
      </c>
      <c r="B729" t="s">
        <v>65</v>
      </c>
      <c r="C729">
        <v>4263</v>
      </c>
      <c r="D729">
        <v>241.7</v>
      </c>
      <c r="E729">
        <v>86.2</v>
      </c>
      <c r="F729">
        <v>1.9</v>
      </c>
      <c r="G729">
        <v>0.9</v>
      </c>
      <c r="H729" t="s">
        <v>1210</v>
      </c>
    </row>
    <row r="730" spans="1:8" x14ac:dyDescent="0.45">
      <c r="A730" t="s">
        <v>1124</v>
      </c>
      <c r="B730" t="s">
        <v>96</v>
      </c>
      <c r="C730">
        <v>6350</v>
      </c>
      <c r="D730">
        <v>527.6</v>
      </c>
      <c r="E730">
        <v>98.9</v>
      </c>
      <c r="F730">
        <v>1.1000000000000001</v>
      </c>
      <c r="G730">
        <v>0.3</v>
      </c>
      <c r="H730" t="s">
        <v>1210</v>
      </c>
    </row>
    <row r="731" spans="1:8" x14ac:dyDescent="0.45">
      <c r="A731" t="s">
        <v>1121</v>
      </c>
      <c r="B731" t="s">
        <v>40</v>
      </c>
      <c r="C731">
        <v>2794</v>
      </c>
      <c r="D731">
        <v>269.39999999999998</v>
      </c>
      <c r="E731">
        <v>32.299999999999997</v>
      </c>
      <c r="F731">
        <v>2.6</v>
      </c>
      <c r="G731">
        <v>0.4</v>
      </c>
      <c r="H731" t="s">
        <v>1210</v>
      </c>
    </row>
    <row r="732" spans="1:8" x14ac:dyDescent="0.45">
      <c r="A732" t="s">
        <v>1125</v>
      </c>
      <c r="B732" t="s">
        <v>106</v>
      </c>
      <c r="C732">
        <v>3737</v>
      </c>
      <c r="D732">
        <v>383.1</v>
      </c>
      <c r="E732">
        <v>88.7</v>
      </c>
      <c r="F732">
        <v>3.9</v>
      </c>
      <c r="G732">
        <v>1.2</v>
      </c>
      <c r="H732" t="s">
        <v>1210</v>
      </c>
    </row>
    <row r="733" spans="1:8" x14ac:dyDescent="0.45">
      <c r="A733" t="s">
        <v>1127</v>
      </c>
      <c r="B733" t="s">
        <v>43</v>
      </c>
      <c r="C733">
        <v>2009</v>
      </c>
      <c r="D733">
        <v>300.7</v>
      </c>
      <c r="E733">
        <v>177.9</v>
      </c>
      <c r="F733">
        <v>2.9</v>
      </c>
      <c r="G733">
        <v>0.9</v>
      </c>
      <c r="H733" t="s">
        <v>1210</v>
      </c>
    </row>
    <row r="734" spans="1:8" x14ac:dyDescent="0.45">
      <c r="A734" t="s">
        <v>1119</v>
      </c>
      <c r="B734" t="s">
        <v>52</v>
      </c>
      <c r="C734">
        <v>3532</v>
      </c>
      <c r="D734">
        <v>220.1</v>
      </c>
      <c r="E734">
        <v>71.8</v>
      </c>
      <c r="F734">
        <v>3.5</v>
      </c>
      <c r="G734">
        <v>1</v>
      </c>
      <c r="H734" t="s">
        <v>1210</v>
      </c>
    </row>
    <row r="735" spans="1:8" x14ac:dyDescent="0.45">
      <c r="A735" t="s">
        <v>1117</v>
      </c>
      <c r="B735" t="s">
        <v>20</v>
      </c>
      <c r="C735">
        <v>1558</v>
      </c>
      <c r="D735">
        <v>519.79999999999995</v>
      </c>
      <c r="E735">
        <v>91</v>
      </c>
      <c r="F735">
        <v>1.2</v>
      </c>
      <c r="G735">
        <v>0.5</v>
      </c>
      <c r="H735" t="s">
        <v>1210</v>
      </c>
    </row>
    <row r="736" spans="1:8" x14ac:dyDescent="0.45">
      <c r="A736" t="s">
        <v>1114</v>
      </c>
      <c r="B736" t="s">
        <v>81</v>
      </c>
      <c r="C736">
        <v>4243</v>
      </c>
      <c r="D736">
        <v>717.3</v>
      </c>
      <c r="E736">
        <v>139.6</v>
      </c>
      <c r="F736">
        <v>6.6</v>
      </c>
      <c r="G736">
        <v>1.3</v>
      </c>
      <c r="H736" t="s">
        <v>1210</v>
      </c>
    </row>
    <row r="737" spans="1:8" x14ac:dyDescent="0.45">
      <c r="A737" t="s">
        <v>1128</v>
      </c>
      <c r="B737" t="s">
        <v>45</v>
      </c>
      <c r="C737">
        <v>2472</v>
      </c>
      <c r="D737">
        <v>419.7</v>
      </c>
      <c r="E737">
        <v>69.400000000000006</v>
      </c>
      <c r="F737">
        <v>1.8</v>
      </c>
      <c r="G737">
        <v>0.5</v>
      </c>
      <c r="H737" t="s">
        <v>1210</v>
      </c>
    </row>
    <row r="738" spans="1:8" x14ac:dyDescent="0.45">
      <c r="A738" t="s">
        <v>1128</v>
      </c>
      <c r="B738" t="s">
        <v>99</v>
      </c>
      <c r="C738">
        <v>2311</v>
      </c>
      <c r="D738">
        <v>588.4</v>
      </c>
      <c r="E738">
        <v>91.5</v>
      </c>
      <c r="F738">
        <v>1.3</v>
      </c>
      <c r="G738">
        <v>0.5</v>
      </c>
      <c r="H738" t="s">
        <v>1210</v>
      </c>
    </row>
    <row r="739" spans="1:8" x14ac:dyDescent="0.45">
      <c r="A739" t="s">
        <v>1126</v>
      </c>
      <c r="B739" t="s">
        <v>69</v>
      </c>
      <c r="C739">
        <v>5399</v>
      </c>
      <c r="D739">
        <v>374.6</v>
      </c>
      <c r="E739">
        <v>196.9</v>
      </c>
      <c r="F739">
        <v>0.9</v>
      </c>
      <c r="G739">
        <v>0.2</v>
      </c>
      <c r="H739" t="s">
        <v>1210</v>
      </c>
    </row>
    <row r="740" spans="1:8" x14ac:dyDescent="0.45">
      <c r="A740" t="s">
        <v>1119</v>
      </c>
      <c r="B740" t="s">
        <v>22</v>
      </c>
      <c r="C740">
        <v>3653</v>
      </c>
      <c r="D740">
        <v>694</v>
      </c>
      <c r="E740">
        <v>298.2</v>
      </c>
      <c r="F740">
        <v>4.3</v>
      </c>
      <c r="G740">
        <v>1</v>
      </c>
      <c r="H740" t="s">
        <v>1210</v>
      </c>
    </row>
    <row r="741" spans="1:8" x14ac:dyDescent="0.45">
      <c r="A741" t="s">
        <v>1128</v>
      </c>
      <c r="B741" t="s">
        <v>109</v>
      </c>
      <c r="C741">
        <v>7582</v>
      </c>
      <c r="D741">
        <v>518.1</v>
      </c>
      <c r="E741">
        <v>358.9</v>
      </c>
      <c r="F741">
        <v>1.5</v>
      </c>
      <c r="G741">
        <v>0.5</v>
      </c>
      <c r="H741" t="s">
        <v>1210</v>
      </c>
    </row>
    <row r="742" spans="1:8" x14ac:dyDescent="0.45">
      <c r="A742" t="s">
        <v>1127</v>
      </c>
      <c r="B742" t="s">
        <v>1131</v>
      </c>
      <c r="C742">
        <v>536</v>
      </c>
      <c r="D742">
        <v>223.9</v>
      </c>
      <c r="E742">
        <v>152.1</v>
      </c>
      <c r="F742">
        <v>4.0999999999999996</v>
      </c>
      <c r="G742">
        <v>0.9</v>
      </c>
      <c r="H742" t="s">
        <v>1210</v>
      </c>
    </row>
    <row r="743" spans="1:8" x14ac:dyDescent="0.45">
      <c r="A743" t="s">
        <v>1126</v>
      </c>
      <c r="B743" t="s">
        <v>24</v>
      </c>
      <c r="C743">
        <v>1462</v>
      </c>
      <c r="D743">
        <v>410.7</v>
      </c>
      <c r="E743">
        <v>73.8</v>
      </c>
      <c r="F743">
        <v>0.9</v>
      </c>
      <c r="G743">
        <v>0.2</v>
      </c>
      <c r="H743" t="s">
        <v>1210</v>
      </c>
    </row>
    <row r="744" spans="1:8" x14ac:dyDescent="0.45">
      <c r="A744" t="s">
        <v>1117</v>
      </c>
      <c r="B744" t="s">
        <v>67</v>
      </c>
      <c r="C744">
        <v>4691</v>
      </c>
      <c r="D744">
        <v>275.8</v>
      </c>
      <c r="E744">
        <v>77</v>
      </c>
      <c r="F744">
        <v>1.7</v>
      </c>
      <c r="G744">
        <v>0.5</v>
      </c>
      <c r="H744" t="s">
        <v>1210</v>
      </c>
    </row>
    <row r="745" spans="1:8" x14ac:dyDescent="0.45">
      <c r="A745" t="s">
        <v>1120</v>
      </c>
      <c r="B745" t="s">
        <v>85</v>
      </c>
      <c r="C745">
        <v>1560</v>
      </c>
      <c r="D745">
        <v>231.6</v>
      </c>
      <c r="E745">
        <v>110.1</v>
      </c>
      <c r="F745">
        <v>1.6</v>
      </c>
      <c r="G745">
        <v>0.5</v>
      </c>
      <c r="H745" t="s">
        <v>1210</v>
      </c>
    </row>
    <row r="746" spans="1:8" x14ac:dyDescent="0.45">
      <c r="A746" t="s">
        <v>1123</v>
      </c>
      <c r="B746" t="s">
        <v>92</v>
      </c>
      <c r="C746">
        <v>1547</v>
      </c>
      <c r="D746">
        <v>213.8</v>
      </c>
      <c r="E746">
        <v>54.3</v>
      </c>
      <c r="F746">
        <v>0.7</v>
      </c>
      <c r="G746">
        <v>0.3</v>
      </c>
      <c r="H746" t="s">
        <v>1210</v>
      </c>
    </row>
    <row r="747" spans="1:8" x14ac:dyDescent="0.45">
      <c r="A747" t="s">
        <v>1118</v>
      </c>
      <c r="B747" t="s">
        <v>33</v>
      </c>
      <c r="C747">
        <v>1991</v>
      </c>
      <c r="D747">
        <v>233.7</v>
      </c>
      <c r="E747">
        <v>25.2</v>
      </c>
      <c r="F747">
        <v>5.7</v>
      </c>
      <c r="G747">
        <v>1.5</v>
      </c>
      <c r="H747" t="s">
        <v>1210</v>
      </c>
    </row>
    <row r="748" spans="1:8" x14ac:dyDescent="0.45">
      <c r="A748" t="s">
        <v>1123</v>
      </c>
      <c r="B748" t="s">
        <v>47</v>
      </c>
      <c r="C748">
        <v>1797</v>
      </c>
      <c r="D748">
        <v>366.8</v>
      </c>
      <c r="E748">
        <v>50.7</v>
      </c>
      <c r="F748">
        <v>1.1000000000000001</v>
      </c>
      <c r="G748">
        <v>0.3</v>
      </c>
      <c r="H748" t="s">
        <v>1210</v>
      </c>
    </row>
    <row r="749" spans="1:8" x14ac:dyDescent="0.45">
      <c r="A749" t="s">
        <v>1120</v>
      </c>
      <c r="B749" t="s">
        <v>35</v>
      </c>
      <c r="C749">
        <v>6072</v>
      </c>
      <c r="D749">
        <v>570.5</v>
      </c>
      <c r="E749">
        <v>90.1</v>
      </c>
      <c r="F749">
        <v>1.4</v>
      </c>
      <c r="G749">
        <v>0.5</v>
      </c>
      <c r="H749" t="s">
        <v>1210</v>
      </c>
    </row>
    <row r="750" spans="1:8" x14ac:dyDescent="0.45">
      <c r="A750" t="s">
        <v>1120</v>
      </c>
      <c r="B750" t="s">
        <v>29</v>
      </c>
      <c r="C750">
        <v>2339</v>
      </c>
      <c r="E750">
        <v>181</v>
      </c>
      <c r="F750">
        <v>1.9</v>
      </c>
      <c r="G750">
        <v>0.5</v>
      </c>
      <c r="H750" t="s">
        <v>1210</v>
      </c>
    </row>
    <row r="751" spans="1:8" x14ac:dyDescent="0.45">
      <c r="A751" t="s">
        <v>1128</v>
      </c>
      <c r="B751" t="s">
        <v>53</v>
      </c>
      <c r="C751">
        <v>4135</v>
      </c>
      <c r="D751">
        <v>484.5</v>
      </c>
      <c r="E751">
        <v>184.6</v>
      </c>
      <c r="F751">
        <v>1.6</v>
      </c>
      <c r="G751">
        <v>0.5</v>
      </c>
      <c r="H751" t="s">
        <v>1210</v>
      </c>
    </row>
    <row r="752" spans="1:8" x14ac:dyDescent="0.45">
      <c r="A752" t="s">
        <v>1126</v>
      </c>
      <c r="B752" t="s">
        <v>40</v>
      </c>
      <c r="C752">
        <v>3657</v>
      </c>
      <c r="D752">
        <v>463</v>
      </c>
      <c r="E752">
        <v>38.5</v>
      </c>
      <c r="F752">
        <v>0.7</v>
      </c>
      <c r="G752">
        <v>0.2</v>
      </c>
      <c r="H752" t="s">
        <v>1210</v>
      </c>
    </row>
    <row r="753" spans="1:8" x14ac:dyDescent="0.45">
      <c r="A753" t="s">
        <v>1118</v>
      </c>
      <c r="B753" t="s">
        <v>75</v>
      </c>
      <c r="C753">
        <v>6733</v>
      </c>
      <c r="D753">
        <v>380.5</v>
      </c>
      <c r="E753">
        <v>74</v>
      </c>
      <c r="F753">
        <v>4.8</v>
      </c>
      <c r="G753">
        <v>1.5</v>
      </c>
      <c r="H753" t="s">
        <v>1210</v>
      </c>
    </row>
    <row r="754" spans="1:8" x14ac:dyDescent="0.45">
      <c r="A754" t="s">
        <v>1117</v>
      </c>
      <c r="B754" t="s">
        <v>85</v>
      </c>
      <c r="C754">
        <v>212</v>
      </c>
      <c r="D754">
        <v>304.10000000000002</v>
      </c>
      <c r="E754">
        <v>139.69999999999999</v>
      </c>
      <c r="F754">
        <v>1.7</v>
      </c>
      <c r="G754">
        <v>0.5</v>
      </c>
      <c r="H754" t="s">
        <v>1210</v>
      </c>
    </row>
    <row r="755" spans="1:8" x14ac:dyDescent="0.45">
      <c r="A755" t="s">
        <v>1114</v>
      </c>
      <c r="B755" t="s">
        <v>80</v>
      </c>
      <c r="C755">
        <v>7139</v>
      </c>
      <c r="D755">
        <v>433.6</v>
      </c>
      <c r="E755">
        <v>55</v>
      </c>
      <c r="F755">
        <v>4.4000000000000004</v>
      </c>
      <c r="G755">
        <v>1.3</v>
      </c>
      <c r="H755" t="s">
        <v>1210</v>
      </c>
    </row>
    <row r="756" spans="1:8" x14ac:dyDescent="0.45">
      <c r="A756" t="s">
        <v>1125</v>
      </c>
      <c r="B756" t="s">
        <v>36</v>
      </c>
      <c r="C756">
        <v>4014</v>
      </c>
      <c r="D756">
        <v>263.2</v>
      </c>
      <c r="E756">
        <v>91.8</v>
      </c>
      <c r="F756">
        <v>1.7</v>
      </c>
      <c r="G756">
        <v>1.2</v>
      </c>
      <c r="H756" t="s">
        <v>1210</v>
      </c>
    </row>
    <row r="757" spans="1:8" x14ac:dyDescent="0.45">
      <c r="A757" t="s">
        <v>1119</v>
      </c>
      <c r="B757" t="s">
        <v>1134</v>
      </c>
      <c r="C757">
        <v>6590</v>
      </c>
      <c r="D757">
        <v>519.70000000000005</v>
      </c>
      <c r="E757">
        <v>69</v>
      </c>
      <c r="F757">
        <v>4.4000000000000004</v>
      </c>
      <c r="G757">
        <v>1</v>
      </c>
      <c r="H757" t="s">
        <v>1210</v>
      </c>
    </row>
    <row r="758" spans="1:8" x14ac:dyDescent="0.45">
      <c r="A758" t="s">
        <v>1127</v>
      </c>
      <c r="B758" t="s">
        <v>108</v>
      </c>
      <c r="C758">
        <v>1830</v>
      </c>
      <c r="D758">
        <v>350</v>
      </c>
      <c r="E758">
        <v>45.8</v>
      </c>
      <c r="F758">
        <v>3.8</v>
      </c>
      <c r="G758">
        <v>0.9</v>
      </c>
      <c r="H758" t="s">
        <v>1210</v>
      </c>
    </row>
    <row r="759" spans="1:8" x14ac:dyDescent="0.45">
      <c r="A759" t="s">
        <v>1125</v>
      </c>
      <c r="B759" t="s">
        <v>53</v>
      </c>
      <c r="C759">
        <v>3018</v>
      </c>
      <c r="D759">
        <v>245.7</v>
      </c>
      <c r="E759">
        <v>72.599999999999994</v>
      </c>
      <c r="F759">
        <v>3.4</v>
      </c>
      <c r="G759">
        <v>1.2</v>
      </c>
      <c r="H759" t="s">
        <v>1210</v>
      </c>
    </row>
    <row r="760" spans="1:8" x14ac:dyDescent="0.45">
      <c r="A760" t="s">
        <v>1126</v>
      </c>
      <c r="B760" t="s">
        <v>100</v>
      </c>
      <c r="D760">
        <v>354.2</v>
      </c>
      <c r="E760">
        <v>31.9</v>
      </c>
      <c r="F760">
        <v>1.2</v>
      </c>
      <c r="G760">
        <v>0.2</v>
      </c>
    </row>
    <row r="761" spans="1:8" x14ac:dyDescent="0.45">
      <c r="A761" t="s">
        <v>1125</v>
      </c>
      <c r="B761" t="s">
        <v>100</v>
      </c>
      <c r="C761">
        <v>5185</v>
      </c>
      <c r="D761">
        <v>513.4</v>
      </c>
      <c r="E761">
        <v>67.8</v>
      </c>
      <c r="F761">
        <v>1.1000000000000001</v>
      </c>
      <c r="G761">
        <v>1.2</v>
      </c>
      <c r="H761" t="s">
        <v>1210</v>
      </c>
    </row>
    <row r="762" spans="1:8" x14ac:dyDescent="0.45">
      <c r="A762" t="s">
        <v>1125</v>
      </c>
      <c r="B762" t="s">
        <v>42</v>
      </c>
      <c r="C762">
        <v>4249</v>
      </c>
      <c r="E762">
        <v>117</v>
      </c>
      <c r="F762">
        <v>4.9000000000000004</v>
      </c>
      <c r="G762">
        <v>1.2</v>
      </c>
      <c r="H762" t="s">
        <v>1210</v>
      </c>
    </row>
    <row r="763" spans="1:8" x14ac:dyDescent="0.45">
      <c r="A763" t="s">
        <v>1121</v>
      </c>
      <c r="B763" t="s">
        <v>1133</v>
      </c>
      <c r="C763">
        <v>7744</v>
      </c>
      <c r="D763">
        <v>517.70000000000005</v>
      </c>
      <c r="E763">
        <v>147.4</v>
      </c>
      <c r="F763">
        <v>2</v>
      </c>
      <c r="G763">
        <v>0.4</v>
      </c>
      <c r="H763" t="s">
        <v>1210</v>
      </c>
    </row>
    <row r="764" spans="1:8" x14ac:dyDescent="0.45">
      <c r="A764" t="s">
        <v>1120</v>
      </c>
      <c r="B764" t="s">
        <v>37</v>
      </c>
      <c r="C764">
        <v>3882</v>
      </c>
      <c r="D764">
        <v>246.6</v>
      </c>
      <c r="E764">
        <v>165.1</v>
      </c>
      <c r="F764">
        <v>2.2000000000000002</v>
      </c>
      <c r="G764">
        <v>0.5</v>
      </c>
      <c r="H764" t="s">
        <v>1210</v>
      </c>
    </row>
    <row r="765" spans="1:8" x14ac:dyDescent="0.45">
      <c r="A765" t="s">
        <v>1115</v>
      </c>
      <c r="B765" t="s">
        <v>1133</v>
      </c>
      <c r="C765">
        <v>3463</v>
      </c>
      <c r="D765">
        <v>654.20000000000005</v>
      </c>
      <c r="E765">
        <v>173.4</v>
      </c>
      <c r="F765">
        <v>1.8</v>
      </c>
      <c r="G765">
        <v>0.6</v>
      </c>
      <c r="H765" t="s">
        <v>1210</v>
      </c>
    </row>
    <row r="766" spans="1:8" x14ac:dyDescent="0.45">
      <c r="A766" t="s">
        <v>1124</v>
      </c>
      <c r="B766" t="s">
        <v>48</v>
      </c>
      <c r="C766">
        <v>4522</v>
      </c>
      <c r="D766">
        <v>593.5</v>
      </c>
      <c r="E766">
        <v>129.80000000000001</v>
      </c>
      <c r="F766">
        <v>1.1000000000000001</v>
      </c>
      <c r="G766">
        <v>0.3</v>
      </c>
      <c r="H766" t="s">
        <v>1210</v>
      </c>
    </row>
    <row r="767" spans="1:8" x14ac:dyDescent="0.45">
      <c r="A767" t="s">
        <v>1127</v>
      </c>
      <c r="B767" t="s">
        <v>62</v>
      </c>
      <c r="C767">
        <v>2324</v>
      </c>
      <c r="D767">
        <v>424.1</v>
      </c>
      <c r="E767">
        <v>40.200000000000003</v>
      </c>
      <c r="F767">
        <v>2.9</v>
      </c>
      <c r="G767">
        <v>0.9</v>
      </c>
      <c r="H767" t="s">
        <v>1210</v>
      </c>
    </row>
    <row r="768" spans="1:8" x14ac:dyDescent="0.45">
      <c r="A768" t="s">
        <v>1122</v>
      </c>
      <c r="B768" t="s">
        <v>12</v>
      </c>
      <c r="C768">
        <v>7941</v>
      </c>
      <c r="D768">
        <v>577.5</v>
      </c>
      <c r="E768">
        <v>79.7</v>
      </c>
      <c r="F768">
        <v>1.1000000000000001</v>
      </c>
      <c r="G768">
        <v>0.2</v>
      </c>
      <c r="H768" t="s">
        <v>1210</v>
      </c>
    </row>
    <row r="769" spans="1:8" x14ac:dyDescent="0.45">
      <c r="A769" t="s">
        <v>1127</v>
      </c>
      <c r="B769" t="s">
        <v>68</v>
      </c>
      <c r="C769">
        <v>1383</v>
      </c>
      <c r="D769">
        <v>385.3</v>
      </c>
      <c r="E769">
        <v>50.7</v>
      </c>
      <c r="F769">
        <v>2.8</v>
      </c>
      <c r="G769">
        <v>0.9</v>
      </c>
      <c r="H769" t="s">
        <v>1210</v>
      </c>
    </row>
    <row r="770" spans="1:8" x14ac:dyDescent="0.45">
      <c r="A770" t="s">
        <v>1128</v>
      </c>
      <c r="B770" t="s">
        <v>100</v>
      </c>
      <c r="C770">
        <v>2270</v>
      </c>
      <c r="D770">
        <v>265.60000000000002</v>
      </c>
      <c r="E770">
        <v>39.5</v>
      </c>
      <c r="F770">
        <v>2.2999999999999998</v>
      </c>
      <c r="G770">
        <v>0.5</v>
      </c>
      <c r="H770" t="s">
        <v>1210</v>
      </c>
    </row>
    <row r="771" spans="1:8" x14ac:dyDescent="0.45">
      <c r="A771" t="s">
        <v>1115</v>
      </c>
      <c r="B771" t="s">
        <v>98</v>
      </c>
      <c r="C771">
        <v>4905</v>
      </c>
      <c r="D771">
        <v>482.8</v>
      </c>
      <c r="E771">
        <v>140.69999999999999</v>
      </c>
      <c r="F771">
        <v>1.4</v>
      </c>
      <c r="G771">
        <v>0.6</v>
      </c>
      <c r="H771" t="s">
        <v>1210</v>
      </c>
    </row>
    <row r="772" spans="1:8" x14ac:dyDescent="0.45">
      <c r="A772" t="s">
        <v>1123</v>
      </c>
      <c r="B772" t="s">
        <v>74</v>
      </c>
      <c r="C772">
        <v>8757</v>
      </c>
      <c r="D772">
        <v>529.6</v>
      </c>
      <c r="E772">
        <v>251.8</v>
      </c>
      <c r="F772">
        <v>0.7</v>
      </c>
      <c r="G772">
        <v>0.3</v>
      </c>
      <c r="H772" t="s">
        <v>1210</v>
      </c>
    </row>
    <row r="773" spans="1:8" x14ac:dyDescent="0.45">
      <c r="A773" t="s">
        <v>1126</v>
      </c>
      <c r="B773" t="s">
        <v>1132</v>
      </c>
      <c r="C773">
        <v>5806</v>
      </c>
      <c r="D773">
        <v>363.4</v>
      </c>
      <c r="E773">
        <v>45.3</v>
      </c>
      <c r="F773">
        <v>1.2</v>
      </c>
      <c r="G773">
        <v>0.2</v>
      </c>
      <c r="H773" t="s">
        <v>1210</v>
      </c>
    </row>
    <row r="774" spans="1:8" x14ac:dyDescent="0.45">
      <c r="A774" t="s">
        <v>1128</v>
      </c>
      <c r="B774" t="s">
        <v>1130</v>
      </c>
      <c r="C774">
        <v>1802</v>
      </c>
      <c r="D774">
        <v>490.6</v>
      </c>
      <c r="E774">
        <v>314.10000000000002</v>
      </c>
      <c r="F774">
        <v>1.8</v>
      </c>
      <c r="G774">
        <v>0.5</v>
      </c>
      <c r="H774" t="s">
        <v>1210</v>
      </c>
    </row>
    <row r="775" spans="1:8" x14ac:dyDescent="0.45">
      <c r="A775" t="s">
        <v>1120</v>
      </c>
      <c r="B775" t="s">
        <v>74</v>
      </c>
      <c r="C775">
        <v>2492</v>
      </c>
      <c r="D775">
        <v>183.2</v>
      </c>
      <c r="E775">
        <v>84.3</v>
      </c>
      <c r="F775">
        <v>2</v>
      </c>
      <c r="G775">
        <v>0.5</v>
      </c>
      <c r="H775" t="s">
        <v>1210</v>
      </c>
    </row>
    <row r="776" spans="1:8" x14ac:dyDescent="0.45">
      <c r="A776" t="s">
        <v>1124</v>
      </c>
      <c r="B776" t="s">
        <v>25</v>
      </c>
      <c r="C776">
        <v>4842</v>
      </c>
      <c r="D776">
        <v>437.6</v>
      </c>
      <c r="E776">
        <v>181.3</v>
      </c>
      <c r="F776">
        <v>1.2</v>
      </c>
      <c r="G776">
        <v>0.3</v>
      </c>
      <c r="H776" t="s">
        <v>1210</v>
      </c>
    </row>
    <row r="777" spans="1:8" x14ac:dyDescent="0.45">
      <c r="A777" t="s">
        <v>1128</v>
      </c>
      <c r="B777" t="s">
        <v>49</v>
      </c>
      <c r="C777">
        <v>6395</v>
      </c>
      <c r="D777">
        <v>373.2</v>
      </c>
      <c r="E777">
        <v>43.1</v>
      </c>
      <c r="F777">
        <v>2.1</v>
      </c>
      <c r="G777">
        <v>0.5</v>
      </c>
      <c r="H777" t="s">
        <v>1210</v>
      </c>
    </row>
    <row r="778" spans="1:8" x14ac:dyDescent="0.45">
      <c r="A778" t="s">
        <v>1126</v>
      </c>
      <c r="B778" t="s">
        <v>71</v>
      </c>
      <c r="C778">
        <v>784</v>
      </c>
      <c r="D778">
        <v>228.7</v>
      </c>
      <c r="E778">
        <v>27</v>
      </c>
      <c r="F778">
        <v>1</v>
      </c>
      <c r="G778">
        <v>0.2</v>
      </c>
      <c r="H778" t="s">
        <v>1210</v>
      </c>
    </row>
    <row r="779" spans="1:8" x14ac:dyDescent="0.45">
      <c r="A779" t="s">
        <v>1120</v>
      </c>
      <c r="B779" t="s">
        <v>41</v>
      </c>
      <c r="C779">
        <v>1747</v>
      </c>
      <c r="D779">
        <v>164.4</v>
      </c>
      <c r="E779">
        <v>64.900000000000006</v>
      </c>
      <c r="F779">
        <v>2</v>
      </c>
      <c r="G779">
        <v>0.5</v>
      </c>
      <c r="H779" t="s">
        <v>1210</v>
      </c>
    </row>
    <row r="780" spans="1:8" x14ac:dyDescent="0.45">
      <c r="A780" t="s">
        <v>1121</v>
      </c>
      <c r="B780" t="s">
        <v>57</v>
      </c>
      <c r="C780">
        <v>2863</v>
      </c>
      <c r="D780">
        <v>194</v>
      </c>
      <c r="E780">
        <v>18</v>
      </c>
      <c r="F780">
        <v>2.5</v>
      </c>
      <c r="G780">
        <v>0.4</v>
      </c>
      <c r="H780" t="s">
        <v>1210</v>
      </c>
    </row>
    <row r="781" spans="1:8" x14ac:dyDescent="0.45">
      <c r="A781" t="s">
        <v>1122</v>
      </c>
      <c r="B781" t="s">
        <v>68</v>
      </c>
      <c r="C781">
        <v>4951</v>
      </c>
      <c r="D781">
        <v>593.4</v>
      </c>
      <c r="E781">
        <v>70</v>
      </c>
      <c r="F781">
        <v>1</v>
      </c>
      <c r="G781">
        <v>0.2</v>
      </c>
      <c r="H781" t="s">
        <v>1210</v>
      </c>
    </row>
    <row r="782" spans="1:8" x14ac:dyDescent="0.45">
      <c r="A782" t="s">
        <v>1115</v>
      </c>
      <c r="B782" t="s">
        <v>68</v>
      </c>
      <c r="D782">
        <v>456.9</v>
      </c>
      <c r="E782">
        <v>88.2</v>
      </c>
      <c r="F782">
        <v>3.2</v>
      </c>
      <c r="G782">
        <v>0.6</v>
      </c>
    </row>
    <row r="783" spans="1:8" x14ac:dyDescent="0.45">
      <c r="A783" t="s">
        <v>1114</v>
      </c>
      <c r="B783" t="s">
        <v>44</v>
      </c>
      <c r="C783">
        <v>2596</v>
      </c>
      <c r="E783">
        <v>82.4</v>
      </c>
      <c r="F783">
        <v>3.8</v>
      </c>
      <c r="G783">
        <v>1.3</v>
      </c>
      <c r="H783" t="s">
        <v>1210</v>
      </c>
    </row>
    <row r="784" spans="1:8" x14ac:dyDescent="0.45">
      <c r="A784" t="s">
        <v>1116</v>
      </c>
      <c r="B784" t="s">
        <v>1135</v>
      </c>
      <c r="C784">
        <v>1573</v>
      </c>
      <c r="D784">
        <v>570.4</v>
      </c>
      <c r="E784">
        <v>61.2</v>
      </c>
      <c r="F784">
        <v>2.9</v>
      </c>
      <c r="G784">
        <v>1.6</v>
      </c>
      <c r="H784" t="s">
        <v>1210</v>
      </c>
    </row>
    <row r="785" spans="1:8" x14ac:dyDescent="0.45">
      <c r="A785" t="s">
        <v>1127</v>
      </c>
      <c r="B785" t="s">
        <v>106</v>
      </c>
      <c r="C785">
        <v>1676</v>
      </c>
      <c r="D785">
        <v>571.1</v>
      </c>
      <c r="E785">
        <v>123.7</v>
      </c>
      <c r="F785">
        <v>2.2000000000000002</v>
      </c>
      <c r="G785">
        <v>0.9</v>
      </c>
      <c r="H785" t="s">
        <v>1210</v>
      </c>
    </row>
    <row r="786" spans="1:8" x14ac:dyDescent="0.45">
      <c r="A786" t="s">
        <v>1121</v>
      </c>
      <c r="B786" t="s">
        <v>63</v>
      </c>
      <c r="C786">
        <v>3919</v>
      </c>
      <c r="D786">
        <v>388.3</v>
      </c>
      <c r="E786">
        <v>78</v>
      </c>
      <c r="F786">
        <v>1.6</v>
      </c>
      <c r="G786">
        <v>0.4</v>
      </c>
      <c r="H786" t="s">
        <v>1210</v>
      </c>
    </row>
    <row r="787" spans="1:8" x14ac:dyDescent="0.45">
      <c r="A787" t="s">
        <v>1118</v>
      </c>
      <c r="B787" t="s">
        <v>44</v>
      </c>
      <c r="C787">
        <v>3467</v>
      </c>
      <c r="D787">
        <v>416.7</v>
      </c>
      <c r="E787">
        <v>108.7</v>
      </c>
      <c r="F787">
        <v>6.6</v>
      </c>
      <c r="G787">
        <v>1.5</v>
      </c>
      <c r="H787" t="s">
        <v>1210</v>
      </c>
    </row>
    <row r="788" spans="1:8" x14ac:dyDescent="0.45">
      <c r="A788" t="s">
        <v>1116</v>
      </c>
      <c r="B788" t="s">
        <v>71</v>
      </c>
      <c r="C788">
        <v>841</v>
      </c>
      <c r="E788">
        <v>52.3</v>
      </c>
      <c r="F788">
        <v>4.4000000000000004</v>
      </c>
      <c r="G788">
        <v>1.6</v>
      </c>
      <c r="H788" t="s">
        <v>1210</v>
      </c>
    </row>
    <row r="789" spans="1:8" x14ac:dyDescent="0.45">
      <c r="A789" t="s">
        <v>1120</v>
      </c>
      <c r="B789" t="s">
        <v>1140</v>
      </c>
      <c r="C789">
        <v>872</v>
      </c>
      <c r="D789">
        <v>313.3</v>
      </c>
      <c r="E789">
        <v>39.700000000000003</v>
      </c>
      <c r="F789">
        <v>1.6</v>
      </c>
      <c r="G789">
        <v>0.5</v>
      </c>
      <c r="H789" t="s">
        <v>1210</v>
      </c>
    </row>
    <row r="790" spans="1:8" x14ac:dyDescent="0.45">
      <c r="A790" t="s">
        <v>1120</v>
      </c>
      <c r="B790" t="s">
        <v>57</v>
      </c>
      <c r="C790">
        <v>2298</v>
      </c>
      <c r="D790">
        <v>209.7</v>
      </c>
      <c r="E790">
        <v>27</v>
      </c>
      <c r="F790">
        <v>1.7</v>
      </c>
      <c r="G790">
        <v>0.5</v>
      </c>
      <c r="H790" t="s">
        <v>1210</v>
      </c>
    </row>
    <row r="791" spans="1:8" x14ac:dyDescent="0.45">
      <c r="A791" t="s">
        <v>1116</v>
      </c>
      <c r="B791" t="s">
        <v>40</v>
      </c>
      <c r="C791">
        <v>2592</v>
      </c>
      <c r="D791">
        <v>189.6</v>
      </c>
      <c r="E791">
        <v>24.2</v>
      </c>
      <c r="F791">
        <v>5.6</v>
      </c>
      <c r="G791">
        <v>1.6</v>
      </c>
      <c r="H791" t="s">
        <v>1210</v>
      </c>
    </row>
    <row r="792" spans="1:8" x14ac:dyDescent="0.45">
      <c r="A792" t="s">
        <v>1117</v>
      </c>
      <c r="B792" t="s">
        <v>5</v>
      </c>
      <c r="D792">
        <v>167.3</v>
      </c>
      <c r="E792">
        <v>18.8</v>
      </c>
      <c r="F792">
        <v>2.4</v>
      </c>
      <c r="G792">
        <v>0.5</v>
      </c>
    </row>
    <row r="793" spans="1:8" x14ac:dyDescent="0.45">
      <c r="A793" t="s">
        <v>1114</v>
      </c>
      <c r="B793" t="s">
        <v>102</v>
      </c>
      <c r="C793">
        <v>3734</v>
      </c>
      <c r="D793">
        <v>311.3</v>
      </c>
      <c r="E793">
        <v>29</v>
      </c>
      <c r="F793">
        <v>2.4</v>
      </c>
      <c r="G793">
        <v>1.3</v>
      </c>
      <c r="H793" t="s">
        <v>1210</v>
      </c>
    </row>
    <row r="794" spans="1:8" x14ac:dyDescent="0.45">
      <c r="A794" t="s">
        <v>1115</v>
      </c>
      <c r="B794" t="s">
        <v>22</v>
      </c>
      <c r="C794">
        <v>4612</v>
      </c>
      <c r="D794">
        <v>432.4</v>
      </c>
      <c r="E794">
        <v>238.5</v>
      </c>
      <c r="F794">
        <v>2.2999999999999998</v>
      </c>
      <c r="G794">
        <v>0.6</v>
      </c>
      <c r="H794" t="s">
        <v>1210</v>
      </c>
    </row>
    <row r="795" spans="1:8" x14ac:dyDescent="0.45">
      <c r="A795" t="s">
        <v>1117</v>
      </c>
      <c r="B795" t="s">
        <v>63</v>
      </c>
      <c r="C795">
        <v>1844</v>
      </c>
      <c r="D795">
        <v>276.89999999999998</v>
      </c>
      <c r="E795">
        <v>64.599999999999994</v>
      </c>
      <c r="F795">
        <v>1.6</v>
      </c>
      <c r="G795">
        <v>0.5</v>
      </c>
      <c r="H795" t="s">
        <v>1210</v>
      </c>
    </row>
    <row r="796" spans="1:8" x14ac:dyDescent="0.45">
      <c r="A796" t="s">
        <v>1117</v>
      </c>
      <c r="B796" t="s">
        <v>35</v>
      </c>
      <c r="C796">
        <v>3310</v>
      </c>
      <c r="D796">
        <v>224</v>
      </c>
      <c r="E796">
        <v>37.4</v>
      </c>
      <c r="F796">
        <v>1.2</v>
      </c>
      <c r="G796">
        <v>0.5</v>
      </c>
      <c r="H796" t="s">
        <v>1210</v>
      </c>
    </row>
    <row r="797" spans="1:8" x14ac:dyDescent="0.45">
      <c r="A797" t="s">
        <v>1120</v>
      </c>
      <c r="B797" t="s">
        <v>84</v>
      </c>
      <c r="D797">
        <v>522.29999999999995</v>
      </c>
      <c r="E797">
        <v>175.5</v>
      </c>
      <c r="F797">
        <v>2.2999999999999998</v>
      </c>
      <c r="G797">
        <v>0.5</v>
      </c>
    </row>
    <row r="798" spans="1:8" x14ac:dyDescent="0.45">
      <c r="A798" t="s">
        <v>1124</v>
      </c>
      <c r="B798" t="s">
        <v>31</v>
      </c>
      <c r="C798">
        <v>1169</v>
      </c>
      <c r="D798">
        <v>302.89999999999998</v>
      </c>
      <c r="E798">
        <v>33.1</v>
      </c>
      <c r="F798">
        <v>1</v>
      </c>
      <c r="G798">
        <v>0.3</v>
      </c>
      <c r="H798" t="s">
        <v>1210</v>
      </c>
    </row>
    <row r="799" spans="1:8" x14ac:dyDescent="0.45">
      <c r="A799" t="s">
        <v>1120</v>
      </c>
      <c r="B799" t="s">
        <v>98</v>
      </c>
      <c r="C799">
        <v>5383</v>
      </c>
      <c r="D799">
        <v>307.7</v>
      </c>
      <c r="E799">
        <v>47.9</v>
      </c>
      <c r="F799">
        <v>2.4</v>
      </c>
      <c r="G799">
        <v>0.5</v>
      </c>
      <c r="H799" t="s">
        <v>1210</v>
      </c>
    </row>
    <row r="800" spans="1:8" x14ac:dyDescent="0.45">
      <c r="A800" t="s">
        <v>1124</v>
      </c>
      <c r="B800" t="s">
        <v>83</v>
      </c>
      <c r="C800">
        <v>3460</v>
      </c>
      <c r="D800">
        <v>626</v>
      </c>
      <c r="E800">
        <v>157.1</v>
      </c>
      <c r="F800">
        <v>0.7</v>
      </c>
      <c r="G800">
        <v>0.3</v>
      </c>
      <c r="H800" t="s">
        <v>1210</v>
      </c>
    </row>
    <row r="801" spans="1:8" x14ac:dyDescent="0.45">
      <c r="A801" t="s">
        <v>1128</v>
      </c>
      <c r="B801" t="s">
        <v>37</v>
      </c>
      <c r="C801">
        <v>5600</v>
      </c>
      <c r="D801">
        <v>705.6</v>
      </c>
      <c r="E801">
        <v>439.5</v>
      </c>
      <c r="F801">
        <v>1.1000000000000001</v>
      </c>
      <c r="G801">
        <v>0.5</v>
      </c>
      <c r="H801" t="s">
        <v>1210</v>
      </c>
    </row>
    <row r="802" spans="1:8" x14ac:dyDescent="0.45">
      <c r="A802" t="s">
        <v>1126</v>
      </c>
      <c r="B802" t="s">
        <v>78</v>
      </c>
      <c r="C802">
        <v>2971</v>
      </c>
      <c r="D802">
        <v>220.4</v>
      </c>
      <c r="E802">
        <v>65.900000000000006</v>
      </c>
      <c r="F802">
        <v>1</v>
      </c>
      <c r="G802">
        <v>0.2</v>
      </c>
      <c r="H802" t="s">
        <v>1210</v>
      </c>
    </row>
    <row r="803" spans="1:8" x14ac:dyDescent="0.45">
      <c r="A803" t="s">
        <v>1123</v>
      </c>
      <c r="B803" t="s">
        <v>49</v>
      </c>
      <c r="C803">
        <v>4748</v>
      </c>
      <c r="D803">
        <v>402.8</v>
      </c>
      <c r="E803">
        <v>78.7</v>
      </c>
      <c r="F803">
        <v>1.1000000000000001</v>
      </c>
      <c r="G803">
        <v>0.3</v>
      </c>
      <c r="H803" t="s">
        <v>1210</v>
      </c>
    </row>
    <row r="804" spans="1:8" x14ac:dyDescent="0.45">
      <c r="A804" t="s">
        <v>1128</v>
      </c>
      <c r="B804" t="s">
        <v>7</v>
      </c>
      <c r="C804">
        <v>990</v>
      </c>
      <c r="D804">
        <v>313.60000000000002</v>
      </c>
      <c r="E804">
        <v>31.9</v>
      </c>
      <c r="F804">
        <v>1.9</v>
      </c>
      <c r="G804">
        <v>0.5</v>
      </c>
      <c r="H804" t="s">
        <v>1210</v>
      </c>
    </row>
    <row r="805" spans="1:8" x14ac:dyDescent="0.45">
      <c r="A805" t="s">
        <v>1123</v>
      </c>
      <c r="B805" t="s">
        <v>78</v>
      </c>
      <c r="C805">
        <v>1037</v>
      </c>
      <c r="D805">
        <v>176.4</v>
      </c>
      <c r="E805">
        <v>62.9</v>
      </c>
      <c r="F805">
        <v>1.3</v>
      </c>
      <c r="G805">
        <v>0.3</v>
      </c>
      <c r="H805" t="s">
        <v>1210</v>
      </c>
    </row>
    <row r="806" spans="1:8" x14ac:dyDescent="0.45">
      <c r="A806" t="s">
        <v>1124</v>
      </c>
      <c r="B806" t="s">
        <v>7</v>
      </c>
      <c r="C806">
        <v>3211</v>
      </c>
      <c r="D806">
        <v>445.8</v>
      </c>
      <c r="E806">
        <v>51.7</v>
      </c>
      <c r="F806">
        <v>1.2</v>
      </c>
      <c r="G806">
        <v>0.3</v>
      </c>
      <c r="H806" t="s">
        <v>1210</v>
      </c>
    </row>
    <row r="807" spans="1:8" x14ac:dyDescent="0.45">
      <c r="A807" t="s">
        <v>1119</v>
      </c>
      <c r="B807" t="s">
        <v>1133</v>
      </c>
      <c r="C807">
        <v>5910</v>
      </c>
      <c r="D807">
        <v>697.9</v>
      </c>
      <c r="E807">
        <v>177.5</v>
      </c>
      <c r="F807">
        <v>1.3</v>
      </c>
      <c r="G807">
        <v>1</v>
      </c>
      <c r="H807" t="s">
        <v>1210</v>
      </c>
    </row>
    <row r="808" spans="1:8" x14ac:dyDescent="0.45">
      <c r="A808" t="s">
        <v>1117</v>
      </c>
      <c r="B808" t="s">
        <v>42</v>
      </c>
      <c r="C808">
        <v>5604</v>
      </c>
      <c r="D808">
        <v>369.1</v>
      </c>
      <c r="E808">
        <v>119</v>
      </c>
      <c r="F808">
        <v>1.5</v>
      </c>
      <c r="G808">
        <v>0.5</v>
      </c>
      <c r="H808" t="s">
        <v>1210</v>
      </c>
    </row>
    <row r="809" spans="1:8" x14ac:dyDescent="0.45">
      <c r="A809" t="s">
        <v>1115</v>
      </c>
      <c r="B809" t="s">
        <v>1141</v>
      </c>
      <c r="C809">
        <v>799</v>
      </c>
      <c r="D809">
        <v>416.3</v>
      </c>
      <c r="E809">
        <v>40.299999999999997</v>
      </c>
      <c r="F809">
        <v>2.5</v>
      </c>
      <c r="G809">
        <v>0.6</v>
      </c>
      <c r="H809" t="s">
        <v>1210</v>
      </c>
    </row>
    <row r="810" spans="1:8" x14ac:dyDescent="0.45">
      <c r="A810" t="s">
        <v>1119</v>
      </c>
      <c r="B810" t="s">
        <v>57</v>
      </c>
      <c r="C810">
        <v>457</v>
      </c>
      <c r="D810">
        <v>145.19999999999999</v>
      </c>
      <c r="E810">
        <v>18.899999999999999</v>
      </c>
      <c r="F810">
        <v>4.7</v>
      </c>
      <c r="G810">
        <v>1</v>
      </c>
      <c r="H810" t="s">
        <v>1210</v>
      </c>
    </row>
    <row r="811" spans="1:8" x14ac:dyDescent="0.45">
      <c r="A811" t="s">
        <v>1123</v>
      </c>
      <c r="B811" t="s">
        <v>27</v>
      </c>
      <c r="C811">
        <v>4868</v>
      </c>
      <c r="D811">
        <v>526.9</v>
      </c>
      <c r="E811">
        <v>246.3</v>
      </c>
      <c r="F811">
        <v>1.2</v>
      </c>
      <c r="G811">
        <v>0.3</v>
      </c>
      <c r="H811" t="s">
        <v>1210</v>
      </c>
    </row>
    <row r="812" spans="1:8" x14ac:dyDescent="0.45">
      <c r="A812" t="s">
        <v>1122</v>
      </c>
      <c r="B812" t="s">
        <v>33</v>
      </c>
      <c r="C812">
        <v>3377</v>
      </c>
      <c r="D812">
        <v>263.5</v>
      </c>
      <c r="E812">
        <v>33</v>
      </c>
      <c r="F812">
        <v>1.2</v>
      </c>
      <c r="G812">
        <v>0.2</v>
      </c>
      <c r="H812" t="s">
        <v>1210</v>
      </c>
    </row>
    <row r="813" spans="1:8" x14ac:dyDescent="0.45">
      <c r="A813" t="s">
        <v>1128</v>
      </c>
      <c r="B813" t="s">
        <v>77</v>
      </c>
      <c r="C813">
        <v>-10</v>
      </c>
      <c r="D813">
        <v>435.8</v>
      </c>
      <c r="E813">
        <v>169.7</v>
      </c>
      <c r="F813">
        <v>2.2000000000000002</v>
      </c>
      <c r="G813">
        <v>0.5</v>
      </c>
      <c r="H813" t="s">
        <v>1212</v>
      </c>
    </row>
    <row r="814" spans="1:8" x14ac:dyDescent="0.45">
      <c r="A814" t="s">
        <v>1114</v>
      </c>
      <c r="B814" t="s">
        <v>67</v>
      </c>
      <c r="C814">
        <v>576</v>
      </c>
      <c r="D814">
        <v>198.7</v>
      </c>
      <c r="E814">
        <v>80.900000000000006</v>
      </c>
      <c r="F814">
        <v>2.8</v>
      </c>
      <c r="G814">
        <v>1.3</v>
      </c>
      <c r="H814" t="s">
        <v>1210</v>
      </c>
    </row>
    <row r="815" spans="1:8" x14ac:dyDescent="0.45">
      <c r="A815" t="s">
        <v>1120</v>
      </c>
      <c r="B815" t="s">
        <v>42</v>
      </c>
      <c r="C815">
        <v>2326</v>
      </c>
      <c r="E815">
        <v>88.2</v>
      </c>
      <c r="F815">
        <v>2.4</v>
      </c>
      <c r="G815">
        <v>0.5</v>
      </c>
      <c r="H815" t="s">
        <v>1210</v>
      </c>
    </row>
    <row r="816" spans="1:8" x14ac:dyDescent="0.45">
      <c r="A816" t="s">
        <v>1118</v>
      </c>
      <c r="B816" t="s">
        <v>1130</v>
      </c>
      <c r="C816">
        <v>3190</v>
      </c>
      <c r="D816">
        <v>604.79999999999995</v>
      </c>
      <c r="E816">
        <v>383.5</v>
      </c>
      <c r="F816">
        <v>4.5</v>
      </c>
      <c r="G816">
        <v>1.5</v>
      </c>
      <c r="H816" t="s">
        <v>1210</v>
      </c>
    </row>
    <row r="817" spans="1:8" x14ac:dyDescent="0.45">
      <c r="A817" t="s">
        <v>1117</v>
      </c>
      <c r="B817" t="s">
        <v>57</v>
      </c>
      <c r="C817">
        <v>4077</v>
      </c>
      <c r="D817">
        <v>291.7</v>
      </c>
      <c r="E817">
        <v>29.3</v>
      </c>
      <c r="F817">
        <v>2.2000000000000002</v>
      </c>
      <c r="G817">
        <v>0.5</v>
      </c>
      <c r="H817" t="s">
        <v>1210</v>
      </c>
    </row>
    <row r="818" spans="1:8" x14ac:dyDescent="0.45">
      <c r="A818" t="s">
        <v>1118</v>
      </c>
      <c r="B818" t="s">
        <v>84</v>
      </c>
      <c r="C818">
        <v>1391</v>
      </c>
      <c r="D818">
        <v>327.10000000000002</v>
      </c>
      <c r="E818">
        <v>105.7</v>
      </c>
      <c r="F818">
        <v>4</v>
      </c>
      <c r="G818">
        <v>1.5</v>
      </c>
      <c r="H818" t="s">
        <v>1210</v>
      </c>
    </row>
    <row r="819" spans="1:8" x14ac:dyDescent="0.45">
      <c r="A819" t="s">
        <v>1118</v>
      </c>
      <c r="B819" t="s">
        <v>18</v>
      </c>
      <c r="C819">
        <v>7945</v>
      </c>
      <c r="D819">
        <v>490</v>
      </c>
      <c r="E819">
        <v>63.2</v>
      </c>
      <c r="F819">
        <v>4.9000000000000004</v>
      </c>
      <c r="G819">
        <v>1.5</v>
      </c>
      <c r="H819" t="s">
        <v>1210</v>
      </c>
    </row>
    <row r="820" spans="1:8" x14ac:dyDescent="0.45">
      <c r="A820" t="s">
        <v>1124</v>
      </c>
      <c r="B820" t="s">
        <v>32</v>
      </c>
      <c r="C820">
        <v>2209</v>
      </c>
      <c r="D820">
        <v>334.4</v>
      </c>
      <c r="E820">
        <v>91.6</v>
      </c>
      <c r="F820">
        <v>1.1000000000000001</v>
      </c>
      <c r="G820">
        <v>0.3</v>
      </c>
      <c r="H820" t="s">
        <v>1210</v>
      </c>
    </row>
    <row r="821" spans="1:8" x14ac:dyDescent="0.45">
      <c r="A821" t="s">
        <v>1114</v>
      </c>
      <c r="B821" t="s">
        <v>83</v>
      </c>
      <c r="C821">
        <v>2992</v>
      </c>
      <c r="D821">
        <v>284</v>
      </c>
      <c r="E821">
        <v>70.5</v>
      </c>
      <c r="F821">
        <v>4.4000000000000004</v>
      </c>
      <c r="G821">
        <v>1.3</v>
      </c>
      <c r="H821" t="s">
        <v>1210</v>
      </c>
    </row>
    <row r="822" spans="1:8" x14ac:dyDescent="0.45">
      <c r="A822" t="s">
        <v>1119</v>
      </c>
      <c r="B822" t="s">
        <v>1132</v>
      </c>
      <c r="C822">
        <v>967</v>
      </c>
      <c r="D822">
        <v>143.4</v>
      </c>
      <c r="E822">
        <v>21.1</v>
      </c>
      <c r="F822">
        <v>2.2000000000000002</v>
      </c>
      <c r="G822">
        <v>1</v>
      </c>
      <c r="H822" t="s">
        <v>1210</v>
      </c>
    </row>
    <row r="823" spans="1:8" x14ac:dyDescent="0.45">
      <c r="A823" t="s">
        <v>1119</v>
      </c>
      <c r="B823" t="s">
        <v>36</v>
      </c>
      <c r="C823">
        <v>1313</v>
      </c>
      <c r="D823">
        <v>173.7</v>
      </c>
      <c r="E823">
        <v>69.7</v>
      </c>
      <c r="F823">
        <v>3.6</v>
      </c>
      <c r="G823">
        <v>1</v>
      </c>
      <c r="H823" t="s">
        <v>1210</v>
      </c>
    </row>
    <row r="824" spans="1:8" x14ac:dyDescent="0.45">
      <c r="A824" t="s">
        <v>1116</v>
      </c>
      <c r="B824" t="s">
        <v>28</v>
      </c>
      <c r="C824">
        <v>1800</v>
      </c>
      <c r="D824">
        <v>294.3</v>
      </c>
      <c r="E824">
        <v>118.1</v>
      </c>
      <c r="F824">
        <v>5.5</v>
      </c>
      <c r="G824">
        <v>1.6</v>
      </c>
      <c r="H824" t="s">
        <v>1210</v>
      </c>
    </row>
    <row r="825" spans="1:8" x14ac:dyDescent="0.45">
      <c r="A825" t="s">
        <v>1118</v>
      </c>
      <c r="B825" t="s">
        <v>77</v>
      </c>
      <c r="C825">
        <v>5429</v>
      </c>
      <c r="D825">
        <v>506.9</v>
      </c>
      <c r="E825">
        <v>227.2</v>
      </c>
      <c r="F825">
        <v>4.9000000000000004</v>
      </c>
      <c r="G825">
        <v>1.5</v>
      </c>
      <c r="H825" t="s">
        <v>1210</v>
      </c>
    </row>
    <row r="826" spans="1:8" x14ac:dyDescent="0.45">
      <c r="A826" t="s">
        <v>1127</v>
      </c>
      <c r="B826" t="s">
        <v>49</v>
      </c>
      <c r="C826">
        <v>973</v>
      </c>
      <c r="E826">
        <v>28.8</v>
      </c>
      <c r="F826">
        <v>4.0999999999999996</v>
      </c>
      <c r="G826">
        <v>0.9</v>
      </c>
      <c r="H826" t="s">
        <v>1210</v>
      </c>
    </row>
    <row r="827" spans="1:8" x14ac:dyDescent="0.45">
      <c r="A827" t="s">
        <v>1118</v>
      </c>
      <c r="B827" t="s">
        <v>76</v>
      </c>
      <c r="C827">
        <v>2356</v>
      </c>
      <c r="D827">
        <v>367.2</v>
      </c>
      <c r="E827">
        <v>89.8</v>
      </c>
      <c r="F827">
        <v>4.0999999999999996</v>
      </c>
      <c r="G827">
        <v>1.5</v>
      </c>
      <c r="H827" t="s">
        <v>1210</v>
      </c>
    </row>
    <row r="828" spans="1:8" x14ac:dyDescent="0.45">
      <c r="A828" t="s">
        <v>1118</v>
      </c>
      <c r="B828" t="s">
        <v>13</v>
      </c>
      <c r="C828">
        <v>2939</v>
      </c>
      <c r="D828">
        <v>191.3</v>
      </c>
      <c r="E828">
        <v>52.1</v>
      </c>
      <c r="F828">
        <v>2.4</v>
      </c>
      <c r="G828">
        <v>1.5</v>
      </c>
      <c r="H828" t="s">
        <v>1210</v>
      </c>
    </row>
    <row r="829" spans="1:8" x14ac:dyDescent="0.45">
      <c r="A829" t="s">
        <v>1114</v>
      </c>
      <c r="B829" t="s">
        <v>1140</v>
      </c>
      <c r="C829">
        <v>1429</v>
      </c>
      <c r="D829">
        <v>274.7</v>
      </c>
      <c r="E829">
        <v>25.1</v>
      </c>
      <c r="F829">
        <v>4.2</v>
      </c>
      <c r="G829">
        <v>1.3</v>
      </c>
      <c r="H829" t="s">
        <v>1210</v>
      </c>
    </row>
    <row r="830" spans="1:8" x14ac:dyDescent="0.45">
      <c r="A830" t="s">
        <v>1114</v>
      </c>
      <c r="B830" t="s">
        <v>62</v>
      </c>
      <c r="C830">
        <v>3430</v>
      </c>
      <c r="D830">
        <v>412.9</v>
      </c>
      <c r="E830">
        <v>59.5</v>
      </c>
      <c r="F830">
        <v>5.3</v>
      </c>
      <c r="G830">
        <v>1.3</v>
      </c>
      <c r="H830" t="s">
        <v>1210</v>
      </c>
    </row>
    <row r="831" spans="1:8" x14ac:dyDescent="0.45">
      <c r="A831" t="s">
        <v>1115</v>
      </c>
      <c r="B831" t="s">
        <v>110</v>
      </c>
      <c r="C831">
        <v>3554</v>
      </c>
      <c r="D831">
        <v>207.2</v>
      </c>
      <c r="E831">
        <v>140.80000000000001</v>
      </c>
      <c r="F831">
        <v>1.7</v>
      </c>
      <c r="G831">
        <v>0.6</v>
      </c>
      <c r="H831" t="s">
        <v>1210</v>
      </c>
    </row>
    <row r="832" spans="1:8" x14ac:dyDescent="0.45">
      <c r="A832" t="s">
        <v>1119</v>
      </c>
      <c r="B832" t="s">
        <v>84</v>
      </c>
      <c r="C832">
        <v>5815</v>
      </c>
      <c r="D832">
        <v>408.5</v>
      </c>
      <c r="E832">
        <v>113</v>
      </c>
      <c r="F832">
        <v>5.5</v>
      </c>
      <c r="G832">
        <v>1</v>
      </c>
      <c r="H832" t="s">
        <v>1210</v>
      </c>
    </row>
    <row r="833" spans="1:8" x14ac:dyDescent="0.45">
      <c r="A833" t="s">
        <v>1116</v>
      </c>
      <c r="B833" t="s">
        <v>91</v>
      </c>
      <c r="C833">
        <v>2811</v>
      </c>
      <c r="D833">
        <v>330.1</v>
      </c>
      <c r="E833">
        <v>151</v>
      </c>
      <c r="F833">
        <v>3.1</v>
      </c>
      <c r="G833">
        <v>1.6</v>
      </c>
      <c r="H833" t="s">
        <v>1210</v>
      </c>
    </row>
    <row r="834" spans="1:8" x14ac:dyDescent="0.45">
      <c r="A834" t="s">
        <v>1120</v>
      </c>
      <c r="B834" t="s">
        <v>67</v>
      </c>
      <c r="C834">
        <v>2385</v>
      </c>
      <c r="D834">
        <v>315.7</v>
      </c>
      <c r="E834">
        <v>81.5</v>
      </c>
      <c r="F834">
        <v>1.9</v>
      </c>
      <c r="G834">
        <v>0.5</v>
      </c>
      <c r="H834" t="s">
        <v>1210</v>
      </c>
    </row>
    <row r="835" spans="1:8" x14ac:dyDescent="0.45">
      <c r="A835" t="s">
        <v>1128</v>
      </c>
      <c r="B835" t="s">
        <v>41</v>
      </c>
      <c r="C835">
        <v>4483</v>
      </c>
      <c r="D835">
        <v>282.39999999999998</v>
      </c>
      <c r="E835">
        <v>115.6</v>
      </c>
      <c r="F835">
        <v>2.5</v>
      </c>
      <c r="G835">
        <v>0.5</v>
      </c>
      <c r="H835" t="s">
        <v>1210</v>
      </c>
    </row>
    <row r="836" spans="1:8" x14ac:dyDescent="0.45">
      <c r="A836" t="s">
        <v>1126</v>
      </c>
      <c r="B836" t="s">
        <v>1133</v>
      </c>
      <c r="C836">
        <v>575</v>
      </c>
      <c r="D836">
        <v>643.70000000000005</v>
      </c>
      <c r="E836">
        <v>112.6</v>
      </c>
      <c r="F836">
        <v>0.9</v>
      </c>
      <c r="G836">
        <v>0.2</v>
      </c>
      <c r="H836" t="s">
        <v>1210</v>
      </c>
    </row>
    <row r="837" spans="1:8" x14ac:dyDescent="0.45">
      <c r="A837" t="s">
        <v>1118</v>
      </c>
      <c r="B837" t="s">
        <v>54</v>
      </c>
      <c r="C837">
        <v>6041</v>
      </c>
      <c r="D837">
        <v>525.5</v>
      </c>
      <c r="E837">
        <v>63</v>
      </c>
      <c r="F837">
        <v>4.4000000000000004</v>
      </c>
      <c r="G837">
        <v>1.5</v>
      </c>
      <c r="H837" t="s">
        <v>1210</v>
      </c>
    </row>
    <row r="838" spans="1:8" x14ac:dyDescent="0.45">
      <c r="A838" t="s">
        <v>1127</v>
      </c>
      <c r="B838" t="s">
        <v>13</v>
      </c>
      <c r="C838">
        <v>999999</v>
      </c>
      <c r="D838">
        <v>546.70000000000005</v>
      </c>
      <c r="E838">
        <v>192.3</v>
      </c>
      <c r="F838">
        <v>1.4</v>
      </c>
      <c r="G838">
        <v>0.9</v>
      </c>
      <c r="H838" t="s">
        <v>1211</v>
      </c>
    </row>
    <row r="839" spans="1:8" x14ac:dyDescent="0.45">
      <c r="A839" t="s">
        <v>1119</v>
      </c>
      <c r="B839" t="s">
        <v>70</v>
      </c>
      <c r="C839">
        <v>4276</v>
      </c>
      <c r="D839">
        <v>401.9</v>
      </c>
      <c r="E839">
        <v>74.400000000000006</v>
      </c>
      <c r="F839">
        <v>2.8</v>
      </c>
      <c r="G839">
        <v>1</v>
      </c>
      <c r="H839" t="s">
        <v>1210</v>
      </c>
    </row>
    <row r="840" spans="1:8" x14ac:dyDescent="0.45">
      <c r="A840" t="s">
        <v>1126</v>
      </c>
      <c r="B840" t="s">
        <v>62</v>
      </c>
      <c r="C840">
        <v>351</v>
      </c>
      <c r="D840">
        <v>154.80000000000001</v>
      </c>
      <c r="E840">
        <v>18.2</v>
      </c>
      <c r="F840">
        <v>1.4</v>
      </c>
      <c r="G840">
        <v>0.2</v>
      </c>
      <c r="H840" t="s">
        <v>1210</v>
      </c>
    </row>
    <row r="841" spans="1:8" x14ac:dyDescent="0.45">
      <c r="A841" t="s">
        <v>1127</v>
      </c>
      <c r="B841" t="s">
        <v>1136</v>
      </c>
      <c r="C841">
        <v>3434</v>
      </c>
      <c r="D841">
        <v>191.2</v>
      </c>
      <c r="E841">
        <v>92.3</v>
      </c>
      <c r="F841">
        <v>1.7</v>
      </c>
      <c r="G841">
        <v>0.9</v>
      </c>
      <c r="H841" t="s">
        <v>1210</v>
      </c>
    </row>
    <row r="842" spans="1:8" x14ac:dyDescent="0.45">
      <c r="A842" t="s">
        <v>1121</v>
      </c>
      <c r="B842" t="s">
        <v>44</v>
      </c>
      <c r="C842">
        <v>12083</v>
      </c>
      <c r="D842">
        <v>690.1</v>
      </c>
      <c r="E842">
        <v>129.5</v>
      </c>
      <c r="F842">
        <v>2.1</v>
      </c>
      <c r="G842">
        <v>0.4</v>
      </c>
      <c r="H842" t="s">
        <v>1210</v>
      </c>
    </row>
    <row r="843" spans="1:8" x14ac:dyDescent="0.45">
      <c r="A843" t="s">
        <v>1118</v>
      </c>
      <c r="B843" t="s">
        <v>110</v>
      </c>
      <c r="C843">
        <v>11505</v>
      </c>
      <c r="D843">
        <v>728.8</v>
      </c>
      <c r="E843">
        <v>450.9</v>
      </c>
      <c r="F843">
        <v>6.5</v>
      </c>
      <c r="G843">
        <v>1.5</v>
      </c>
      <c r="H843" t="s">
        <v>1210</v>
      </c>
    </row>
    <row r="844" spans="1:8" x14ac:dyDescent="0.45">
      <c r="A844" t="s">
        <v>1123</v>
      </c>
      <c r="B844" t="s">
        <v>106</v>
      </c>
      <c r="C844">
        <v>1424</v>
      </c>
      <c r="D844">
        <v>365.1</v>
      </c>
      <c r="E844">
        <v>55.4</v>
      </c>
      <c r="F844">
        <v>0.8</v>
      </c>
      <c r="G844">
        <v>0.3</v>
      </c>
      <c r="H844" t="s">
        <v>1210</v>
      </c>
    </row>
    <row r="845" spans="1:8" x14ac:dyDescent="0.45">
      <c r="A845" t="s">
        <v>1119</v>
      </c>
      <c r="B845" t="s">
        <v>59</v>
      </c>
      <c r="C845">
        <v>873</v>
      </c>
      <c r="D845">
        <v>221.7</v>
      </c>
      <c r="E845">
        <v>33</v>
      </c>
      <c r="F845">
        <v>2.4</v>
      </c>
      <c r="G845">
        <v>1</v>
      </c>
      <c r="H845" t="s">
        <v>1210</v>
      </c>
    </row>
    <row r="846" spans="1:8" x14ac:dyDescent="0.45">
      <c r="A846" t="s">
        <v>1115</v>
      </c>
      <c r="B846" t="s">
        <v>60</v>
      </c>
      <c r="C846">
        <v>3438</v>
      </c>
      <c r="D846">
        <v>364.6</v>
      </c>
      <c r="E846">
        <v>57.8</v>
      </c>
      <c r="F846">
        <v>1.9</v>
      </c>
      <c r="G846">
        <v>0.6</v>
      </c>
      <c r="H846" t="s">
        <v>1210</v>
      </c>
    </row>
    <row r="847" spans="1:8" x14ac:dyDescent="0.45">
      <c r="A847" t="s">
        <v>1128</v>
      </c>
      <c r="B847" t="s">
        <v>15</v>
      </c>
      <c r="C847">
        <v>8659</v>
      </c>
      <c r="D847">
        <v>585.9</v>
      </c>
      <c r="E847">
        <v>164.8</v>
      </c>
      <c r="F847">
        <v>2.4</v>
      </c>
      <c r="G847">
        <v>0.5</v>
      </c>
      <c r="H847" t="s">
        <v>1210</v>
      </c>
    </row>
    <row r="848" spans="1:8" x14ac:dyDescent="0.45">
      <c r="A848" t="s">
        <v>1127</v>
      </c>
      <c r="B848" t="s">
        <v>28</v>
      </c>
      <c r="C848">
        <v>5110</v>
      </c>
      <c r="D848">
        <v>297.60000000000002</v>
      </c>
      <c r="E848">
        <v>122.7</v>
      </c>
      <c r="F848">
        <v>3.4</v>
      </c>
      <c r="G848">
        <v>0.9</v>
      </c>
      <c r="H848" t="s">
        <v>1210</v>
      </c>
    </row>
    <row r="849" spans="1:8" x14ac:dyDescent="0.45">
      <c r="A849" t="s">
        <v>1114</v>
      </c>
      <c r="B849" t="s">
        <v>42</v>
      </c>
      <c r="C849">
        <v>2922</v>
      </c>
      <c r="D849">
        <v>352.1</v>
      </c>
      <c r="E849">
        <v>116.5</v>
      </c>
      <c r="F849">
        <v>4</v>
      </c>
      <c r="G849">
        <v>1.3</v>
      </c>
      <c r="H849" t="s">
        <v>1210</v>
      </c>
    </row>
    <row r="850" spans="1:8" x14ac:dyDescent="0.45">
      <c r="A850" t="s">
        <v>1119</v>
      </c>
      <c r="B850" t="s">
        <v>68</v>
      </c>
      <c r="C850">
        <v>3679</v>
      </c>
      <c r="D850">
        <v>216.6</v>
      </c>
      <c r="E850">
        <v>27.5</v>
      </c>
      <c r="F850">
        <v>3</v>
      </c>
      <c r="G850">
        <v>1</v>
      </c>
      <c r="H850" t="s">
        <v>1210</v>
      </c>
    </row>
    <row r="851" spans="1:8" x14ac:dyDescent="0.45">
      <c r="A851" t="s">
        <v>1117</v>
      </c>
      <c r="B851" t="s">
        <v>107</v>
      </c>
      <c r="C851">
        <v>5262</v>
      </c>
      <c r="D851">
        <v>503.2</v>
      </c>
      <c r="E851">
        <v>275.2</v>
      </c>
      <c r="F851">
        <v>2.2000000000000002</v>
      </c>
      <c r="G851">
        <v>0.5</v>
      </c>
      <c r="H851" t="s">
        <v>1210</v>
      </c>
    </row>
    <row r="852" spans="1:8" x14ac:dyDescent="0.45">
      <c r="A852" t="s">
        <v>1118</v>
      </c>
      <c r="B852" t="s">
        <v>1137</v>
      </c>
      <c r="C852">
        <v>1005</v>
      </c>
      <c r="D852">
        <v>154.19999999999999</v>
      </c>
      <c r="E852">
        <v>21.7</v>
      </c>
      <c r="F852">
        <v>5</v>
      </c>
      <c r="G852">
        <v>1.5</v>
      </c>
      <c r="H852" t="s">
        <v>1210</v>
      </c>
    </row>
    <row r="853" spans="1:8" x14ac:dyDescent="0.45">
      <c r="A853" t="s">
        <v>1120</v>
      </c>
      <c r="B853" t="s">
        <v>8</v>
      </c>
      <c r="C853">
        <v>7229</v>
      </c>
      <c r="D853">
        <v>483.9</v>
      </c>
      <c r="E853">
        <v>110.8</v>
      </c>
      <c r="F853">
        <v>2.7</v>
      </c>
      <c r="G853">
        <v>0.5</v>
      </c>
      <c r="H853" t="s">
        <v>1210</v>
      </c>
    </row>
    <row r="854" spans="1:8" x14ac:dyDescent="0.45">
      <c r="A854" t="s">
        <v>1121</v>
      </c>
      <c r="B854" t="s">
        <v>93</v>
      </c>
      <c r="C854">
        <v>1042</v>
      </c>
      <c r="D854">
        <v>217.5</v>
      </c>
      <c r="E854">
        <v>35.5</v>
      </c>
      <c r="F854">
        <v>2.6</v>
      </c>
      <c r="G854">
        <v>0.4</v>
      </c>
      <c r="H854" t="s">
        <v>1210</v>
      </c>
    </row>
    <row r="855" spans="1:8" x14ac:dyDescent="0.45">
      <c r="A855" t="s">
        <v>1126</v>
      </c>
      <c r="B855" t="s">
        <v>55</v>
      </c>
      <c r="C855">
        <v>6880</v>
      </c>
      <c r="E855">
        <v>131.80000000000001</v>
      </c>
      <c r="F855">
        <v>1</v>
      </c>
      <c r="G855">
        <v>0.2</v>
      </c>
      <c r="H855" t="s">
        <v>1210</v>
      </c>
    </row>
    <row r="856" spans="1:8" x14ac:dyDescent="0.45">
      <c r="A856" t="s">
        <v>1127</v>
      </c>
      <c r="B856" t="s">
        <v>42</v>
      </c>
      <c r="C856">
        <v>1703</v>
      </c>
      <c r="D856">
        <v>285.7</v>
      </c>
      <c r="E856">
        <v>126.2</v>
      </c>
      <c r="F856">
        <v>2.2000000000000002</v>
      </c>
      <c r="G856">
        <v>0.9</v>
      </c>
      <c r="H856" t="s">
        <v>1210</v>
      </c>
    </row>
    <row r="857" spans="1:8" x14ac:dyDescent="0.45">
      <c r="A857" t="s">
        <v>1128</v>
      </c>
      <c r="B857" t="s">
        <v>18</v>
      </c>
      <c r="C857">
        <v>6214</v>
      </c>
      <c r="D857">
        <v>346.2</v>
      </c>
      <c r="E857">
        <v>39.799999999999997</v>
      </c>
      <c r="F857">
        <v>1.6</v>
      </c>
      <c r="G857">
        <v>0.5</v>
      </c>
      <c r="H857" t="s">
        <v>1210</v>
      </c>
    </row>
    <row r="858" spans="1:8" x14ac:dyDescent="0.45">
      <c r="A858" t="s">
        <v>1127</v>
      </c>
      <c r="B858" t="s">
        <v>55</v>
      </c>
      <c r="C858">
        <v>3454</v>
      </c>
      <c r="D858">
        <v>396.6</v>
      </c>
      <c r="E858">
        <v>94.2</v>
      </c>
      <c r="F858">
        <v>4.5</v>
      </c>
      <c r="G858">
        <v>0.9</v>
      </c>
      <c r="H858" t="s">
        <v>1210</v>
      </c>
    </row>
    <row r="859" spans="1:8" x14ac:dyDescent="0.45">
      <c r="A859" t="s">
        <v>1128</v>
      </c>
      <c r="B859" t="s">
        <v>35</v>
      </c>
      <c r="C859">
        <v>5932</v>
      </c>
      <c r="D859">
        <v>423.8</v>
      </c>
      <c r="E859">
        <v>45.2</v>
      </c>
      <c r="F859">
        <v>1.9</v>
      </c>
      <c r="G859">
        <v>0.5</v>
      </c>
      <c r="H859" t="s">
        <v>1210</v>
      </c>
    </row>
    <row r="860" spans="1:8" x14ac:dyDescent="0.45">
      <c r="A860" t="s">
        <v>1128</v>
      </c>
      <c r="B860" t="s">
        <v>28</v>
      </c>
      <c r="C860">
        <v>3088</v>
      </c>
      <c r="D860">
        <v>178.6</v>
      </c>
      <c r="E860">
        <v>76.400000000000006</v>
      </c>
      <c r="F860">
        <v>2.1</v>
      </c>
      <c r="G860">
        <v>0.5</v>
      </c>
      <c r="H860" t="s">
        <v>1210</v>
      </c>
    </row>
    <row r="861" spans="1:8" x14ac:dyDescent="0.45">
      <c r="A861" t="s">
        <v>1122</v>
      </c>
      <c r="B861" t="s">
        <v>1135</v>
      </c>
      <c r="C861">
        <v>1559</v>
      </c>
      <c r="D861">
        <v>509</v>
      </c>
      <c r="E861">
        <v>60.3</v>
      </c>
      <c r="F861">
        <v>1.4</v>
      </c>
      <c r="G861">
        <v>0.2</v>
      </c>
      <c r="H861" t="s">
        <v>1210</v>
      </c>
    </row>
    <row r="862" spans="1:8" x14ac:dyDescent="0.45">
      <c r="A862" t="s">
        <v>1114</v>
      </c>
      <c r="B862" t="s">
        <v>68</v>
      </c>
      <c r="C862">
        <v>8966</v>
      </c>
      <c r="D862">
        <v>543.79999999999995</v>
      </c>
      <c r="E862">
        <v>90.4</v>
      </c>
      <c r="F862">
        <v>5.7</v>
      </c>
      <c r="G862">
        <v>1.3</v>
      </c>
      <c r="H862" t="s">
        <v>1210</v>
      </c>
    </row>
    <row r="863" spans="1:8" x14ac:dyDescent="0.45">
      <c r="A863" t="s">
        <v>1114</v>
      </c>
      <c r="B863" t="s">
        <v>85</v>
      </c>
      <c r="C863">
        <v>4168</v>
      </c>
      <c r="D863">
        <v>234.6</v>
      </c>
      <c r="E863">
        <v>98.9</v>
      </c>
      <c r="F863">
        <v>3.8</v>
      </c>
      <c r="G863">
        <v>1.3</v>
      </c>
      <c r="H863" t="s">
        <v>1210</v>
      </c>
    </row>
    <row r="864" spans="1:8" x14ac:dyDescent="0.45">
      <c r="A864" t="s">
        <v>1115</v>
      </c>
      <c r="B864" t="s">
        <v>24</v>
      </c>
      <c r="C864">
        <v>586</v>
      </c>
      <c r="D864">
        <v>505.8</v>
      </c>
      <c r="E864">
        <v>148.80000000000001</v>
      </c>
      <c r="F864">
        <v>1</v>
      </c>
      <c r="G864">
        <v>0.6</v>
      </c>
      <c r="H864" t="s">
        <v>1210</v>
      </c>
    </row>
    <row r="865" spans="1:8" x14ac:dyDescent="0.45">
      <c r="A865" t="s">
        <v>1126</v>
      </c>
      <c r="B865" t="s">
        <v>45</v>
      </c>
      <c r="C865">
        <v>3397</v>
      </c>
      <c r="D865">
        <v>300.89999999999998</v>
      </c>
      <c r="E865">
        <v>48</v>
      </c>
      <c r="F865">
        <v>1.1000000000000001</v>
      </c>
      <c r="G865">
        <v>0.2</v>
      </c>
      <c r="H865" t="s">
        <v>1210</v>
      </c>
    </row>
    <row r="866" spans="1:8" x14ac:dyDescent="0.45">
      <c r="A866" t="s">
        <v>1122</v>
      </c>
      <c r="B866" t="s">
        <v>100</v>
      </c>
      <c r="C866">
        <v>3441</v>
      </c>
      <c r="D866">
        <v>248</v>
      </c>
      <c r="E866">
        <v>30.6</v>
      </c>
      <c r="F866">
        <v>1.1000000000000001</v>
      </c>
      <c r="G866">
        <v>0.2</v>
      </c>
      <c r="H866" t="s">
        <v>1210</v>
      </c>
    </row>
    <row r="867" spans="1:8" x14ac:dyDescent="0.45">
      <c r="A867" t="s">
        <v>1116</v>
      </c>
      <c r="B867" t="s">
        <v>45</v>
      </c>
      <c r="C867">
        <v>991</v>
      </c>
      <c r="E867">
        <v>75.400000000000006</v>
      </c>
      <c r="F867">
        <v>0.5</v>
      </c>
      <c r="G867">
        <v>1.6</v>
      </c>
      <c r="H867" t="s">
        <v>1210</v>
      </c>
    </row>
    <row r="868" spans="1:8" x14ac:dyDescent="0.45">
      <c r="A868" t="s">
        <v>1125</v>
      </c>
      <c r="B868" t="s">
        <v>43</v>
      </c>
      <c r="C868">
        <v>2361</v>
      </c>
      <c r="D868">
        <v>601.1</v>
      </c>
      <c r="E868">
        <v>350.9</v>
      </c>
      <c r="F868">
        <v>4.5</v>
      </c>
      <c r="G868">
        <v>1.2</v>
      </c>
      <c r="H868" t="s">
        <v>1210</v>
      </c>
    </row>
    <row r="869" spans="1:8" x14ac:dyDescent="0.45">
      <c r="A869" t="s">
        <v>1123</v>
      </c>
      <c r="B869" t="s">
        <v>75</v>
      </c>
      <c r="C869">
        <v>2776</v>
      </c>
      <c r="D869">
        <v>247.7</v>
      </c>
      <c r="E869">
        <v>25.4</v>
      </c>
      <c r="F869">
        <v>1.2</v>
      </c>
      <c r="G869">
        <v>0.3</v>
      </c>
      <c r="H869" t="s">
        <v>1210</v>
      </c>
    </row>
    <row r="870" spans="1:8" x14ac:dyDescent="0.45">
      <c r="A870" t="s">
        <v>1126</v>
      </c>
      <c r="B870" t="s">
        <v>68</v>
      </c>
      <c r="C870">
        <v>3448</v>
      </c>
      <c r="D870">
        <v>223.3</v>
      </c>
      <c r="E870">
        <v>26.4</v>
      </c>
      <c r="F870">
        <v>1</v>
      </c>
      <c r="G870">
        <v>0.2</v>
      </c>
      <c r="H870" t="s">
        <v>1210</v>
      </c>
    </row>
    <row r="871" spans="1:8" x14ac:dyDescent="0.45">
      <c r="A871" t="s">
        <v>1126</v>
      </c>
      <c r="B871" t="s">
        <v>87</v>
      </c>
      <c r="C871">
        <v>1027</v>
      </c>
      <c r="D871">
        <v>405.3</v>
      </c>
      <c r="E871">
        <v>79.400000000000006</v>
      </c>
      <c r="F871">
        <v>1.1000000000000001</v>
      </c>
      <c r="G871">
        <v>0.2</v>
      </c>
      <c r="H871" t="s">
        <v>1210</v>
      </c>
    </row>
    <row r="872" spans="1:8" x14ac:dyDescent="0.45">
      <c r="A872" t="s">
        <v>1117</v>
      </c>
      <c r="B872" t="s">
        <v>65</v>
      </c>
      <c r="C872">
        <v>3957</v>
      </c>
      <c r="D872">
        <v>286.10000000000002</v>
      </c>
      <c r="E872">
        <v>89.3</v>
      </c>
      <c r="F872">
        <v>2.7</v>
      </c>
      <c r="G872">
        <v>0.5</v>
      </c>
      <c r="H872" t="s">
        <v>1210</v>
      </c>
    </row>
    <row r="873" spans="1:8" x14ac:dyDescent="0.45">
      <c r="A873" t="s">
        <v>1118</v>
      </c>
      <c r="B873" t="s">
        <v>66</v>
      </c>
      <c r="C873">
        <v>3836</v>
      </c>
      <c r="D873">
        <v>479.2</v>
      </c>
      <c r="E873">
        <v>76.099999999999994</v>
      </c>
      <c r="F873">
        <v>3.2</v>
      </c>
      <c r="G873">
        <v>1.5</v>
      </c>
      <c r="H873" t="s">
        <v>1210</v>
      </c>
    </row>
    <row r="874" spans="1:8" x14ac:dyDescent="0.45">
      <c r="A874" t="s">
        <v>1117</v>
      </c>
      <c r="B874" t="s">
        <v>68</v>
      </c>
      <c r="C874">
        <v>1828</v>
      </c>
      <c r="D874">
        <v>341.4</v>
      </c>
      <c r="E874">
        <v>60.1</v>
      </c>
      <c r="F874">
        <v>1.6</v>
      </c>
      <c r="G874">
        <v>0.5</v>
      </c>
      <c r="H874" t="s">
        <v>1210</v>
      </c>
    </row>
    <row r="875" spans="1:8" x14ac:dyDescent="0.45">
      <c r="A875" t="s">
        <v>1118</v>
      </c>
      <c r="B875" t="s">
        <v>49</v>
      </c>
      <c r="C875">
        <v>5790</v>
      </c>
      <c r="D875">
        <v>331.6</v>
      </c>
      <c r="E875">
        <v>41.8</v>
      </c>
      <c r="F875">
        <v>3.1</v>
      </c>
      <c r="G875">
        <v>1.5</v>
      </c>
      <c r="H875" t="s">
        <v>1210</v>
      </c>
    </row>
    <row r="876" spans="1:8" x14ac:dyDescent="0.45">
      <c r="A876" t="s">
        <v>1122</v>
      </c>
      <c r="B876" t="s">
        <v>37</v>
      </c>
      <c r="C876">
        <v>6109</v>
      </c>
      <c r="D876">
        <v>468</v>
      </c>
      <c r="E876">
        <v>319.39999999999998</v>
      </c>
      <c r="F876">
        <v>1</v>
      </c>
      <c r="G876">
        <v>0.2</v>
      </c>
      <c r="H876" t="s">
        <v>1210</v>
      </c>
    </row>
    <row r="877" spans="1:8" x14ac:dyDescent="0.45">
      <c r="A877" t="s">
        <v>1116</v>
      </c>
      <c r="B877" t="s">
        <v>30</v>
      </c>
      <c r="C877">
        <v>2345</v>
      </c>
      <c r="D877">
        <v>593.79999999999995</v>
      </c>
      <c r="E877">
        <v>112.5</v>
      </c>
      <c r="F877">
        <v>4.4000000000000004</v>
      </c>
      <c r="G877">
        <v>1.6</v>
      </c>
      <c r="H877" t="s">
        <v>1210</v>
      </c>
    </row>
    <row r="878" spans="1:8" x14ac:dyDescent="0.45">
      <c r="A878" t="s">
        <v>1127</v>
      </c>
      <c r="B878" t="s">
        <v>15</v>
      </c>
      <c r="C878">
        <v>1893</v>
      </c>
      <c r="D878">
        <v>465.8</v>
      </c>
      <c r="E878">
        <v>129.80000000000001</v>
      </c>
      <c r="F878">
        <v>2.1</v>
      </c>
      <c r="G878">
        <v>0.9</v>
      </c>
      <c r="H878" t="s">
        <v>1210</v>
      </c>
    </row>
    <row r="879" spans="1:8" x14ac:dyDescent="0.45">
      <c r="A879" t="s">
        <v>1122</v>
      </c>
      <c r="B879" t="s">
        <v>59</v>
      </c>
      <c r="C879">
        <v>3835</v>
      </c>
      <c r="D879">
        <v>359.5</v>
      </c>
      <c r="E879">
        <v>51.5</v>
      </c>
      <c r="F879">
        <v>0.9</v>
      </c>
      <c r="G879">
        <v>0.2</v>
      </c>
      <c r="H879" t="s">
        <v>1210</v>
      </c>
    </row>
    <row r="880" spans="1:8" x14ac:dyDescent="0.45">
      <c r="A880" t="s">
        <v>1117</v>
      </c>
      <c r="B880" t="s">
        <v>37</v>
      </c>
      <c r="C880">
        <v>8519</v>
      </c>
      <c r="D880">
        <v>672.6</v>
      </c>
      <c r="E880">
        <v>422.8</v>
      </c>
      <c r="F880">
        <v>1.4</v>
      </c>
      <c r="G880">
        <v>0.5</v>
      </c>
      <c r="H880" t="s">
        <v>1210</v>
      </c>
    </row>
    <row r="881" spans="1:8" x14ac:dyDescent="0.45">
      <c r="A881" t="s">
        <v>1117</v>
      </c>
      <c r="B881" t="s">
        <v>53</v>
      </c>
      <c r="C881">
        <v>3336</v>
      </c>
      <c r="D881">
        <v>503.8</v>
      </c>
      <c r="E881">
        <v>215.4</v>
      </c>
      <c r="F881">
        <v>1.7</v>
      </c>
      <c r="G881">
        <v>0.5</v>
      </c>
      <c r="H881" t="s">
        <v>1210</v>
      </c>
    </row>
    <row r="882" spans="1:8" x14ac:dyDescent="0.45">
      <c r="A882" t="s">
        <v>1118</v>
      </c>
      <c r="B882" t="s">
        <v>51</v>
      </c>
      <c r="C882">
        <v>3307</v>
      </c>
      <c r="D882">
        <v>381.7</v>
      </c>
      <c r="E882">
        <v>101.2</v>
      </c>
      <c r="F882">
        <v>4.7</v>
      </c>
      <c r="G882">
        <v>1.5</v>
      </c>
      <c r="H882" t="s">
        <v>1210</v>
      </c>
    </row>
    <row r="883" spans="1:8" x14ac:dyDescent="0.45">
      <c r="A883" t="s">
        <v>1116</v>
      </c>
      <c r="B883" t="s">
        <v>32</v>
      </c>
      <c r="C883">
        <v>5402</v>
      </c>
      <c r="D883">
        <v>322.3</v>
      </c>
      <c r="E883">
        <v>127</v>
      </c>
      <c r="F883">
        <v>4</v>
      </c>
      <c r="G883">
        <v>1.6</v>
      </c>
      <c r="H883" t="s">
        <v>1210</v>
      </c>
    </row>
    <row r="884" spans="1:8" x14ac:dyDescent="0.45">
      <c r="A884" t="s">
        <v>1128</v>
      </c>
      <c r="B884" t="s">
        <v>20</v>
      </c>
      <c r="C884">
        <v>3370</v>
      </c>
      <c r="D884">
        <v>375.4</v>
      </c>
      <c r="E884">
        <v>61</v>
      </c>
      <c r="F884">
        <v>2.6</v>
      </c>
      <c r="G884">
        <v>0.5</v>
      </c>
      <c r="H884" t="s">
        <v>1210</v>
      </c>
    </row>
    <row r="885" spans="1:8" x14ac:dyDescent="0.45">
      <c r="A885" t="s">
        <v>1120</v>
      </c>
      <c r="B885" t="s">
        <v>106</v>
      </c>
      <c r="C885">
        <v>5797</v>
      </c>
      <c r="D885">
        <v>360.1</v>
      </c>
      <c r="E885">
        <v>105.4</v>
      </c>
      <c r="F885">
        <v>2.4</v>
      </c>
      <c r="G885">
        <v>0.5</v>
      </c>
      <c r="H885" t="s">
        <v>1210</v>
      </c>
    </row>
    <row r="886" spans="1:8" x14ac:dyDescent="0.45">
      <c r="A886" t="s">
        <v>1128</v>
      </c>
      <c r="B886" t="s">
        <v>58</v>
      </c>
      <c r="C886">
        <v>2232</v>
      </c>
      <c r="D886">
        <v>449.3</v>
      </c>
      <c r="E886">
        <v>66.400000000000006</v>
      </c>
      <c r="F886">
        <v>1.9</v>
      </c>
      <c r="G886">
        <v>0.5</v>
      </c>
      <c r="H886" t="s">
        <v>1210</v>
      </c>
    </row>
    <row r="887" spans="1:8" x14ac:dyDescent="0.45">
      <c r="A887" t="s">
        <v>1124</v>
      </c>
      <c r="B887" t="s">
        <v>65</v>
      </c>
      <c r="C887">
        <v>1579</v>
      </c>
      <c r="D887">
        <v>430.1</v>
      </c>
      <c r="E887">
        <v>141.9</v>
      </c>
      <c r="F887">
        <v>1.1000000000000001</v>
      </c>
      <c r="G887">
        <v>0.3</v>
      </c>
      <c r="H887" t="s">
        <v>1210</v>
      </c>
    </row>
    <row r="888" spans="1:8" x14ac:dyDescent="0.45">
      <c r="A888" t="s">
        <v>1119</v>
      </c>
      <c r="B888" t="s">
        <v>18</v>
      </c>
      <c r="C888">
        <v>2224</v>
      </c>
      <c r="D888">
        <v>362.9</v>
      </c>
      <c r="E888">
        <v>42.2</v>
      </c>
      <c r="F888">
        <v>3.4</v>
      </c>
      <c r="G888">
        <v>1</v>
      </c>
      <c r="H888" t="s">
        <v>1210</v>
      </c>
    </row>
    <row r="889" spans="1:8" x14ac:dyDescent="0.45">
      <c r="A889" t="s">
        <v>1123</v>
      </c>
      <c r="B889" t="s">
        <v>20</v>
      </c>
      <c r="C889">
        <v>3816</v>
      </c>
      <c r="D889">
        <v>537.20000000000005</v>
      </c>
      <c r="E889">
        <v>105.4</v>
      </c>
      <c r="F889">
        <v>0.9</v>
      </c>
      <c r="G889">
        <v>0.3</v>
      </c>
      <c r="H889" t="s">
        <v>1210</v>
      </c>
    </row>
    <row r="890" spans="1:8" x14ac:dyDescent="0.45">
      <c r="A890" t="s">
        <v>1114</v>
      </c>
      <c r="B890" t="s">
        <v>84</v>
      </c>
      <c r="C890">
        <v>3721</v>
      </c>
      <c r="D890">
        <v>246</v>
      </c>
      <c r="E890">
        <v>91.3</v>
      </c>
      <c r="F890">
        <v>4.3</v>
      </c>
      <c r="G890">
        <v>1.3</v>
      </c>
      <c r="H890" t="s">
        <v>1210</v>
      </c>
    </row>
    <row r="891" spans="1:8" x14ac:dyDescent="0.45">
      <c r="A891" t="s">
        <v>1128</v>
      </c>
      <c r="B891" t="s">
        <v>62</v>
      </c>
      <c r="C891">
        <v>4677</v>
      </c>
      <c r="D891">
        <v>382.9</v>
      </c>
      <c r="E891">
        <v>42.2</v>
      </c>
      <c r="F891">
        <v>1.9</v>
      </c>
      <c r="G891">
        <v>0.5</v>
      </c>
      <c r="H891" t="s">
        <v>1210</v>
      </c>
    </row>
    <row r="892" spans="1:8" x14ac:dyDescent="0.45">
      <c r="A892" t="s">
        <v>1118</v>
      </c>
      <c r="B892" t="s">
        <v>63</v>
      </c>
      <c r="C892">
        <v>3936</v>
      </c>
      <c r="D892">
        <v>596.6</v>
      </c>
      <c r="E892">
        <v>169.2</v>
      </c>
      <c r="F892">
        <v>2.9</v>
      </c>
      <c r="G892">
        <v>1.5</v>
      </c>
      <c r="H892" t="s">
        <v>1210</v>
      </c>
    </row>
    <row r="893" spans="1:8" x14ac:dyDescent="0.45">
      <c r="A893" t="s">
        <v>1128</v>
      </c>
      <c r="B893" t="s">
        <v>72</v>
      </c>
      <c r="C893">
        <v>695</v>
      </c>
      <c r="D893">
        <v>319.7</v>
      </c>
      <c r="E893">
        <v>52.8</v>
      </c>
      <c r="F893">
        <v>1.8</v>
      </c>
      <c r="G893">
        <v>0.5</v>
      </c>
      <c r="H893" t="s">
        <v>1210</v>
      </c>
    </row>
    <row r="894" spans="1:8" x14ac:dyDescent="0.45">
      <c r="A894" t="s">
        <v>1116</v>
      </c>
      <c r="B894" t="s">
        <v>13</v>
      </c>
      <c r="C894">
        <v>2293</v>
      </c>
      <c r="D894">
        <v>415.9</v>
      </c>
      <c r="E894">
        <v>120.6</v>
      </c>
      <c r="F894">
        <v>6.1</v>
      </c>
      <c r="G894">
        <v>1.6</v>
      </c>
      <c r="H894" t="s">
        <v>1210</v>
      </c>
    </row>
    <row r="895" spans="1:8" x14ac:dyDescent="0.45">
      <c r="A895" t="s">
        <v>1123</v>
      </c>
      <c r="B895" t="s">
        <v>85</v>
      </c>
      <c r="C895">
        <v>2127</v>
      </c>
      <c r="D895">
        <v>281.8</v>
      </c>
      <c r="E895">
        <v>158.19999999999999</v>
      </c>
      <c r="F895">
        <v>0.9</v>
      </c>
      <c r="G895">
        <v>0.3</v>
      </c>
      <c r="H895" t="s">
        <v>1210</v>
      </c>
    </row>
    <row r="896" spans="1:8" x14ac:dyDescent="0.45">
      <c r="A896" t="s">
        <v>1114</v>
      </c>
      <c r="B896" t="s">
        <v>92</v>
      </c>
      <c r="C896">
        <v>1788</v>
      </c>
      <c r="D896">
        <v>135.30000000000001</v>
      </c>
      <c r="E896">
        <v>39.9</v>
      </c>
      <c r="F896">
        <v>5.6</v>
      </c>
      <c r="G896">
        <v>1.3</v>
      </c>
      <c r="H896" t="s">
        <v>1210</v>
      </c>
    </row>
    <row r="897" spans="1:8" x14ac:dyDescent="0.45">
      <c r="A897" t="s">
        <v>1124</v>
      </c>
      <c r="B897" t="s">
        <v>109</v>
      </c>
      <c r="C897">
        <v>1047</v>
      </c>
      <c r="D897">
        <v>125.2</v>
      </c>
      <c r="E897">
        <v>61.6</v>
      </c>
      <c r="F897">
        <v>1</v>
      </c>
      <c r="G897">
        <v>0.3</v>
      </c>
      <c r="H897" t="s">
        <v>1210</v>
      </c>
    </row>
    <row r="898" spans="1:8" x14ac:dyDescent="0.45">
      <c r="A898" t="s">
        <v>1119</v>
      </c>
      <c r="B898" t="s">
        <v>83</v>
      </c>
      <c r="C898">
        <v>1316</v>
      </c>
      <c r="D898">
        <v>620.9</v>
      </c>
      <c r="E898">
        <v>111.4</v>
      </c>
      <c r="F898">
        <v>3.6</v>
      </c>
      <c r="G898">
        <v>1</v>
      </c>
      <c r="H898" t="s">
        <v>1210</v>
      </c>
    </row>
    <row r="899" spans="1:8" x14ac:dyDescent="0.45">
      <c r="A899" t="s">
        <v>1116</v>
      </c>
      <c r="B899" t="s">
        <v>25</v>
      </c>
      <c r="C899">
        <v>4881</v>
      </c>
      <c r="E899">
        <v>141.6</v>
      </c>
      <c r="F899">
        <v>3.7</v>
      </c>
      <c r="G899">
        <v>1.6</v>
      </c>
      <c r="H899" t="s">
        <v>1210</v>
      </c>
    </row>
    <row r="900" spans="1:8" x14ac:dyDescent="0.45">
      <c r="A900" t="s">
        <v>1122</v>
      </c>
      <c r="B900" t="s">
        <v>103</v>
      </c>
      <c r="C900">
        <v>1512</v>
      </c>
      <c r="D900">
        <v>240.9</v>
      </c>
      <c r="E900">
        <v>38.5</v>
      </c>
      <c r="F900">
        <v>1.3</v>
      </c>
      <c r="G900">
        <v>0.2</v>
      </c>
      <c r="H900" t="s">
        <v>1210</v>
      </c>
    </row>
    <row r="901" spans="1:8" x14ac:dyDescent="0.45">
      <c r="A901" t="s">
        <v>1123</v>
      </c>
      <c r="B901" t="s">
        <v>12</v>
      </c>
      <c r="C901">
        <v>1339</v>
      </c>
      <c r="D901">
        <v>280.60000000000002</v>
      </c>
      <c r="E901">
        <v>28.8</v>
      </c>
      <c r="F901">
        <v>0.8</v>
      </c>
      <c r="G901">
        <v>0.3</v>
      </c>
      <c r="H901" t="s">
        <v>1210</v>
      </c>
    </row>
    <row r="902" spans="1:8" x14ac:dyDescent="0.45">
      <c r="A902" t="s">
        <v>1122</v>
      </c>
      <c r="B902" t="s">
        <v>83</v>
      </c>
      <c r="C902">
        <v>2338</v>
      </c>
      <c r="D902">
        <v>386.5</v>
      </c>
      <c r="E902">
        <v>91.8</v>
      </c>
      <c r="F902">
        <v>1.1000000000000001</v>
      </c>
      <c r="G902">
        <v>0.2</v>
      </c>
      <c r="H902" t="s">
        <v>1210</v>
      </c>
    </row>
    <row r="903" spans="1:8" x14ac:dyDescent="0.45">
      <c r="A903" t="s">
        <v>1125</v>
      </c>
      <c r="B903" t="s">
        <v>109</v>
      </c>
      <c r="C903">
        <v>3800</v>
      </c>
      <c r="D903">
        <v>593.29999999999995</v>
      </c>
      <c r="E903">
        <v>360.6</v>
      </c>
      <c r="F903">
        <v>6.2</v>
      </c>
      <c r="G903">
        <v>1.2</v>
      </c>
      <c r="H903" t="s">
        <v>1210</v>
      </c>
    </row>
    <row r="904" spans="1:8" x14ac:dyDescent="0.45">
      <c r="A904" t="s">
        <v>1125</v>
      </c>
      <c r="B904" t="s">
        <v>1134</v>
      </c>
      <c r="C904">
        <v>371</v>
      </c>
      <c r="D904">
        <v>402.6</v>
      </c>
      <c r="E904">
        <v>64.8</v>
      </c>
      <c r="F904">
        <v>3.8</v>
      </c>
      <c r="G904">
        <v>1.2</v>
      </c>
      <c r="H904" t="s">
        <v>1210</v>
      </c>
    </row>
    <row r="905" spans="1:8" x14ac:dyDescent="0.45">
      <c r="A905" t="s">
        <v>1125</v>
      </c>
      <c r="B905" t="s">
        <v>1137</v>
      </c>
      <c r="C905">
        <v>1143</v>
      </c>
      <c r="D905">
        <v>564.70000000000005</v>
      </c>
      <c r="E905">
        <v>77.599999999999994</v>
      </c>
      <c r="F905">
        <v>5.8</v>
      </c>
      <c r="G905">
        <v>1.2</v>
      </c>
      <c r="H905" t="s">
        <v>1210</v>
      </c>
    </row>
    <row r="906" spans="1:8" x14ac:dyDescent="0.45">
      <c r="A906" t="s">
        <v>1118</v>
      </c>
      <c r="B906" t="s">
        <v>24</v>
      </c>
      <c r="C906">
        <v>2969</v>
      </c>
      <c r="D906">
        <v>437.2</v>
      </c>
      <c r="E906">
        <v>99.9</v>
      </c>
      <c r="F906">
        <v>4.8</v>
      </c>
      <c r="G906">
        <v>1.5</v>
      </c>
      <c r="H906" t="s">
        <v>1210</v>
      </c>
    </row>
    <row r="907" spans="1:8" x14ac:dyDescent="0.45">
      <c r="A907" t="s">
        <v>1122</v>
      </c>
      <c r="B907" t="s">
        <v>60</v>
      </c>
      <c r="C907">
        <v>11753</v>
      </c>
      <c r="D907">
        <v>912.4</v>
      </c>
      <c r="E907">
        <v>164.6</v>
      </c>
      <c r="F907">
        <v>1.3</v>
      </c>
      <c r="G907">
        <v>0.2</v>
      </c>
      <c r="H907" t="s">
        <v>1210</v>
      </c>
    </row>
    <row r="908" spans="1:8" x14ac:dyDescent="0.45">
      <c r="A908" t="s">
        <v>1124</v>
      </c>
      <c r="B908" t="s">
        <v>81</v>
      </c>
      <c r="C908">
        <v>5143</v>
      </c>
      <c r="E908">
        <v>81.599999999999994</v>
      </c>
      <c r="F908">
        <v>1.3</v>
      </c>
      <c r="G908">
        <v>0.3</v>
      </c>
      <c r="H908" t="s">
        <v>1210</v>
      </c>
    </row>
    <row r="909" spans="1:8" x14ac:dyDescent="0.45">
      <c r="A909" t="s">
        <v>1119</v>
      </c>
      <c r="B909" t="s">
        <v>51</v>
      </c>
      <c r="D909">
        <v>347.3</v>
      </c>
      <c r="E909">
        <v>56.6</v>
      </c>
      <c r="F909">
        <v>2.5</v>
      </c>
      <c r="G909">
        <v>1</v>
      </c>
    </row>
    <row r="910" spans="1:8" x14ac:dyDescent="0.45">
      <c r="A910" t="s">
        <v>1124</v>
      </c>
      <c r="B910" t="s">
        <v>41</v>
      </c>
      <c r="C910">
        <v>579</v>
      </c>
      <c r="D910">
        <v>158.69999999999999</v>
      </c>
      <c r="E910">
        <v>58.6</v>
      </c>
      <c r="F910">
        <v>1.1000000000000001</v>
      </c>
      <c r="G910">
        <v>0.3</v>
      </c>
      <c r="H910" t="s">
        <v>1210</v>
      </c>
    </row>
    <row r="911" spans="1:8" x14ac:dyDescent="0.45">
      <c r="A911" t="s">
        <v>1121</v>
      </c>
      <c r="B911" t="s">
        <v>95</v>
      </c>
      <c r="C911">
        <v>4894</v>
      </c>
      <c r="D911">
        <v>329.2</v>
      </c>
      <c r="E911">
        <v>45.5</v>
      </c>
      <c r="F911">
        <v>2.4</v>
      </c>
      <c r="G911">
        <v>0.4</v>
      </c>
      <c r="H911" t="s">
        <v>1210</v>
      </c>
    </row>
    <row r="912" spans="1:8" x14ac:dyDescent="0.45">
      <c r="A912" t="s">
        <v>1128</v>
      </c>
      <c r="B912" t="s">
        <v>102</v>
      </c>
      <c r="C912">
        <v>1895</v>
      </c>
      <c r="D912">
        <v>159.69999999999999</v>
      </c>
      <c r="E912">
        <v>23.1</v>
      </c>
      <c r="F912">
        <v>2.2999999999999998</v>
      </c>
      <c r="G912">
        <v>0.5</v>
      </c>
      <c r="H912" t="s">
        <v>1210</v>
      </c>
    </row>
    <row r="913" spans="1:8" x14ac:dyDescent="0.45">
      <c r="A913" t="s">
        <v>1120</v>
      </c>
      <c r="B913" t="s">
        <v>50</v>
      </c>
      <c r="D913">
        <v>258.3</v>
      </c>
      <c r="E913">
        <v>67.7</v>
      </c>
      <c r="F913">
        <v>2.4</v>
      </c>
      <c r="G913">
        <v>0.5</v>
      </c>
    </row>
    <row r="914" spans="1:8" x14ac:dyDescent="0.45">
      <c r="A914" t="s">
        <v>1114</v>
      </c>
      <c r="B914" t="s">
        <v>98</v>
      </c>
      <c r="C914">
        <v>5740</v>
      </c>
      <c r="E914">
        <v>101</v>
      </c>
      <c r="F914">
        <v>3.9</v>
      </c>
      <c r="G914">
        <v>1.3</v>
      </c>
      <c r="H914" t="s">
        <v>1210</v>
      </c>
    </row>
    <row r="915" spans="1:8" x14ac:dyDescent="0.45">
      <c r="A915" t="s">
        <v>1125</v>
      </c>
      <c r="B915" t="s">
        <v>27</v>
      </c>
      <c r="C915">
        <v>1298</v>
      </c>
      <c r="D915">
        <v>673.7</v>
      </c>
      <c r="E915">
        <v>408.6</v>
      </c>
      <c r="F915">
        <v>5.5</v>
      </c>
      <c r="G915">
        <v>1.2</v>
      </c>
      <c r="H915" t="s">
        <v>1210</v>
      </c>
    </row>
    <row r="916" spans="1:8" x14ac:dyDescent="0.45">
      <c r="A916" t="s">
        <v>1125</v>
      </c>
      <c r="B916" t="s">
        <v>85</v>
      </c>
      <c r="C916">
        <v>1682</v>
      </c>
      <c r="D916">
        <v>306.60000000000002</v>
      </c>
      <c r="E916">
        <v>184.9</v>
      </c>
      <c r="F916">
        <v>2</v>
      </c>
      <c r="G916">
        <v>1.2</v>
      </c>
      <c r="H916" t="s">
        <v>1210</v>
      </c>
    </row>
    <row r="917" spans="1:8" x14ac:dyDescent="0.45">
      <c r="A917" t="s">
        <v>1116</v>
      </c>
      <c r="B917" t="s">
        <v>55</v>
      </c>
      <c r="C917">
        <v>11613</v>
      </c>
      <c r="D917">
        <v>718.7</v>
      </c>
      <c r="E917">
        <v>183.9</v>
      </c>
      <c r="F917">
        <v>2.2999999999999998</v>
      </c>
      <c r="G917">
        <v>1.6</v>
      </c>
      <c r="H917" t="s">
        <v>1210</v>
      </c>
    </row>
    <row r="918" spans="1:8" x14ac:dyDescent="0.45">
      <c r="A918" t="s">
        <v>1118</v>
      </c>
      <c r="B918" t="s">
        <v>47</v>
      </c>
      <c r="C918">
        <v>6123</v>
      </c>
      <c r="D918">
        <v>366.4</v>
      </c>
      <c r="E918">
        <v>32.4</v>
      </c>
      <c r="F918">
        <v>3.9</v>
      </c>
      <c r="G918">
        <v>1.5</v>
      </c>
      <c r="H918" t="s">
        <v>1210</v>
      </c>
    </row>
    <row r="919" spans="1:8" x14ac:dyDescent="0.45">
      <c r="A919" t="s">
        <v>1121</v>
      </c>
      <c r="B919" t="s">
        <v>76</v>
      </c>
      <c r="C919">
        <v>5417</v>
      </c>
      <c r="D919">
        <v>410.1</v>
      </c>
      <c r="E919">
        <v>69.400000000000006</v>
      </c>
      <c r="F919">
        <v>2.7</v>
      </c>
      <c r="G919">
        <v>0.4</v>
      </c>
      <c r="H919" t="s">
        <v>1210</v>
      </c>
    </row>
    <row r="920" spans="1:8" x14ac:dyDescent="0.45">
      <c r="A920" t="s">
        <v>1128</v>
      </c>
      <c r="B920" t="s">
        <v>92</v>
      </c>
      <c r="C920">
        <v>6556</v>
      </c>
      <c r="D920">
        <v>387.7</v>
      </c>
      <c r="E920">
        <v>171.6</v>
      </c>
      <c r="F920">
        <v>2.6</v>
      </c>
      <c r="G920">
        <v>0.5</v>
      </c>
      <c r="H920" t="s">
        <v>1210</v>
      </c>
    </row>
    <row r="921" spans="1:8" x14ac:dyDescent="0.45">
      <c r="A921" t="s">
        <v>1122</v>
      </c>
      <c r="B921" t="s">
        <v>84</v>
      </c>
      <c r="C921">
        <v>2982</v>
      </c>
      <c r="D921">
        <v>294.60000000000002</v>
      </c>
      <c r="E921">
        <v>96.7</v>
      </c>
      <c r="F921">
        <v>1</v>
      </c>
      <c r="G921">
        <v>0.2</v>
      </c>
      <c r="H921" t="s">
        <v>1210</v>
      </c>
    </row>
    <row r="922" spans="1:8" x14ac:dyDescent="0.45">
      <c r="A922" t="s">
        <v>1119</v>
      </c>
      <c r="B922" t="s">
        <v>91</v>
      </c>
      <c r="C922">
        <v>4760</v>
      </c>
      <c r="D922">
        <v>642.20000000000005</v>
      </c>
      <c r="E922">
        <v>281.60000000000002</v>
      </c>
      <c r="F922">
        <v>4.8</v>
      </c>
      <c r="G922">
        <v>1</v>
      </c>
      <c r="H922" t="s">
        <v>1210</v>
      </c>
    </row>
    <row r="923" spans="1:8" x14ac:dyDescent="0.45">
      <c r="A923" t="s">
        <v>1118</v>
      </c>
      <c r="B923" t="s">
        <v>99</v>
      </c>
      <c r="C923">
        <v>3244</v>
      </c>
      <c r="D923">
        <v>512.9</v>
      </c>
      <c r="E923">
        <v>101.3</v>
      </c>
      <c r="F923">
        <v>4.5999999999999996</v>
      </c>
      <c r="G923">
        <v>1.5</v>
      </c>
      <c r="H923" t="s">
        <v>1210</v>
      </c>
    </row>
    <row r="924" spans="1:8" x14ac:dyDescent="0.45">
      <c r="A924" t="s">
        <v>1126</v>
      </c>
      <c r="B924" t="s">
        <v>1129</v>
      </c>
      <c r="C924">
        <v>5663</v>
      </c>
      <c r="D924">
        <v>667.6</v>
      </c>
      <c r="E924">
        <v>165.5</v>
      </c>
      <c r="F924">
        <v>0.7</v>
      </c>
      <c r="G924">
        <v>0.2</v>
      </c>
      <c r="H924" t="s">
        <v>1210</v>
      </c>
    </row>
    <row r="925" spans="1:8" x14ac:dyDescent="0.45">
      <c r="A925" t="s">
        <v>1114</v>
      </c>
      <c r="B925" t="s">
        <v>1141</v>
      </c>
      <c r="C925">
        <v>4305</v>
      </c>
      <c r="D925">
        <v>456.2</v>
      </c>
      <c r="E925">
        <v>57.6</v>
      </c>
      <c r="F925">
        <v>3.3</v>
      </c>
      <c r="G925">
        <v>1.3</v>
      </c>
      <c r="H925" t="s">
        <v>1210</v>
      </c>
    </row>
    <row r="926" spans="1:8" x14ac:dyDescent="0.45">
      <c r="A926" t="s">
        <v>1121</v>
      </c>
      <c r="B926" t="s">
        <v>62</v>
      </c>
      <c r="C926">
        <v>2513</v>
      </c>
      <c r="D926">
        <v>227.3</v>
      </c>
      <c r="E926">
        <v>19.2</v>
      </c>
      <c r="F926">
        <v>2.1</v>
      </c>
      <c r="G926">
        <v>0.4</v>
      </c>
      <c r="H926" t="s">
        <v>1210</v>
      </c>
    </row>
    <row r="927" spans="1:8" x14ac:dyDescent="0.45">
      <c r="A927" t="s">
        <v>1127</v>
      </c>
      <c r="B927" t="s">
        <v>7</v>
      </c>
      <c r="D927">
        <v>366.8</v>
      </c>
      <c r="E927">
        <v>47.1</v>
      </c>
      <c r="F927">
        <v>4</v>
      </c>
      <c r="G927">
        <v>0.9</v>
      </c>
    </row>
    <row r="928" spans="1:8" x14ac:dyDescent="0.45">
      <c r="A928" t="s">
        <v>1122</v>
      </c>
      <c r="B928" t="s">
        <v>50</v>
      </c>
      <c r="C928">
        <v>3839</v>
      </c>
      <c r="D928">
        <v>300.5</v>
      </c>
      <c r="E928">
        <v>84.8</v>
      </c>
      <c r="F928">
        <v>1</v>
      </c>
      <c r="G928">
        <v>0.2</v>
      </c>
      <c r="H928" t="s">
        <v>1210</v>
      </c>
    </row>
    <row r="929" spans="1:8" x14ac:dyDescent="0.45">
      <c r="A929" t="s">
        <v>1115</v>
      </c>
      <c r="B929" t="s">
        <v>83</v>
      </c>
      <c r="C929">
        <v>5827</v>
      </c>
      <c r="D929">
        <v>660.6</v>
      </c>
      <c r="E929">
        <v>172.4</v>
      </c>
      <c r="F929">
        <v>1.8</v>
      </c>
      <c r="G929">
        <v>0.6</v>
      </c>
      <c r="H929" t="s">
        <v>1210</v>
      </c>
    </row>
    <row r="930" spans="1:8" x14ac:dyDescent="0.45">
      <c r="A930" t="s">
        <v>1121</v>
      </c>
      <c r="B930" t="s">
        <v>50</v>
      </c>
      <c r="C930">
        <v>2180</v>
      </c>
      <c r="D930">
        <v>192.8</v>
      </c>
      <c r="E930">
        <v>71.400000000000006</v>
      </c>
      <c r="F930">
        <v>2.2000000000000002</v>
      </c>
      <c r="G930">
        <v>0.4</v>
      </c>
      <c r="H930" t="s">
        <v>1210</v>
      </c>
    </row>
    <row r="931" spans="1:8" x14ac:dyDescent="0.45">
      <c r="A931" t="s">
        <v>1114</v>
      </c>
      <c r="B931" t="s">
        <v>53</v>
      </c>
      <c r="C931">
        <v>1133</v>
      </c>
      <c r="D931">
        <v>269</v>
      </c>
      <c r="E931">
        <v>103.2</v>
      </c>
      <c r="F931">
        <v>1.4</v>
      </c>
      <c r="G931">
        <v>1.3</v>
      </c>
      <c r="H931" t="s">
        <v>1210</v>
      </c>
    </row>
    <row r="932" spans="1:8" x14ac:dyDescent="0.45">
      <c r="A932" t="s">
        <v>1118</v>
      </c>
      <c r="B932" t="s">
        <v>1136</v>
      </c>
      <c r="C932">
        <v>1763</v>
      </c>
      <c r="D932">
        <v>257.5</v>
      </c>
      <c r="E932">
        <v>160.30000000000001</v>
      </c>
      <c r="F932">
        <v>4.5999999999999996</v>
      </c>
      <c r="G932">
        <v>1.5</v>
      </c>
      <c r="H932" t="s">
        <v>1210</v>
      </c>
    </row>
    <row r="933" spans="1:8" x14ac:dyDescent="0.45">
      <c r="A933" t="s">
        <v>1127</v>
      </c>
      <c r="B933" t="s">
        <v>54</v>
      </c>
      <c r="C933">
        <v>4535</v>
      </c>
      <c r="D933">
        <v>337.1</v>
      </c>
      <c r="E933">
        <v>50.2</v>
      </c>
      <c r="F933">
        <v>3.7</v>
      </c>
      <c r="G933">
        <v>0.9</v>
      </c>
      <c r="H933" t="s">
        <v>1210</v>
      </c>
    </row>
    <row r="934" spans="1:8" x14ac:dyDescent="0.45">
      <c r="A934" t="s">
        <v>1122</v>
      </c>
      <c r="B934" t="s">
        <v>28</v>
      </c>
      <c r="C934">
        <v>2025</v>
      </c>
      <c r="D934">
        <v>124.6</v>
      </c>
      <c r="E934">
        <v>35.299999999999997</v>
      </c>
      <c r="F934">
        <v>1.3</v>
      </c>
      <c r="G934">
        <v>0.2</v>
      </c>
      <c r="H934" t="s">
        <v>1210</v>
      </c>
    </row>
    <row r="935" spans="1:8" x14ac:dyDescent="0.45">
      <c r="A935" t="s">
        <v>1124</v>
      </c>
      <c r="B935" t="s">
        <v>102</v>
      </c>
      <c r="C935">
        <v>3796</v>
      </c>
      <c r="D935">
        <v>428.7</v>
      </c>
      <c r="E935">
        <v>54.6</v>
      </c>
      <c r="F935">
        <v>1.4</v>
      </c>
      <c r="G935">
        <v>0.3</v>
      </c>
      <c r="H935" t="s">
        <v>1210</v>
      </c>
    </row>
    <row r="936" spans="1:8" x14ac:dyDescent="0.45">
      <c r="A936" t="s">
        <v>1119</v>
      </c>
      <c r="B936" t="s">
        <v>63</v>
      </c>
      <c r="C936">
        <v>13464</v>
      </c>
      <c r="D936">
        <v>983.5</v>
      </c>
      <c r="E936">
        <v>229.8</v>
      </c>
      <c r="F936">
        <v>1.8</v>
      </c>
      <c r="G936">
        <v>1</v>
      </c>
      <c r="H936" t="s">
        <v>1210</v>
      </c>
    </row>
    <row r="937" spans="1:8" x14ac:dyDescent="0.45">
      <c r="A937" t="s">
        <v>1117</v>
      </c>
      <c r="B937" t="s">
        <v>62</v>
      </c>
      <c r="C937">
        <v>2163</v>
      </c>
      <c r="D937">
        <v>291.5</v>
      </c>
      <c r="E937">
        <v>30</v>
      </c>
      <c r="F937">
        <v>2.7</v>
      </c>
      <c r="G937">
        <v>0.5</v>
      </c>
      <c r="H937" t="s">
        <v>1210</v>
      </c>
    </row>
    <row r="938" spans="1:8" x14ac:dyDescent="0.45">
      <c r="A938" t="s">
        <v>1124</v>
      </c>
      <c r="B938" t="s">
        <v>1132</v>
      </c>
      <c r="C938">
        <v>6822</v>
      </c>
      <c r="D938">
        <v>458.3</v>
      </c>
      <c r="E938">
        <v>60</v>
      </c>
      <c r="F938">
        <v>1.4</v>
      </c>
      <c r="G938">
        <v>0.3</v>
      </c>
      <c r="H938" t="s">
        <v>1210</v>
      </c>
    </row>
    <row r="939" spans="1:8" x14ac:dyDescent="0.45">
      <c r="A939" t="s">
        <v>1122</v>
      </c>
      <c r="B939" t="s">
        <v>31</v>
      </c>
      <c r="C939">
        <v>2091</v>
      </c>
      <c r="D939">
        <v>221.8</v>
      </c>
      <c r="E939">
        <v>23.5</v>
      </c>
      <c r="F939">
        <v>0.9</v>
      </c>
      <c r="G939">
        <v>0.2</v>
      </c>
      <c r="H939" t="s">
        <v>1210</v>
      </c>
    </row>
    <row r="940" spans="1:8" x14ac:dyDescent="0.45">
      <c r="A940" t="s">
        <v>1119</v>
      </c>
      <c r="B940" t="s">
        <v>47</v>
      </c>
      <c r="C940">
        <v>4697</v>
      </c>
      <c r="D940">
        <v>385.2</v>
      </c>
      <c r="E940">
        <v>37.700000000000003</v>
      </c>
      <c r="F940">
        <v>2.9</v>
      </c>
      <c r="G940">
        <v>1</v>
      </c>
      <c r="H940" t="s">
        <v>1210</v>
      </c>
    </row>
    <row r="941" spans="1:8" x14ac:dyDescent="0.45">
      <c r="A941" t="s">
        <v>1116</v>
      </c>
      <c r="B941" t="s">
        <v>23</v>
      </c>
      <c r="C941">
        <v>3282</v>
      </c>
      <c r="D941">
        <v>466.4</v>
      </c>
      <c r="E941">
        <v>177.7</v>
      </c>
      <c r="F941">
        <v>3.8</v>
      </c>
      <c r="G941">
        <v>1.6</v>
      </c>
      <c r="H941" t="s">
        <v>1210</v>
      </c>
    </row>
    <row r="942" spans="1:8" x14ac:dyDescent="0.45">
      <c r="A942" t="s">
        <v>1123</v>
      </c>
      <c r="B942" t="s">
        <v>95</v>
      </c>
      <c r="C942">
        <v>5045</v>
      </c>
      <c r="D942">
        <v>343.1</v>
      </c>
      <c r="E942">
        <v>30.8</v>
      </c>
      <c r="F942">
        <v>1.1000000000000001</v>
      </c>
      <c r="G942">
        <v>0.3</v>
      </c>
      <c r="H942" t="s">
        <v>1210</v>
      </c>
    </row>
    <row r="943" spans="1:8" x14ac:dyDescent="0.45">
      <c r="A943" t="s">
        <v>1128</v>
      </c>
      <c r="B943" t="s">
        <v>76</v>
      </c>
      <c r="C943">
        <v>7453</v>
      </c>
      <c r="E943">
        <v>122.1</v>
      </c>
      <c r="F943">
        <v>2.2000000000000002</v>
      </c>
      <c r="G943">
        <v>0.5</v>
      </c>
      <c r="H943" t="s">
        <v>1210</v>
      </c>
    </row>
    <row r="944" spans="1:8" x14ac:dyDescent="0.45">
      <c r="A944" t="s">
        <v>1119</v>
      </c>
      <c r="B944" t="s">
        <v>45</v>
      </c>
      <c r="C944">
        <v>5209</v>
      </c>
      <c r="D944">
        <v>327.9</v>
      </c>
      <c r="E944">
        <v>34.200000000000003</v>
      </c>
      <c r="F944">
        <v>3.1</v>
      </c>
      <c r="G944">
        <v>1</v>
      </c>
      <c r="H944" t="s">
        <v>1210</v>
      </c>
    </row>
    <row r="945" spans="1:8" x14ac:dyDescent="0.45">
      <c r="A945" t="s">
        <v>1115</v>
      </c>
      <c r="B945" t="s">
        <v>77</v>
      </c>
      <c r="C945">
        <v>4603</v>
      </c>
      <c r="D945">
        <v>301.89999999999998</v>
      </c>
      <c r="E945">
        <v>120.7</v>
      </c>
      <c r="F945">
        <v>2.1</v>
      </c>
      <c r="G945">
        <v>0.6</v>
      </c>
      <c r="H945" t="s">
        <v>1210</v>
      </c>
    </row>
    <row r="946" spans="1:8" x14ac:dyDescent="0.45">
      <c r="A946" t="s">
        <v>1117</v>
      </c>
      <c r="B946" t="s">
        <v>24</v>
      </c>
      <c r="C946">
        <v>13848</v>
      </c>
      <c r="D946">
        <v>898</v>
      </c>
      <c r="E946">
        <v>148.9</v>
      </c>
      <c r="F946">
        <v>3.1</v>
      </c>
      <c r="G946">
        <v>0.5</v>
      </c>
      <c r="H946" t="s">
        <v>1210</v>
      </c>
    </row>
    <row r="947" spans="1:8" x14ac:dyDescent="0.45">
      <c r="A947" t="s">
        <v>1120</v>
      </c>
      <c r="B947" t="s">
        <v>47</v>
      </c>
      <c r="C947">
        <v>2307</v>
      </c>
      <c r="D947">
        <v>254.3</v>
      </c>
      <c r="E947">
        <v>30.3</v>
      </c>
      <c r="F947">
        <v>1.4</v>
      </c>
      <c r="G947">
        <v>0.5</v>
      </c>
      <c r="H947" t="s">
        <v>1210</v>
      </c>
    </row>
    <row r="948" spans="1:8" x14ac:dyDescent="0.45">
      <c r="A948" t="s">
        <v>1115</v>
      </c>
      <c r="B948" t="s">
        <v>1135</v>
      </c>
      <c r="C948">
        <v>3237</v>
      </c>
      <c r="D948">
        <v>256.60000000000002</v>
      </c>
      <c r="E948">
        <v>30.2</v>
      </c>
      <c r="F948">
        <v>3.3</v>
      </c>
      <c r="G948">
        <v>0.6</v>
      </c>
      <c r="H948" t="s">
        <v>1210</v>
      </c>
    </row>
    <row r="949" spans="1:8" x14ac:dyDescent="0.45">
      <c r="A949" t="s">
        <v>1124</v>
      </c>
      <c r="B949" t="s">
        <v>1131</v>
      </c>
      <c r="D949">
        <v>709.3</v>
      </c>
      <c r="E949">
        <v>331.5</v>
      </c>
      <c r="F949">
        <v>1</v>
      </c>
      <c r="G949">
        <v>0.3</v>
      </c>
    </row>
    <row r="950" spans="1:8" x14ac:dyDescent="0.45">
      <c r="A950" t="s">
        <v>1115</v>
      </c>
      <c r="B950" t="s">
        <v>84</v>
      </c>
      <c r="C950">
        <v>4236</v>
      </c>
      <c r="D950">
        <v>275.8</v>
      </c>
      <c r="E950">
        <v>79.7</v>
      </c>
      <c r="F950">
        <v>2.4</v>
      </c>
      <c r="G950">
        <v>0.6</v>
      </c>
      <c r="H950" t="s">
        <v>1210</v>
      </c>
    </row>
    <row r="951" spans="1:8" x14ac:dyDescent="0.45">
      <c r="A951" t="s">
        <v>1125</v>
      </c>
      <c r="B951" t="s">
        <v>51</v>
      </c>
      <c r="C951">
        <v>9722</v>
      </c>
      <c r="D951">
        <v>603.20000000000005</v>
      </c>
      <c r="E951">
        <v>98</v>
      </c>
      <c r="F951">
        <v>4.9000000000000004</v>
      </c>
      <c r="G951">
        <v>1.2</v>
      </c>
      <c r="H951" t="s">
        <v>1210</v>
      </c>
    </row>
    <row r="952" spans="1:8" x14ac:dyDescent="0.45">
      <c r="A952" t="s">
        <v>1128</v>
      </c>
      <c r="B952" t="s">
        <v>54</v>
      </c>
      <c r="C952">
        <v>1698</v>
      </c>
      <c r="D952">
        <v>307.10000000000002</v>
      </c>
      <c r="E952">
        <v>28.1</v>
      </c>
      <c r="F952">
        <v>2.2999999999999998</v>
      </c>
      <c r="G952">
        <v>0.5</v>
      </c>
      <c r="H952" t="s">
        <v>1210</v>
      </c>
    </row>
    <row r="953" spans="1:8" x14ac:dyDescent="0.45">
      <c r="A953" t="s">
        <v>1114</v>
      </c>
      <c r="B953" t="s">
        <v>101</v>
      </c>
      <c r="C953">
        <v>9510</v>
      </c>
      <c r="E953">
        <v>134.19999999999999</v>
      </c>
      <c r="F953">
        <v>2</v>
      </c>
      <c r="G953">
        <v>1.3</v>
      </c>
      <c r="H953" t="s">
        <v>1210</v>
      </c>
    </row>
    <row r="954" spans="1:8" x14ac:dyDescent="0.45">
      <c r="A954" t="s">
        <v>1128</v>
      </c>
      <c r="B954" t="s">
        <v>69</v>
      </c>
      <c r="C954">
        <v>6682</v>
      </c>
      <c r="D954">
        <v>494.7</v>
      </c>
      <c r="E954">
        <v>280.3</v>
      </c>
      <c r="F954">
        <v>1.7</v>
      </c>
      <c r="G954">
        <v>0.5</v>
      </c>
      <c r="H954" t="s">
        <v>1210</v>
      </c>
    </row>
    <row r="955" spans="1:8" x14ac:dyDescent="0.45">
      <c r="A955" t="s">
        <v>1120</v>
      </c>
      <c r="B955" t="s">
        <v>1137</v>
      </c>
      <c r="C955">
        <v>5307</v>
      </c>
      <c r="D955">
        <v>310.89999999999998</v>
      </c>
      <c r="E955">
        <v>44.1</v>
      </c>
      <c r="F955">
        <v>2.1</v>
      </c>
      <c r="G955">
        <v>0.5</v>
      </c>
      <c r="H955" t="s">
        <v>1210</v>
      </c>
    </row>
    <row r="956" spans="1:8" x14ac:dyDescent="0.45">
      <c r="A956" t="s">
        <v>1115</v>
      </c>
      <c r="B956" t="s">
        <v>69</v>
      </c>
      <c r="C956">
        <v>4536</v>
      </c>
      <c r="D956">
        <v>401.6</v>
      </c>
      <c r="E956">
        <v>198.5</v>
      </c>
      <c r="F956">
        <v>2.2999999999999998</v>
      </c>
      <c r="G956">
        <v>0.6</v>
      </c>
      <c r="H956" t="s">
        <v>1210</v>
      </c>
    </row>
    <row r="957" spans="1:8" x14ac:dyDescent="0.45">
      <c r="A957" t="s">
        <v>1119</v>
      </c>
      <c r="B957" t="s">
        <v>10</v>
      </c>
      <c r="C957">
        <v>10112</v>
      </c>
      <c r="D957">
        <v>636.29999999999995</v>
      </c>
      <c r="E957">
        <v>100.9</v>
      </c>
      <c r="F957">
        <v>4.2</v>
      </c>
      <c r="G957">
        <v>1</v>
      </c>
      <c r="H957" t="s">
        <v>1210</v>
      </c>
    </row>
    <row r="958" spans="1:8" x14ac:dyDescent="0.45">
      <c r="A958" t="s">
        <v>1127</v>
      </c>
      <c r="B958" t="s">
        <v>1140</v>
      </c>
      <c r="C958">
        <v>2128</v>
      </c>
      <c r="D958">
        <v>225.9</v>
      </c>
      <c r="E958">
        <v>26</v>
      </c>
      <c r="F958">
        <v>2</v>
      </c>
      <c r="G958">
        <v>0.9</v>
      </c>
      <c r="H958" t="s">
        <v>1210</v>
      </c>
    </row>
    <row r="959" spans="1:8" x14ac:dyDescent="0.45">
      <c r="A959" t="s">
        <v>1125</v>
      </c>
      <c r="B959" t="s">
        <v>97</v>
      </c>
      <c r="C959">
        <v>1005</v>
      </c>
      <c r="D959">
        <v>465.2</v>
      </c>
      <c r="E959">
        <v>268.89999999999998</v>
      </c>
      <c r="F959">
        <v>3.8</v>
      </c>
      <c r="G959">
        <v>1.2</v>
      </c>
      <c r="H959" t="s">
        <v>1210</v>
      </c>
    </row>
    <row r="960" spans="1:8" x14ac:dyDescent="0.45">
      <c r="A960" t="s">
        <v>1125</v>
      </c>
      <c r="B960" t="s">
        <v>66</v>
      </c>
      <c r="C960">
        <v>1905</v>
      </c>
      <c r="D960">
        <v>234</v>
      </c>
      <c r="E960">
        <v>43.1</v>
      </c>
      <c r="F960">
        <v>2.7</v>
      </c>
      <c r="G960">
        <v>1.2</v>
      </c>
      <c r="H960" t="s">
        <v>1210</v>
      </c>
    </row>
    <row r="961" spans="1:8" x14ac:dyDescent="0.45">
      <c r="A961" t="s">
        <v>1120</v>
      </c>
      <c r="B961" t="s">
        <v>100</v>
      </c>
      <c r="C961">
        <v>2111</v>
      </c>
      <c r="D961">
        <v>391.8</v>
      </c>
      <c r="E961">
        <v>37.5</v>
      </c>
      <c r="F961">
        <v>1.8</v>
      </c>
      <c r="G961">
        <v>0.5</v>
      </c>
      <c r="H961" t="s">
        <v>1210</v>
      </c>
    </row>
    <row r="962" spans="1:8" x14ac:dyDescent="0.45">
      <c r="A962" t="s">
        <v>1122</v>
      </c>
      <c r="B962" t="s">
        <v>52</v>
      </c>
      <c r="C962">
        <v>1657</v>
      </c>
      <c r="D962">
        <v>349.1</v>
      </c>
      <c r="E962">
        <v>136.30000000000001</v>
      </c>
      <c r="F962">
        <v>1.3</v>
      </c>
      <c r="G962">
        <v>0.2</v>
      </c>
      <c r="H962" t="s">
        <v>1210</v>
      </c>
    </row>
    <row r="963" spans="1:8" x14ac:dyDescent="0.45">
      <c r="A963" t="s">
        <v>1127</v>
      </c>
      <c r="B963" t="s">
        <v>8</v>
      </c>
      <c r="C963">
        <v>1444</v>
      </c>
      <c r="D963">
        <v>682.1</v>
      </c>
      <c r="E963">
        <v>153.9</v>
      </c>
      <c r="F963">
        <v>3.9</v>
      </c>
      <c r="G963">
        <v>0.9</v>
      </c>
      <c r="H963" t="s">
        <v>1210</v>
      </c>
    </row>
    <row r="964" spans="1:8" x14ac:dyDescent="0.45">
      <c r="A964" t="s">
        <v>1120</v>
      </c>
      <c r="B964" t="s">
        <v>1134</v>
      </c>
      <c r="C964">
        <v>5260</v>
      </c>
      <c r="D964">
        <v>423.8</v>
      </c>
      <c r="E964">
        <v>69.7</v>
      </c>
      <c r="F964">
        <v>2.4</v>
      </c>
      <c r="G964">
        <v>0.5</v>
      </c>
      <c r="H964" t="s">
        <v>1210</v>
      </c>
    </row>
    <row r="965" spans="1:8" x14ac:dyDescent="0.45">
      <c r="A965" t="s">
        <v>1118</v>
      </c>
      <c r="B965" t="s">
        <v>60</v>
      </c>
      <c r="C965">
        <v>1096</v>
      </c>
      <c r="D965">
        <v>346.2</v>
      </c>
      <c r="E965">
        <v>93.2</v>
      </c>
      <c r="F965">
        <v>4.7</v>
      </c>
      <c r="G965">
        <v>1.5</v>
      </c>
      <c r="H965" t="s">
        <v>1210</v>
      </c>
    </row>
    <row r="966" spans="1:8" x14ac:dyDescent="0.45">
      <c r="A966" t="s">
        <v>1124</v>
      </c>
      <c r="B966" t="s">
        <v>92</v>
      </c>
      <c r="C966">
        <v>3412</v>
      </c>
      <c r="D966">
        <v>351.3</v>
      </c>
      <c r="E966">
        <v>102.5</v>
      </c>
      <c r="F966">
        <v>1</v>
      </c>
      <c r="G966">
        <v>0.3</v>
      </c>
      <c r="H966" t="s">
        <v>1210</v>
      </c>
    </row>
    <row r="967" spans="1:8" x14ac:dyDescent="0.45">
      <c r="A967" t="s">
        <v>1128</v>
      </c>
      <c r="B967" t="s">
        <v>1129</v>
      </c>
      <c r="C967">
        <v>13235</v>
      </c>
      <c r="D967">
        <v>853.2</v>
      </c>
      <c r="E967">
        <v>238.3</v>
      </c>
      <c r="F967">
        <v>1.9</v>
      </c>
      <c r="G967">
        <v>0.5</v>
      </c>
      <c r="H967" t="s">
        <v>1210</v>
      </c>
    </row>
    <row r="968" spans="1:8" x14ac:dyDescent="0.45">
      <c r="A968" t="s">
        <v>1123</v>
      </c>
      <c r="B968" t="s">
        <v>42</v>
      </c>
      <c r="D968">
        <v>229.5</v>
      </c>
      <c r="E968">
        <v>84.6</v>
      </c>
      <c r="F968">
        <v>0.8</v>
      </c>
      <c r="G968">
        <v>0.3</v>
      </c>
    </row>
    <row r="969" spans="1:8" x14ac:dyDescent="0.45">
      <c r="A969" t="s">
        <v>1128</v>
      </c>
      <c r="B969" t="s">
        <v>43</v>
      </c>
      <c r="C969">
        <v>1992</v>
      </c>
      <c r="D969">
        <v>134.4</v>
      </c>
      <c r="E969">
        <v>82.3</v>
      </c>
      <c r="F969">
        <v>2.2000000000000002</v>
      </c>
      <c r="G969">
        <v>0.5</v>
      </c>
      <c r="H969" t="s">
        <v>1210</v>
      </c>
    </row>
    <row r="970" spans="1:8" x14ac:dyDescent="0.45">
      <c r="A970" t="s">
        <v>1119</v>
      </c>
      <c r="B970" t="s">
        <v>1135</v>
      </c>
      <c r="C970">
        <v>2921</v>
      </c>
      <c r="D970">
        <v>301.10000000000002</v>
      </c>
      <c r="E970">
        <v>32.9</v>
      </c>
      <c r="F970">
        <v>2.7</v>
      </c>
      <c r="G970">
        <v>1</v>
      </c>
      <c r="H970" t="s">
        <v>1210</v>
      </c>
    </row>
    <row r="971" spans="1:8" x14ac:dyDescent="0.45">
      <c r="A971" t="s">
        <v>1114</v>
      </c>
      <c r="B971" t="s">
        <v>27</v>
      </c>
      <c r="C971">
        <v>7603</v>
      </c>
      <c r="D971">
        <v>544.20000000000005</v>
      </c>
      <c r="E971">
        <v>218.6</v>
      </c>
      <c r="F971">
        <v>5</v>
      </c>
      <c r="G971">
        <v>1.3</v>
      </c>
      <c r="H971" t="s">
        <v>1210</v>
      </c>
    </row>
    <row r="972" spans="1:8" x14ac:dyDescent="0.45">
      <c r="A972" t="s">
        <v>1127</v>
      </c>
      <c r="B972" t="s">
        <v>100</v>
      </c>
      <c r="C972">
        <v>1469</v>
      </c>
      <c r="D972">
        <v>283.39999999999998</v>
      </c>
      <c r="E972">
        <v>24.1</v>
      </c>
      <c r="F972">
        <v>4.0999999999999996</v>
      </c>
      <c r="G972">
        <v>0.9</v>
      </c>
      <c r="H972" t="s">
        <v>1210</v>
      </c>
    </row>
    <row r="973" spans="1:8" x14ac:dyDescent="0.45">
      <c r="A973" t="s">
        <v>1125</v>
      </c>
      <c r="B973" t="s">
        <v>68</v>
      </c>
      <c r="C973">
        <v>1799</v>
      </c>
      <c r="D973">
        <v>556.70000000000005</v>
      </c>
      <c r="E973">
        <v>70.7</v>
      </c>
      <c r="F973">
        <v>4</v>
      </c>
      <c r="G973">
        <v>1.2</v>
      </c>
      <c r="H973" t="s">
        <v>1210</v>
      </c>
    </row>
    <row r="974" spans="1:8" x14ac:dyDescent="0.45">
      <c r="A974" t="s">
        <v>1123</v>
      </c>
      <c r="B974" t="s">
        <v>88</v>
      </c>
      <c r="C974">
        <v>633</v>
      </c>
      <c r="D974">
        <v>423.3</v>
      </c>
      <c r="E974">
        <v>228</v>
      </c>
      <c r="F974">
        <v>0.8</v>
      </c>
      <c r="G974">
        <v>0.3</v>
      </c>
      <c r="H974" t="s">
        <v>1210</v>
      </c>
    </row>
    <row r="975" spans="1:8" x14ac:dyDescent="0.45">
      <c r="A975" t="s">
        <v>1127</v>
      </c>
      <c r="B975" t="s">
        <v>36</v>
      </c>
      <c r="C975">
        <v>1306</v>
      </c>
      <c r="D975">
        <v>202.1</v>
      </c>
      <c r="E975">
        <v>61.9</v>
      </c>
      <c r="F975">
        <v>2.7</v>
      </c>
      <c r="G975">
        <v>0.9</v>
      </c>
      <c r="H975" t="s">
        <v>1210</v>
      </c>
    </row>
    <row r="976" spans="1:8" x14ac:dyDescent="0.45">
      <c r="A976" t="s">
        <v>1114</v>
      </c>
      <c r="B976" t="s">
        <v>20</v>
      </c>
      <c r="C976">
        <v>4489</v>
      </c>
      <c r="D976">
        <v>257.7</v>
      </c>
      <c r="E976">
        <v>38.299999999999997</v>
      </c>
      <c r="F976">
        <v>2.2000000000000002</v>
      </c>
      <c r="G976">
        <v>1.3</v>
      </c>
      <c r="H976" t="s">
        <v>1210</v>
      </c>
    </row>
    <row r="977" spans="1:8" x14ac:dyDescent="0.45">
      <c r="A977" t="s">
        <v>1126</v>
      </c>
      <c r="B977" t="s">
        <v>88</v>
      </c>
      <c r="C977">
        <v>6872</v>
      </c>
      <c r="D977">
        <v>393.9</v>
      </c>
      <c r="E977">
        <v>210.4</v>
      </c>
      <c r="F977">
        <v>1</v>
      </c>
      <c r="G977">
        <v>0.2</v>
      </c>
      <c r="H977" t="s">
        <v>1210</v>
      </c>
    </row>
    <row r="978" spans="1:8" x14ac:dyDescent="0.45">
      <c r="A978" t="s">
        <v>1120</v>
      </c>
      <c r="B978" t="s">
        <v>88</v>
      </c>
      <c r="C978">
        <v>1688</v>
      </c>
      <c r="D978">
        <v>158.5</v>
      </c>
      <c r="E978">
        <v>86.5</v>
      </c>
      <c r="F978">
        <v>0.8</v>
      </c>
      <c r="G978">
        <v>0.5</v>
      </c>
      <c r="H978" t="s">
        <v>1210</v>
      </c>
    </row>
    <row r="979" spans="1:8" x14ac:dyDescent="0.45">
      <c r="A979" t="s">
        <v>1123</v>
      </c>
      <c r="B979" t="s">
        <v>1140</v>
      </c>
      <c r="C979">
        <v>5295</v>
      </c>
      <c r="D979">
        <v>310.8</v>
      </c>
      <c r="E979">
        <v>44.6</v>
      </c>
      <c r="F979">
        <v>0.7</v>
      </c>
      <c r="G979">
        <v>0.3</v>
      </c>
      <c r="H979" t="s">
        <v>1210</v>
      </c>
    </row>
    <row r="980" spans="1:8" x14ac:dyDescent="0.45">
      <c r="A980" t="s">
        <v>1116</v>
      </c>
      <c r="B980" t="s">
        <v>39</v>
      </c>
      <c r="C980">
        <v>3897</v>
      </c>
      <c r="D980">
        <v>431.5</v>
      </c>
      <c r="E980">
        <v>67.7</v>
      </c>
      <c r="F980">
        <v>3.5</v>
      </c>
      <c r="G980">
        <v>1.6</v>
      </c>
      <c r="H980" t="s">
        <v>1210</v>
      </c>
    </row>
    <row r="981" spans="1:8" x14ac:dyDescent="0.45">
      <c r="A981" t="s">
        <v>1128</v>
      </c>
      <c r="B981" t="s">
        <v>67</v>
      </c>
      <c r="C981">
        <v>2388</v>
      </c>
      <c r="D981">
        <v>236</v>
      </c>
      <c r="E981">
        <v>98.3</v>
      </c>
      <c r="F981">
        <v>1.6</v>
      </c>
      <c r="G981">
        <v>0.5</v>
      </c>
      <c r="H981" t="s">
        <v>1210</v>
      </c>
    </row>
    <row r="982" spans="1:8" x14ac:dyDescent="0.45">
      <c r="A982" t="s">
        <v>1127</v>
      </c>
      <c r="B982" t="s">
        <v>30</v>
      </c>
      <c r="C982">
        <v>4743</v>
      </c>
      <c r="E982">
        <v>137.5</v>
      </c>
      <c r="F982">
        <v>3.3</v>
      </c>
      <c r="G982">
        <v>0.9</v>
      </c>
      <c r="H982" t="s">
        <v>1210</v>
      </c>
    </row>
    <row r="983" spans="1:8" x14ac:dyDescent="0.45">
      <c r="A983" t="s">
        <v>1124</v>
      </c>
      <c r="B983" t="s">
        <v>28</v>
      </c>
      <c r="C983">
        <v>2343</v>
      </c>
      <c r="D983">
        <v>262.10000000000002</v>
      </c>
      <c r="E983">
        <v>96.8</v>
      </c>
      <c r="F983">
        <v>1.5</v>
      </c>
      <c r="G983">
        <v>0.3</v>
      </c>
      <c r="H983" t="s">
        <v>1210</v>
      </c>
    </row>
    <row r="984" spans="1:8" x14ac:dyDescent="0.45">
      <c r="A984" t="s">
        <v>1120</v>
      </c>
      <c r="B984" t="s">
        <v>107</v>
      </c>
      <c r="C984">
        <v>906</v>
      </c>
      <c r="E984">
        <v>92.7</v>
      </c>
      <c r="F984">
        <v>2.2999999999999998</v>
      </c>
      <c r="G984">
        <v>0.5</v>
      </c>
      <c r="H984" t="s">
        <v>1210</v>
      </c>
    </row>
    <row r="985" spans="1:8" x14ac:dyDescent="0.45">
      <c r="A985" t="s">
        <v>1122</v>
      </c>
      <c r="B985" t="s">
        <v>7</v>
      </c>
      <c r="C985">
        <v>2175</v>
      </c>
      <c r="E985">
        <v>50.2</v>
      </c>
      <c r="F985">
        <v>0.7</v>
      </c>
      <c r="G985">
        <v>0.2</v>
      </c>
      <c r="H985" t="s">
        <v>1210</v>
      </c>
    </row>
    <row r="986" spans="1:8" x14ac:dyDescent="0.45">
      <c r="A986" t="s">
        <v>1124</v>
      </c>
      <c r="B986" t="s">
        <v>45</v>
      </c>
      <c r="C986">
        <v>10058</v>
      </c>
      <c r="D986">
        <v>680.9</v>
      </c>
      <c r="E986">
        <v>134</v>
      </c>
      <c r="F986">
        <v>0.5</v>
      </c>
      <c r="G986">
        <v>0.3</v>
      </c>
      <c r="H986" t="s">
        <v>1210</v>
      </c>
    </row>
    <row r="987" spans="1:8" x14ac:dyDescent="0.45">
      <c r="A987" t="s">
        <v>1120</v>
      </c>
      <c r="B987" t="s">
        <v>55</v>
      </c>
      <c r="C987">
        <v>6756</v>
      </c>
      <c r="D987">
        <v>743.3</v>
      </c>
      <c r="E987">
        <v>165.6</v>
      </c>
      <c r="F987">
        <v>1.7</v>
      </c>
      <c r="G987">
        <v>0.5</v>
      </c>
      <c r="H987" t="s">
        <v>1210</v>
      </c>
    </row>
    <row r="988" spans="1:8" x14ac:dyDescent="0.45">
      <c r="A988" t="s">
        <v>1122</v>
      </c>
      <c r="B988" t="s">
        <v>39</v>
      </c>
      <c r="C988">
        <v>5673</v>
      </c>
      <c r="D988">
        <v>329.4</v>
      </c>
      <c r="E988">
        <v>35.4</v>
      </c>
      <c r="F988">
        <v>0.7</v>
      </c>
      <c r="G988">
        <v>0.2</v>
      </c>
      <c r="H988" t="s">
        <v>1210</v>
      </c>
    </row>
    <row r="989" spans="1:8" x14ac:dyDescent="0.45">
      <c r="A989" t="s">
        <v>1126</v>
      </c>
      <c r="B989" t="s">
        <v>42</v>
      </c>
      <c r="C989">
        <v>1640</v>
      </c>
      <c r="D989">
        <v>304.10000000000002</v>
      </c>
      <c r="E989">
        <v>117.7</v>
      </c>
      <c r="F989">
        <v>0.8</v>
      </c>
      <c r="G989">
        <v>0.2</v>
      </c>
      <c r="H989" t="s">
        <v>1210</v>
      </c>
    </row>
    <row r="990" spans="1:8" x14ac:dyDescent="0.45">
      <c r="A990" t="s">
        <v>1122</v>
      </c>
      <c r="B990" t="s">
        <v>53</v>
      </c>
      <c r="C990">
        <v>2379</v>
      </c>
      <c r="D990">
        <v>203</v>
      </c>
      <c r="E990">
        <v>55</v>
      </c>
      <c r="F990">
        <v>1</v>
      </c>
      <c r="G990">
        <v>0.2</v>
      </c>
      <c r="H990" t="s">
        <v>1210</v>
      </c>
    </row>
    <row r="991" spans="1:8" x14ac:dyDescent="0.45">
      <c r="A991" t="s">
        <v>1116</v>
      </c>
      <c r="B991" t="s">
        <v>51</v>
      </c>
      <c r="C991">
        <v>13027</v>
      </c>
      <c r="D991">
        <v>851.2</v>
      </c>
      <c r="E991">
        <v>213.1</v>
      </c>
      <c r="F991">
        <v>4</v>
      </c>
      <c r="G991">
        <v>1.6</v>
      </c>
      <c r="H991" t="s">
        <v>1210</v>
      </c>
    </row>
    <row r="992" spans="1:8" x14ac:dyDescent="0.45">
      <c r="A992" t="s">
        <v>1128</v>
      </c>
      <c r="B992" t="s">
        <v>87</v>
      </c>
      <c r="C992">
        <v>1710</v>
      </c>
      <c r="D992">
        <v>403.3</v>
      </c>
      <c r="E992">
        <v>71.099999999999994</v>
      </c>
      <c r="F992">
        <v>0.9</v>
      </c>
      <c r="G992">
        <v>0.5</v>
      </c>
      <c r="H992" t="s">
        <v>1210</v>
      </c>
    </row>
    <row r="993" spans="1:8" x14ac:dyDescent="0.45">
      <c r="A993" t="s">
        <v>1120</v>
      </c>
      <c r="B993" t="s">
        <v>5</v>
      </c>
      <c r="C993">
        <v>5447</v>
      </c>
      <c r="D993">
        <v>352.2</v>
      </c>
      <c r="E993">
        <v>29.8</v>
      </c>
      <c r="F993">
        <v>1.8</v>
      </c>
      <c r="G993">
        <v>0.5</v>
      </c>
      <c r="H993" t="s">
        <v>1210</v>
      </c>
    </row>
    <row r="994" spans="1:8" x14ac:dyDescent="0.45">
      <c r="A994" t="s">
        <v>1124</v>
      </c>
      <c r="B994" t="s">
        <v>106</v>
      </c>
      <c r="C994">
        <v>5841</v>
      </c>
      <c r="D994">
        <v>353.3</v>
      </c>
      <c r="E994">
        <v>101.8</v>
      </c>
      <c r="F994">
        <v>0.8</v>
      </c>
      <c r="G994">
        <v>0.3</v>
      </c>
      <c r="H994" t="s">
        <v>1210</v>
      </c>
    </row>
    <row r="995" spans="1:8" x14ac:dyDescent="0.45">
      <c r="A995" t="s">
        <v>1119</v>
      </c>
      <c r="B995" t="s">
        <v>39</v>
      </c>
      <c r="C995">
        <v>2311</v>
      </c>
      <c r="D995">
        <v>293.89999999999998</v>
      </c>
      <c r="E995">
        <v>38.9</v>
      </c>
      <c r="F995">
        <v>2.7</v>
      </c>
      <c r="G995">
        <v>1</v>
      </c>
      <c r="H995" t="s">
        <v>1210</v>
      </c>
    </row>
    <row r="996" spans="1:8" x14ac:dyDescent="0.45">
      <c r="A996" t="s">
        <v>1128</v>
      </c>
      <c r="B996" t="s">
        <v>68</v>
      </c>
      <c r="C996">
        <v>925</v>
      </c>
      <c r="D996">
        <v>166.8</v>
      </c>
      <c r="E996">
        <v>28.6</v>
      </c>
      <c r="F996">
        <v>2</v>
      </c>
      <c r="G996">
        <v>0.5</v>
      </c>
      <c r="H996" t="s">
        <v>1210</v>
      </c>
    </row>
    <row r="997" spans="1:8" x14ac:dyDescent="0.45">
      <c r="A997" t="s">
        <v>1125</v>
      </c>
      <c r="B997" t="s">
        <v>29</v>
      </c>
      <c r="C997">
        <v>7785</v>
      </c>
      <c r="D997">
        <v>622.4</v>
      </c>
      <c r="E997">
        <v>103.2</v>
      </c>
      <c r="F997">
        <v>3.1</v>
      </c>
      <c r="G997">
        <v>1.2</v>
      </c>
      <c r="H997" t="s">
        <v>1210</v>
      </c>
    </row>
    <row r="998" spans="1:8" x14ac:dyDescent="0.45">
      <c r="A998" t="s">
        <v>1124</v>
      </c>
      <c r="B998" t="s">
        <v>72</v>
      </c>
      <c r="C998">
        <v>5948</v>
      </c>
      <c r="D998">
        <v>418.9</v>
      </c>
      <c r="E998">
        <v>58.9</v>
      </c>
      <c r="F998">
        <v>0.8</v>
      </c>
      <c r="G998">
        <v>0.3</v>
      </c>
      <c r="H998" t="s">
        <v>1210</v>
      </c>
    </row>
    <row r="999" spans="1:8" x14ac:dyDescent="0.45">
      <c r="A999" t="s">
        <v>1125</v>
      </c>
      <c r="B999" t="s">
        <v>1131</v>
      </c>
      <c r="C999">
        <v>229</v>
      </c>
      <c r="D999">
        <v>342.3</v>
      </c>
      <c r="E999">
        <v>209.4</v>
      </c>
      <c r="F999">
        <v>3.2</v>
      </c>
      <c r="G999">
        <v>1.2</v>
      </c>
      <c r="H999" t="s">
        <v>1210</v>
      </c>
    </row>
    <row r="1000" spans="1:8" x14ac:dyDescent="0.45">
      <c r="A1000" t="s">
        <v>1125</v>
      </c>
      <c r="B1000" t="s">
        <v>23</v>
      </c>
      <c r="C1000">
        <v>1524</v>
      </c>
      <c r="D1000">
        <v>201.5</v>
      </c>
      <c r="E1000">
        <v>79.099999999999994</v>
      </c>
      <c r="F1000">
        <v>3.3</v>
      </c>
      <c r="G1000">
        <v>1.2</v>
      </c>
      <c r="H1000" t="s">
        <v>1210</v>
      </c>
    </row>
    <row r="1001" spans="1:8" x14ac:dyDescent="0.45">
      <c r="A1001" t="s">
        <v>1126</v>
      </c>
      <c r="B1001" t="s">
        <v>35</v>
      </c>
      <c r="C1001">
        <v>6323</v>
      </c>
      <c r="D1001">
        <v>676.4</v>
      </c>
      <c r="E1001">
        <v>98</v>
      </c>
      <c r="F1001">
        <v>1</v>
      </c>
      <c r="G1001">
        <v>0.2</v>
      </c>
      <c r="H1001" t="s">
        <v>1210</v>
      </c>
    </row>
    <row r="1002" spans="1:8" x14ac:dyDescent="0.45">
      <c r="A1002" t="s">
        <v>1116</v>
      </c>
      <c r="B1002" t="s">
        <v>68</v>
      </c>
      <c r="C1002">
        <v>3870</v>
      </c>
      <c r="D1002">
        <v>290.10000000000002</v>
      </c>
      <c r="E1002">
        <v>32</v>
      </c>
      <c r="F1002">
        <v>5.0999999999999996</v>
      </c>
      <c r="G1002">
        <v>1.6</v>
      </c>
      <c r="H1002" t="s">
        <v>1210</v>
      </c>
    </row>
    <row r="1003" spans="1:8" x14ac:dyDescent="0.45">
      <c r="A1003" t="s">
        <v>1118</v>
      </c>
      <c r="B1003" t="s">
        <v>57</v>
      </c>
      <c r="C1003">
        <v>574</v>
      </c>
      <c r="D1003">
        <v>367.5</v>
      </c>
      <c r="E1003">
        <v>43.9</v>
      </c>
      <c r="F1003">
        <v>5.9</v>
      </c>
      <c r="G1003">
        <v>1.5</v>
      </c>
      <c r="H1003" t="s">
        <v>1210</v>
      </c>
    </row>
    <row r="1004" spans="1:8" x14ac:dyDescent="0.45">
      <c r="A1004" t="s">
        <v>1123</v>
      </c>
      <c r="B1004" t="s">
        <v>77</v>
      </c>
      <c r="C1004">
        <v>3318</v>
      </c>
      <c r="D1004">
        <v>516.1</v>
      </c>
      <c r="E1004">
        <v>135.30000000000001</v>
      </c>
      <c r="F1004">
        <v>1.4</v>
      </c>
      <c r="G1004">
        <v>0.3</v>
      </c>
      <c r="H1004" t="s">
        <v>1210</v>
      </c>
    </row>
    <row r="1005" spans="1:8" x14ac:dyDescent="0.45">
      <c r="A1005" t="s">
        <v>1124</v>
      </c>
      <c r="B1005" t="s">
        <v>33</v>
      </c>
      <c r="C1005">
        <v>4260</v>
      </c>
      <c r="D1005">
        <v>382.7</v>
      </c>
      <c r="E1005">
        <v>43.7</v>
      </c>
      <c r="F1005">
        <v>1.2</v>
      </c>
      <c r="G1005">
        <v>0.3</v>
      </c>
      <c r="H1005" t="s">
        <v>1210</v>
      </c>
    </row>
    <row r="1006" spans="1:8" x14ac:dyDescent="0.45">
      <c r="A1006" t="s">
        <v>1114</v>
      </c>
      <c r="B1006" t="s">
        <v>1131</v>
      </c>
      <c r="C1006">
        <v>3718</v>
      </c>
      <c r="D1006">
        <v>265.39999999999998</v>
      </c>
      <c r="E1006">
        <v>185.5</v>
      </c>
      <c r="F1006">
        <v>6.3</v>
      </c>
      <c r="G1006">
        <v>1.3</v>
      </c>
      <c r="H1006" t="s">
        <v>1210</v>
      </c>
    </row>
    <row r="1007" spans="1:8" x14ac:dyDescent="0.45">
      <c r="A1007" t="s">
        <v>1115</v>
      </c>
      <c r="B1007" t="s">
        <v>1132</v>
      </c>
      <c r="C1007">
        <v>953</v>
      </c>
      <c r="D1007">
        <v>310.5</v>
      </c>
      <c r="E1007">
        <v>43</v>
      </c>
      <c r="F1007">
        <v>1.1000000000000001</v>
      </c>
      <c r="G1007">
        <v>0.6</v>
      </c>
      <c r="H1007" t="s">
        <v>1210</v>
      </c>
    </row>
    <row r="1008" spans="1:8" x14ac:dyDescent="0.45">
      <c r="A1008" t="s">
        <v>1117</v>
      </c>
      <c r="B1008" t="s">
        <v>88</v>
      </c>
      <c r="C1008">
        <v>1288</v>
      </c>
      <c r="D1008">
        <v>180.2</v>
      </c>
      <c r="E1008">
        <v>74.3</v>
      </c>
      <c r="F1008">
        <v>2.9</v>
      </c>
      <c r="G1008">
        <v>0.5</v>
      </c>
      <c r="H1008" t="s">
        <v>1210</v>
      </c>
    </row>
    <row r="1009" spans="1:8" x14ac:dyDescent="0.45">
      <c r="A1009" t="s">
        <v>1123</v>
      </c>
      <c r="B1009" t="s">
        <v>48</v>
      </c>
      <c r="C1009">
        <v>13087</v>
      </c>
      <c r="D1009">
        <v>793.1</v>
      </c>
      <c r="E1009">
        <v>169.4</v>
      </c>
      <c r="F1009">
        <v>1.4</v>
      </c>
      <c r="G1009">
        <v>0.3</v>
      </c>
      <c r="H1009" t="s">
        <v>1210</v>
      </c>
    </row>
    <row r="1010" spans="1:8" x14ac:dyDescent="0.45">
      <c r="A1010" t="s">
        <v>1116</v>
      </c>
      <c r="B1010" t="s">
        <v>1138</v>
      </c>
      <c r="C1010">
        <v>14152</v>
      </c>
      <c r="D1010">
        <v>989.1</v>
      </c>
      <c r="E1010">
        <v>263</v>
      </c>
      <c r="F1010">
        <v>5.6</v>
      </c>
      <c r="G1010">
        <v>1.6</v>
      </c>
      <c r="H1010" t="s">
        <v>1210</v>
      </c>
    </row>
    <row r="1011" spans="1:8" x14ac:dyDescent="0.45">
      <c r="A1011" t="s">
        <v>1115</v>
      </c>
      <c r="B1011" t="s">
        <v>72</v>
      </c>
      <c r="C1011">
        <v>2297</v>
      </c>
      <c r="D1011">
        <v>495.6</v>
      </c>
      <c r="E1011">
        <v>55.2</v>
      </c>
      <c r="F1011">
        <v>2.2000000000000002</v>
      </c>
      <c r="G1011">
        <v>0.6</v>
      </c>
      <c r="H1011" t="s">
        <v>1210</v>
      </c>
    </row>
    <row r="1012" spans="1:8" x14ac:dyDescent="0.45">
      <c r="A1012" t="s">
        <v>1120</v>
      </c>
      <c r="B1012" t="s">
        <v>58</v>
      </c>
      <c r="C1012">
        <v>951</v>
      </c>
      <c r="D1012">
        <v>443.6</v>
      </c>
      <c r="E1012">
        <v>64.2</v>
      </c>
      <c r="F1012">
        <v>2.5</v>
      </c>
      <c r="G1012">
        <v>0.5</v>
      </c>
      <c r="H1012" t="s">
        <v>1210</v>
      </c>
    </row>
    <row r="1013" spans="1:8" x14ac:dyDescent="0.45">
      <c r="A1013" t="s">
        <v>1116</v>
      </c>
      <c r="B1013" t="s">
        <v>72</v>
      </c>
      <c r="C1013">
        <v>423</v>
      </c>
      <c r="D1013">
        <v>265.60000000000002</v>
      </c>
      <c r="E1013">
        <v>32</v>
      </c>
      <c r="F1013">
        <v>8.6</v>
      </c>
      <c r="G1013">
        <v>1.6</v>
      </c>
      <c r="H1013" t="s">
        <v>1210</v>
      </c>
    </row>
    <row r="1014" spans="1:8" x14ac:dyDescent="0.45">
      <c r="A1014" t="s">
        <v>1118</v>
      </c>
      <c r="B1014" t="s">
        <v>108</v>
      </c>
      <c r="C1014">
        <v>2813</v>
      </c>
      <c r="D1014">
        <v>276.7</v>
      </c>
      <c r="E1014">
        <v>40.1</v>
      </c>
      <c r="F1014">
        <v>4.7</v>
      </c>
      <c r="G1014">
        <v>1.5</v>
      </c>
      <c r="H1014" t="s">
        <v>1210</v>
      </c>
    </row>
    <row r="1015" spans="1:8" x14ac:dyDescent="0.45">
      <c r="A1015" t="s">
        <v>1123</v>
      </c>
      <c r="B1015" t="s">
        <v>76</v>
      </c>
      <c r="C1015">
        <v>8285</v>
      </c>
      <c r="D1015">
        <v>799</v>
      </c>
      <c r="E1015">
        <v>128.69999999999999</v>
      </c>
      <c r="F1015">
        <v>1.1000000000000001</v>
      </c>
      <c r="G1015">
        <v>0.3</v>
      </c>
      <c r="H1015" t="s">
        <v>1210</v>
      </c>
    </row>
    <row r="1016" spans="1:8" x14ac:dyDescent="0.45">
      <c r="A1016" t="s">
        <v>1121</v>
      </c>
      <c r="B1016" t="s">
        <v>78</v>
      </c>
      <c r="C1016">
        <v>880</v>
      </c>
      <c r="D1016">
        <v>306.3</v>
      </c>
      <c r="E1016">
        <v>99.9</v>
      </c>
      <c r="F1016">
        <v>2.2999999999999998</v>
      </c>
      <c r="G1016">
        <v>0.4</v>
      </c>
      <c r="H1016" t="s">
        <v>1210</v>
      </c>
    </row>
    <row r="1017" spans="1:8" x14ac:dyDescent="0.45">
      <c r="A1017" t="s">
        <v>1117</v>
      </c>
      <c r="B1017" t="s">
        <v>70</v>
      </c>
      <c r="C1017">
        <v>4328</v>
      </c>
      <c r="D1017">
        <v>286.60000000000002</v>
      </c>
      <c r="E1017">
        <v>53.1</v>
      </c>
      <c r="F1017">
        <v>1.7</v>
      </c>
      <c r="G1017">
        <v>0.5</v>
      </c>
      <c r="H1017" t="s">
        <v>1210</v>
      </c>
    </row>
    <row r="1018" spans="1:8" x14ac:dyDescent="0.45">
      <c r="A1018" t="s">
        <v>1121</v>
      </c>
      <c r="B1018" t="s">
        <v>29</v>
      </c>
      <c r="C1018">
        <v>11536</v>
      </c>
      <c r="D1018">
        <v>662.4</v>
      </c>
      <c r="E1018">
        <v>111.8</v>
      </c>
      <c r="F1018">
        <v>1.3</v>
      </c>
      <c r="G1018">
        <v>0.4</v>
      </c>
      <c r="H1018" t="s">
        <v>1210</v>
      </c>
    </row>
    <row r="1019" spans="1:8" x14ac:dyDescent="0.45">
      <c r="A1019" t="s">
        <v>1115</v>
      </c>
      <c r="B1019" t="s">
        <v>85</v>
      </c>
      <c r="C1019">
        <v>3805</v>
      </c>
      <c r="D1019">
        <v>227.1</v>
      </c>
      <c r="E1019">
        <v>144</v>
      </c>
      <c r="F1019">
        <v>1.6</v>
      </c>
      <c r="G1019">
        <v>0.6</v>
      </c>
      <c r="H1019" t="s">
        <v>1210</v>
      </c>
    </row>
    <row r="1020" spans="1:8" x14ac:dyDescent="0.45">
      <c r="A1020" t="s">
        <v>1121</v>
      </c>
      <c r="B1020" t="s">
        <v>96</v>
      </c>
      <c r="C1020">
        <v>10381</v>
      </c>
      <c r="D1020">
        <v>664.7</v>
      </c>
      <c r="E1020">
        <v>125.1</v>
      </c>
      <c r="F1020">
        <v>2</v>
      </c>
      <c r="G1020">
        <v>0.4</v>
      </c>
      <c r="H1020" t="s">
        <v>1210</v>
      </c>
    </row>
    <row r="1021" spans="1:8" x14ac:dyDescent="0.45">
      <c r="A1021" t="s">
        <v>1116</v>
      </c>
      <c r="B1021" t="s">
        <v>97</v>
      </c>
      <c r="C1021">
        <v>3150</v>
      </c>
      <c r="D1021">
        <v>378.7</v>
      </c>
      <c r="E1021">
        <v>250.7</v>
      </c>
      <c r="F1021">
        <v>4</v>
      </c>
      <c r="G1021">
        <v>1.6</v>
      </c>
      <c r="H1021" t="s">
        <v>1210</v>
      </c>
    </row>
    <row r="1022" spans="1:8" x14ac:dyDescent="0.45">
      <c r="A1022" t="s">
        <v>1118</v>
      </c>
      <c r="B1022" t="s">
        <v>8</v>
      </c>
      <c r="C1022">
        <v>4471</v>
      </c>
      <c r="D1022">
        <v>449.5</v>
      </c>
      <c r="E1022">
        <v>85.7</v>
      </c>
      <c r="F1022">
        <v>7.1</v>
      </c>
      <c r="G1022">
        <v>1.5</v>
      </c>
      <c r="H1022" t="s">
        <v>1210</v>
      </c>
    </row>
    <row r="1023" spans="1:8" x14ac:dyDescent="0.45">
      <c r="A1023" t="s">
        <v>1123</v>
      </c>
      <c r="B1023" t="s">
        <v>29</v>
      </c>
      <c r="C1023">
        <v>2901</v>
      </c>
      <c r="D1023">
        <v>379.1</v>
      </c>
      <c r="E1023">
        <v>83.2</v>
      </c>
      <c r="F1023">
        <v>1.3</v>
      </c>
      <c r="G1023">
        <v>0.3</v>
      </c>
      <c r="H1023" t="s">
        <v>1210</v>
      </c>
    </row>
    <row r="1024" spans="1:8" x14ac:dyDescent="0.45">
      <c r="A1024" t="s">
        <v>1124</v>
      </c>
      <c r="B1024" t="s">
        <v>63</v>
      </c>
      <c r="C1024">
        <v>5420</v>
      </c>
      <c r="D1024">
        <v>568.5</v>
      </c>
      <c r="E1024">
        <v>106.3</v>
      </c>
      <c r="F1024">
        <v>1.1000000000000001</v>
      </c>
      <c r="G1024">
        <v>0.3</v>
      </c>
      <c r="H1024" t="s">
        <v>1210</v>
      </c>
    </row>
    <row r="1025" spans="1:8" x14ac:dyDescent="0.45">
      <c r="A1025" t="s">
        <v>1120</v>
      </c>
      <c r="B1025" t="s">
        <v>1141</v>
      </c>
      <c r="C1025">
        <v>2418</v>
      </c>
      <c r="D1025">
        <v>356.5</v>
      </c>
      <c r="E1025">
        <v>43.6</v>
      </c>
      <c r="F1025">
        <v>2</v>
      </c>
      <c r="G1025">
        <v>0.5</v>
      </c>
      <c r="H1025" t="s">
        <v>1210</v>
      </c>
    </row>
    <row r="1026" spans="1:8" x14ac:dyDescent="0.45">
      <c r="A1026" t="s">
        <v>1117</v>
      </c>
      <c r="B1026" t="s">
        <v>47</v>
      </c>
      <c r="C1026">
        <v>8519</v>
      </c>
      <c r="D1026">
        <v>548.9</v>
      </c>
      <c r="E1026">
        <v>67.900000000000006</v>
      </c>
      <c r="F1026">
        <v>2.4</v>
      </c>
      <c r="G1026">
        <v>0.5</v>
      </c>
      <c r="H1026" t="s">
        <v>1210</v>
      </c>
    </row>
    <row r="1027" spans="1:8" x14ac:dyDescent="0.45">
      <c r="A1027" t="s">
        <v>1125</v>
      </c>
      <c r="B1027" t="s">
        <v>55</v>
      </c>
      <c r="D1027">
        <v>546.79999999999995</v>
      </c>
      <c r="E1027">
        <v>135.4</v>
      </c>
      <c r="F1027">
        <v>3.1</v>
      </c>
      <c r="G1027">
        <v>1.2</v>
      </c>
    </row>
    <row r="1028" spans="1:8" x14ac:dyDescent="0.45">
      <c r="A1028" t="s">
        <v>1117</v>
      </c>
      <c r="B1028" t="s">
        <v>44</v>
      </c>
      <c r="C1028">
        <v>3448</v>
      </c>
      <c r="D1028">
        <v>601.1</v>
      </c>
      <c r="E1028">
        <v>90.2</v>
      </c>
      <c r="F1028">
        <v>1.5</v>
      </c>
      <c r="G1028">
        <v>0.5</v>
      </c>
      <c r="H1028" t="s">
        <v>1210</v>
      </c>
    </row>
    <row r="1029" spans="1:8" x14ac:dyDescent="0.45">
      <c r="A1029" t="s">
        <v>1116</v>
      </c>
      <c r="B1029" t="s">
        <v>1136</v>
      </c>
      <c r="C1029">
        <v>788</v>
      </c>
      <c r="D1029">
        <v>196.4</v>
      </c>
      <c r="E1029">
        <v>99.2</v>
      </c>
      <c r="F1029">
        <v>1.7</v>
      </c>
      <c r="G1029">
        <v>1.6</v>
      </c>
      <c r="H1029" t="s">
        <v>1210</v>
      </c>
    </row>
    <row r="1030" spans="1:8" x14ac:dyDescent="0.45">
      <c r="A1030" t="s">
        <v>1117</v>
      </c>
      <c r="B1030" t="s">
        <v>48</v>
      </c>
      <c r="C1030">
        <v>4772</v>
      </c>
      <c r="D1030">
        <v>271</v>
      </c>
      <c r="E1030">
        <v>62.8</v>
      </c>
      <c r="F1030">
        <v>1.6</v>
      </c>
      <c r="G1030">
        <v>0.5</v>
      </c>
      <c r="H1030" t="s">
        <v>1210</v>
      </c>
    </row>
    <row r="1031" spans="1:8" x14ac:dyDescent="0.45">
      <c r="A1031" t="s">
        <v>1122</v>
      </c>
      <c r="B1031" t="s">
        <v>96</v>
      </c>
      <c r="C1031">
        <v>9272</v>
      </c>
      <c r="D1031">
        <v>726.7</v>
      </c>
      <c r="E1031">
        <v>152.5</v>
      </c>
      <c r="F1031">
        <v>0.9</v>
      </c>
      <c r="G1031">
        <v>0.2</v>
      </c>
      <c r="H1031" t="s">
        <v>1210</v>
      </c>
    </row>
    <row r="1032" spans="1:8" x14ac:dyDescent="0.45">
      <c r="A1032" t="s">
        <v>1118</v>
      </c>
      <c r="B1032" t="s">
        <v>107</v>
      </c>
      <c r="C1032">
        <v>706</v>
      </c>
      <c r="D1032">
        <v>151</v>
      </c>
      <c r="E1032">
        <v>92.5</v>
      </c>
      <c r="F1032">
        <v>2.4</v>
      </c>
      <c r="G1032">
        <v>1.5</v>
      </c>
      <c r="H1032" t="s">
        <v>1210</v>
      </c>
    </row>
    <row r="1033" spans="1:8" x14ac:dyDescent="0.45">
      <c r="A1033" t="s">
        <v>1121</v>
      </c>
      <c r="B1033" t="s">
        <v>97</v>
      </c>
      <c r="C1033">
        <v>1439</v>
      </c>
      <c r="D1033">
        <v>345.7</v>
      </c>
      <c r="E1033">
        <v>241.6</v>
      </c>
      <c r="F1033">
        <v>1.6</v>
      </c>
      <c r="G1033">
        <v>0.4</v>
      </c>
      <c r="H1033" t="s">
        <v>1210</v>
      </c>
    </row>
    <row r="1034" spans="1:8" x14ac:dyDescent="0.45">
      <c r="A1034" t="s">
        <v>1118</v>
      </c>
      <c r="B1034" t="s">
        <v>29</v>
      </c>
      <c r="C1034">
        <v>11639</v>
      </c>
      <c r="D1034">
        <v>715.4</v>
      </c>
      <c r="E1034">
        <v>192</v>
      </c>
      <c r="F1034">
        <v>3.8</v>
      </c>
      <c r="G1034">
        <v>1.5</v>
      </c>
      <c r="H1034" t="s">
        <v>1210</v>
      </c>
    </row>
    <row r="1035" spans="1:8" x14ac:dyDescent="0.45">
      <c r="A1035" t="s">
        <v>1114</v>
      </c>
      <c r="B1035" t="s">
        <v>52</v>
      </c>
      <c r="C1035">
        <v>475</v>
      </c>
      <c r="D1035">
        <v>261.5</v>
      </c>
      <c r="E1035">
        <v>110.4</v>
      </c>
      <c r="F1035">
        <v>4.0999999999999996</v>
      </c>
      <c r="G1035">
        <v>1.3</v>
      </c>
      <c r="H1035" t="s">
        <v>1210</v>
      </c>
    </row>
    <row r="1036" spans="1:8" x14ac:dyDescent="0.45">
      <c r="A1036" t="s">
        <v>1114</v>
      </c>
      <c r="B1036" t="s">
        <v>91</v>
      </c>
      <c r="C1036">
        <v>6190</v>
      </c>
      <c r="D1036">
        <v>563.70000000000005</v>
      </c>
      <c r="E1036">
        <v>355.7</v>
      </c>
      <c r="F1036">
        <v>2.2999999999999998</v>
      </c>
      <c r="G1036">
        <v>1.3</v>
      </c>
      <c r="H1036" t="s">
        <v>1210</v>
      </c>
    </row>
    <row r="1037" spans="1:8" x14ac:dyDescent="0.45">
      <c r="A1037" t="s">
        <v>1120</v>
      </c>
      <c r="B1037" t="s">
        <v>23</v>
      </c>
      <c r="C1037">
        <v>4332</v>
      </c>
      <c r="D1037">
        <v>268.8</v>
      </c>
      <c r="E1037">
        <v>90.9</v>
      </c>
      <c r="F1037">
        <v>2.2000000000000002</v>
      </c>
      <c r="G1037">
        <v>0.5</v>
      </c>
      <c r="H1037" t="s">
        <v>1210</v>
      </c>
    </row>
    <row r="1038" spans="1:8" x14ac:dyDescent="0.45">
      <c r="A1038" t="s">
        <v>1127</v>
      </c>
      <c r="B1038" t="s">
        <v>50</v>
      </c>
      <c r="C1038">
        <v>2003</v>
      </c>
      <c r="D1038">
        <v>283.60000000000002</v>
      </c>
      <c r="E1038">
        <v>85.6</v>
      </c>
      <c r="F1038">
        <v>3.1</v>
      </c>
      <c r="G1038">
        <v>0.9</v>
      </c>
      <c r="H1038" t="s">
        <v>1210</v>
      </c>
    </row>
    <row r="1039" spans="1:8" x14ac:dyDescent="0.45">
      <c r="A1039" t="s">
        <v>1123</v>
      </c>
      <c r="B1039" t="s">
        <v>43</v>
      </c>
      <c r="C1039">
        <v>3006</v>
      </c>
      <c r="D1039">
        <v>683.5</v>
      </c>
      <c r="E1039">
        <v>343.5</v>
      </c>
      <c r="F1039">
        <v>1.4</v>
      </c>
      <c r="G1039">
        <v>0.3</v>
      </c>
      <c r="H1039" t="s">
        <v>1210</v>
      </c>
    </row>
    <row r="1040" spans="1:8" x14ac:dyDescent="0.45">
      <c r="A1040" t="s">
        <v>1128</v>
      </c>
      <c r="B1040" t="s">
        <v>1134</v>
      </c>
      <c r="C1040">
        <v>2905</v>
      </c>
      <c r="D1040">
        <v>258.89999999999998</v>
      </c>
      <c r="E1040">
        <v>28.9</v>
      </c>
      <c r="F1040">
        <v>2.1</v>
      </c>
      <c r="G1040">
        <v>0.5</v>
      </c>
      <c r="H1040" t="s">
        <v>1210</v>
      </c>
    </row>
    <row r="1041" spans="1:8" x14ac:dyDescent="0.45">
      <c r="A1041" t="s">
        <v>1126</v>
      </c>
      <c r="B1041" t="s">
        <v>81</v>
      </c>
      <c r="C1041">
        <v>2367</v>
      </c>
      <c r="D1041">
        <v>466</v>
      </c>
      <c r="E1041">
        <v>72.3</v>
      </c>
      <c r="F1041">
        <v>0.7</v>
      </c>
      <c r="G1041">
        <v>0.2</v>
      </c>
      <c r="H1041" t="s">
        <v>1210</v>
      </c>
    </row>
    <row r="1042" spans="1:8" x14ac:dyDescent="0.45">
      <c r="A1042" t="s">
        <v>1117</v>
      </c>
      <c r="B1042" t="s">
        <v>10</v>
      </c>
      <c r="C1042">
        <v>3970</v>
      </c>
      <c r="D1042">
        <v>310.2</v>
      </c>
      <c r="E1042">
        <v>46.5</v>
      </c>
      <c r="F1042">
        <v>2.2000000000000002</v>
      </c>
      <c r="G1042">
        <v>0.5</v>
      </c>
      <c r="H1042" t="s">
        <v>1210</v>
      </c>
    </row>
    <row r="1043" spans="1:8" x14ac:dyDescent="0.45">
      <c r="A1043" t="s">
        <v>1114</v>
      </c>
      <c r="B1043" t="s">
        <v>49</v>
      </c>
      <c r="C1043">
        <v>2021</v>
      </c>
      <c r="D1043">
        <v>222.7</v>
      </c>
      <c r="E1043">
        <v>42.2</v>
      </c>
      <c r="F1043">
        <v>3.8</v>
      </c>
      <c r="G1043">
        <v>1.3</v>
      </c>
      <c r="H1043" t="s">
        <v>1210</v>
      </c>
    </row>
    <row r="1044" spans="1:8" x14ac:dyDescent="0.45">
      <c r="A1044" t="s">
        <v>1117</v>
      </c>
      <c r="B1044" t="s">
        <v>25</v>
      </c>
      <c r="C1044">
        <v>1122</v>
      </c>
      <c r="D1044">
        <v>246.3</v>
      </c>
      <c r="E1044">
        <v>88.4</v>
      </c>
      <c r="F1044">
        <v>1.6</v>
      </c>
      <c r="G1044">
        <v>0.5</v>
      </c>
      <c r="H1044" t="s">
        <v>1210</v>
      </c>
    </row>
    <row r="1045" spans="1:8" x14ac:dyDescent="0.45">
      <c r="A1045" t="s">
        <v>1120</v>
      </c>
      <c r="B1045" t="s">
        <v>68</v>
      </c>
      <c r="C1045">
        <v>4357</v>
      </c>
      <c r="D1045">
        <v>248.7</v>
      </c>
      <c r="E1045">
        <v>39.6</v>
      </c>
      <c r="F1045">
        <v>1.8</v>
      </c>
      <c r="G1045">
        <v>0.5</v>
      </c>
      <c r="H1045" t="s">
        <v>1210</v>
      </c>
    </row>
    <row r="1046" spans="1:8" x14ac:dyDescent="0.45">
      <c r="A1046" t="s">
        <v>1126</v>
      </c>
      <c r="B1046" t="s">
        <v>72</v>
      </c>
      <c r="C1046">
        <v>2744</v>
      </c>
      <c r="D1046">
        <v>357.7</v>
      </c>
      <c r="E1046">
        <v>71</v>
      </c>
      <c r="F1046">
        <v>0.8</v>
      </c>
      <c r="G1046">
        <v>0.2</v>
      </c>
      <c r="H1046" t="s">
        <v>1210</v>
      </c>
    </row>
    <row r="1047" spans="1:8" x14ac:dyDescent="0.45">
      <c r="A1047" t="s">
        <v>1118</v>
      </c>
      <c r="B1047" t="s">
        <v>61</v>
      </c>
      <c r="C1047">
        <v>10022</v>
      </c>
      <c r="D1047">
        <v>615.29999999999995</v>
      </c>
      <c r="E1047">
        <v>96.8</v>
      </c>
      <c r="F1047">
        <v>6.7</v>
      </c>
      <c r="G1047">
        <v>1.5</v>
      </c>
      <c r="H1047" t="s">
        <v>1210</v>
      </c>
    </row>
    <row r="1048" spans="1:8" x14ac:dyDescent="0.45">
      <c r="A1048" t="s">
        <v>1127</v>
      </c>
      <c r="B1048" t="s">
        <v>10</v>
      </c>
      <c r="C1048">
        <v>3000</v>
      </c>
      <c r="D1048">
        <v>266.89999999999998</v>
      </c>
      <c r="E1048">
        <v>38.700000000000003</v>
      </c>
      <c r="F1048">
        <v>2.8</v>
      </c>
      <c r="G1048">
        <v>0.9</v>
      </c>
      <c r="H1048" t="s">
        <v>1210</v>
      </c>
    </row>
    <row r="1049" spans="1:8" x14ac:dyDescent="0.45">
      <c r="A1049" t="s">
        <v>1115</v>
      </c>
      <c r="B1049" t="s">
        <v>40</v>
      </c>
      <c r="C1049">
        <v>3341</v>
      </c>
      <c r="D1049">
        <v>337.7</v>
      </c>
      <c r="E1049">
        <v>40</v>
      </c>
      <c r="F1049">
        <v>2.2999999999999998</v>
      </c>
      <c r="G1049">
        <v>0.6</v>
      </c>
      <c r="H1049" t="s">
        <v>1210</v>
      </c>
    </row>
    <row r="1050" spans="1:8" x14ac:dyDescent="0.45">
      <c r="A1050" t="s">
        <v>1125</v>
      </c>
      <c r="B1050" t="s">
        <v>25</v>
      </c>
      <c r="C1050">
        <v>1950</v>
      </c>
      <c r="D1050">
        <v>361</v>
      </c>
      <c r="E1050">
        <v>112.3</v>
      </c>
      <c r="F1050">
        <v>4.9000000000000004</v>
      </c>
      <c r="G1050">
        <v>1.2</v>
      </c>
      <c r="H1050" t="s">
        <v>1210</v>
      </c>
    </row>
    <row r="1051" spans="1:8" x14ac:dyDescent="0.45">
      <c r="A1051" t="s">
        <v>1124</v>
      </c>
      <c r="B1051" t="s">
        <v>58</v>
      </c>
      <c r="C1051">
        <v>4117</v>
      </c>
      <c r="D1051">
        <v>300.5</v>
      </c>
      <c r="E1051">
        <v>34.6</v>
      </c>
      <c r="F1051">
        <v>0.9</v>
      </c>
      <c r="G1051">
        <v>0.3</v>
      </c>
      <c r="H1051" t="s">
        <v>1210</v>
      </c>
    </row>
    <row r="1052" spans="1:8" x14ac:dyDescent="0.45">
      <c r="A1052" t="s">
        <v>1127</v>
      </c>
      <c r="B1052" t="s">
        <v>1129</v>
      </c>
      <c r="C1052">
        <v>8473</v>
      </c>
      <c r="D1052">
        <v>749</v>
      </c>
      <c r="E1052">
        <v>192.9</v>
      </c>
      <c r="F1052">
        <v>3</v>
      </c>
      <c r="G1052">
        <v>0.9</v>
      </c>
      <c r="H1052" t="s">
        <v>1210</v>
      </c>
    </row>
    <row r="1053" spans="1:8" x14ac:dyDescent="0.45">
      <c r="A1053" t="s">
        <v>1124</v>
      </c>
      <c r="B1053" t="s">
        <v>61</v>
      </c>
      <c r="C1053">
        <v>3091</v>
      </c>
      <c r="D1053">
        <v>227.3</v>
      </c>
      <c r="E1053">
        <v>29.7</v>
      </c>
      <c r="F1053">
        <v>0.6</v>
      </c>
      <c r="G1053">
        <v>0.3</v>
      </c>
      <c r="H1053" t="s">
        <v>1210</v>
      </c>
    </row>
    <row r="1054" spans="1:8" x14ac:dyDescent="0.45">
      <c r="A1054" t="s">
        <v>1126</v>
      </c>
      <c r="B1054" t="s">
        <v>44</v>
      </c>
      <c r="C1054">
        <v>9934</v>
      </c>
      <c r="D1054">
        <v>822.4</v>
      </c>
      <c r="E1054">
        <v>232.7</v>
      </c>
      <c r="F1054">
        <v>1.3</v>
      </c>
      <c r="G1054">
        <v>0.2</v>
      </c>
      <c r="H1054" t="s">
        <v>1210</v>
      </c>
    </row>
    <row r="1055" spans="1:8" x14ac:dyDescent="0.45">
      <c r="A1055" t="s">
        <v>1114</v>
      </c>
      <c r="B1055" t="s">
        <v>37</v>
      </c>
      <c r="C1055">
        <v>6309</v>
      </c>
      <c r="D1055">
        <v>444.6</v>
      </c>
      <c r="E1055">
        <v>184.4</v>
      </c>
      <c r="F1055">
        <v>4.0999999999999996</v>
      </c>
      <c r="G1055">
        <v>1.3</v>
      </c>
      <c r="H1055" t="s">
        <v>1210</v>
      </c>
    </row>
    <row r="1056" spans="1:8" x14ac:dyDescent="0.45">
      <c r="A1056" t="s">
        <v>1121</v>
      </c>
      <c r="B1056" t="s">
        <v>71</v>
      </c>
      <c r="C1056">
        <v>1080</v>
      </c>
      <c r="D1056">
        <v>223.6</v>
      </c>
      <c r="E1056">
        <v>23.1</v>
      </c>
      <c r="F1056">
        <v>2.7</v>
      </c>
      <c r="G1056">
        <v>0.4</v>
      </c>
      <c r="H1056" t="s">
        <v>1210</v>
      </c>
    </row>
    <row r="1057" spans="1:8" x14ac:dyDescent="0.45">
      <c r="A1057" t="s">
        <v>1126</v>
      </c>
      <c r="B1057" t="s">
        <v>37</v>
      </c>
      <c r="C1057">
        <v>1521</v>
      </c>
      <c r="D1057">
        <v>142</v>
      </c>
      <c r="E1057">
        <v>77.8</v>
      </c>
      <c r="F1057">
        <v>1.1000000000000001</v>
      </c>
      <c r="G1057">
        <v>0.2</v>
      </c>
      <c r="H1057" t="s">
        <v>1210</v>
      </c>
    </row>
    <row r="1058" spans="1:8" x14ac:dyDescent="0.45">
      <c r="A1058" t="s">
        <v>1117</v>
      </c>
      <c r="B1058" t="s">
        <v>103</v>
      </c>
      <c r="C1058">
        <v>6859</v>
      </c>
      <c r="D1058">
        <v>440.1</v>
      </c>
      <c r="E1058">
        <v>46.4</v>
      </c>
      <c r="F1058">
        <v>1.9</v>
      </c>
      <c r="G1058">
        <v>0.5</v>
      </c>
      <c r="H1058" t="s">
        <v>1210</v>
      </c>
    </row>
    <row r="1059" spans="1:8" x14ac:dyDescent="0.45">
      <c r="A1059" t="s">
        <v>1126</v>
      </c>
      <c r="B1059" t="s">
        <v>76</v>
      </c>
      <c r="C1059">
        <v>3340</v>
      </c>
      <c r="D1059">
        <v>770.1</v>
      </c>
      <c r="E1059">
        <v>145.19999999999999</v>
      </c>
      <c r="F1059">
        <v>1.3</v>
      </c>
      <c r="G1059">
        <v>0.2</v>
      </c>
      <c r="H1059" t="s">
        <v>1210</v>
      </c>
    </row>
    <row r="1060" spans="1:8" x14ac:dyDescent="0.45">
      <c r="A1060" t="s">
        <v>1123</v>
      </c>
      <c r="B1060" t="s">
        <v>69</v>
      </c>
      <c r="C1060">
        <v>11480</v>
      </c>
      <c r="D1060">
        <v>685</v>
      </c>
      <c r="E1060">
        <v>417.2</v>
      </c>
      <c r="F1060">
        <v>1</v>
      </c>
      <c r="G1060">
        <v>0.3</v>
      </c>
      <c r="H1060" t="s">
        <v>1210</v>
      </c>
    </row>
    <row r="1061" spans="1:8" x14ac:dyDescent="0.45">
      <c r="A1061" t="s">
        <v>1115</v>
      </c>
      <c r="B1061" t="s">
        <v>43</v>
      </c>
      <c r="C1061">
        <v>3637</v>
      </c>
      <c r="D1061">
        <v>263.3</v>
      </c>
      <c r="E1061">
        <v>158.30000000000001</v>
      </c>
      <c r="F1061">
        <v>2</v>
      </c>
      <c r="G1061">
        <v>0.6</v>
      </c>
      <c r="H1061" t="s">
        <v>1210</v>
      </c>
    </row>
    <row r="1062" spans="1:8" x14ac:dyDescent="0.45">
      <c r="A1062" t="s">
        <v>1123</v>
      </c>
      <c r="B1062" t="s">
        <v>25</v>
      </c>
      <c r="C1062">
        <v>1962</v>
      </c>
      <c r="D1062">
        <v>412.5</v>
      </c>
      <c r="E1062">
        <v>158.19999999999999</v>
      </c>
      <c r="F1062">
        <v>1.1000000000000001</v>
      </c>
      <c r="G1062">
        <v>0.3</v>
      </c>
      <c r="H1062" t="s">
        <v>1210</v>
      </c>
    </row>
    <row r="1063" spans="1:8" x14ac:dyDescent="0.45">
      <c r="A1063" t="s">
        <v>1124</v>
      </c>
      <c r="B1063" t="s">
        <v>91</v>
      </c>
      <c r="C1063">
        <v>571</v>
      </c>
      <c r="D1063">
        <v>137.19999999999999</v>
      </c>
      <c r="E1063">
        <v>95</v>
      </c>
      <c r="F1063">
        <v>1.1000000000000001</v>
      </c>
      <c r="G1063">
        <v>0.3</v>
      </c>
      <c r="H1063" t="s">
        <v>1210</v>
      </c>
    </row>
    <row r="1064" spans="1:8" x14ac:dyDescent="0.45">
      <c r="A1064" t="s">
        <v>1124</v>
      </c>
      <c r="B1064" t="s">
        <v>64</v>
      </c>
      <c r="C1064">
        <v>2544</v>
      </c>
      <c r="E1064">
        <v>150.30000000000001</v>
      </c>
      <c r="F1064">
        <v>0.8</v>
      </c>
      <c r="G1064">
        <v>0.3</v>
      </c>
      <c r="H1064" t="s">
        <v>1210</v>
      </c>
    </row>
    <row r="1065" spans="1:8" x14ac:dyDescent="0.45">
      <c r="A1065" t="s">
        <v>1126</v>
      </c>
      <c r="B1065" t="s">
        <v>75</v>
      </c>
      <c r="C1065">
        <v>718</v>
      </c>
      <c r="D1065">
        <v>194.8</v>
      </c>
      <c r="E1065">
        <v>32.700000000000003</v>
      </c>
      <c r="F1065">
        <v>0.8</v>
      </c>
      <c r="G1065">
        <v>0.2</v>
      </c>
      <c r="H1065" t="s">
        <v>1210</v>
      </c>
    </row>
    <row r="1066" spans="1:8" x14ac:dyDescent="0.45">
      <c r="A1066" t="s">
        <v>1116</v>
      </c>
      <c r="B1066" t="s">
        <v>101</v>
      </c>
      <c r="C1066">
        <v>3873</v>
      </c>
      <c r="D1066">
        <v>679.3</v>
      </c>
      <c r="E1066">
        <v>152.4</v>
      </c>
      <c r="F1066">
        <v>2.1</v>
      </c>
      <c r="G1066">
        <v>1.6</v>
      </c>
      <c r="H1066" t="s">
        <v>1210</v>
      </c>
    </row>
    <row r="1067" spans="1:8" x14ac:dyDescent="0.45">
      <c r="A1067" t="s">
        <v>1127</v>
      </c>
      <c r="B1067" t="s">
        <v>98</v>
      </c>
      <c r="C1067">
        <v>5846</v>
      </c>
      <c r="D1067">
        <v>359.6</v>
      </c>
      <c r="E1067">
        <v>104.6</v>
      </c>
      <c r="F1067">
        <v>1.8</v>
      </c>
      <c r="G1067">
        <v>0.9</v>
      </c>
      <c r="H1067" t="s">
        <v>1210</v>
      </c>
    </row>
    <row r="1068" spans="1:8" x14ac:dyDescent="0.45">
      <c r="A1068" t="s">
        <v>1126</v>
      </c>
      <c r="B1068" t="s">
        <v>84</v>
      </c>
      <c r="C1068">
        <v>5575</v>
      </c>
      <c r="D1068">
        <v>331.4</v>
      </c>
      <c r="E1068">
        <v>97.5</v>
      </c>
      <c r="F1068">
        <v>0.9</v>
      </c>
      <c r="G1068">
        <v>0.2</v>
      </c>
      <c r="H1068" t="s">
        <v>1210</v>
      </c>
    </row>
    <row r="1069" spans="1:8" x14ac:dyDescent="0.45">
      <c r="A1069" t="s">
        <v>1120</v>
      </c>
      <c r="B1069" t="s">
        <v>40</v>
      </c>
      <c r="C1069">
        <v>624</v>
      </c>
      <c r="D1069">
        <v>258.7</v>
      </c>
      <c r="E1069">
        <v>38.200000000000003</v>
      </c>
      <c r="F1069">
        <v>1.8</v>
      </c>
      <c r="G1069">
        <v>0.5</v>
      </c>
      <c r="H1069" t="s">
        <v>1210</v>
      </c>
    </row>
    <row r="1070" spans="1:8" x14ac:dyDescent="0.45">
      <c r="A1070" t="s">
        <v>1116</v>
      </c>
      <c r="B1070" t="s">
        <v>84</v>
      </c>
      <c r="C1070">
        <v>1177</v>
      </c>
      <c r="D1070">
        <v>326</v>
      </c>
      <c r="E1070">
        <v>145.4</v>
      </c>
      <c r="F1070">
        <v>4.3</v>
      </c>
      <c r="G1070">
        <v>1.6</v>
      </c>
      <c r="H1070" t="s">
        <v>1210</v>
      </c>
    </row>
    <row r="1071" spans="1:8" x14ac:dyDescent="0.45">
      <c r="A1071" t="s">
        <v>1117</v>
      </c>
      <c r="B1071" t="s">
        <v>61</v>
      </c>
      <c r="C1071">
        <v>8368</v>
      </c>
      <c r="D1071">
        <v>641.5</v>
      </c>
      <c r="E1071">
        <v>83.6</v>
      </c>
      <c r="F1071">
        <v>1.7</v>
      </c>
      <c r="G1071">
        <v>0.5</v>
      </c>
      <c r="H1071" t="s">
        <v>1210</v>
      </c>
    </row>
    <row r="1072" spans="1:8" x14ac:dyDescent="0.45">
      <c r="A1072" t="s">
        <v>1123</v>
      </c>
      <c r="B1072" t="s">
        <v>1135</v>
      </c>
      <c r="C1072">
        <v>3210</v>
      </c>
      <c r="D1072">
        <v>202.6</v>
      </c>
      <c r="E1072">
        <v>30</v>
      </c>
      <c r="F1072">
        <v>1.2</v>
      </c>
      <c r="G1072">
        <v>0.3</v>
      </c>
      <c r="H1072" t="s">
        <v>1210</v>
      </c>
    </row>
    <row r="1073" spans="1:8" x14ac:dyDescent="0.45">
      <c r="A1073" t="s">
        <v>1126</v>
      </c>
      <c r="B1073" t="s">
        <v>25</v>
      </c>
      <c r="C1073">
        <v>3266</v>
      </c>
      <c r="D1073">
        <v>334.2</v>
      </c>
      <c r="E1073">
        <v>115.6</v>
      </c>
      <c r="F1073">
        <v>1</v>
      </c>
      <c r="G1073">
        <v>0.2</v>
      </c>
      <c r="H1073" t="s">
        <v>1210</v>
      </c>
    </row>
    <row r="1074" spans="1:8" x14ac:dyDescent="0.45">
      <c r="A1074" t="s">
        <v>1120</v>
      </c>
      <c r="B1074" t="s">
        <v>92</v>
      </c>
      <c r="C1074">
        <v>1606</v>
      </c>
      <c r="D1074">
        <v>414.9</v>
      </c>
      <c r="E1074">
        <v>157.5</v>
      </c>
      <c r="F1074">
        <v>2</v>
      </c>
      <c r="G1074">
        <v>0.5</v>
      </c>
      <c r="H1074" t="s">
        <v>1210</v>
      </c>
    </row>
    <row r="1075" spans="1:8" x14ac:dyDescent="0.45">
      <c r="A1075" t="s">
        <v>1117</v>
      </c>
      <c r="B1075" t="s">
        <v>32</v>
      </c>
      <c r="C1075">
        <v>6374</v>
      </c>
      <c r="D1075">
        <v>407</v>
      </c>
      <c r="E1075">
        <v>108.1</v>
      </c>
      <c r="F1075">
        <v>1.9</v>
      </c>
      <c r="G1075">
        <v>0.5</v>
      </c>
      <c r="H1075" t="s">
        <v>1210</v>
      </c>
    </row>
    <row r="1076" spans="1:8" x14ac:dyDescent="0.45">
      <c r="A1076" t="s">
        <v>1124</v>
      </c>
      <c r="B1076" t="s">
        <v>18</v>
      </c>
      <c r="C1076">
        <v>5355</v>
      </c>
      <c r="D1076">
        <v>457.4</v>
      </c>
      <c r="E1076">
        <v>62</v>
      </c>
      <c r="F1076">
        <v>0.8</v>
      </c>
      <c r="G1076">
        <v>0.3</v>
      </c>
      <c r="H1076" t="s">
        <v>1210</v>
      </c>
    </row>
    <row r="1077" spans="1:8" x14ac:dyDescent="0.45">
      <c r="A1077" t="s">
        <v>1119</v>
      </c>
      <c r="B1077" t="s">
        <v>64</v>
      </c>
      <c r="C1077">
        <v>5466</v>
      </c>
      <c r="D1077">
        <v>423.8</v>
      </c>
      <c r="E1077">
        <v>75.099999999999994</v>
      </c>
      <c r="F1077">
        <v>3.8</v>
      </c>
      <c r="G1077">
        <v>1</v>
      </c>
      <c r="H1077" t="s">
        <v>1210</v>
      </c>
    </row>
    <row r="1078" spans="1:8" x14ac:dyDescent="0.45">
      <c r="A1078" t="s">
        <v>1118</v>
      </c>
      <c r="B1078" t="s">
        <v>85</v>
      </c>
      <c r="C1078">
        <v>8016</v>
      </c>
      <c r="D1078">
        <v>596.9</v>
      </c>
      <c r="E1078">
        <v>409.3</v>
      </c>
      <c r="F1078">
        <v>2.6</v>
      </c>
      <c r="G1078">
        <v>1.5</v>
      </c>
      <c r="H1078" t="s">
        <v>1210</v>
      </c>
    </row>
    <row r="1079" spans="1:8" x14ac:dyDescent="0.45">
      <c r="A1079" t="s">
        <v>1119</v>
      </c>
      <c r="B1079" t="s">
        <v>1137</v>
      </c>
      <c r="C1079">
        <v>323</v>
      </c>
      <c r="D1079">
        <v>340</v>
      </c>
      <c r="E1079">
        <v>42.9</v>
      </c>
      <c r="F1079">
        <v>4.3</v>
      </c>
      <c r="G1079">
        <v>1</v>
      </c>
      <c r="H1079" t="s">
        <v>1210</v>
      </c>
    </row>
    <row r="1080" spans="1:8" x14ac:dyDescent="0.45">
      <c r="A1080" t="s">
        <v>1125</v>
      </c>
      <c r="B1080" t="s">
        <v>96</v>
      </c>
      <c r="C1080">
        <v>3199</v>
      </c>
      <c r="D1080">
        <v>291.39999999999998</v>
      </c>
      <c r="E1080">
        <v>53.6</v>
      </c>
      <c r="F1080">
        <v>4.8</v>
      </c>
      <c r="G1080">
        <v>1.2</v>
      </c>
      <c r="H1080" t="s">
        <v>1210</v>
      </c>
    </row>
    <row r="1081" spans="1:8" x14ac:dyDescent="0.45">
      <c r="A1081" t="s">
        <v>1126</v>
      </c>
      <c r="B1081" t="s">
        <v>1131</v>
      </c>
      <c r="C1081">
        <v>212</v>
      </c>
      <c r="E1081">
        <v>175.1</v>
      </c>
      <c r="F1081">
        <v>1.1000000000000001</v>
      </c>
      <c r="G1081">
        <v>0.2</v>
      </c>
      <c r="H1081" t="s">
        <v>1210</v>
      </c>
    </row>
    <row r="1082" spans="1:8" x14ac:dyDescent="0.45">
      <c r="A1082" t="s">
        <v>1127</v>
      </c>
      <c r="B1082" t="s">
        <v>31</v>
      </c>
      <c r="C1082">
        <v>1834</v>
      </c>
      <c r="D1082">
        <v>213.9</v>
      </c>
      <c r="E1082">
        <v>31.7</v>
      </c>
      <c r="F1082">
        <v>1.2</v>
      </c>
      <c r="G1082">
        <v>0.9</v>
      </c>
      <c r="H1082" t="s">
        <v>1210</v>
      </c>
    </row>
    <row r="1083" spans="1:8" x14ac:dyDescent="0.45">
      <c r="A1083" t="s">
        <v>1125</v>
      </c>
      <c r="B1083" t="s">
        <v>12</v>
      </c>
      <c r="C1083">
        <v>3698</v>
      </c>
      <c r="D1083">
        <v>430</v>
      </c>
      <c r="E1083">
        <v>81.099999999999994</v>
      </c>
      <c r="F1083">
        <v>2</v>
      </c>
      <c r="G1083">
        <v>1.2</v>
      </c>
      <c r="H1083" t="s">
        <v>1210</v>
      </c>
    </row>
    <row r="1084" spans="1:8" x14ac:dyDescent="0.45">
      <c r="A1084" t="s">
        <v>1125</v>
      </c>
      <c r="B1084" t="s">
        <v>81</v>
      </c>
      <c r="C1084">
        <v>2580</v>
      </c>
      <c r="D1084">
        <v>335.7</v>
      </c>
      <c r="E1084">
        <v>54.4</v>
      </c>
      <c r="F1084">
        <v>5.7</v>
      </c>
      <c r="G1084">
        <v>1.2</v>
      </c>
      <c r="H1084" t="s">
        <v>1210</v>
      </c>
    </row>
    <row r="1085" spans="1:8" x14ac:dyDescent="0.45">
      <c r="A1085" t="s">
        <v>1125</v>
      </c>
      <c r="B1085" t="s">
        <v>8</v>
      </c>
      <c r="C1085">
        <v>11149</v>
      </c>
      <c r="D1085">
        <v>764.7</v>
      </c>
      <c r="E1085">
        <v>120.7</v>
      </c>
      <c r="F1085">
        <v>4.0999999999999996</v>
      </c>
      <c r="G1085">
        <v>1.2</v>
      </c>
      <c r="H1085" t="s">
        <v>1210</v>
      </c>
    </row>
    <row r="1086" spans="1:8" x14ac:dyDescent="0.45">
      <c r="A1086" t="s">
        <v>1115</v>
      </c>
      <c r="B1086" t="s">
        <v>18</v>
      </c>
      <c r="C1086">
        <v>3206</v>
      </c>
      <c r="D1086">
        <v>307.10000000000002</v>
      </c>
      <c r="E1086">
        <v>50.2</v>
      </c>
      <c r="F1086">
        <v>2.2000000000000002</v>
      </c>
      <c r="G1086">
        <v>0.6</v>
      </c>
      <c r="H1086" t="s">
        <v>1210</v>
      </c>
    </row>
    <row r="1087" spans="1:8" x14ac:dyDescent="0.45">
      <c r="A1087" t="s">
        <v>1120</v>
      </c>
      <c r="B1087" t="s">
        <v>39</v>
      </c>
      <c r="C1087">
        <v>7895</v>
      </c>
      <c r="D1087">
        <v>535</v>
      </c>
      <c r="E1087">
        <v>62.4</v>
      </c>
      <c r="F1087">
        <v>1.6</v>
      </c>
      <c r="G1087">
        <v>0.5</v>
      </c>
      <c r="H1087" t="s">
        <v>1210</v>
      </c>
    </row>
    <row r="1088" spans="1:8" x14ac:dyDescent="0.45">
      <c r="A1088" t="s">
        <v>1128</v>
      </c>
      <c r="B1088" t="s">
        <v>84</v>
      </c>
      <c r="C1088">
        <v>543</v>
      </c>
      <c r="D1088">
        <v>386.5</v>
      </c>
      <c r="E1088">
        <v>108.9</v>
      </c>
      <c r="F1088">
        <v>1.8</v>
      </c>
      <c r="G1088">
        <v>0.5</v>
      </c>
      <c r="H1088" t="s">
        <v>1210</v>
      </c>
    </row>
    <row r="1089" spans="1:8" x14ac:dyDescent="0.45">
      <c r="A1089" t="s">
        <v>1126</v>
      </c>
      <c r="B1089" t="s">
        <v>1134</v>
      </c>
      <c r="C1089">
        <v>3475</v>
      </c>
      <c r="D1089">
        <v>500</v>
      </c>
      <c r="E1089">
        <v>87.7</v>
      </c>
      <c r="F1089">
        <v>1.1000000000000001</v>
      </c>
      <c r="G1089">
        <v>0.2</v>
      </c>
      <c r="H1089" t="s">
        <v>1210</v>
      </c>
    </row>
    <row r="1090" spans="1:8" x14ac:dyDescent="0.45">
      <c r="A1090" t="s">
        <v>1119</v>
      </c>
      <c r="B1090" t="s">
        <v>92</v>
      </c>
      <c r="C1090">
        <v>846</v>
      </c>
      <c r="D1090">
        <v>283.89999999999998</v>
      </c>
      <c r="E1090">
        <v>106.2</v>
      </c>
      <c r="F1090">
        <v>2</v>
      </c>
      <c r="G1090">
        <v>1</v>
      </c>
      <c r="H1090" t="s">
        <v>1210</v>
      </c>
    </row>
    <row r="1091" spans="1:8" x14ac:dyDescent="0.45">
      <c r="A1091" t="s">
        <v>1121</v>
      </c>
      <c r="B1091" t="s">
        <v>1131</v>
      </c>
      <c r="C1091">
        <v>6591</v>
      </c>
      <c r="D1091">
        <v>386.3</v>
      </c>
      <c r="E1091">
        <v>222.3</v>
      </c>
      <c r="F1091">
        <v>1.9</v>
      </c>
      <c r="G1091">
        <v>0.4</v>
      </c>
      <c r="H1091" t="s">
        <v>1210</v>
      </c>
    </row>
    <row r="1092" spans="1:8" x14ac:dyDescent="0.45">
      <c r="A1092" t="s">
        <v>1123</v>
      </c>
      <c r="B1092" t="s">
        <v>22</v>
      </c>
      <c r="C1092">
        <v>1159</v>
      </c>
      <c r="D1092">
        <v>148.69999999999999</v>
      </c>
      <c r="E1092">
        <v>81.7</v>
      </c>
      <c r="F1092">
        <v>1.2</v>
      </c>
      <c r="G1092">
        <v>0.3</v>
      </c>
      <c r="H1092" t="s">
        <v>1210</v>
      </c>
    </row>
    <row r="1093" spans="1:8" x14ac:dyDescent="0.45">
      <c r="A1093" t="s">
        <v>1127</v>
      </c>
      <c r="B1093" t="s">
        <v>18</v>
      </c>
      <c r="C1093">
        <v>1352</v>
      </c>
      <c r="D1093">
        <v>401.8</v>
      </c>
      <c r="E1093">
        <v>62.4</v>
      </c>
      <c r="F1093">
        <v>2.9</v>
      </c>
      <c r="G1093">
        <v>0.9</v>
      </c>
      <c r="H1093" t="s">
        <v>1210</v>
      </c>
    </row>
    <row r="1094" spans="1:8" x14ac:dyDescent="0.45">
      <c r="A1094" t="s">
        <v>1121</v>
      </c>
      <c r="B1094" t="s">
        <v>7</v>
      </c>
      <c r="C1094">
        <v>2234</v>
      </c>
      <c r="D1094">
        <v>269.5</v>
      </c>
      <c r="E1094">
        <v>32.9</v>
      </c>
      <c r="F1094">
        <v>1.6</v>
      </c>
      <c r="G1094">
        <v>0.4</v>
      </c>
      <c r="H1094" t="s">
        <v>1210</v>
      </c>
    </row>
    <row r="1095" spans="1:8" x14ac:dyDescent="0.45">
      <c r="A1095" t="s">
        <v>1119</v>
      </c>
      <c r="B1095" t="s">
        <v>33</v>
      </c>
      <c r="C1095">
        <v>2746</v>
      </c>
      <c r="D1095">
        <v>216.4</v>
      </c>
      <c r="E1095">
        <v>34.700000000000003</v>
      </c>
      <c r="F1095">
        <v>2.7</v>
      </c>
      <c r="G1095">
        <v>1</v>
      </c>
      <c r="H1095" t="s">
        <v>1210</v>
      </c>
    </row>
    <row r="1096" spans="1:8" x14ac:dyDescent="0.45">
      <c r="A1096" t="s">
        <v>1120</v>
      </c>
      <c r="B1096" t="s">
        <v>53</v>
      </c>
      <c r="C1096">
        <v>2352</v>
      </c>
      <c r="D1096">
        <v>379.7</v>
      </c>
      <c r="E1096">
        <v>170</v>
      </c>
      <c r="F1096">
        <v>1.7</v>
      </c>
      <c r="G1096">
        <v>0.5</v>
      </c>
      <c r="H1096" t="s">
        <v>1210</v>
      </c>
    </row>
    <row r="1097" spans="1:8" x14ac:dyDescent="0.45">
      <c r="A1097" t="s">
        <v>1121</v>
      </c>
      <c r="B1097" t="s">
        <v>58</v>
      </c>
      <c r="C1097">
        <v>1882</v>
      </c>
      <c r="D1097">
        <v>581.79999999999995</v>
      </c>
      <c r="E1097">
        <v>58.6</v>
      </c>
      <c r="F1097">
        <v>2.2000000000000002</v>
      </c>
      <c r="G1097">
        <v>0.4</v>
      </c>
      <c r="H1097" t="s">
        <v>1210</v>
      </c>
    </row>
    <row r="1098" spans="1:8" x14ac:dyDescent="0.45">
      <c r="A1098" t="s">
        <v>1123</v>
      </c>
      <c r="B1098" t="s">
        <v>84</v>
      </c>
      <c r="C1098">
        <v>4390</v>
      </c>
      <c r="D1098">
        <v>450.2</v>
      </c>
      <c r="E1098">
        <v>129.19999999999999</v>
      </c>
      <c r="F1098">
        <v>0.8</v>
      </c>
      <c r="G1098">
        <v>0.3</v>
      </c>
      <c r="H1098" t="s">
        <v>1210</v>
      </c>
    </row>
    <row r="1099" spans="1:8" x14ac:dyDescent="0.45">
      <c r="A1099" t="s">
        <v>1124</v>
      </c>
      <c r="B1099" t="s">
        <v>103</v>
      </c>
      <c r="C1099">
        <v>4850</v>
      </c>
      <c r="D1099">
        <v>447.4</v>
      </c>
      <c r="E1099">
        <v>66.599999999999994</v>
      </c>
      <c r="F1099">
        <v>0.6</v>
      </c>
      <c r="G1099">
        <v>0.3</v>
      </c>
      <c r="H1099" t="s">
        <v>1210</v>
      </c>
    </row>
    <row r="1100" spans="1:8" x14ac:dyDescent="0.45">
      <c r="A1100" t="s">
        <v>1115</v>
      </c>
      <c r="B1100" t="s">
        <v>103</v>
      </c>
      <c r="C1100">
        <v>3080</v>
      </c>
      <c r="D1100">
        <v>436.6</v>
      </c>
      <c r="E1100">
        <v>59.2</v>
      </c>
      <c r="F1100">
        <v>2.4</v>
      </c>
      <c r="G1100">
        <v>0.6</v>
      </c>
      <c r="H1100" t="s">
        <v>1210</v>
      </c>
    </row>
    <row r="1101" spans="1:8" x14ac:dyDescent="0.45">
      <c r="A1101" t="s">
        <v>1116</v>
      </c>
      <c r="B1101" t="s">
        <v>1141</v>
      </c>
      <c r="C1101">
        <v>1262</v>
      </c>
      <c r="D1101">
        <v>295.8</v>
      </c>
      <c r="E1101">
        <v>30.2</v>
      </c>
      <c r="F1101">
        <v>2.7</v>
      </c>
      <c r="G1101">
        <v>1.6</v>
      </c>
      <c r="H1101" t="s">
        <v>1210</v>
      </c>
    </row>
    <row r="1102" spans="1:8" x14ac:dyDescent="0.45">
      <c r="A1102" t="s">
        <v>1121</v>
      </c>
      <c r="B1102" t="s">
        <v>8</v>
      </c>
      <c r="C1102">
        <v>4210</v>
      </c>
      <c r="D1102">
        <v>597.70000000000005</v>
      </c>
      <c r="E1102">
        <v>150.80000000000001</v>
      </c>
      <c r="F1102">
        <v>2.4</v>
      </c>
      <c r="G1102">
        <v>0.4</v>
      </c>
      <c r="H1102" t="s">
        <v>1210</v>
      </c>
    </row>
    <row r="1103" spans="1:8" x14ac:dyDescent="0.45">
      <c r="A1103" t="s">
        <v>1116</v>
      </c>
      <c r="B1103" t="s">
        <v>24</v>
      </c>
      <c r="C1103">
        <v>1614</v>
      </c>
      <c r="E1103">
        <v>49.4</v>
      </c>
      <c r="F1103">
        <v>2.5</v>
      </c>
      <c r="G1103">
        <v>1.6</v>
      </c>
      <c r="H1103" t="s">
        <v>1210</v>
      </c>
    </row>
    <row r="1104" spans="1:8" x14ac:dyDescent="0.45">
      <c r="A1104" t="s">
        <v>1119</v>
      </c>
      <c r="B1104" t="s">
        <v>28</v>
      </c>
      <c r="C1104">
        <v>2964</v>
      </c>
      <c r="D1104">
        <v>432.8</v>
      </c>
      <c r="E1104">
        <v>111.3</v>
      </c>
      <c r="F1104">
        <v>3.4</v>
      </c>
      <c r="G1104">
        <v>1</v>
      </c>
      <c r="H1104" t="s">
        <v>1210</v>
      </c>
    </row>
    <row r="1105" spans="1:8" x14ac:dyDescent="0.45">
      <c r="A1105" t="s">
        <v>1123</v>
      </c>
      <c r="B1105" t="s">
        <v>98</v>
      </c>
      <c r="C1105">
        <v>10912</v>
      </c>
      <c r="E1105">
        <v>168.6</v>
      </c>
      <c r="F1105">
        <v>1.1000000000000001</v>
      </c>
      <c r="G1105">
        <v>0.3</v>
      </c>
      <c r="H1105" t="s">
        <v>1210</v>
      </c>
    </row>
    <row r="1106" spans="1:8" x14ac:dyDescent="0.45">
      <c r="A1106" t="s">
        <v>1128</v>
      </c>
      <c r="B1106" t="s">
        <v>108</v>
      </c>
      <c r="C1106">
        <v>1930</v>
      </c>
      <c r="D1106">
        <v>315.2</v>
      </c>
      <c r="E1106">
        <v>51.5</v>
      </c>
      <c r="F1106">
        <v>2.7</v>
      </c>
      <c r="G1106">
        <v>0.5</v>
      </c>
      <c r="H1106" t="s">
        <v>1210</v>
      </c>
    </row>
    <row r="1107" spans="1:8" x14ac:dyDescent="0.45">
      <c r="A1107" t="s">
        <v>1116</v>
      </c>
      <c r="B1107" t="s">
        <v>110</v>
      </c>
      <c r="C1107">
        <v>2717</v>
      </c>
      <c r="E1107">
        <v>234.4</v>
      </c>
      <c r="F1107">
        <v>6</v>
      </c>
      <c r="G1107">
        <v>1.6</v>
      </c>
      <c r="H1107" t="s">
        <v>1210</v>
      </c>
    </row>
    <row r="1108" spans="1:8" x14ac:dyDescent="0.45">
      <c r="A1108" t="s">
        <v>1124</v>
      </c>
      <c r="B1108" t="s">
        <v>1133</v>
      </c>
      <c r="C1108">
        <v>6030</v>
      </c>
      <c r="D1108">
        <v>965.2</v>
      </c>
      <c r="E1108">
        <v>279.89999999999998</v>
      </c>
      <c r="F1108">
        <v>0.6</v>
      </c>
      <c r="G1108">
        <v>0.3</v>
      </c>
      <c r="H1108" t="s">
        <v>1210</v>
      </c>
    </row>
    <row r="1109" spans="1:8" x14ac:dyDescent="0.45">
      <c r="A1109" t="s">
        <v>1123</v>
      </c>
      <c r="B1109" t="s">
        <v>108</v>
      </c>
      <c r="C1109">
        <v>3761</v>
      </c>
      <c r="D1109">
        <v>252.3</v>
      </c>
      <c r="E1109">
        <v>44.2</v>
      </c>
      <c r="F1109">
        <v>1.2</v>
      </c>
      <c r="G1109">
        <v>0.3</v>
      </c>
      <c r="H1109" t="s">
        <v>1210</v>
      </c>
    </row>
    <row r="1110" spans="1:8" x14ac:dyDescent="0.45">
      <c r="A1110" t="s">
        <v>1115</v>
      </c>
      <c r="B1110" t="s">
        <v>7</v>
      </c>
      <c r="C1110">
        <v>1064</v>
      </c>
      <c r="D1110">
        <v>315.5</v>
      </c>
      <c r="E1110">
        <v>39.6</v>
      </c>
      <c r="F1110">
        <v>1.1000000000000001</v>
      </c>
      <c r="G1110">
        <v>0.6</v>
      </c>
      <c r="H1110" t="s">
        <v>1210</v>
      </c>
    </row>
    <row r="1111" spans="1:8" x14ac:dyDescent="0.45">
      <c r="A1111" t="s">
        <v>1122</v>
      </c>
      <c r="B1111" t="s">
        <v>77</v>
      </c>
      <c r="C1111">
        <v>1094</v>
      </c>
      <c r="D1111">
        <v>255.5</v>
      </c>
      <c r="E1111">
        <v>81.099999999999994</v>
      </c>
      <c r="F1111">
        <v>1.4</v>
      </c>
      <c r="G1111">
        <v>0.2</v>
      </c>
      <c r="H1111" t="s">
        <v>1210</v>
      </c>
    </row>
    <row r="1112" spans="1:8" x14ac:dyDescent="0.45">
      <c r="A1112" t="s">
        <v>1122</v>
      </c>
      <c r="B1112" t="s">
        <v>25</v>
      </c>
      <c r="C1112">
        <v>944</v>
      </c>
      <c r="E1112">
        <v>53.9</v>
      </c>
      <c r="F1112">
        <v>0.7</v>
      </c>
      <c r="G1112">
        <v>0.2</v>
      </c>
      <c r="H1112" t="s">
        <v>1210</v>
      </c>
    </row>
    <row r="1113" spans="1:8" x14ac:dyDescent="0.45">
      <c r="A1113" t="s">
        <v>1116</v>
      </c>
      <c r="B1113" t="s">
        <v>95</v>
      </c>
      <c r="C1113">
        <v>4591</v>
      </c>
      <c r="D1113">
        <v>335.4</v>
      </c>
      <c r="E1113">
        <v>32.4</v>
      </c>
      <c r="F1113">
        <v>7.3</v>
      </c>
      <c r="G1113">
        <v>1.6</v>
      </c>
      <c r="H1113" t="s">
        <v>1210</v>
      </c>
    </row>
    <row r="1114" spans="1:8" x14ac:dyDescent="0.45">
      <c r="A1114" t="s">
        <v>1114</v>
      </c>
      <c r="B1114" t="s">
        <v>71</v>
      </c>
      <c r="C1114">
        <v>2918</v>
      </c>
      <c r="D1114">
        <v>324</v>
      </c>
      <c r="E1114">
        <v>47.9</v>
      </c>
      <c r="F1114">
        <v>3.2</v>
      </c>
      <c r="G1114">
        <v>1.3</v>
      </c>
      <c r="H1114" t="s">
        <v>1210</v>
      </c>
    </row>
    <row r="1115" spans="1:8" x14ac:dyDescent="0.45">
      <c r="A1115" t="s">
        <v>1124</v>
      </c>
      <c r="B1115" t="s">
        <v>95</v>
      </c>
      <c r="C1115">
        <v>2160</v>
      </c>
      <c r="D1115">
        <v>388.4</v>
      </c>
      <c r="E1115">
        <v>48</v>
      </c>
      <c r="F1115">
        <v>1.3</v>
      </c>
      <c r="G1115">
        <v>0.3</v>
      </c>
      <c r="H1115" t="s">
        <v>1210</v>
      </c>
    </row>
    <row r="1116" spans="1:8" x14ac:dyDescent="0.45">
      <c r="A1116" t="s">
        <v>1122</v>
      </c>
      <c r="B1116" t="s">
        <v>42</v>
      </c>
      <c r="C1116">
        <v>1604</v>
      </c>
      <c r="D1116">
        <v>499.8</v>
      </c>
      <c r="E1116">
        <v>171.6</v>
      </c>
      <c r="F1116">
        <v>1.3</v>
      </c>
      <c r="G1116">
        <v>0.2</v>
      </c>
      <c r="H1116" t="s">
        <v>1210</v>
      </c>
    </row>
    <row r="1117" spans="1:8" x14ac:dyDescent="0.45">
      <c r="A1117" t="s">
        <v>1122</v>
      </c>
      <c r="B1117" t="s">
        <v>48</v>
      </c>
      <c r="C1117">
        <v>6028</v>
      </c>
      <c r="D1117">
        <v>674.5</v>
      </c>
      <c r="E1117">
        <v>102</v>
      </c>
      <c r="F1117">
        <v>1.1000000000000001</v>
      </c>
      <c r="G1117">
        <v>0.2</v>
      </c>
      <c r="H1117" t="s">
        <v>1210</v>
      </c>
    </row>
    <row r="1118" spans="1:8" x14ac:dyDescent="0.45">
      <c r="A1118" t="s">
        <v>1120</v>
      </c>
      <c r="B1118" t="s">
        <v>45</v>
      </c>
      <c r="C1118">
        <v>3403</v>
      </c>
      <c r="D1118">
        <v>200.2</v>
      </c>
      <c r="E1118">
        <v>34</v>
      </c>
      <c r="F1118">
        <v>2.6</v>
      </c>
      <c r="G1118">
        <v>0.5</v>
      </c>
      <c r="H1118" t="s">
        <v>1210</v>
      </c>
    </row>
    <row r="1119" spans="1:8" x14ac:dyDescent="0.45">
      <c r="A1119" t="s">
        <v>1121</v>
      </c>
      <c r="B1119" t="s">
        <v>72</v>
      </c>
      <c r="C1119">
        <v>2000</v>
      </c>
      <c r="E1119">
        <v>91</v>
      </c>
      <c r="F1119">
        <v>1.7</v>
      </c>
      <c r="G1119">
        <v>0.4</v>
      </c>
      <c r="H1119" t="s">
        <v>1210</v>
      </c>
    </row>
    <row r="1120" spans="1:8" x14ac:dyDescent="0.45">
      <c r="A1120" t="s">
        <v>1115</v>
      </c>
      <c r="B1120" t="s">
        <v>12</v>
      </c>
      <c r="C1120">
        <v>1072</v>
      </c>
      <c r="D1120">
        <v>339</v>
      </c>
      <c r="E1120">
        <v>46.5</v>
      </c>
      <c r="F1120">
        <v>2.4</v>
      </c>
      <c r="G1120">
        <v>0.6</v>
      </c>
      <c r="H1120" t="s">
        <v>1210</v>
      </c>
    </row>
    <row r="1121" spans="1:8" x14ac:dyDescent="0.45">
      <c r="A1121" t="s">
        <v>1128</v>
      </c>
      <c r="B1121" t="s">
        <v>51</v>
      </c>
      <c r="C1121">
        <v>2240</v>
      </c>
      <c r="D1121">
        <v>339.7</v>
      </c>
      <c r="E1121">
        <v>69</v>
      </c>
      <c r="F1121">
        <v>1.1000000000000001</v>
      </c>
      <c r="G1121">
        <v>0.5</v>
      </c>
      <c r="H1121" t="s">
        <v>1210</v>
      </c>
    </row>
    <row r="1122" spans="1:8" x14ac:dyDescent="0.45">
      <c r="A1122" t="s">
        <v>1121</v>
      </c>
      <c r="B1122" t="s">
        <v>12</v>
      </c>
      <c r="C1122">
        <v>4354</v>
      </c>
      <c r="D1122">
        <v>560.6</v>
      </c>
      <c r="E1122">
        <v>78.3</v>
      </c>
      <c r="F1122">
        <v>2.2000000000000002</v>
      </c>
      <c r="G1122">
        <v>0.4</v>
      </c>
      <c r="H1122" t="s">
        <v>1210</v>
      </c>
    </row>
    <row r="1123" spans="1:8" x14ac:dyDescent="0.45">
      <c r="A1123" t="s">
        <v>1124</v>
      </c>
      <c r="B1123" t="s">
        <v>13</v>
      </c>
      <c r="C1123">
        <v>6047</v>
      </c>
      <c r="D1123">
        <v>401.1</v>
      </c>
      <c r="E1123">
        <v>160.80000000000001</v>
      </c>
      <c r="F1123">
        <v>1.3</v>
      </c>
      <c r="G1123">
        <v>0.3</v>
      </c>
      <c r="H1123" t="s">
        <v>1210</v>
      </c>
    </row>
    <row r="1124" spans="1:8" x14ac:dyDescent="0.45">
      <c r="A1124" t="s">
        <v>1123</v>
      </c>
      <c r="B1124" t="s">
        <v>59</v>
      </c>
      <c r="C1124">
        <v>6017</v>
      </c>
      <c r="D1124">
        <v>432.1</v>
      </c>
      <c r="E1124">
        <v>37.200000000000003</v>
      </c>
      <c r="F1124">
        <v>1.7</v>
      </c>
      <c r="G1124">
        <v>0.3</v>
      </c>
      <c r="H1124" t="s">
        <v>1210</v>
      </c>
    </row>
    <row r="1125" spans="1:8" x14ac:dyDescent="0.45">
      <c r="A1125" t="s">
        <v>1128</v>
      </c>
      <c r="B1125" t="s">
        <v>57</v>
      </c>
      <c r="C1125">
        <v>2012</v>
      </c>
      <c r="E1125">
        <v>36.799999999999997</v>
      </c>
      <c r="F1125">
        <v>2</v>
      </c>
      <c r="G1125">
        <v>0.5</v>
      </c>
      <c r="H1125" t="s">
        <v>1210</v>
      </c>
    </row>
    <row r="1126" spans="1:8" x14ac:dyDescent="0.45">
      <c r="A1126" t="s">
        <v>1127</v>
      </c>
      <c r="B1126" t="s">
        <v>96</v>
      </c>
      <c r="C1126">
        <v>4013</v>
      </c>
      <c r="D1126">
        <v>820.7</v>
      </c>
      <c r="E1126">
        <v>221.8</v>
      </c>
      <c r="F1126">
        <v>3.9</v>
      </c>
      <c r="G1126">
        <v>0.9</v>
      </c>
      <c r="H1126" t="s">
        <v>1210</v>
      </c>
    </row>
    <row r="1127" spans="1:8" x14ac:dyDescent="0.45">
      <c r="A1127" t="s">
        <v>1116</v>
      </c>
      <c r="B1127" t="s">
        <v>103</v>
      </c>
      <c r="C1127">
        <v>2199</v>
      </c>
      <c r="D1127">
        <v>222.1</v>
      </c>
      <c r="E1127">
        <v>40.4</v>
      </c>
      <c r="F1127">
        <v>6.8</v>
      </c>
      <c r="G1127">
        <v>1.6</v>
      </c>
      <c r="H1127" t="s">
        <v>1210</v>
      </c>
    </row>
    <row r="1128" spans="1:8" x14ac:dyDescent="0.45">
      <c r="A1128" t="s">
        <v>1117</v>
      </c>
      <c r="B1128" t="s">
        <v>1138</v>
      </c>
      <c r="C1128">
        <v>1076</v>
      </c>
      <c r="D1128">
        <v>275.7</v>
      </c>
      <c r="E1128">
        <v>71.3</v>
      </c>
      <c r="F1128">
        <v>1.9</v>
      </c>
      <c r="G1128">
        <v>0.5</v>
      </c>
      <c r="H1128" t="s">
        <v>1210</v>
      </c>
    </row>
    <row r="1129" spans="1:8" x14ac:dyDescent="0.45">
      <c r="A1129" t="s">
        <v>1126</v>
      </c>
      <c r="B1129" t="s">
        <v>23</v>
      </c>
      <c r="C1129">
        <v>3239</v>
      </c>
      <c r="D1129">
        <v>314.89999999999998</v>
      </c>
      <c r="E1129">
        <v>87.8</v>
      </c>
      <c r="F1129">
        <v>0.8</v>
      </c>
      <c r="G1129">
        <v>0.2</v>
      </c>
      <c r="H1129" t="s">
        <v>1210</v>
      </c>
    </row>
    <row r="1130" spans="1:8" x14ac:dyDescent="0.45">
      <c r="A1130" t="s">
        <v>1120</v>
      </c>
      <c r="B1130" t="s">
        <v>66</v>
      </c>
      <c r="C1130">
        <v>2215</v>
      </c>
      <c r="D1130">
        <v>299.60000000000002</v>
      </c>
      <c r="E1130">
        <v>37.700000000000003</v>
      </c>
      <c r="F1130">
        <v>1.9</v>
      </c>
      <c r="G1130">
        <v>0.5</v>
      </c>
      <c r="H1130" t="s">
        <v>1210</v>
      </c>
    </row>
    <row r="1131" spans="1:8" x14ac:dyDescent="0.45">
      <c r="A1131" t="s">
        <v>1120</v>
      </c>
      <c r="B1131" t="s">
        <v>28</v>
      </c>
      <c r="C1131">
        <v>3334</v>
      </c>
      <c r="D1131">
        <v>200.3</v>
      </c>
      <c r="E1131">
        <v>65.5</v>
      </c>
      <c r="F1131">
        <v>1.8</v>
      </c>
      <c r="G1131">
        <v>0.5</v>
      </c>
      <c r="H1131" t="s">
        <v>1210</v>
      </c>
    </row>
    <row r="1132" spans="1:8" x14ac:dyDescent="0.45">
      <c r="A1132" t="s">
        <v>1127</v>
      </c>
      <c r="B1132" t="s">
        <v>72</v>
      </c>
      <c r="C1132">
        <v>4637</v>
      </c>
      <c r="D1132">
        <v>324.2</v>
      </c>
      <c r="E1132">
        <v>37.200000000000003</v>
      </c>
      <c r="F1132">
        <v>2.7</v>
      </c>
      <c r="G1132">
        <v>0.9</v>
      </c>
      <c r="H1132" t="s">
        <v>1210</v>
      </c>
    </row>
    <row r="1133" spans="1:8" x14ac:dyDescent="0.45">
      <c r="A1133" t="s">
        <v>1118</v>
      </c>
      <c r="B1133" t="s">
        <v>50</v>
      </c>
      <c r="C1133">
        <v>1542</v>
      </c>
      <c r="D1133">
        <v>149.69999999999999</v>
      </c>
      <c r="E1133">
        <v>66.3</v>
      </c>
      <c r="F1133">
        <v>1.4</v>
      </c>
      <c r="G1133">
        <v>1.5</v>
      </c>
      <c r="H1133" t="s">
        <v>1210</v>
      </c>
    </row>
    <row r="1134" spans="1:8" x14ac:dyDescent="0.45">
      <c r="A1134" t="s">
        <v>1121</v>
      </c>
      <c r="B1134" t="s">
        <v>39</v>
      </c>
      <c r="C1134">
        <v>3387</v>
      </c>
      <c r="D1134">
        <v>398.3</v>
      </c>
      <c r="E1134">
        <v>76.400000000000006</v>
      </c>
      <c r="F1134">
        <v>2</v>
      </c>
      <c r="G1134">
        <v>0.4</v>
      </c>
      <c r="H1134" t="s">
        <v>1210</v>
      </c>
    </row>
    <row r="1135" spans="1:8" x14ac:dyDescent="0.45">
      <c r="A1135" t="s">
        <v>1125</v>
      </c>
      <c r="B1135" t="s">
        <v>31</v>
      </c>
      <c r="C1135">
        <v>4275</v>
      </c>
      <c r="D1135">
        <v>481.1</v>
      </c>
      <c r="E1135">
        <v>55.9</v>
      </c>
      <c r="F1135">
        <v>4.8</v>
      </c>
      <c r="G1135">
        <v>1.2</v>
      </c>
      <c r="H1135" t="s">
        <v>1210</v>
      </c>
    </row>
    <row r="1136" spans="1:8" x14ac:dyDescent="0.45">
      <c r="A1136" t="s">
        <v>1119</v>
      </c>
      <c r="B1136" t="s">
        <v>20</v>
      </c>
      <c r="C1136">
        <v>5243</v>
      </c>
      <c r="D1136">
        <v>441.2</v>
      </c>
      <c r="E1136">
        <v>74.7</v>
      </c>
      <c r="F1136">
        <v>3</v>
      </c>
      <c r="G1136">
        <v>1</v>
      </c>
      <c r="H1136" t="s">
        <v>1210</v>
      </c>
    </row>
    <row r="1137" spans="1:8" x14ac:dyDescent="0.45">
      <c r="A1137" t="s">
        <v>1127</v>
      </c>
      <c r="B1137" t="s">
        <v>1132</v>
      </c>
      <c r="C1137">
        <v>3616</v>
      </c>
      <c r="D1137">
        <v>298.7</v>
      </c>
      <c r="E1137">
        <v>36</v>
      </c>
      <c r="F1137">
        <v>3.2</v>
      </c>
      <c r="G1137">
        <v>0.9</v>
      </c>
      <c r="H1137" t="s">
        <v>1210</v>
      </c>
    </row>
    <row r="1138" spans="1:8" x14ac:dyDescent="0.45">
      <c r="A1138" t="s">
        <v>1119</v>
      </c>
      <c r="B1138" t="s">
        <v>88</v>
      </c>
      <c r="C1138">
        <v>2901</v>
      </c>
      <c r="D1138">
        <v>562.29999999999995</v>
      </c>
      <c r="E1138">
        <v>245.4</v>
      </c>
      <c r="F1138">
        <v>1.1000000000000001</v>
      </c>
      <c r="G1138">
        <v>1</v>
      </c>
      <c r="H1138" t="s">
        <v>1210</v>
      </c>
    </row>
    <row r="1139" spans="1:8" x14ac:dyDescent="0.45">
      <c r="A1139" t="s">
        <v>1115</v>
      </c>
      <c r="B1139" t="s">
        <v>1130</v>
      </c>
      <c r="C1139">
        <v>4841</v>
      </c>
      <c r="D1139">
        <v>498.5</v>
      </c>
      <c r="E1139">
        <v>279.3</v>
      </c>
      <c r="F1139">
        <v>1.9</v>
      </c>
      <c r="G1139">
        <v>0.6</v>
      </c>
      <c r="H1139" t="s">
        <v>1210</v>
      </c>
    </row>
    <row r="1140" spans="1:8" x14ac:dyDescent="0.45">
      <c r="A1140" t="s">
        <v>1122</v>
      </c>
      <c r="B1140" t="s">
        <v>44</v>
      </c>
      <c r="C1140">
        <v>3163</v>
      </c>
      <c r="D1140">
        <v>413</v>
      </c>
      <c r="E1140">
        <v>93.9</v>
      </c>
      <c r="F1140">
        <v>0.6</v>
      </c>
      <c r="G1140">
        <v>0.2</v>
      </c>
      <c r="H1140" t="s">
        <v>1210</v>
      </c>
    </row>
    <row r="1141" spans="1:8" x14ac:dyDescent="0.45">
      <c r="A1141" t="s">
        <v>1115</v>
      </c>
      <c r="B1141" t="s">
        <v>1131</v>
      </c>
      <c r="C1141">
        <v>3523</v>
      </c>
      <c r="D1141">
        <v>600.4</v>
      </c>
      <c r="E1141">
        <v>287.39999999999998</v>
      </c>
      <c r="F1141">
        <v>2.6</v>
      </c>
      <c r="G1141">
        <v>0.6</v>
      </c>
      <c r="H1141" t="s">
        <v>1210</v>
      </c>
    </row>
    <row r="1142" spans="1:8" x14ac:dyDescent="0.45">
      <c r="A1142" t="s">
        <v>1115</v>
      </c>
      <c r="B1142" t="s">
        <v>39</v>
      </c>
      <c r="C1142">
        <v>3003</v>
      </c>
      <c r="D1142">
        <v>324.5</v>
      </c>
      <c r="E1142">
        <v>56.4</v>
      </c>
      <c r="F1142">
        <v>2.5</v>
      </c>
      <c r="G1142">
        <v>0.6</v>
      </c>
      <c r="H1142" t="s">
        <v>1210</v>
      </c>
    </row>
    <row r="1143" spans="1:8" x14ac:dyDescent="0.45">
      <c r="A1143" t="s">
        <v>1114</v>
      </c>
      <c r="B1143" t="s">
        <v>95</v>
      </c>
      <c r="C1143">
        <v>1298</v>
      </c>
      <c r="D1143">
        <v>297.8</v>
      </c>
      <c r="E1143">
        <v>25.3</v>
      </c>
      <c r="F1143">
        <v>6.6</v>
      </c>
      <c r="G1143">
        <v>1.3</v>
      </c>
      <c r="H1143" t="s">
        <v>1210</v>
      </c>
    </row>
    <row r="1144" spans="1:8" x14ac:dyDescent="0.45">
      <c r="A1144" t="s">
        <v>1123</v>
      </c>
      <c r="B1144" t="s">
        <v>89</v>
      </c>
      <c r="C1144">
        <v>3489</v>
      </c>
      <c r="D1144">
        <v>390.3</v>
      </c>
      <c r="E1144">
        <v>45.8</v>
      </c>
      <c r="F1144">
        <v>1.6</v>
      </c>
      <c r="G1144">
        <v>0.3</v>
      </c>
      <c r="H1144" t="s">
        <v>1210</v>
      </c>
    </row>
    <row r="1145" spans="1:8" x14ac:dyDescent="0.45">
      <c r="A1145" t="s">
        <v>1117</v>
      </c>
      <c r="B1145" t="s">
        <v>97</v>
      </c>
      <c r="C1145">
        <v>1265</v>
      </c>
      <c r="D1145">
        <v>174.7</v>
      </c>
      <c r="E1145">
        <v>76.099999999999994</v>
      </c>
      <c r="F1145">
        <v>2.4</v>
      </c>
      <c r="G1145">
        <v>0.5</v>
      </c>
      <c r="H1145" t="s">
        <v>1210</v>
      </c>
    </row>
    <row r="1146" spans="1:8" x14ac:dyDescent="0.45">
      <c r="A1146" t="s">
        <v>1115</v>
      </c>
      <c r="B1146" t="s">
        <v>106</v>
      </c>
      <c r="C1146">
        <v>3231</v>
      </c>
      <c r="D1146">
        <v>596.5</v>
      </c>
      <c r="E1146">
        <v>176.7</v>
      </c>
      <c r="F1146">
        <v>1.7</v>
      </c>
      <c r="G1146">
        <v>0.6</v>
      </c>
      <c r="H1146" t="s">
        <v>1210</v>
      </c>
    </row>
    <row r="1147" spans="1:8" x14ac:dyDescent="0.45">
      <c r="A1147" t="s">
        <v>1121</v>
      </c>
      <c r="B1147" t="s">
        <v>101</v>
      </c>
      <c r="C1147">
        <v>4061</v>
      </c>
      <c r="D1147">
        <v>334.6</v>
      </c>
      <c r="E1147">
        <v>63.8</v>
      </c>
      <c r="F1147">
        <v>2.2999999999999998</v>
      </c>
      <c r="G1147">
        <v>0.4</v>
      </c>
      <c r="H1147" t="s">
        <v>1210</v>
      </c>
    </row>
    <row r="1148" spans="1:8" x14ac:dyDescent="0.45">
      <c r="A1148" t="s">
        <v>1122</v>
      </c>
      <c r="B1148" t="s">
        <v>1134</v>
      </c>
      <c r="C1148">
        <v>2087</v>
      </c>
      <c r="D1148">
        <v>335.1</v>
      </c>
      <c r="E1148">
        <v>46.8</v>
      </c>
      <c r="F1148">
        <v>0.9</v>
      </c>
      <c r="G1148">
        <v>0.2</v>
      </c>
      <c r="H1148" t="s">
        <v>1210</v>
      </c>
    </row>
    <row r="1149" spans="1:8" x14ac:dyDescent="0.45">
      <c r="A1149" t="s">
        <v>1118</v>
      </c>
      <c r="B1149" t="s">
        <v>12</v>
      </c>
      <c r="C1149">
        <v>2437</v>
      </c>
      <c r="D1149">
        <v>545.70000000000005</v>
      </c>
      <c r="E1149">
        <v>75.599999999999994</v>
      </c>
      <c r="F1149">
        <v>5.8</v>
      </c>
      <c r="G1149">
        <v>1.5</v>
      </c>
      <c r="H1149" t="s">
        <v>1210</v>
      </c>
    </row>
    <row r="1150" spans="1:8" x14ac:dyDescent="0.45">
      <c r="A1150" t="s">
        <v>1121</v>
      </c>
      <c r="B1150" t="s">
        <v>1129</v>
      </c>
      <c r="C1150">
        <v>12593</v>
      </c>
      <c r="D1150">
        <v>920.3</v>
      </c>
      <c r="E1150">
        <v>207.1</v>
      </c>
      <c r="F1150">
        <v>2.2999999999999998</v>
      </c>
      <c r="G1150">
        <v>0.4</v>
      </c>
      <c r="H1150" t="s">
        <v>1210</v>
      </c>
    </row>
    <row r="1151" spans="1:8" x14ac:dyDescent="0.45">
      <c r="A1151" t="s">
        <v>1128</v>
      </c>
      <c r="B1151" t="s">
        <v>70</v>
      </c>
      <c r="C1151">
        <v>1877</v>
      </c>
      <c r="D1151">
        <v>547.29999999999995</v>
      </c>
      <c r="E1151">
        <v>146.6</v>
      </c>
      <c r="F1151">
        <v>1.4</v>
      </c>
      <c r="G1151">
        <v>0.5</v>
      </c>
      <c r="H1151" t="s">
        <v>1210</v>
      </c>
    </row>
    <row r="1152" spans="1:8" x14ac:dyDescent="0.45">
      <c r="A1152" t="s">
        <v>1117</v>
      </c>
      <c r="B1152" t="s">
        <v>72</v>
      </c>
      <c r="C1152">
        <v>2441</v>
      </c>
      <c r="D1152">
        <v>594.5</v>
      </c>
      <c r="E1152">
        <v>115.7</v>
      </c>
      <c r="F1152">
        <v>2.4</v>
      </c>
      <c r="G1152">
        <v>0.5</v>
      </c>
      <c r="H1152" t="s">
        <v>1210</v>
      </c>
    </row>
    <row r="1153" spans="1:8" x14ac:dyDescent="0.45">
      <c r="A1153" t="s">
        <v>1122</v>
      </c>
      <c r="B1153" t="s">
        <v>67</v>
      </c>
      <c r="C1153">
        <v>608</v>
      </c>
      <c r="D1153">
        <v>196</v>
      </c>
      <c r="E1153">
        <v>80.099999999999994</v>
      </c>
      <c r="F1153">
        <v>1</v>
      </c>
      <c r="G1153">
        <v>0.2</v>
      </c>
      <c r="H1153" t="s">
        <v>1210</v>
      </c>
    </row>
    <row r="1154" spans="1:8" x14ac:dyDescent="0.45">
      <c r="A1154" t="s">
        <v>1120</v>
      </c>
      <c r="B1154" t="s">
        <v>62</v>
      </c>
      <c r="C1154">
        <v>7245</v>
      </c>
      <c r="D1154">
        <v>531.4</v>
      </c>
      <c r="E1154">
        <v>61.4</v>
      </c>
      <c r="F1154">
        <v>2.2999999999999998</v>
      </c>
      <c r="G1154">
        <v>0.5</v>
      </c>
      <c r="H1154" t="s">
        <v>1210</v>
      </c>
    </row>
    <row r="1155" spans="1:8" x14ac:dyDescent="0.45">
      <c r="A1155" t="s">
        <v>1125</v>
      </c>
      <c r="B1155" t="s">
        <v>67</v>
      </c>
      <c r="C1155">
        <v>7745</v>
      </c>
      <c r="D1155">
        <v>445</v>
      </c>
      <c r="E1155">
        <v>112.9</v>
      </c>
      <c r="F1155">
        <v>4.9000000000000004</v>
      </c>
      <c r="G1155">
        <v>1.2</v>
      </c>
      <c r="H1155" t="s">
        <v>1210</v>
      </c>
    </row>
    <row r="1156" spans="1:8" x14ac:dyDescent="0.45">
      <c r="A1156" t="s">
        <v>1120</v>
      </c>
      <c r="B1156" t="s">
        <v>24</v>
      </c>
      <c r="D1156">
        <v>805.9</v>
      </c>
      <c r="E1156">
        <v>239.5</v>
      </c>
      <c r="F1156">
        <v>2.1</v>
      </c>
      <c r="G1156">
        <v>0.5</v>
      </c>
    </row>
    <row r="1157" spans="1:8" x14ac:dyDescent="0.45">
      <c r="A1157" t="s">
        <v>1121</v>
      </c>
      <c r="B1157" t="s">
        <v>81</v>
      </c>
      <c r="C1157">
        <v>7224</v>
      </c>
      <c r="D1157">
        <v>404</v>
      </c>
      <c r="E1157">
        <v>43.7</v>
      </c>
      <c r="F1157">
        <v>1.7</v>
      </c>
      <c r="G1157">
        <v>0.4</v>
      </c>
      <c r="H1157" t="s">
        <v>1210</v>
      </c>
    </row>
    <row r="1158" spans="1:8" x14ac:dyDescent="0.45">
      <c r="A1158" t="s">
        <v>1123</v>
      </c>
      <c r="B1158" t="s">
        <v>67</v>
      </c>
      <c r="C1158">
        <v>4314</v>
      </c>
      <c r="E1158">
        <v>105.9</v>
      </c>
      <c r="F1158">
        <v>0.6</v>
      </c>
      <c r="G1158">
        <v>0.3</v>
      </c>
      <c r="H1158" t="s">
        <v>1210</v>
      </c>
    </row>
    <row r="1159" spans="1:8" x14ac:dyDescent="0.45">
      <c r="A1159" t="s">
        <v>1127</v>
      </c>
      <c r="B1159" t="s">
        <v>83</v>
      </c>
      <c r="D1159">
        <v>622.6</v>
      </c>
      <c r="E1159">
        <v>153.4</v>
      </c>
      <c r="F1159">
        <v>2.4</v>
      </c>
      <c r="G1159">
        <v>0.9</v>
      </c>
    </row>
    <row r="1160" spans="1:8" x14ac:dyDescent="0.45">
      <c r="A1160" t="s">
        <v>1117</v>
      </c>
      <c r="B1160" t="s">
        <v>7</v>
      </c>
      <c r="C1160">
        <v>5211</v>
      </c>
      <c r="D1160">
        <v>372.5</v>
      </c>
      <c r="E1160">
        <v>39.1</v>
      </c>
      <c r="F1160">
        <v>1.4</v>
      </c>
      <c r="G1160">
        <v>0.5</v>
      </c>
      <c r="H1160" t="s">
        <v>1210</v>
      </c>
    </row>
    <row r="1161" spans="1:8" x14ac:dyDescent="0.45">
      <c r="A1161" t="s">
        <v>1123</v>
      </c>
      <c r="B1161" t="s">
        <v>66</v>
      </c>
      <c r="C1161">
        <v>4139</v>
      </c>
      <c r="D1161">
        <v>385.8</v>
      </c>
      <c r="E1161">
        <v>56.3</v>
      </c>
      <c r="F1161">
        <v>1</v>
      </c>
      <c r="G1161">
        <v>0.3</v>
      </c>
      <c r="H1161" t="s">
        <v>1210</v>
      </c>
    </row>
    <row r="1162" spans="1:8" x14ac:dyDescent="0.45">
      <c r="A1162" t="s">
        <v>1122</v>
      </c>
      <c r="B1162" t="s">
        <v>15</v>
      </c>
      <c r="C1162">
        <v>2092</v>
      </c>
      <c r="D1162">
        <v>691.9</v>
      </c>
      <c r="E1162">
        <v>149.69999999999999</v>
      </c>
      <c r="F1162">
        <v>1.1000000000000001</v>
      </c>
      <c r="G1162">
        <v>0.2</v>
      </c>
      <c r="H1162" t="s">
        <v>1210</v>
      </c>
    </row>
    <row r="1163" spans="1:8" x14ac:dyDescent="0.45">
      <c r="A1163" t="s">
        <v>1118</v>
      </c>
      <c r="B1163" t="s">
        <v>87</v>
      </c>
      <c r="C1163">
        <v>4477</v>
      </c>
      <c r="D1163">
        <v>525.4</v>
      </c>
      <c r="E1163">
        <v>104.1</v>
      </c>
      <c r="F1163">
        <v>1.4</v>
      </c>
      <c r="G1163">
        <v>1.5</v>
      </c>
      <c r="H1163" t="s">
        <v>1210</v>
      </c>
    </row>
    <row r="1164" spans="1:8" x14ac:dyDescent="0.45">
      <c r="A1164" t="s">
        <v>1120</v>
      </c>
      <c r="B1164" t="s">
        <v>1130</v>
      </c>
      <c r="C1164">
        <v>2417</v>
      </c>
      <c r="D1164">
        <v>400.7</v>
      </c>
      <c r="E1164">
        <v>250.3</v>
      </c>
      <c r="F1164">
        <v>1.7</v>
      </c>
      <c r="G1164">
        <v>0.5</v>
      </c>
      <c r="H1164" t="s">
        <v>1210</v>
      </c>
    </row>
    <row r="1165" spans="1:8" x14ac:dyDescent="0.45">
      <c r="A1165" t="s">
        <v>1123</v>
      </c>
      <c r="B1165" t="s">
        <v>80</v>
      </c>
      <c r="C1165">
        <v>3306</v>
      </c>
      <c r="D1165">
        <v>256.2</v>
      </c>
      <c r="E1165">
        <v>26.5</v>
      </c>
      <c r="F1165">
        <v>0.8</v>
      </c>
      <c r="G1165">
        <v>0.3</v>
      </c>
      <c r="H1165" t="s">
        <v>1210</v>
      </c>
    </row>
    <row r="1166" spans="1:8" x14ac:dyDescent="0.45">
      <c r="A1166" t="s">
        <v>1122</v>
      </c>
      <c r="B1166" t="s">
        <v>1130</v>
      </c>
      <c r="C1166">
        <v>6360</v>
      </c>
      <c r="D1166">
        <v>566.5</v>
      </c>
      <c r="E1166">
        <v>379.7</v>
      </c>
      <c r="F1166">
        <v>0.9</v>
      </c>
      <c r="G1166">
        <v>0.2</v>
      </c>
      <c r="H1166" t="s">
        <v>1210</v>
      </c>
    </row>
    <row r="1167" spans="1:8" x14ac:dyDescent="0.45">
      <c r="A1167" t="s">
        <v>1120</v>
      </c>
      <c r="B1167" t="s">
        <v>75</v>
      </c>
      <c r="C1167">
        <v>2617</v>
      </c>
      <c r="D1167">
        <v>211</v>
      </c>
      <c r="E1167">
        <v>35.9</v>
      </c>
      <c r="F1167">
        <v>2.4</v>
      </c>
      <c r="G1167">
        <v>0.5</v>
      </c>
      <c r="H1167" t="s">
        <v>1210</v>
      </c>
    </row>
    <row r="1168" spans="1:8" x14ac:dyDescent="0.45">
      <c r="A1168" t="s">
        <v>1128</v>
      </c>
      <c r="B1168" t="s">
        <v>71</v>
      </c>
      <c r="C1168">
        <v>2747</v>
      </c>
      <c r="D1168">
        <v>242.9</v>
      </c>
      <c r="E1168">
        <v>20.5</v>
      </c>
      <c r="F1168">
        <v>1.6</v>
      </c>
      <c r="G1168">
        <v>0.5</v>
      </c>
      <c r="H1168" t="s">
        <v>1210</v>
      </c>
    </row>
    <row r="1169" spans="1:8" x14ac:dyDescent="0.45">
      <c r="A1169" t="s">
        <v>1120</v>
      </c>
      <c r="B1169" t="s">
        <v>13</v>
      </c>
      <c r="C1169">
        <v>3132</v>
      </c>
      <c r="D1169">
        <v>363.4</v>
      </c>
      <c r="E1169">
        <v>111.2</v>
      </c>
      <c r="F1169">
        <v>1.6</v>
      </c>
      <c r="G1169">
        <v>0.5</v>
      </c>
      <c r="H1169" t="s">
        <v>1210</v>
      </c>
    </row>
    <row r="1170" spans="1:8" x14ac:dyDescent="0.45">
      <c r="A1170" t="s">
        <v>1115</v>
      </c>
      <c r="B1170" t="s">
        <v>62</v>
      </c>
      <c r="C1170">
        <v>938</v>
      </c>
      <c r="D1170">
        <v>403.7</v>
      </c>
      <c r="E1170">
        <v>50.6</v>
      </c>
      <c r="F1170">
        <v>2.9</v>
      </c>
      <c r="G1170">
        <v>0.6</v>
      </c>
      <c r="H1170" t="s">
        <v>1210</v>
      </c>
    </row>
    <row r="1171" spans="1:8" x14ac:dyDescent="0.45">
      <c r="A1171" t="s">
        <v>1124</v>
      </c>
      <c r="B1171" t="s">
        <v>49</v>
      </c>
      <c r="C1171">
        <v>1772</v>
      </c>
      <c r="D1171">
        <v>577</v>
      </c>
      <c r="E1171">
        <v>106.6</v>
      </c>
      <c r="F1171">
        <v>0.9</v>
      </c>
      <c r="G1171">
        <v>0.3</v>
      </c>
      <c r="H1171" t="s">
        <v>1210</v>
      </c>
    </row>
    <row r="1172" spans="1:8" x14ac:dyDescent="0.45">
      <c r="A1172" t="s">
        <v>1118</v>
      </c>
      <c r="B1172" t="s">
        <v>88</v>
      </c>
      <c r="C1172">
        <v>169</v>
      </c>
      <c r="D1172">
        <v>256.60000000000002</v>
      </c>
      <c r="E1172">
        <v>112.5</v>
      </c>
      <c r="F1172">
        <v>6.6</v>
      </c>
      <c r="G1172">
        <v>1.5</v>
      </c>
      <c r="H1172" t="s">
        <v>1210</v>
      </c>
    </row>
    <row r="1173" spans="1:8" x14ac:dyDescent="0.45">
      <c r="A1173" t="s">
        <v>1121</v>
      </c>
      <c r="B1173" t="s">
        <v>59</v>
      </c>
      <c r="C1173">
        <v>5211</v>
      </c>
      <c r="D1173">
        <v>450.2</v>
      </c>
      <c r="E1173">
        <v>62</v>
      </c>
      <c r="F1173">
        <v>2.5</v>
      </c>
      <c r="G1173">
        <v>0.4</v>
      </c>
      <c r="H1173" t="s">
        <v>1210</v>
      </c>
    </row>
    <row r="1174" spans="1:8" x14ac:dyDescent="0.45">
      <c r="A1174" t="s">
        <v>1127</v>
      </c>
      <c r="B1174" t="s">
        <v>52</v>
      </c>
      <c r="C1174">
        <v>2286</v>
      </c>
      <c r="D1174">
        <v>405.6</v>
      </c>
      <c r="E1174">
        <v>150.30000000000001</v>
      </c>
      <c r="F1174">
        <v>2.7</v>
      </c>
      <c r="G1174">
        <v>0.9</v>
      </c>
      <c r="H1174" t="s">
        <v>1210</v>
      </c>
    </row>
    <row r="1175" spans="1:8" x14ac:dyDescent="0.45">
      <c r="A1175" t="s">
        <v>1121</v>
      </c>
      <c r="B1175" t="s">
        <v>36</v>
      </c>
      <c r="D1175">
        <v>227</v>
      </c>
      <c r="E1175">
        <v>75.599999999999994</v>
      </c>
      <c r="F1175">
        <v>1.7</v>
      </c>
      <c r="G1175">
        <v>0.4</v>
      </c>
    </row>
    <row r="1176" spans="1:8" x14ac:dyDescent="0.45">
      <c r="A1176" t="s">
        <v>1116</v>
      </c>
      <c r="B1176" t="s">
        <v>85</v>
      </c>
      <c r="C1176">
        <v>1243</v>
      </c>
      <c r="D1176">
        <v>108.6</v>
      </c>
      <c r="E1176">
        <v>54.3</v>
      </c>
      <c r="F1176">
        <v>3.2</v>
      </c>
      <c r="G1176">
        <v>1.6</v>
      </c>
      <c r="H1176" t="s">
        <v>1210</v>
      </c>
    </row>
    <row r="1177" spans="1:8" x14ac:dyDescent="0.45">
      <c r="A1177" t="s">
        <v>1121</v>
      </c>
      <c r="B1177" t="s">
        <v>89</v>
      </c>
      <c r="C1177">
        <v>6963</v>
      </c>
      <c r="D1177">
        <v>638.9</v>
      </c>
      <c r="E1177">
        <v>116.5</v>
      </c>
      <c r="F1177">
        <v>2.1</v>
      </c>
      <c r="G1177">
        <v>0.4</v>
      </c>
      <c r="H1177" t="s">
        <v>1210</v>
      </c>
    </row>
    <row r="1178" spans="1:8" x14ac:dyDescent="0.45">
      <c r="A1178" t="s">
        <v>1123</v>
      </c>
      <c r="B1178" t="s">
        <v>1132</v>
      </c>
      <c r="C1178">
        <v>2480</v>
      </c>
      <c r="D1178">
        <v>363.6</v>
      </c>
      <c r="E1178">
        <v>40.299999999999997</v>
      </c>
      <c r="F1178">
        <v>0.8</v>
      </c>
      <c r="G1178">
        <v>0.3</v>
      </c>
      <c r="H1178" t="s">
        <v>1210</v>
      </c>
    </row>
    <row r="1179" spans="1:8" x14ac:dyDescent="0.45">
      <c r="A1179" t="s">
        <v>1118</v>
      </c>
      <c r="B1179" t="s">
        <v>58</v>
      </c>
      <c r="C1179">
        <v>1852</v>
      </c>
      <c r="D1179">
        <v>240.2</v>
      </c>
      <c r="E1179">
        <v>19.399999999999999</v>
      </c>
      <c r="F1179">
        <v>3.2</v>
      </c>
      <c r="G1179">
        <v>1.5</v>
      </c>
      <c r="H1179" t="s">
        <v>1210</v>
      </c>
    </row>
    <row r="1180" spans="1:8" x14ac:dyDescent="0.45">
      <c r="A1180" t="s">
        <v>1118</v>
      </c>
      <c r="B1180" t="s">
        <v>5</v>
      </c>
      <c r="C1180">
        <v>4031</v>
      </c>
      <c r="D1180">
        <v>281</v>
      </c>
      <c r="E1180">
        <v>35.6</v>
      </c>
      <c r="F1180">
        <v>5.3</v>
      </c>
      <c r="G1180">
        <v>1.5</v>
      </c>
      <c r="H1180" t="s">
        <v>1210</v>
      </c>
    </row>
    <row r="1181" spans="1:8" x14ac:dyDescent="0.45">
      <c r="A1181" t="s">
        <v>1119</v>
      </c>
      <c r="B1181" t="s">
        <v>106</v>
      </c>
      <c r="C1181">
        <v>5090</v>
      </c>
      <c r="D1181">
        <v>800.2</v>
      </c>
      <c r="E1181">
        <v>157.4</v>
      </c>
      <c r="F1181">
        <v>4.5</v>
      </c>
      <c r="G1181">
        <v>1</v>
      </c>
      <c r="H1181" t="s">
        <v>1210</v>
      </c>
    </row>
    <row r="1182" spans="1:8" x14ac:dyDescent="0.45">
      <c r="A1182" t="s">
        <v>1126</v>
      </c>
      <c r="B1182" t="s">
        <v>20</v>
      </c>
      <c r="C1182">
        <v>3801</v>
      </c>
      <c r="D1182">
        <v>577.9</v>
      </c>
      <c r="E1182">
        <v>61</v>
      </c>
      <c r="F1182">
        <v>1.1000000000000001</v>
      </c>
      <c r="G1182">
        <v>0.2</v>
      </c>
      <c r="H1182" t="s">
        <v>1210</v>
      </c>
    </row>
    <row r="1183" spans="1:8" x14ac:dyDescent="0.45">
      <c r="A1183" t="s">
        <v>1127</v>
      </c>
      <c r="B1183" t="s">
        <v>51</v>
      </c>
      <c r="C1183">
        <v>1818</v>
      </c>
      <c r="D1183">
        <v>648.70000000000005</v>
      </c>
      <c r="E1183">
        <v>193</v>
      </c>
      <c r="F1183">
        <v>2.9</v>
      </c>
      <c r="G1183">
        <v>0.9</v>
      </c>
      <c r="H1183" t="s">
        <v>1210</v>
      </c>
    </row>
    <row r="1184" spans="1:8" x14ac:dyDescent="0.45">
      <c r="A1184" t="s">
        <v>1121</v>
      </c>
      <c r="B1184" t="s">
        <v>1140</v>
      </c>
      <c r="C1184">
        <v>332</v>
      </c>
      <c r="D1184">
        <v>236.7</v>
      </c>
      <c r="E1184">
        <v>25.7</v>
      </c>
      <c r="F1184">
        <v>1.8</v>
      </c>
      <c r="G1184">
        <v>0.4</v>
      </c>
      <c r="H1184" t="s">
        <v>1210</v>
      </c>
    </row>
    <row r="1185" spans="1:8" x14ac:dyDescent="0.45">
      <c r="A1185" t="s">
        <v>1117</v>
      </c>
      <c r="B1185" t="s">
        <v>95</v>
      </c>
      <c r="C1185">
        <v>3273</v>
      </c>
      <c r="D1185">
        <v>282.10000000000002</v>
      </c>
      <c r="E1185">
        <v>36.9</v>
      </c>
      <c r="F1185">
        <v>1.4</v>
      </c>
      <c r="G1185">
        <v>0.5</v>
      </c>
      <c r="H1185" t="s">
        <v>1210</v>
      </c>
    </row>
    <row r="1186" spans="1:8" x14ac:dyDescent="0.45">
      <c r="A1186" t="s">
        <v>1114</v>
      </c>
      <c r="B1186" t="s">
        <v>70</v>
      </c>
      <c r="C1186">
        <v>4038</v>
      </c>
      <c r="D1186">
        <v>319.2</v>
      </c>
      <c r="E1186">
        <v>79.7</v>
      </c>
      <c r="F1186">
        <v>0.8</v>
      </c>
      <c r="G1186">
        <v>1.3</v>
      </c>
      <c r="H1186" t="s">
        <v>1210</v>
      </c>
    </row>
    <row r="1187" spans="1:8" x14ac:dyDescent="0.45">
      <c r="A1187" t="s">
        <v>1124</v>
      </c>
      <c r="B1187" t="s">
        <v>36</v>
      </c>
      <c r="C1187">
        <v>1493</v>
      </c>
      <c r="D1187">
        <v>276.60000000000002</v>
      </c>
      <c r="E1187">
        <v>69.5</v>
      </c>
      <c r="F1187">
        <v>1</v>
      </c>
      <c r="G1187">
        <v>0.3</v>
      </c>
      <c r="H1187" t="s">
        <v>1210</v>
      </c>
    </row>
    <row r="1188" spans="1:8" x14ac:dyDescent="0.45">
      <c r="A1188" t="s">
        <v>1119</v>
      </c>
      <c r="B1188" t="s">
        <v>25</v>
      </c>
      <c r="C1188">
        <v>2671</v>
      </c>
      <c r="D1188">
        <v>260.60000000000002</v>
      </c>
      <c r="E1188">
        <v>96.5</v>
      </c>
      <c r="F1188">
        <v>3.7</v>
      </c>
      <c r="G1188">
        <v>1</v>
      </c>
      <c r="H1188" t="s">
        <v>1210</v>
      </c>
    </row>
    <row r="1189" spans="1:8" x14ac:dyDescent="0.45">
      <c r="A1189" t="s">
        <v>1115</v>
      </c>
      <c r="B1189" t="s">
        <v>97</v>
      </c>
      <c r="C1189">
        <v>2111</v>
      </c>
      <c r="D1189">
        <v>123.3</v>
      </c>
      <c r="E1189">
        <v>61.3</v>
      </c>
      <c r="F1189">
        <v>2.6</v>
      </c>
      <c r="G1189">
        <v>0.6</v>
      </c>
      <c r="H1189" t="s">
        <v>1210</v>
      </c>
    </row>
    <row r="1190" spans="1:8" x14ac:dyDescent="0.45">
      <c r="A1190" t="s">
        <v>1121</v>
      </c>
      <c r="B1190" t="s">
        <v>42</v>
      </c>
      <c r="C1190">
        <v>3623</v>
      </c>
      <c r="D1190">
        <v>473.7</v>
      </c>
      <c r="E1190">
        <v>174.1</v>
      </c>
      <c r="F1190">
        <v>1.4</v>
      </c>
      <c r="G1190">
        <v>0.4</v>
      </c>
      <c r="H1190" t="s">
        <v>1210</v>
      </c>
    </row>
    <row r="1191" spans="1:8" x14ac:dyDescent="0.45">
      <c r="A1191" t="s">
        <v>1121</v>
      </c>
      <c r="B1191" t="s">
        <v>1141</v>
      </c>
      <c r="C1191">
        <v>4653</v>
      </c>
      <c r="D1191">
        <v>398.4</v>
      </c>
      <c r="E1191">
        <v>47</v>
      </c>
      <c r="F1191">
        <v>2.2000000000000002</v>
      </c>
      <c r="G1191">
        <v>0.4</v>
      </c>
      <c r="H1191" t="s">
        <v>1210</v>
      </c>
    </row>
    <row r="1192" spans="1:8" x14ac:dyDescent="0.45">
      <c r="A1192" t="s">
        <v>1121</v>
      </c>
      <c r="B1192" t="s">
        <v>55</v>
      </c>
      <c r="C1192">
        <v>3978</v>
      </c>
      <c r="D1192">
        <v>577.29999999999995</v>
      </c>
      <c r="E1192">
        <v>162.19999999999999</v>
      </c>
      <c r="F1192">
        <v>1.8</v>
      </c>
      <c r="G1192">
        <v>0.4</v>
      </c>
      <c r="H1192" t="s">
        <v>1210</v>
      </c>
    </row>
    <row r="1193" spans="1:8" x14ac:dyDescent="0.45">
      <c r="A1193" t="s">
        <v>1122</v>
      </c>
      <c r="B1193" t="s">
        <v>1131</v>
      </c>
      <c r="C1193">
        <v>4270</v>
      </c>
      <c r="E1193">
        <v>179</v>
      </c>
      <c r="F1193">
        <v>1.1000000000000001</v>
      </c>
      <c r="G1193">
        <v>0.2</v>
      </c>
      <c r="H1193" t="s">
        <v>1210</v>
      </c>
    </row>
    <row r="1194" spans="1:8" x14ac:dyDescent="0.45">
      <c r="A1194" t="s">
        <v>1116</v>
      </c>
      <c r="B1194" t="s">
        <v>57</v>
      </c>
      <c r="C1194">
        <v>1321</v>
      </c>
      <c r="D1194">
        <v>269.60000000000002</v>
      </c>
      <c r="E1194">
        <v>36.6</v>
      </c>
      <c r="F1194">
        <v>2.4</v>
      </c>
      <c r="G1194">
        <v>1.6</v>
      </c>
      <c r="H1194" t="s">
        <v>1210</v>
      </c>
    </row>
    <row r="1195" spans="1:8" x14ac:dyDescent="0.45">
      <c r="A1195" t="s">
        <v>1118</v>
      </c>
      <c r="B1195" t="s">
        <v>30</v>
      </c>
      <c r="C1195">
        <v>-10</v>
      </c>
      <c r="D1195">
        <v>762.8</v>
      </c>
      <c r="E1195">
        <v>114.9</v>
      </c>
      <c r="F1195">
        <v>8</v>
      </c>
      <c r="G1195">
        <v>1.5</v>
      </c>
      <c r="H1195" t="s">
        <v>1212</v>
      </c>
    </row>
    <row r="1196" spans="1:8" x14ac:dyDescent="0.45">
      <c r="A1196" t="s">
        <v>1128</v>
      </c>
      <c r="B1196" t="s">
        <v>10</v>
      </c>
      <c r="C1196">
        <v>2573</v>
      </c>
      <c r="D1196">
        <v>301.3</v>
      </c>
      <c r="E1196">
        <v>49.5</v>
      </c>
      <c r="F1196">
        <v>1.9</v>
      </c>
      <c r="G1196">
        <v>0.5</v>
      </c>
      <c r="H1196" t="s">
        <v>1210</v>
      </c>
    </row>
    <row r="1197" spans="1:8" x14ac:dyDescent="0.45">
      <c r="A1197" t="s">
        <v>1121</v>
      </c>
      <c r="B1197" t="s">
        <v>53</v>
      </c>
      <c r="C1197">
        <v>1407</v>
      </c>
      <c r="D1197">
        <v>430.6</v>
      </c>
      <c r="E1197">
        <v>137.4</v>
      </c>
      <c r="F1197">
        <v>2.1</v>
      </c>
      <c r="G1197">
        <v>0.4</v>
      </c>
      <c r="H1197" t="s">
        <v>1210</v>
      </c>
    </row>
    <row r="1198" spans="1:8" x14ac:dyDescent="0.45">
      <c r="A1198" t="s">
        <v>1121</v>
      </c>
      <c r="B1198" t="s">
        <v>80</v>
      </c>
      <c r="C1198">
        <v>1406</v>
      </c>
      <c r="D1198">
        <v>181.9</v>
      </c>
      <c r="E1198">
        <v>16.100000000000001</v>
      </c>
      <c r="F1198">
        <v>1.3</v>
      </c>
      <c r="G1198">
        <v>0.4</v>
      </c>
      <c r="H1198" t="s">
        <v>1210</v>
      </c>
    </row>
    <row r="1199" spans="1:8" x14ac:dyDescent="0.45">
      <c r="A1199" t="s">
        <v>1122</v>
      </c>
      <c r="B1199" t="s">
        <v>54</v>
      </c>
      <c r="C1199">
        <v>938</v>
      </c>
      <c r="D1199">
        <v>450</v>
      </c>
      <c r="E1199">
        <v>58.3</v>
      </c>
      <c r="F1199">
        <v>1</v>
      </c>
      <c r="G1199">
        <v>0.2</v>
      </c>
      <c r="H1199" t="s">
        <v>1210</v>
      </c>
    </row>
    <row r="1200" spans="1:8" x14ac:dyDescent="0.45">
      <c r="A1200" t="s">
        <v>1116</v>
      </c>
      <c r="B1200" t="s">
        <v>29</v>
      </c>
      <c r="C1200">
        <v>1878</v>
      </c>
      <c r="D1200">
        <v>304.39999999999998</v>
      </c>
      <c r="E1200">
        <v>88.6</v>
      </c>
      <c r="F1200">
        <v>3.3</v>
      </c>
      <c r="G1200">
        <v>1.6</v>
      </c>
      <c r="H1200" t="s">
        <v>1210</v>
      </c>
    </row>
    <row r="1201" spans="1:8" x14ac:dyDescent="0.45">
      <c r="A1201" t="s">
        <v>1123</v>
      </c>
      <c r="B1201" t="s">
        <v>60</v>
      </c>
      <c r="C1201">
        <v>6761</v>
      </c>
      <c r="E1201">
        <v>108.3</v>
      </c>
      <c r="F1201">
        <v>0.9</v>
      </c>
      <c r="G1201">
        <v>0.3</v>
      </c>
      <c r="H1201" t="s">
        <v>1210</v>
      </c>
    </row>
    <row r="1202" spans="1:8" x14ac:dyDescent="0.45">
      <c r="A1202" t="s">
        <v>1114</v>
      </c>
      <c r="B1202" t="s">
        <v>1137</v>
      </c>
      <c r="C1202">
        <v>1036</v>
      </c>
      <c r="D1202">
        <v>141.5</v>
      </c>
      <c r="E1202">
        <v>15.8</v>
      </c>
      <c r="F1202">
        <v>3.6</v>
      </c>
      <c r="G1202">
        <v>1.3</v>
      </c>
      <c r="H1202" t="s">
        <v>1210</v>
      </c>
    </row>
    <row r="1203" spans="1:8" x14ac:dyDescent="0.45">
      <c r="A1203" t="s">
        <v>1128</v>
      </c>
      <c r="B1203" t="s">
        <v>42</v>
      </c>
      <c r="C1203">
        <v>704</v>
      </c>
      <c r="D1203">
        <v>228.2</v>
      </c>
      <c r="E1203">
        <v>88.4</v>
      </c>
      <c r="F1203">
        <v>1.3</v>
      </c>
      <c r="G1203">
        <v>0.5</v>
      </c>
      <c r="H1203" t="s">
        <v>1210</v>
      </c>
    </row>
    <row r="1204" spans="1:8" x14ac:dyDescent="0.45">
      <c r="A1204" t="s">
        <v>1124</v>
      </c>
      <c r="B1204" t="s">
        <v>99</v>
      </c>
      <c r="C1204">
        <v>1984</v>
      </c>
      <c r="D1204">
        <v>305.39999999999998</v>
      </c>
      <c r="E1204">
        <v>56.7</v>
      </c>
      <c r="F1204">
        <v>1.1000000000000001</v>
      </c>
      <c r="G1204">
        <v>0.3</v>
      </c>
      <c r="H1204" t="s">
        <v>1210</v>
      </c>
    </row>
    <row r="1205" spans="1:8" x14ac:dyDescent="0.45">
      <c r="A1205" t="s">
        <v>1125</v>
      </c>
      <c r="B1205" t="s">
        <v>59</v>
      </c>
      <c r="C1205">
        <v>1061</v>
      </c>
      <c r="D1205">
        <v>415.7</v>
      </c>
      <c r="E1205">
        <v>59.2</v>
      </c>
      <c r="F1205">
        <v>4.9000000000000004</v>
      </c>
      <c r="G1205">
        <v>1.2</v>
      </c>
      <c r="H1205" t="s">
        <v>1210</v>
      </c>
    </row>
    <row r="1206" spans="1:8" x14ac:dyDescent="0.45">
      <c r="A1206" t="s">
        <v>1124</v>
      </c>
      <c r="B1206" t="s">
        <v>37</v>
      </c>
      <c r="C1206">
        <v>11833</v>
      </c>
      <c r="D1206">
        <v>742.8</v>
      </c>
      <c r="E1206">
        <v>318.39999999999998</v>
      </c>
      <c r="F1206">
        <v>0.5</v>
      </c>
      <c r="G1206">
        <v>0.3</v>
      </c>
      <c r="H1206" t="s">
        <v>1210</v>
      </c>
    </row>
    <row r="1207" spans="1:8" x14ac:dyDescent="0.45">
      <c r="A1207" t="s">
        <v>1116</v>
      </c>
      <c r="B1207" t="s">
        <v>1131</v>
      </c>
      <c r="C1207">
        <v>4249</v>
      </c>
      <c r="D1207">
        <v>460.4</v>
      </c>
      <c r="E1207">
        <v>212.2</v>
      </c>
      <c r="F1207">
        <v>6.2</v>
      </c>
      <c r="G1207">
        <v>1.6</v>
      </c>
      <c r="H1207" t="s">
        <v>1210</v>
      </c>
    </row>
    <row r="1208" spans="1:8" x14ac:dyDescent="0.45">
      <c r="A1208" t="s">
        <v>1125</v>
      </c>
      <c r="B1208" t="s">
        <v>110</v>
      </c>
      <c r="C1208">
        <v>262</v>
      </c>
      <c r="D1208">
        <v>110.6</v>
      </c>
      <c r="E1208">
        <v>49.5</v>
      </c>
      <c r="F1208">
        <v>4.5</v>
      </c>
      <c r="G1208">
        <v>1.2</v>
      </c>
      <c r="H1208" t="s">
        <v>1210</v>
      </c>
    </row>
    <row r="1209" spans="1:8" x14ac:dyDescent="0.45">
      <c r="A1209" t="s">
        <v>1114</v>
      </c>
      <c r="B1209" t="s">
        <v>60</v>
      </c>
      <c r="C1209">
        <v>2480</v>
      </c>
      <c r="D1209">
        <v>431.7</v>
      </c>
      <c r="E1209">
        <v>78.7</v>
      </c>
      <c r="F1209">
        <v>1.2</v>
      </c>
      <c r="G1209">
        <v>1.3</v>
      </c>
      <c r="H1209" t="s">
        <v>1210</v>
      </c>
    </row>
    <row r="1210" spans="1:8" x14ac:dyDescent="0.45">
      <c r="A1210" t="s">
        <v>1116</v>
      </c>
      <c r="B1210" t="s">
        <v>67</v>
      </c>
      <c r="C1210">
        <v>1098</v>
      </c>
      <c r="E1210">
        <v>110.4</v>
      </c>
      <c r="F1210">
        <v>7.9</v>
      </c>
      <c r="G1210">
        <v>1.6</v>
      </c>
      <c r="H1210" t="s">
        <v>1210</v>
      </c>
    </row>
    <row r="1211" spans="1:8" x14ac:dyDescent="0.45">
      <c r="A1211" t="s">
        <v>1126</v>
      </c>
      <c r="B1211" t="s">
        <v>41</v>
      </c>
      <c r="C1211">
        <v>4087</v>
      </c>
      <c r="D1211">
        <v>382.5</v>
      </c>
      <c r="E1211">
        <v>168.5</v>
      </c>
      <c r="F1211">
        <v>1.4</v>
      </c>
      <c r="G1211">
        <v>0.2</v>
      </c>
      <c r="H1211" t="s">
        <v>1210</v>
      </c>
    </row>
    <row r="1212" spans="1:8" x14ac:dyDescent="0.45">
      <c r="A1212" t="s">
        <v>1114</v>
      </c>
      <c r="B1212" t="s">
        <v>88</v>
      </c>
      <c r="C1212">
        <v>176</v>
      </c>
      <c r="D1212">
        <v>105.5</v>
      </c>
      <c r="E1212">
        <v>71.900000000000006</v>
      </c>
      <c r="F1212">
        <v>4.5999999999999996</v>
      </c>
      <c r="G1212">
        <v>1.3</v>
      </c>
      <c r="H1212" t="s">
        <v>1210</v>
      </c>
    </row>
    <row r="1213" spans="1:8" x14ac:dyDescent="0.45">
      <c r="A1213" t="s">
        <v>1125</v>
      </c>
      <c r="B1213" t="s">
        <v>70</v>
      </c>
      <c r="C1213">
        <v>4812</v>
      </c>
      <c r="E1213">
        <v>153.69999999999999</v>
      </c>
      <c r="F1213">
        <v>3.9</v>
      </c>
      <c r="G1213">
        <v>1.2</v>
      </c>
      <c r="H1213" t="s">
        <v>1210</v>
      </c>
    </row>
    <row r="1214" spans="1:8" x14ac:dyDescent="0.45">
      <c r="A1214" t="s">
        <v>1115</v>
      </c>
      <c r="B1214" t="s">
        <v>1140</v>
      </c>
      <c r="C1214">
        <v>8487</v>
      </c>
      <c r="D1214">
        <v>513.5</v>
      </c>
      <c r="E1214">
        <v>55.7</v>
      </c>
      <c r="F1214">
        <v>2</v>
      </c>
      <c r="G1214">
        <v>0.6</v>
      </c>
      <c r="H1214" t="s">
        <v>1210</v>
      </c>
    </row>
    <row r="1215" spans="1:8" x14ac:dyDescent="0.45">
      <c r="A1215" t="s">
        <v>1122</v>
      </c>
      <c r="B1215" t="s">
        <v>74</v>
      </c>
      <c r="C1215">
        <v>824</v>
      </c>
      <c r="E1215">
        <v>147.6</v>
      </c>
      <c r="F1215">
        <v>1.3</v>
      </c>
      <c r="G1215">
        <v>0.2</v>
      </c>
      <c r="H1215" t="s">
        <v>1210</v>
      </c>
    </row>
    <row r="1216" spans="1:8" x14ac:dyDescent="0.45">
      <c r="A1216" t="s">
        <v>1122</v>
      </c>
      <c r="B1216" t="s">
        <v>8</v>
      </c>
      <c r="C1216">
        <v>2218</v>
      </c>
      <c r="D1216">
        <v>372.1</v>
      </c>
      <c r="E1216">
        <v>70.900000000000006</v>
      </c>
      <c r="F1216">
        <v>1.1000000000000001</v>
      </c>
      <c r="G1216">
        <v>0.2</v>
      </c>
      <c r="H1216" t="s">
        <v>1210</v>
      </c>
    </row>
    <row r="1217" spans="1:8" x14ac:dyDescent="0.45">
      <c r="A1217" t="s">
        <v>1123</v>
      </c>
      <c r="B1217" t="s">
        <v>99</v>
      </c>
      <c r="C1217">
        <v>9623</v>
      </c>
      <c r="D1217">
        <v>807.2</v>
      </c>
      <c r="E1217">
        <v>126.6</v>
      </c>
      <c r="F1217">
        <v>1</v>
      </c>
      <c r="G1217">
        <v>0.3</v>
      </c>
      <c r="H1217" t="s">
        <v>1210</v>
      </c>
    </row>
    <row r="1218" spans="1:8" x14ac:dyDescent="0.45">
      <c r="A1218" t="s">
        <v>1121</v>
      </c>
      <c r="B1218" t="s">
        <v>67</v>
      </c>
      <c r="C1218">
        <v>5983</v>
      </c>
      <c r="D1218">
        <v>347.7</v>
      </c>
      <c r="E1218">
        <v>143.19999999999999</v>
      </c>
      <c r="F1218">
        <v>2.2000000000000002</v>
      </c>
      <c r="G1218">
        <v>0.4</v>
      </c>
      <c r="H1218" t="s">
        <v>1210</v>
      </c>
    </row>
    <row r="1219" spans="1:8" x14ac:dyDescent="0.45">
      <c r="A1219" t="s">
        <v>1114</v>
      </c>
      <c r="B1219" t="s">
        <v>30</v>
      </c>
      <c r="C1219">
        <v>2949</v>
      </c>
      <c r="D1219">
        <v>491.7</v>
      </c>
      <c r="E1219">
        <v>124.4</v>
      </c>
      <c r="F1219">
        <v>4.4000000000000004</v>
      </c>
      <c r="G1219">
        <v>1.3</v>
      </c>
      <c r="H1219" t="s">
        <v>1210</v>
      </c>
    </row>
    <row r="1220" spans="1:8" x14ac:dyDescent="0.45">
      <c r="A1220" t="s">
        <v>1125</v>
      </c>
      <c r="B1220" t="s">
        <v>61</v>
      </c>
      <c r="C1220">
        <v>6250</v>
      </c>
      <c r="D1220">
        <v>404</v>
      </c>
      <c r="E1220">
        <v>50.9</v>
      </c>
      <c r="F1220">
        <v>5.2</v>
      </c>
      <c r="G1220">
        <v>1.2</v>
      </c>
      <c r="H1220" t="s">
        <v>1210</v>
      </c>
    </row>
    <row r="1221" spans="1:8" x14ac:dyDescent="0.45">
      <c r="A1221" t="s">
        <v>1119</v>
      </c>
      <c r="B1221" t="s">
        <v>1138</v>
      </c>
      <c r="C1221">
        <v>10348</v>
      </c>
      <c r="D1221">
        <v>654.79999999999995</v>
      </c>
      <c r="E1221">
        <v>155.80000000000001</v>
      </c>
      <c r="F1221">
        <v>3.5</v>
      </c>
      <c r="G1221">
        <v>1</v>
      </c>
      <c r="H1221" t="s">
        <v>1210</v>
      </c>
    </row>
    <row r="1222" spans="1:8" x14ac:dyDescent="0.45">
      <c r="A1222" t="s">
        <v>1115</v>
      </c>
      <c r="B1222" t="s">
        <v>57</v>
      </c>
      <c r="C1222">
        <v>147</v>
      </c>
      <c r="D1222">
        <v>262.2</v>
      </c>
      <c r="E1222">
        <v>33.6</v>
      </c>
      <c r="F1222">
        <v>2.6</v>
      </c>
      <c r="G1222">
        <v>0.6</v>
      </c>
      <c r="H1222" t="s">
        <v>1210</v>
      </c>
    </row>
    <row r="1223" spans="1:8" x14ac:dyDescent="0.45">
      <c r="A1223" t="s">
        <v>1115</v>
      </c>
      <c r="B1223" t="s">
        <v>59</v>
      </c>
      <c r="C1223">
        <v>1074</v>
      </c>
      <c r="D1223">
        <v>212.2</v>
      </c>
      <c r="E1223">
        <v>20.7</v>
      </c>
      <c r="F1223">
        <v>1.6</v>
      </c>
      <c r="G1223">
        <v>0.6</v>
      </c>
      <c r="H1223" t="s">
        <v>1210</v>
      </c>
    </row>
    <row r="1224" spans="1:8" x14ac:dyDescent="0.45">
      <c r="A1224" t="s">
        <v>1123</v>
      </c>
      <c r="B1224" t="s">
        <v>107</v>
      </c>
      <c r="D1224">
        <v>119.7</v>
      </c>
      <c r="E1224">
        <v>76.7</v>
      </c>
      <c r="F1224">
        <v>1.2</v>
      </c>
      <c r="G1224">
        <v>0.3</v>
      </c>
    </row>
    <row r="1225" spans="1:8" x14ac:dyDescent="0.45">
      <c r="A1225" t="s">
        <v>1128</v>
      </c>
      <c r="B1225" t="s">
        <v>97</v>
      </c>
      <c r="C1225">
        <v>9196</v>
      </c>
      <c r="D1225">
        <v>541.6</v>
      </c>
      <c r="E1225">
        <v>221.8</v>
      </c>
      <c r="F1225">
        <v>1.8</v>
      </c>
      <c r="G1225">
        <v>0.5</v>
      </c>
      <c r="H1225" t="s">
        <v>1210</v>
      </c>
    </row>
    <row r="1226" spans="1:8" x14ac:dyDescent="0.45">
      <c r="A1226" t="s">
        <v>1122</v>
      </c>
      <c r="B1226" t="s">
        <v>5</v>
      </c>
      <c r="C1226">
        <v>2707</v>
      </c>
      <c r="D1226">
        <v>191.5</v>
      </c>
      <c r="E1226">
        <v>27.3</v>
      </c>
      <c r="F1226">
        <v>1.1000000000000001</v>
      </c>
      <c r="G1226">
        <v>0.2</v>
      </c>
      <c r="H1226" t="s">
        <v>1210</v>
      </c>
    </row>
    <row r="1227" spans="1:8" x14ac:dyDescent="0.45">
      <c r="A1227" t="s">
        <v>1122</v>
      </c>
      <c r="B1227" t="s">
        <v>55</v>
      </c>
      <c r="C1227">
        <v>1280</v>
      </c>
      <c r="D1227">
        <v>577</v>
      </c>
      <c r="E1227">
        <v>148.4</v>
      </c>
      <c r="F1227">
        <v>1.1000000000000001</v>
      </c>
      <c r="G1227">
        <v>0.2</v>
      </c>
      <c r="H1227" t="s">
        <v>1210</v>
      </c>
    </row>
    <row r="1228" spans="1:8" x14ac:dyDescent="0.45">
      <c r="A1228" t="s">
        <v>1117</v>
      </c>
      <c r="B1228" t="s">
        <v>1134</v>
      </c>
      <c r="C1228">
        <v>4082</v>
      </c>
      <c r="D1228">
        <v>324.10000000000002</v>
      </c>
      <c r="E1228">
        <v>43.1</v>
      </c>
      <c r="F1228">
        <v>1.7</v>
      </c>
      <c r="G1228">
        <v>0.5</v>
      </c>
      <c r="H1228" t="s">
        <v>1210</v>
      </c>
    </row>
    <row r="1229" spans="1:8" x14ac:dyDescent="0.45">
      <c r="A1229" t="s">
        <v>1124</v>
      </c>
      <c r="B1229" t="s">
        <v>105</v>
      </c>
      <c r="C1229">
        <v>1184</v>
      </c>
      <c r="D1229">
        <v>290.7</v>
      </c>
      <c r="E1229">
        <v>35.799999999999997</v>
      </c>
      <c r="F1229">
        <v>0.9</v>
      </c>
      <c r="G1229">
        <v>0.3</v>
      </c>
      <c r="H1229" t="s">
        <v>1210</v>
      </c>
    </row>
    <row r="1230" spans="1:8" x14ac:dyDescent="0.45">
      <c r="A1230" t="s">
        <v>1125</v>
      </c>
      <c r="B1230" t="s">
        <v>1133</v>
      </c>
      <c r="C1230">
        <v>523</v>
      </c>
      <c r="D1230">
        <v>1012.7</v>
      </c>
      <c r="E1230">
        <v>194</v>
      </c>
      <c r="F1230">
        <v>4.8</v>
      </c>
      <c r="G1230">
        <v>1.2</v>
      </c>
      <c r="H1230" t="s">
        <v>1210</v>
      </c>
    </row>
    <row r="1231" spans="1:8" x14ac:dyDescent="0.45">
      <c r="A1231" t="s">
        <v>1119</v>
      </c>
      <c r="B1231" t="s">
        <v>37</v>
      </c>
      <c r="C1231">
        <v>3141</v>
      </c>
      <c r="D1231">
        <v>203.3</v>
      </c>
      <c r="E1231">
        <v>131.19999999999999</v>
      </c>
      <c r="F1231">
        <v>3</v>
      </c>
      <c r="G1231">
        <v>1</v>
      </c>
      <c r="H1231" t="s">
        <v>1210</v>
      </c>
    </row>
    <row r="1232" spans="1:8" x14ac:dyDescent="0.45">
      <c r="A1232" t="s">
        <v>1123</v>
      </c>
      <c r="B1232" t="s">
        <v>55</v>
      </c>
      <c r="C1232">
        <v>14127</v>
      </c>
      <c r="D1232">
        <v>811.4</v>
      </c>
      <c r="E1232">
        <v>156.5</v>
      </c>
      <c r="F1232">
        <v>0.9</v>
      </c>
      <c r="G1232">
        <v>0.3</v>
      </c>
      <c r="H1232" t="s">
        <v>1210</v>
      </c>
    </row>
    <row r="1233" spans="1:8" x14ac:dyDescent="0.45">
      <c r="A1233" t="s">
        <v>1114</v>
      </c>
      <c r="B1233" t="s">
        <v>76</v>
      </c>
      <c r="C1233">
        <v>2479</v>
      </c>
      <c r="D1233">
        <v>760.8</v>
      </c>
      <c r="E1233">
        <v>125.5</v>
      </c>
      <c r="F1233">
        <v>2.8</v>
      </c>
      <c r="G1233">
        <v>1.3</v>
      </c>
      <c r="H1233" t="s">
        <v>1210</v>
      </c>
    </row>
    <row r="1234" spans="1:8" x14ac:dyDescent="0.45">
      <c r="A1234" t="s">
        <v>1121</v>
      </c>
      <c r="B1234" t="s">
        <v>70</v>
      </c>
      <c r="C1234">
        <v>6129</v>
      </c>
      <c r="D1234">
        <v>661.4</v>
      </c>
      <c r="E1234">
        <v>174.2</v>
      </c>
      <c r="F1234">
        <v>2.4</v>
      </c>
      <c r="G1234">
        <v>0.4</v>
      </c>
      <c r="H1234" t="s">
        <v>1210</v>
      </c>
    </row>
    <row r="1235" spans="1:8" x14ac:dyDescent="0.45">
      <c r="A1235" t="s">
        <v>1119</v>
      </c>
      <c r="B1235" t="s">
        <v>77</v>
      </c>
      <c r="C1235">
        <v>3974</v>
      </c>
      <c r="D1235">
        <v>225.7</v>
      </c>
      <c r="E1235">
        <v>72</v>
      </c>
      <c r="F1235">
        <v>2.8</v>
      </c>
      <c r="G1235">
        <v>1</v>
      </c>
      <c r="H1235" t="s">
        <v>1210</v>
      </c>
    </row>
    <row r="1236" spans="1:8" x14ac:dyDescent="0.45">
      <c r="A1236" t="s">
        <v>1115</v>
      </c>
      <c r="B1236" t="s">
        <v>101</v>
      </c>
      <c r="C1236">
        <v>5903</v>
      </c>
      <c r="D1236">
        <v>834.9</v>
      </c>
      <c r="E1236">
        <v>228.7</v>
      </c>
      <c r="F1236">
        <v>1.5</v>
      </c>
      <c r="G1236">
        <v>0.6</v>
      </c>
      <c r="H1236" t="s">
        <v>1210</v>
      </c>
    </row>
    <row r="1237" spans="1:8" x14ac:dyDescent="0.45">
      <c r="A1237" t="s">
        <v>1120</v>
      </c>
      <c r="B1237" t="s">
        <v>1135</v>
      </c>
      <c r="C1237">
        <v>7310</v>
      </c>
      <c r="D1237">
        <v>503.3</v>
      </c>
      <c r="E1237">
        <v>42.1</v>
      </c>
      <c r="F1237">
        <v>2.2999999999999998</v>
      </c>
      <c r="G1237">
        <v>0.5</v>
      </c>
      <c r="H1237" t="s">
        <v>1210</v>
      </c>
    </row>
    <row r="1238" spans="1:8" x14ac:dyDescent="0.45">
      <c r="A1238" t="s">
        <v>1115</v>
      </c>
      <c r="B1238" t="s">
        <v>5</v>
      </c>
      <c r="C1238">
        <v>2814</v>
      </c>
      <c r="D1238">
        <v>472.9</v>
      </c>
      <c r="E1238">
        <v>54.1</v>
      </c>
      <c r="F1238">
        <v>2.1</v>
      </c>
      <c r="G1238">
        <v>0.6</v>
      </c>
      <c r="H1238" t="s">
        <v>1210</v>
      </c>
    </row>
    <row r="1239" spans="1:8" x14ac:dyDescent="0.45">
      <c r="A1239" t="s">
        <v>1127</v>
      </c>
      <c r="B1239" t="s">
        <v>60</v>
      </c>
      <c r="C1239">
        <v>3252</v>
      </c>
      <c r="D1239">
        <v>498.5</v>
      </c>
      <c r="E1239">
        <v>130</v>
      </c>
      <c r="F1239">
        <v>2.9</v>
      </c>
      <c r="G1239">
        <v>0.9</v>
      </c>
      <c r="H1239" t="s">
        <v>1210</v>
      </c>
    </row>
    <row r="1240" spans="1:8" x14ac:dyDescent="0.45">
      <c r="A1240" t="s">
        <v>1116</v>
      </c>
      <c r="B1240" t="s">
        <v>64</v>
      </c>
      <c r="C1240">
        <v>3545</v>
      </c>
      <c r="D1240">
        <v>391.1</v>
      </c>
      <c r="E1240">
        <v>105.7</v>
      </c>
      <c r="F1240">
        <v>3.5</v>
      </c>
      <c r="G1240">
        <v>1.6</v>
      </c>
      <c r="H1240" t="s">
        <v>1210</v>
      </c>
    </row>
    <row r="1241" spans="1:8" x14ac:dyDescent="0.45">
      <c r="A1241" t="s">
        <v>1117</v>
      </c>
      <c r="B1241" t="s">
        <v>110</v>
      </c>
      <c r="C1241">
        <v>2889</v>
      </c>
      <c r="D1241">
        <v>391.5</v>
      </c>
      <c r="E1241">
        <v>212.4</v>
      </c>
      <c r="F1241">
        <v>2.4</v>
      </c>
      <c r="G1241">
        <v>0.5</v>
      </c>
      <c r="H1241" t="s">
        <v>1210</v>
      </c>
    </row>
    <row r="1242" spans="1:8" x14ac:dyDescent="0.45">
      <c r="A1242" t="s">
        <v>1126</v>
      </c>
      <c r="B1242" t="s">
        <v>7</v>
      </c>
      <c r="C1242">
        <v>741</v>
      </c>
      <c r="D1242">
        <v>380.3</v>
      </c>
      <c r="E1242">
        <v>53.2</v>
      </c>
      <c r="F1242">
        <v>1.1000000000000001</v>
      </c>
      <c r="G1242">
        <v>0.2</v>
      </c>
      <c r="H1242" t="s">
        <v>1210</v>
      </c>
    </row>
    <row r="1243" spans="1:8" x14ac:dyDescent="0.45">
      <c r="A1243" t="s">
        <v>1115</v>
      </c>
      <c r="B1243" t="s">
        <v>56</v>
      </c>
      <c r="C1243">
        <v>3824</v>
      </c>
      <c r="D1243">
        <v>736.5</v>
      </c>
      <c r="E1243">
        <v>199.6</v>
      </c>
      <c r="F1243">
        <v>1.1000000000000001</v>
      </c>
      <c r="G1243">
        <v>0.6</v>
      </c>
      <c r="H1243" t="s">
        <v>1210</v>
      </c>
    </row>
    <row r="1244" spans="1:8" x14ac:dyDescent="0.45">
      <c r="A1244" t="s">
        <v>1124</v>
      </c>
      <c r="B1244" t="s">
        <v>1138</v>
      </c>
      <c r="C1244">
        <v>6430</v>
      </c>
      <c r="D1244">
        <v>581.79999999999995</v>
      </c>
      <c r="E1244">
        <v>154.69999999999999</v>
      </c>
      <c r="F1244">
        <v>1.2</v>
      </c>
      <c r="G1244">
        <v>0.3</v>
      </c>
      <c r="H1244" t="s">
        <v>1210</v>
      </c>
    </row>
    <row r="1245" spans="1:8" x14ac:dyDescent="0.45">
      <c r="A1245" t="s">
        <v>1116</v>
      </c>
      <c r="B1245" t="s">
        <v>88</v>
      </c>
      <c r="C1245">
        <v>3190</v>
      </c>
      <c r="D1245">
        <v>225.1</v>
      </c>
      <c r="E1245">
        <v>101.8</v>
      </c>
      <c r="F1245">
        <v>4.4000000000000004</v>
      </c>
      <c r="G1245">
        <v>1.6</v>
      </c>
      <c r="H1245" t="s">
        <v>1210</v>
      </c>
    </row>
    <row r="1246" spans="1:8" x14ac:dyDescent="0.45">
      <c r="A1246" t="s">
        <v>1121</v>
      </c>
      <c r="B1246" t="s">
        <v>49</v>
      </c>
      <c r="D1246">
        <v>339.4</v>
      </c>
      <c r="E1246">
        <v>67.099999999999994</v>
      </c>
      <c r="F1246">
        <v>2.2000000000000002</v>
      </c>
      <c r="G1246">
        <v>0.4</v>
      </c>
    </row>
    <row r="1247" spans="1:8" x14ac:dyDescent="0.45">
      <c r="A1247" t="s">
        <v>1127</v>
      </c>
      <c r="B1247" t="s">
        <v>1138</v>
      </c>
      <c r="C1247">
        <v>5349</v>
      </c>
      <c r="D1247">
        <v>351.4</v>
      </c>
      <c r="E1247">
        <v>74.7</v>
      </c>
      <c r="F1247">
        <v>2.8</v>
      </c>
      <c r="G1247">
        <v>0.9</v>
      </c>
      <c r="H1247" t="s">
        <v>1210</v>
      </c>
    </row>
    <row r="1248" spans="1:8" x14ac:dyDescent="0.45">
      <c r="A1248" t="s">
        <v>1118</v>
      </c>
      <c r="B1248" t="s">
        <v>98</v>
      </c>
      <c r="C1248">
        <v>6906</v>
      </c>
      <c r="D1248">
        <v>874.3</v>
      </c>
      <c r="E1248">
        <v>187.9</v>
      </c>
      <c r="F1248">
        <v>2.8</v>
      </c>
      <c r="G1248">
        <v>1.5</v>
      </c>
      <c r="H1248" t="s">
        <v>1210</v>
      </c>
    </row>
    <row r="1249" spans="1:8" x14ac:dyDescent="0.45">
      <c r="A1249" t="s">
        <v>1126</v>
      </c>
      <c r="B1249" t="s">
        <v>48</v>
      </c>
      <c r="C1249">
        <v>7849</v>
      </c>
      <c r="D1249">
        <v>444</v>
      </c>
      <c r="E1249">
        <v>111.5</v>
      </c>
      <c r="F1249">
        <v>1.1000000000000001</v>
      </c>
      <c r="G1249">
        <v>0.2</v>
      </c>
      <c r="H1249" t="s">
        <v>1210</v>
      </c>
    </row>
    <row r="1250" spans="1:8" x14ac:dyDescent="0.45">
      <c r="A1250" t="s">
        <v>1119</v>
      </c>
      <c r="B1250" t="s">
        <v>103</v>
      </c>
      <c r="C1250">
        <v>3192</v>
      </c>
      <c r="D1250">
        <v>400.5</v>
      </c>
      <c r="E1250">
        <v>55.6</v>
      </c>
      <c r="F1250">
        <v>1.4</v>
      </c>
      <c r="G1250">
        <v>1</v>
      </c>
      <c r="H1250" t="s">
        <v>1210</v>
      </c>
    </row>
    <row r="1251" spans="1:8" x14ac:dyDescent="0.45">
      <c r="A1251" t="s">
        <v>1127</v>
      </c>
      <c r="B1251" t="s">
        <v>58</v>
      </c>
      <c r="C1251">
        <v>1288</v>
      </c>
      <c r="D1251">
        <v>235.1</v>
      </c>
      <c r="E1251">
        <v>30.4</v>
      </c>
      <c r="F1251">
        <v>2.4</v>
      </c>
      <c r="G1251">
        <v>0.9</v>
      </c>
      <c r="H1251" t="s">
        <v>1210</v>
      </c>
    </row>
    <row r="1252" spans="1:8" x14ac:dyDescent="0.45">
      <c r="A1252" t="s">
        <v>1127</v>
      </c>
      <c r="B1252" t="s">
        <v>110</v>
      </c>
      <c r="C1252">
        <v>4672</v>
      </c>
      <c r="D1252">
        <v>347.5</v>
      </c>
      <c r="E1252">
        <v>208</v>
      </c>
      <c r="F1252">
        <v>3.2</v>
      </c>
      <c r="G1252">
        <v>0.9</v>
      </c>
      <c r="H1252" t="s">
        <v>1210</v>
      </c>
    </row>
    <row r="1253" spans="1:8" x14ac:dyDescent="0.45">
      <c r="A1253" t="s">
        <v>1115</v>
      </c>
      <c r="B1253" t="s">
        <v>32</v>
      </c>
      <c r="C1253">
        <v>164</v>
      </c>
      <c r="D1253">
        <v>284.39999999999998</v>
      </c>
      <c r="E1253">
        <v>99.4</v>
      </c>
      <c r="F1253">
        <v>2.6</v>
      </c>
      <c r="G1253">
        <v>0.6</v>
      </c>
      <c r="H1253" t="s">
        <v>1210</v>
      </c>
    </row>
    <row r="1254" spans="1:8" x14ac:dyDescent="0.45">
      <c r="A1254" t="s">
        <v>1125</v>
      </c>
      <c r="B1254" t="s">
        <v>48</v>
      </c>
      <c r="C1254">
        <v>6404</v>
      </c>
      <c r="D1254">
        <v>472.1</v>
      </c>
      <c r="E1254">
        <v>131.69999999999999</v>
      </c>
      <c r="F1254">
        <v>3.5</v>
      </c>
      <c r="G1254">
        <v>1.2</v>
      </c>
      <c r="H1254" t="s">
        <v>1210</v>
      </c>
    </row>
    <row r="1255" spans="1:8" x14ac:dyDescent="0.45">
      <c r="A1255" t="s">
        <v>1124</v>
      </c>
      <c r="B1255" t="s">
        <v>85</v>
      </c>
      <c r="C1255">
        <v>1749</v>
      </c>
      <c r="D1255">
        <v>381.8</v>
      </c>
      <c r="E1255">
        <v>191</v>
      </c>
      <c r="F1255">
        <v>1.2</v>
      </c>
      <c r="G1255">
        <v>0.3</v>
      </c>
      <c r="H1255" t="s">
        <v>1210</v>
      </c>
    </row>
    <row r="1256" spans="1:8" x14ac:dyDescent="0.45">
      <c r="A1256" t="s">
        <v>1120</v>
      </c>
      <c r="B1256" t="s">
        <v>25</v>
      </c>
      <c r="C1256">
        <v>3182</v>
      </c>
      <c r="D1256">
        <v>223</v>
      </c>
      <c r="E1256">
        <v>98</v>
      </c>
      <c r="F1256">
        <v>2</v>
      </c>
      <c r="G1256">
        <v>0.5</v>
      </c>
      <c r="H1256" t="s">
        <v>1210</v>
      </c>
    </row>
    <row r="1257" spans="1:8" x14ac:dyDescent="0.45">
      <c r="A1257" t="s">
        <v>1125</v>
      </c>
      <c r="B1257" t="s">
        <v>88</v>
      </c>
      <c r="C1257">
        <v>2458</v>
      </c>
      <c r="D1257">
        <v>179.9</v>
      </c>
      <c r="E1257">
        <v>90.5</v>
      </c>
      <c r="F1257">
        <v>3.4</v>
      </c>
      <c r="G1257">
        <v>1.2</v>
      </c>
      <c r="H1257" t="s">
        <v>1210</v>
      </c>
    </row>
    <row r="1258" spans="1:8" x14ac:dyDescent="0.45">
      <c r="A1258" t="s">
        <v>1126</v>
      </c>
      <c r="B1258" t="s">
        <v>110</v>
      </c>
      <c r="C1258">
        <v>4436</v>
      </c>
      <c r="D1258">
        <v>569.79999999999995</v>
      </c>
      <c r="E1258">
        <v>307.60000000000002</v>
      </c>
      <c r="F1258">
        <v>0.8</v>
      </c>
      <c r="G1258">
        <v>0.2</v>
      </c>
      <c r="H1258" t="s">
        <v>1210</v>
      </c>
    </row>
    <row r="1259" spans="1:8" x14ac:dyDescent="0.45">
      <c r="A1259" t="s">
        <v>1114</v>
      </c>
      <c r="B1259" t="s">
        <v>8</v>
      </c>
      <c r="C1259">
        <v>10245</v>
      </c>
      <c r="D1259">
        <v>624.20000000000005</v>
      </c>
      <c r="E1259">
        <v>111.3</v>
      </c>
      <c r="F1259">
        <v>5.5</v>
      </c>
      <c r="G1259">
        <v>1.3</v>
      </c>
      <c r="H1259" t="s">
        <v>1210</v>
      </c>
    </row>
    <row r="1260" spans="1:8" x14ac:dyDescent="0.45">
      <c r="A1260" t="s">
        <v>1121</v>
      </c>
      <c r="B1260" t="s">
        <v>19</v>
      </c>
      <c r="C1260">
        <v>831</v>
      </c>
      <c r="D1260">
        <v>202</v>
      </c>
      <c r="E1260">
        <v>54</v>
      </c>
      <c r="F1260">
        <v>1.8</v>
      </c>
      <c r="G1260">
        <v>0.4</v>
      </c>
      <c r="H1260" t="s">
        <v>1210</v>
      </c>
    </row>
    <row r="1261" spans="1:8" x14ac:dyDescent="0.45">
      <c r="A1261" t="s">
        <v>1115</v>
      </c>
      <c r="B1261" t="s">
        <v>88</v>
      </c>
      <c r="C1261">
        <v>5457</v>
      </c>
      <c r="D1261">
        <v>459.2</v>
      </c>
      <c r="E1261">
        <v>244.7</v>
      </c>
      <c r="F1261">
        <v>1.9</v>
      </c>
      <c r="G1261">
        <v>0.6</v>
      </c>
      <c r="H1261" t="s">
        <v>1210</v>
      </c>
    </row>
    <row r="1262" spans="1:8" x14ac:dyDescent="0.45">
      <c r="A1262" t="s">
        <v>1120</v>
      </c>
      <c r="B1262" t="s">
        <v>105</v>
      </c>
      <c r="C1262">
        <v>5854</v>
      </c>
      <c r="D1262">
        <v>378.3</v>
      </c>
      <c r="E1262">
        <v>47</v>
      </c>
      <c r="F1262">
        <v>2.2999999999999998</v>
      </c>
      <c r="G1262">
        <v>0.5</v>
      </c>
      <c r="H1262" t="s">
        <v>1210</v>
      </c>
    </row>
    <row r="1263" spans="1:8" x14ac:dyDescent="0.45">
      <c r="A1263" t="s">
        <v>1119</v>
      </c>
      <c r="B1263" t="s">
        <v>81</v>
      </c>
      <c r="C1263">
        <v>4208</v>
      </c>
      <c r="D1263">
        <v>316.2</v>
      </c>
      <c r="E1263">
        <v>51.1</v>
      </c>
      <c r="F1263">
        <v>3.3</v>
      </c>
      <c r="G1263">
        <v>1</v>
      </c>
      <c r="H1263" t="s">
        <v>1210</v>
      </c>
    </row>
    <row r="1264" spans="1:8" x14ac:dyDescent="0.45">
      <c r="A1264" t="s">
        <v>1117</v>
      </c>
      <c r="B1264" t="s">
        <v>41</v>
      </c>
      <c r="C1264">
        <v>671</v>
      </c>
      <c r="D1264">
        <v>249.6</v>
      </c>
      <c r="E1264">
        <v>64.400000000000006</v>
      </c>
      <c r="F1264">
        <v>1.9</v>
      </c>
      <c r="G1264">
        <v>0.5</v>
      </c>
      <c r="H1264" t="s">
        <v>1210</v>
      </c>
    </row>
    <row r="1265" spans="1:8" x14ac:dyDescent="0.45">
      <c r="A1265" t="s">
        <v>1117</v>
      </c>
      <c r="B1265" t="s">
        <v>27</v>
      </c>
      <c r="C1265">
        <v>2546</v>
      </c>
      <c r="D1265">
        <v>396.1</v>
      </c>
      <c r="E1265">
        <v>210.5</v>
      </c>
      <c r="F1265">
        <v>2.2999999999999998</v>
      </c>
      <c r="G1265">
        <v>0.5</v>
      </c>
      <c r="H1265" t="s">
        <v>1210</v>
      </c>
    </row>
    <row r="1266" spans="1:8" x14ac:dyDescent="0.45">
      <c r="A1266" t="s">
        <v>1127</v>
      </c>
      <c r="B1266" t="s">
        <v>101</v>
      </c>
      <c r="C1266">
        <v>6086</v>
      </c>
      <c r="D1266">
        <v>949.7</v>
      </c>
      <c r="E1266">
        <v>238.8</v>
      </c>
      <c r="F1266">
        <v>3.5</v>
      </c>
      <c r="G1266">
        <v>0.9</v>
      </c>
      <c r="H1266" t="s">
        <v>1210</v>
      </c>
    </row>
    <row r="1267" spans="1:8" x14ac:dyDescent="0.45">
      <c r="A1267" t="s">
        <v>1124</v>
      </c>
      <c r="B1267" t="s">
        <v>87</v>
      </c>
      <c r="C1267">
        <v>2714</v>
      </c>
      <c r="D1267">
        <v>276.8</v>
      </c>
      <c r="E1267">
        <v>35.299999999999997</v>
      </c>
      <c r="F1267">
        <v>0.7</v>
      </c>
      <c r="G1267">
        <v>0.3</v>
      </c>
      <c r="H1267" t="s">
        <v>1210</v>
      </c>
    </row>
    <row r="1268" spans="1:8" x14ac:dyDescent="0.45">
      <c r="A1268" t="s">
        <v>1120</v>
      </c>
      <c r="B1268" t="s">
        <v>22</v>
      </c>
      <c r="C1268">
        <v>2998</v>
      </c>
      <c r="D1268">
        <v>734.1</v>
      </c>
      <c r="E1268">
        <v>366.8</v>
      </c>
      <c r="F1268">
        <v>1.7</v>
      </c>
      <c r="G1268">
        <v>0.5</v>
      </c>
      <c r="H1268" t="s">
        <v>1210</v>
      </c>
    </row>
    <row r="1269" spans="1:8" x14ac:dyDescent="0.45">
      <c r="A1269" t="s">
        <v>1123</v>
      </c>
      <c r="B1269" t="s">
        <v>41</v>
      </c>
      <c r="C1269">
        <v>1109</v>
      </c>
      <c r="D1269">
        <v>335.4</v>
      </c>
      <c r="E1269">
        <v>86.5</v>
      </c>
      <c r="F1269">
        <v>1.2</v>
      </c>
      <c r="G1269">
        <v>0.3</v>
      </c>
      <c r="H1269" t="s">
        <v>1210</v>
      </c>
    </row>
    <row r="1270" spans="1:8" x14ac:dyDescent="0.45">
      <c r="A1270" t="s">
        <v>1126</v>
      </c>
      <c r="B1270" t="s">
        <v>43</v>
      </c>
      <c r="C1270">
        <v>3028</v>
      </c>
      <c r="D1270">
        <v>412.4</v>
      </c>
      <c r="E1270">
        <v>194.4</v>
      </c>
      <c r="F1270">
        <v>1</v>
      </c>
      <c r="G1270">
        <v>0.2</v>
      </c>
      <c r="H1270" t="s">
        <v>1210</v>
      </c>
    </row>
    <row r="1271" spans="1:8" x14ac:dyDescent="0.45">
      <c r="A1271" t="s">
        <v>1127</v>
      </c>
      <c r="B1271" t="s">
        <v>61</v>
      </c>
      <c r="C1271">
        <v>8223</v>
      </c>
      <c r="D1271">
        <v>501.8</v>
      </c>
      <c r="E1271">
        <v>70.599999999999994</v>
      </c>
      <c r="F1271">
        <v>3.3</v>
      </c>
      <c r="G1271">
        <v>0.9</v>
      </c>
      <c r="H1271" t="s">
        <v>1210</v>
      </c>
    </row>
    <row r="1272" spans="1:8" x14ac:dyDescent="0.45">
      <c r="A1272" t="s">
        <v>1119</v>
      </c>
      <c r="B1272" t="s">
        <v>74</v>
      </c>
      <c r="C1272">
        <v>6473</v>
      </c>
      <c r="D1272">
        <v>548.29999999999995</v>
      </c>
      <c r="E1272">
        <v>280.5</v>
      </c>
      <c r="F1272">
        <v>1.3</v>
      </c>
      <c r="G1272">
        <v>1</v>
      </c>
      <c r="H1272" t="s">
        <v>1210</v>
      </c>
    </row>
    <row r="1273" spans="1:8" x14ac:dyDescent="0.45">
      <c r="A1273" t="s">
        <v>1125</v>
      </c>
      <c r="B1273" t="s">
        <v>71</v>
      </c>
      <c r="C1273">
        <v>5326</v>
      </c>
      <c r="D1273">
        <v>448.6</v>
      </c>
      <c r="E1273">
        <v>38.6</v>
      </c>
      <c r="F1273">
        <v>7.3</v>
      </c>
      <c r="G1273">
        <v>1.2</v>
      </c>
      <c r="H1273" t="s">
        <v>1210</v>
      </c>
    </row>
    <row r="1274" spans="1:8" x14ac:dyDescent="0.45">
      <c r="A1274" t="s">
        <v>1126</v>
      </c>
      <c r="B1274" t="s">
        <v>27</v>
      </c>
      <c r="C1274">
        <v>2342</v>
      </c>
      <c r="D1274">
        <v>166.1</v>
      </c>
      <c r="E1274">
        <v>85.2</v>
      </c>
      <c r="F1274">
        <v>1.3</v>
      </c>
      <c r="G1274">
        <v>0.2</v>
      </c>
      <c r="H1274" t="s">
        <v>1210</v>
      </c>
    </row>
    <row r="1275" spans="1:8" x14ac:dyDescent="0.45">
      <c r="A1275" t="s">
        <v>1119</v>
      </c>
      <c r="B1275" t="s">
        <v>107</v>
      </c>
      <c r="C1275">
        <v>5608</v>
      </c>
      <c r="D1275">
        <v>553.4</v>
      </c>
      <c r="E1275">
        <v>319.39999999999998</v>
      </c>
      <c r="F1275">
        <v>1.5</v>
      </c>
      <c r="G1275">
        <v>1</v>
      </c>
      <c r="H1275" t="s">
        <v>1210</v>
      </c>
    </row>
    <row r="1276" spans="1:8" x14ac:dyDescent="0.45">
      <c r="A1276" t="s">
        <v>1118</v>
      </c>
      <c r="B1276" t="s">
        <v>69</v>
      </c>
      <c r="C1276">
        <v>2917</v>
      </c>
      <c r="D1276">
        <v>167</v>
      </c>
      <c r="E1276">
        <v>103.3</v>
      </c>
      <c r="F1276">
        <v>3.5</v>
      </c>
      <c r="G1276">
        <v>1.5</v>
      </c>
      <c r="H1276" t="s">
        <v>1210</v>
      </c>
    </row>
    <row r="1277" spans="1:8" x14ac:dyDescent="0.45">
      <c r="A1277" t="s">
        <v>1126</v>
      </c>
      <c r="B1277" t="s">
        <v>49</v>
      </c>
      <c r="C1277">
        <v>2244</v>
      </c>
      <c r="D1277">
        <v>300.10000000000002</v>
      </c>
      <c r="E1277">
        <v>54.6</v>
      </c>
      <c r="F1277">
        <v>1</v>
      </c>
      <c r="G1277">
        <v>0.2</v>
      </c>
      <c r="H1277" t="s">
        <v>1210</v>
      </c>
    </row>
    <row r="1278" spans="1:8" x14ac:dyDescent="0.45">
      <c r="A1278" t="s">
        <v>1118</v>
      </c>
      <c r="B1278" t="s">
        <v>78</v>
      </c>
      <c r="C1278">
        <v>6038</v>
      </c>
      <c r="D1278">
        <v>371.8</v>
      </c>
      <c r="E1278">
        <v>127.9</v>
      </c>
      <c r="F1278">
        <v>6.3</v>
      </c>
      <c r="G1278">
        <v>1.5</v>
      </c>
      <c r="H1278" t="s">
        <v>1210</v>
      </c>
    </row>
    <row r="1279" spans="1:8" x14ac:dyDescent="0.45">
      <c r="A1279" t="s">
        <v>1125</v>
      </c>
      <c r="B1279" t="s">
        <v>78</v>
      </c>
      <c r="C1279">
        <v>2171</v>
      </c>
      <c r="D1279">
        <v>369.9</v>
      </c>
      <c r="E1279">
        <v>99.6</v>
      </c>
      <c r="F1279">
        <v>3.5</v>
      </c>
      <c r="G1279">
        <v>1.2</v>
      </c>
      <c r="H1279" t="s">
        <v>1210</v>
      </c>
    </row>
    <row r="1280" spans="1:8" x14ac:dyDescent="0.45">
      <c r="A1280" t="s">
        <v>1122</v>
      </c>
      <c r="B1280" t="s">
        <v>43</v>
      </c>
      <c r="C1280">
        <v>2652</v>
      </c>
      <c r="D1280">
        <v>649.9</v>
      </c>
      <c r="E1280">
        <v>427.2</v>
      </c>
      <c r="F1280">
        <v>1</v>
      </c>
      <c r="G1280">
        <v>0.2</v>
      </c>
      <c r="H1280" t="s">
        <v>1210</v>
      </c>
    </row>
    <row r="1281" spans="1:8" x14ac:dyDescent="0.45">
      <c r="A1281" t="s">
        <v>1126</v>
      </c>
      <c r="B1281" t="s">
        <v>63</v>
      </c>
      <c r="C1281">
        <v>981</v>
      </c>
      <c r="D1281">
        <v>433</v>
      </c>
      <c r="E1281">
        <v>71</v>
      </c>
      <c r="F1281">
        <v>0.7</v>
      </c>
      <c r="G1281">
        <v>0.2</v>
      </c>
      <c r="H1281" t="s">
        <v>1210</v>
      </c>
    </row>
    <row r="1282" spans="1:8" x14ac:dyDescent="0.45">
      <c r="A1282" t="s">
        <v>1119</v>
      </c>
      <c r="B1282" t="s">
        <v>61</v>
      </c>
      <c r="C1282">
        <v>6535</v>
      </c>
      <c r="D1282">
        <v>526.20000000000005</v>
      </c>
      <c r="E1282">
        <v>64</v>
      </c>
      <c r="F1282">
        <v>1.9</v>
      </c>
      <c r="G1282">
        <v>1</v>
      </c>
      <c r="H1282" t="s">
        <v>1210</v>
      </c>
    </row>
    <row r="1283" spans="1:8" x14ac:dyDescent="0.45">
      <c r="A1283" t="s">
        <v>1128</v>
      </c>
      <c r="B1283" t="s">
        <v>27</v>
      </c>
      <c r="C1283">
        <v>6476</v>
      </c>
      <c r="D1283">
        <v>535</v>
      </c>
      <c r="E1283">
        <v>314</v>
      </c>
      <c r="F1283">
        <v>1.7</v>
      </c>
      <c r="G1283">
        <v>0.5</v>
      </c>
      <c r="H1283" t="s">
        <v>1210</v>
      </c>
    </row>
    <row r="1284" spans="1:8" x14ac:dyDescent="0.45">
      <c r="A1284" t="s">
        <v>1115</v>
      </c>
      <c r="B1284" t="s">
        <v>1137</v>
      </c>
      <c r="C1284">
        <v>1385</v>
      </c>
      <c r="D1284">
        <v>160.1</v>
      </c>
      <c r="E1284">
        <v>22.7</v>
      </c>
      <c r="F1284">
        <v>2.4</v>
      </c>
      <c r="G1284">
        <v>0.6</v>
      </c>
      <c r="H1284" t="s">
        <v>1210</v>
      </c>
    </row>
    <row r="1285" spans="1:8" x14ac:dyDescent="0.45">
      <c r="A1285" t="s">
        <v>1123</v>
      </c>
      <c r="B1285" t="s">
        <v>1134</v>
      </c>
      <c r="C1285">
        <v>7320</v>
      </c>
      <c r="D1285">
        <v>520.20000000000005</v>
      </c>
      <c r="E1285">
        <v>91.1</v>
      </c>
      <c r="F1285">
        <v>1.3</v>
      </c>
      <c r="G1285">
        <v>0.3</v>
      </c>
      <c r="H1285" t="s">
        <v>1210</v>
      </c>
    </row>
    <row r="1286" spans="1:8" x14ac:dyDescent="0.45">
      <c r="A1286" t="s">
        <v>1128</v>
      </c>
      <c r="B1286" t="s">
        <v>1136</v>
      </c>
      <c r="C1286">
        <v>3964</v>
      </c>
      <c r="D1286">
        <v>307.7</v>
      </c>
      <c r="E1286">
        <v>213.1</v>
      </c>
      <c r="F1286">
        <v>1.4</v>
      </c>
      <c r="G1286">
        <v>0.5</v>
      </c>
      <c r="H1286" t="s">
        <v>1210</v>
      </c>
    </row>
    <row r="1287" spans="1:8" x14ac:dyDescent="0.45">
      <c r="A1287" t="s">
        <v>1128</v>
      </c>
      <c r="B1287" t="s">
        <v>32</v>
      </c>
      <c r="C1287">
        <v>3560</v>
      </c>
      <c r="D1287">
        <v>222</v>
      </c>
      <c r="E1287">
        <v>81.8</v>
      </c>
      <c r="F1287">
        <v>1.6</v>
      </c>
      <c r="G1287">
        <v>0.5</v>
      </c>
      <c r="H1287" t="s">
        <v>1210</v>
      </c>
    </row>
    <row r="1288" spans="1:8" x14ac:dyDescent="0.45">
      <c r="A1288" t="s">
        <v>1125</v>
      </c>
      <c r="B1288" t="s">
        <v>5</v>
      </c>
      <c r="C1288">
        <v>776</v>
      </c>
      <c r="D1288">
        <v>284.3</v>
      </c>
      <c r="E1288">
        <v>27.8</v>
      </c>
      <c r="F1288">
        <v>3.5</v>
      </c>
      <c r="G1288">
        <v>1.2</v>
      </c>
      <c r="H1288" t="s">
        <v>1210</v>
      </c>
    </row>
    <row r="1289" spans="1:8" x14ac:dyDescent="0.45">
      <c r="A1289" t="s">
        <v>1122</v>
      </c>
      <c r="B1289" t="s">
        <v>70</v>
      </c>
      <c r="C1289">
        <v>5805</v>
      </c>
      <c r="D1289">
        <v>876.1</v>
      </c>
      <c r="E1289">
        <v>145.9</v>
      </c>
      <c r="F1289">
        <v>0.8</v>
      </c>
      <c r="G1289">
        <v>0.2</v>
      </c>
      <c r="H1289" t="s">
        <v>1210</v>
      </c>
    </row>
    <row r="1290" spans="1:8" x14ac:dyDescent="0.45">
      <c r="A1290" t="s">
        <v>1115</v>
      </c>
      <c r="B1290" t="s">
        <v>50</v>
      </c>
      <c r="C1290">
        <v>2076</v>
      </c>
      <c r="D1290">
        <v>216.2</v>
      </c>
      <c r="E1290">
        <v>95</v>
      </c>
      <c r="F1290">
        <v>2.7</v>
      </c>
      <c r="G1290">
        <v>0.6</v>
      </c>
      <c r="H1290" t="s">
        <v>1210</v>
      </c>
    </row>
    <row r="1291" spans="1:8" x14ac:dyDescent="0.45">
      <c r="A1291" t="s">
        <v>1128</v>
      </c>
      <c r="B1291" t="s">
        <v>66</v>
      </c>
      <c r="D1291">
        <v>477</v>
      </c>
      <c r="E1291">
        <v>60.1</v>
      </c>
      <c r="F1291">
        <v>2.9</v>
      </c>
      <c r="G1291">
        <v>0.5</v>
      </c>
    </row>
    <row r="1292" spans="1:8" x14ac:dyDescent="0.45">
      <c r="A1292" t="s">
        <v>1123</v>
      </c>
      <c r="B1292" t="s">
        <v>7</v>
      </c>
      <c r="C1292">
        <v>3976</v>
      </c>
      <c r="D1292">
        <v>264.5</v>
      </c>
      <c r="E1292">
        <v>24.9</v>
      </c>
      <c r="F1292">
        <v>0.9</v>
      </c>
      <c r="G1292">
        <v>0.3</v>
      </c>
      <c r="H1292" t="s">
        <v>1210</v>
      </c>
    </row>
    <row r="1293" spans="1:8" x14ac:dyDescent="0.45">
      <c r="A1293" t="s">
        <v>1122</v>
      </c>
      <c r="B1293" t="s">
        <v>35</v>
      </c>
      <c r="C1293">
        <v>6684</v>
      </c>
      <c r="D1293">
        <v>608.1</v>
      </c>
      <c r="E1293">
        <v>105</v>
      </c>
      <c r="F1293">
        <v>0.8</v>
      </c>
      <c r="G1293">
        <v>0.2</v>
      </c>
      <c r="H1293" t="s">
        <v>1210</v>
      </c>
    </row>
    <row r="1294" spans="1:8" x14ac:dyDescent="0.45">
      <c r="A1294" t="s">
        <v>1122</v>
      </c>
      <c r="B1294" t="s">
        <v>1136</v>
      </c>
      <c r="C1294">
        <v>4169</v>
      </c>
      <c r="D1294">
        <v>310.2</v>
      </c>
      <c r="E1294">
        <v>143.80000000000001</v>
      </c>
      <c r="F1294">
        <v>1.2</v>
      </c>
      <c r="G1294">
        <v>0.2</v>
      </c>
      <c r="H1294" t="s">
        <v>1210</v>
      </c>
    </row>
    <row r="1295" spans="1:8" x14ac:dyDescent="0.45">
      <c r="A1295" t="s">
        <v>1118</v>
      </c>
      <c r="B1295" t="s">
        <v>80</v>
      </c>
      <c r="C1295">
        <v>6208</v>
      </c>
      <c r="D1295">
        <v>398.8</v>
      </c>
      <c r="E1295">
        <v>49.6</v>
      </c>
      <c r="F1295">
        <v>4</v>
      </c>
      <c r="G1295">
        <v>1.5</v>
      </c>
      <c r="H1295" t="s">
        <v>1210</v>
      </c>
    </row>
    <row r="1296" spans="1:8" x14ac:dyDescent="0.45">
      <c r="A1296" t="s">
        <v>1117</v>
      </c>
      <c r="B1296" t="s">
        <v>52</v>
      </c>
      <c r="C1296">
        <v>926</v>
      </c>
      <c r="D1296">
        <v>272.7</v>
      </c>
      <c r="E1296">
        <v>98</v>
      </c>
      <c r="F1296">
        <v>2</v>
      </c>
      <c r="G1296">
        <v>0.5</v>
      </c>
      <c r="H1296" t="s">
        <v>1210</v>
      </c>
    </row>
    <row r="1297" spans="1:8" x14ac:dyDescent="0.45">
      <c r="A1297" t="s">
        <v>1125</v>
      </c>
      <c r="B1297" t="s">
        <v>1141</v>
      </c>
      <c r="C1297">
        <v>4917</v>
      </c>
      <c r="D1297">
        <v>475.4</v>
      </c>
      <c r="E1297">
        <v>66.5</v>
      </c>
      <c r="F1297">
        <v>3.2</v>
      </c>
      <c r="G1297">
        <v>1.2</v>
      </c>
      <c r="H1297" t="s">
        <v>1210</v>
      </c>
    </row>
    <row r="1298" spans="1:8" x14ac:dyDescent="0.45">
      <c r="A1298" t="s">
        <v>1121</v>
      </c>
      <c r="B1298" t="s">
        <v>85</v>
      </c>
      <c r="C1298">
        <v>5728</v>
      </c>
      <c r="D1298">
        <v>645.5</v>
      </c>
      <c r="E1298">
        <v>430.7</v>
      </c>
      <c r="F1298">
        <v>2.5</v>
      </c>
      <c r="G1298">
        <v>0.4</v>
      </c>
      <c r="H1298" t="s">
        <v>1210</v>
      </c>
    </row>
    <row r="1299" spans="1:8" x14ac:dyDescent="0.45">
      <c r="A1299" t="s">
        <v>1126</v>
      </c>
      <c r="B1299" t="s">
        <v>39</v>
      </c>
      <c r="C1299">
        <v>2266</v>
      </c>
      <c r="D1299">
        <v>362.6</v>
      </c>
      <c r="E1299">
        <v>69.400000000000006</v>
      </c>
      <c r="F1299">
        <v>0.8</v>
      </c>
      <c r="G1299">
        <v>0.2</v>
      </c>
      <c r="H1299" t="s">
        <v>1210</v>
      </c>
    </row>
    <row r="1300" spans="1:8" x14ac:dyDescent="0.45">
      <c r="A1300" t="s">
        <v>1128</v>
      </c>
      <c r="B1300" t="s">
        <v>103</v>
      </c>
      <c r="C1300">
        <v>3933</v>
      </c>
      <c r="D1300">
        <v>483.8</v>
      </c>
      <c r="E1300">
        <v>56.9</v>
      </c>
      <c r="F1300">
        <v>1.9</v>
      </c>
      <c r="G1300">
        <v>0.5</v>
      </c>
      <c r="H1300" t="s">
        <v>1210</v>
      </c>
    </row>
    <row r="1301" spans="1:8" x14ac:dyDescent="0.45">
      <c r="A1301" t="s">
        <v>1122</v>
      </c>
      <c r="B1301" t="s">
        <v>61</v>
      </c>
      <c r="C1301">
        <v>1831</v>
      </c>
      <c r="D1301">
        <v>505.8</v>
      </c>
      <c r="E1301">
        <v>60.6</v>
      </c>
      <c r="F1301">
        <v>1.3</v>
      </c>
      <c r="G1301">
        <v>0.2</v>
      </c>
      <c r="H1301" t="s">
        <v>1210</v>
      </c>
    </row>
    <row r="1302" spans="1:8" x14ac:dyDescent="0.45">
      <c r="A1302" t="s">
        <v>1122</v>
      </c>
      <c r="B1302" t="s">
        <v>69</v>
      </c>
      <c r="C1302">
        <v>4235</v>
      </c>
      <c r="D1302">
        <v>251.1</v>
      </c>
      <c r="E1302">
        <v>170.4</v>
      </c>
      <c r="F1302">
        <v>0.9</v>
      </c>
      <c r="G1302">
        <v>0.2</v>
      </c>
      <c r="H1302" t="s">
        <v>1210</v>
      </c>
    </row>
    <row r="1303" spans="1:8" x14ac:dyDescent="0.45">
      <c r="A1303" t="s">
        <v>1121</v>
      </c>
      <c r="B1303" t="s">
        <v>1137</v>
      </c>
      <c r="C1303">
        <v>6424</v>
      </c>
      <c r="D1303">
        <v>420.2</v>
      </c>
      <c r="E1303">
        <v>59.3</v>
      </c>
      <c r="F1303">
        <v>1.5</v>
      </c>
      <c r="G1303">
        <v>0.4</v>
      </c>
      <c r="H1303" t="s">
        <v>1210</v>
      </c>
    </row>
    <row r="1304" spans="1:8" x14ac:dyDescent="0.45">
      <c r="A1304" t="s">
        <v>1118</v>
      </c>
      <c r="B1304" t="s">
        <v>1131</v>
      </c>
      <c r="C1304">
        <v>1632</v>
      </c>
      <c r="D1304">
        <v>332.8</v>
      </c>
      <c r="E1304">
        <v>214.7</v>
      </c>
      <c r="F1304">
        <v>6.7</v>
      </c>
      <c r="G1304">
        <v>1.5</v>
      </c>
      <c r="H1304" t="s">
        <v>1210</v>
      </c>
    </row>
    <row r="1305" spans="1:8" x14ac:dyDescent="0.45">
      <c r="A1305" t="s">
        <v>1115</v>
      </c>
      <c r="B1305" t="s">
        <v>1134</v>
      </c>
      <c r="C1305">
        <v>3675</v>
      </c>
      <c r="D1305">
        <v>643</v>
      </c>
      <c r="E1305">
        <v>127</v>
      </c>
      <c r="F1305">
        <v>1.8</v>
      </c>
      <c r="G1305">
        <v>0.6</v>
      </c>
      <c r="H1305" t="s">
        <v>1210</v>
      </c>
    </row>
    <row r="1306" spans="1:8" x14ac:dyDescent="0.45">
      <c r="A1306" t="s">
        <v>1114</v>
      </c>
      <c r="B1306" t="s">
        <v>1138</v>
      </c>
      <c r="C1306">
        <v>1472</v>
      </c>
      <c r="D1306">
        <v>493.2</v>
      </c>
      <c r="E1306">
        <v>133.9</v>
      </c>
      <c r="F1306">
        <v>1.7</v>
      </c>
      <c r="G1306">
        <v>1.3</v>
      </c>
      <c r="H1306" t="s">
        <v>1210</v>
      </c>
    </row>
    <row r="1307" spans="1:8" x14ac:dyDescent="0.45">
      <c r="A1307" t="s">
        <v>1124</v>
      </c>
      <c r="B1307" t="s">
        <v>20</v>
      </c>
      <c r="C1307">
        <v>3361</v>
      </c>
      <c r="D1307">
        <v>333.2</v>
      </c>
      <c r="E1307">
        <v>60.1</v>
      </c>
      <c r="F1307">
        <v>1.1000000000000001</v>
      </c>
      <c r="G1307">
        <v>0.3</v>
      </c>
      <c r="H1307" t="s">
        <v>1210</v>
      </c>
    </row>
    <row r="1308" spans="1:8" x14ac:dyDescent="0.45">
      <c r="A1308" t="s">
        <v>1115</v>
      </c>
      <c r="B1308" t="s">
        <v>33</v>
      </c>
      <c r="C1308">
        <v>8963</v>
      </c>
      <c r="D1308">
        <v>602.29999999999995</v>
      </c>
      <c r="E1308">
        <v>116.8</v>
      </c>
      <c r="F1308">
        <v>0.5</v>
      </c>
      <c r="G1308">
        <v>0.6</v>
      </c>
      <c r="H1308" t="s">
        <v>1210</v>
      </c>
    </row>
    <row r="1309" spans="1:8" x14ac:dyDescent="0.45">
      <c r="A1309" t="s">
        <v>1119</v>
      </c>
      <c r="B1309" t="s">
        <v>32</v>
      </c>
      <c r="C1309">
        <v>5006</v>
      </c>
      <c r="D1309">
        <v>329</v>
      </c>
      <c r="E1309">
        <v>88.1</v>
      </c>
      <c r="F1309">
        <v>2.5</v>
      </c>
      <c r="G1309">
        <v>1</v>
      </c>
      <c r="H1309" t="s">
        <v>1210</v>
      </c>
    </row>
    <row r="1310" spans="1:8" x14ac:dyDescent="0.45">
      <c r="A1310" t="s">
        <v>1123</v>
      </c>
      <c r="B1310" t="s">
        <v>18</v>
      </c>
      <c r="C1310">
        <v>3959</v>
      </c>
      <c r="D1310">
        <v>224.8</v>
      </c>
      <c r="E1310">
        <v>34.6</v>
      </c>
      <c r="F1310">
        <v>1.4</v>
      </c>
      <c r="G1310">
        <v>0.3</v>
      </c>
      <c r="H1310" t="s">
        <v>1210</v>
      </c>
    </row>
    <row r="1311" spans="1:8" x14ac:dyDescent="0.45">
      <c r="A1311" t="s">
        <v>1128</v>
      </c>
      <c r="B1311" t="s">
        <v>31</v>
      </c>
      <c r="C1311">
        <v>6924</v>
      </c>
      <c r="D1311">
        <v>385.7</v>
      </c>
      <c r="E1311">
        <v>38.200000000000003</v>
      </c>
      <c r="F1311">
        <v>1</v>
      </c>
      <c r="G1311">
        <v>0.5</v>
      </c>
      <c r="H1311" t="s">
        <v>1210</v>
      </c>
    </row>
    <row r="1312" spans="1:8" x14ac:dyDescent="0.45">
      <c r="A1312" t="s">
        <v>1125</v>
      </c>
      <c r="B1312" t="s">
        <v>65</v>
      </c>
      <c r="C1312">
        <v>1783</v>
      </c>
      <c r="D1312">
        <v>141.1</v>
      </c>
      <c r="E1312">
        <v>53.7</v>
      </c>
      <c r="F1312">
        <v>4.9000000000000004</v>
      </c>
      <c r="G1312">
        <v>1.2</v>
      </c>
      <c r="H1312" t="s">
        <v>1210</v>
      </c>
    </row>
    <row r="1313" spans="1:8" x14ac:dyDescent="0.45">
      <c r="A1313" t="s">
        <v>1118</v>
      </c>
      <c r="B1313" t="s">
        <v>95</v>
      </c>
      <c r="C1313">
        <v>4227</v>
      </c>
      <c r="D1313">
        <v>246.6</v>
      </c>
      <c r="E1313">
        <v>35.200000000000003</v>
      </c>
      <c r="F1313">
        <v>9</v>
      </c>
      <c r="G1313">
        <v>1.5</v>
      </c>
      <c r="H1313" t="s">
        <v>1210</v>
      </c>
    </row>
    <row r="1314" spans="1:8" x14ac:dyDescent="0.45">
      <c r="A1314" t="s">
        <v>1127</v>
      </c>
      <c r="B1314" t="s">
        <v>89</v>
      </c>
      <c r="C1314">
        <v>10271</v>
      </c>
      <c r="D1314">
        <v>648.4</v>
      </c>
      <c r="E1314">
        <v>127.7</v>
      </c>
      <c r="F1314">
        <v>2.2999999999999998</v>
      </c>
      <c r="G1314">
        <v>0.9</v>
      </c>
      <c r="H1314" t="s">
        <v>1210</v>
      </c>
    </row>
    <row r="1315" spans="1:8" x14ac:dyDescent="0.45">
      <c r="A1315" t="s">
        <v>1121</v>
      </c>
      <c r="B1315" t="s">
        <v>109</v>
      </c>
      <c r="C1315">
        <v>3372</v>
      </c>
      <c r="D1315">
        <v>286.7</v>
      </c>
      <c r="E1315">
        <v>163.5</v>
      </c>
      <c r="F1315">
        <v>2.2999999999999998</v>
      </c>
      <c r="G1315">
        <v>0.4</v>
      </c>
      <c r="H1315" t="s">
        <v>1210</v>
      </c>
    </row>
    <row r="1316" spans="1:8" x14ac:dyDescent="0.45">
      <c r="A1316" t="s">
        <v>1115</v>
      </c>
      <c r="B1316" t="s">
        <v>95</v>
      </c>
      <c r="C1316">
        <v>3607</v>
      </c>
      <c r="D1316">
        <v>323.5</v>
      </c>
      <c r="E1316">
        <v>41.6</v>
      </c>
      <c r="F1316">
        <v>1.2</v>
      </c>
      <c r="G1316">
        <v>0.6</v>
      </c>
      <c r="H1316" t="s">
        <v>1210</v>
      </c>
    </row>
    <row r="1317" spans="1:8" x14ac:dyDescent="0.45">
      <c r="A1317" t="s">
        <v>1125</v>
      </c>
      <c r="B1317" t="s">
        <v>10</v>
      </c>
      <c r="C1317">
        <v>5220</v>
      </c>
      <c r="D1317">
        <v>447.9</v>
      </c>
      <c r="E1317">
        <v>69.900000000000006</v>
      </c>
      <c r="F1317">
        <v>3.6</v>
      </c>
      <c r="G1317">
        <v>1.2</v>
      </c>
      <c r="H1317" t="s">
        <v>1210</v>
      </c>
    </row>
    <row r="1318" spans="1:8" x14ac:dyDescent="0.45">
      <c r="A1318" t="s">
        <v>1126</v>
      </c>
      <c r="B1318" t="s">
        <v>12</v>
      </c>
      <c r="C1318">
        <v>3923</v>
      </c>
      <c r="D1318">
        <v>254.4</v>
      </c>
      <c r="E1318">
        <v>46.3</v>
      </c>
      <c r="F1318">
        <v>0.9</v>
      </c>
      <c r="G1318">
        <v>0.2</v>
      </c>
      <c r="H1318" t="s">
        <v>1210</v>
      </c>
    </row>
    <row r="1319" spans="1:8" x14ac:dyDescent="0.45">
      <c r="A1319" t="s">
        <v>1119</v>
      </c>
      <c r="B1319" t="s">
        <v>15</v>
      </c>
      <c r="C1319">
        <v>-50</v>
      </c>
      <c r="D1319">
        <v>682.9</v>
      </c>
      <c r="E1319">
        <v>126.2</v>
      </c>
      <c r="F1319">
        <v>4.5</v>
      </c>
      <c r="G1319">
        <v>1</v>
      </c>
      <c r="H1319" t="s">
        <v>1212</v>
      </c>
    </row>
    <row r="1320" spans="1:8" x14ac:dyDescent="0.45">
      <c r="A1320" t="s">
        <v>1116</v>
      </c>
      <c r="B1320" t="s">
        <v>74</v>
      </c>
      <c r="C1320">
        <v>1801</v>
      </c>
      <c r="D1320">
        <v>613.4</v>
      </c>
      <c r="E1320">
        <v>367.6</v>
      </c>
      <c r="F1320">
        <v>4.0999999999999996</v>
      </c>
      <c r="G1320">
        <v>1.6</v>
      </c>
      <c r="H1320" t="s">
        <v>1210</v>
      </c>
    </row>
    <row r="1321" spans="1:8" x14ac:dyDescent="0.45">
      <c r="A1321" t="s">
        <v>1117</v>
      </c>
      <c r="B1321" t="s">
        <v>101</v>
      </c>
      <c r="C1321">
        <v>7144</v>
      </c>
      <c r="D1321">
        <v>468.2</v>
      </c>
      <c r="E1321">
        <v>106.1</v>
      </c>
      <c r="F1321">
        <v>1.6</v>
      </c>
      <c r="G1321">
        <v>0.5</v>
      </c>
      <c r="H1321" t="s">
        <v>1210</v>
      </c>
    </row>
    <row r="1322" spans="1:8" x14ac:dyDescent="0.45">
      <c r="A1322" t="s">
        <v>1117</v>
      </c>
      <c r="B1322" t="s">
        <v>1129</v>
      </c>
      <c r="C1322">
        <v>14274</v>
      </c>
      <c r="D1322">
        <v>853.2</v>
      </c>
      <c r="E1322">
        <v>183.7</v>
      </c>
      <c r="F1322">
        <v>2.8</v>
      </c>
      <c r="G1322">
        <v>0.5</v>
      </c>
      <c r="H1322" t="s">
        <v>1210</v>
      </c>
    </row>
    <row r="1323" spans="1:8" x14ac:dyDescent="0.45">
      <c r="A1323" t="s">
        <v>1119</v>
      </c>
      <c r="B1323" t="s">
        <v>54</v>
      </c>
      <c r="C1323">
        <v>268</v>
      </c>
      <c r="D1323">
        <v>264.60000000000002</v>
      </c>
      <c r="E1323">
        <v>28</v>
      </c>
      <c r="F1323">
        <v>4.2</v>
      </c>
      <c r="G1323">
        <v>1</v>
      </c>
      <c r="H1323" t="s">
        <v>1210</v>
      </c>
    </row>
    <row r="1324" spans="1:8" x14ac:dyDescent="0.45">
      <c r="A1324" t="s">
        <v>1128</v>
      </c>
      <c r="B1324" t="s">
        <v>65</v>
      </c>
      <c r="C1324">
        <v>1664</v>
      </c>
      <c r="D1324">
        <v>145</v>
      </c>
      <c r="E1324">
        <v>56.1</v>
      </c>
      <c r="F1324">
        <v>0.5</v>
      </c>
      <c r="G1324">
        <v>0.5</v>
      </c>
      <c r="H1324" t="s">
        <v>1210</v>
      </c>
    </row>
    <row r="1325" spans="1:8" x14ac:dyDescent="0.45">
      <c r="A1325" t="s">
        <v>1121</v>
      </c>
      <c r="B1325" t="s">
        <v>56</v>
      </c>
      <c r="C1325">
        <v>224</v>
      </c>
      <c r="D1325">
        <v>278</v>
      </c>
      <c r="E1325">
        <v>44.1</v>
      </c>
      <c r="F1325">
        <v>2.2999999999999998</v>
      </c>
      <c r="G1325">
        <v>0.4</v>
      </c>
      <c r="H1325" t="s">
        <v>1210</v>
      </c>
    </row>
    <row r="1326" spans="1:8" x14ac:dyDescent="0.45">
      <c r="A1326" t="s">
        <v>1117</v>
      </c>
      <c r="B1326" t="s">
        <v>43</v>
      </c>
      <c r="C1326">
        <v>4641</v>
      </c>
      <c r="D1326">
        <v>623.9</v>
      </c>
      <c r="E1326">
        <v>323.2</v>
      </c>
      <c r="F1326">
        <v>2.6</v>
      </c>
      <c r="G1326">
        <v>0.5</v>
      </c>
      <c r="H1326" t="s">
        <v>1210</v>
      </c>
    </row>
    <row r="1327" spans="1:8" x14ac:dyDescent="0.45">
      <c r="A1327" t="s">
        <v>1115</v>
      </c>
      <c r="B1327" t="s">
        <v>37</v>
      </c>
      <c r="C1327">
        <v>4619</v>
      </c>
      <c r="D1327">
        <v>480.3</v>
      </c>
      <c r="E1327">
        <v>246.6</v>
      </c>
      <c r="F1327">
        <v>1.8</v>
      </c>
      <c r="G1327">
        <v>0.6</v>
      </c>
      <c r="H1327" t="s">
        <v>1210</v>
      </c>
    </row>
    <row r="1328" spans="1:8" x14ac:dyDescent="0.45">
      <c r="A1328" t="s">
        <v>1128</v>
      </c>
      <c r="B1328" t="s">
        <v>61</v>
      </c>
      <c r="C1328">
        <v>1281</v>
      </c>
      <c r="D1328">
        <v>543.29999999999995</v>
      </c>
      <c r="E1328">
        <v>102.9</v>
      </c>
      <c r="F1328">
        <v>1.8</v>
      </c>
      <c r="G1328">
        <v>0.5</v>
      </c>
      <c r="H1328" t="s">
        <v>1210</v>
      </c>
    </row>
    <row r="1329" spans="1:8" x14ac:dyDescent="0.45">
      <c r="A1329" t="s">
        <v>1127</v>
      </c>
      <c r="B1329" t="s">
        <v>102</v>
      </c>
      <c r="C1329">
        <v>4041</v>
      </c>
      <c r="D1329">
        <v>521.1</v>
      </c>
      <c r="E1329">
        <v>72.5</v>
      </c>
      <c r="F1329">
        <v>2.2000000000000002</v>
      </c>
      <c r="G1329">
        <v>0.9</v>
      </c>
      <c r="H1329" t="s">
        <v>1210</v>
      </c>
    </row>
    <row r="1330" spans="1:8" x14ac:dyDescent="0.45">
      <c r="A1330" t="s">
        <v>1116</v>
      </c>
      <c r="B1330" t="s">
        <v>1132</v>
      </c>
      <c r="C1330">
        <v>3681</v>
      </c>
      <c r="D1330">
        <v>379.7</v>
      </c>
      <c r="E1330">
        <v>41.1</v>
      </c>
      <c r="F1330">
        <v>4.7</v>
      </c>
      <c r="G1330">
        <v>1.6</v>
      </c>
      <c r="H1330" t="s">
        <v>1210</v>
      </c>
    </row>
    <row r="1331" spans="1:8" x14ac:dyDescent="0.45">
      <c r="A1331" t="s">
        <v>1120</v>
      </c>
      <c r="B1331" t="s">
        <v>61</v>
      </c>
      <c r="C1331">
        <v>2173</v>
      </c>
      <c r="D1331">
        <v>276.3</v>
      </c>
      <c r="E1331">
        <v>49.7</v>
      </c>
      <c r="F1331">
        <v>1.5</v>
      </c>
      <c r="G1331">
        <v>0.5</v>
      </c>
      <c r="H1331" t="s">
        <v>1210</v>
      </c>
    </row>
    <row r="1332" spans="1:8" x14ac:dyDescent="0.45">
      <c r="A1332" t="s">
        <v>1119</v>
      </c>
      <c r="B1332" t="s">
        <v>75</v>
      </c>
      <c r="C1332">
        <v>2346</v>
      </c>
      <c r="D1332">
        <v>183.7</v>
      </c>
      <c r="E1332">
        <v>24</v>
      </c>
      <c r="F1332">
        <v>2.1</v>
      </c>
      <c r="G1332">
        <v>1</v>
      </c>
      <c r="H1332" t="s">
        <v>1210</v>
      </c>
    </row>
    <row r="1333" spans="1:8" x14ac:dyDescent="0.45">
      <c r="A1333" t="s">
        <v>1119</v>
      </c>
      <c r="B1333" t="s">
        <v>96</v>
      </c>
      <c r="C1333">
        <v>3089</v>
      </c>
      <c r="D1333">
        <v>852.9</v>
      </c>
      <c r="E1333">
        <v>159.1</v>
      </c>
      <c r="F1333">
        <v>2.8</v>
      </c>
      <c r="G1333">
        <v>1</v>
      </c>
      <c r="H1333" t="s">
        <v>1210</v>
      </c>
    </row>
    <row r="1334" spans="1:8" x14ac:dyDescent="0.45">
      <c r="A1334" t="s">
        <v>1116</v>
      </c>
      <c r="B1334" t="s">
        <v>92</v>
      </c>
      <c r="C1334">
        <v>2127</v>
      </c>
      <c r="D1334">
        <v>290.10000000000002</v>
      </c>
      <c r="E1334">
        <v>127.6</v>
      </c>
      <c r="F1334">
        <v>5</v>
      </c>
      <c r="G1334">
        <v>1.6</v>
      </c>
      <c r="H1334" t="s">
        <v>1210</v>
      </c>
    </row>
    <row r="1335" spans="1:8" x14ac:dyDescent="0.45">
      <c r="A1335" t="s">
        <v>1127</v>
      </c>
      <c r="B1335" t="s">
        <v>45</v>
      </c>
      <c r="C1335">
        <v>4792</v>
      </c>
      <c r="D1335">
        <v>493.4</v>
      </c>
      <c r="E1335">
        <v>63.4</v>
      </c>
      <c r="F1335">
        <v>2.2999999999999998</v>
      </c>
      <c r="G1335">
        <v>0.9</v>
      </c>
      <c r="H1335" t="s">
        <v>1210</v>
      </c>
    </row>
    <row r="1336" spans="1:8" x14ac:dyDescent="0.45">
      <c r="A1336" t="s">
        <v>1117</v>
      </c>
      <c r="B1336" t="s">
        <v>1135</v>
      </c>
      <c r="C1336">
        <v>2450</v>
      </c>
      <c r="D1336">
        <v>478</v>
      </c>
      <c r="E1336">
        <v>56.1</v>
      </c>
      <c r="F1336">
        <v>1.6</v>
      </c>
      <c r="G1336">
        <v>0.5</v>
      </c>
      <c r="H1336" t="s">
        <v>1210</v>
      </c>
    </row>
    <row r="1337" spans="1:8" x14ac:dyDescent="0.45">
      <c r="A1337" t="s">
        <v>1116</v>
      </c>
      <c r="B1337" t="s">
        <v>61</v>
      </c>
      <c r="C1337">
        <v>2177</v>
      </c>
      <c r="D1337">
        <v>212.3</v>
      </c>
      <c r="E1337">
        <v>23.4</v>
      </c>
      <c r="F1337">
        <v>2.6</v>
      </c>
      <c r="G1337">
        <v>1.6</v>
      </c>
      <c r="H1337" t="s">
        <v>1210</v>
      </c>
    </row>
    <row r="1338" spans="1:8" x14ac:dyDescent="0.45">
      <c r="A1338" t="s">
        <v>1119</v>
      </c>
      <c r="B1338" t="s">
        <v>110</v>
      </c>
      <c r="C1338">
        <v>2472</v>
      </c>
      <c r="D1338">
        <v>493.6</v>
      </c>
      <c r="E1338">
        <v>288.7</v>
      </c>
      <c r="F1338">
        <v>2.6</v>
      </c>
      <c r="G1338">
        <v>1</v>
      </c>
      <c r="H1338" t="s">
        <v>1210</v>
      </c>
    </row>
    <row r="1339" spans="1:8" x14ac:dyDescent="0.45">
      <c r="A1339" t="s">
        <v>1120</v>
      </c>
      <c r="B1339" t="s">
        <v>102</v>
      </c>
      <c r="C1339">
        <v>1790</v>
      </c>
      <c r="D1339">
        <v>284.3</v>
      </c>
      <c r="E1339">
        <v>42</v>
      </c>
      <c r="F1339">
        <v>2.5</v>
      </c>
      <c r="G1339">
        <v>0.5</v>
      </c>
      <c r="H1339" t="s">
        <v>1210</v>
      </c>
    </row>
    <row r="1340" spans="1:8" x14ac:dyDescent="0.45">
      <c r="A1340" t="s">
        <v>1118</v>
      </c>
      <c r="B1340" t="s">
        <v>71</v>
      </c>
      <c r="C1340">
        <v>2876</v>
      </c>
      <c r="D1340">
        <v>361.9</v>
      </c>
      <c r="E1340">
        <v>48.2</v>
      </c>
      <c r="F1340">
        <v>2.7</v>
      </c>
      <c r="G1340">
        <v>1.5</v>
      </c>
      <c r="H1340" t="s">
        <v>1210</v>
      </c>
    </row>
    <row r="1341" spans="1:8" x14ac:dyDescent="0.45">
      <c r="A1341" t="s">
        <v>1120</v>
      </c>
      <c r="B1341" t="s">
        <v>72</v>
      </c>
      <c r="C1341">
        <v>9361</v>
      </c>
      <c r="D1341">
        <v>676</v>
      </c>
      <c r="E1341">
        <v>129.80000000000001</v>
      </c>
      <c r="F1341">
        <v>2</v>
      </c>
      <c r="G1341">
        <v>0.5</v>
      </c>
      <c r="H1341" t="s">
        <v>1210</v>
      </c>
    </row>
    <row r="1342" spans="1:8" x14ac:dyDescent="0.45">
      <c r="A1342" t="s">
        <v>1125</v>
      </c>
      <c r="B1342" t="s">
        <v>52</v>
      </c>
      <c r="C1342">
        <v>3112</v>
      </c>
      <c r="D1342">
        <v>283.8</v>
      </c>
      <c r="E1342">
        <v>109</v>
      </c>
      <c r="F1342">
        <v>4.8</v>
      </c>
      <c r="G1342">
        <v>1.2</v>
      </c>
      <c r="H1342" t="s">
        <v>1210</v>
      </c>
    </row>
    <row r="1343" spans="1:8" x14ac:dyDescent="0.45">
      <c r="A1343" t="s">
        <v>1116</v>
      </c>
      <c r="B1343" t="s">
        <v>76</v>
      </c>
      <c r="C1343">
        <v>4176</v>
      </c>
      <c r="E1343">
        <v>71.7</v>
      </c>
      <c r="F1343">
        <v>4.3</v>
      </c>
      <c r="G1343">
        <v>1.6</v>
      </c>
      <c r="H1343" t="s">
        <v>1210</v>
      </c>
    </row>
    <row r="1344" spans="1:8" x14ac:dyDescent="0.45">
      <c r="A1344" t="s">
        <v>1124</v>
      </c>
      <c r="B1344" t="s">
        <v>5</v>
      </c>
      <c r="C1344">
        <v>4425</v>
      </c>
      <c r="D1344">
        <v>275.39999999999998</v>
      </c>
      <c r="E1344">
        <v>22.8</v>
      </c>
      <c r="F1344">
        <v>0.6</v>
      </c>
      <c r="G1344">
        <v>0.3</v>
      </c>
      <c r="H1344" t="s">
        <v>1210</v>
      </c>
    </row>
    <row r="1345" spans="1:8" x14ac:dyDescent="0.45">
      <c r="A1345" t="s">
        <v>1115</v>
      </c>
      <c r="B1345" t="s">
        <v>91</v>
      </c>
      <c r="C1345">
        <v>2682</v>
      </c>
      <c r="D1345">
        <v>667.1</v>
      </c>
      <c r="E1345">
        <v>400.7</v>
      </c>
      <c r="F1345">
        <v>1.2</v>
      </c>
      <c r="G1345">
        <v>0.6</v>
      </c>
      <c r="H1345" t="s">
        <v>1210</v>
      </c>
    </row>
    <row r="1346" spans="1:8" x14ac:dyDescent="0.45">
      <c r="A1346" t="s">
        <v>1119</v>
      </c>
      <c r="B1346" t="s">
        <v>67</v>
      </c>
      <c r="C1346">
        <v>880</v>
      </c>
      <c r="D1346">
        <v>202.8</v>
      </c>
      <c r="E1346">
        <v>66.900000000000006</v>
      </c>
      <c r="F1346">
        <v>2.7</v>
      </c>
      <c r="G1346">
        <v>1</v>
      </c>
      <c r="H1346" t="s">
        <v>1210</v>
      </c>
    </row>
    <row r="1347" spans="1:8" x14ac:dyDescent="0.45">
      <c r="A1347" t="s">
        <v>1117</v>
      </c>
      <c r="B1347" t="s">
        <v>74</v>
      </c>
      <c r="C1347">
        <v>2437</v>
      </c>
      <c r="D1347">
        <v>200.4</v>
      </c>
      <c r="E1347">
        <v>90.1</v>
      </c>
      <c r="F1347">
        <v>2.2000000000000002</v>
      </c>
      <c r="G1347">
        <v>0.5</v>
      </c>
      <c r="H1347" t="s">
        <v>1210</v>
      </c>
    </row>
    <row r="1348" spans="1:8" x14ac:dyDescent="0.45">
      <c r="A1348" t="s">
        <v>1124</v>
      </c>
      <c r="B1348" t="s">
        <v>55</v>
      </c>
      <c r="C1348">
        <v>2685</v>
      </c>
      <c r="D1348">
        <v>567.5</v>
      </c>
      <c r="E1348">
        <v>135.9</v>
      </c>
      <c r="F1348">
        <v>1.4</v>
      </c>
      <c r="G1348">
        <v>0.3</v>
      </c>
      <c r="H1348" t="s">
        <v>1210</v>
      </c>
    </row>
    <row r="1349" spans="1:8" x14ac:dyDescent="0.45">
      <c r="A1349" t="s">
        <v>1126</v>
      </c>
      <c r="B1349" t="s">
        <v>19</v>
      </c>
      <c r="C1349">
        <v>8548</v>
      </c>
      <c r="D1349">
        <v>489.8</v>
      </c>
      <c r="E1349">
        <v>150.4</v>
      </c>
      <c r="F1349">
        <v>0.8</v>
      </c>
      <c r="G1349">
        <v>0.2</v>
      </c>
      <c r="H1349" t="s">
        <v>1210</v>
      </c>
    </row>
    <row r="1350" spans="1:8" x14ac:dyDescent="0.45">
      <c r="A1350" t="s">
        <v>1114</v>
      </c>
      <c r="B1350" t="s">
        <v>1135</v>
      </c>
      <c r="C1350">
        <v>1226</v>
      </c>
      <c r="D1350">
        <v>261</v>
      </c>
      <c r="E1350">
        <v>21</v>
      </c>
      <c r="F1350">
        <v>3.5</v>
      </c>
      <c r="G1350">
        <v>1.3</v>
      </c>
      <c r="H1350" t="s">
        <v>1210</v>
      </c>
    </row>
    <row r="1351" spans="1:8" x14ac:dyDescent="0.45">
      <c r="A1351" t="s">
        <v>1125</v>
      </c>
      <c r="B1351" t="s">
        <v>99</v>
      </c>
      <c r="C1351">
        <v>7120</v>
      </c>
      <c r="D1351">
        <v>430.3</v>
      </c>
      <c r="E1351">
        <v>128.1</v>
      </c>
      <c r="F1351">
        <v>3.9</v>
      </c>
      <c r="G1351">
        <v>1.2</v>
      </c>
      <c r="H1351" t="s">
        <v>1210</v>
      </c>
    </row>
    <row r="1352" spans="1:8" x14ac:dyDescent="0.45">
      <c r="A1352" t="s">
        <v>1126</v>
      </c>
      <c r="B1352" t="s">
        <v>83</v>
      </c>
      <c r="C1352">
        <v>4904</v>
      </c>
      <c r="D1352">
        <v>783.7</v>
      </c>
      <c r="E1352">
        <v>191.5</v>
      </c>
      <c r="F1352">
        <v>0.7</v>
      </c>
      <c r="G1352">
        <v>0.2</v>
      </c>
      <c r="H1352" t="s">
        <v>1210</v>
      </c>
    </row>
    <row r="1353" spans="1:8" x14ac:dyDescent="0.45">
      <c r="A1353" t="s">
        <v>1127</v>
      </c>
      <c r="B1353" t="s">
        <v>80</v>
      </c>
      <c r="C1353">
        <v>2805</v>
      </c>
      <c r="D1353">
        <v>277.89999999999998</v>
      </c>
      <c r="E1353">
        <v>41.2</v>
      </c>
      <c r="F1353">
        <v>2</v>
      </c>
      <c r="G1353">
        <v>0.9</v>
      </c>
      <c r="H1353" t="s">
        <v>1210</v>
      </c>
    </row>
    <row r="1354" spans="1:8" x14ac:dyDescent="0.45">
      <c r="A1354" t="s">
        <v>1124</v>
      </c>
      <c r="B1354" t="s">
        <v>62</v>
      </c>
      <c r="C1354">
        <v>3273</v>
      </c>
      <c r="D1354">
        <v>255.5</v>
      </c>
      <c r="E1354">
        <v>22.3</v>
      </c>
      <c r="F1354">
        <v>0.7</v>
      </c>
      <c r="G1354">
        <v>0.3</v>
      </c>
      <c r="H1354" t="s">
        <v>1210</v>
      </c>
    </row>
    <row r="1355" spans="1:8" x14ac:dyDescent="0.45">
      <c r="A1355" t="s">
        <v>1116</v>
      </c>
      <c r="B1355" t="s">
        <v>5</v>
      </c>
      <c r="C1355">
        <v>2825</v>
      </c>
      <c r="D1355">
        <v>269.7</v>
      </c>
      <c r="E1355">
        <v>35.4</v>
      </c>
      <c r="F1355">
        <v>3.9</v>
      </c>
      <c r="G1355">
        <v>1.6</v>
      </c>
      <c r="H1355" t="s">
        <v>1210</v>
      </c>
    </row>
    <row r="1356" spans="1:8" x14ac:dyDescent="0.45">
      <c r="A1356" t="s">
        <v>1126</v>
      </c>
      <c r="B1356" t="s">
        <v>60</v>
      </c>
      <c r="C1356">
        <v>5317</v>
      </c>
      <c r="D1356">
        <v>501.8</v>
      </c>
      <c r="E1356">
        <v>137.1</v>
      </c>
      <c r="F1356">
        <v>1.3</v>
      </c>
      <c r="G1356">
        <v>0.2</v>
      </c>
      <c r="H1356" t="s">
        <v>1210</v>
      </c>
    </row>
    <row r="1357" spans="1:8" x14ac:dyDescent="0.45">
      <c r="A1357" t="s">
        <v>1126</v>
      </c>
      <c r="B1357" t="s">
        <v>1141</v>
      </c>
      <c r="C1357">
        <v>2164</v>
      </c>
      <c r="E1357">
        <v>42.9</v>
      </c>
      <c r="F1357">
        <v>0.8</v>
      </c>
      <c r="G1357">
        <v>0.2</v>
      </c>
      <c r="H1357" t="s">
        <v>1210</v>
      </c>
    </row>
    <row r="1358" spans="1:8" x14ac:dyDescent="0.45">
      <c r="A1358" t="s">
        <v>1122</v>
      </c>
      <c r="B1358" t="s">
        <v>13</v>
      </c>
      <c r="C1358">
        <v>6256</v>
      </c>
      <c r="D1358">
        <v>390.5</v>
      </c>
      <c r="E1358">
        <v>125.3</v>
      </c>
      <c r="F1358">
        <v>1.1000000000000001</v>
      </c>
      <c r="G1358">
        <v>0.2</v>
      </c>
      <c r="H1358" t="s">
        <v>1210</v>
      </c>
    </row>
    <row r="1359" spans="1:8" x14ac:dyDescent="0.45">
      <c r="A1359" t="s">
        <v>1128</v>
      </c>
      <c r="B1359" t="s">
        <v>44</v>
      </c>
      <c r="C1359">
        <v>3157</v>
      </c>
      <c r="D1359">
        <v>675.8</v>
      </c>
      <c r="E1359">
        <v>197.1</v>
      </c>
      <c r="F1359">
        <v>3.2</v>
      </c>
      <c r="G1359">
        <v>0.5</v>
      </c>
      <c r="H1359" t="s">
        <v>1210</v>
      </c>
    </row>
    <row r="1360" spans="1:8" x14ac:dyDescent="0.45">
      <c r="A1360" t="s">
        <v>1122</v>
      </c>
      <c r="B1360" t="s">
        <v>1132</v>
      </c>
      <c r="C1360">
        <v>1453</v>
      </c>
      <c r="D1360">
        <v>290.39999999999998</v>
      </c>
      <c r="E1360">
        <v>39.799999999999997</v>
      </c>
      <c r="F1360">
        <v>1.1000000000000001</v>
      </c>
      <c r="G1360">
        <v>0.2</v>
      </c>
      <c r="H1360" t="s">
        <v>1210</v>
      </c>
    </row>
    <row r="1361" spans="1:8" x14ac:dyDescent="0.45">
      <c r="A1361" t="s">
        <v>1125</v>
      </c>
      <c r="B1361" t="s">
        <v>64</v>
      </c>
      <c r="C1361">
        <v>6432</v>
      </c>
      <c r="D1361">
        <v>506.3</v>
      </c>
      <c r="E1361">
        <v>140.5</v>
      </c>
      <c r="F1361">
        <v>3</v>
      </c>
      <c r="G1361">
        <v>1.2</v>
      </c>
      <c r="H1361" t="s">
        <v>1210</v>
      </c>
    </row>
    <row r="1362" spans="1:8" x14ac:dyDescent="0.45">
      <c r="A1362" t="s">
        <v>1126</v>
      </c>
      <c r="B1362" t="s">
        <v>99</v>
      </c>
      <c r="C1362">
        <v>7598</v>
      </c>
      <c r="D1362">
        <v>502.7</v>
      </c>
      <c r="E1362">
        <v>76.7</v>
      </c>
      <c r="F1362">
        <v>1</v>
      </c>
      <c r="G1362">
        <v>0.2</v>
      </c>
      <c r="H1362" t="s">
        <v>1210</v>
      </c>
    </row>
    <row r="1363" spans="1:8" x14ac:dyDescent="0.45">
      <c r="A1363" t="s">
        <v>1118</v>
      </c>
      <c r="B1363" t="s">
        <v>39</v>
      </c>
      <c r="C1363">
        <v>2547</v>
      </c>
      <c r="D1363">
        <v>594.4</v>
      </c>
      <c r="E1363">
        <v>103.5</v>
      </c>
      <c r="F1363">
        <v>6.3</v>
      </c>
      <c r="G1363">
        <v>1.5</v>
      </c>
      <c r="H1363" t="s">
        <v>1210</v>
      </c>
    </row>
    <row r="1364" spans="1:8" x14ac:dyDescent="0.45">
      <c r="A1364" t="s">
        <v>1116</v>
      </c>
      <c r="B1364" t="s">
        <v>37</v>
      </c>
      <c r="C1364">
        <v>8949</v>
      </c>
      <c r="D1364">
        <v>609.5</v>
      </c>
      <c r="E1364">
        <v>261.5</v>
      </c>
      <c r="F1364">
        <v>7.9</v>
      </c>
      <c r="G1364">
        <v>1.6</v>
      </c>
      <c r="H1364" t="s">
        <v>1210</v>
      </c>
    </row>
    <row r="1365" spans="1:8" x14ac:dyDescent="0.45">
      <c r="A1365" t="s">
        <v>1115</v>
      </c>
      <c r="B1365" t="s">
        <v>78</v>
      </c>
      <c r="C1365">
        <v>7448</v>
      </c>
      <c r="E1365">
        <v>172.2</v>
      </c>
      <c r="F1365">
        <v>1.5</v>
      </c>
      <c r="G1365">
        <v>0.6</v>
      </c>
      <c r="H1365" t="s">
        <v>1210</v>
      </c>
    </row>
    <row r="1366" spans="1:8" x14ac:dyDescent="0.45">
      <c r="A1366" t="s">
        <v>1115</v>
      </c>
      <c r="B1366" t="s">
        <v>87</v>
      </c>
      <c r="C1366">
        <v>1614</v>
      </c>
      <c r="D1366">
        <v>506.8</v>
      </c>
      <c r="E1366">
        <v>85.1</v>
      </c>
      <c r="F1366">
        <v>1.4</v>
      </c>
      <c r="G1366">
        <v>0.6</v>
      </c>
      <c r="H1366" t="s">
        <v>1210</v>
      </c>
    </row>
    <row r="1367" spans="1:8" x14ac:dyDescent="0.45">
      <c r="A1367" t="s">
        <v>1116</v>
      </c>
      <c r="B1367" t="s">
        <v>42</v>
      </c>
      <c r="C1367">
        <v>2563</v>
      </c>
      <c r="D1367">
        <v>296.8</v>
      </c>
      <c r="E1367">
        <v>100.1</v>
      </c>
      <c r="F1367">
        <v>4.5</v>
      </c>
      <c r="G1367">
        <v>1.6</v>
      </c>
      <c r="H1367" t="s">
        <v>1210</v>
      </c>
    </row>
    <row r="1368" spans="1:8" x14ac:dyDescent="0.45">
      <c r="A1368" t="s">
        <v>1116</v>
      </c>
      <c r="B1368" t="s">
        <v>1134</v>
      </c>
      <c r="C1368">
        <v>1833</v>
      </c>
      <c r="D1368">
        <v>520.79999999999995</v>
      </c>
      <c r="E1368">
        <v>81.3</v>
      </c>
      <c r="F1368">
        <v>7.7</v>
      </c>
      <c r="G1368">
        <v>1.6</v>
      </c>
      <c r="H1368" t="s">
        <v>1210</v>
      </c>
    </row>
    <row r="1369" spans="1:8" x14ac:dyDescent="0.45">
      <c r="A1369" t="s">
        <v>1121</v>
      </c>
      <c r="B1369" t="s">
        <v>1135</v>
      </c>
      <c r="C1369">
        <v>5249</v>
      </c>
      <c r="D1369">
        <v>340.3</v>
      </c>
      <c r="E1369">
        <v>36.299999999999997</v>
      </c>
      <c r="F1369">
        <v>1.9</v>
      </c>
      <c r="G1369">
        <v>0.4</v>
      </c>
      <c r="H1369" t="s">
        <v>1210</v>
      </c>
    </row>
    <row r="1370" spans="1:8" x14ac:dyDescent="0.45">
      <c r="A1370" t="s">
        <v>1119</v>
      </c>
      <c r="B1370" t="s">
        <v>27</v>
      </c>
      <c r="C1370">
        <v>1138</v>
      </c>
      <c r="D1370">
        <v>191.5</v>
      </c>
      <c r="E1370">
        <v>77.099999999999994</v>
      </c>
      <c r="F1370">
        <v>3.9</v>
      </c>
      <c r="G1370">
        <v>1</v>
      </c>
      <c r="H1370" t="s">
        <v>1210</v>
      </c>
    </row>
    <row r="1371" spans="1:8" x14ac:dyDescent="0.45">
      <c r="A1371" t="s">
        <v>1121</v>
      </c>
      <c r="B1371" t="s">
        <v>10</v>
      </c>
      <c r="C1371">
        <v>5685</v>
      </c>
      <c r="D1371">
        <v>477.4</v>
      </c>
      <c r="E1371">
        <v>70.099999999999994</v>
      </c>
      <c r="F1371">
        <v>2.4</v>
      </c>
      <c r="G1371">
        <v>0.4</v>
      </c>
      <c r="H1371" t="s">
        <v>1210</v>
      </c>
    </row>
    <row r="1372" spans="1:8" x14ac:dyDescent="0.45">
      <c r="A1372" t="s">
        <v>1118</v>
      </c>
      <c r="B1372" t="s">
        <v>45</v>
      </c>
      <c r="C1372">
        <v>6372</v>
      </c>
      <c r="D1372">
        <v>400.3</v>
      </c>
      <c r="E1372">
        <v>49.1</v>
      </c>
      <c r="F1372">
        <v>5.4</v>
      </c>
      <c r="G1372">
        <v>1.5</v>
      </c>
      <c r="H1372" t="s">
        <v>1210</v>
      </c>
    </row>
    <row r="1373" spans="1:8" x14ac:dyDescent="0.45">
      <c r="A1373" t="s">
        <v>1126</v>
      </c>
      <c r="B1373" t="s">
        <v>92</v>
      </c>
      <c r="C1373">
        <v>7531</v>
      </c>
      <c r="D1373">
        <v>422.9</v>
      </c>
      <c r="E1373">
        <v>157.69999999999999</v>
      </c>
      <c r="F1373">
        <v>0.8</v>
      </c>
      <c r="G1373">
        <v>0.2</v>
      </c>
      <c r="H1373" t="s">
        <v>1210</v>
      </c>
    </row>
    <row r="1374" spans="1:8" x14ac:dyDescent="0.45">
      <c r="A1374" t="s">
        <v>1124</v>
      </c>
      <c r="B1374" t="s">
        <v>68</v>
      </c>
      <c r="D1374">
        <v>218</v>
      </c>
      <c r="E1374">
        <v>23.3</v>
      </c>
      <c r="F1374">
        <v>0.8</v>
      </c>
      <c r="G1374">
        <v>0.3</v>
      </c>
    </row>
    <row r="1375" spans="1:8" x14ac:dyDescent="0.45">
      <c r="A1375" t="s">
        <v>1117</v>
      </c>
      <c r="B1375" t="s">
        <v>1136</v>
      </c>
      <c r="C1375">
        <v>4805</v>
      </c>
      <c r="D1375">
        <v>413.9</v>
      </c>
      <c r="E1375">
        <v>203.2</v>
      </c>
      <c r="F1375">
        <v>3.2</v>
      </c>
      <c r="G1375">
        <v>0.5</v>
      </c>
      <c r="H1375" t="s">
        <v>1210</v>
      </c>
    </row>
    <row r="1376" spans="1:8" x14ac:dyDescent="0.45">
      <c r="A1376" t="s">
        <v>1118</v>
      </c>
      <c r="B1376" t="s">
        <v>27</v>
      </c>
      <c r="C1376">
        <v>4289</v>
      </c>
      <c r="D1376">
        <v>422.9</v>
      </c>
      <c r="E1376">
        <v>234.4</v>
      </c>
      <c r="F1376">
        <v>6.2</v>
      </c>
      <c r="G1376">
        <v>1.5</v>
      </c>
      <c r="H1376" t="s">
        <v>1210</v>
      </c>
    </row>
    <row r="1377" spans="1:8" x14ac:dyDescent="0.45">
      <c r="A1377" t="s">
        <v>1128</v>
      </c>
      <c r="B1377" t="s">
        <v>89</v>
      </c>
      <c r="C1377">
        <v>1182</v>
      </c>
      <c r="D1377">
        <v>322.60000000000002</v>
      </c>
      <c r="E1377">
        <v>32.9</v>
      </c>
      <c r="F1377">
        <v>2</v>
      </c>
      <c r="G1377">
        <v>0.5</v>
      </c>
      <c r="H1377" t="s">
        <v>1210</v>
      </c>
    </row>
    <row r="1378" spans="1:8" x14ac:dyDescent="0.45">
      <c r="A1378" t="s">
        <v>1114</v>
      </c>
      <c r="B1378" t="s">
        <v>105</v>
      </c>
      <c r="C1378">
        <v>4121</v>
      </c>
      <c r="D1378">
        <v>380.3</v>
      </c>
      <c r="E1378">
        <v>50.2</v>
      </c>
      <c r="F1378">
        <v>4.4000000000000004</v>
      </c>
      <c r="G1378">
        <v>1.3</v>
      </c>
      <c r="H1378" t="s">
        <v>1210</v>
      </c>
    </row>
    <row r="1379" spans="1:8" x14ac:dyDescent="0.45">
      <c r="A1379" t="s">
        <v>1120</v>
      </c>
      <c r="B1379" t="s">
        <v>10</v>
      </c>
      <c r="C1379">
        <v>356</v>
      </c>
      <c r="D1379">
        <v>411.3</v>
      </c>
      <c r="E1379">
        <v>64.2</v>
      </c>
      <c r="F1379">
        <v>2.1</v>
      </c>
      <c r="G1379">
        <v>0.5</v>
      </c>
      <c r="H1379" t="s">
        <v>1210</v>
      </c>
    </row>
    <row r="1380" spans="1:8" x14ac:dyDescent="0.45">
      <c r="A1380" t="s">
        <v>1128</v>
      </c>
      <c r="B1380" t="s">
        <v>83</v>
      </c>
      <c r="C1380">
        <v>9068</v>
      </c>
      <c r="D1380">
        <v>632.6</v>
      </c>
      <c r="E1380">
        <v>126.6</v>
      </c>
      <c r="F1380">
        <v>1.2</v>
      </c>
      <c r="G1380">
        <v>0.5</v>
      </c>
      <c r="H1380" t="s">
        <v>1210</v>
      </c>
    </row>
    <row r="1381" spans="1:8" x14ac:dyDescent="0.45">
      <c r="A1381" t="s">
        <v>1118</v>
      </c>
      <c r="B1381" t="s">
        <v>62</v>
      </c>
      <c r="C1381">
        <v>9520</v>
      </c>
      <c r="D1381">
        <v>539.79999999999995</v>
      </c>
      <c r="E1381">
        <v>78.8</v>
      </c>
      <c r="F1381">
        <v>5</v>
      </c>
      <c r="G1381">
        <v>1.5</v>
      </c>
      <c r="H1381" t="s">
        <v>1210</v>
      </c>
    </row>
    <row r="1382" spans="1:8" x14ac:dyDescent="0.45">
      <c r="A1382" t="s">
        <v>1118</v>
      </c>
      <c r="B1382" t="s">
        <v>103</v>
      </c>
      <c r="C1382">
        <v>6881</v>
      </c>
      <c r="D1382">
        <v>582.29999999999995</v>
      </c>
      <c r="E1382">
        <v>96.6</v>
      </c>
      <c r="F1382">
        <v>5.9</v>
      </c>
      <c r="G1382">
        <v>1.5</v>
      </c>
      <c r="H1382" t="s">
        <v>1210</v>
      </c>
    </row>
    <row r="1383" spans="1:8" x14ac:dyDescent="0.45">
      <c r="A1383" t="s">
        <v>1121</v>
      </c>
      <c r="B1383" t="s">
        <v>51</v>
      </c>
      <c r="C1383">
        <v>1373</v>
      </c>
      <c r="D1383">
        <v>745.5</v>
      </c>
      <c r="E1383">
        <v>151.9</v>
      </c>
      <c r="F1383">
        <v>2.9</v>
      </c>
      <c r="G1383">
        <v>0.4</v>
      </c>
      <c r="H1383" t="s">
        <v>1210</v>
      </c>
    </row>
    <row r="1384" spans="1:8" x14ac:dyDescent="0.45">
      <c r="A1384" t="s">
        <v>1115</v>
      </c>
      <c r="B1384" t="s">
        <v>89</v>
      </c>
      <c r="C1384">
        <v>3049</v>
      </c>
      <c r="D1384">
        <v>200.9</v>
      </c>
      <c r="E1384">
        <v>34.299999999999997</v>
      </c>
      <c r="F1384">
        <v>2.2999999999999998</v>
      </c>
      <c r="G1384">
        <v>0.6</v>
      </c>
      <c r="H1384" t="s">
        <v>1210</v>
      </c>
    </row>
    <row r="1385" spans="1:8" x14ac:dyDescent="0.45">
      <c r="A1385" t="s">
        <v>1116</v>
      </c>
      <c r="B1385" t="s">
        <v>66</v>
      </c>
      <c r="C1385">
        <v>815</v>
      </c>
      <c r="D1385">
        <v>405.5</v>
      </c>
      <c r="E1385">
        <v>70</v>
      </c>
      <c r="F1385">
        <v>8.5</v>
      </c>
      <c r="G1385">
        <v>1.6</v>
      </c>
      <c r="H1385" t="s">
        <v>1210</v>
      </c>
    </row>
    <row r="1386" spans="1:8" x14ac:dyDescent="0.45">
      <c r="A1386" t="s">
        <v>1119</v>
      </c>
      <c r="B1386" t="s">
        <v>13</v>
      </c>
      <c r="C1386">
        <v>2253</v>
      </c>
      <c r="D1386">
        <v>213.1</v>
      </c>
      <c r="E1386">
        <v>77.2</v>
      </c>
      <c r="F1386">
        <v>2</v>
      </c>
      <c r="G1386">
        <v>1</v>
      </c>
      <c r="H1386" t="s">
        <v>1210</v>
      </c>
    </row>
    <row r="1387" spans="1:8" x14ac:dyDescent="0.45">
      <c r="A1387" t="s">
        <v>1115</v>
      </c>
      <c r="B1387" t="s">
        <v>64</v>
      </c>
      <c r="C1387">
        <v>2278</v>
      </c>
      <c r="D1387">
        <v>665.4</v>
      </c>
      <c r="E1387">
        <v>192.8</v>
      </c>
      <c r="F1387">
        <v>2.2999999999999998</v>
      </c>
      <c r="G1387">
        <v>0.6</v>
      </c>
      <c r="H1387" t="s">
        <v>1210</v>
      </c>
    </row>
    <row r="1388" spans="1:8" x14ac:dyDescent="0.45">
      <c r="A1388" t="s">
        <v>1119</v>
      </c>
      <c r="B1388" t="s">
        <v>31</v>
      </c>
      <c r="C1388">
        <v>5393</v>
      </c>
      <c r="D1388">
        <v>333.2</v>
      </c>
      <c r="E1388">
        <v>29.7</v>
      </c>
      <c r="F1388">
        <v>3.9</v>
      </c>
      <c r="G1388">
        <v>1</v>
      </c>
      <c r="H1388" t="s">
        <v>1210</v>
      </c>
    </row>
    <row r="1389" spans="1:8" x14ac:dyDescent="0.45">
      <c r="A1389" t="s">
        <v>1122</v>
      </c>
      <c r="B1389" t="s">
        <v>63</v>
      </c>
      <c r="C1389">
        <v>15548</v>
      </c>
      <c r="D1389">
        <v>935.5</v>
      </c>
      <c r="E1389">
        <v>183.5</v>
      </c>
      <c r="F1389">
        <v>1.1000000000000001</v>
      </c>
      <c r="G1389">
        <v>0.2</v>
      </c>
      <c r="H1389" t="s">
        <v>1210</v>
      </c>
    </row>
    <row r="1390" spans="1:8" x14ac:dyDescent="0.45">
      <c r="A1390" t="s">
        <v>1123</v>
      </c>
      <c r="B1390" t="s">
        <v>50</v>
      </c>
      <c r="C1390">
        <v>5566</v>
      </c>
      <c r="D1390">
        <v>382.9</v>
      </c>
      <c r="E1390">
        <v>135.1</v>
      </c>
      <c r="F1390">
        <v>1.4</v>
      </c>
      <c r="G1390">
        <v>0.3</v>
      </c>
      <c r="H1390" t="s">
        <v>1210</v>
      </c>
    </row>
    <row r="1391" spans="1:8" x14ac:dyDescent="0.45">
      <c r="A1391" t="s">
        <v>1128</v>
      </c>
      <c r="B1391" t="s">
        <v>78</v>
      </c>
      <c r="C1391">
        <v>1293</v>
      </c>
      <c r="D1391">
        <v>348.4</v>
      </c>
      <c r="E1391">
        <v>141.4</v>
      </c>
      <c r="F1391">
        <v>2</v>
      </c>
      <c r="G1391">
        <v>0.5</v>
      </c>
      <c r="H1391" t="s">
        <v>1210</v>
      </c>
    </row>
    <row r="1392" spans="1:8" x14ac:dyDescent="0.45">
      <c r="A1392" t="s">
        <v>1119</v>
      </c>
      <c r="B1392" t="s">
        <v>89</v>
      </c>
      <c r="C1392">
        <v>273</v>
      </c>
      <c r="D1392">
        <v>166.8</v>
      </c>
      <c r="E1392">
        <v>24.2</v>
      </c>
      <c r="F1392">
        <v>2.2999999999999998</v>
      </c>
      <c r="G1392">
        <v>1</v>
      </c>
      <c r="H1392" t="s">
        <v>1210</v>
      </c>
    </row>
    <row r="1393" spans="1:8" x14ac:dyDescent="0.45">
      <c r="A1393" t="s">
        <v>1122</v>
      </c>
      <c r="B1393" t="s">
        <v>71</v>
      </c>
      <c r="C1393">
        <v>932</v>
      </c>
      <c r="D1393">
        <v>485.4</v>
      </c>
      <c r="E1393">
        <v>65.900000000000006</v>
      </c>
      <c r="F1393">
        <v>0.9</v>
      </c>
      <c r="G1393">
        <v>0.2</v>
      </c>
      <c r="H1393" t="s">
        <v>1210</v>
      </c>
    </row>
    <row r="1394" spans="1:8" x14ac:dyDescent="0.45">
      <c r="A1394" t="s">
        <v>1122</v>
      </c>
      <c r="B1394" t="s">
        <v>87</v>
      </c>
      <c r="C1394">
        <v>2524</v>
      </c>
      <c r="D1394">
        <v>205.8</v>
      </c>
      <c r="E1394">
        <v>40</v>
      </c>
      <c r="F1394">
        <v>0.9</v>
      </c>
      <c r="G1394">
        <v>0.2</v>
      </c>
      <c r="H1394" t="s">
        <v>1210</v>
      </c>
    </row>
    <row r="1395" spans="1:8" x14ac:dyDescent="0.45">
      <c r="A1395" t="s">
        <v>1123</v>
      </c>
      <c r="B1395" t="s">
        <v>31</v>
      </c>
      <c r="C1395">
        <v>769</v>
      </c>
      <c r="D1395">
        <v>168.3</v>
      </c>
      <c r="E1395">
        <v>16.399999999999999</v>
      </c>
      <c r="F1395">
        <v>1</v>
      </c>
      <c r="G1395">
        <v>0.3</v>
      </c>
      <c r="H1395" t="s">
        <v>1210</v>
      </c>
    </row>
    <row r="1396" spans="1:8" x14ac:dyDescent="0.45">
      <c r="A1396" t="s">
        <v>1116</v>
      </c>
      <c r="B1396" t="s">
        <v>8</v>
      </c>
      <c r="C1396">
        <v>7990</v>
      </c>
      <c r="D1396">
        <v>538.1</v>
      </c>
      <c r="E1396">
        <v>102.4</v>
      </c>
      <c r="F1396">
        <v>4.9000000000000004</v>
      </c>
      <c r="G1396">
        <v>1.6</v>
      </c>
      <c r="H1396" t="s">
        <v>1210</v>
      </c>
    </row>
    <row r="1397" spans="1:8" x14ac:dyDescent="0.45">
      <c r="A1397" t="s">
        <v>1114</v>
      </c>
      <c r="B1397" t="s">
        <v>78</v>
      </c>
      <c r="C1397">
        <v>2060</v>
      </c>
      <c r="D1397">
        <v>334.9</v>
      </c>
      <c r="E1397">
        <v>126.6</v>
      </c>
      <c r="F1397">
        <v>5.7</v>
      </c>
      <c r="G1397">
        <v>1.3</v>
      </c>
      <c r="H1397" t="s">
        <v>1210</v>
      </c>
    </row>
    <row r="1398" spans="1:8" x14ac:dyDescent="0.45">
      <c r="A1398" t="s">
        <v>1125</v>
      </c>
      <c r="B1398" t="s">
        <v>63</v>
      </c>
      <c r="C1398">
        <v>6227</v>
      </c>
      <c r="D1398">
        <v>395.9</v>
      </c>
      <c r="E1398">
        <v>70.5</v>
      </c>
      <c r="F1398">
        <v>4.3</v>
      </c>
      <c r="G1398">
        <v>1.2</v>
      </c>
      <c r="H1398" t="s">
        <v>1210</v>
      </c>
    </row>
    <row r="1399" spans="1:8" x14ac:dyDescent="0.45">
      <c r="A1399" t="s">
        <v>1114</v>
      </c>
      <c r="B1399" t="s">
        <v>65</v>
      </c>
      <c r="C1399">
        <v>2948</v>
      </c>
      <c r="D1399">
        <v>352.8</v>
      </c>
      <c r="E1399">
        <v>130.5</v>
      </c>
      <c r="F1399">
        <v>3.8</v>
      </c>
      <c r="G1399">
        <v>1.3</v>
      </c>
      <c r="H1399" t="s">
        <v>1210</v>
      </c>
    </row>
    <row r="1400" spans="1:8" x14ac:dyDescent="0.45">
      <c r="A1400" t="s">
        <v>1125</v>
      </c>
      <c r="B1400" t="s">
        <v>56</v>
      </c>
      <c r="C1400">
        <v>9954</v>
      </c>
      <c r="D1400">
        <v>784.6</v>
      </c>
      <c r="E1400">
        <v>231.5</v>
      </c>
      <c r="F1400">
        <v>4.3</v>
      </c>
      <c r="G1400">
        <v>1.2</v>
      </c>
      <c r="H1400" t="s">
        <v>1210</v>
      </c>
    </row>
    <row r="1401" spans="1:8" x14ac:dyDescent="0.45">
      <c r="A1401" t="s">
        <v>1121</v>
      </c>
      <c r="B1401" t="s">
        <v>68</v>
      </c>
      <c r="C1401">
        <v>1821</v>
      </c>
      <c r="D1401">
        <v>348.6</v>
      </c>
      <c r="E1401">
        <v>46.4</v>
      </c>
      <c r="F1401">
        <v>2.5</v>
      </c>
      <c r="G1401">
        <v>0.4</v>
      </c>
      <c r="H1401" t="s">
        <v>1210</v>
      </c>
    </row>
    <row r="1402" spans="1:8" x14ac:dyDescent="0.45">
      <c r="A1402" t="s">
        <v>1121</v>
      </c>
      <c r="B1402" t="s">
        <v>110</v>
      </c>
      <c r="C1402">
        <v>1295</v>
      </c>
      <c r="D1402">
        <v>380.5</v>
      </c>
      <c r="E1402">
        <v>161.5</v>
      </c>
      <c r="F1402">
        <v>1.3</v>
      </c>
      <c r="G1402">
        <v>0.4</v>
      </c>
      <c r="H1402" t="s">
        <v>1210</v>
      </c>
    </row>
    <row r="1403" spans="1:8" x14ac:dyDescent="0.45">
      <c r="A1403" t="s">
        <v>1121</v>
      </c>
      <c r="B1403" t="s">
        <v>84</v>
      </c>
      <c r="C1403">
        <v>4506</v>
      </c>
      <c r="D1403">
        <v>265.5</v>
      </c>
      <c r="E1403">
        <v>87.9</v>
      </c>
      <c r="F1403">
        <v>3.1</v>
      </c>
      <c r="G1403">
        <v>0.4</v>
      </c>
      <c r="H1403" t="s">
        <v>1210</v>
      </c>
    </row>
    <row r="1404" spans="1:8" x14ac:dyDescent="0.45">
      <c r="A1404" t="s">
        <v>1120</v>
      </c>
      <c r="B1404" t="s">
        <v>97</v>
      </c>
      <c r="C1404">
        <v>7899</v>
      </c>
      <c r="D1404">
        <v>684.4</v>
      </c>
      <c r="E1404">
        <v>383.3</v>
      </c>
      <c r="F1404">
        <v>1.8</v>
      </c>
      <c r="G1404">
        <v>0.5</v>
      </c>
      <c r="H1404" t="s">
        <v>1210</v>
      </c>
    </row>
    <row r="1405" spans="1:8" x14ac:dyDescent="0.45">
      <c r="A1405" t="s">
        <v>1123</v>
      </c>
      <c r="B1405" t="s">
        <v>35</v>
      </c>
      <c r="C1405">
        <v>2300</v>
      </c>
      <c r="D1405">
        <v>363.3</v>
      </c>
      <c r="E1405">
        <v>65.2</v>
      </c>
      <c r="F1405">
        <v>1.2</v>
      </c>
      <c r="G1405">
        <v>0.3</v>
      </c>
      <c r="H1405" t="s">
        <v>1210</v>
      </c>
    </row>
    <row r="1406" spans="1:8" x14ac:dyDescent="0.45">
      <c r="A1406" t="s">
        <v>1125</v>
      </c>
      <c r="B1406" t="s">
        <v>89</v>
      </c>
      <c r="C1406">
        <v>2680</v>
      </c>
      <c r="D1406">
        <v>201.2</v>
      </c>
      <c r="E1406">
        <v>35.9</v>
      </c>
      <c r="F1406">
        <v>5.6</v>
      </c>
      <c r="G1406">
        <v>1.2</v>
      </c>
      <c r="H1406" t="s">
        <v>1210</v>
      </c>
    </row>
    <row r="1407" spans="1:8" x14ac:dyDescent="0.45">
      <c r="A1407" t="s">
        <v>1115</v>
      </c>
      <c r="B1407" t="s">
        <v>28</v>
      </c>
      <c r="C1407">
        <v>3641</v>
      </c>
      <c r="D1407">
        <v>256.2</v>
      </c>
      <c r="E1407">
        <v>93.1</v>
      </c>
      <c r="F1407">
        <v>1.7</v>
      </c>
      <c r="G1407">
        <v>0.6</v>
      </c>
      <c r="H1407" t="s">
        <v>1210</v>
      </c>
    </row>
    <row r="1408" spans="1:8" x14ac:dyDescent="0.45">
      <c r="A1408" t="s">
        <v>1117</v>
      </c>
      <c r="B1408" t="s">
        <v>1137</v>
      </c>
      <c r="C1408">
        <v>3579</v>
      </c>
      <c r="D1408">
        <v>391.3</v>
      </c>
      <c r="E1408">
        <v>38.200000000000003</v>
      </c>
      <c r="F1408">
        <v>0.7</v>
      </c>
      <c r="G1408">
        <v>0.5</v>
      </c>
      <c r="H1408" t="s">
        <v>1210</v>
      </c>
    </row>
    <row r="1409" spans="1:8" x14ac:dyDescent="0.45">
      <c r="A1409" t="s">
        <v>1117</v>
      </c>
      <c r="B1409" t="s">
        <v>83</v>
      </c>
      <c r="D1409">
        <v>670.9</v>
      </c>
      <c r="E1409">
        <v>105.4</v>
      </c>
      <c r="F1409">
        <v>2.2999999999999998</v>
      </c>
      <c r="G1409">
        <v>0.5</v>
      </c>
    </row>
    <row r="1410" spans="1:8" x14ac:dyDescent="0.45">
      <c r="A1410" t="s">
        <v>1126</v>
      </c>
      <c r="B1410" t="s">
        <v>80</v>
      </c>
      <c r="C1410">
        <v>3127</v>
      </c>
      <c r="D1410">
        <v>264.8</v>
      </c>
      <c r="E1410">
        <v>33.200000000000003</v>
      </c>
      <c r="F1410">
        <v>1</v>
      </c>
      <c r="G1410">
        <v>0.2</v>
      </c>
      <c r="H1410" t="s">
        <v>1210</v>
      </c>
    </row>
    <row r="1411" spans="1:8" x14ac:dyDescent="0.45">
      <c r="A1411" t="s">
        <v>1124</v>
      </c>
      <c r="B1411" t="s">
        <v>44</v>
      </c>
      <c r="C1411">
        <v>12223</v>
      </c>
      <c r="D1411">
        <v>698.9</v>
      </c>
      <c r="E1411">
        <v>143.9</v>
      </c>
      <c r="F1411">
        <v>0.7</v>
      </c>
      <c r="G1411">
        <v>0.3</v>
      </c>
      <c r="H1411" t="s">
        <v>1210</v>
      </c>
    </row>
    <row r="1412" spans="1:8" x14ac:dyDescent="0.45">
      <c r="A1412" t="s">
        <v>1114</v>
      </c>
      <c r="B1412" t="s">
        <v>47</v>
      </c>
      <c r="C1412">
        <v>2181</v>
      </c>
      <c r="D1412">
        <v>237.8</v>
      </c>
      <c r="E1412">
        <v>24.2</v>
      </c>
      <c r="F1412">
        <v>2.1</v>
      </c>
      <c r="G1412">
        <v>1.3</v>
      </c>
      <c r="H1412" t="s">
        <v>1210</v>
      </c>
    </row>
    <row r="1413" spans="1:8" x14ac:dyDescent="0.45">
      <c r="A1413" t="s">
        <v>1121</v>
      </c>
      <c r="B1413" t="s">
        <v>77</v>
      </c>
      <c r="C1413">
        <v>1109</v>
      </c>
      <c r="D1413">
        <v>229.5</v>
      </c>
      <c r="E1413">
        <v>101.9</v>
      </c>
      <c r="F1413">
        <v>2.4</v>
      </c>
      <c r="G1413">
        <v>0.4</v>
      </c>
      <c r="H1413" t="s">
        <v>1210</v>
      </c>
    </row>
    <row r="1414" spans="1:8" x14ac:dyDescent="0.45">
      <c r="A1414" t="s">
        <v>1114</v>
      </c>
      <c r="B1414" t="s">
        <v>39</v>
      </c>
      <c r="C1414">
        <v>6348</v>
      </c>
      <c r="D1414">
        <v>382</v>
      </c>
      <c r="E1414">
        <v>39.799999999999997</v>
      </c>
      <c r="F1414">
        <v>4.4000000000000004</v>
      </c>
      <c r="G1414">
        <v>1.3</v>
      </c>
      <c r="H1414" t="s">
        <v>1210</v>
      </c>
    </row>
    <row r="1415" spans="1:8" x14ac:dyDescent="0.45">
      <c r="A1415" t="s">
        <v>1123</v>
      </c>
      <c r="B1415" t="s">
        <v>10</v>
      </c>
      <c r="C1415">
        <v>4409</v>
      </c>
      <c r="D1415">
        <v>312.2</v>
      </c>
      <c r="E1415">
        <v>42.3</v>
      </c>
      <c r="F1415">
        <v>1.5</v>
      </c>
      <c r="G1415">
        <v>0.3</v>
      </c>
      <c r="H1415" t="s">
        <v>1210</v>
      </c>
    </row>
    <row r="1416" spans="1:8" x14ac:dyDescent="0.45">
      <c r="A1416" t="s">
        <v>1127</v>
      </c>
      <c r="B1416" t="s">
        <v>29</v>
      </c>
      <c r="C1416">
        <v>5219</v>
      </c>
      <c r="D1416">
        <v>538.70000000000005</v>
      </c>
      <c r="E1416">
        <v>150.5</v>
      </c>
      <c r="F1416">
        <v>2.5</v>
      </c>
      <c r="G1416">
        <v>0.9</v>
      </c>
      <c r="H1416" t="s">
        <v>1210</v>
      </c>
    </row>
    <row r="1417" spans="1:8" x14ac:dyDescent="0.45">
      <c r="A1417" t="s">
        <v>1114</v>
      </c>
      <c r="B1417" t="s">
        <v>48</v>
      </c>
      <c r="C1417">
        <v>9597</v>
      </c>
      <c r="D1417">
        <v>562.9</v>
      </c>
      <c r="E1417">
        <v>144.1</v>
      </c>
      <c r="F1417">
        <v>0.9</v>
      </c>
      <c r="G1417">
        <v>1.3</v>
      </c>
      <c r="H1417" t="s">
        <v>1210</v>
      </c>
    </row>
    <row r="1418" spans="1:8" x14ac:dyDescent="0.45">
      <c r="A1418" t="s">
        <v>1115</v>
      </c>
      <c r="B1418" t="s">
        <v>55</v>
      </c>
      <c r="C1418">
        <v>9040</v>
      </c>
      <c r="E1418">
        <v>216.9</v>
      </c>
      <c r="F1418">
        <v>1.8</v>
      </c>
      <c r="G1418">
        <v>0.6</v>
      </c>
      <c r="H1418" t="s">
        <v>1210</v>
      </c>
    </row>
    <row r="1419" spans="1:8" x14ac:dyDescent="0.45">
      <c r="A1419" t="s">
        <v>1115</v>
      </c>
      <c r="B1419" t="s">
        <v>44</v>
      </c>
      <c r="C1419">
        <v>9140</v>
      </c>
      <c r="D1419">
        <v>518</v>
      </c>
      <c r="E1419">
        <v>143.9</v>
      </c>
      <c r="F1419">
        <v>0.5</v>
      </c>
      <c r="G1419">
        <v>0.6</v>
      </c>
      <c r="H1419" t="s">
        <v>1210</v>
      </c>
    </row>
    <row r="1420" spans="1:8" x14ac:dyDescent="0.45">
      <c r="A1420" t="s">
        <v>1120</v>
      </c>
      <c r="B1420" t="s">
        <v>71</v>
      </c>
      <c r="C1420">
        <v>620</v>
      </c>
      <c r="D1420">
        <v>290.7</v>
      </c>
      <c r="E1420">
        <v>35.200000000000003</v>
      </c>
      <c r="F1420">
        <v>2</v>
      </c>
      <c r="G1420">
        <v>0.5</v>
      </c>
      <c r="H1420" t="s">
        <v>1210</v>
      </c>
    </row>
    <row r="1421" spans="1:8" x14ac:dyDescent="0.45">
      <c r="A1421" t="s">
        <v>1126</v>
      </c>
      <c r="B1421" t="s">
        <v>74</v>
      </c>
      <c r="C1421">
        <v>2104</v>
      </c>
      <c r="D1421">
        <v>196.6</v>
      </c>
      <c r="E1421">
        <v>96.8</v>
      </c>
      <c r="F1421">
        <v>1</v>
      </c>
      <c r="G1421">
        <v>0.2</v>
      </c>
      <c r="H1421" t="s">
        <v>1210</v>
      </c>
    </row>
    <row r="1422" spans="1:8" x14ac:dyDescent="0.45">
      <c r="A1422" t="s">
        <v>1124</v>
      </c>
      <c r="B1422" t="s">
        <v>39</v>
      </c>
      <c r="C1422">
        <v>984</v>
      </c>
      <c r="D1422">
        <v>204.8</v>
      </c>
      <c r="E1422">
        <v>40</v>
      </c>
      <c r="F1422">
        <v>0.5</v>
      </c>
      <c r="G1422">
        <v>0.3</v>
      </c>
      <c r="H1422" t="s">
        <v>1210</v>
      </c>
    </row>
    <row r="1423" spans="1:8" x14ac:dyDescent="0.45">
      <c r="A1423" t="s">
        <v>1124</v>
      </c>
      <c r="B1423" t="s">
        <v>15</v>
      </c>
      <c r="D1423">
        <v>807.9</v>
      </c>
      <c r="E1423">
        <v>215.1</v>
      </c>
      <c r="F1423">
        <v>0.8</v>
      </c>
      <c r="G1423">
        <v>0.3</v>
      </c>
    </row>
    <row r="1424" spans="1:8" x14ac:dyDescent="0.45">
      <c r="A1424" t="s">
        <v>1114</v>
      </c>
      <c r="B1424" t="s">
        <v>10</v>
      </c>
      <c r="C1424">
        <v>2146</v>
      </c>
      <c r="D1424">
        <v>224.2</v>
      </c>
      <c r="E1424">
        <v>30</v>
      </c>
      <c r="F1424">
        <v>4</v>
      </c>
      <c r="G1424">
        <v>1.3</v>
      </c>
      <c r="H1424" t="s">
        <v>1210</v>
      </c>
    </row>
    <row r="1425" spans="1:8" x14ac:dyDescent="0.45">
      <c r="A1425" t="s">
        <v>1121</v>
      </c>
      <c r="B1425" t="s">
        <v>1136</v>
      </c>
      <c r="C1425">
        <v>3044</v>
      </c>
      <c r="D1425">
        <v>463.4</v>
      </c>
      <c r="E1425">
        <v>225.4</v>
      </c>
      <c r="F1425">
        <v>2</v>
      </c>
      <c r="G1425">
        <v>0.4</v>
      </c>
      <c r="H1425" t="s">
        <v>1210</v>
      </c>
    </row>
    <row r="1426" spans="1:8" x14ac:dyDescent="0.45">
      <c r="A1426" t="s">
        <v>1127</v>
      </c>
      <c r="B1426" t="s">
        <v>109</v>
      </c>
      <c r="C1426">
        <v>2892</v>
      </c>
      <c r="D1426">
        <v>354.4</v>
      </c>
      <c r="E1426">
        <v>153.69999999999999</v>
      </c>
      <c r="F1426">
        <v>2.6</v>
      </c>
      <c r="G1426">
        <v>0.9</v>
      </c>
      <c r="H1426" t="s">
        <v>1210</v>
      </c>
    </row>
    <row r="1427" spans="1:8" x14ac:dyDescent="0.45">
      <c r="A1427" t="s">
        <v>1124</v>
      </c>
      <c r="B1427" t="s">
        <v>108</v>
      </c>
      <c r="C1427">
        <v>7467</v>
      </c>
      <c r="D1427">
        <v>472.8</v>
      </c>
      <c r="E1427">
        <v>84</v>
      </c>
      <c r="F1427">
        <v>0.5</v>
      </c>
      <c r="G1427">
        <v>0.3</v>
      </c>
      <c r="H1427" t="s">
        <v>1210</v>
      </c>
    </row>
    <row r="1428" spans="1:8" x14ac:dyDescent="0.45">
      <c r="A1428" t="s">
        <v>1123</v>
      </c>
      <c r="B1428" t="s">
        <v>45</v>
      </c>
      <c r="C1428">
        <v>4618</v>
      </c>
      <c r="D1428">
        <v>384.4</v>
      </c>
      <c r="E1428">
        <v>62.9</v>
      </c>
      <c r="F1428">
        <v>1</v>
      </c>
      <c r="G1428">
        <v>0.3</v>
      </c>
      <c r="H1428" t="s">
        <v>1210</v>
      </c>
    </row>
    <row r="1429" spans="1:8" x14ac:dyDescent="0.45">
      <c r="A1429" t="s">
        <v>1123</v>
      </c>
      <c r="B1429" t="s">
        <v>1129</v>
      </c>
      <c r="C1429">
        <v>9117</v>
      </c>
      <c r="D1429">
        <v>757.2</v>
      </c>
      <c r="E1429">
        <v>165.2</v>
      </c>
      <c r="F1429">
        <v>1</v>
      </c>
      <c r="G1429">
        <v>0.3</v>
      </c>
      <c r="H1429" t="s">
        <v>1210</v>
      </c>
    </row>
    <row r="1430" spans="1:8" x14ac:dyDescent="0.45">
      <c r="A1430" t="s">
        <v>1122</v>
      </c>
      <c r="B1430" t="s">
        <v>95</v>
      </c>
      <c r="C1430">
        <v>408</v>
      </c>
      <c r="D1430">
        <v>211.7</v>
      </c>
      <c r="E1430">
        <v>21.7</v>
      </c>
      <c r="F1430">
        <v>1.1000000000000001</v>
      </c>
      <c r="G1430">
        <v>0.2</v>
      </c>
      <c r="H1430" t="s">
        <v>1210</v>
      </c>
    </row>
    <row r="1431" spans="1:8" x14ac:dyDescent="0.45">
      <c r="A1431" t="s">
        <v>1128</v>
      </c>
      <c r="B1431" t="s">
        <v>33</v>
      </c>
      <c r="C1431">
        <v>4098</v>
      </c>
      <c r="D1431">
        <v>296.8</v>
      </c>
      <c r="E1431">
        <v>34.6</v>
      </c>
      <c r="F1431">
        <v>2.4</v>
      </c>
      <c r="G1431">
        <v>0.5</v>
      </c>
      <c r="H1431" t="s">
        <v>1210</v>
      </c>
    </row>
    <row r="1432" spans="1:8" x14ac:dyDescent="0.45">
      <c r="A1432" t="s">
        <v>1114</v>
      </c>
      <c r="B1432" t="s">
        <v>13</v>
      </c>
      <c r="C1432">
        <v>1260</v>
      </c>
      <c r="D1432">
        <v>206.8</v>
      </c>
      <c r="E1432">
        <v>65.7</v>
      </c>
      <c r="F1432">
        <v>4.5999999999999996</v>
      </c>
      <c r="G1432">
        <v>1.3</v>
      </c>
      <c r="H1432" t="s">
        <v>1210</v>
      </c>
    </row>
    <row r="1433" spans="1:8" x14ac:dyDescent="0.45">
      <c r="A1433" t="s">
        <v>1122</v>
      </c>
      <c r="B1433" t="s">
        <v>75</v>
      </c>
      <c r="C1433">
        <v>2625</v>
      </c>
      <c r="E1433">
        <v>53.2</v>
      </c>
      <c r="F1433">
        <v>0.8</v>
      </c>
      <c r="G1433">
        <v>0.2</v>
      </c>
      <c r="H1433" t="s">
        <v>1210</v>
      </c>
    </row>
    <row r="1434" spans="1:8" x14ac:dyDescent="0.45">
      <c r="A1434" t="s">
        <v>1128</v>
      </c>
      <c r="B1434" t="s">
        <v>1137</v>
      </c>
      <c r="C1434">
        <v>3320</v>
      </c>
      <c r="D1434">
        <v>332.6</v>
      </c>
      <c r="E1434">
        <v>29.9</v>
      </c>
      <c r="F1434">
        <v>1.7</v>
      </c>
      <c r="G1434">
        <v>0.5</v>
      </c>
      <c r="H1434" t="s">
        <v>1210</v>
      </c>
    </row>
    <row r="1435" spans="1:8" x14ac:dyDescent="0.45">
      <c r="A1435" t="s">
        <v>1116</v>
      </c>
      <c r="B1435" t="s">
        <v>22</v>
      </c>
      <c r="C1435">
        <v>2020</v>
      </c>
      <c r="D1435">
        <v>114.2</v>
      </c>
      <c r="E1435">
        <v>59.8</v>
      </c>
      <c r="F1435">
        <v>4.3</v>
      </c>
      <c r="G1435">
        <v>1.6</v>
      </c>
      <c r="H1435" t="s">
        <v>1210</v>
      </c>
    </row>
    <row r="1436" spans="1:8" x14ac:dyDescent="0.45">
      <c r="A1436" t="s">
        <v>1118</v>
      </c>
      <c r="B1436" t="s">
        <v>105</v>
      </c>
      <c r="C1436">
        <v>4356</v>
      </c>
      <c r="D1436">
        <v>296.2</v>
      </c>
      <c r="E1436">
        <v>33.299999999999997</v>
      </c>
      <c r="F1436">
        <v>7.7</v>
      </c>
      <c r="G1436">
        <v>1.5</v>
      </c>
      <c r="H1436" t="s">
        <v>1210</v>
      </c>
    </row>
    <row r="1437" spans="1:8" x14ac:dyDescent="0.45">
      <c r="A1437" t="s">
        <v>1126</v>
      </c>
      <c r="B1437" t="s">
        <v>91</v>
      </c>
      <c r="C1437">
        <v>952</v>
      </c>
      <c r="D1437">
        <v>138.4</v>
      </c>
      <c r="E1437">
        <v>94.8</v>
      </c>
      <c r="F1437">
        <v>1.3</v>
      </c>
      <c r="G1437">
        <v>0.2</v>
      </c>
      <c r="H1437" t="s">
        <v>1210</v>
      </c>
    </row>
    <row r="1438" spans="1:8" x14ac:dyDescent="0.45">
      <c r="A1438" t="s">
        <v>1120</v>
      </c>
      <c r="B1438" t="s">
        <v>1138</v>
      </c>
      <c r="C1438">
        <v>5073</v>
      </c>
      <c r="D1438">
        <v>364.6</v>
      </c>
      <c r="E1438">
        <v>84.1</v>
      </c>
      <c r="F1438">
        <v>1.2</v>
      </c>
      <c r="G1438">
        <v>0.5</v>
      </c>
      <c r="H1438" t="s">
        <v>1210</v>
      </c>
    </row>
    <row r="1439" spans="1:8" x14ac:dyDescent="0.45">
      <c r="A1439" t="s">
        <v>1128</v>
      </c>
      <c r="B1439" t="s">
        <v>19</v>
      </c>
      <c r="C1439">
        <v>815</v>
      </c>
      <c r="D1439">
        <v>132.5</v>
      </c>
      <c r="E1439">
        <v>49.5</v>
      </c>
      <c r="F1439">
        <v>2</v>
      </c>
      <c r="G1439">
        <v>0.5</v>
      </c>
      <c r="H1439" t="s">
        <v>1210</v>
      </c>
    </row>
    <row r="1440" spans="1:8" x14ac:dyDescent="0.45">
      <c r="A1440" t="s">
        <v>1116</v>
      </c>
      <c r="B1440" t="s">
        <v>1137</v>
      </c>
      <c r="C1440">
        <v>3576</v>
      </c>
      <c r="D1440">
        <v>275.8</v>
      </c>
      <c r="E1440">
        <v>23.1</v>
      </c>
      <c r="F1440">
        <v>3.4</v>
      </c>
      <c r="G1440">
        <v>1.6</v>
      </c>
      <c r="H1440" t="s">
        <v>1210</v>
      </c>
    </row>
    <row r="1441" spans="1:8" x14ac:dyDescent="0.45">
      <c r="A1441" t="s">
        <v>1121</v>
      </c>
      <c r="B1441" t="s">
        <v>92</v>
      </c>
      <c r="C1441">
        <v>1135</v>
      </c>
      <c r="D1441">
        <v>409.5</v>
      </c>
      <c r="E1441">
        <v>133.80000000000001</v>
      </c>
      <c r="F1441">
        <v>1.9</v>
      </c>
      <c r="G1441">
        <v>0.4</v>
      </c>
      <c r="H1441" t="s">
        <v>1210</v>
      </c>
    </row>
    <row r="1442" spans="1:8" x14ac:dyDescent="0.45">
      <c r="A1442" t="s">
        <v>1116</v>
      </c>
      <c r="B1442" t="s">
        <v>98</v>
      </c>
      <c r="C1442">
        <v>2237</v>
      </c>
      <c r="D1442">
        <v>767.7</v>
      </c>
      <c r="E1442">
        <v>222.5</v>
      </c>
      <c r="F1442">
        <v>5.2</v>
      </c>
      <c r="G1442">
        <v>1.6</v>
      </c>
      <c r="H1442" t="s">
        <v>1210</v>
      </c>
    </row>
    <row r="1443" spans="1:8" x14ac:dyDescent="0.45">
      <c r="A1443" t="s">
        <v>1127</v>
      </c>
      <c r="B1443" t="s">
        <v>33</v>
      </c>
      <c r="C1443">
        <v>7217</v>
      </c>
      <c r="D1443">
        <v>425.4</v>
      </c>
      <c r="E1443">
        <v>48.2</v>
      </c>
      <c r="F1443">
        <v>2.2000000000000002</v>
      </c>
      <c r="G1443">
        <v>0.9</v>
      </c>
      <c r="H1443" t="s">
        <v>1210</v>
      </c>
    </row>
    <row r="1444" spans="1:8" x14ac:dyDescent="0.45">
      <c r="A1444" t="s">
        <v>1127</v>
      </c>
      <c r="B1444" t="s">
        <v>5</v>
      </c>
      <c r="C1444">
        <v>1817</v>
      </c>
      <c r="D1444">
        <v>312.3</v>
      </c>
      <c r="E1444">
        <v>36.9</v>
      </c>
      <c r="F1444">
        <v>2.7</v>
      </c>
      <c r="G1444">
        <v>0.9</v>
      </c>
      <c r="H1444" t="s">
        <v>1210</v>
      </c>
    </row>
    <row r="1445" spans="1:8" x14ac:dyDescent="0.45">
      <c r="A1445" t="s">
        <v>1114</v>
      </c>
      <c r="B1445" t="s">
        <v>75</v>
      </c>
      <c r="C1445">
        <v>806</v>
      </c>
      <c r="D1445">
        <v>159.9</v>
      </c>
      <c r="E1445">
        <v>27.5</v>
      </c>
      <c r="F1445">
        <v>1.9</v>
      </c>
      <c r="G1445">
        <v>1.3</v>
      </c>
      <c r="H1445" t="s">
        <v>1210</v>
      </c>
    </row>
    <row r="1446" spans="1:8" x14ac:dyDescent="0.45">
      <c r="A1446" t="s">
        <v>1125</v>
      </c>
      <c r="B1446" t="s">
        <v>74</v>
      </c>
      <c r="C1446">
        <v>275</v>
      </c>
      <c r="D1446">
        <v>102</v>
      </c>
      <c r="E1446">
        <v>49.8</v>
      </c>
      <c r="F1446">
        <v>7.2</v>
      </c>
      <c r="G1446">
        <v>1.2</v>
      </c>
      <c r="H1446" t="s">
        <v>1210</v>
      </c>
    </row>
    <row r="1447" spans="1:8" x14ac:dyDescent="0.45">
      <c r="A1447" t="s">
        <v>1127</v>
      </c>
      <c r="B1447" t="s">
        <v>25</v>
      </c>
      <c r="C1447">
        <v>5700</v>
      </c>
      <c r="D1447">
        <v>318</v>
      </c>
      <c r="E1447">
        <v>126.1</v>
      </c>
      <c r="F1447">
        <v>3</v>
      </c>
      <c r="G1447">
        <v>0.9</v>
      </c>
      <c r="H1447" t="s">
        <v>1210</v>
      </c>
    </row>
    <row r="1448" spans="1:8" x14ac:dyDescent="0.45">
      <c r="A1448" t="s">
        <v>1119</v>
      </c>
      <c r="B1448" t="s">
        <v>29</v>
      </c>
      <c r="C1448">
        <v>2672</v>
      </c>
      <c r="D1448">
        <v>757.3</v>
      </c>
      <c r="E1448">
        <v>189.4</v>
      </c>
      <c r="F1448">
        <v>2.2999999999999998</v>
      </c>
      <c r="G1448">
        <v>1</v>
      </c>
      <c r="H1448" t="s">
        <v>1210</v>
      </c>
    </row>
    <row r="1449" spans="1:8" x14ac:dyDescent="0.45">
      <c r="A1449" t="s">
        <v>1114</v>
      </c>
      <c r="B1449" t="s">
        <v>50</v>
      </c>
      <c r="C1449">
        <v>2134</v>
      </c>
      <c r="D1449">
        <v>270.39999999999998</v>
      </c>
      <c r="E1449">
        <v>117</v>
      </c>
      <c r="F1449">
        <v>3.4</v>
      </c>
      <c r="G1449">
        <v>1.3</v>
      </c>
      <c r="H1449" t="s">
        <v>1210</v>
      </c>
    </row>
    <row r="1450" spans="1:8" x14ac:dyDescent="0.45">
      <c r="A1450" t="s">
        <v>1120</v>
      </c>
      <c r="B1450" t="s">
        <v>77</v>
      </c>
      <c r="C1450">
        <v>4725</v>
      </c>
      <c r="D1450">
        <v>436.5</v>
      </c>
      <c r="E1450">
        <v>114.7</v>
      </c>
      <c r="F1450">
        <v>1.8</v>
      </c>
      <c r="G1450">
        <v>0.5</v>
      </c>
      <c r="H1450" t="s">
        <v>1210</v>
      </c>
    </row>
    <row r="1451" spans="1:8" x14ac:dyDescent="0.45">
      <c r="A1451" t="s">
        <v>1125</v>
      </c>
      <c r="B1451" t="s">
        <v>1130</v>
      </c>
      <c r="C1451">
        <v>2084</v>
      </c>
      <c r="D1451">
        <v>164.2</v>
      </c>
      <c r="E1451">
        <v>102.7</v>
      </c>
      <c r="F1451">
        <v>4.5999999999999996</v>
      </c>
      <c r="G1451">
        <v>1.2</v>
      </c>
      <c r="H1451" t="s">
        <v>1210</v>
      </c>
    </row>
    <row r="1452" spans="1:8" x14ac:dyDescent="0.45">
      <c r="A1452" t="s">
        <v>1117</v>
      </c>
      <c r="B1452" t="s">
        <v>71</v>
      </c>
      <c r="C1452">
        <v>2861</v>
      </c>
      <c r="D1452">
        <v>223.9</v>
      </c>
      <c r="E1452">
        <v>24.2</v>
      </c>
      <c r="F1452">
        <v>2.2999999999999998</v>
      </c>
      <c r="G1452">
        <v>0.5</v>
      </c>
      <c r="H1452" t="s">
        <v>1210</v>
      </c>
    </row>
    <row r="1453" spans="1:8" x14ac:dyDescent="0.45">
      <c r="A1453" t="s">
        <v>1118</v>
      </c>
      <c r="B1453" t="s">
        <v>59</v>
      </c>
      <c r="C1453">
        <v>1577</v>
      </c>
      <c r="D1453">
        <v>176.8</v>
      </c>
      <c r="E1453">
        <v>24.1</v>
      </c>
      <c r="F1453">
        <v>8.3000000000000007</v>
      </c>
      <c r="G1453">
        <v>1.5</v>
      </c>
      <c r="H1453" t="s">
        <v>1210</v>
      </c>
    </row>
    <row r="1454" spans="1:8" x14ac:dyDescent="0.45">
      <c r="A1454" t="s">
        <v>1120</v>
      </c>
      <c r="B1454" t="s">
        <v>78</v>
      </c>
      <c r="C1454">
        <v>3297</v>
      </c>
      <c r="D1454">
        <v>231.2</v>
      </c>
      <c r="E1454">
        <v>101</v>
      </c>
      <c r="F1454">
        <v>1.7</v>
      </c>
      <c r="G1454">
        <v>0.5</v>
      </c>
      <c r="H1454" t="s">
        <v>1210</v>
      </c>
    </row>
    <row r="1455" spans="1:8" x14ac:dyDescent="0.45">
      <c r="A1455" t="s">
        <v>1126</v>
      </c>
      <c r="B1455" t="s">
        <v>53</v>
      </c>
      <c r="C1455">
        <v>5434</v>
      </c>
      <c r="D1455">
        <v>451.8</v>
      </c>
      <c r="E1455">
        <v>153.4</v>
      </c>
      <c r="F1455">
        <v>0.7</v>
      </c>
      <c r="G1455">
        <v>0.2</v>
      </c>
      <c r="H1455" t="s">
        <v>1210</v>
      </c>
    </row>
    <row r="1456" spans="1:8" x14ac:dyDescent="0.45">
      <c r="A1456" t="s">
        <v>1117</v>
      </c>
      <c r="B1456" t="s">
        <v>84</v>
      </c>
      <c r="C1456">
        <v>2170</v>
      </c>
      <c r="D1456">
        <v>290.10000000000002</v>
      </c>
      <c r="E1456">
        <v>129.5</v>
      </c>
      <c r="F1456">
        <v>2.7</v>
      </c>
      <c r="G1456">
        <v>0.5</v>
      </c>
      <c r="H1456" t="s">
        <v>1210</v>
      </c>
    </row>
    <row r="1457" spans="1:8" x14ac:dyDescent="0.45">
      <c r="A1457" t="s">
        <v>1119</v>
      </c>
      <c r="B1457" t="s">
        <v>100</v>
      </c>
      <c r="C1457">
        <v>2302</v>
      </c>
      <c r="D1457">
        <v>155.30000000000001</v>
      </c>
      <c r="E1457">
        <v>23</v>
      </c>
      <c r="F1457">
        <v>1.9</v>
      </c>
      <c r="G1457">
        <v>1</v>
      </c>
      <c r="H1457" t="s">
        <v>1210</v>
      </c>
    </row>
    <row r="1458" spans="1:8" x14ac:dyDescent="0.45">
      <c r="A1458" t="s">
        <v>1119</v>
      </c>
      <c r="B1458" t="s">
        <v>98</v>
      </c>
      <c r="C1458">
        <v>7085</v>
      </c>
      <c r="D1458">
        <v>629.6</v>
      </c>
      <c r="E1458">
        <v>159.80000000000001</v>
      </c>
      <c r="F1458">
        <v>3.3</v>
      </c>
      <c r="G1458">
        <v>1</v>
      </c>
      <c r="H1458" t="s">
        <v>1210</v>
      </c>
    </row>
    <row r="1459" spans="1:8" x14ac:dyDescent="0.45">
      <c r="A1459" t="s">
        <v>1121</v>
      </c>
      <c r="B1459" t="s">
        <v>1132</v>
      </c>
      <c r="C1459">
        <v>5923</v>
      </c>
      <c r="D1459">
        <v>408</v>
      </c>
      <c r="E1459">
        <v>46.2</v>
      </c>
      <c r="F1459">
        <v>1.6</v>
      </c>
      <c r="G1459">
        <v>0.4</v>
      </c>
      <c r="H1459" t="s">
        <v>1210</v>
      </c>
    </row>
    <row r="1460" spans="1:8" x14ac:dyDescent="0.45">
      <c r="A1460" t="s">
        <v>1127</v>
      </c>
      <c r="B1460" t="s">
        <v>64</v>
      </c>
      <c r="C1460">
        <v>3628</v>
      </c>
      <c r="D1460">
        <v>472.6</v>
      </c>
      <c r="E1460">
        <v>82.8</v>
      </c>
      <c r="F1460">
        <v>3.7</v>
      </c>
      <c r="G1460">
        <v>0.9</v>
      </c>
      <c r="H1460" t="s">
        <v>1210</v>
      </c>
    </row>
    <row r="1461" spans="1:8" x14ac:dyDescent="0.45">
      <c r="A1461" t="s">
        <v>1118</v>
      </c>
      <c r="B1461" t="s">
        <v>102</v>
      </c>
      <c r="C1461">
        <v>771</v>
      </c>
      <c r="D1461">
        <v>312.89999999999998</v>
      </c>
      <c r="E1461">
        <v>34.4</v>
      </c>
      <c r="F1461">
        <v>3.4</v>
      </c>
      <c r="G1461">
        <v>1.5</v>
      </c>
      <c r="H1461" t="s">
        <v>1210</v>
      </c>
    </row>
    <row r="1462" spans="1:8" x14ac:dyDescent="0.45">
      <c r="A1462" t="s">
        <v>1119</v>
      </c>
      <c r="B1462" t="s">
        <v>23</v>
      </c>
      <c r="C1462">
        <v>1826</v>
      </c>
      <c r="D1462">
        <v>411.4</v>
      </c>
      <c r="E1462">
        <v>179.1</v>
      </c>
      <c r="F1462">
        <v>2.5</v>
      </c>
      <c r="G1462">
        <v>1</v>
      </c>
      <c r="H1462" t="s">
        <v>1210</v>
      </c>
    </row>
    <row r="1463" spans="1:8" x14ac:dyDescent="0.45">
      <c r="A1463" t="s">
        <v>1116</v>
      </c>
      <c r="B1463" t="s">
        <v>107</v>
      </c>
      <c r="C1463">
        <v>4852</v>
      </c>
      <c r="D1463">
        <v>378</v>
      </c>
      <c r="E1463">
        <v>231.7</v>
      </c>
      <c r="F1463">
        <v>5.7</v>
      </c>
      <c r="G1463">
        <v>1.6</v>
      </c>
      <c r="H1463" t="s">
        <v>1210</v>
      </c>
    </row>
    <row r="1464" spans="1:8" x14ac:dyDescent="0.45">
      <c r="A1464" t="s">
        <v>1114</v>
      </c>
      <c r="B1464" t="s">
        <v>108</v>
      </c>
      <c r="D1464">
        <v>275</v>
      </c>
      <c r="E1464">
        <v>33.200000000000003</v>
      </c>
      <c r="F1464">
        <v>6.5</v>
      </c>
      <c r="G1464">
        <v>1.3</v>
      </c>
    </row>
    <row r="1465" spans="1:8" x14ac:dyDescent="0.45">
      <c r="A1465" t="s">
        <v>1120</v>
      </c>
      <c r="B1465" t="s">
        <v>49</v>
      </c>
      <c r="C1465">
        <v>4613</v>
      </c>
      <c r="D1465">
        <v>299.89999999999998</v>
      </c>
      <c r="E1465">
        <v>42.2</v>
      </c>
      <c r="F1465">
        <v>1.7</v>
      </c>
      <c r="G1465">
        <v>0.5</v>
      </c>
      <c r="H1465" t="s">
        <v>1210</v>
      </c>
    </row>
    <row r="1466" spans="1:8" x14ac:dyDescent="0.45">
      <c r="A1466" t="s">
        <v>1114</v>
      </c>
      <c r="B1466" t="s">
        <v>1129</v>
      </c>
      <c r="C1466">
        <v>1989</v>
      </c>
      <c r="D1466">
        <v>580.4</v>
      </c>
      <c r="E1466">
        <v>138.30000000000001</v>
      </c>
      <c r="F1466">
        <v>4.3</v>
      </c>
      <c r="G1466">
        <v>1.3</v>
      </c>
      <c r="H1466" t="s">
        <v>1210</v>
      </c>
    </row>
    <row r="1467" spans="1:8" x14ac:dyDescent="0.45">
      <c r="A1467" t="s">
        <v>1122</v>
      </c>
      <c r="B1467" t="s">
        <v>19</v>
      </c>
      <c r="C1467">
        <v>654</v>
      </c>
      <c r="D1467">
        <v>302.89999999999998</v>
      </c>
      <c r="E1467">
        <v>113.8</v>
      </c>
      <c r="F1467">
        <v>0.8</v>
      </c>
      <c r="G1467">
        <v>0.2</v>
      </c>
      <c r="H1467" t="s">
        <v>1210</v>
      </c>
    </row>
    <row r="1468" spans="1:8" x14ac:dyDescent="0.45">
      <c r="A1468" t="s">
        <v>1118</v>
      </c>
      <c r="B1468" t="s">
        <v>1140</v>
      </c>
      <c r="C1468">
        <v>7181</v>
      </c>
      <c r="D1468">
        <v>507.9</v>
      </c>
      <c r="E1468">
        <v>56.2</v>
      </c>
      <c r="F1468">
        <v>5.8</v>
      </c>
      <c r="G1468">
        <v>1.5</v>
      </c>
      <c r="H1468" t="s">
        <v>1210</v>
      </c>
    </row>
    <row r="1469" spans="1:8" x14ac:dyDescent="0.45">
      <c r="A1469" t="s">
        <v>1127</v>
      </c>
      <c r="B1469" t="s">
        <v>53</v>
      </c>
      <c r="C1469">
        <v>865</v>
      </c>
      <c r="D1469">
        <v>141.4</v>
      </c>
      <c r="E1469">
        <v>62.5</v>
      </c>
      <c r="F1469">
        <v>2.7</v>
      </c>
      <c r="G1469">
        <v>0.9</v>
      </c>
      <c r="H1469" t="s">
        <v>1210</v>
      </c>
    </row>
    <row r="1470" spans="1:8" x14ac:dyDescent="0.45">
      <c r="A1470" t="s">
        <v>1123</v>
      </c>
      <c r="B1470" t="s">
        <v>32</v>
      </c>
      <c r="C1470">
        <v>1770</v>
      </c>
      <c r="D1470">
        <v>288.7</v>
      </c>
      <c r="E1470">
        <v>122</v>
      </c>
      <c r="F1470">
        <v>1</v>
      </c>
      <c r="G1470">
        <v>0.3</v>
      </c>
      <c r="H1470" t="s">
        <v>1210</v>
      </c>
    </row>
    <row r="1471" spans="1:8" x14ac:dyDescent="0.45">
      <c r="A1471" t="s">
        <v>1119</v>
      </c>
      <c r="B1471" t="s">
        <v>80</v>
      </c>
      <c r="C1471">
        <v>5969</v>
      </c>
      <c r="D1471">
        <v>410</v>
      </c>
      <c r="E1471">
        <v>43.6</v>
      </c>
      <c r="F1471">
        <v>2.1</v>
      </c>
      <c r="G1471">
        <v>1</v>
      </c>
      <c r="H1471" t="s">
        <v>1210</v>
      </c>
    </row>
    <row r="1472" spans="1:8" x14ac:dyDescent="0.45">
      <c r="A1472" t="s">
        <v>1118</v>
      </c>
      <c r="B1472" t="s">
        <v>43</v>
      </c>
      <c r="C1472">
        <v>112</v>
      </c>
      <c r="D1472">
        <v>166.5</v>
      </c>
      <c r="E1472">
        <v>70</v>
      </c>
      <c r="F1472">
        <v>5</v>
      </c>
      <c r="G1472">
        <v>1.5</v>
      </c>
      <c r="H1472" t="s">
        <v>1210</v>
      </c>
    </row>
    <row r="1473" spans="1:8" x14ac:dyDescent="0.45">
      <c r="A1473" t="s">
        <v>1124</v>
      </c>
      <c r="B1473" t="s">
        <v>1137</v>
      </c>
      <c r="C1473">
        <v>2839</v>
      </c>
      <c r="D1473">
        <v>454</v>
      </c>
      <c r="E1473">
        <v>61.2</v>
      </c>
      <c r="F1473">
        <v>0.6</v>
      </c>
      <c r="G1473">
        <v>0.3</v>
      </c>
      <c r="H1473" t="s">
        <v>1210</v>
      </c>
    </row>
    <row r="1474" spans="1:8" x14ac:dyDescent="0.45">
      <c r="A1474" t="s">
        <v>1115</v>
      </c>
      <c r="B1474" t="s">
        <v>45</v>
      </c>
      <c r="C1474">
        <v>3430</v>
      </c>
      <c r="D1474">
        <v>515.20000000000005</v>
      </c>
      <c r="E1474">
        <v>56.1</v>
      </c>
      <c r="F1474">
        <v>1.1000000000000001</v>
      </c>
      <c r="G1474">
        <v>0.6</v>
      </c>
      <c r="H1474" t="s">
        <v>1210</v>
      </c>
    </row>
    <row r="1475" spans="1:8" x14ac:dyDescent="0.45">
      <c r="A1475" t="s">
        <v>1117</v>
      </c>
      <c r="B1475" t="s">
        <v>91</v>
      </c>
      <c r="C1475">
        <v>7283</v>
      </c>
      <c r="D1475">
        <v>468.1</v>
      </c>
      <c r="E1475">
        <v>296.3</v>
      </c>
      <c r="F1475">
        <v>2</v>
      </c>
      <c r="G1475">
        <v>0.5</v>
      </c>
      <c r="H1475" t="s">
        <v>1210</v>
      </c>
    </row>
    <row r="1476" spans="1:8" x14ac:dyDescent="0.45">
      <c r="A1476" t="s">
        <v>1124</v>
      </c>
      <c r="B1476" t="s">
        <v>19</v>
      </c>
      <c r="C1476">
        <v>3534</v>
      </c>
      <c r="D1476">
        <v>232.9</v>
      </c>
      <c r="E1476">
        <v>70</v>
      </c>
      <c r="F1476">
        <v>0.5</v>
      </c>
      <c r="G1476">
        <v>0.3</v>
      </c>
      <c r="H1476" t="s">
        <v>1210</v>
      </c>
    </row>
    <row r="1477" spans="1:8" x14ac:dyDescent="0.45">
      <c r="A1477" t="s">
        <v>1114</v>
      </c>
      <c r="B1477" t="s">
        <v>1133</v>
      </c>
      <c r="C1477">
        <v>10397</v>
      </c>
      <c r="D1477">
        <v>899.9</v>
      </c>
      <c r="E1477">
        <v>158.69999999999999</v>
      </c>
      <c r="F1477">
        <v>2.4</v>
      </c>
      <c r="G1477">
        <v>1.3</v>
      </c>
      <c r="H1477" t="s">
        <v>1210</v>
      </c>
    </row>
    <row r="1478" spans="1:8" x14ac:dyDescent="0.45">
      <c r="A1478" t="s">
        <v>1122</v>
      </c>
      <c r="B1478" t="s">
        <v>85</v>
      </c>
      <c r="C1478">
        <v>6472</v>
      </c>
      <c r="D1478">
        <v>510.3</v>
      </c>
      <c r="E1478">
        <v>231.6</v>
      </c>
      <c r="F1478">
        <v>0.9</v>
      </c>
      <c r="G1478">
        <v>0.2</v>
      </c>
      <c r="H1478" t="s">
        <v>1210</v>
      </c>
    </row>
    <row r="1479" spans="1:8" x14ac:dyDescent="0.45">
      <c r="A1479" t="s">
        <v>1127</v>
      </c>
      <c r="B1479" t="s">
        <v>22</v>
      </c>
      <c r="C1479">
        <v>2810</v>
      </c>
      <c r="D1479">
        <v>291.39999999999998</v>
      </c>
      <c r="E1479">
        <v>122.3</v>
      </c>
      <c r="F1479">
        <v>2.9</v>
      </c>
      <c r="G1479">
        <v>0.9</v>
      </c>
      <c r="H1479" t="s">
        <v>1210</v>
      </c>
    </row>
    <row r="1480" spans="1:8" x14ac:dyDescent="0.45">
      <c r="A1480" t="s">
        <v>1117</v>
      </c>
      <c r="B1480" t="s">
        <v>54</v>
      </c>
      <c r="C1480">
        <v>4080</v>
      </c>
      <c r="D1480">
        <v>379.7</v>
      </c>
      <c r="E1480">
        <v>56</v>
      </c>
      <c r="F1480">
        <v>2.2999999999999998</v>
      </c>
      <c r="G1480">
        <v>0.5</v>
      </c>
      <c r="H1480" t="s">
        <v>1210</v>
      </c>
    </row>
    <row r="1481" spans="1:8" x14ac:dyDescent="0.45">
      <c r="A1481" t="s">
        <v>1115</v>
      </c>
      <c r="B1481" t="s">
        <v>92</v>
      </c>
      <c r="C1481">
        <v>3883</v>
      </c>
      <c r="D1481">
        <v>272.2</v>
      </c>
      <c r="E1481">
        <v>70.2</v>
      </c>
      <c r="F1481">
        <v>2.2999999999999998</v>
      </c>
      <c r="G1481">
        <v>0.6</v>
      </c>
      <c r="H1481" t="s">
        <v>1210</v>
      </c>
    </row>
    <row r="1482" spans="1:8" x14ac:dyDescent="0.45">
      <c r="A1482" t="s">
        <v>1125</v>
      </c>
      <c r="B1482" t="s">
        <v>49</v>
      </c>
      <c r="C1482">
        <v>1188</v>
      </c>
      <c r="D1482">
        <v>391.3</v>
      </c>
      <c r="E1482">
        <v>62.1</v>
      </c>
      <c r="F1482">
        <v>6.7</v>
      </c>
      <c r="G1482">
        <v>1.2</v>
      </c>
      <c r="H1482" t="s">
        <v>1210</v>
      </c>
    </row>
    <row r="1483" spans="1:8" x14ac:dyDescent="0.45">
      <c r="A1483" t="s">
        <v>1128</v>
      </c>
      <c r="B1483" t="s">
        <v>101</v>
      </c>
      <c r="C1483">
        <v>2855</v>
      </c>
      <c r="D1483">
        <v>371.3</v>
      </c>
      <c r="E1483">
        <v>69.400000000000006</v>
      </c>
      <c r="F1483">
        <v>1.2</v>
      </c>
      <c r="G1483">
        <v>0.5</v>
      </c>
      <c r="H1483" t="s">
        <v>1210</v>
      </c>
    </row>
    <row r="1484" spans="1:8" x14ac:dyDescent="0.45">
      <c r="A1484" t="s">
        <v>1119</v>
      </c>
      <c r="B1484" t="s">
        <v>1129</v>
      </c>
      <c r="C1484">
        <v>3099</v>
      </c>
      <c r="D1484">
        <v>361.4</v>
      </c>
      <c r="E1484">
        <v>87.3</v>
      </c>
      <c r="F1484">
        <v>3.4</v>
      </c>
      <c r="G1484">
        <v>1</v>
      </c>
      <c r="H1484" t="s">
        <v>1210</v>
      </c>
    </row>
    <row r="1485" spans="1:8" x14ac:dyDescent="0.45">
      <c r="A1485" t="s">
        <v>1115</v>
      </c>
      <c r="B1485" t="s">
        <v>71</v>
      </c>
      <c r="C1485">
        <v>5830</v>
      </c>
      <c r="E1485">
        <v>42.4</v>
      </c>
      <c r="F1485">
        <v>1.2</v>
      </c>
      <c r="G1485">
        <v>0.6</v>
      </c>
      <c r="H1485" t="s">
        <v>1210</v>
      </c>
    </row>
    <row r="1486" spans="1:8" x14ac:dyDescent="0.45">
      <c r="A1486" t="s">
        <v>1117</v>
      </c>
      <c r="B1486" t="s">
        <v>64</v>
      </c>
      <c r="C1486">
        <v>10742</v>
      </c>
      <c r="D1486">
        <v>606.1</v>
      </c>
      <c r="E1486">
        <v>103.5</v>
      </c>
      <c r="F1486">
        <v>2.5</v>
      </c>
      <c r="G1486">
        <v>0.5</v>
      </c>
      <c r="H1486" t="s">
        <v>1210</v>
      </c>
    </row>
    <row r="1487" spans="1:8" x14ac:dyDescent="0.45">
      <c r="A1487" t="s">
        <v>1116</v>
      </c>
      <c r="B1487" t="s">
        <v>53</v>
      </c>
      <c r="C1487">
        <v>1435</v>
      </c>
      <c r="D1487">
        <v>259.2</v>
      </c>
      <c r="E1487">
        <v>108.3</v>
      </c>
      <c r="F1487">
        <v>8.3000000000000007</v>
      </c>
      <c r="G1487">
        <v>1.6</v>
      </c>
      <c r="H1487" t="s">
        <v>1210</v>
      </c>
    </row>
    <row r="1488" spans="1:8" x14ac:dyDescent="0.45">
      <c r="A1488" t="s">
        <v>1118</v>
      </c>
      <c r="B1488" t="s">
        <v>36</v>
      </c>
      <c r="C1488">
        <v>330</v>
      </c>
      <c r="D1488">
        <v>143.19999999999999</v>
      </c>
      <c r="E1488">
        <v>45.5</v>
      </c>
      <c r="F1488">
        <v>5.2</v>
      </c>
      <c r="G1488">
        <v>1.5</v>
      </c>
      <c r="H1488" t="s">
        <v>1210</v>
      </c>
    </row>
    <row r="1489" spans="1:8" x14ac:dyDescent="0.45">
      <c r="A1489" t="s">
        <v>1117</v>
      </c>
      <c r="B1489" t="s">
        <v>98</v>
      </c>
      <c r="C1489">
        <v>17755</v>
      </c>
      <c r="D1489">
        <v>996.3</v>
      </c>
      <c r="E1489">
        <v>150.9</v>
      </c>
      <c r="F1489">
        <v>1.9</v>
      </c>
      <c r="G1489">
        <v>0.5</v>
      </c>
      <c r="H1489" t="s">
        <v>1210</v>
      </c>
    </row>
    <row r="1490" spans="1:8" x14ac:dyDescent="0.45">
      <c r="A1490" t="s">
        <v>1119</v>
      </c>
      <c r="B1490" t="s">
        <v>12</v>
      </c>
      <c r="C1490">
        <v>8723</v>
      </c>
      <c r="D1490">
        <v>571.6</v>
      </c>
      <c r="E1490">
        <v>70.7</v>
      </c>
      <c r="F1490">
        <v>0.9</v>
      </c>
      <c r="G1490">
        <v>1</v>
      </c>
      <c r="H1490" t="s">
        <v>1210</v>
      </c>
    </row>
    <row r="1491" spans="1:8" x14ac:dyDescent="0.45">
      <c r="A1491" t="s">
        <v>1121</v>
      </c>
      <c r="B1491" t="s">
        <v>25</v>
      </c>
      <c r="C1491">
        <v>763</v>
      </c>
      <c r="D1491">
        <v>398</v>
      </c>
      <c r="E1491">
        <v>131</v>
      </c>
      <c r="F1491">
        <v>2.6</v>
      </c>
      <c r="G1491">
        <v>0.4</v>
      </c>
      <c r="H1491" t="s">
        <v>1210</v>
      </c>
    </row>
    <row r="1492" spans="1:8" x14ac:dyDescent="0.45">
      <c r="A1492" t="s">
        <v>1122</v>
      </c>
      <c r="B1492" t="s">
        <v>66</v>
      </c>
      <c r="C1492">
        <v>3422</v>
      </c>
      <c r="D1492">
        <v>403.9</v>
      </c>
      <c r="E1492">
        <v>70</v>
      </c>
      <c r="F1492">
        <v>0.8</v>
      </c>
      <c r="G1492">
        <v>0.2</v>
      </c>
      <c r="H1492" t="s">
        <v>1210</v>
      </c>
    </row>
    <row r="1493" spans="1:8" x14ac:dyDescent="0.45">
      <c r="A1493" t="s">
        <v>1124</v>
      </c>
      <c r="B1493" t="s">
        <v>75</v>
      </c>
      <c r="C1493">
        <v>2067</v>
      </c>
      <c r="D1493">
        <v>276.3</v>
      </c>
      <c r="E1493">
        <v>46.3</v>
      </c>
      <c r="F1493">
        <v>0.9</v>
      </c>
      <c r="G1493">
        <v>0.3</v>
      </c>
      <c r="H1493" t="s">
        <v>1210</v>
      </c>
    </row>
    <row r="1494" spans="1:8" x14ac:dyDescent="0.45">
      <c r="A1494" t="s">
        <v>1121</v>
      </c>
      <c r="B1494" t="s">
        <v>18</v>
      </c>
      <c r="C1494">
        <v>2219</v>
      </c>
      <c r="D1494">
        <v>390.8</v>
      </c>
      <c r="E1494">
        <v>73.7</v>
      </c>
      <c r="F1494">
        <v>1.9</v>
      </c>
      <c r="G1494">
        <v>0.4</v>
      </c>
      <c r="H1494" t="s">
        <v>1210</v>
      </c>
    </row>
    <row r="1495" spans="1:8" x14ac:dyDescent="0.45">
      <c r="A1495" t="s">
        <v>1116</v>
      </c>
      <c r="B1495" t="s">
        <v>70</v>
      </c>
      <c r="C1495">
        <v>1195</v>
      </c>
      <c r="E1495">
        <v>90.5</v>
      </c>
      <c r="F1495">
        <v>4.4000000000000004</v>
      </c>
      <c r="G1495">
        <v>1.6</v>
      </c>
      <c r="H1495" t="s">
        <v>1210</v>
      </c>
    </row>
    <row r="1496" spans="1:8" x14ac:dyDescent="0.45">
      <c r="A1496" t="s">
        <v>1120</v>
      </c>
      <c r="B1496" t="s">
        <v>44</v>
      </c>
      <c r="C1496">
        <v>6610</v>
      </c>
      <c r="D1496">
        <v>630.70000000000005</v>
      </c>
      <c r="E1496">
        <v>183.1</v>
      </c>
      <c r="F1496">
        <v>2.1</v>
      </c>
      <c r="G1496">
        <v>0.5</v>
      </c>
      <c r="H1496" t="s">
        <v>1210</v>
      </c>
    </row>
    <row r="1497" spans="1:8" x14ac:dyDescent="0.45">
      <c r="A1497" t="s">
        <v>1125</v>
      </c>
      <c r="B1497" t="s">
        <v>54</v>
      </c>
      <c r="C1497">
        <v>2459</v>
      </c>
      <c r="D1497">
        <v>270.39999999999998</v>
      </c>
      <c r="E1497">
        <v>36.299999999999997</v>
      </c>
      <c r="F1497">
        <v>5.0999999999999996</v>
      </c>
      <c r="G1497">
        <v>1.2</v>
      </c>
      <c r="H1497" t="s">
        <v>1210</v>
      </c>
    </row>
    <row r="1498" spans="1:8" x14ac:dyDescent="0.45">
      <c r="A1498" t="s">
        <v>1123</v>
      </c>
      <c r="B1498" t="s">
        <v>23</v>
      </c>
      <c r="C1498">
        <v>2690</v>
      </c>
      <c r="D1498">
        <v>299</v>
      </c>
      <c r="E1498">
        <v>82.9</v>
      </c>
      <c r="F1498">
        <v>0.5</v>
      </c>
      <c r="G1498">
        <v>0.3</v>
      </c>
      <c r="H1498" t="s">
        <v>1210</v>
      </c>
    </row>
    <row r="1499" spans="1:8" x14ac:dyDescent="0.45">
      <c r="A1499" t="s">
        <v>1121</v>
      </c>
      <c r="B1499" t="s">
        <v>5</v>
      </c>
      <c r="C1499">
        <v>418</v>
      </c>
      <c r="D1499">
        <v>153.5</v>
      </c>
      <c r="E1499">
        <v>14.3</v>
      </c>
      <c r="F1499">
        <v>2.8</v>
      </c>
      <c r="G1499">
        <v>0.4</v>
      </c>
      <c r="H1499" t="s">
        <v>1210</v>
      </c>
    </row>
    <row r="1500" spans="1:8" x14ac:dyDescent="0.45">
      <c r="A1500" t="s">
        <v>1115</v>
      </c>
      <c r="B1500" t="s">
        <v>8</v>
      </c>
      <c r="C1500">
        <v>2366</v>
      </c>
      <c r="D1500">
        <v>506.7</v>
      </c>
      <c r="E1500">
        <v>145.5</v>
      </c>
      <c r="F1500">
        <v>1.4</v>
      </c>
      <c r="G1500">
        <v>0.6</v>
      </c>
      <c r="H1500" t="s">
        <v>1210</v>
      </c>
    </row>
    <row r="1501" spans="1:8" x14ac:dyDescent="0.45">
      <c r="A1501" t="s">
        <v>1127</v>
      </c>
      <c r="B1501" t="s">
        <v>1135</v>
      </c>
      <c r="C1501">
        <v>852</v>
      </c>
      <c r="E1501">
        <v>35.9</v>
      </c>
      <c r="F1501">
        <v>2</v>
      </c>
      <c r="G1501">
        <v>0.9</v>
      </c>
      <c r="H1501" t="s">
        <v>1210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6987F-8093-4EE6-8E6B-42834F7F4251}">
  <dimension ref="A1:F101"/>
  <sheetViews>
    <sheetView workbookViewId="0">
      <selection activeCell="F1" sqref="F1:F1048576"/>
    </sheetView>
  </sheetViews>
  <sheetFormatPr defaultRowHeight="14.25" x14ac:dyDescent="0.45"/>
  <cols>
    <col min="1" max="1" width="11.59765625" bestFit="1" customWidth="1"/>
    <col min="2" max="2" width="21.1328125" bestFit="1" customWidth="1"/>
    <col min="3" max="3" width="17.9296875" bestFit="1" customWidth="1"/>
    <col min="4" max="4" width="11.06640625" bestFit="1" customWidth="1"/>
    <col min="5" max="5" width="16.1328125" bestFit="1" customWidth="1"/>
    <col min="6" max="7" width="15.59765625" bestFit="1" customWidth="1"/>
  </cols>
  <sheetData>
    <row r="1" spans="1:6" x14ac:dyDescent="0.45">
      <c r="A1" t="s">
        <v>0</v>
      </c>
      <c r="B1" t="s">
        <v>1</v>
      </c>
      <c r="C1" t="s">
        <v>2</v>
      </c>
      <c r="D1" t="s">
        <v>3</v>
      </c>
      <c r="E1" t="s">
        <v>1354</v>
      </c>
      <c r="F1" t="s">
        <v>4</v>
      </c>
    </row>
    <row r="2" spans="1:6" x14ac:dyDescent="0.45">
      <c r="A2" t="s">
        <v>5</v>
      </c>
      <c r="B2" t="s">
        <v>1152</v>
      </c>
      <c r="C2" t="s">
        <v>6</v>
      </c>
      <c r="D2">
        <v>10.6</v>
      </c>
      <c r="E2">
        <v>96</v>
      </c>
      <c r="F2">
        <v>445</v>
      </c>
    </row>
    <row r="3" spans="1:6" x14ac:dyDescent="0.45">
      <c r="A3" t="s">
        <v>7</v>
      </c>
      <c r="B3" t="s">
        <v>1153</v>
      </c>
      <c r="C3" t="s">
        <v>6</v>
      </c>
      <c r="D3">
        <v>9.56</v>
      </c>
      <c r="E3">
        <v>136</v>
      </c>
      <c r="F3">
        <v>345</v>
      </c>
    </row>
    <row r="4" spans="1:6" x14ac:dyDescent="0.45">
      <c r="A4" t="s">
        <v>8</v>
      </c>
      <c r="B4" t="s">
        <v>1154</v>
      </c>
      <c r="C4" t="s">
        <v>9</v>
      </c>
      <c r="D4">
        <v>5.25</v>
      </c>
      <c r="E4">
        <v>76</v>
      </c>
      <c r="F4">
        <v>104</v>
      </c>
    </row>
    <row r="5" spans="1:6" x14ac:dyDescent="0.45">
      <c r="A5" t="s">
        <v>10</v>
      </c>
      <c r="B5" t="s">
        <v>1155</v>
      </c>
      <c r="C5" t="s">
        <v>11</v>
      </c>
      <c r="D5">
        <v>14.2</v>
      </c>
      <c r="E5">
        <v>95</v>
      </c>
      <c r="F5">
        <v>277</v>
      </c>
    </row>
    <row r="6" spans="1:6" x14ac:dyDescent="0.45">
      <c r="A6" t="s">
        <v>12</v>
      </c>
      <c r="B6" t="s">
        <v>73</v>
      </c>
      <c r="C6" t="s">
        <v>11</v>
      </c>
      <c r="E6">
        <v>69</v>
      </c>
      <c r="F6">
        <v>291</v>
      </c>
    </row>
    <row r="7" spans="1:6" x14ac:dyDescent="0.45">
      <c r="A7" t="s">
        <v>13</v>
      </c>
      <c r="B7" t="s">
        <v>1156</v>
      </c>
      <c r="C7" t="s">
        <v>14</v>
      </c>
      <c r="D7">
        <v>8.18</v>
      </c>
      <c r="E7">
        <v>90</v>
      </c>
      <c r="F7">
        <v>29</v>
      </c>
    </row>
    <row r="8" spans="1:6" x14ac:dyDescent="0.45">
      <c r="A8" t="s">
        <v>15</v>
      </c>
      <c r="B8" t="s">
        <v>1157</v>
      </c>
      <c r="C8" t="s">
        <v>9</v>
      </c>
      <c r="D8">
        <v>5.53</v>
      </c>
      <c r="E8">
        <v>42</v>
      </c>
      <c r="F8">
        <v>114</v>
      </c>
    </row>
    <row r="9" spans="1:6" x14ac:dyDescent="0.45">
      <c r="A9" t="s">
        <v>1131</v>
      </c>
      <c r="B9" t="s">
        <v>16</v>
      </c>
      <c r="C9" t="s">
        <v>17</v>
      </c>
      <c r="D9">
        <v>11.96</v>
      </c>
      <c r="E9">
        <v>101</v>
      </c>
      <c r="F9">
        <v>90</v>
      </c>
    </row>
    <row r="10" spans="1:6" x14ac:dyDescent="0.45">
      <c r="A10" t="s">
        <v>18</v>
      </c>
      <c r="B10" t="s">
        <v>1158</v>
      </c>
      <c r="C10" t="s">
        <v>11</v>
      </c>
      <c r="D10">
        <v>16.489999999999998</v>
      </c>
      <c r="E10">
        <v>102</v>
      </c>
      <c r="F10">
        <v>315</v>
      </c>
    </row>
    <row r="11" spans="1:6" x14ac:dyDescent="0.45">
      <c r="A11" t="s">
        <v>1133</v>
      </c>
      <c r="B11" t="s">
        <v>1159</v>
      </c>
      <c r="C11" t="s">
        <v>9</v>
      </c>
      <c r="D11">
        <v>3.75</v>
      </c>
      <c r="E11">
        <v>41</v>
      </c>
      <c r="F11">
        <v>106</v>
      </c>
    </row>
    <row r="12" spans="1:6" x14ac:dyDescent="0.45">
      <c r="A12" t="s">
        <v>19</v>
      </c>
      <c r="B12" t="s">
        <v>1160</v>
      </c>
      <c r="C12" t="s">
        <v>14</v>
      </c>
      <c r="D12">
        <v>8.0500000000000007</v>
      </c>
      <c r="E12">
        <v>147</v>
      </c>
      <c r="F12">
        <v>28</v>
      </c>
    </row>
    <row r="13" spans="1:6" x14ac:dyDescent="0.45">
      <c r="A13" t="s">
        <v>1137</v>
      </c>
      <c r="B13" t="s">
        <v>1161</v>
      </c>
      <c r="C13" t="s">
        <v>6</v>
      </c>
      <c r="D13">
        <v>10.96</v>
      </c>
      <c r="E13">
        <v>128</v>
      </c>
      <c r="F13">
        <v>520</v>
      </c>
    </row>
    <row r="14" spans="1:6" x14ac:dyDescent="0.45">
      <c r="A14" t="s">
        <v>20</v>
      </c>
      <c r="B14" t="s">
        <v>21</v>
      </c>
      <c r="C14" t="s">
        <v>11</v>
      </c>
      <c r="D14">
        <v>15.66</v>
      </c>
      <c r="E14">
        <v>72</v>
      </c>
      <c r="F14">
        <v>306</v>
      </c>
    </row>
    <row r="15" spans="1:6" x14ac:dyDescent="0.45">
      <c r="A15" t="s">
        <v>22</v>
      </c>
      <c r="B15" t="s">
        <v>1162</v>
      </c>
      <c r="C15" t="s">
        <v>17</v>
      </c>
      <c r="D15">
        <v>5.27</v>
      </c>
      <c r="E15">
        <v>60</v>
      </c>
      <c r="F15">
        <v>129</v>
      </c>
    </row>
    <row r="16" spans="1:6" x14ac:dyDescent="0.45">
      <c r="A16" t="s">
        <v>1138</v>
      </c>
      <c r="B16" t="s">
        <v>1163</v>
      </c>
      <c r="C16" t="s">
        <v>9</v>
      </c>
      <c r="D16">
        <v>3.92</v>
      </c>
      <c r="E16">
        <v>49</v>
      </c>
      <c r="F16">
        <v>98</v>
      </c>
    </row>
    <row r="17" spans="1:6" x14ac:dyDescent="0.45">
      <c r="A17" t="s">
        <v>23</v>
      </c>
      <c r="B17" t="s">
        <v>1164</v>
      </c>
      <c r="C17" t="s">
        <v>14</v>
      </c>
      <c r="D17">
        <v>7.71</v>
      </c>
      <c r="E17">
        <v>101</v>
      </c>
      <c r="F17">
        <v>23</v>
      </c>
    </row>
    <row r="18" spans="1:6" x14ac:dyDescent="0.45">
      <c r="A18" t="s">
        <v>24</v>
      </c>
      <c r="B18" t="s">
        <v>1165</v>
      </c>
      <c r="C18" t="s">
        <v>9</v>
      </c>
      <c r="D18">
        <v>6.95</v>
      </c>
      <c r="E18">
        <v>66</v>
      </c>
      <c r="F18">
        <v>95</v>
      </c>
    </row>
    <row r="19" spans="1:6" x14ac:dyDescent="0.45">
      <c r="A19" t="s">
        <v>1141</v>
      </c>
      <c r="B19" t="s">
        <v>1166</v>
      </c>
      <c r="C19" t="s">
        <v>6</v>
      </c>
      <c r="E19">
        <v>100</v>
      </c>
      <c r="F19">
        <v>512</v>
      </c>
    </row>
    <row r="20" spans="1:6" x14ac:dyDescent="0.45">
      <c r="A20" t="s">
        <v>25</v>
      </c>
      <c r="B20" t="s">
        <v>1164</v>
      </c>
      <c r="C20" t="s">
        <v>14</v>
      </c>
      <c r="D20">
        <v>10.37</v>
      </c>
      <c r="E20">
        <v>100</v>
      </c>
      <c r="F20">
        <v>24</v>
      </c>
    </row>
    <row r="21" spans="1:6" x14ac:dyDescent="0.45">
      <c r="A21" t="s">
        <v>1136</v>
      </c>
      <c r="B21" t="s">
        <v>26</v>
      </c>
      <c r="C21" t="s">
        <v>17</v>
      </c>
      <c r="D21">
        <v>11.98</v>
      </c>
      <c r="E21">
        <v>86</v>
      </c>
      <c r="F21">
        <v>123</v>
      </c>
    </row>
    <row r="22" spans="1:6" x14ac:dyDescent="0.45">
      <c r="A22" t="s">
        <v>27</v>
      </c>
      <c r="B22" t="s">
        <v>1167</v>
      </c>
      <c r="C22" t="s">
        <v>17</v>
      </c>
      <c r="D22">
        <v>4.37</v>
      </c>
      <c r="E22">
        <v>58</v>
      </c>
      <c r="F22">
        <v>92</v>
      </c>
    </row>
    <row r="23" spans="1:6" x14ac:dyDescent="0.45">
      <c r="A23" t="s">
        <v>28</v>
      </c>
      <c r="B23" t="s">
        <v>1168</v>
      </c>
      <c r="C23" t="s">
        <v>14</v>
      </c>
      <c r="D23">
        <v>8.94</v>
      </c>
      <c r="E23">
        <v>100</v>
      </c>
      <c r="F23">
        <v>17</v>
      </c>
    </row>
    <row r="24" spans="1:6" x14ac:dyDescent="0.45">
      <c r="A24" t="s">
        <v>29</v>
      </c>
      <c r="B24" t="s">
        <v>1169</v>
      </c>
      <c r="C24" t="s">
        <v>9</v>
      </c>
      <c r="D24">
        <v>4</v>
      </c>
      <c r="E24">
        <v>58</v>
      </c>
      <c r="F24">
        <v>112</v>
      </c>
    </row>
    <row r="25" spans="1:6" x14ac:dyDescent="0.45">
      <c r="A25" t="s">
        <v>30</v>
      </c>
      <c r="B25" t="s">
        <v>1170</v>
      </c>
      <c r="C25" t="s">
        <v>9</v>
      </c>
      <c r="D25">
        <v>3.64</v>
      </c>
      <c r="E25">
        <v>62</v>
      </c>
      <c r="F25">
        <v>114</v>
      </c>
    </row>
    <row r="26" spans="1:6" x14ac:dyDescent="0.45">
      <c r="A26" t="s">
        <v>31</v>
      </c>
      <c r="B26" t="s">
        <v>1171</v>
      </c>
      <c r="C26" t="s">
        <v>6</v>
      </c>
      <c r="D26">
        <v>8.67</v>
      </c>
      <c r="E26">
        <v>124</v>
      </c>
      <c r="F26">
        <v>512</v>
      </c>
    </row>
    <row r="27" spans="1:6" x14ac:dyDescent="0.45">
      <c r="A27" t="s">
        <v>32</v>
      </c>
      <c r="B27" t="s">
        <v>1172</v>
      </c>
      <c r="C27" t="s">
        <v>14</v>
      </c>
      <c r="D27">
        <v>11.45</v>
      </c>
      <c r="E27">
        <v>93</v>
      </c>
      <c r="F27">
        <v>16</v>
      </c>
    </row>
    <row r="28" spans="1:6" x14ac:dyDescent="0.45">
      <c r="A28" t="s">
        <v>33</v>
      </c>
      <c r="B28" t="s">
        <v>34</v>
      </c>
      <c r="C28" t="s">
        <v>11</v>
      </c>
      <c r="D28">
        <v>16.28</v>
      </c>
      <c r="E28">
        <v>90</v>
      </c>
      <c r="F28">
        <v>280</v>
      </c>
    </row>
    <row r="29" spans="1:6" x14ac:dyDescent="0.45">
      <c r="A29" t="s">
        <v>35</v>
      </c>
      <c r="B29" t="s">
        <v>34</v>
      </c>
      <c r="C29" t="s">
        <v>11</v>
      </c>
      <c r="D29">
        <v>19.18</v>
      </c>
      <c r="E29">
        <v>95</v>
      </c>
      <c r="F29">
        <v>208</v>
      </c>
    </row>
    <row r="30" spans="1:6" x14ac:dyDescent="0.45">
      <c r="A30" t="s">
        <v>36</v>
      </c>
      <c r="B30" t="s">
        <v>1160</v>
      </c>
      <c r="C30" t="s">
        <v>14</v>
      </c>
      <c r="D30">
        <v>7.51</v>
      </c>
      <c r="E30">
        <v>83</v>
      </c>
      <c r="F30">
        <v>18</v>
      </c>
    </row>
    <row r="31" spans="1:6" x14ac:dyDescent="0.45">
      <c r="A31" t="s">
        <v>37</v>
      </c>
      <c r="B31" t="s">
        <v>38</v>
      </c>
      <c r="C31" t="s">
        <v>17</v>
      </c>
      <c r="D31">
        <v>7.76</v>
      </c>
      <c r="E31">
        <v>86</v>
      </c>
      <c r="F31">
        <v>112</v>
      </c>
    </row>
    <row r="32" spans="1:6" x14ac:dyDescent="0.45">
      <c r="A32" t="s">
        <v>39</v>
      </c>
      <c r="B32" t="s">
        <v>1173</v>
      </c>
      <c r="C32" t="s">
        <v>11</v>
      </c>
      <c r="D32">
        <v>14.35</v>
      </c>
      <c r="E32">
        <v>70</v>
      </c>
      <c r="F32">
        <v>240</v>
      </c>
    </row>
    <row r="33" spans="1:6" x14ac:dyDescent="0.45">
      <c r="A33" t="s">
        <v>40</v>
      </c>
      <c r="B33" t="s">
        <v>1153</v>
      </c>
      <c r="C33" t="s">
        <v>6</v>
      </c>
      <c r="D33">
        <v>15.1</v>
      </c>
      <c r="E33">
        <v>74</v>
      </c>
      <c r="F33">
        <v>443</v>
      </c>
    </row>
    <row r="34" spans="1:6" x14ac:dyDescent="0.45">
      <c r="A34" t="s">
        <v>41</v>
      </c>
      <c r="B34" t="s">
        <v>1174</v>
      </c>
      <c r="C34" t="s">
        <v>14</v>
      </c>
      <c r="D34">
        <v>6.24</v>
      </c>
      <c r="E34">
        <v>146</v>
      </c>
      <c r="F34">
        <v>24</v>
      </c>
    </row>
    <row r="35" spans="1:6" x14ac:dyDescent="0.45">
      <c r="A35" t="s">
        <v>42</v>
      </c>
      <c r="B35" t="s">
        <v>1175</v>
      </c>
      <c r="C35" t="s">
        <v>14</v>
      </c>
      <c r="D35">
        <v>7.45</v>
      </c>
      <c r="E35">
        <v>147</v>
      </c>
      <c r="F35">
        <v>28</v>
      </c>
    </row>
    <row r="36" spans="1:6" x14ac:dyDescent="0.45">
      <c r="A36" t="s">
        <v>43</v>
      </c>
      <c r="B36" t="s">
        <v>16</v>
      </c>
      <c r="C36" t="s">
        <v>17</v>
      </c>
      <c r="D36">
        <v>9.6999999999999993</v>
      </c>
      <c r="E36">
        <v>98</v>
      </c>
      <c r="F36">
        <v>115</v>
      </c>
    </row>
    <row r="37" spans="1:6" x14ac:dyDescent="0.45">
      <c r="A37" t="s">
        <v>44</v>
      </c>
      <c r="B37" t="s">
        <v>1176</v>
      </c>
      <c r="C37" t="s">
        <v>9</v>
      </c>
      <c r="D37">
        <v>3.48</v>
      </c>
      <c r="E37">
        <v>55</v>
      </c>
      <c r="F37">
        <v>118</v>
      </c>
    </row>
    <row r="38" spans="1:6" x14ac:dyDescent="0.45">
      <c r="A38" t="s">
        <v>45</v>
      </c>
      <c r="B38" t="s">
        <v>46</v>
      </c>
      <c r="C38" t="s">
        <v>11</v>
      </c>
      <c r="D38">
        <v>17.47</v>
      </c>
      <c r="E38">
        <v>65</v>
      </c>
      <c r="F38">
        <v>216</v>
      </c>
    </row>
    <row r="39" spans="1:6" x14ac:dyDescent="0.45">
      <c r="A39" t="s">
        <v>47</v>
      </c>
      <c r="B39" t="s">
        <v>1177</v>
      </c>
      <c r="C39" t="s">
        <v>6</v>
      </c>
      <c r="D39">
        <v>15.14</v>
      </c>
      <c r="E39">
        <v>117</v>
      </c>
      <c r="F39">
        <v>484</v>
      </c>
    </row>
    <row r="40" spans="1:6" x14ac:dyDescent="0.45">
      <c r="A40" t="s">
        <v>48</v>
      </c>
      <c r="B40" t="s">
        <v>1178</v>
      </c>
      <c r="C40" t="s">
        <v>9</v>
      </c>
      <c r="D40">
        <v>5.49</v>
      </c>
      <c r="E40">
        <v>62</v>
      </c>
      <c r="F40">
        <v>91</v>
      </c>
    </row>
    <row r="41" spans="1:6" x14ac:dyDescent="0.45">
      <c r="A41" t="s">
        <v>49</v>
      </c>
      <c r="B41" t="s">
        <v>21</v>
      </c>
      <c r="C41" t="s">
        <v>11</v>
      </c>
      <c r="D41">
        <v>21.99</v>
      </c>
      <c r="E41">
        <v>67</v>
      </c>
      <c r="F41">
        <v>213</v>
      </c>
    </row>
    <row r="42" spans="1:6" x14ac:dyDescent="0.45">
      <c r="A42" t="s">
        <v>50</v>
      </c>
      <c r="B42" t="s">
        <v>1179</v>
      </c>
      <c r="C42" t="s">
        <v>14</v>
      </c>
      <c r="D42">
        <v>9.02</v>
      </c>
      <c r="E42">
        <v>114</v>
      </c>
      <c r="F42">
        <v>18</v>
      </c>
    </row>
    <row r="43" spans="1:6" x14ac:dyDescent="0.45">
      <c r="A43" t="s">
        <v>51</v>
      </c>
      <c r="B43" t="s">
        <v>1180</v>
      </c>
      <c r="C43" t="s">
        <v>9</v>
      </c>
      <c r="D43">
        <v>3.44</v>
      </c>
      <c r="E43">
        <v>85</v>
      </c>
      <c r="F43">
        <v>102</v>
      </c>
    </row>
    <row r="44" spans="1:6" x14ac:dyDescent="0.45">
      <c r="A44" t="s">
        <v>52</v>
      </c>
      <c r="B44" t="s">
        <v>1164</v>
      </c>
      <c r="C44" t="s">
        <v>14</v>
      </c>
      <c r="D44">
        <v>11.01</v>
      </c>
      <c r="E44">
        <v>98</v>
      </c>
      <c r="F44">
        <v>16</v>
      </c>
    </row>
    <row r="45" spans="1:6" x14ac:dyDescent="0.45">
      <c r="A45" t="s">
        <v>53</v>
      </c>
      <c r="B45" t="s">
        <v>1179</v>
      </c>
      <c r="C45" t="s">
        <v>14</v>
      </c>
      <c r="D45">
        <v>10.029999999999999</v>
      </c>
      <c r="E45">
        <v>126</v>
      </c>
      <c r="F45">
        <v>17</v>
      </c>
    </row>
    <row r="46" spans="1:6" x14ac:dyDescent="0.45">
      <c r="A46" t="s">
        <v>54</v>
      </c>
      <c r="B46" t="s">
        <v>1171</v>
      </c>
      <c r="C46" t="s">
        <v>6</v>
      </c>
      <c r="D46">
        <v>12.85</v>
      </c>
      <c r="E46">
        <v>91</v>
      </c>
      <c r="F46">
        <v>297</v>
      </c>
    </row>
    <row r="47" spans="1:6" x14ac:dyDescent="0.45">
      <c r="A47" t="s">
        <v>55</v>
      </c>
      <c r="B47" t="s">
        <v>1159</v>
      </c>
      <c r="C47" t="s">
        <v>9</v>
      </c>
      <c r="D47">
        <v>3.48</v>
      </c>
      <c r="E47">
        <v>66</v>
      </c>
      <c r="F47">
        <v>112</v>
      </c>
    </row>
    <row r="48" spans="1:6" x14ac:dyDescent="0.45">
      <c r="A48" t="s">
        <v>56</v>
      </c>
      <c r="B48" t="s">
        <v>1181</v>
      </c>
      <c r="C48" t="s">
        <v>9</v>
      </c>
      <c r="D48">
        <v>6.27</v>
      </c>
      <c r="E48">
        <v>67</v>
      </c>
      <c r="F48">
        <v>90</v>
      </c>
    </row>
    <row r="49" spans="1:6" x14ac:dyDescent="0.45">
      <c r="A49" t="s">
        <v>57</v>
      </c>
      <c r="B49" t="s">
        <v>1182</v>
      </c>
      <c r="C49" t="s">
        <v>6</v>
      </c>
      <c r="D49">
        <v>8.19</v>
      </c>
      <c r="E49">
        <v>82</v>
      </c>
      <c r="F49">
        <v>317</v>
      </c>
    </row>
    <row r="50" spans="1:6" x14ac:dyDescent="0.45">
      <c r="A50" t="s">
        <v>1129</v>
      </c>
      <c r="B50" t="s">
        <v>1170</v>
      </c>
      <c r="C50" t="s">
        <v>9</v>
      </c>
      <c r="D50">
        <v>3.43</v>
      </c>
      <c r="E50">
        <v>88</v>
      </c>
      <c r="F50">
        <v>109</v>
      </c>
    </row>
    <row r="51" spans="1:6" x14ac:dyDescent="0.45">
      <c r="A51" t="s">
        <v>58</v>
      </c>
      <c r="B51" t="s">
        <v>1153</v>
      </c>
      <c r="C51" t="s">
        <v>6</v>
      </c>
      <c r="D51">
        <v>14.79</v>
      </c>
      <c r="E51">
        <v>124</v>
      </c>
      <c r="F51">
        <v>423</v>
      </c>
    </row>
    <row r="52" spans="1:6" x14ac:dyDescent="0.45">
      <c r="A52" t="s">
        <v>59</v>
      </c>
      <c r="B52" t="s">
        <v>1152</v>
      </c>
      <c r="C52" t="s">
        <v>6</v>
      </c>
      <c r="D52">
        <v>15.2</v>
      </c>
      <c r="E52">
        <v>135</v>
      </c>
      <c r="F52">
        <v>361</v>
      </c>
    </row>
    <row r="53" spans="1:6" x14ac:dyDescent="0.45">
      <c r="A53" t="s">
        <v>60</v>
      </c>
      <c r="B53" t="s">
        <v>1183</v>
      </c>
      <c r="C53" t="s">
        <v>9</v>
      </c>
      <c r="D53">
        <v>3.02</v>
      </c>
      <c r="E53">
        <v>84</v>
      </c>
      <c r="F53">
        <v>111</v>
      </c>
    </row>
    <row r="54" spans="1:6" x14ac:dyDescent="0.45">
      <c r="A54" t="s">
        <v>61</v>
      </c>
      <c r="B54" t="s">
        <v>1184</v>
      </c>
      <c r="C54" t="s">
        <v>11</v>
      </c>
      <c r="D54">
        <v>12.41</v>
      </c>
      <c r="E54">
        <v>95</v>
      </c>
      <c r="F54">
        <v>227</v>
      </c>
    </row>
    <row r="55" spans="1:6" x14ac:dyDescent="0.45">
      <c r="A55" t="s">
        <v>62</v>
      </c>
      <c r="B55" t="s">
        <v>1182</v>
      </c>
      <c r="C55" t="s">
        <v>6</v>
      </c>
      <c r="D55">
        <v>12.39</v>
      </c>
      <c r="E55">
        <v>134</v>
      </c>
      <c r="F55">
        <v>446</v>
      </c>
    </row>
    <row r="56" spans="1:6" x14ac:dyDescent="0.45">
      <c r="A56" t="s">
        <v>63</v>
      </c>
      <c r="B56" t="s">
        <v>1169</v>
      </c>
      <c r="C56" t="s">
        <v>9</v>
      </c>
      <c r="D56">
        <v>4.29</v>
      </c>
      <c r="E56">
        <v>44</v>
      </c>
      <c r="F56">
        <v>111</v>
      </c>
    </row>
    <row r="57" spans="1:6" x14ac:dyDescent="0.45">
      <c r="A57" t="s">
        <v>64</v>
      </c>
      <c r="B57" t="s">
        <v>1185</v>
      </c>
      <c r="C57" t="s">
        <v>9</v>
      </c>
      <c r="E57">
        <v>49</v>
      </c>
      <c r="F57">
        <v>104</v>
      </c>
    </row>
    <row r="58" spans="1:6" x14ac:dyDescent="0.45">
      <c r="A58" t="s">
        <v>65</v>
      </c>
      <c r="B58" t="s">
        <v>1186</v>
      </c>
      <c r="C58" t="s">
        <v>14</v>
      </c>
      <c r="D58">
        <v>9.8000000000000007</v>
      </c>
      <c r="E58">
        <v>83</v>
      </c>
      <c r="F58">
        <v>15</v>
      </c>
    </row>
    <row r="59" spans="1:6" x14ac:dyDescent="0.45">
      <c r="A59" t="s">
        <v>66</v>
      </c>
      <c r="B59" t="s">
        <v>21</v>
      </c>
      <c r="C59" t="s">
        <v>11</v>
      </c>
      <c r="D59">
        <v>23.39</v>
      </c>
      <c r="E59">
        <v>79</v>
      </c>
      <c r="F59">
        <v>329</v>
      </c>
    </row>
    <row r="60" spans="1:6" x14ac:dyDescent="0.45">
      <c r="A60" t="s">
        <v>1130</v>
      </c>
      <c r="B60" t="s">
        <v>16</v>
      </c>
      <c r="C60" t="s">
        <v>17</v>
      </c>
      <c r="D60">
        <v>12.51</v>
      </c>
      <c r="E60">
        <v>73</v>
      </c>
      <c r="F60">
        <v>75</v>
      </c>
    </row>
    <row r="61" spans="1:6" x14ac:dyDescent="0.45">
      <c r="A61" t="s">
        <v>67</v>
      </c>
      <c r="B61" t="s">
        <v>1172</v>
      </c>
      <c r="C61" t="s">
        <v>14</v>
      </c>
      <c r="D61">
        <v>8.32</v>
      </c>
      <c r="E61">
        <v>98</v>
      </c>
      <c r="F61">
        <v>16</v>
      </c>
    </row>
    <row r="62" spans="1:6" x14ac:dyDescent="0.45">
      <c r="A62" t="s">
        <v>1140</v>
      </c>
      <c r="B62" t="s">
        <v>1161</v>
      </c>
      <c r="C62" t="s">
        <v>6</v>
      </c>
      <c r="D62">
        <v>11.43</v>
      </c>
      <c r="E62">
        <v>128</v>
      </c>
      <c r="F62">
        <v>530</v>
      </c>
    </row>
    <row r="63" spans="1:6" x14ac:dyDescent="0.45">
      <c r="A63" t="s">
        <v>68</v>
      </c>
      <c r="B63" t="s">
        <v>1187</v>
      </c>
      <c r="C63" t="s">
        <v>11</v>
      </c>
      <c r="D63">
        <v>17.18</v>
      </c>
      <c r="E63">
        <v>81</v>
      </c>
      <c r="F63">
        <v>293</v>
      </c>
    </row>
    <row r="64" spans="1:6" x14ac:dyDescent="0.45">
      <c r="A64" t="s">
        <v>1135</v>
      </c>
      <c r="B64" t="s">
        <v>1188</v>
      </c>
      <c r="C64" t="s">
        <v>6</v>
      </c>
      <c r="D64">
        <v>13.31</v>
      </c>
      <c r="E64">
        <v>89</v>
      </c>
      <c r="F64">
        <v>313</v>
      </c>
    </row>
    <row r="65" spans="1:6" x14ac:dyDescent="0.45">
      <c r="A65" t="s">
        <v>69</v>
      </c>
      <c r="B65" t="s">
        <v>1167</v>
      </c>
      <c r="C65" t="s">
        <v>17</v>
      </c>
      <c r="D65">
        <v>13.13</v>
      </c>
      <c r="E65">
        <v>82</v>
      </c>
      <c r="F65">
        <v>105</v>
      </c>
    </row>
    <row r="66" spans="1:6" x14ac:dyDescent="0.45">
      <c r="A66" t="s">
        <v>70</v>
      </c>
      <c r="B66" t="s">
        <v>1189</v>
      </c>
      <c r="C66" t="s">
        <v>9</v>
      </c>
      <c r="D66">
        <v>5.04</v>
      </c>
      <c r="E66">
        <v>47</v>
      </c>
      <c r="F66">
        <v>96</v>
      </c>
    </row>
    <row r="67" spans="1:6" x14ac:dyDescent="0.45">
      <c r="A67" t="s">
        <v>1134</v>
      </c>
      <c r="B67" t="s">
        <v>1190</v>
      </c>
      <c r="C67" t="s">
        <v>11</v>
      </c>
      <c r="D67">
        <v>21.3</v>
      </c>
      <c r="E67">
        <v>108</v>
      </c>
      <c r="F67">
        <v>345</v>
      </c>
    </row>
    <row r="68" spans="1:6" x14ac:dyDescent="0.45">
      <c r="A68" t="s">
        <v>71</v>
      </c>
      <c r="B68" t="s">
        <v>1191</v>
      </c>
      <c r="C68" t="s">
        <v>6</v>
      </c>
      <c r="D68">
        <v>12.02</v>
      </c>
      <c r="E68">
        <v>75</v>
      </c>
      <c r="F68">
        <v>402</v>
      </c>
    </row>
    <row r="69" spans="1:6" x14ac:dyDescent="0.45">
      <c r="A69" t="s">
        <v>72</v>
      </c>
      <c r="B69" t="s">
        <v>73</v>
      </c>
      <c r="C69" t="s">
        <v>11</v>
      </c>
      <c r="D69">
        <v>19.170000000000002</v>
      </c>
      <c r="E69">
        <v>119</v>
      </c>
      <c r="F69">
        <v>196</v>
      </c>
    </row>
    <row r="70" spans="1:6" x14ac:dyDescent="0.45">
      <c r="A70" t="s">
        <v>74</v>
      </c>
      <c r="B70" t="s">
        <v>1192</v>
      </c>
      <c r="C70" t="s">
        <v>17</v>
      </c>
      <c r="D70">
        <v>12.77</v>
      </c>
      <c r="E70">
        <v>96</v>
      </c>
      <c r="F70">
        <v>122</v>
      </c>
    </row>
    <row r="71" spans="1:6" x14ac:dyDescent="0.45">
      <c r="A71" t="s">
        <v>75</v>
      </c>
      <c r="B71" t="s">
        <v>1155</v>
      </c>
      <c r="C71" t="s">
        <v>11</v>
      </c>
      <c r="E71">
        <v>71</v>
      </c>
      <c r="F71">
        <v>192</v>
      </c>
    </row>
    <row r="72" spans="1:6" x14ac:dyDescent="0.45">
      <c r="A72" t="s">
        <v>76</v>
      </c>
      <c r="B72" t="s">
        <v>1193</v>
      </c>
      <c r="C72" t="s">
        <v>9</v>
      </c>
      <c r="D72">
        <v>5.09</v>
      </c>
      <c r="E72">
        <v>40</v>
      </c>
      <c r="F72">
        <v>90</v>
      </c>
    </row>
    <row r="73" spans="1:6" x14ac:dyDescent="0.45">
      <c r="A73" t="s">
        <v>77</v>
      </c>
      <c r="B73" t="s">
        <v>1186</v>
      </c>
      <c r="C73" t="s">
        <v>14</v>
      </c>
      <c r="D73">
        <v>6.1</v>
      </c>
      <c r="E73">
        <v>137</v>
      </c>
      <c r="F73">
        <v>17</v>
      </c>
    </row>
    <row r="74" spans="1:6" x14ac:dyDescent="0.45">
      <c r="A74" t="s">
        <v>78</v>
      </c>
      <c r="B74" t="s">
        <v>79</v>
      </c>
      <c r="C74" t="s">
        <v>14</v>
      </c>
      <c r="D74">
        <v>11.26</v>
      </c>
      <c r="E74">
        <v>129</v>
      </c>
      <c r="F74">
        <v>24</v>
      </c>
    </row>
    <row r="75" spans="1:6" x14ac:dyDescent="0.45">
      <c r="A75" t="s">
        <v>1132</v>
      </c>
      <c r="B75" t="s">
        <v>1194</v>
      </c>
      <c r="C75" t="s">
        <v>6</v>
      </c>
      <c r="D75">
        <v>15.52</v>
      </c>
      <c r="E75">
        <v>121</v>
      </c>
      <c r="F75">
        <v>517</v>
      </c>
    </row>
    <row r="76" spans="1:6" x14ac:dyDescent="0.45">
      <c r="A76" t="s">
        <v>80</v>
      </c>
      <c r="B76" t="s">
        <v>1153</v>
      </c>
      <c r="C76" t="s">
        <v>6</v>
      </c>
      <c r="D76">
        <v>8.75</v>
      </c>
      <c r="E76">
        <v>123</v>
      </c>
      <c r="F76">
        <v>341</v>
      </c>
    </row>
    <row r="77" spans="1:6" x14ac:dyDescent="0.45">
      <c r="A77" t="s">
        <v>81</v>
      </c>
      <c r="B77" t="s">
        <v>82</v>
      </c>
      <c r="C77" t="s">
        <v>11</v>
      </c>
      <c r="D77">
        <v>20.5</v>
      </c>
      <c r="E77">
        <v>64</v>
      </c>
      <c r="F77">
        <v>359</v>
      </c>
    </row>
    <row r="78" spans="1:6" x14ac:dyDescent="0.45">
      <c r="A78" t="s">
        <v>83</v>
      </c>
      <c r="B78" t="s">
        <v>1195</v>
      </c>
      <c r="C78" t="s">
        <v>9</v>
      </c>
      <c r="D78">
        <v>5.92</v>
      </c>
      <c r="E78">
        <v>57</v>
      </c>
      <c r="F78">
        <v>92</v>
      </c>
    </row>
    <row r="79" spans="1:6" x14ac:dyDescent="0.45">
      <c r="A79" t="s">
        <v>84</v>
      </c>
      <c r="B79" t="s">
        <v>1196</v>
      </c>
      <c r="C79" t="s">
        <v>14</v>
      </c>
      <c r="D79">
        <v>9.8699999999999992</v>
      </c>
      <c r="E79">
        <v>88</v>
      </c>
      <c r="F79">
        <v>25</v>
      </c>
    </row>
    <row r="80" spans="1:6" x14ac:dyDescent="0.45">
      <c r="A80" t="s">
        <v>85</v>
      </c>
      <c r="B80" t="s">
        <v>86</v>
      </c>
      <c r="C80" t="s">
        <v>17</v>
      </c>
      <c r="D80">
        <v>6.87</v>
      </c>
      <c r="E80">
        <v>101</v>
      </c>
      <c r="F80">
        <v>62</v>
      </c>
    </row>
    <row r="81" spans="1:6" x14ac:dyDescent="0.45">
      <c r="A81" t="s">
        <v>87</v>
      </c>
      <c r="B81" t="s">
        <v>1197</v>
      </c>
      <c r="C81" t="s">
        <v>11</v>
      </c>
      <c r="D81">
        <v>17.28</v>
      </c>
      <c r="E81">
        <v>97</v>
      </c>
      <c r="F81">
        <v>271</v>
      </c>
    </row>
    <row r="82" spans="1:6" x14ac:dyDescent="0.45">
      <c r="A82" t="s">
        <v>88</v>
      </c>
      <c r="B82" t="s">
        <v>1162</v>
      </c>
      <c r="C82" t="s">
        <v>17</v>
      </c>
      <c r="D82">
        <v>11.02</v>
      </c>
      <c r="E82">
        <v>69</v>
      </c>
      <c r="F82">
        <v>86</v>
      </c>
    </row>
    <row r="83" spans="1:6" x14ac:dyDescent="0.45">
      <c r="A83" t="s">
        <v>89</v>
      </c>
      <c r="B83" t="s">
        <v>90</v>
      </c>
      <c r="C83" t="s">
        <v>11</v>
      </c>
      <c r="D83">
        <v>13.67</v>
      </c>
      <c r="E83">
        <v>78</v>
      </c>
      <c r="F83">
        <v>247</v>
      </c>
    </row>
    <row r="84" spans="1:6" x14ac:dyDescent="0.45">
      <c r="A84" t="s">
        <v>91</v>
      </c>
      <c r="B84" t="s">
        <v>1198</v>
      </c>
      <c r="C84" t="s">
        <v>17</v>
      </c>
      <c r="D84">
        <v>13.9</v>
      </c>
      <c r="E84">
        <v>69</v>
      </c>
      <c r="F84">
        <v>106</v>
      </c>
    </row>
    <row r="85" spans="1:6" x14ac:dyDescent="0.45">
      <c r="A85" t="s">
        <v>92</v>
      </c>
      <c r="B85" t="s">
        <v>1160</v>
      </c>
      <c r="C85" t="s">
        <v>14</v>
      </c>
      <c r="D85">
        <v>10.9</v>
      </c>
      <c r="E85">
        <v>131</v>
      </c>
      <c r="F85">
        <v>22</v>
      </c>
    </row>
    <row r="86" spans="1:6" x14ac:dyDescent="0.45">
      <c r="A86" t="s">
        <v>93</v>
      </c>
      <c r="B86" t="s">
        <v>94</v>
      </c>
      <c r="C86" t="s">
        <v>11</v>
      </c>
      <c r="E86">
        <v>98</v>
      </c>
      <c r="F86">
        <v>359</v>
      </c>
    </row>
    <row r="87" spans="1:6" x14ac:dyDescent="0.45">
      <c r="A87" t="s">
        <v>95</v>
      </c>
      <c r="B87" t="s">
        <v>1177</v>
      </c>
      <c r="C87" t="s">
        <v>6</v>
      </c>
      <c r="D87">
        <v>14.82</v>
      </c>
      <c r="E87">
        <v>132</v>
      </c>
      <c r="F87">
        <v>373</v>
      </c>
    </row>
    <row r="88" spans="1:6" x14ac:dyDescent="0.45">
      <c r="A88" t="s">
        <v>96</v>
      </c>
      <c r="B88" t="s">
        <v>1199</v>
      </c>
      <c r="C88" t="s">
        <v>9</v>
      </c>
      <c r="D88">
        <v>4.43</v>
      </c>
      <c r="E88">
        <v>63</v>
      </c>
      <c r="F88">
        <v>115</v>
      </c>
    </row>
    <row r="89" spans="1:6" x14ac:dyDescent="0.45">
      <c r="A89" t="s">
        <v>97</v>
      </c>
      <c r="B89" t="s">
        <v>1162</v>
      </c>
      <c r="C89" t="s">
        <v>17</v>
      </c>
      <c r="D89">
        <v>9.57</v>
      </c>
      <c r="E89">
        <v>92</v>
      </c>
      <c r="F89">
        <v>122</v>
      </c>
    </row>
    <row r="90" spans="1:6" x14ac:dyDescent="0.45">
      <c r="A90" t="s">
        <v>98</v>
      </c>
      <c r="B90" t="s">
        <v>1185</v>
      </c>
      <c r="C90" t="s">
        <v>9</v>
      </c>
      <c r="D90">
        <v>6.23</v>
      </c>
      <c r="E90">
        <v>78</v>
      </c>
      <c r="F90">
        <v>99</v>
      </c>
    </row>
    <row r="91" spans="1:6" x14ac:dyDescent="0.45">
      <c r="A91" t="s">
        <v>99</v>
      </c>
      <c r="B91" t="s">
        <v>1176</v>
      </c>
      <c r="C91" t="s">
        <v>9</v>
      </c>
      <c r="D91">
        <v>4.26</v>
      </c>
      <c r="E91">
        <v>68</v>
      </c>
      <c r="F91">
        <v>117</v>
      </c>
    </row>
    <row r="92" spans="1:6" x14ac:dyDescent="0.45">
      <c r="A92" t="s">
        <v>100</v>
      </c>
      <c r="B92" t="s">
        <v>1200</v>
      </c>
      <c r="C92" t="s">
        <v>6</v>
      </c>
      <c r="D92">
        <v>9.7899999999999991</v>
      </c>
      <c r="E92">
        <v>123</v>
      </c>
      <c r="F92">
        <v>334</v>
      </c>
    </row>
    <row r="93" spans="1:6" x14ac:dyDescent="0.45">
      <c r="A93" t="s">
        <v>101</v>
      </c>
      <c r="B93" t="s">
        <v>1185</v>
      </c>
      <c r="C93" t="s">
        <v>9</v>
      </c>
      <c r="D93">
        <v>3.56</v>
      </c>
      <c r="E93">
        <v>64</v>
      </c>
      <c r="F93">
        <v>92</v>
      </c>
    </row>
    <row r="94" spans="1:6" x14ac:dyDescent="0.45">
      <c r="A94" t="s">
        <v>102</v>
      </c>
      <c r="B94" t="s">
        <v>1200</v>
      </c>
      <c r="C94" t="s">
        <v>6</v>
      </c>
      <c r="D94">
        <v>9.9499999999999993</v>
      </c>
      <c r="E94">
        <v>106</v>
      </c>
      <c r="F94">
        <v>376</v>
      </c>
    </row>
    <row r="95" spans="1:6" x14ac:dyDescent="0.45">
      <c r="A95" t="s">
        <v>103</v>
      </c>
      <c r="B95" t="s">
        <v>104</v>
      </c>
      <c r="C95" t="s">
        <v>11</v>
      </c>
      <c r="D95">
        <v>16.66</v>
      </c>
      <c r="E95">
        <v>85</v>
      </c>
      <c r="F95">
        <v>333</v>
      </c>
    </row>
    <row r="96" spans="1:6" x14ac:dyDescent="0.45">
      <c r="A96" t="s">
        <v>105</v>
      </c>
      <c r="B96" t="s">
        <v>82</v>
      </c>
      <c r="C96" t="s">
        <v>11</v>
      </c>
      <c r="D96">
        <v>18.170000000000002</v>
      </c>
      <c r="E96">
        <v>61</v>
      </c>
      <c r="F96">
        <v>188</v>
      </c>
    </row>
    <row r="97" spans="1:6" x14ac:dyDescent="0.45">
      <c r="A97" t="s">
        <v>106</v>
      </c>
      <c r="B97" t="s">
        <v>1180</v>
      </c>
      <c r="C97" t="s">
        <v>9</v>
      </c>
      <c r="D97">
        <v>4.24</v>
      </c>
      <c r="E97">
        <v>41</v>
      </c>
      <c r="F97">
        <v>111</v>
      </c>
    </row>
    <row r="98" spans="1:6" x14ac:dyDescent="0.45">
      <c r="A98" t="s">
        <v>107</v>
      </c>
      <c r="B98" t="s">
        <v>1162</v>
      </c>
      <c r="C98" t="s">
        <v>17</v>
      </c>
      <c r="D98">
        <v>4.3600000000000003</v>
      </c>
      <c r="E98">
        <v>88</v>
      </c>
      <c r="F98">
        <v>108</v>
      </c>
    </row>
    <row r="99" spans="1:6" x14ac:dyDescent="0.45">
      <c r="A99" t="s">
        <v>108</v>
      </c>
      <c r="B99" t="s">
        <v>1173</v>
      </c>
      <c r="C99" t="s">
        <v>11</v>
      </c>
      <c r="D99">
        <v>19.95</v>
      </c>
      <c r="E99">
        <v>78</v>
      </c>
      <c r="F99">
        <v>276</v>
      </c>
    </row>
    <row r="100" spans="1:6" x14ac:dyDescent="0.45">
      <c r="A100" t="s">
        <v>109</v>
      </c>
      <c r="B100" t="s">
        <v>1201</v>
      </c>
      <c r="C100" t="s">
        <v>17</v>
      </c>
      <c r="D100">
        <v>12.09</v>
      </c>
      <c r="E100">
        <v>80</v>
      </c>
      <c r="F100">
        <v>138</v>
      </c>
    </row>
    <row r="101" spans="1:6" x14ac:dyDescent="0.45">
      <c r="A101" t="s">
        <v>110</v>
      </c>
      <c r="B101" t="s">
        <v>1202</v>
      </c>
      <c r="C101" t="s">
        <v>17</v>
      </c>
      <c r="D101">
        <v>6.16</v>
      </c>
      <c r="E101">
        <v>104</v>
      </c>
      <c r="F101">
        <v>67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0C9EA-E52F-49A5-965E-6711D6236374}">
  <dimension ref="A1:L1501"/>
  <sheetViews>
    <sheetView zoomScale="83" workbookViewId="0">
      <selection activeCell="M7" sqref="M7"/>
    </sheetView>
  </sheetViews>
  <sheetFormatPr defaultRowHeight="14.25" x14ac:dyDescent="0.45"/>
  <cols>
    <col min="1" max="1" width="8.53125" bestFit="1" customWidth="1"/>
    <col min="2" max="2" width="11.59765625" bestFit="1" customWidth="1"/>
    <col min="3" max="3" width="17.46484375" bestFit="1" customWidth="1"/>
    <col min="4" max="4" width="18.06640625" bestFit="1" customWidth="1"/>
    <col min="5" max="5" width="16.19921875" bestFit="1" customWidth="1"/>
    <col min="6" max="6" width="16.1328125" bestFit="1" customWidth="1"/>
    <col min="7" max="7" width="18" bestFit="1" customWidth="1"/>
    <col min="10" max="10" width="11.796875" bestFit="1" customWidth="1"/>
    <col min="11" max="11" width="9.86328125" bestFit="1" customWidth="1"/>
  </cols>
  <sheetData>
    <row r="1" spans="1:12" x14ac:dyDescent="0.45">
      <c r="A1" t="s">
        <v>1203</v>
      </c>
      <c r="B1" t="s">
        <v>0</v>
      </c>
      <c r="C1" t="s">
        <v>1204</v>
      </c>
      <c r="D1" t="s">
        <v>1205</v>
      </c>
      <c r="E1" t="s">
        <v>1206</v>
      </c>
      <c r="F1" t="s">
        <v>1207</v>
      </c>
      <c r="G1" t="s">
        <v>1208</v>
      </c>
      <c r="H1" t="s">
        <v>1347</v>
      </c>
      <c r="I1" t="s">
        <v>1348</v>
      </c>
      <c r="J1" t="s">
        <v>1349</v>
      </c>
      <c r="K1" t="s">
        <v>1350</v>
      </c>
      <c r="L1" t="s">
        <v>1351</v>
      </c>
    </row>
    <row r="2" spans="1:12" x14ac:dyDescent="0.45">
      <c r="A2" t="s">
        <v>1117</v>
      </c>
      <c r="B2" t="s">
        <v>22</v>
      </c>
      <c r="C2">
        <v>2862</v>
      </c>
      <c r="D2">
        <v>395</v>
      </c>
      <c r="E2">
        <v>268.5</v>
      </c>
      <c r="F2">
        <v>2</v>
      </c>
      <c r="G2">
        <v>0.5</v>
      </c>
      <c r="H2">
        <f>IFERROR(1.65*SQRT(F2*E2^2 + D2^2*G2^2), "")</f>
        <v>706.21301097827416</v>
      </c>
      <c r="I2">
        <f>IFERROR(D2*F2 + H2, "")</f>
        <v>1496.2130109782743</v>
      </c>
      <c r="J2">
        <f>SUMIFS(Transit_Clean[Quantity], Transit_Clean[Destination], A2, Transit_Clean[Item_Code], B2, Transit_Clean[SAP_Status], "In Transit")</f>
        <v>0</v>
      </c>
      <c r="K2">
        <f>IFERROR(C2/D2, "")</f>
        <v>7.245569620253165</v>
      </c>
      <c r="L2" t="str" cm="1">
        <f t="array" ref="L2">_xlfn.IFS(C2&lt;0,"DATO INVALIDO", C2+J2&lt;I2,"PEDIR YA", C2&lt;I2,"EN CAMINO OK", TRUE,"SANO")</f>
        <v>SANO</v>
      </c>
    </row>
    <row r="3" spans="1:12" x14ac:dyDescent="0.45">
      <c r="A3" t="s">
        <v>1122</v>
      </c>
      <c r="B3" t="s">
        <v>106</v>
      </c>
      <c r="C3">
        <v>3657</v>
      </c>
      <c r="D3">
        <v>408.6</v>
      </c>
      <c r="E3">
        <v>117.3</v>
      </c>
      <c r="F3">
        <v>0.7</v>
      </c>
      <c r="G3">
        <v>0.2</v>
      </c>
      <c r="H3">
        <f t="shared" ref="H3:H66" si="0">IFERROR(1.65*SQRT(F3*E3^2 + D3^2*G3^2), "")</f>
        <v>210.72031976413666</v>
      </c>
      <c r="I3">
        <f t="shared" ref="I3:I66" si="1">IFERROR(D3*F3 + H3, "")</f>
        <v>496.74031976413664</v>
      </c>
      <c r="J3">
        <f>SUMIFS(Transit_Clean[Quantity], Transit_Clean[Destination], A3, Transit_Clean[Item_Code], B3, Transit_Clean[SAP_Status], "In Transit")</f>
        <v>0</v>
      </c>
      <c r="K3">
        <f t="shared" ref="K3:K66" si="2">IFERROR(C3/D3, "")</f>
        <v>8.9500734214390594</v>
      </c>
      <c r="L3" t="str" cm="1">
        <f t="array" ref="L3">_xlfn.IFS(C3&lt;0,"DATO INVALIDO", C3+J3&lt;I3,"PEDIR YA", C3&lt;I3,"EN CAMINO OK", TRUE,"SANO")</f>
        <v>SANO</v>
      </c>
    </row>
    <row r="4" spans="1:12" x14ac:dyDescent="0.45">
      <c r="A4" t="s">
        <v>1127</v>
      </c>
      <c r="B4" t="s">
        <v>66</v>
      </c>
      <c r="C4">
        <v>4182</v>
      </c>
      <c r="E4">
        <v>63.7</v>
      </c>
      <c r="F4">
        <v>5</v>
      </c>
      <c r="G4">
        <v>0.9</v>
      </c>
      <c r="H4">
        <f t="shared" si="0"/>
        <v>235.02192477511542</v>
      </c>
      <c r="I4">
        <f t="shared" si="1"/>
        <v>235.02192477511542</v>
      </c>
      <c r="J4">
        <f>SUMIFS(Transit_Clean[Quantity], Transit_Clean[Destination], A4, Transit_Clean[Item_Code], B4, Transit_Clean[SAP_Status], "In Transit")</f>
        <v>0</v>
      </c>
      <c r="K4" t="str">
        <f t="shared" si="2"/>
        <v/>
      </c>
      <c r="L4" t="str" cm="1">
        <f t="array" ref="L4">_xlfn.IFS(C4&lt;0,"DATO INVALIDO", C4+J4&lt;I4,"PEDIR YA", C4&lt;I4,"EN CAMINO OK", TRUE,"SANO")</f>
        <v>SANO</v>
      </c>
    </row>
    <row r="5" spans="1:12" x14ac:dyDescent="0.45">
      <c r="A5" t="s">
        <v>1117</v>
      </c>
      <c r="B5" t="s">
        <v>100</v>
      </c>
      <c r="C5">
        <v>8913</v>
      </c>
      <c r="D5">
        <v>553.79999999999995</v>
      </c>
      <c r="E5">
        <v>67.5</v>
      </c>
      <c r="F5">
        <v>1.7</v>
      </c>
      <c r="G5">
        <v>0.5</v>
      </c>
      <c r="H5">
        <f t="shared" si="0"/>
        <v>479.40730833759716</v>
      </c>
      <c r="I5">
        <f t="shared" si="1"/>
        <v>1420.867308337597</v>
      </c>
      <c r="J5">
        <f>SUMIFS(Transit_Clean[Quantity], Transit_Clean[Destination], A5, Transit_Clean[Item_Code], B5, Transit_Clean[SAP_Status], "In Transit")</f>
        <v>0</v>
      </c>
      <c r="K5">
        <f t="shared" si="2"/>
        <v>16.094257854821237</v>
      </c>
      <c r="L5" t="str" cm="1">
        <f t="array" ref="L5">_xlfn.IFS(C5&lt;0,"DATO INVALIDO", C5+J5&lt;I5,"PEDIR YA", C5&lt;I5,"EN CAMINO OK", TRUE,"SANO")</f>
        <v>SANO</v>
      </c>
    </row>
    <row r="6" spans="1:12" x14ac:dyDescent="0.45">
      <c r="A6" t="s">
        <v>1122</v>
      </c>
      <c r="B6" t="s">
        <v>18</v>
      </c>
      <c r="C6">
        <v>6474</v>
      </c>
      <c r="D6">
        <v>366.7</v>
      </c>
      <c r="E6">
        <v>43.8</v>
      </c>
      <c r="F6">
        <v>0.7</v>
      </c>
      <c r="G6">
        <v>0.2</v>
      </c>
      <c r="H6">
        <f t="shared" si="0"/>
        <v>135.27649149427256</v>
      </c>
      <c r="I6">
        <f t="shared" si="1"/>
        <v>391.96649149427253</v>
      </c>
      <c r="J6">
        <f>SUMIFS(Transit_Clean[Quantity], Transit_Clean[Destination], A6, Transit_Clean[Item_Code], B6, Transit_Clean[SAP_Status], "In Transit")</f>
        <v>1239</v>
      </c>
      <c r="K6">
        <f t="shared" si="2"/>
        <v>17.654758658303791</v>
      </c>
      <c r="L6" t="str" cm="1">
        <f t="array" ref="L6">_xlfn.IFS(C6&lt;0,"DATO INVALIDO", C6+J6&lt;I6,"PEDIR YA", C6&lt;I6,"EN CAMINO OK", TRUE,"SANO")</f>
        <v>SANO</v>
      </c>
    </row>
    <row r="7" spans="1:12" x14ac:dyDescent="0.45">
      <c r="A7" t="s">
        <v>1122</v>
      </c>
      <c r="B7" t="s">
        <v>29</v>
      </c>
      <c r="C7">
        <v>7599</v>
      </c>
      <c r="D7">
        <v>454.2</v>
      </c>
      <c r="E7">
        <v>93.4</v>
      </c>
      <c r="F7">
        <v>1.1000000000000001</v>
      </c>
      <c r="G7">
        <v>0.2</v>
      </c>
      <c r="H7">
        <f t="shared" si="0"/>
        <v>220.43297009748792</v>
      </c>
      <c r="I7">
        <f t="shared" si="1"/>
        <v>720.0529700974879</v>
      </c>
      <c r="J7">
        <f>SUMIFS(Transit_Clean[Quantity], Transit_Clean[Destination], A7, Transit_Clean[Item_Code], B7, Transit_Clean[SAP_Status], "In Transit")</f>
        <v>684</v>
      </c>
      <c r="K7">
        <f t="shared" si="2"/>
        <v>16.730515191545575</v>
      </c>
      <c r="L7" t="str" cm="1">
        <f t="array" ref="L7">_xlfn.IFS(C7&lt;0,"DATO INVALIDO", C7+J7&lt;I7,"PEDIR YA", C7&lt;I7,"EN CAMINO OK", TRUE,"SANO")</f>
        <v>SANO</v>
      </c>
    </row>
    <row r="8" spans="1:12" x14ac:dyDescent="0.45">
      <c r="A8" t="s">
        <v>1127</v>
      </c>
      <c r="B8" t="s">
        <v>76</v>
      </c>
      <c r="C8">
        <v>6848</v>
      </c>
      <c r="D8">
        <v>784.3</v>
      </c>
      <c r="E8">
        <v>122.2</v>
      </c>
      <c r="F8">
        <v>3.1</v>
      </c>
      <c r="G8">
        <v>0.9</v>
      </c>
      <c r="H8">
        <f t="shared" si="0"/>
        <v>1217.5884979336204</v>
      </c>
      <c r="I8">
        <f t="shared" si="1"/>
        <v>3648.9184979336205</v>
      </c>
      <c r="J8">
        <f>SUMIFS(Transit_Clean[Quantity], Transit_Clean[Destination], A8, Transit_Clean[Item_Code], B8, Transit_Clean[SAP_Status], "In Transit")</f>
        <v>1211</v>
      </c>
      <c r="K8">
        <f t="shared" si="2"/>
        <v>8.7313527986739778</v>
      </c>
      <c r="L8" t="str" cm="1">
        <f t="array" ref="L8">_xlfn.IFS(C8&lt;0,"DATO INVALIDO", C8+J8&lt;I8,"PEDIR YA", C8&lt;I8,"EN CAMINO OK", TRUE,"SANO")</f>
        <v>SANO</v>
      </c>
    </row>
    <row r="9" spans="1:12" x14ac:dyDescent="0.45">
      <c r="A9" t="s">
        <v>1119</v>
      </c>
      <c r="B9" t="s">
        <v>53</v>
      </c>
      <c r="C9">
        <v>1444</v>
      </c>
      <c r="D9">
        <v>209.7</v>
      </c>
      <c r="E9">
        <v>56.1</v>
      </c>
      <c r="F9">
        <v>3.1</v>
      </c>
      <c r="G9">
        <v>1</v>
      </c>
      <c r="H9">
        <f t="shared" si="0"/>
        <v>382.46715626639104</v>
      </c>
      <c r="I9">
        <f t="shared" si="1"/>
        <v>1032.5371562663909</v>
      </c>
      <c r="J9">
        <f>SUMIFS(Transit_Clean[Quantity], Transit_Clean[Destination], A9, Transit_Clean[Item_Code], B9, Transit_Clean[SAP_Status], "In Transit")</f>
        <v>2495</v>
      </c>
      <c r="K9">
        <f t="shared" si="2"/>
        <v>6.8860276585598479</v>
      </c>
      <c r="L9" t="str" cm="1">
        <f t="array" ref="L9">_xlfn.IFS(C9&lt;0,"DATO INVALIDO", C9+J9&lt;I9,"PEDIR YA", C9&lt;I9,"EN CAMINO OK", TRUE,"SANO")</f>
        <v>SANO</v>
      </c>
    </row>
    <row r="10" spans="1:12" x14ac:dyDescent="0.45">
      <c r="A10" t="s">
        <v>1127</v>
      </c>
      <c r="B10" t="s">
        <v>99</v>
      </c>
      <c r="C10">
        <v>16574</v>
      </c>
      <c r="D10">
        <v>948.9</v>
      </c>
      <c r="E10">
        <v>207.4</v>
      </c>
      <c r="F10">
        <v>0.9</v>
      </c>
      <c r="G10">
        <v>0.9</v>
      </c>
      <c r="H10">
        <f t="shared" si="0"/>
        <v>1446.0311982326834</v>
      </c>
      <c r="I10">
        <f t="shared" si="1"/>
        <v>2300.0411982326832</v>
      </c>
      <c r="J10">
        <f>SUMIFS(Transit_Clean[Quantity], Transit_Clean[Destination], A10, Transit_Clean[Item_Code], B10, Transit_Clean[SAP_Status], "In Transit")</f>
        <v>1798</v>
      </c>
      <c r="K10">
        <f t="shared" si="2"/>
        <v>17.466540204447256</v>
      </c>
      <c r="L10" t="str" cm="1">
        <f t="array" ref="L10">_xlfn.IFS(C10&lt;0,"DATO INVALIDO", C10+J10&lt;I10,"PEDIR YA", C10&lt;I10,"EN CAMINO OK", TRUE,"SANO")</f>
        <v>SANO</v>
      </c>
    </row>
    <row r="11" spans="1:12" x14ac:dyDescent="0.45">
      <c r="A11" t="s">
        <v>1124</v>
      </c>
      <c r="B11" t="s">
        <v>100</v>
      </c>
      <c r="C11">
        <v>1422</v>
      </c>
      <c r="D11">
        <v>289.89999999999998</v>
      </c>
      <c r="E11">
        <v>31.2</v>
      </c>
      <c r="F11">
        <v>0.5</v>
      </c>
      <c r="G11">
        <v>0.3</v>
      </c>
      <c r="H11">
        <f t="shared" si="0"/>
        <v>148.04556291983218</v>
      </c>
      <c r="I11">
        <f t="shared" si="1"/>
        <v>292.9955629198322</v>
      </c>
      <c r="J11">
        <f>SUMIFS(Transit_Clean[Quantity], Transit_Clean[Destination], A11, Transit_Clean[Item_Code], B11, Transit_Clean[SAP_Status], "In Transit")</f>
        <v>2569</v>
      </c>
      <c r="K11">
        <f t="shared" si="2"/>
        <v>4.9051397033459816</v>
      </c>
      <c r="L11" t="str" cm="1">
        <f t="array" ref="L11">_xlfn.IFS(C11&lt;0,"DATO INVALIDO", C11+J11&lt;I11,"PEDIR YA", C11&lt;I11,"EN CAMINO OK", TRUE,"SANO")</f>
        <v>SANO</v>
      </c>
    </row>
    <row r="12" spans="1:12" x14ac:dyDescent="0.45">
      <c r="A12" t="s">
        <v>1119</v>
      </c>
      <c r="B12" t="s">
        <v>97</v>
      </c>
      <c r="C12">
        <v>8663</v>
      </c>
      <c r="D12">
        <v>495.2</v>
      </c>
      <c r="E12">
        <v>204.3</v>
      </c>
      <c r="F12">
        <v>2.1</v>
      </c>
      <c r="G12">
        <v>1</v>
      </c>
      <c r="H12">
        <f t="shared" si="0"/>
        <v>951.9711699166628</v>
      </c>
      <c r="I12">
        <f t="shared" si="1"/>
        <v>1991.8911699166629</v>
      </c>
      <c r="J12">
        <f>SUMIFS(Transit_Clean[Quantity], Transit_Clean[Destination], A12, Transit_Clean[Item_Code], B12, Transit_Clean[SAP_Status], "In Transit")</f>
        <v>0</v>
      </c>
      <c r="K12">
        <f t="shared" si="2"/>
        <v>17.49394184168013</v>
      </c>
      <c r="L12" t="str" cm="1">
        <f t="array" ref="L12">_xlfn.IFS(C12&lt;0,"DATO INVALIDO", C12+J12&lt;I12,"PEDIR YA", C12&lt;I12,"EN CAMINO OK", TRUE,"SANO")</f>
        <v>SANO</v>
      </c>
    </row>
    <row r="13" spans="1:12" x14ac:dyDescent="0.45">
      <c r="A13" t="s">
        <v>1118</v>
      </c>
      <c r="B13" t="s">
        <v>15</v>
      </c>
      <c r="C13">
        <v>580</v>
      </c>
      <c r="D13">
        <v>800.5</v>
      </c>
      <c r="E13">
        <v>236.1</v>
      </c>
      <c r="F13">
        <v>3.4</v>
      </c>
      <c r="G13">
        <v>1.5</v>
      </c>
      <c r="H13">
        <f t="shared" si="0"/>
        <v>2107.4366075332491</v>
      </c>
      <c r="I13">
        <f t="shared" si="1"/>
        <v>4829.1366075332489</v>
      </c>
      <c r="J13">
        <f>SUMIFS(Transit_Clean[Quantity], Transit_Clean[Destination], A13, Transit_Clean[Item_Code], B13, Transit_Clean[SAP_Status], "In Transit")</f>
        <v>0</v>
      </c>
      <c r="K13">
        <f t="shared" si="2"/>
        <v>0.7245471580262336</v>
      </c>
      <c r="L13" t="str" cm="1">
        <f t="array" ref="L13">_xlfn.IFS(C13&lt;0,"DATO INVALIDO", C13+J13&lt;I13,"PEDIR YA", C13&lt;I13,"EN CAMINO OK", TRUE,"SANO")</f>
        <v>PEDIR YA</v>
      </c>
    </row>
    <row r="14" spans="1:12" x14ac:dyDescent="0.45">
      <c r="A14" t="s">
        <v>1124</v>
      </c>
      <c r="B14" t="s">
        <v>24</v>
      </c>
      <c r="C14">
        <v>4706</v>
      </c>
      <c r="D14">
        <v>1097.7</v>
      </c>
      <c r="E14">
        <v>258.7</v>
      </c>
      <c r="F14">
        <v>0.9</v>
      </c>
      <c r="G14">
        <v>0.3</v>
      </c>
      <c r="H14">
        <f t="shared" si="0"/>
        <v>677.66244665375245</v>
      </c>
      <c r="I14">
        <f t="shared" si="1"/>
        <v>1665.5924466537526</v>
      </c>
      <c r="J14">
        <f>SUMIFS(Transit_Clean[Quantity], Transit_Clean[Destination], A14, Transit_Clean[Item_Code], B14, Transit_Clean[SAP_Status], "In Transit")</f>
        <v>2599</v>
      </c>
      <c r="K14">
        <f t="shared" si="2"/>
        <v>4.287145850414503</v>
      </c>
      <c r="L14" t="str" cm="1">
        <f t="array" ref="L14">_xlfn.IFS(C14&lt;0,"DATO INVALIDO", C14+J14&lt;I14,"PEDIR YA", C14&lt;I14,"EN CAMINO OK", TRUE,"SANO")</f>
        <v>SANO</v>
      </c>
    </row>
    <row r="15" spans="1:12" x14ac:dyDescent="0.45">
      <c r="A15" t="s">
        <v>1124</v>
      </c>
      <c r="B15" t="s">
        <v>76</v>
      </c>
      <c r="C15">
        <v>1583</v>
      </c>
      <c r="D15">
        <v>833.9</v>
      </c>
      <c r="E15">
        <v>188.9</v>
      </c>
      <c r="F15">
        <v>0.8</v>
      </c>
      <c r="G15">
        <v>0.3</v>
      </c>
      <c r="H15">
        <f t="shared" si="0"/>
        <v>498.102170804595</v>
      </c>
      <c r="I15">
        <f t="shared" si="1"/>
        <v>1165.222170804595</v>
      </c>
      <c r="J15">
        <f>SUMIFS(Transit_Clean[Quantity], Transit_Clean[Destination], A15, Transit_Clean[Item_Code], B15, Transit_Clean[SAP_Status], "In Transit")</f>
        <v>0</v>
      </c>
      <c r="K15">
        <f t="shared" si="2"/>
        <v>1.898309149778151</v>
      </c>
      <c r="L15" t="str" cm="1">
        <f t="array" ref="L15">_xlfn.IFS(C15&lt;0,"DATO INVALIDO", C15+J15&lt;I15,"PEDIR YA", C15&lt;I15,"EN CAMINO OK", TRUE,"SANO")</f>
        <v>SANO</v>
      </c>
    </row>
    <row r="16" spans="1:12" x14ac:dyDescent="0.45">
      <c r="A16" t="s">
        <v>1121</v>
      </c>
      <c r="B16" t="s">
        <v>108</v>
      </c>
      <c r="C16">
        <v>1077</v>
      </c>
      <c r="D16">
        <v>325.89999999999998</v>
      </c>
      <c r="E16">
        <v>33</v>
      </c>
      <c r="F16">
        <v>1.2</v>
      </c>
      <c r="G16">
        <v>0.4</v>
      </c>
      <c r="H16">
        <f t="shared" si="0"/>
        <v>223.21109254694312</v>
      </c>
      <c r="I16">
        <f t="shared" si="1"/>
        <v>614.2910925469431</v>
      </c>
      <c r="J16">
        <f>SUMIFS(Transit_Clean[Quantity], Transit_Clean[Destination], A16, Transit_Clean[Item_Code], B16, Transit_Clean[SAP_Status], "In Transit")</f>
        <v>2207</v>
      </c>
      <c r="K16">
        <f t="shared" si="2"/>
        <v>3.3046946916231974</v>
      </c>
      <c r="L16" t="str" cm="1">
        <f t="array" ref="L16">_xlfn.IFS(C16&lt;0,"DATO INVALIDO", C16+J16&lt;I16,"PEDIR YA", C16&lt;I16,"EN CAMINO OK", TRUE,"SANO")</f>
        <v>SANO</v>
      </c>
    </row>
    <row r="17" spans="1:12" x14ac:dyDescent="0.45">
      <c r="A17" t="s">
        <v>1116</v>
      </c>
      <c r="B17" t="s">
        <v>83</v>
      </c>
      <c r="C17">
        <v>9404</v>
      </c>
      <c r="D17">
        <v>577.9</v>
      </c>
      <c r="E17">
        <v>168.2</v>
      </c>
      <c r="F17">
        <v>2.8</v>
      </c>
      <c r="G17">
        <v>1.6</v>
      </c>
      <c r="H17">
        <f t="shared" si="0"/>
        <v>1594.7696864613397</v>
      </c>
      <c r="I17">
        <f t="shared" si="1"/>
        <v>3212.8896864613398</v>
      </c>
      <c r="J17">
        <f>SUMIFS(Transit_Clean[Quantity], Transit_Clean[Destination], A17, Transit_Clean[Item_Code], B17, Transit_Clean[SAP_Status], "In Transit")</f>
        <v>0</v>
      </c>
      <c r="K17">
        <f t="shared" si="2"/>
        <v>16.272711541789239</v>
      </c>
      <c r="L17" t="str" cm="1">
        <f t="array" ref="L17">_xlfn.IFS(C17&lt;0,"DATO INVALIDO", C17+J17&lt;I17,"PEDIR YA", C17&lt;I17,"EN CAMINO OK", TRUE,"SANO")</f>
        <v>SANO</v>
      </c>
    </row>
    <row r="18" spans="1:12" x14ac:dyDescent="0.45">
      <c r="A18" t="s">
        <v>1123</v>
      </c>
      <c r="B18" t="s">
        <v>64</v>
      </c>
      <c r="C18">
        <v>4575</v>
      </c>
      <c r="D18">
        <v>403.7</v>
      </c>
      <c r="E18">
        <v>105.7</v>
      </c>
      <c r="F18">
        <v>1</v>
      </c>
      <c r="G18">
        <v>0.3</v>
      </c>
      <c r="H18">
        <f t="shared" si="0"/>
        <v>265.23523977264034</v>
      </c>
      <c r="I18">
        <f t="shared" si="1"/>
        <v>668.93523977264033</v>
      </c>
      <c r="J18">
        <f>SUMIFS(Transit_Clean[Quantity], Transit_Clean[Destination], A18, Transit_Clean[Item_Code], B18, Transit_Clean[SAP_Status], "In Transit")</f>
        <v>3080</v>
      </c>
      <c r="K18">
        <f t="shared" si="2"/>
        <v>11.332672776814466</v>
      </c>
      <c r="L18" t="str" cm="1">
        <f t="array" ref="L18">_xlfn.IFS(C18&lt;0,"DATO INVALIDO", C18+J18&lt;I18,"PEDIR YA", C18&lt;I18,"EN CAMINO OK", TRUE,"SANO")</f>
        <v>SANO</v>
      </c>
    </row>
    <row r="19" spans="1:12" x14ac:dyDescent="0.45">
      <c r="A19" t="s">
        <v>1121</v>
      </c>
      <c r="B19" t="s">
        <v>83</v>
      </c>
      <c r="C19">
        <v>1722</v>
      </c>
      <c r="D19">
        <v>861.2</v>
      </c>
      <c r="E19">
        <v>144.5</v>
      </c>
      <c r="F19">
        <v>2.1</v>
      </c>
      <c r="G19">
        <v>0.4</v>
      </c>
      <c r="H19">
        <f t="shared" si="0"/>
        <v>665.16695270924276</v>
      </c>
      <c r="I19">
        <f t="shared" si="1"/>
        <v>2473.6869527092431</v>
      </c>
      <c r="J19">
        <f>SUMIFS(Transit_Clean[Quantity], Transit_Clean[Destination], A19, Transit_Clean[Item_Code], B19, Transit_Clean[SAP_Status], "In Transit")</f>
        <v>0</v>
      </c>
      <c r="K19">
        <f t="shared" si="2"/>
        <v>1.9995355318160706</v>
      </c>
      <c r="L19" t="str" cm="1">
        <f t="array" ref="L19">_xlfn.IFS(C19&lt;0,"DATO INVALIDO", C19+J19&lt;I19,"PEDIR YA", C19&lt;I19,"EN CAMINO OK", TRUE,"SANO")</f>
        <v>PEDIR YA</v>
      </c>
    </row>
    <row r="20" spans="1:12" x14ac:dyDescent="0.45">
      <c r="A20" t="s">
        <v>1125</v>
      </c>
      <c r="B20" t="s">
        <v>44</v>
      </c>
      <c r="C20">
        <v>4566</v>
      </c>
      <c r="D20">
        <v>281.10000000000002</v>
      </c>
      <c r="E20">
        <v>65.8</v>
      </c>
      <c r="F20">
        <v>6.2</v>
      </c>
      <c r="G20">
        <v>1.2</v>
      </c>
      <c r="H20">
        <f t="shared" si="0"/>
        <v>618.75781083069978</v>
      </c>
      <c r="I20">
        <f t="shared" si="1"/>
        <v>2361.5778108306999</v>
      </c>
      <c r="J20">
        <f>SUMIFS(Transit_Clean[Quantity], Transit_Clean[Destination], A20, Transit_Clean[Item_Code], B20, Transit_Clean[SAP_Status], "In Transit")</f>
        <v>0</v>
      </c>
      <c r="K20">
        <f t="shared" si="2"/>
        <v>16.243329775880468</v>
      </c>
      <c r="L20" t="str" cm="1">
        <f t="array" ref="L20">_xlfn.IFS(C20&lt;0,"DATO INVALIDO", C20+J20&lt;I20,"PEDIR YA", C20&lt;I20,"EN CAMINO OK", TRUE,"SANO")</f>
        <v>SANO</v>
      </c>
    </row>
    <row r="21" spans="1:12" x14ac:dyDescent="0.45">
      <c r="A21" t="s">
        <v>1118</v>
      </c>
      <c r="B21" t="s">
        <v>89</v>
      </c>
      <c r="C21">
        <v>968</v>
      </c>
      <c r="D21">
        <v>367.9</v>
      </c>
      <c r="E21">
        <v>51.3</v>
      </c>
      <c r="F21">
        <v>6.3</v>
      </c>
      <c r="G21">
        <v>1.5</v>
      </c>
      <c r="H21">
        <f t="shared" si="0"/>
        <v>935.01013054070688</v>
      </c>
      <c r="I21">
        <f t="shared" si="1"/>
        <v>3252.780130540707</v>
      </c>
      <c r="J21">
        <f>SUMIFS(Transit_Clean[Quantity], Transit_Clean[Destination], A21, Transit_Clean[Item_Code], B21, Transit_Clean[SAP_Status], "In Transit")</f>
        <v>0</v>
      </c>
      <c r="K21">
        <f t="shared" si="2"/>
        <v>2.6311497689589562</v>
      </c>
      <c r="L21" t="str" cm="1">
        <f t="array" ref="L21">_xlfn.IFS(C21&lt;0,"DATO INVALIDO", C21+J21&lt;I21,"PEDIR YA", C21&lt;I21,"EN CAMINO OK", TRUE,"SANO")</f>
        <v>PEDIR YA</v>
      </c>
    </row>
    <row r="22" spans="1:12" x14ac:dyDescent="0.45">
      <c r="A22" t="s">
        <v>1115</v>
      </c>
      <c r="B22" t="s">
        <v>58</v>
      </c>
      <c r="C22">
        <v>6020</v>
      </c>
      <c r="D22">
        <v>583.20000000000005</v>
      </c>
      <c r="E22">
        <v>85.2</v>
      </c>
      <c r="F22">
        <v>1.8</v>
      </c>
      <c r="G22">
        <v>0.6</v>
      </c>
      <c r="H22">
        <f t="shared" si="0"/>
        <v>607.39339224591504</v>
      </c>
      <c r="I22">
        <f t="shared" si="1"/>
        <v>1657.1533922459153</v>
      </c>
      <c r="J22">
        <f>SUMIFS(Transit_Clean[Quantity], Transit_Clean[Destination], A22, Transit_Clean[Item_Code], B22, Transit_Clean[SAP_Status], "In Transit")</f>
        <v>0</v>
      </c>
      <c r="K22">
        <f t="shared" si="2"/>
        <v>10.32235939643347</v>
      </c>
      <c r="L22" t="str" cm="1">
        <f t="array" ref="L22">_xlfn.IFS(C22&lt;0,"DATO INVALIDO", C22+J22&lt;I22,"PEDIR YA", C22&lt;I22,"EN CAMINO OK", TRUE,"SANO")</f>
        <v>SANO</v>
      </c>
    </row>
    <row r="23" spans="1:12" x14ac:dyDescent="0.45">
      <c r="A23" t="s">
        <v>1117</v>
      </c>
      <c r="B23" t="s">
        <v>75</v>
      </c>
      <c r="C23">
        <v>2037</v>
      </c>
      <c r="D23">
        <v>356.5</v>
      </c>
      <c r="E23">
        <v>50.9</v>
      </c>
      <c r="F23">
        <v>2.6</v>
      </c>
      <c r="G23">
        <v>0.5</v>
      </c>
      <c r="H23">
        <f t="shared" si="0"/>
        <v>323.79192584320259</v>
      </c>
      <c r="I23">
        <f t="shared" si="1"/>
        <v>1250.6919258432026</v>
      </c>
      <c r="J23">
        <f>SUMIFS(Transit_Clean[Quantity], Transit_Clean[Destination], A23, Transit_Clean[Item_Code], B23, Transit_Clean[SAP_Status], "In Transit")</f>
        <v>2969</v>
      </c>
      <c r="K23">
        <f t="shared" si="2"/>
        <v>5.713884992987377</v>
      </c>
      <c r="L23" t="str" cm="1">
        <f t="array" ref="L23">_xlfn.IFS(C23&lt;0,"DATO INVALIDO", C23+J23&lt;I23,"PEDIR YA", C23&lt;I23,"EN CAMINO OK", TRUE,"SANO")</f>
        <v>SANO</v>
      </c>
    </row>
    <row r="24" spans="1:12" x14ac:dyDescent="0.45">
      <c r="A24" t="s">
        <v>1125</v>
      </c>
      <c r="B24" t="s">
        <v>22</v>
      </c>
      <c r="C24">
        <v>735</v>
      </c>
      <c r="D24">
        <v>280.39999999999998</v>
      </c>
      <c r="E24">
        <v>154.69999999999999</v>
      </c>
      <c r="F24">
        <v>3.9</v>
      </c>
      <c r="G24">
        <v>1.2</v>
      </c>
      <c r="H24">
        <f t="shared" si="0"/>
        <v>749.89539634638356</v>
      </c>
      <c r="I24">
        <f t="shared" si="1"/>
        <v>1843.4553963463836</v>
      </c>
      <c r="J24">
        <f>SUMIFS(Transit_Clean[Quantity], Transit_Clean[Destination], A24, Transit_Clean[Item_Code], B24, Transit_Clean[SAP_Status], "In Transit")</f>
        <v>0</v>
      </c>
      <c r="K24">
        <f t="shared" si="2"/>
        <v>2.6212553495007134</v>
      </c>
      <c r="L24" t="str" cm="1">
        <f t="array" ref="L24">_xlfn.IFS(C24&lt;0,"DATO INVALIDO", C24+J24&lt;I24,"PEDIR YA", C24&lt;I24,"EN CAMINO OK", TRUE,"SANO")</f>
        <v>PEDIR YA</v>
      </c>
    </row>
    <row r="25" spans="1:12" x14ac:dyDescent="0.45">
      <c r="A25" t="s">
        <v>1124</v>
      </c>
      <c r="B25" t="s">
        <v>50</v>
      </c>
      <c r="C25">
        <v>1408</v>
      </c>
      <c r="D25">
        <v>188.5</v>
      </c>
      <c r="E25">
        <v>54.1</v>
      </c>
      <c r="F25">
        <v>1.2</v>
      </c>
      <c r="G25">
        <v>0.3</v>
      </c>
      <c r="H25">
        <f t="shared" si="0"/>
        <v>135.15982326952783</v>
      </c>
      <c r="I25">
        <f t="shared" si="1"/>
        <v>361.35982326952785</v>
      </c>
      <c r="J25">
        <f>SUMIFS(Transit_Clean[Quantity], Transit_Clean[Destination], A25, Transit_Clean[Item_Code], B25, Transit_Clean[SAP_Status], "In Transit")</f>
        <v>2230</v>
      </c>
      <c r="K25">
        <f t="shared" si="2"/>
        <v>7.4694960212201593</v>
      </c>
      <c r="L25" t="str" cm="1">
        <f t="array" ref="L25">_xlfn.IFS(C25&lt;0,"DATO INVALIDO", C25+J25&lt;I25,"PEDIR YA", C25&lt;I25,"EN CAMINO OK", TRUE,"SANO")</f>
        <v>SANO</v>
      </c>
    </row>
    <row r="26" spans="1:12" x14ac:dyDescent="0.45">
      <c r="A26" t="s">
        <v>1123</v>
      </c>
      <c r="B26" t="s">
        <v>51</v>
      </c>
      <c r="C26">
        <v>5022</v>
      </c>
      <c r="D26">
        <v>787.9</v>
      </c>
      <c r="E26">
        <v>167.2</v>
      </c>
      <c r="F26">
        <v>1</v>
      </c>
      <c r="G26">
        <v>0.3</v>
      </c>
      <c r="H26">
        <f t="shared" si="0"/>
        <v>477.72163914799796</v>
      </c>
      <c r="I26">
        <f t="shared" si="1"/>
        <v>1265.6216391479979</v>
      </c>
      <c r="J26">
        <f>SUMIFS(Transit_Clean[Quantity], Transit_Clean[Destination], A26, Transit_Clean[Item_Code], B26, Transit_Clean[SAP_Status], "In Transit")</f>
        <v>3475</v>
      </c>
      <c r="K26">
        <f t="shared" si="2"/>
        <v>6.3739053179337484</v>
      </c>
      <c r="L26" t="str" cm="1">
        <f t="array" ref="L26">_xlfn.IFS(C26&lt;0,"DATO INVALIDO", C26+J26&lt;I26,"PEDIR YA", C26&lt;I26,"EN CAMINO OK", TRUE,"SANO")</f>
        <v>SANO</v>
      </c>
    </row>
    <row r="27" spans="1:12" x14ac:dyDescent="0.45">
      <c r="A27" t="s">
        <v>1119</v>
      </c>
      <c r="B27" t="s">
        <v>5</v>
      </c>
      <c r="C27">
        <v>7498</v>
      </c>
      <c r="D27">
        <v>483.5</v>
      </c>
      <c r="E27">
        <v>42.4</v>
      </c>
      <c r="F27">
        <v>1</v>
      </c>
      <c r="G27">
        <v>1</v>
      </c>
      <c r="H27">
        <f t="shared" si="0"/>
        <v>800.83665764311763</v>
      </c>
      <c r="I27">
        <f t="shared" si="1"/>
        <v>1284.3366576431176</v>
      </c>
      <c r="J27">
        <f>SUMIFS(Transit_Clean[Quantity], Transit_Clean[Destination], A27, Transit_Clean[Item_Code], B27, Transit_Clean[SAP_Status], "In Transit")</f>
        <v>1128</v>
      </c>
      <c r="K27">
        <f t="shared" si="2"/>
        <v>15.507755946225439</v>
      </c>
      <c r="L27" t="str" cm="1">
        <f t="array" ref="L27">_xlfn.IFS(C27&lt;0,"DATO INVALIDO", C27+J27&lt;I27,"PEDIR YA", C27&lt;I27,"EN CAMINO OK", TRUE,"SANO")</f>
        <v>SANO</v>
      </c>
    </row>
    <row r="28" spans="1:12" x14ac:dyDescent="0.45">
      <c r="A28" t="s">
        <v>1116</v>
      </c>
      <c r="B28" t="s">
        <v>12</v>
      </c>
      <c r="C28">
        <v>5143</v>
      </c>
      <c r="D28">
        <v>408.3</v>
      </c>
      <c r="E28">
        <v>47.8</v>
      </c>
      <c r="F28">
        <v>3.6</v>
      </c>
      <c r="G28">
        <v>1.6</v>
      </c>
      <c r="H28">
        <f t="shared" si="0"/>
        <v>1088.2499697146791</v>
      </c>
      <c r="I28">
        <f t="shared" si="1"/>
        <v>2558.1299697146792</v>
      </c>
      <c r="J28">
        <f>SUMIFS(Transit_Clean[Quantity], Transit_Clean[Destination], A28, Transit_Clean[Item_Code], B28, Transit_Clean[SAP_Status], "In Transit")</f>
        <v>0</v>
      </c>
      <c r="K28">
        <f t="shared" si="2"/>
        <v>12.596130296350722</v>
      </c>
      <c r="L28" t="str" cm="1">
        <f t="array" ref="L28">_xlfn.IFS(C28&lt;0,"DATO INVALIDO", C28+J28&lt;I28,"PEDIR YA", C28&lt;I28,"EN CAMINO OK", TRUE,"SANO")</f>
        <v>SANO</v>
      </c>
    </row>
    <row r="29" spans="1:12" x14ac:dyDescent="0.45">
      <c r="A29" t="s">
        <v>1124</v>
      </c>
      <c r="B29" t="s">
        <v>77</v>
      </c>
      <c r="C29">
        <v>3572</v>
      </c>
      <c r="D29">
        <v>210</v>
      </c>
      <c r="E29">
        <v>64.900000000000006</v>
      </c>
      <c r="F29">
        <v>1.6</v>
      </c>
      <c r="G29">
        <v>0.3</v>
      </c>
      <c r="H29">
        <f t="shared" si="0"/>
        <v>170.74284189974117</v>
      </c>
      <c r="I29">
        <f t="shared" si="1"/>
        <v>506.74284189974117</v>
      </c>
      <c r="J29">
        <f>SUMIFS(Transit_Clean[Quantity], Transit_Clean[Destination], A29, Transit_Clean[Item_Code], B29, Transit_Clean[SAP_Status], "In Transit")</f>
        <v>4283</v>
      </c>
      <c r="K29">
        <f t="shared" si="2"/>
        <v>17.009523809523809</v>
      </c>
      <c r="L29" t="str" cm="1">
        <f t="array" ref="L29">_xlfn.IFS(C29&lt;0,"DATO INVALIDO", C29+J29&lt;I29,"PEDIR YA", C29&lt;I29,"EN CAMINO OK", TRUE,"SANO")</f>
        <v>SANO</v>
      </c>
    </row>
    <row r="30" spans="1:12" x14ac:dyDescent="0.45">
      <c r="A30" t="s">
        <v>1115</v>
      </c>
      <c r="B30" t="s">
        <v>49</v>
      </c>
      <c r="C30">
        <v>3264</v>
      </c>
      <c r="D30">
        <v>486.1</v>
      </c>
      <c r="E30">
        <v>80.8</v>
      </c>
      <c r="F30">
        <v>2.7</v>
      </c>
      <c r="G30">
        <v>0.6</v>
      </c>
      <c r="H30">
        <f t="shared" si="0"/>
        <v>528.75455137615597</v>
      </c>
      <c r="I30">
        <f t="shared" si="1"/>
        <v>1841.2245513761563</v>
      </c>
      <c r="J30">
        <f>SUMIFS(Transit_Clean[Quantity], Transit_Clean[Destination], A30, Transit_Clean[Item_Code], B30, Transit_Clean[SAP_Status], "In Transit")</f>
        <v>0</v>
      </c>
      <c r="K30">
        <f t="shared" si="2"/>
        <v>6.7146677638346013</v>
      </c>
      <c r="L30" t="str" cm="1">
        <f t="array" ref="L30">_xlfn.IFS(C30&lt;0,"DATO INVALIDO", C30+J30&lt;I30,"PEDIR YA", C30&lt;I30,"EN CAMINO OK", TRUE,"SANO")</f>
        <v>SANO</v>
      </c>
    </row>
    <row r="31" spans="1:12" x14ac:dyDescent="0.45">
      <c r="A31" t="s">
        <v>1115</v>
      </c>
      <c r="B31" t="s">
        <v>81</v>
      </c>
      <c r="C31">
        <v>6366</v>
      </c>
      <c r="D31">
        <v>428.7</v>
      </c>
      <c r="E31">
        <v>71.900000000000006</v>
      </c>
      <c r="F31">
        <v>0.8</v>
      </c>
      <c r="G31">
        <v>0.6</v>
      </c>
      <c r="H31">
        <f t="shared" si="0"/>
        <v>437.47663383202536</v>
      </c>
      <c r="I31">
        <f t="shared" si="1"/>
        <v>780.43663383202534</v>
      </c>
      <c r="J31">
        <f>SUMIFS(Transit_Clean[Quantity], Transit_Clean[Destination], A31, Transit_Clean[Item_Code], B31, Transit_Clean[SAP_Status], "In Transit")</f>
        <v>1067</v>
      </c>
      <c r="K31">
        <f t="shared" si="2"/>
        <v>14.849545136459062</v>
      </c>
      <c r="L31" t="str" cm="1">
        <f t="array" ref="L31">_xlfn.IFS(C31&lt;0,"DATO INVALIDO", C31+J31&lt;I31,"PEDIR YA", C31&lt;I31,"EN CAMINO OK", TRUE,"SANO")</f>
        <v>SANO</v>
      </c>
    </row>
    <row r="32" spans="1:12" x14ac:dyDescent="0.45">
      <c r="A32" t="s">
        <v>1122</v>
      </c>
      <c r="B32" t="s">
        <v>30</v>
      </c>
      <c r="C32">
        <v>4488</v>
      </c>
      <c r="D32">
        <v>751.3</v>
      </c>
      <c r="E32">
        <v>183.7</v>
      </c>
      <c r="F32">
        <v>0.9</v>
      </c>
      <c r="G32">
        <v>0.2</v>
      </c>
      <c r="H32">
        <f t="shared" si="0"/>
        <v>379.67639637393842</v>
      </c>
      <c r="I32">
        <f t="shared" si="1"/>
        <v>1055.8463963739384</v>
      </c>
      <c r="J32">
        <f>SUMIFS(Transit_Clean[Quantity], Transit_Clean[Destination], A32, Transit_Clean[Item_Code], B32, Transit_Clean[SAP_Status], "In Transit")</f>
        <v>0</v>
      </c>
      <c r="K32">
        <f t="shared" si="2"/>
        <v>5.9736456808199128</v>
      </c>
      <c r="L32" t="str" cm="1">
        <f t="array" ref="L32">_xlfn.IFS(C32&lt;0,"DATO INVALIDO", C32+J32&lt;I32,"PEDIR YA", C32&lt;I32,"EN CAMINO OK", TRUE,"SANO")</f>
        <v>SANO</v>
      </c>
    </row>
    <row r="33" spans="1:12" x14ac:dyDescent="0.45">
      <c r="A33" t="s">
        <v>1120</v>
      </c>
      <c r="B33" t="s">
        <v>110</v>
      </c>
      <c r="C33">
        <v>1096</v>
      </c>
      <c r="D33">
        <v>364.1</v>
      </c>
      <c r="E33">
        <v>172.5</v>
      </c>
      <c r="F33">
        <v>2.2000000000000002</v>
      </c>
      <c r="G33">
        <v>0.5</v>
      </c>
      <c r="H33">
        <f t="shared" si="0"/>
        <v>518.1261484245415</v>
      </c>
      <c r="I33">
        <f t="shared" si="1"/>
        <v>1319.1461484245415</v>
      </c>
      <c r="J33">
        <f>SUMIFS(Transit_Clean[Quantity], Transit_Clean[Destination], A33, Transit_Clean[Item_Code], B33, Transit_Clean[SAP_Status], "In Transit")</f>
        <v>0</v>
      </c>
      <c r="K33">
        <f t="shared" si="2"/>
        <v>3.0101620433946716</v>
      </c>
      <c r="L33" t="str" cm="1">
        <f t="array" ref="L33">_xlfn.IFS(C33&lt;0,"DATO INVALIDO", C33+J33&lt;I33,"PEDIR YA", C33&lt;I33,"EN CAMINO OK", TRUE,"SANO")</f>
        <v>PEDIR YA</v>
      </c>
    </row>
    <row r="34" spans="1:12" x14ac:dyDescent="0.45">
      <c r="A34" t="s">
        <v>1121</v>
      </c>
      <c r="B34" t="s">
        <v>48</v>
      </c>
      <c r="C34">
        <v>3055</v>
      </c>
      <c r="D34">
        <v>909.1</v>
      </c>
      <c r="E34">
        <v>206.5</v>
      </c>
      <c r="F34">
        <v>1.9</v>
      </c>
      <c r="G34">
        <v>0.4</v>
      </c>
      <c r="H34">
        <f t="shared" si="0"/>
        <v>761.96121864797033</v>
      </c>
      <c r="I34">
        <f t="shared" si="1"/>
        <v>2489.2512186479703</v>
      </c>
      <c r="J34">
        <f>SUMIFS(Transit_Clean[Quantity], Transit_Clean[Destination], A34, Transit_Clean[Item_Code], B34, Transit_Clean[SAP_Status], "In Transit")</f>
        <v>0</v>
      </c>
      <c r="K34">
        <f t="shared" si="2"/>
        <v>3.3604663953360467</v>
      </c>
      <c r="L34" t="str" cm="1">
        <f t="array" ref="L34">_xlfn.IFS(C34&lt;0,"DATO INVALIDO", C34+J34&lt;I34,"PEDIR YA", C34&lt;I34,"EN CAMINO OK", TRUE,"SANO")</f>
        <v>SANO</v>
      </c>
    </row>
    <row r="35" spans="1:12" x14ac:dyDescent="0.45">
      <c r="A35" t="s">
        <v>1116</v>
      </c>
      <c r="B35" t="s">
        <v>49</v>
      </c>
      <c r="C35">
        <v>1168</v>
      </c>
      <c r="D35">
        <v>343.4</v>
      </c>
      <c r="E35">
        <v>43.3</v>
      </c>
      <c r="F35">
        <v>5.7</v>
      </c>
      <c r="G35">
        <v>1.6</v>
      </c>
      <c r="H35">
        <f t="shared" si="0"/>
        <v>922.48309226700735</v>
      </c>
      <c r="I35">
        <f t="shared" si="1"/>
        <v>2879.8630922670072</v>
      </c>
      <c r="J35">
        <f>SUMIFS(Transit_Clean[Quantity], Transit_Clean[Destination], A35, Transit_Clean[Item_Code], B35, Transit_Clean[SAP_Status], "In Transit")</f>
        <v>0</v>
      </c>
      <c r="K35">
        <f t="shared" si="2"/>
        <v>3.4012813046010484</v>
      </c>
      <c r="L35" t="str" cm="1">
        <f t="array" ref="L35">_xlfn.IFS(C35&lt;0,"DATO INVALIDO", C35+J35&lt;I35,"PEDIR YA", C35&lt;I35,"EN CAMINO OK", TRUE,"SANO")</f>
        <v>PEDIR YA</v>
      </c>
    </row>
    <row r="36" spans="1:12" x14ac:dyDescent="0.45">
      <c r="A36" t="s">
        <v>1122</v>
      </c>
      <c r="B36" t="s">
        <v>89</v>
      </c>
      <c r="C36">
        <v>2143</v>
      </c>
      <c r="D36">
        <v>308.10000000000002</v>
      </c>
      <c r="E36">
        <v>35.700000000000003</v>
      </c>
      <c r="F36">
        <v>1.3</v>
      </c>
      <c r="G36">
        <v>0.2</v>
      </c>
      <c r="H36">
        <f t="shared" si="0"/>
        <v>121.85293456252911</v>
      </c>
      <c r="I36">
        <f t="shared" si="1"/>
        <v>522.38293456252916</v>
      </c>
      <c r="J36">
        <f>SUMIFS(Transit_Clean[Quantity], Transit_Clean[Destination], A36, Transit_Clean[Item_Code], B36, Transit_Clean[SAP_Status], "In Transit")</f>
        <v>645</v>
      </c>
      <c r="K36">
        <f t="shared" si="2"/>
        <v>6.9555339175592339</v>
      </c>
      <c r="L36" t="str" cm="1">
        <f t="array" ref="L36">_xlfn.IFS(C36&lt;0,"DATO INVALIDO", C36+J36&lt;I36,"PEDIR YA", C36&lt;I36,"EN CAMINO OK", TRUE,"SANO")</f>
        <v>SANO</v>
      </c>
    </row>
    <row r="37" spans="1:12" x14ac:dyDescent="0.45">
      <c r="A37" t="s">
        <v>1121</v>
      </c>
      <c r="B37" t="s">
        <v>54</v>
      </c>
      <c r="C37">
        <v>1575</v>
      </c>
      <c r="D37">
        <v>188.3</v>
      </c>
      <c r="E37">
        <v>17.7</v>
      </c>
      <c r="F37">
        <v>1.8</v>
      </c>
      <c r="G37">
        <v>0.4</v>
      </c>
      <c r="H37">
        <f t="shared" si="0"/>
        <v>130.30847604434643</v>
      </c>
      <c r="I37">
        <f t="shared" si="1"/>
        <v>469.24847604434649</v>
      </c>
      <c r="J37">
        <f>SUMIFS(Transit_Clean[Quantity], Transit_Clean[Destination], A37, Transit_Clean[Item_Code], B37, Transit_Clean[SAP_Status], "In Transit")</f>
        <v>1559</v>
      </c>
      <c r="K37">
        <f t="shared" si="2"/>
        <v>8.3643122676579917</v>
      </c>
      <c r="L37" t="str" cm="1">
        <f t="array" ref="L37">_xlfn.IFS(C37&lt;0,"DATO INVALIDO", C37+J37&lt;I37,"PEDIR YA", C37&lt;I37,"EN CAMINO OK", TRUE,"SANO")</f>
        <v>SANO</v>
      </c>
    </row>
    <row r="38" spans="1:12" x14ac:dyDescent="0.45">
      <c r="A38" t="s">
        <v>1128</v>
      </c>
      <c r="B38" t="s">
        <v>13</v>
      </c>
      <c r="D38">
        <v>334.9</v>
      </c>
      <c r="E38">
        <v>99.2</v>
      </c>
      <c r="F38">
        <v>1.7</v>
      </c>
      <c r="G38">
        <v>0.5</v>
      </c>
      <c r="H38">
        <f t="shared" si="0"/>
        <v>349.11672494489574</v>
      </c>
      <c r="I38">
        <f t="shared" si="1"/>
        <v>918.44672494489566</v>
      </c>
      <c r="J38">
        <f>SUMIFS(Transit_Clean[Quantity], Transit_Clean[Destination], A38, Transit_Clean[Item_Code], B38, Transit_Clean[SAP_Status], "In Transit")</f>
        <v>0</v>
      </c>
      <c r="K38">
        <f t="shared" si="2"/>
        <v>0</v>
      </c>
      <c r="L38" t="str" cm="1">
        <f t="array" ref="L38">_xlfn.IFS(C38&lt;0,"DATO INVALIDO", C38+J38&lt;I38,"PEDIR YA", C38&lt;I38,"EN CAMINO OK", TRUE,"SANO")</f>
        <v>PEDIR YA</v>
      </c>
    </row>
    <row r="39" spans="1:12" x14ac:dyDescent="0.45">
      <c r="A39" t="s">
        <v>1123</v>
      </c>
      <c r="B39" t="s">
        <v>83</v>
      </c>
      <c r="C39">
        <v>9638</v>
      </c>
      <c r="D39">
        <v>541.9</v>
      </c>
      <c r="E39">
        <v>88.2</v>
      </c>
      <c r="F39">
        <v>1.1000000000000001</v>
      </c>
      <c r="G39">
        <v>0.3</v>
      </c>
      <c r="H39">
        <f t="shared" si="0"/>
        <v>308.62573585209964</v>
      </c>
      <c r="I39">
        <f t="shared" si="1"/>
        <v>904.71573585209967</v>
      </c>
      <c r="J39">
        <f>SUMIFS(Transit_Clean[Quantity], Transit_Clean[Destination], A39, Transit_Clean[Item_Code], B39, Transit_Clean[SAP_Status], "In Transit")</f>
        <v>0</v>
      </c>
      <c r="K39">
        <f t="shared" si="2"/>
        <v>17.785569293227532</v>
      </c>
      <c r="L39" t="str" cm="1">
        <f t="array" ref="L39">_xlfn.IFS(C39&lt;0,"DATO INVALIDO", C39+J39&lt;I39,"PEDIR YA", C39&lt;I39,"EN CAMINO OK", TRUE,"SANO")</f>
        <v>SANO</v>
      </c>
    </row>
    <row r="40" spans="1:12" x14ac:dyDescent="0.45">
      <c r="A40" t="s">
        <v>1119</v>
      </c>
      <c r="B40" t="s">
        <v>41</v>
      </c>
      <c r="C40">
        <v>4103</v>
      </c>
      <c r="D40">
        <v>485.8</v>
      </c>
      <c r="E40">
        <v>198.2</v>
      </c>
      <c r="F40">
        <v>2.5</v>
      </c>
      <c r="G40">
        <v>1</v>
      </c>
      <c r="H40">
        <f t="shared" si="0"/>
        <v>953.8794562993794</v>
      </c>
      <c r="I40">
        <f t="shared" si="1"/>
        <v>2168.3794562993794</v>
      </c>
      <c r="J40">
        <f>SUMIFS(Transit_Clean[Quantity], Transit_Clean[Destination], A40, Transit_Clean[Item_Code], B40, Transit_Clean[SAP_Status], "In Transit")</f>
        <v>1192</v>
      </c>
      <c r="K40">
        <f t="shared" si="2"/>
        <v>8.4458624948538485</v>
      </c>
      <c r="L40" t="str" cm="1">
        <f t="array" ref="L40">_xlfn.IFS(C40&lt;0,"DATO INVALIDO", C40+J40&lt;I40,"PEDIR YA", C40&lt;I40,"EN CAMINO OK", TRUE,"SANO")</f>
        <v>SANO</v>
      </c>
    </row>
    <row r="41" spans="1:12" x14ac:dyDescent="0.45">
      <c r="A41" t="s">
        <v>1120</v>
      </c>
      <c r="B41" t="s">
        <v>12</v>
      </c>
      <c r="C41">
        <v>2497</v>
      </c>
      <c r="D41">
        <v>162.4</v>
      </c>
      <c r="E41">
        <v>19.3</v>
      </c>
      <c r="F41">
        <v>1.7</v>
      </c>
      <c r="G41">
        <v>0.5</v>
      </c>
      <c r="H41">
        <f t="shared" si="0"/>
        <v>140.26623700128266</v>
      </c>
      <c r="I41">
        <f t="shared" si="1"/>
        <v>416.34623700128265</v>
      </c>
      <c r="J41">
        <f>SUMIFS(Transit_Clean[Quantity], Transit_Clean[Destination], A41, Transit_Clean[Item_Code], B41, Transit_Clean[SAP_Status], "In Transit")</f>
        <v>0</v>
      </c>
      <c r="K41">
        <f t="shared" si="2"/>
        <v>15.375615763546797</v>
      </c>
      <c r="L41" t="str" cm="1">
        <f t="array" ref="L41">_xlfn.IFS(C41&lt;0,"DATO INVALIDO", C41+J41&lt;I41,"PEDIR YA", C41&lt;I41,"EN CAMINO OK", TRUE,"SANO")</f>
        <v>SANO</v>
      </c>
    </row>
    <row r="42" spans="1:12" x14ac:dyDescent="0.45">
      <c r="A42" t="s">
        <v>1122</v>
      </c>
      <c r="B42" t="s">
        <v>65</v>
      </c>
      <c r="C42">
        <v>2440</v>
      </c>
      <c r="D42">
        <v>275.39999999999998</v>
      </c>
      <c r="E42">
        <v>102.8</v>
      </c>
      <c r="F42">
        <v>0.6</v>
      </c>
      <c r="G42">
        <v>0.2</v>
      </c>
      <c r="H42">
        <f t="shared" si="0"/>
        <v>159.75639130876735</v>
      </c>
      <c r="I42">
        <f t="shared" si="1"/>
        <v>324.99639130876733</v>
      </c>
      <c r="J42">
        <f>SUMIFS(Transit_Clean[Quantity], Transit_Clean[Destination], A42, Transit_Clean[Item_Code], B42, Transit_Clean[SAP_Status], "In Transit")</f>
        <v>2199</v>
      </c>
      <c r="K42">
        <f t="shared" si="2"/>
        <v>8.8598402323892529</v>
      </c>
      <c r="L42" t="str" cm="1">
        <f t="array" ref="L42">_xlfn.IFS(C42&lt;0,"DATO INVALIDO", C42+J42&lt;I42,"PEDIR YA", C42&lt;I42,"EN CAMINO OK", TRUE,"SANO")</f>
        <v>SANO</v>
      </c>
    </row>
    <row r="43" spans="1:12" x14ac:dyDescent="0.45">
      <c r="A43" t="s">
        <v>1121</v>
      </c>
      <c r="B43" t="s">
        <v>1138</v>
      </c>
      <c r="C43">
        <v>1048</v>
      </c>
      <c r="D43">
        <v>360.1</v>
      </c>
      <c r="E43">
        <v>85.6</v>
      </c>
      <c r="F43">
        <v>1.7</v>
      </c>
      <c r="G43">
        <v>0.4</v>
      </c>
      <c r="H43">
        <f t="shared" si="0"/>
        <v>300.66257079323992</v>
      </c>
      <c r="I43">
        <f t="shared" si="1"/>
        <v>912.83257079323994</v>
      </c>
      <c r="J43">
        <f>SUMIFS(Transit_Clean[Quantity], Transit_Clean[Destination], A43, Transit_Clean[Item_Code], B43, Transit_Clean[SAP_Status], "In Transit")</f>
        <v>0</v>
      </c>
      <c r="K43">
        <f t="shared" si="2"/>
        <v>2.9103026936961953</v>
      </c>
      <c r="L43" t="str" cm="1">
        <f t="array" ref="L43">_xlfn.IFS(C43&lt;0,"DATO INVALIDO", C43+J43&lt;I43,"PEDIR YA", C43&lt;I43,"EN CAMINO OK", TRUE,"SANO")</f>
        <v>SANO</v>
      </c>
    </row>
    <row r="44" spans="1:12" x14ac:dyDescent="0.45">
      <c r="A44" t="s">
        <v>1126</v>
      </c>
      <c r="B44" t="s">
        <v>1130</v>
      </c>
      <c r="C44">
        <v>3885</v>
      </c>
      <c r="D44">
        <v>394.7</v>
      </c>
      <c r="E44">
        <v>258.3</v>
      </c>
      <c r="F44">
        <v>0.5</v>
      </c>
      <c r="G44">
        <v>0.2</v>
      </c>
      <c r="H44">
        <f t="shared" si="0"/>
        <v>328.30840990370621</v>
      </c>
      <c r="I44">
        <f t="shared" si="1"/>
        <v>525.65840990370623</v>
      </c>
      <c r="J44">
        <f>SUMIFS(Transit_Clean[Quantity], Transit_Clean[Destination], A44, Transit_Clean[Item_Code], B44, Transit_Clean[SAP_Status], "In Transit")</f>
        <v>0</v>
      </c>
      <c r="K44">
        <f t="shared" si="2"/>
        <v>9.8429186724094251</v>
      </c>
      <c r="L44" t="str" cm="1">
        <f t="array" ref="L44">_xlfn.IFS(C44&lt;0,"DATO INVALIDO", C44+J44&lt;I44,"PEDIR YA", C44&lt;I44,"EN CAMINO OK", TRUE,"SANO")</f>
        <v>SANO</v>
      </c>
    </row>
    <row r="45" spans="1:12" x14ac:dyDescent="0.45">
      <c r="A45" t="s">
        <v>1121</v>
      </c>
      <c r="B45" t="s">
        <v>65</v>
      </c>
      <c r="C45">
        <v>2600</v>
      </c>
      <c r="D45">
        <v>152.69999999999999</v>
      </c>
      <c r="E45">
        <v>51.4</v>
      </c>
      <c r="F45">
        <v>1.7</v>
      </c>
      <c r="G45">
        <v>0.4</v>
      </c>
      <c r="H45">
        <f t="shared" si="0"/>
        <v>149.61504902248302</v>
      </c>
      <c r="I45">
        <f t="shared" si="1"/>
        <v>409.20504902248297</v>
      </c>
      <c r="J45">
        <f>SUMIFS(Transit_Clean[Quantity], Transit_Clean[Destination], A45, Transit_Clean[Item_Code], B45, Transit_Clean[SAP_Status], "In Transit")</f>
        <v>0</v>
      </c>
      <c r="K45">
        <f t="shared" si="2"/>
        <v>17.026850032743944</v>
      </c>
      <c r="L45" t="str" cm="1">
        <f t="array" ref="L45">_xlfn.IFS(C45&lt;0,"DATO INVALIDO", C45+J45&lt;I45,"PEDIR YA", C45&lt;I45,"EN CAMINO OK", TRUE,"SANO")</f>
        <v>SANO</v>
      </c>
    </row>
    <row r="46" spans="1:12" x14ac:dyDescent="0.45">
      <c r="A46" t="s">
        <v>1119</v>
      </c>
      <c r="B46" t="s">
        <v>76</v>
      </c>
      <c r="C46">
        <v>5685</v>
      </c>
      <c r="D46">
        <v>352.1</v>
      </c>
      <c r="E46">
        <v>103.1</v>
      </c>
      <c r="F46">
        <v>4.2</v>
      </c>
      <c r="G46">
        <v>1</v>
      </c>
      <c r="H46">
        <f t="shared" si="0"/>
        <v>677.54306635814669</v>
      </c>
      <c r="I46">
        <f t="shared" si="1"/>
        <v>2156.3630663581471</v>
      </c>
      <c r="J46">
        <f>SUMIFS(Transit_Clean[Quantity], Transit_Clean[Destination], A46, Transit_Clean[Item_Code], B46, Transit_Clean[SAP_Status], "In Transit")</f>
        <v>602</v>
      </c>
      <c r="K46">
        <f t="shared" si="2"/>
        <v>16.145981255325189</v>
      </c>
      <c r="L46" t="str" cm="1">
        <f t="array" ref="L46">_xlfn.IFS(C46&lt;0,"DATO INVALIDO", C46+J46&lt;I46,"PEDIR YA", C46&lt;I46,"EN CAMINO OK", TRUE,"SANO")</f>
        <v>SANO</v>
      </c>
    </row>
    <row r="47" spans="1:12" x14ac:dyDescent="0.45">
      <c r="A47" t="s">
        <v>1114</v>
      </c>
      <c r="B47" t="s">
        <v>15</v>
      </c>
      <c r="C47">
        <v>2068</v>
      </c>
      <c r="D47">
        <v>378.2</v>
      </c>
      <c r="E47">
        <v>89.2</v>
      </c>
      <c r="F47">
        <v>1.8</v>
      </c>
      <c r="G47">
        <v>1.3</v>
      </c>
      <c r="H47">
        <f t="shared" si="0"/>
        <v>834.92528374759377</v>
      </c>
      <c r="I47">
        <f t="shared" si="1"/>
        <v>1515.6852837475938</v>
      </c>
      <c r="J47">
        <f>SUMIFS(Transit_Clean[Quantity], Transit_Clean[Destination], A47, Transit_Clean[Item_Code], B47, Transit_Clean[SAP_Status], "In Transit")</f>
        <v>0</v>
      </c>
      <c r="K47">
        <f t="shared" si="2"/>
        <v>5.4680063458487576</v>
      </c>
      <c r="L47" t="str" cm="1">
        <f t="array" ref="L47">_xlfn.IFS(C47&lt;0,"DATO INVALIDO", C47+J47&lt;I47,"PEDIR YA", C47&lt;I47,"EN CAMINO OK", TRUE,"SANO")</f>
        <v>SANO</v>
      </c>
    </row>
    <row r="48" spans="1:12" x14ac:dyDescent="0.45">
      <c r="A48" t="s">
        <v>1128</v>
      </c>
      <c r="B48" t="s">
        <v>8</v>
      </c>
      <c r="C48">
        <v>10536</v>
      </c>
      <c r="D48">
        <v>627</v>
      </c>
      <c r="E48">
        <v>160.4</v>
      </c>
      <c r="F48">
        <v>2</v>
      </c>
      <c r="G48">
        <v>0.5</v>
      </c>
      <c r="H48">
        <f t="shared" si="0"/>
        <v>638.48512654955391</v>
      </c>
      <c r="I48">
        <f t="shared" si="1"/>
        <v>1892.485126549554</v>
      </c>
      <c r="J48">
        <f>SUMIFS(Transit_Clean[Quantity], Transit_Clean[Destination], A48, Transit_Clean[Item_Code], B48, Transit_Clean[SAP_Status], "In Transit")</f>
        <v>0</v>
      </c>
      <c r="K48">
        <f t="shared" si="2"/>
        <v>16.803827751196174</v>
      </c>
      <c r="L48" t="str" cm="1">
        <f t="array" ref="L48">_xlfn.IFS(C48&lt;0,"DATO INVALIDO", C48+J48&lt;I48,"PEDIR YA", C48&lt;I48,"EN CAMINO OK", TRUE,"SANO")</f>
        <v>SANO</v>
      </c>
    </row>
    <row r="49" spans="1:12" x14ac:dyDescent="0.45">
      <c r="A49" t="s">
        <v>1116</v>
      </c>
      <c r="B49" t="s">
        <v>62</v>
      </c>
      <c r="C49">
        <v>6643</v>
      </c>
      <c r="D49">
        <v>463.7</v>
      </c>
      <c r="E49">
        <v>43.5</v>
      </c>
      <c r="F49">
        <v>7.7</v>
      </c>
      <c r="G49">
        <v>1.6</v>
      </c>
      <c r="H49">
        <f t="shared" si="0"/>
        <v>1240.2640856029413</v>
      </c>
      <c r="I49">
        <f t="shared" si="1"/>
        <v>4810.7540856029409</v>
      </c>
      <c r="J49">
        <f>SUMIFS(Transit_Clean[Quantity], Transit_Clean[Destination], A49, Transit_Clean[Item_Code], B49, Transit_Clean[SAP_Status], "In Transit")</f>
        <v>0</v>
      </c>
      <c r="K49">
        <f t="shared" si="2"/>
        <v>14.326072891956006</v>
      </c>
      <c r="L49" t="str" cm="1">
        <f t="array" ref="L49">_xlfn.IFS(C49&lt;0,"DATO INVALIDO", C49+J49&lt;I49,"PEDIR YA", C49&lt;I49,"EN CAMINO OK", TRUE,"SANO")</f>
        <v>SANO</v>
      </c>
    </row>
    <row r="50" spans="1:12" x14ac:dyDescent="0.45">
      <c r="A50" t="s">
        <v>1123</v>
      </c>
      <c r="B50" t="s">
        <v>13</v>
      </c>
      <c r="C50">
        <v>3134</v>
      </c>
      <c r="D50">
        <v>370.7</v>
      </c>
      <c r="E50">
        <v>133.6</v>
      </c>
      <c r="F50">
        <v>1.3</v>
      </c>
      <c r="G50">
        <v>0.3</v>
      </c>
      <c r="H50">
        <f t="shared" si="0"/>
        <v>311.19591448515189</v>
      </c>
      <c r="I50">
        <f t="shared" si="1"/>
        <v>793.10591448515197</v>
      </c>
      <c r="J50">
        <f>SUMIFS(Transit_Clean[Quantity], Transit_Clean[Destination], A50, Transit_Clean[Item_Code], B50, Transit_Clean[SAP_Status], "In Transit")</f>
        <v>0</v>
      </c>
      <c r="K50">
        <f t="shared" si="2"/>
        <v>8.4542756946317787</v>
      </c>
      <c r="L50" t="str" cm="1">
        <f t="array" ref="L50">_xlfn.IFS(C50&lt;0,"DATO INVALIDO", C50+J50&lt;I50,"PEDIR YA", C50&lt;I50,"EN CAMINO OK", TRUE,"SANO")</f>
        <v>SANO</v>
      </c>
    </row>
    <row r="51" spans="1:12" x14ac:dyDescent="0.45">
      <c r="A51" t="s">
        <v>1127</v>
      </c>
      <c r="B51" t="s">
        <v>107</v>
      </c>
      <c r="C51">
        <v>850</v>
      </c>
      <c r="D51">
        <v>632</v>
      </c>
      <c r="E51">
        <v>425.7</v>
      </c>
      <c r="F51">
        <v>4.2</v>
      </c>
      <c r="G51">
        <v>0.9</v>
      </c>
      <c r="H51">
        <f t="shared" si="0"/>
        <v>1718.4252917438685</v>
      </c>
      <c r="I51">
        <f t="shared" si="1"/>
        <v>4372.8252917438685</v>
      </c>
      <c r="J51">
        <f>SUMIFS(Transit_Clean[Quantity], Transit_Clean[Destination], A51, Transit_Clean[Item_Code], B51, Transit_Clean[SAP_Status], "In Transit")</f>
        <v>4448</v>
      </c>
      <c r="K51">
        <f t="shared" si="2"/>
        <v>1.3449367088607596</v>
      </c>
      <c r="L51" t="str" cm="1">
        <f t="array" ref="L51">_xlfn.IFS(C51&lt;0,"DATO INVALIDO", C51+J51&lt;I51,"PEDIR YA", C51&lt;I51,"EN CAMINO OK", TRUE,"SANO")</f>
        <v>EN CAMINO OK</v>
      </c>
    </row>
    <row r="52" spans="1:12" x14ac:dyDescent="0.45">
      <c r="A52" t="s">
        <v>1115</v>
      </c>
      <c r="B52" t="s">
        <v>102</v>
      </c>
      <c r="C52">
        <v>1658</v>
      </c>
      <c r="D52">
        <v>185.9</v>
      </c>
      <c r="E52">
        <v>19.600000000000001</v>
      </c>
      <c r="F52">
        <v>2.1</v>
      </c>
      <c r="G52">
        <v>0.6</v>
      </c>
      <c r="H52">
        <f t="shared" si="0"/>
        <v>189.91426602812123</v>
      </c>
      <c r="I52">
        <f t="shared" si="1"/>
        <v>580.30426602812122</v>
      </c>
      <c r="J52">
        <f>SUMIFS(Transit_Clean[Quantity], Transit_Clean[Destination], A52, Transit_Clean[Item_Code], B52, Transit_Clean[SAP_Status], "In Transit")</f>
        <v>0</v>
      </c>
      <c r="K52">
        <f t="shared" si="2"/>
        <v>8.9187735341581487</v>
      </c>
      <c r="L52" t="str" cm="1">
        <f t="array" ref="L52">_xlfn.IFS(C52&lt;0,"DATO INVALIDO", C52+J52&lt;I52,"PEDIR YA", C52&lt;I52,"EN CAMINO OK", TRUE,"SANO")</f>
        <v>SANO</v>
      </c>
    </row>
    <row r="53" spans="1:12" x14ac:dyDescent="0.45">
      <c r="A53" t="s">
        <v>1124</v>
      </c>
      <c r="B53" t="s">
        <v>1141</v>
      </c>
      <c r="C53">
        <v>1340</v>
      </c>
      <c r="D53">
        <v>531.6</v>
      </c>
      <c r="E53">
        <v>62.3</v>
      </c>
      <c r="F53">
        <v>0.9</v>
      </c>
      <c r="G53">
        <v>0.3</v>
      </c>
      <c r="H53">
        <f t="shared" si="0"/>
        <v>280.63115113347629</v>
      </c>
      <c r="I53">
        <f t="shared" si="1"/>
        <v>759.07115113347641</v>
      </c>
      <c r="J53">
        <f>SUMIFS(Transit_Clean[Quantity], Transit_Clean[Destination], A53, Transit_Clean[Item_Code], B53, Transit_Clean[SAP_Status], "In Transit")</f>
        <v>0</v>
      </c>
      <c r="K53">
        <f t="shared" si="2"/>
        <v>2.5206922498118884</v>
      </c>
      <c r="L53" t="str" cm="1">
        <f t="array" ref="L53">_xlfn.IFS(C53&lt;0,"DATO INVALIDO", C53+J53&lt;I53,"PEDIR YA", C53&lt;I53,"EN CAMINO OK", TRUE,"SANO")</f>
        <v>SANO</v>
      </c>
    </row>
    <row r="54" spans="1:12" x14ac:dyDescent="0.45">
      <c r="A54" t="s">
        <v>1116</v>
      </c>
      <c r="B54" t="s">
        <v>100</v>
      </c>
      <c r="C54">
        <v>3786</v>
      </c>
      <c r="D54">
        <v>300.2</v>
      </c>
      <c r="E54">
        <v>44.5</v>
      </c>
      <c r="F54">
        <v>4.9000000000000004</v>
      </c>
      <c r="G54">
        <v>1.6</v>
      </c>
      <c r="H54">
        <f t="shared" si="0"/>
        <v>809.02265780786388</v>
      </c>
      <c r="I54">
        <f t="shared" si="1"/>
        <v>2280.0026578078641</v>
      </c>
      <c r="J54">
        <f>SUMIFS(Transit_Clean[Quantity], Transit_Clean[Destination], A54, Transit_Clean[Item_Code], B54, Transit_Clean[SAP_Status], "In Transit")</f>
        <v>0</v>
      </c>
      <c r="K54">
        <f t="shared" si="2"/>
        <v>12.611592271818788</v>
      </c>
      <c r="L54" t="str" cm="1">
        <f t="array" ref="L54">_xlfn.IFS(C54&lt;0,"DATO INVALIDO", C54+J54&lt;I54,"PEDIR YA", C54&lt;I54,"EN CAMINO OK", TRUE,"SANO")</f>
        <v>SANO</v>
      </c>
    </row>
    <row r="55" spans="1:12" x14ac:dyDescent="0.45">
      <c r="A55" t="s">
        <v>1118</v>
      </c>
      <c r="B55" t="s">
        <v>53</v>
      </c>
      <c r="C55">
        <v>1644</v>
      </c>
      <c r="D55">
        <v>159.9</v>
      </c>
      <c r="E55">
        <v>40.5</v>
      </c>
      <c r="F55">
        <v>6.5</v>
      </c>
      <c r="G55">
        <v>1.5</v>
      </c>
      <c r="H55">
        <f t="shared" si="0"/>
        <v>430.86693458508739</v>
      </c>
      <c r="I55">
        <f t="shared" si="1"/>
        <v>1470.2169345850875</v>
      </c>
      <c r="J55">
        <f>SUMIFS(Transit_Clean[Quantity], Transit_Clean[Destination], A55, Transit_Clean[Item_Code], B55, Transit_Clean[SAP_Status], "In Transit")</f>
        <v>0</v>
      </c>
      <c r="K55">
        <f t="shared" si="2"/>
        <v>10.281425891181989</v>
      </c>
      <c r="L55" t="str" cm="1">
        <f t="array" ref="L55">_xlfn.IFS(C55&lt;0,"DATO INVALIDO", C55+J55&lt;I55,"PEDIR YA", C55&lt;I55,"EN CAMINO OK", TRUE,"SANO")</f>
        <v>SANO</v>
      </c>
    </row>
    <row r="56" spans="1:12" x14ac:dyDescent="0.45">
      <c r="A56" t="s">
        <v>1121</v>
      </c>
      <c r="B56" t="s">
        <v>41</v>
      </c>
      <c r="C56">
        <v>5387</v>
      </c>
      <c r="D56">
        <v>315.89999999999998</v>
      </c>
      <c r="E56">
        <v>131.30000000000001</v>
      </c>
      <c r="F56">
        <v>1.7</v>
      </c>
      <c r="G56">
        <v>0.4</v>
      </c>
      <c r="H56">
        <f t="shared" si="0"/>
        <v>351.08310024622369</v>
      </c>
      <c r="I56">
        <f t="shared" si="1"/>
        <v>888.11310024622367</v>
      </c>
      <c r="J56">
        <f>SUMIFS(Transit_Clean[Quantity], Transit_Clean[Destination], A56, Transit_Clean[Item_Code], B56, Transit_Clean[SAP_Status], "In Transit")</f>
        <v>11785</v>
      </c>
      <c r="K56">
        <f t="shared" si="2"/>
        <v>17.052864830642608</v>
      </c>
      <c r="L56" t="str" cm="1">
        <f t="array" ref="L56">_xlfn.IFS(C56&lt;0,"DATO INVALIDO", C56+J56&lt;I56,"PEDIR YA", C56&lt;I56,"EN CAMINO OK", TRUE,"SANO")</f>
        <v>SANO</v>
      </c>
    </row>
    <row r="57" spans="1:12" x14ac:dyDescent="0.45">
      <c r="A57" t="s">
        <v>1126</v>
      </c>
      <c r="B57" t="s">
        <v>33</v>
      </c>
      <c r="D57">
        <v>414.7</v>
      </c>
      <c r="E57">
        <v>49.3</v>
      </c>
      <c r="F57">
        <v>1.1000000000000001</v>
      </c>
      <c r="G57">
        <v>0.2</v>
      </c>
      <c r="H57">
        <f t="shared" si="0"/>
        <v>161.26656853948373</v>
      </c>
      <c r="I57">
        <f t="shared" si="1"/>
        <v>617.43656853948369</v>
      </c>
      <c r="J57">
        <f>SUMIFS(Transit_Clean[Quantity], Transit_Clean[Destination], A57, Transit_Clean[Item_Code], B57, Transit_Clean[SAP_Status], "In Transit")</f>
        <v>0</v>
      </c>
      <c r="K57">
        <f t="shared" si="2"/>
        <v>0</v>
      </c>
      <c r="L57" t="str" cm="1">
        <f t="array" ref="L57">_xlfn.IFS(C57&lt;0,"DATO INVALIDO", C57+J57&lt;I57,"PEDIR YA", C57&lt;I57,"EN CAMINO OK", TRUE,"SANO")</f>
        <v>PEDIR YA</v>
      </c>
    </row>
    <row r="58" spans="1:12" x14ac:dyDescent="0.45">
      <c r="A58" t="s">
        <v>1114</v>
      </c>
      <c r="B58" t="s">
        <v>103</v>
      </c>
      <c r="C58">
        <v>3654</v>
      </c>
      <c r="D58">
        <v>468.4</v>
      </c>
      <c r="E58">
        <v>83.8</v>
      </c>
      <c r="F58">
        <v>1.5</v>
      </c>
      <c r="G58">
        <v>1.3</v>
      </c>
      <c r="H58">
        <f t="shared" si="0"/>
        <v>1018.8896647203759</v>
      </c>
      <c r="I58">
        <f t="shared" si="1"/>
        <v>1721.4896647203759</v>
      </c>
      <c r="J58">
        <f>SUMIFS(Transit_Clean[Quantity], Transit_Clean[Destination], A58, Transit_Clean[Item_Code], B58, Transit_Clean[SAP_Status], "In Transit")</f>
        <v>1917</v>
      </c>
      <c r="K58">
        <f t="shared" si="2"/>
        <v>7.8010247651579849</v>
      </c>
      <c r="L58" t="str" cm="1">
        <f t="array" ref="L58">_xlfn.IFS(C58&lt;0,"DATO INVALIDO", C58+J58&lt;I58,"PEDIR YA", C58&lt;I58,"EN CAMINO OK", TRUE,"SANO")</f>
        <v>SANO</v>
      </c>
    </row>
    <row r="59" spans="1:12" x14ac:dyDescent="0.45">
      <c r="A59" t="s">
        <v>1114</v>
      </c>
      <c r="B59" t="s">
        <v>1130</v>
      </c>
      <c r="C59">
        <v>2172</v>
      </c>
      <c r="D59">
        <v>170.9</v>
      </c>
      <c r="E59">
        <v>106.9</v>
      </c>
      <c r="F59">
        <v>5.0999999999999996</v>
      </c>
      <c r="G59">
        <v>1.3</v>
      </c>
      <c r="H59">
        <f t="shared" si="0"/>
        <v>541.34163975049057</v>
      </c>
      <c r="I59">
        <f t="shared" si="1"/>
        <v>1412.9316397504904</v>
      </c>
      <c r="J59">
        <f>SUMIFS(Transit_Clean[Quantity], Transit_Clean[Destination], A59, Transit_Clean[Item_Code], B59, Transit_Clean[SAP_Status], "In Transit")</f>
        <v>1778</v>
      </c>
      <c r="K59">
        <f t="shared" si="2"/>
        <v>12.709186658864834</v>
      </c>
      <c r="L59" t="str" cm="1">
        <f t="array" ref="L59">_xlfn.IFS(C59&lt;0,"DATO INVALIDO", C59+J59&lt;I59,"PEDIR YA", C59&lt;I59,"EN CAMINO OK", TRUE,"SANO")</f>
        <v>SANO</v>
      </c>
    </row>
    <row r="60" spans="1:12" x14ac:dyDescent="0.45">
      <c r="A60" t="s">
        <v>1125</v>
      </c>
      <c r="B60" t="s">
        <v>105</v>
      </c>
      <c r="C60">
        <v>2699</v>
      </c>
      <c r="D60">
        <v>196</v>
      </c>
      <c r="E60">
        <v>31.3</v>
      </c>
      <c r="F60">
        <v>2.9</v>
      </c>
      <c r="G60">
        <v>1.2</v>
      </c>
      <c r="H60">
        <f t="shared" si="0"/>
        <v>397.92082613567737</v>
      </c>
      <c r="I60">
        <f t="shared" si="1"/>
        <v>966.32082613567741</v>
      </c>
      <c r="J60">
        <f>SUMIFS(Transit_Clean[Quantity], Transit_Clean[Destination], A60, Transit_Clean[Item_Code], B60, Transit_Clean[SAP_Status], "In Transit")</f>
        <v>2176</v>
      </c>
      <c r="K60">
        <f t="shared" si="2"/>
        <v>13.770408163265307</v>
      </c>
      <c r="L60" t="str" cm="1">
        <f t="array" ref="L60">_xlfn.IFS(C60&lt;0,"DATO INVALIDO", C60+J60&lt;I60,"PEDIR YA", C60&lt;I60,"EN CAMINO OK", TRUE,"SANO")</f>
        <v>SANO</v>
      </c>
    </row>
    <row r="61" spans="1:12" x14ac:dyDescent="0.45">
      <c r="A61" t="s">
        <v>1122</v>
      </c>
      <c r="B61" t="s">
        <v>1141</v>
      </c>
      <c r="C61">
        <v>1154</v>
      </c>
      <c r="D61">
        <v>362.4</v>
      </c>
      <c r="E61">
        <v>45.4</v>
      </c>
      <c r="F61">
        <v>1.2</v>
      </c>
      <c r="G61">
        <v>0.2</v>
      </c>
      <c r="H61">
        <f t="shared" si="0"/>
        <v>145.03811976166816</v>
      </c>
      <c r="I61">
        <f t="shared" si="1"/>
        <v>579.91811976166809</v>
      </c>
      <c r="J61">
        <f>SUMIFS(Transit_Clean[Quantity], Transit_Clean[Destination], A61, Transit_Clean[Item_Code], B61, Transit_Clean[SAP_Status], "In Transit")</f>
        <v>664</v>
      </c>
      <c r="K61">
        <f t="shared" si="2"/>
        <v>3.1843267108167774</v>
      </c>
      <c r="L61" t="str" cm="1">
        <f t="array" ref="L61">_xlfn.IFS(C61&lt;0,"DATO INVALIDO", C61+J61&lt;I61,"PEDIR YA", C61&lt;I61,"EN CAMINO OK", TRUE,"SANO")</f>
        <v>SANO</v>
      </c>
    </row>
    <row r="62" spans="1:12" x14ac:dyDescent="0.45">
      <c r="A62" t="s">
        <v>1121</v>
      </c>
      <c r="B62" t="s">
        <v>1134</v>
      </c>
      <c r="D62">
        <v>349.7</v>
      </c>
      <c r="E62">
        <v>68.7</v>
      </c>
      <c r="F62">
        <v>1.1000000000000001</v>
      </c>
      <c r="G62">
        <v>0.4</v>
      </c>
      <c r="H62">
        <f t="shared" si="0"/>
        <v>259.62252373686687</v>
      </c>
      <c r="I62">
        <f t="shared" si="1"/>
        <v>644.29252373686688</v>
      </c>
      <c r="J62">
        <f>SUMIFS(Transit_Clean[Quantity], Transit_Clean[Destination], A62, Transit_Clean[Item_Code], B62, Transit_Clean[SAP_Status], "In Transit")</f>
        <v>858</v>
      </c>
      <c r="K62">
        <f t="shared" si="2"/>
        <v>0</v>
      </c>
      <c r="L62" t="str" cm="1">
        <f t="array" ref="L62">_xlfn.IFS(C62&lt;0,"DATO INVALIDO", C62+J62&lt;I62,"PEDIR YA", C62&lt;I62,"EN CAMINO OK", TRUE,"SANO")</f>
        <v>EN CAMINO OK</v>
      </c>
    </row>
    <row r="63" spans="1:12" x14ac:dyDescent="0.45">
      <c r="A63" t="s">
        <v>1118</v>
      </c>
      <c r="B63" t="s">
        <v>100</v>
      </c>
      <c r="D63">
        <v>336.6</v>
      </c>
      <c r="E63">
        <v>38.200000000000003</v>
      </c>
      <c r="F63">
        <v>5.9</v>
      </c>
      <c r="G63">
        <v>1.5</v>
      </c>
      <c r="H63">
        <f t="shared" si="0"/>
        <v>847.03602316253341</v>
      </c>
      <c r="I63">
        <f t="shared" si="1"/>
        <v>2832.9760231625337</v>
      </c>
      <c r="J63">
        <f>SUMIFS(Transit_Clean[Quantity], Transit_Clean[Destination], A63, Transit_Clean[Item_Code], B63, Transit_Clean[SAP_Status], "In Transit")</f>
        <v>0</v>
      </c>
      <c r="K63">
        <f t="shared" si="2"/>
        <v>0</v>
      </c>
      <c r="L63" t="str" cm="1">
        <f t="array" ref="L63">_xlfn.IFS(C63&lt;0,"DATO INVALIDO", C63+J63&lt;I63,"PEDIR YA", C63&lt;I63,"EN CAMINO OK", TRUE,"SANO")</f>
        <v>PEDIR YA</v>
      </c>
    </row>
    <row r="64" spans="1:12" x14ac:dyDescent="0.45">
      <c r="A64" t="s">
        <v>1114</v>
      </c>
      <c r="B64" t="s">
        <v>36</v>
      </c>
      <c r="C64">
        <v>2390</v>
      </c>
      <c r="D64">
        <v>265.8</v>
      </c>
      <c r="E64">
        <v>95</v>
      </c>
      <c r="F64">
        <v>6.3</v>
      </c>
      <c r="G64">
        <v>1.3</v>
      </c>
      <c r="H64">
        <f t="shared" si="0"/>
        <v>692.71588954707829</v>
      </c>
      <c r="I64">
        <f t="shared" si="1"/>
        <v>2367.2558895470784</v>
      </c>
      <c r="J64">
        <f>SUMIFS(Transit_Clean[Quantity], Transit_Clean[Destination], A64, Transit_Clean[Item_Code], B64, Transit_Clean[SAP_Status], "In Transit")</f>
        <v>1006</v>
      </c>
      <c r="K64">
        <f t="shared" si="2"/>
        <v>8.9917231000752444</v>
      </c>
      <c r="L64" t="str" cm="1">
        <f t="array" ref="L64">_xlfn.IFS(C64&lt;0,"DATO INVALIDO", C64+J64&lt;I64,"PEDIR YA", C64&lt;I64,"EN CAMINO OK", TRUE,"SANO")</f>
        <v>SANO</v>
      </c>
    </row>
    <row r="65" spans="1:12" x14ac:dyDescent="0.45">
      <c r="A65" t="s">
        <v>1116</v>
      </c>
      <c r="B65" t="s">
        <v>41</v>
      </c>
      <c r="C65">
        <v>1363</v>
      </c>
      <c r="D65">
        <v>363.8</v>
      </c>
      <c r="E65">
        <v>116.7</v>
      </c>
      <c r="F65">
        <v>2.9</v>
      </c>
      <c r="G65">
        <v>1.6</v>
      </c>
      <c r="H65">
        <f t="shared" si="0"/>
        <v>1014.866576401302</v>
      </c>
      <c r="I65">
        <f t="shared" si="1"/>
        <v>2069.8865764013021</v>
      </c>
      <c r="J65">
        <f>SUMIFS(Transit_Clean[Quantity], Transit_Clean[Destination], A65, Transit_Clean[Item_Code], B65, Transit_Clean[SAP_Status], "In Transit")</f>
        <v>3509</v>
      </c>
      <c r="K65">
        <f t="shared" si="2"/>
        <v>3.7465640461792193</v>
      </c>
      <c r="L65" t="str" cm="1">
        <f t="array" ref="L65">_xlfn.IFS(C65&lt;0,"DATO INVALIDO", C65+J65&lt;I65,"PEDIR YA", C65&lt;I65,"EN CAMINO OK", TRUE,"SANO")</f>
        <v>EN CAMINO OK</v>
      </c>
    </row>
    <row r="66" spans="1:12" x14ac:dyDescent="0.45">
      <c r="A66" t="s">
        <v>1115</v>
      </c>
      <c r="B66" t="s">
        <v>105</v>
      </c>
      <c r="C66">
        <v>3354</v>
      </c>
      <c r="D66">
        <v>379.3</v>
      </c>
      <c r="E66">
        <v>69.3</v>
      </c>
      <c r="F66">
        <v>1.8</v>
      </c>
      <c r="G66">
        <v>0.6</v>
      </c>
      <c r="H66">
        <f t="shared" si="0"/>
        <v>405.6354389029637</v>
      </c>
      <c r="I66">
        <f t="shared" si="1"/>
        <v>1088.3754389029637</v>
      </c>
      <c r="J66">
        <f>SUMIFS(Transit_Clean[Quantity], Transit_Clean[Destination], A66, Transit_Clean[Item_Code], B66, Transit_Clean[SAP_Status], "In Transit")</f>
        <v>0</v>
      </c>
      <c r="K66">
        <f t="shared" si="2"/>
        <v>8.8426047983126814</v>
      </c>
      <c r="L66" t="str" cm="1">
        <f t="array" ref="L66">_xlfn.IFS(C66&lt;0,"DATO INVALIDO", C66+J66&lt;I66,"PEDIR YA", C66&lt;I66,"EN CAMINO OK", TRUE,"SANO")</f>
        <v>SANO</v>
      </c>
    </row>
    <row r="67" spans="1:12" x14ac:dyDescent="0.45">
      <c r="A67" t="s">
        <v>1125</v>
      </c>
      <c r="B67" t="s">
        <v>108</v>
      </c>
      <c r="C67">
        <v>448</v>
      </c>
      <c r="D67">
        <v>324.3</v>
      </c>
      <c r="E67">
        <v>47.3</v>
      </c>
      <c r="F67">
        <v>3.8</v>
      </c>
      <c r="G67">
        <v>1.2</v>
      </c>
      <c r="H67">
        <f t="shared" ref="H67:H130" si="3">IFERROR(1.65*SQRT(F67*E67^2 + D67^2*G67^2), "")</f>
        <v>659.89110669185413</v>
      </c>
      <c r="I67">
        <f t="shared" ref="I67:I130" si="4">IFERROR(D67*F67 + H67, "")</f>
        <v>1892.2311066918542</v>
      </c>
      <c r="J67">
        <f>SUMIFS(Transit_Clean[Quantity], Transit_Clean[Destination], A67, Transit_Clean[Item_Code], B67, Transit_Clean[SAP_Status], "In Transit")</f>
        <v>4283</v>
      </c>
      <c r="K67">
        <f t="shared" ref="K67:K130" si="5">IFERROR(C67/D67, "")</f>
        <v>1.381436941103916</v>
      </c>
      <c r="L67" t="str" cm="1">
        <f t="array" ref="L67">_xlfn.IFS(C67&lt;0,"DATO INVALIDO", C67+J67&lt;I67,"PEDIR YA", C67&lt;I67,"EN CAMINO OK", TRUE,"SANO")</f>
        <v>EN CAMINO OK</v>
      </c>
    </row>
    <row r="68" spans="1:12" x14ac:dyDescent="0.45">
      <c r="A68" t="s">
        <v>1117</v>
      </c>
      <c r="B68" t="s">
        <v>69</v>
      </c>
      <c r="C68">
        <v>1903</v>
      </c>
      <c r="E68">
        <v>319.60000000000002</v>
      </c>
      <c r="F68">
        <v>2</v>
      </c>
      <c r="G68">
        <v>0.5</v>
      </c>
      <c r="H68">
        <f t="shared" si="3"/>
        <v>745.77137998182798</v>
      </c>
      <c r="I68">
        <f t="shared" si="4"/>
        <v>745.77137998182798</v>
      </c>
      <c r="J68">
        <f>SUMIFS(Transit_Clean[Quantity], Transit_Clean[Destination], A68, Transit_Clean[Item_Code], B68, Transit_Clean[SAP_Status], "In Transit")</f>
        <v>0</v>
      </c>
      <c r="K68" t="str">
        <f t="shared" si="5"/>
        <v/>
      </c>
      <c r="L68" t="str" cm="1">
        <f t="array" ref="L68">_xlfn.IFS(C68&lt;0,"DATO INVALIDO", C68+J68&lt;I68,"PEDIR YA", C68&lt;I68,"EN CAMINO OK", TRUE,"SANO")</f>
        <v>SANO</v>
      </c>
    </row>
    <row r="69" spans="1:12" x14ac:dyDescent="0.45">
      <c r="A69" t="s">
        <v>1120</v>
      </c>
      <c r="B69" t="s">
        <v>19</v>
      </c>
      <c r="C69">
        <v>736</v>
      </c>
      <c r="D69">
        <v>255.2</v>
      </c>
      <c r="E69">
        <v>112.2</v>
      </c>
      <c r="F69">
        <v>2.4</v>
      </c>
      <c r="G69">
        <v>0.5</v>
      </c>
      <c r="H69">
        <f t="shared" si="3"/>
        <v>355.78444620303452</v>
      </c>
      <c r="I69">
        <f t="shared" si="4"/>
        <v>968.26444620303437</v>
      </c>
      <c r="J69">
        <f>SUMIFS(Transit_Clean[Quantity], Transit_Clean[Destination], A69, Transit_Clean[Item_Code], B69, Transit_Clean[SAP_Status], "In Transit")</f>
        <v>3262</v>
      </c>
      <c r="K69">
        <f t="shared" si="5"/>
        <v>2.8840125391849529</v>
      </c>
      <c r="L69" t="str" cm="1">
        <f t="array" ref="L69">_xlfn.IFS(C69&lt;0,"DATO INVALIDO", C69+J69&lt;I69,"PEDIR YA", C69&lt;I69,"EN CAMINO OK", TRUE,"SANO")</f>
        <v>EN CAMINO OK</v>
      </c>
    </row>
    <row r="70" spans="1:12" x14ac:dyDescent="0.45">
      <c r="A70" t="s">
        <v>1125</v>
      </c>
      <c r="B70" t="s">
        <v>62</v>
      </c>
      <c r="C70">
        <v>343</v>
      </c>
      <c r="D70">
        <v>257.89999999999998</v>
      </c>
      <c r="E70">
        <v>22.5</v>
      </c>
      <c r="F70">
        <v>3.7</v>
      </c>
      <c r="G70">
        <v>1.2</v>
      </c>
      <c r="H70">
        <f t="shared" si="3"/>
        <v>515.61112766938993</v>
      </c>
      <c r="I70">
        <f t="shared" si="4"/>
        <v>1469.8411276693901</v>
      </c>
      <c r="J70">
        <f>SUMIFS(Transit_Clean[Quantity], Transit_Clean[Destination], A70, Transit_Clean[Item_Code], B70, Transit_Clean[SAP_Status], "In Transit")</f>
        <v>0</v>
      </c>
      <c r="K70">
        <f t="shared" si="5"/>
        <v>1.3299728576967818</v>
      </c>
      <c r="L70" t="str" cm="1">
        <f t="array" ref="L70">_xlfn.IFS(C70&lt;0,"DATO INVALIDO", C70+J70&lt;I70,"PEDIR YA", C70&lt;I70,"EN CAMINO OK", TRUE,"SANO")</f>
        <v>PEDIR YA</v>
      </c>
    </row>
    <row r="71" spans="1:12" x14ac:dyDescent="0.45">
      <c r="A71" t="s">
        <v>1121</v>
      </c>
      <c r="B71" t="s">
        <v>102</v>
      </c>
      <c r="C71">
        <v>2361</v>
      </c>
      <c r="D71">
        <v>551.6</v>
      </c>
      <c r="E71">
        <v>80.8</v>
      </c>
      <c r="F71">
        <v>2</v>
      </c>
      <c r="G71">
        <v>0.4</v>
      </c>
      <c r="H71">
        <f t="shared" si="3"/>
        <v>409.98197025722976</v>
      </c>
      <c r="I71">
        <f t="shared" si="4"/>
        <v>1513.1819702572298</v>
      </c>
      <c r="J71">
        <f>SUMIFS(Transit_Clean[Quantity], Transit_Clean[Destination], A71, Transit_Clean[Item_Code], B71, Transit_Clean[SAP_Status], "In Transit")</f>
        <v>0</v>
      </c>
      <c r="K71">
        <f t="shared" si="5"/>
        <v>4.2802755620014503</v>
      </c>
      <c r="L71" t="str" cm="1">
        <f t="array" ref="L71">_xlfn.IFS(C71&lt;0,"DATO INVALIDO", C71+J71&lt;I71,"PEDIR YA", C71&lt;I71,"EN CAMINO OK", TRUE,"SANO")</f>
        <v>SANO</v>
      </c>
    </row>
    <row r="72" spans="1:12" x14ac:dyDescent="0.45">
      <c r="A72" t="s">
        <v>1119</v>
      </c>
      <c r="B72" t="s">
        <v>71</v>
      </c>
      <c r="C72">
        <v>5718</v>
      </c>
      <c r="D72">
        <v>483.7</v>
      </c>
      <c r="E72">
        <v>60.3</v>
      </c>
      <c r="F72">
        <v>3.9</v>
      </c>
      <c r="G72">
        <v>1</v>
      </c>
      <c r="H72">
        <f t="shared" si="3"/>
        <v>821.93593766333152</v>
      </c>
      <c r="I72">
        <f t="shared" si="4"/>
        <v>2708.3659376633314</v>
      </c>
      <c r="J72">
        <f>SUMIFS(Transit_Clean[Quantity], Transit_Clean[Destination], A72, Transit_Clean[Item_Code], B72, Transit_Clean[SAP_Status], "In Transit")</f>
        <v>589</v>
      </c>
      <c r="K72">
        <f t="shared" si="5"/>
        <v>11.821376886499896</v>
      </c>
      <c r="L72" t="str" cm="1">
        <f t="array" ref="L72">_xlfn.IFS(C72&lt;0,"DATO INVALIDO", C72+J72&lt;I72,"PEDIR YA", C72&lt;I72,"EN CAMINO OK", TRUE,"SANO")</f>
        <v>SANO</v>
      </c>
    </row>
    <row r="73" spans="1:12" x14ac:dyDescent="0.45">
      <c r="A73" t="s">
        <v>1120</v>
      </c>
      <c r="B73" t="s">
        <v>93</v>
      </c>
      <c r="C73">
        <v>2292</v>
      </c>
      <c r="D73">
        <v>478.5</v>
      </c>
      <c r="E73">
        <v>75.5</v>
      </c>
      <c r="F73">
        <v>2.1</v>
      </c>
      <c r="G73">
        <v>0.5</v>
      </c>
      <c r="H73">
        <f t="shared" si="3"/>
        <v>434.08200344952098</v>
      </c>
      <c r="I73">
        <f t="shared" si="4"/>
        <v>1438.9320034495211</v>
      </c>
      <c r="J73">
        <f>SUMIFS(Transit_Clean[Quantity], Transit_Clean[Destination], A73, Transit_Clean[Item_Code], B73, Transit_Clean[SAP_Status], "In Transit")</f>
        <v>757</v>
      </c>
      <c r="K73">
        <f t="shared" si="5"/>
        <v>4.7899686520376177</v>
      </c>
      <c r="L73" t="str" cm="1">
        <f t="array" ref="L73">_xlfn.IFS(C73&lt;0,"DATO INVALIDO", C73+J73&lt;I73,"PEDIR YA", C73&lt;I73,"EN CAMINO OK", TRUE,"SANO")</f>
        <v>SANO</v>
      </c>
    </row>
    <row r="74" spans="1:12" x14ac:dyDescent="0.45">
      <c r="A74" t="s">
        <v>1118</v>
      </c>
      <c r="B74" t="s">
        <v>93</v>
      </c>
      <c r="D74">
        <v>565.9</v>
      </c>
      <c r="E74">
        <v>57.7</v>
      </c>
      <c r="F74">
        <v>7.9</v>
      </c>
      <c r="G74">
        <v>1.5</v>
      </c>
      <c r="H74">
        <f t="shared" si="3"/>
        <v>1425.9357979950394</v>
      </c>
      <c r="I74">
        <f t="shared" si="4"/>
        <v>5896.5457979950388</v>
      </c>
      <c r="J74">
        <f>SUMIFS(Transit_Clean[Quantity], Transit_Clean[Destination], A74, Transit_Clean[Item_Code], B74, Transit_Clean[SAP_Status], "In Transit")</f>
        <v>0</v>
      </c>
      <c r="K74">
        <f t="shared" si="5"/>
        <v>0</v>
      </c>
      <c r="L74" t="str" cm="1">
        <f t="array" ref="L74">_xlfn.IFS(C74&lt;0,"DATO INVALIDO", C74+J74&lt;I74,"PEDIR YA", C74&lt;I74,"EN CAMINO OK", TRUE,"SANO")</f>
        <v>PEDIR YA</v>
      </c>
    </row>
    <row r="75" spans="1:12" x14ac:dyDescent="0.45">
      <c r="A75" t="s">
        <v>1120</v>
      </c>
      <c r="B75" t="s">
        <v>69</v>
      </c>
      <c r="C75">
        <v>2826</v>
      </c>
      <c r="D75">
        <v>271.89999999999998</v>
      </c>
      <c r="E75">
        <v>163.1</v>
      </c>
      <c r="F75">
        <v>2.9</v>
      </c>
      <c r="G75">
        <v>0.5</v>
      </c>
      <c r="H75">
        <f t="shared" si="3"/>
        <v>510.23984767827562</v>
      </c>
      <c r="I75">
        <f t="shared" si="4"/>
        <v>1298.7498476782755</v>
      </c>
      <c r="J75">
        <f>SUMIFS(Transit_Clean[Quantity], Transit_Clean[Destination], A75, Transit_Clean[Item_Code], B75, Transit_Clean[SAP_Status], "In Transit")</f>
        <v>0</v>
      </c>
      <c r="K75">
        <f t="shared" si="5"/>
        <v>10.393527031997058</v>
      </c>
      <c r="L75" t="str" cm="1">
        <f t="array" ref="L75">_xlfn.IFS(C75&lt;0,"DATO INVALIDO", C75+J75&lt;I75,"PEDIR YA", C75&lt;I75,"EN CAMINO OK", TRUE,"SANO")</f>
        <v>SANO</v>
      </c>
    </row>
    <row r="76" spans="1:12" x14ac:dyDescent="0.45">
      <c r="A76" t="s">
        <v>1119</v>
      </c>
      <c r="B76" t="s">
        <v>66</v>
      </c>
      <c r="C76">
        <v>4046</v>
      </c>
      <c r="D76">
        <v>444.7</v>
      </c>
      <c r="E76">
        <v>74.400000000000006</v>
      </c>
      <c r="F76">
        <v>3.6</v>
      </c>
      <c r="G76">
        <v>1</v>
      </c>
      <c r="H76">
        <f t="shared" si="3"/>
        <v>769.83664720835418</v>
      </c>
      <c r="I76">
        <f t="shared" si="4"/>
        <v>2370.7566472083545</v>
      </c>
      <c r="J76">
        <f>SUMIFS(Transit_Clean[Quantity], Transit_Clean[Destination], A76, Transit_Clean[Item_Code], B76, Transit_Clean[SAP_Status], "In Transit")</f>
        <v>924</v>
      </c>
      <c r="K76">
        <f t="shared" si="5"/>
        <v>9.0982684956150219</v>
      </c>
      <c r="L76" t="str" cm="1">
        <f t="array" ref="L76">_xlfn.IFS(C76&lt;0,"DATO INVALIDO", C76+J76&lt;I76,"PEDIR YA", C76&lt;I76,"EN CAMINO OK", TRUE,"SANO")</f>
        <v>SANO</v>
      </c>
    </row>
    <row r="77" spans="1:12" x14ac:dyDescent="0.45">
      <c r="A77" t="s">
        <v>1125</v>
      </c>
      <c r="B77" t="s">
        <v>76</v>
      </c>
      <c r="C77">
        <v>351</v>
      </c>
      <c r="D77">
        <v>359.9</v>
      </c>
      <c r="E77">
        <v>62.9</v>
      </c>
      <c r="F77">
        <v>5.4</v>
      </c>
      <c r="G77">
        <v>1.2</v>
      </c>
      <c r="H77">
        <f t="shared" si="3"/>
        <v>752.30763123804593</v>
      </c>
      <c r="I77">
        <f t="shared" si="4"/>
        <v>2695.7676312380459</v>
      </c>
      <c r="J77">
        <f>SUMIFS(Transit_Clean[Quantity], Transit_Clean[Destination], A77, Transit_Clean[Item_Code], B77, Transit_Clean[SAP_Status], "In Transit")</f>
        <v>790</v>
      </c>
      <c r="K77">
        <f t="shared" si="5"/>
        <v>0.9752709085857183</v>
      </c>
      <c r="L77" t="str" cm="1">
        <f t="array" ref="L77">_xlfn.IFS(C77&lt;0,"DATO INVALIDO", C77+J77&lt;I77,"PEDIR YA", C77&lt;I77,"EN CAMINO OK", TRUE,"SANO")</f>
        <v>PEDIR YA</v>
      </c>
    </row>
    <row r="78" spans="1:12" x14ac:dyDescent="0.45">
      <c r="A78" t="s">
        <v>1123</v>
      </c>
      <c r="B78" t="s">
        <v>30</v>
      </c>
      <c r="C78">
        <v>856</v>
      </c>
      <c r="D78">
        <v>566.9</v>
      </c>
      <c r="E78">
        <v>162.5</v>
      </c>
      <c r="F78">
        <v>1.1000000000000001</v>
      </c>
      <c r="G78">
        <v>0.3</v>
      </c>
      <c r="H78">
        <f t="shared" si="3"/>
        <v>397.27216870522153</v>
      </c>
      <c r="I78">
        <f t="shared" si="4"/>
        <v>1020.8621687052216</v>
      </c>
      <c r="J78">
        <f>SUMIFS(Transit_Clean[Quantity], Transit_Clean[Destination], A78, Transit_Clean[Item_Code], B78, Transit_Clean[SAP_Status], "In Transit")</f>
        <v>0</v>
      </c>
      <c r="K78">
        <f t="shared" si="5"/>
        <v>1.5099664843887812</v>
      </c>
      <c r="L78" t="str" cm="1">
        <f t="array" ref="L78">_xlfn.IFS(C78&lt;0,"DATO INVALIDO", C78+J78&lt;I78,"PEDIR YA", C78&lt;I78,"EN CAMINO OK", TRUE,"SANO")</f>
        <v>PEDIR YA</v>
      </c>
    </row>
    <row r="79" spans="1:12" x14ac:dyDescent="0.45">
      <c r="A79" t="s">
        <v>1121</v>
      </c>
      <c r="B79" t="s">
        <v>88</v>
      </c>
      <c r="C79">
        <v>1158</v>
      </c>
      <c r="D79">
        <v>105.1</v>
      </c>
      <c r="E79">
        <v>66.599999999999994</v>
      </c>
      <c r="F79">
        <v>2.1</v>
      </c>
      <c r="G79">
        <v>0.4</v>
      </c>
      <c r="H79">
        <f t="shared" si="3"/>
        <v>173.69757443902319</v>
      </c>
      <c r="I79">
        <f t="shared" si="4"/>
        <v>394.40757443902316</v>
      </c>
      <c r="J79">
        <f>SUMIFS(Transit_Clean[Quantity], Transit_Clean[Destination], A79, Transit_Clean[Item_Code], B79, Transit_Clean[SAP_Status], "In Transit")</f>
        <v>1209</v>
      </c>
      <c r="K79">
        <f t="shared" si="5"/>
        <v>11.018078020932446</v>
      </c>
      <c r="L79" t="str" cm="1">
        <f t="array" ref="L79">_xlfn.IFS(C79&lt;0,"DATO INVALIDO", C79+J79&lt;I79,"PEDIR YA", C79&lt;I79,"EN CAMINO OK", TRUE,"SANO")</f>
        <v>SANO</v>
      </c>
    </row>
    <row r="80" spans="1:12" x14ac:dyDescent="0.45">
      <c r="A80" t="s">
        <v>1115</v>
      </c>
      <c r="B80" t="s">
        <v>1136</v>
      </c>
      <c r="C80">
        <v>1441</v>
      </c>
      <c r="D80">
        <v>509.2</v>
      </c>
      <c r="E80">
        <v>299.8</v>
      </c>
      <c r="F80">
        <v>2.6</v>
      </c>
      <c r="G80">
        <v>0.6</v>
      </c>
      <c r="H80">
        <f t="shared" si="3"/>
        <v>943.57868712895379</v>
      </c>
      <c r="I80">
        <f t="shared" si="4"/>
        <v>2267.4986871289539</v>
      </c>
      <c r="J80">
        <f>SUMIFS(Transit_Clean[Quantity], Transit_Clean[Destination], A80, Transit_Clean[Item_Code], B80, Transit_Clean[SAP_Status], "In Transit")</f>
        <v>1865</v>
      </c>
      <c r="K80">
        <f t="shared" si="5"/>
        <v>2.8299293008641007</v>
      </c>
      <c r="L80" t="str" cm="1">
        <f t="array" ref="L80">_xlfn.IFS(C80&lt;0,"DATO INVALIDO", C80+J80&lt;I80,"PEDIR YA", C80&lt;I80,"EN CAMINO OK", TRUE,"SANO")</f>
        <v>EN CAMINO OK</v>
      </c>
    </row>
    <row r="81" spans="1:12" x14ac:dyDescent="0.45">
      <c r="A81" t="s">
        <v>1122</v>
      </c>
      <c r="B81" t="s">
        <v>57</v>
      </c>
      <c r="C81">
        <v>999999</v>
      </c>
      <c r="D81">
        <v>269.3</v>
      </c>
      <c r="E81">
        <v>25.7</v>
      </c>
      <c r="F81">
        <v>1.2</v>
      </c>
      <c r="G81">
        <v>0.2</v>
      </c>
      <c r="H81">
        <f t="shared" si="3"/>
        <v>100.27721571224443</v>
      </c>
      <c r="I81">
        <f t="shared" si="4"/>
        <v>423.43721571224444</v>
      </c>
      <c r="J81">
        <f>SUMIFS(Transit_Clean[Quantity], Transit_Clean[Destination], A81, Transit_Clean[Item_Code], B81, Transit_Clean[SAP_Status], "In Transit")</f>
        <v>769</v>
      </c>
      <c r="K81">
        <f t="shared" si="5"/>
        <v>3713.3271444485704</v>
      </c>
      <c r="L81" t="str" cm="1">
        <f t="array" ref="L81">_xlfn.IFS(C81&lt;0,"DATO INVALIDO", C81+J81&lt;I81,"PEDIR YA", C81&lt;I81,"EN CAMINO OK", TRUE,"SANO")</f>
        <v>SANO</v>
      </c>
    </row>
    <row r="82" spans="1:12" x14ac:dyDescent="0.45">
      <c r="A82" t="s">
        <v>1119</v>
      </c>
      <c r="B82" t="s">
        <v>7</v>
      </c>
      <c r="D82">
        <v>203.6</v>
      </c>
      <c r="E82">
        <v>18.399999999999999</v>
      </c>
      <c r="F82">
        <v>3.1</v>
      </c>
      <c r="G82">
        <v>1</v>
      </c>
      <c r="H82">
        <f t="shared" si="3"/>
        <v>340.16620255398681</v>
      </c>
      <c r="I82">
        <f t="shared" si="4"/>
        <v>971.32620255398683</v>
      </c>
      <c r="J82">
        <f>SUMIFS(Transit_Clean[Quantity], Transit_Clean[Destination], A82, Transit_Clean[Item_Code], B82, Transit_Clean[SAP_Status], "In Transit")</f>
        <v>0</v>
      </c>
      <c r="K82">
        <f t="shared" si="5"/>
        <v>0</v>
      </c>
      <c r="L82" t="str" cm="1">
        <f t="array" ref="L82">_xlfn.IFS(C82&lt;0,"DATO INVALIDO", C82+J82&lt;I82,"PEDIR YA", C82&lt;I82,"EN CAMINO OK", TRUE,"SANO")</f>
        <v>PEDIR YA</v>
      </c>
    </row>
    <row r="83" spans="1:12" x14ac:dyDescent="0.45">
      <c r="A83" t="s">
        <v>1119</v>
      </c>
      <c r="B83" t="s">
        <v>56</v>
      </c>
      <c r="C83">
        <v>3824</v>
      </c>
      <c r="D83">
        <v>371.1</v>
      </c>
      <c r="E83">
        <v>68.3</v>
      </c>
      <c r="F83">
        <v>2.4</v>
      </c>
      <c r="G83">
        <v>1</v>
      </c>
      <c r="H83">
        <f t="shared" si="3"/>
        <v>636.71818765054923</v>
      </c>
      <c r="I83">
        <f t="shared" si="4"/>
        <v>1527.3581876505491</v>
      </c>
      <c r="J83">
        <f>SUMIFS(Transit_Clean[Quantity], Transit_Clean[Destination], A83, Transit_Clean[Item_Code], B83, Transit_Clean[SAP_Status], "In Transit")</f>
        <v>0</v>
      </c>
      <c r="K83">
        <f t="shared" si="5"/>
        <v>10.304500134734573</v>
      </c>
      <c r="L83" t="str" cm="1">
        <f t="array" ref="L83">_xlfn.IFS(C83&lt;0,"DATO INVALIDO", C83+J83&lt;I83,"PEDIR YA", C83&lt;I83,"EN CAMINO OK", TRUE,"SANO")</f>
        <v>SANO</v>
      </c>
    </row>
    <row r="84" spans="1:12" x14ac:dyDescent="0.45">
      <c r="A84" t="s">
        <v>1116</v>
      </c>
      <c r="B84" t="s">
        <v>50</v>
      </c>
      <c r="C84">
        <v>1484</v>
      </c>
      <c r="E84">
        <v>46.7</v>
      </c>
      <c r="F84">
        <v>3.6</v>
      </c>
      <c r="G84">
        <v>1.6</v>
      </c>
      <c r="H84">
        <f t="shared" si="3"/>
        <v>146.20158306256468</v>
      </c>
      <c r="I84">
        <f t="shared" si="4"/>
        <v>146.20158306256468</v>
      </c>
      <c r="J84">
        <f>SUMIFS(Transit_Clean[Quantity], Transit_Clean[Destination], A84, Transit_Clean[Item_Code], B84, Transit_Clean[SAP_Status], "In Transit")</f>
        <v>2320</v>
      </c>
      <c r="K84" t="str">
        <f t="shared" si="5"/>
        <v/>
      </c>
      <c r="L84" t="str" cm="1">
        <f t="array" ref="L84">_xlfn.IFS(C84&lt;0,"DATO INVALIDO", C84+J84&lt;I84,"PEDIR YA", C84&lt;I84,"EN CAMINO OK", TRUE,"SANO")</f>
        <v>SANO</v>
      </c>
    </row>
    <row r="85" spans="1:12" x14ac:dyDescent="0.45">
      <c r="A85" t="s">
        <v>1121</v>
      </c>
      <c r="B85" t="s">
        <v>28</v>
      </c>
      <c r="C85">
        <v>1801</v>
      </c>
      <c r="D85">
        <v>156.30000000000001</v>
      </c>
      <c r="E85">
        <v>56.3</v>
      </c>
      <c r="F85">
        <v>1.9</v>
      </c>
      <c r="G85">
        <v>0.4</v>
      </c>
      <c r="H85">
        <f t="shared" si="3"/>
        <v>164.43110080364968</v>
      </c>
      <c r="I85">
        <f t="shared" si="4"/>
        <v>461.40110080364968</v>
      </c>
      <c r="J85">
        <f>SUMIFS(Transit_Clean[Quantity], Transit_Clean[Destination], A85, Transit_Clean[Item_Code], B85, Transit_Clean[SAP_Status], "In Transit")</f>
        <v>2545</v>
      </c>
      <c r="K85">
        <f t="shared" si="5"/>
        <v>11.522712731925782</v>
      </c>
      <c r="L85" t="str" cm="1">
        <f t="array" ref="L85">_xlfn.IFS(C85&lt;0,"DATO INVALIDO", C85+J85&lt;I85,"PEDIR YA", C85&lt;I85,"EN CAMINO OK", TRUE,"SANO")</f>
        <v>SANO</v>
      </c>
    </row>
    <row r="86" spans="1:12" x14ac:dyDescent="0.45">
      <c r="A86" t="s">
        <v>1121</v>
      </c>
      <c r="B86" t="s">
        <v>52</v>
      </c>
      <c r="C86">
        <v>1300</v>
      </c>
      <c r="D86">
        <v>396.1</v>
      </c>
      <c r="E86">
        <v>164.7</v>
      </c>
      <c r="F86">
        <v>2.1</v>
      </c>
      <c r="G86">
        <v>0.4</v>
      </c>
      <c r="H86">
        <f t="shared" si="3"/>
        <v>472.68402927166892</v>
      </c>
      <c r="I86">
        <f t="shared" si="4"/>
        <v>1304.494029271669</v>
      </c>
      <c r="J86">
        <f>SUMIFS(Transit_Clean[Quantity], Transit_Clean[Destination], A86, Transit_Clean[Item_Code], B86, Transit_Clean[SAP_Status], "In Transit")</f>
        <v>0</v>
      </c>
      <c r="K86">
        <f t="shared" si="5"/>
        <v>3.2819994950770006</v>
      </c>
      <c r="L86" t="str" cm="1">
        <f t="array" ref="L86">_xlfn.IFS(C86&lt;0,"DATO INVALIDO", C86+J86&lt;I86,"PEDIR YA", C86&lt;I86,"EN CAMINO OK", TRUE,"SANO")</f>
        <v>PEDIR YA</v>
      </c>
    </row>
    <row r="87" spans="1:12" x14ac:dyDescent="0.45">
      <c r="A87" t="s">
        <v>1114</v>
      </c>
      <c r="B87" t="s">
        <v>106</v>
      </c>
      <c r="C87">
        <v>5113</v>
      </c>
      <c r="D87">
        <v>360.9</v>
      </c>
      <c r="E87">
        <v>81</v>
      </c>
      <c r="F87">
        <v>2.4</v>
      </c>
      <c r="G87">
        <v>1.3</v>
      </c>
      <c r="H87">
        <f t="shared" si="3"/>
        <v>801.34112900203115</v>
      </c>
      <c r="I87">
        <f t="shared" si="4"/>
        <v>1667.5011290020311</v>
      </c>
      <c r="J87">
        <f>SUMIFS(Transit_Clean[Quantity], Transit_Clean[Destination], A87, Transit_Clean[Item_Code], B87, Transit_Clean[SAP_Status], "In Transit")</f>
        <v>0</v>
      </c>
      <c r="K87">
        <f t="shared" si="5"/>
        <v>14.167359379329454</v>
      </c>
      <c r="L87" t="str" cm="1">
        <f t="array" ref="L87">_xlfn.IFS(C87&lt;0,"DATO INVALIDO", C87+J87&lt;I87,"PEDIR YA", C87&lt;I87,"EN CAMINO OK", TRUE,"SANO")</f>
        <v>SANO</v>
      </c>
    </row>
    <row r="88" spans="1:12" x14ac:dyDescent="0.45">
      <c r="A88" t="s">
        <v>1123</v>
      </c>
      <c r="B88" t="s">
        <v>19</v>
      </c>
      <c r="C88">
        <v>1441</v>
      </c>
      <c r="D88">
        <v>137.1</v>
      </c>
      <c r="E88">
        <v>53.8</v>
      </c>
      <c r="F88">
        <v>1</v>
      </c>
      <c r="G88">
        <v>0.3</v>
      </c>
      <c r="H88">
        <f t="shared" si="3"/>
        <v>111.73944361884928</v>
      </c>
      <c r="I88">
        <f t="shared" si="4"/>
        <v>248.83944361884926</v>
      </c>
      <c r="J88">
        <f>SUMIFS(Transit_Clean[Quantity], Transit_Clean[Destination], A88, Transit_Clean[Item_Code], B88, Transit_Clean[SAP_Status], "In Transit")</f>
        <v>0</v>
      </c>
      <c r="K88">
        <f t="shared" si="5"/>
        <v>10.51057622173596</v>
      </c>
      <c r="L88" t="str" cm="1">
        <f t="array" ref="L88">_xlfn.IFS(C88&lt;0,"DATO INVALIDO", C88+J88&lt;I88,"PEDIR YA", C88&lt;I88,"EN CAMINO OK", TRUE,"SANO")</f>
        <v>SANO</v>
      </c>
    </row>
    <row r="89" spans="1:12" x14ac:dyDescent="0.45">
      <c r="A89" t="s">
        <v>1114</v>
      </c>
      <c r="B89" t="s">
        <v>51</v>
      </c>
      <c r="C89">
        <v>5245</v>
      </c>
      <c r="D89">
        <v>390.7</v>
      </c>
      <c r="E89">
        <v>63.6</v>
      </c>
      <c r="F89">
        <v>5.7</v>
      </c>
      <c r="G89">
        <v>1.3</v>
      </c>
      <c r="H89">
        <f t="shared" si="3"/>
        <v>874.70052999426605</v>
      </c>
      <c r="I89">
        <f t="shared" si="4"/>
        <v>3101.6905299942659</v>
      </c>
      <c r="J89">
        <f>SUMIFS(Transit_Clean[Quantity], Transit_Clean[Destination], A89, Transit_Clean[Item_Code], B89, Transit_Clean[SAP_Status], "In Transit")</f>
        <v>2260</v>
      </c>
      <c r="K89">
        <f t="shared" si="5"/>
        <v>13.424622472485284</v>
      </c>
      <c r="L89" t="str" cm="1">
        <f t="array" ref="L89">_xlfn.IFS(C89&lt;0,"DATO INVALIDO", C89+J89&lt;I89,"PEDIR YA", C89&lt;I89,"EN CAMINO OK", TRUE,"SANO")</f>
        <v>SANO</v>
      </c>
    </row>
    <row r="90" spans="1:12" x14ac:dyDescent="0.45">
      <c r="A90" t="s">
        <v>1115</v>
      </c>
      <c r="B90" t="s">
        <v>29</v>
      </c>
      <c r="C90">
        <v>15116</v>
      </c>
      <c r="D90">
        <v>913.7</v>
      </c>
      <c r="E90">
        <v>146.9</v>
      </c>
      <c r="F90">
        <v>1.1000000000000001</v>
      </c>
      <c r="G90">
        <v>0.6</v>
      </c>
      <c r="H90">
        <f t="shared" si="3"/>
        <v>939.60617176373432</v>
      </c>
      <c r="I90">
        <f t="shared" si="4"/>
        <v>1944.6761717637346</v>
      </c>
      <c r="J90">
        <f>SUMIFS(Transit_Clean[Quantity], Transit_Clean[Destination], A90, Transit_Clean[Item_Code], B90, Transit_Clean[SAP_Status], "In Transit")</f>
        <v>5125</v>
      </c>
      <c r="K90">
        <f t="shared" si="5"/>
        <v>16.543723322753639</v>
      </c>
      <c r="L90" t="str" cm="1">
        <f t="array" ref="L90">_xlfn.IFS(C90&lt;0,"DATO INVALIDO", C90+J90&lt;I90,"PEDIR YA", C90&lt;I90,"EN CAMINO OK", TRUE,"SANO")</f>
        <v>SANO</v>
      </c>
    </row>
    <row r="91" spans="1:12" x14ac:dyDescent="0.45">
      <c r="A91" t="s">
        <v>1117</v>
      </c>
      <c r="B91" t="s">
        <v>45</v>
      </c>
      <c r="C91">
        <v>2432</v>
      </c>
      <c r="D91">
        <v>594.5</v>
      </c>
      <c r="E91">
        <v>100.6</v>
      </c>
      <c r="F91">
        <v>2</v>
      </c>
      <c r="G91">
        <v>0.5</v>
      </c>
      <c r="H91">
        <f t="shared" si="3"/>
        <v>543.74518306487084</v>
      </c>
      <c r="I91">
        <f t="shared" si="4"/>
        <v>1732.7451830648708</v>
      </c>
      <c r="J91">
        <f>SUMIFS(Transit_Clean[Quantity], Transit_Clean[Destination], A91, Transit_Clean[Item_Code], B91, Transit_Clean[SAP_Status], "In Transit")</f>
        <v>0</v>
      </c>
      <c r="K91">
        <f t="shared" si="5"/>
        <v>4.0908326324642559</v>
      </c>
      <c r="L91" t="str" cm="1">
        <f t="array" ref="L91">_xlfn.IFS(C91&lt;0,"DATO INVALIDO", C91+J91&lt;I91,"PEDIR YA", C91&lt;I91,"EN CAMINO OK", TRUE,"SANO")</f>
        <v>SANO</v>
      </c>
    </row>
    <row r="92" spans="1:12" x14ac:dyDescent="0.45">
      <c r="A92" t="s">
        <v>1122</v>
      </c>
      <c r="B92" t="s">
        <v>102</v>
      </c>
      <c r="C92">
        <v>2084</v>
      </c>
      <c r="D92">
        <v>236.9</v>
      </c>
      <c r="E92">
        <v>22.5</v>
      </c>
      <c r="F92">
        <v>1.2</v>
      </c>
      <c r="G92">
        <v>0.2</v>
      </c>
      <c r="H92">
        <f t="shared" si="3"/>
        <v>88.122426651789382</v>
      </c>
      <c r="I92">
        <f t="shared" si="4"/>
        <v>372.40242665178937</v>
      </c>
      <c r="J92">
        <f>SUMIFS(Transit_Clean[Quantity], Transit_Clean[Destination], A92, Transit_Clean[Item_Code], B92, Transit_Clean[SAP_Status], "In Transit")</f>
        <v>0</v>
      </c>
      <c r="K92">
        <f t="shared" si="5"/>
        <v>8.7969607429295067</v>
      </c>
      <c r="L92" t="str" cm="1">
        <f t="array" ref="L92">_xlfn.IFS(C92&lt;0,"DATO INVALIDO", C92+J92&lt;I92,"PEDIR YA", C92&lt;I92,"EN CAMINO OK", TRUE,"SANO")</f>
        <v>SANO</v>
      </c>
    </row>
    <row r="93" spans="1:12" x14ac:dyDescent="0.45">
      <c r="A93" t="s">
        <v>1127</v>
      </c>
      <c r="B93" t="s">
        <v>78</v>
      </c>
      <c r="C93">
        <v>2263</v>
      </c>
      <c r="D93">
        <v>199.8</v>
      </c>
      <c r="E93">
        <v>84.6</v>
      </c>
      <c r="F93">
        <v>3.4</v>
      </c>
      <c r="G93">
        <v>0.9</v>
      </c>
      <c r="H93">
        <f t="shared" si="3"/>
        <v>392.78864768345841</v>
      </c>
      <c r="I93">
        <f t="shared" si="4"/>
        <v>1072.1086476834585</v>
      </c>
      <c r="J93">
        <f>SUMIFS(Transit_Clean[Quantity], Transit_Clean[Destination], A93, Transit_Clean[Item_Code], B93, Transit_Clean[SAP_Status], "In Transit")</f>
        <v>1235</v>
      </c>
      <c r="K93">
        <f t="shared" si="5"/>
        <v>11.326326326326326</v>
      </c>
      <c r="L93" t="str" cm="1">
        <f t="array" ref="L93">_xlfn.IFS(C93&lt;0,"DATO INVALIDO", C93+J93&lt;I93,"PEDIR YA", C93&lt;I93,"EN CAMINO OK", TRUE,"SANO")</f>
        <v>SANO</v>
      </c>
    </row>
    <row r="94" spans="1:12" x14ac:dyDescent="0.45">
      <c r="A94" t="s">
        <v>1120</v>
      </c>
      <c r="B94" t="s">
        <v>63</v>
      </c>
      <c r="C94">
        <v>3238</v>
      </c>
      <c r="D94">
        <v>268.60000000000002</v>
      </c>
      <c r="E94">
        <v>58.8</v>
      </c>
      <c r="F94">
        <v>2.5</v>
      </c>
      <c r="G94">
        <v>0.5</v>
      </c>
      <c r="H94">
        <f t="shared" si="3"/>
        <v>269.51167882858061</v>
      </c>
      <c r="I94">
        <f t="shared" si="4"/>
        <v>941.01167882858067</v>
      </c>
      <c r="J94">
        <f>SUMIFS(Transit_Clean[Quantity], Transit_Clean[Destination], A94, Transit_Clean[Item_Code], B94, Transit_Clean[SAP_Status], "In Transit")</f>
        <v>0</v>
      </c>
      <c r="K94">
        <f t="shared" si="5"/>
        <v>12.055100521221146</v>
      </c>
      <c r="L94" t="str" cm="1">
        <f t="array" ref="L94">_xlfn.IFS(C94&lt;0,"DATO INVALIDO", C94+J94&lt;I94,"PEDIR YA", C94&lt;I94,"EN CAMINO OK", TRUE,"SANO")</f>
        <v>SANO</v>
      </c>
    </row>
    <row r="95" spans="1:12" x14ac:dyDescent="0.45">
      <c r="A95" t="s">
        <v>1118</v>
      </c>
      <c r="B95" t="s">
        <v>67</v>
      </c>
      <c r="C95">
        <v>1712</v>
      </c>
      <c r="D95">
        <v>393.6</v>
      </c>
      <c r="E95">
        <v>143.9</v>
      </c>
      <c r="F95">
        <v>4.0999999999999996</v>
      </c>
      <c r="G95">
        <v>1.5</v>
      </c>
      <c r="H95">
        <f t="shared" si="3"/>
        <v>1086.3363937669124</v>
      </c>
      <c r="I95">
        <f t="shared" si="4"/>
        <v>2700.0963937669121</v>
      </c>
      <c r="J95">
        <f>SUMIFS(Transit_Clean[Quantity], Transit_Clean[Destination], A95, Transit_Clean[Item_Code], B95, Transit_Clean[SAP_Status], "In Transit")</f>
        <v>2673</v>
      </c>
      <c r="K95">
        <f t="shared" si="5"/>
        <v>4.3495934959349594</v>
      </c>
      <c r="L95" t="str" cm="1">
        <f t="array" ref="L95">_xlfn.IFS(C95&lt;0,"DATO INVALIDO", C95+J95&lt;I95,"PEDIR YA", C95&lt;I95,"EN CAMINO OK", TRUE,"SANO")</f>
        <v>EN CAMINO OK</v>
      </c>
    </row>
    <row r="96" spans="1:12" x14ac:dyDescent="0.45">
      <c r="A96" t="s">
        <v>1122</v>
      </c>
      <c r="B96" t="s">
        <v>76</v>
      </c>
      <c r="C96">
        <v>1085</v>
      </c>
      <c r="D96">
        <v>329.2</v>
      </c>
      <c r="E96">
        <v>85.6</v>
      </c>
      <c r="F96">
        <v>1.3</v>
      </c>
      <c r="G96">
        <v>0.2</v>
      </c>
      <c r="H96">
        <f t="shared" si="3"/>
        <v>194.25534581061083</v>
      </c>
      <c r="I96">
        <f t="shared" si="4"/>
        <v>622.21534581061087</v>
      </c>
      <c r="J96">
        <f>SUMIFS(Transit_Clean[Quantity], Transit_Clean[Destination], A96, Transit_Clean[Item_Code], B96, Transit_Clean[SAP_Status], "In Transit")</f>
        <v>696</v>
      </c>
      <c r="K96">
        <f t="shared" si="5"/>
        <v>3.2958687727825033</v>
      </c>
      <c r="L96" t="str" cm="1">
        <f t="array" ref="L96">_xlfn.IFS(C96&lt;0,"DATO INVALIDO", C96+J96&lt;I96,"PEDIR YA", C96&lt;I96,"EN CAMINO OK", TRUE,"SANO")</f>
        <v>SANO</v>
      </c>
    </row>
    <row r="97" spans="1:12" x14ac:dyDescent="0.45">
      <c r="A97" t="s">
        <v>1122</v>
      </c>
      <c r="B97" t="s">
        <v>20</v>
      </c>
      <c r="C97">
        <v>1946</v>
      </c>
      <c r="D97">
        <v>266</v>
      </c>
      <c r="E97">
        <v>34.200000000000003</v>
      </c>
      <c r="F97">
        <v>1.4</v>
      </c>
      <c r="G97">
        <v>0.2</v>
      </c>
      <c r="H97">
        <f t="shared" si="3"/>
        <v>110.28785635780578</v>
      </c>
      <c r="I97">
        <f t="shared" si="4"/>
        <v>482.68785635780574</v>
      </c>
      <c r="J97">
        <f>SUMIFS(Transit_Clean[Quantity], Transit_Clean[Destination], A97, Transit_Clean[Item_Code], B97, Transit_Clean[SAP_Status], "In Transit")</f>
        <v>1207</v>
      </c>
      <c r="K97">
        <f t="shared" si="5"/>
        <v>7.3157894736842106</v>
      </c>
      <c r="L97" t="str" cm="1">
        <f t="array" ref="L97">_xlfn.IFS(C97&lt;0,"DATO INVALIDO", C97+J97&lt;I97,"PEDIR YA", C97&lt;I97,"EN CAMINO OK", TRUE,"SANO")</f>
        <v>SANO</v>
      </c>
    </row>
    <row r="98" spans="1:12" x14ac:dyDescent="0.45">
      <c r="A98" t="s">
        <v>1123</v>
      </c>
      <c r="B98" t="s">
        <v>1137</v>
      </c>
      <c r="C98">
        <v>6883</v>
      </c>
      <c r="D98">
        <v>419.9</v>
      </c>
      <c r="E98">
        <v>40.4</v>
      </c>
      <c r="F98">
        <v>0.5</v>
      </c>
      <c r="G98">
        <v>0.3</v>
      </c>
      <c r="H98">
        <f t="shared" si="3"/>
        <v>213.12814959608221</v>
      </c>
      <c r="I98">
        <f t="shared" si="4"/>
        <v>423.0781495960822</v>
      </c>
      <c r="J98">
        <f>SUMIFS(Transit_Clean[Quantity], Transit_Clean[Destination], A98, Transit_Clean[Item_Code], B98, Transit_Clean[SAP_Status], "In Transit")</f>
        <v>2046</v>
      </c>
      <c r="K98">
        <f t="shared" si="5"/>
        <v>16.391998094784473</v>
      </c>
      <c r="L98" t="str" cm="1">
        <f t="array" ref="L98">_xlfn.IFS(C98&lt;0,"DATO INVALIDO", C98+J98&lt;I98,"PEDIR YA", C98&lt;I98,"EN CAMINO OK", TRUE,"SANO")</f>
        <v>SANO</v>
      </c>
    </row>
    <row r="99" spans="1:12" x14ac:dyDescent="0.45">
      <c r="A99" t="s">
        <v>1116</v>
      </c>
      <c r="B99" t="s">
        <v>52</v>
      </c>
      <c r="C99">
        <v>1166</v>
      </c>
      <c r="D99">
        <v>206.7</v>
      </c>
      <c r="E99">
        <v>85.8</v>
      </c>
      <c r="F99">
        <v>5.7</v>
      </c>
      <c r="G99">
        <v>1.6</v>
      </c>
      <c r="H99">
        <f t="shared" si="3"/>
        <v>641.8840730801785</v>
      </c>
      <c r="I99">
        <f t="shared" si="4"/>
        <v>1820.0740730801786</v>
      </c>
      <c r="J99">
        <f>SUMIFS(Transit_Clean[Quantity], Transit_Clean[Destination], A99, Transit_Clean[Item_Code], B99, Transit_Clean[SAP_Status], "In Transit")</f>
        <v>0</v>
      </c>
      <c r="K99">
        <f t="shared" si="5"/>
        <v>5.6410256410256414</v>
      </c>
      <c r="L99" t="str" cm="1">
        <f t="array" ref="L99">_xlfn.IFS(C99&lt;0,"DATO INVALIDO", C99+J99&lt;I99,"PEDIR YA", C99&lt;I99,"EN CAMINO OK", TRUE,"SANO")</f>
        <v>PEDIR YA</v>
      </c>
    </row>
    <row r="100" spans="1:12" x14ac:dyDescent="0.45">
      <c r="A100" t="s">
        <v>1119</v>
      </c>
      <c r="B100" t="s">
        <v>30</v>
      </c>
      <c r="C100">
        <v>3996</v>
      </c>
      <c r="D100">
        <v>325.7</v>
      </c>
      <c r="E100">
        <v>50</v>
      </c>
      <c r="F100">
        <v>2.2999999999999998</v>
      </c>
      <c r="G100">
        <v>1</v>
      </c>
      <c r="H100">
        <f t="shared" si="3"/>
        <v>551.77759018013762</v>
      </c>
      <c r="I100">
        <f t="shared" si="4"/>
        <v>1300.8875901801375</v>
      </c>
      <c r="J100">
        <f>SUMIFS(Transit_Clean[Quantity], Transit_Clean[Destination], A100, Transit_Clean[Item_Code], B100, Transit_Clean[SAP_Status], "In Transit")</f>
        <v>944</v>
      </c>
      <c r="K100">
        <f t="shared" si="5"/>
        <v>12.268959164875653</v>
      </c>
      <c r="L100" t="str" cm="1">
        <f t="array" ref="L100">_xlfn.IFS(C100&lt;0,"DATO INVALIDO", C100+J100&lt;I100,"PEDIR YA", C100&lt;I100,"EN CAMINO OK", TRUE,"SANO")</f>
        <v>SANO</v>
      </c>
    </row>
    <row r="101" spans="1:12" x14ac:dyDescent="0.45">
      <c r="A101" t="s">
        <v>1124</v>
      </c>
      <c r="B101" t="s">
        <v>43</v>
      </c>
      <c r="C101">
        <v>652</v>
      </c>
      <c r="D101">
        <v>113.7</v>
      </c>
      <c r="E101">
        <v>68.099999999999994</v>
      </c>
      <c r="F101">
        <v>0.7</v>
      </c>
      <c r="G101">
        <v>0.3</v>
      </c>
      <c r="H101">
        <f t="shared" si="3"/>
        <v>109.57067353881693</v>
      </c>
      <c r="I101">
        <f t="shared" si="4"/>
        <v>189.16067353881692</v>
      </c>
      <c r="J101">
        <f>SUMIFS(Transit_Clean[Quantity], Transit_Clean[Destination], A101, Transit_Clean[Item_Code], B101, Transit_Clean[SAP_Status], "In Transit")</f>
        <v>0</v>
      </c>
      <c r="K101">
        <f t="shared" si="5"/>
        <v>5.7343887423043096</v>
      </c>
      <c r="L101" t="str" cm="1">
        <f t="array" ref="L101">_xlfn.IFS(C101&lt;0,"DATO INVALIDO", C101+J101&lt;I101,"PEDIR YA", C101&lt;I101,"EN CAMINO OK", TRUE,"SANO")</f>
        <v>SANO</v>
      </c>
    </row>
    <row r="102" spans="1:12" x14ac:dyDescent="0.45">
      <c r="A102" t="s">
        <v>1116</v>
      </c>
      <c r="B102" t="s">
        <v>7</v>
      </c>
      <c r="C102">
        <v>5270</v>
      </c>
      <c r="D102">
        <v>347.2</v>
      </c>
      <c r="E102">
        <v>35.6</v>
      </c>
      <c r="F102">
        <v>5.4</v>
      </c>
      <c r="G102">
        <v>1.6</v>
      </c>
      <c r="H102">
        <f t="shared" si="3"/>
        <v>926.71587808993547</v>
      </c>
      <c r="I102">
        <f t="shared" si="4"/>
        <v>2801.5958780899355</v>
      </c>
      <c r="J102">
        <f>SUMIFS(Transit_Clean[Quantity], Transit_Clean[Destination], A102, Transit_Clean[Item_Code], B102, Transit_Clean[SAP_Status], "In Transit")</f>
        <v>0</v>
      </c>
      <c r="K102">
        <f t="shared" si="5"/>
        <v>15.178571428571429</v>
      </c>
      <c r="L102" t="str" cm="1">
        <f t="array" ref="L102">_xlfn.IFS(C102&lt;0,"DATO INVALIDO", C102+J102&lt;I102,"PEDIR YA", C102&lt;I102,"EN CAMINO OK", TRUE,"SANO")</f>
        <v>SANO</v>
      </c>
    </row>
    <row r="103" spans="1:12" x14ac:dyDescent="0.45">
      <c r="A103" t="s">
        <v>1119</v>
      </c>
      <c r="B103" t="s">
        <v>55</v>
      </c>
      <c r="C103">
        <v>2533</v>
      </c>
      <c r="D103">
        <v>415</v>
      </c>
      <c r="E103">
        <v>106.4</v>
      </c>
      <c r="F103">
        <v>3.2</v>
      </c>
      <c r="G103">
        <v>1</v>
      </c>
      <c r="H103">
        <f t="shared" si="3"/>
        <v>753.33310429052563</v>
      </c>
      <c r="I103">
        <f t="shared" si="4"/>
        <v>2081.3331042905256</v>
      </c>
      <c r="J103">
        <f>SUMIFS(Transit_Clean[Quantity], Transit_Clean[Destination], A103, Transit_Clean[Item_Code], B103, Transit_Clean[SAP_Status], "In Transit")</f>
        <v>1868</v>
      </c>
      <c r="K103">
        <f t="shared" si="5"/>
        <v>6.1036144578313252</v>
      </c>
      <c r="L103" t="str" cm="1">
        <f t="array" ref="L103">_xlfn.IFS(C103&lt;0,"DATO INVALIDO", C103+J103&lt;I103,"PEDIR YA", C103&lt;I103,"EN CAMINO OK", TRUE,"SANO")</f>
        <v>SANO</v>
      </c>
    </row>
    <row r="104" spans="1:12" x14ac:dyDescent="0.45">
      <c r="A104" t="s">
        <v>1128</v>
      </c>
      <c r="B104" t="s">
        <v>5</v>
      </c>
      <c r="C104">
        <v>3084</v>
      </c>
      <c r="D104">
        <v>390.6</v>
      </c>
      <c r="E104">
        <v>37.1</v>
      </c>
      <c r="F104">
        <v>2</v>
      </c>
      <c r="G104">
        <v>0.5</v>
      </c>
      <c r="H104">
        <f t="shared" si="3"/>
        <v>333.67108426562828</v>
      </c>
      <c r="I104">
        <f t="shared" si="4"/>
        <v>1114.8710842656283</v>
      </c>
      <c r="J104">
        <f>SUMIFS(Transit_Clean[Quantity], Transit_Clean[Destination], A104, Transit_Clean[Item_Code], B104, Transit_Clean[SAP_Status], "In Transit")</f>
        <v>2157</v>
      </c>
      <c r="K104">
        <f t="shared" si="5"/>
        <v>7.8955453149001533</v>
      </c>
      <c r="L104" t="str" cm="1">
        <f t="array" ref="L104">_xlfn.IFS(C104&lt;0,"DATO INVALIDO", C104+J104&lt;I104,"PEDIR YA", C104&lt;I104,"EN CAMINO OK", TRUE,"SANO")</f>
        <v>SANO</v>
      </c>
    </row>
    <row r="105" spans="1:12" x14ac:dyDescent="0.45">
      <c r="A105" t="s">
        <v>1119</v>
      </c>
      <c r="B105" t="s">
        <v>95</v>
      </c>
      <c r="C105">
        <v>3780</v>
      </c>
      <c r="D105">
        <v>264.2</v>
      </c>
      <c r="E105">
        <v>26.6</v>
      </c>
      <c r="F105">
        <v>3.9</v>
      </c>
      <c r="G105">
        <v>1</v>
      </c>
      <c r="H105">
        <f t="shared" si="3"/>
        <v>444.46333942182446</v>
      </c>
      <c r="I105">
        <f t="shared" si="4"/>
        <v>1474.8433394218243</v>
      </c>
      <c r="J105">
        <f>SUMIFS(Transit_Clean[Quantity], Transit_Clean[Destination], A105, Transit_Clean[Item_Code], B105, Transit_Clean[SAP_Status], "In Transit")</f>
        <v>1563</v>
      </c>
      <c r="K105">
        <f t="shared" si="5"/>
        <v>14.307342922028766</v>
      </c>
      <c r="L105" t="str" cm="1">
        <f t="array" ref="L105">_xlfn.IFS(C105&lt;0,"DATO INVALIDO", C105+J105&lt;I105,"PEDIR YA", C105&lt;I105,"EN CAMINO OK", TRUE,"SANO")</f>
        <v>SANO</v>
      </c>
    </row>
    <row r="106" spans="1:12" x14ac:dyDescent="0.45">
      <c r="A106" t="s">
        <v>1120</v>
      </c>
      <c r="B106" t="s">
        <v>1136</v>
      </c>
      <c r="C106">
        <v>4015</v>
      </c>
      <c r="D106">
        <v>436.6</v>
      </c>
      <c r="E106">
        <v>293.39999999999998</v>
      </c>
      <c r="F106">
        <v>1.6</v>
      </c>
      <c r="G106">
        <v>0.5</v>
      </c>
      <c r="H106">
        <f t="shared" si="3"/>
        <v>710.43678493233995</v>
      </c>
      <c r="I106">
        <f t="shared" si="4"/>
        <v>1408.99678493234</v>
      </c>
      <c r="J106">
        <f>SUMIFS(Transit_Clean[Quantity], Transit_Clean[Destination], A106, Transit_Clean[Item_Code], B106, Transit_Clean[SAP_Status], "In Transit")</f>
        <v>0</v>
      </c>
      <c r="K106">
        <f t="shared" si="5"/>
        <v>9.1960604672469071</v>
      </c>
      <c r="L106" t="str" cm="1">
        <f t="array" ref="L106">_xlfn.IFS(C106&lt;0,"DATO INVALIDO", C106+J106&lt;I106,"PEDIR YA", C106&lt;I106,"EN CAMINO OK", TRUE,"SANO")</f>
        <v>SANO</v>
      </c>
    </row>
    <row r="107" spans="1:12" x14ac:dyDescent="0.45">
      <c r="A107" t="s">
        <v>1128</v>
      </c>
      <c r="B107" t="s">
        <v>75</v>
      </c>
      <c r="C107">
        <v>6260</v>
      </c>
      <c r="D107">
        <v>384.5</v>
      </c>
      <c r="E107">
        <v>49.7</v>
      </c>
      <c r="F107">
        <v>1.2</v>
      </c>
      <c r="G107">
        <v>0.5</v>
      </c>
      <c r="H107">
        <f t="shared" si="3"/>
        <v>329.68705492671376</v>
      </c>
      <c r="I107">
        <f t="shared" si="4"/>
        <v>791.08705492671379</v>
      </c>
      <c r="J107">
        <f>SUMIFS(Transit_Clean[Quantity], Transit_Clean[Destination], A107, Transit_Clean[Item_Code], B107, Transit_Clean[SAP_Status], "In Transit")</f>
        <v>781</v>
      </c>
      <c r="K107">
        <f t="shared" si="5"/>
        <v>16.280884265279585</v>
      </c>
      <c r="L107" t="str" cm="1">
        <f t="array" ref="L107">_xlfn.IFS(C107&lt;0,"DATO INVALIDO", C107+J107&lt;I107,"PEDIR YA", C107&lt;I107,"EN CAMINO OK", TRUE,"SANO")</f>
        <v>SANO</v>
      </c>
    </row>
    <row r="108" spans="1:12" x14ac:dyDescent="0.45">
      <c r="A108" t="s">
        <v>1128</v>
      </c>
      <c r="B108" t="s">
        <v>39</v>
      </c>
      <c r="C108">
        <v>3651</v>
      </c>
      <c r="D108">
        <v>315.89999999999998</v>
      </c>
      <c r="E108">
        <v>59.2</v>
      </c>
      <c r="F108">
        <v>2.2999999999999998</v>
      </c>
      <c r="G108">
        <v>0.5</v>
      </c>
      <c r="H108">
        <f t="shared" si="3"/>
        <v>299.77768567098184</v>
      </c>
      <c r="I108">
        <f t="shared" si="4"/>
        <v>1026.3476856709817</v>
      </c>
      <c r="J108">
        <f>SUMIFS(Transit_Clean[Quantity], Transit_Clean[Destination], A108, Transit_Clean[Item_Code], B108, Transit_Clean[SAP_Status], "In Transit")</f>
        <v>0</v>
      </c>
      <c r="K108">
        <f t="shared" si="5"/>
        <v>11.557454890788225</v>
      </c>
      <c r="L108" t="str" cm="1">
        <f t="array" ref="L108">_xlfn.IFS(C108&lt;0,"DATO INVALIDO", C108+J108&lt;I108,"PEDIR YA", C108&lt;I108,"EN CAMINO OK", TRUE,"SANO")</f>
        <v>SANO</v>
      </c>
    </row>
    <row r="109" spans="1:12" x14ac:dyDescent="0.45">
      <c r="A109" t="s">
        <v>1127</v>
      </c>
      <c r="B109" t="s">
        <v>81</v>
      </c>
      <c r="C109">
        <v>1461</v>
      </c>
      <c r="D109">
        <v>374.1</v>
      </c>
      <c r="E109">
        <v>59</v>
      </c>
      <c r="F109">
        <v>2.5</v>
      </c>
      <c r="G109">
        <v>0.9</v>
      </c>
      <c r="H109">
        <f t="shared" si="3"/>
        <v>576.46819620188069</v>
      </c>
      <c r="I109">
        <f t="shared" si="4"/>
        <v>1511.7181962018808</v>
      </c>
      <c r="J109">
        <f>SUMIFS(Transit_Clean[Quantity], Transit_Clean[Destination], A109, Transit_Clean[Item_Code], B109, Transit_Clean[SAP_Status], "In Transit")</f>
        <v>1020</v>
      </c>
      <c r="K109">
        <f t="shared" si="5"/>
        <v>3.9053728949478748</v>
      </c>
      <c r="L109" t="str" cm="1">
        <f t="array" ref="L109">_xlfn.IFS(C109&lt;0,"DATO INVALIDO", C109+J109&lt;I109,"PEDIR YA", C109&lt;I109,"EN CAMINO OK", TRUE,"SANO")</f>
        <v>EN CAMINO OK</v>
      </c>
    </row>
    <row r="110" spans="1:12" x14ac:dyDescent="0.45">
      <c r="A110" t="s">
        <v>1118</v>
      </c>
      <c r="B110" t="s">
        <v>37</v>
      </c>
      <c r="C110">
        <v>5035</v>
      </c>
      <c r="D110">
        <v>400.4</v>
      </c>
      <c r="E110">
        <v>257.10000000000002</v>
      </c>
      <c r="F110">
        <v>7.2</v>
      </c>
      <c r="G110">
        <v>1.5</v>
      </c>
      <c r="H110">
        <f t="shared" si="3"/>
        <v>1509.2254360830261</v>
      </c>
      <c r="I110">
        <f t="shared" si="4"/>
        <v>4392.1054360830258</v>
      </c>
      <c r="J110">
        <f>SUMIFS(Transit_Clean[Quantity], Transit_Clean[Destination], A110, Transit_Clean[Item_Code], B110, Transit_Clean[SAP_Status], "In Transit")</f>
        <v>0</v>
      </c>
      <c r="K110">
        <f t="shared" si="5"/>
        <v>12.574925074925076</v>
      </c>
      <c r="L110" t="str" cm="1">
        <f t="array" ref="L110">_xlfn.IFS(C110&lt;0,"DATO INVALIDO", C110+J110&lt;I110,"PEDIR YA", C110&lt;I110,"EN CAMINO OK", TRUE,"SANO")</f>
        <v>SANO</v>
      </c>
    </row>
    <row r="111" spans="1:12" x14ac:dyDescent="0.45">
      <c r="A111" t="s">
        <v>1117</v>
      </c>
      <c r="B111" t="s">
        <v>15</v>
      </c>
      <c r="C111">
        <v>8315</v>
      </c>
      <c r="D111">
        <v>560.4</v>
      </c>
      <c r="E111">
        <v>87.1</v>
      </c>
      <c r="F111">
        <v>1.9</v>
      </c>
      <c r="G111">
        <v>0.5</v>
      </c>
      <c r="H111">
        <f t="shared" si="3"/>
        <v>502.9827345222696</v>
      </c>
      <c r="I111">
        <f t="shared" si="4"/>
        <v>1567.7427345222695</v>
      </c>
      <c r="J111">
        <f>SUMIFS(Transit_Clean[Quantity], Transit_Clean[Destination], A111, Transit_Clean[Item_Code], B111, Transit_Clean[SAP_Status], "In Transit")</f>
        <v>371</v>
      </c>
      <c r="K111">
        <f t="shared" si="5"/>
        <v>14.837615988579586</v>
      </c>
      <c r="L111" t="str" cm="1">
        <f t="array" ref="L111">_xlfn.IFS(C111&lt;0,"DATO INVALIDO", C111+J111&lt;I111,"PEDIR YA", C111&lt;I111,"EN CAMINO OK", TRUE,"SANO")</f>
        <v>SANO</v>
      </c>
    </row>
    <row r="112" spans="1:12" x14ac:dyDescent="0.45">
      <c r="A112" t="s">
        <v>1116</v>
      </c>
      <c r="B112" t="s">
        <v>48</v>
      </c>
      <c r="C112">
        <v>5248</v>
      </c>
      <c r="D112">
        <v>323.89999999999998</v>
      </c>
      <c r="E112">
        <v>75.3</v>
      </c>
      <c r="F112">
        <v>3.1</v>
      </c>
      <c r="G112">
        <v>1.6</v>
      </c>
      <c r="H112">
        <f t="shared" si="3"/>
        <v>882.6343021282936</v>
      </c>
      <c r="I112">
        <f t="shared" si="4"/>
        <v>1886.7243021282934</v>
      </c>
      <c r="J112">
        <f>SUMIFS(Transit_Clean[Quantity], Transit_Clean[Destination], A112, Transit_Clean[Item_Code], B112, Transit_Clean[SAP_Status], "In Transit")</f>
        <v>0</v>
      </c>
      <c r="K112">
        <f t="shared" si="5"/>
        <v>16.202531645569621</v>
      </c>
      <c r="L112" t="str" cm="1">
        <f t="array" ref="L112">_xlfn.IFS(C112&lt;0,"DATO INVALIDO", C112+J112&lt;I112,"PEDIR YA", C112&lt;I112,"EN CAMINO OK", TRUE,"SANO")</f>
        <v>SANO</v>
      </c>
    </row>
    <row r="113" spans="1:12" x14ac:dyDescent="0.45">
      <c r="A113" t="s">
        <v>1122</v>
      </c>
      <c r="B113" t="s">
        <v>80</v>
      </c>
      <c r="C113">
        <v>1589</v>
      </c>
      <c r="D113">
        <v>303.60000000000002</v>
      </c>
      <c r="E113">
        <v>34.4</v>
      </c>
      <c r="F113">
        <v>0.8</v>
      </c>
      <c r="G113">
        <v>0.2</v>
      </c>
      <c r="H113">
        <f t="shared" si="3"/>
        <v>112.31648776559923</v>
      </c>
      <c r="I113">
        <f t="shared" si="4"/>
        <v>355.19648776559927</v>
      </c>
      <c r="J113">
        <f>SUMIFS(Transit_Clean[Quantity], Transit_Clean[Destination], A113, Transit_Clean[Item_Code], B113, Transit_Clean[SAP_Status], "In Transit")</f>
        <v>0</v>
      </c>
      <c r="K113">
        <f t="shared" si="5"/>
        <v>5.2338603425559942</v>
      </c>
      <c r="L113" t="str" cm="1">
        <f t="array" ref="L113">_xlfn.IFS(C113&lt;0,"DATO INVALIDO", C113+J113&lt;I113,"PEDIR YA", C113&lt;I113,"EN CAMINO OK", TRUE,"SANO")</f>
        <v>SANO</v>
      </c>
    </row>
    <row r="114" spans="1:12" x14ac:dyDescent="0.45">
      <c r="A114" t="s">
        <v>1123</v>
      </c>
      <c r="B114" t="s">
        <v>70</v>
      </c>
      <c r="D114">
        <v>687</v>
      </c>
      <c r="E114">
        <v>149.5</v>
      </c>
      <c r="F114">
        <v>1.1000000000000001</v>
      </c>
      <c r="G114">
        <v>0.3</v>
      </c>
      <c r="H114">
        <f t="shared" si="3"/>
        <v>427.29101957857716</v>
      </c>
      <c r="I114">
        <f t="shared" si="4"/>
        <v>1182.9910195785772</v>
      </c>
      <c r="J114">
        <f>SUMIFS(Transit_Clean[Quantity], Transit_Clean[Destination], A114, Transit_Clean[Item_Code], B114, Transit_Clean[SAP_Status], "In Transit")</f>
        <v>0</v>
      </c>
      <c r="K114">
        <f t="shared" si="5"/>
        <v>0</v>
      </c>
      <c r="L114" t="str" cm="1">
        <f t="array" ref="L114">_xlfn.IFS(C114&lt;0,"DATO INVALIDO", C114+J114&lt;I114,"PEDIR YA", C114&lt;I114,"EN CAMINO OK", TRUE,"SANO")</f>
        <v>PEDIR YA</v>
      </c>
    </row>
    <row r="115" spans="1:12" x14ac:dyDescent="0.45">
      <c r="A115" t="s">
        <v>1123</v>
      </c>
      <c r="B115" t="s">
        <v>37</v>
      </c>
      <c r="C115">
        <v>6970</v>
      </c>
      <c r="D115">
        <v>831.4</v>
      </c>
      <c r="E115">
        <v>363.7</v>
      </c>
      <c r="F115">
        <v>1.8</v>
      </c>
      <c r="G115">
        <v>0.3</v>
      </c>
      <c r="H115">
        <f t="shared" si="3"/>
        <v>904.20930137551659</v>
      </c>
      <c r="I115">
        <f t="shared" si="4"/>
        <v>2400.7293013755166</v>
      </c>
      <c r="J115">
        <f>SUMIFS(Transit_Clean[Quantity], Transit_Clean[Destination], A115, Transit_Clean[Item_Code], B115, Transit_Clean[SAP_Status], "In Transit")</f>
        <v>0</v>
      </c>
      <c r="K115">
        <f t="shared" si="5"/>
        <v>8.3834496030791446</v>
      </c>
      <c r="L115" t="str" cm="1">
        <f t="array" ref="L115">_xlfn.IFS(C115&lt;0,"DATO INVALIDO", C115+J115&lt;I115,"PEDIR YA", C115&lt;I115,"EN CAMINO OK", TRUE,"SANO")</f>
        <v>SANO</v>
      </c>
    </row>
    <row r="116" spans="1:12" x14ac:dyDescent="0.45">
      <c r="A116" t="s">
        <v>1116</v>
      </c>
      <c r="B116" t="s">
        <v>102</v>
      </c>
      <c r="C116">
        <v>1368</v>
      </c>
      <c r="D116">
        <v>453.5</v>
      </c>
      <c r="E116">
        <v>57.9</v>
      </c>
      <c r="F116">
        <v>3.9</v>
      </c>
      <c r="G116">
        <v>1.6</v>
      </c>
      <c r="H116">
        <f t="shared" si="3"/>
        <v>1212.0143022578156</v>
      </c>
      <c r="I116">
        <f t="shared" si="4"/>
        <v>2980.6643022578155</v>
      </c>
      <c r="J116">
        <f>SUMIFS(Transit_Clean[Quantity], Transit_Clean[Destination], A116, Transit_Clean[Item_Code], B116, Transit_Clean[SAP_Status], "In Transit")</f>
        <v>0</v>
      </c>
      <c r="K116">
        <f t="shared" si="5"/>
        <v>3.0165380374862183</v>
      </c>
      <c r="L116" t="str" cm="1">
        <f t="array" ref="L116">_xlfn.IFS(C116&lt;0,"DATO INVALIDO", C116+J116&lt;I116,"PEDIR YA", C116&lt;I116,"EN CAMINO OK", TRUE,"SANO")</f>
        <v>PEDIR YA</v>
      </c>
    </row>
    <row r="117" spans="1:12" x14ac:dyDescent="0.45">
      <c r="A117" t="s">
        <v>1123</v>
      </c>
      <c r="B117" t="s">
        <v>24</v>
      </c>
      <c r="C117">
        <v>2696</v>
      </c>
      <c r="D117">
        <v>696.3</v>
      </c>
      <c r="E117">
        <v>141.1</v>
      </c>
      <c r="F117">
        <v>1</v>
      </c>
      <c r="G117">
        <v>0.3</v>
      </c>
      <c r="H117">
        <f t="shared" si="3"/>
        <v>415.93172410535118</v>
      </c>
      <c r="I117">
        <f t="shared" si="4"/>
        <v>1112.2317241053511</v>
      </c>
      <c r="J117">
        <f>SUMIFS(Transit_Clean[Quantity], Transit_Clean[Destination], A117, Transit_Clean[Item_Code], B117, Transit_Clean[SAP_Status], "In Transit")</f>
        <v>0</v>
      </c>
      <c r="K117">
        <f t="shared" si="5"/>
        <v>3.871894298434583</v>
      </c>
      <c r="L117" t="str" cm="1">
        <f t="array" ref="L117">_xlfn.IFS(C117&lt;0,"DATO INVALIDO", C117+J117&lt;I117,"PEDIR YA", C117&lt;I117,"EN CAMINO OK", TRUE,"SANO")</f>
        <v>SANO</v>
      </c>
    </row>
    <row r="118" spans="1:12" x14ac:dyDescent="0.45">
      <c r="A118" t="s">
        <v>1121</v>
      </c>
      <c r="B118" t="s">
        <v>27</v>
      </c>
      <c r="C118">
        <v>3357</v>
      </c>
      <c r="D118">
        <v>686.2</v>
      </c>
      <c r="E118">
        <v>392.3</v>
      </c>
      <c r="F118">
        <v>2.2000000000000002</v>
      </c>
      <c r="G118">
        <v>0.4</v>
      </c>
      <c r="H118">
        <f t="shared" si="3"/>
        <v>1061.5512051328471</v>
      </c>
      <c r="I118">
        <f t="shared" si="4"/>
        <v>2571.1912051328472</v>
      </c>
      <c r="J118">
        <f>SUMIFS(Transit_Clean[Quantity], Transit_Clean[Destination], A118, Transit_Clean[Item_Code], B118, Transit_Clean[SAP_Status], "In Transit")</f>
        <v>1621</v>
      </c>
      <c r="K118">
        <f t="shared" si="5"/>
        <v>4.892159720198193</v>
      </c>
      <c r="L118" t="str" cm="1">
        <f t="array" ref="L118">_xlfn.IFS(C118&lt;0,"DATO INVALIDO", C118+J118&lt;I118,"PEDIR YA", C118&lt;I118,"EN CAMINO OK", TRUE,"SANO")</f>
        <v>SANO</v>
      </c>
    </row>
    <row r="119" spans="1:12" x14ac:dyDescent="0.45">
      <c r="A119" t="s">
        <v>1120</v>
      </c>
      <c r="B119" t="s">
        <v>108</v>
      </c>
      <c r="C119">
        <v>4639</v>
      </c>
      <c r="D119">
        <v>261</v>
      </c>
      <c r="E119">
        <v>29.3</v>
      </c>
      <c r="F119">
        <v>2.2999999999999998</v>
      </c>
      <c r="G119">
        <v>0.5</v>
      </c>
      <c r="H119">
        <f t="shared" si="3"/>
        <v>227.465393812993</v>
      </c>
      <c r="I119">
        <f t="shared" si="4"/>
        <v>827.7653938129929</v>
      </c>
      <c r="J119">
        <f>SUMIFS(Transit_Clean[Quantity], Transit_Clean[Destination], A119, Transit_Clean[Item_Code], B119, Transit_Clean[SAP_Status], "In Transit")</f>
        <v>0</v>
      </c>
      <c r="K119">
        <f t="shared" si="5"/>
        <v>17.773946360153257</v>
      </c>
      <c r="L119" t="str" cm="1">
        <f t="array" ref="L119">_xlfn.IFS(C119&lt;0,"DATO INVALIDO", C119+J119&lt;I119,"PEDIR YA", C119&lt;I119,"EN CAMINO OK", TRUE,"SANO")</f>
        <v>SANO</v>
      </c>
    </row>
    <row r="120" spans="1:12" x14ac:dyDescent="0.45">
      <c r="A120" t="s">
        <v>1118</v>
      </c>
      <c r="B120" t="s">
        <v>19</v>
      </c>
      <c r="C120">
        <v>3200</v>
      </c>
      <c r="D120">
        <v>425.4</v>
      </c>
      <c r="E120">
        <v>139.4</v>
      </c>
      <c r="F120">
        <v>3.2</v>
      </c>
      <c r="G120">
        <v>1.5</v>
      </c>
      <c r="H120">
        <f t="shared" si="3"/>
        <v>1130.4067535825322</v>
      </c>
      <c r="I120">
        <f t="shared" si="4"/>
        <v>2491.6867535825322</v>
      </c>
      <c r="J120">
        <f>SUMIFS(Transit_Clean[Quantity], Transit_Clean[Destination], A120, Transit_Clean[Item_Code], B120, Transit_Clean[SAP_Status], "In Transit")</f>
        <v>2806</v>
      </c>
      <c r="K120">
        <f t="shared" si="5"/>
        <v>7.5223319228960985</v>
      </c>
      <c r="L120" t="str" cm="1">
        <f t="array" ref="L120">_xlfn.IFS(C120&lt;0,"DATO INVALIDO", C120+J120&lt;I120,"PEDIR YA", C120&lt;I120,"EN CAMINO OK", TRUE,"SANO")</f>
        <v>SANO</v>
      </c>
    </row>
    <row r="121" spans="1:12" x14ac:dyDescent="0.45">
      <c r="A121" t="s">
        <v>1115</v>
      </c>
      <c r="B121" t="s">
        <v>30</v>
      </c>
      <c r="C121">
        <v>999999</v>
      </c>
      <c r="D121">
        <v>824.6</v>
      </c>
      <c r="E121">
        <v>185.9</v>
      </c>
      <c r="F121">
        <v>1.1000000000000001</v>
      </c>
      <c r="G121">
        <v>0.6</v>
      </c>
      <c r="H121">
        <f t="shared" si="3"/>
        <v>877.45589607882846</v>
      </c>
      <c r="I121">
        <f t="shared" si="4"/>
        <v>1784.5158960788285</v>
      </c>
      <c r="J121">
        <f>SUMIFS(Transit_Clean[Quantity], Transit_Clean[Destination], A121, Transit_Clean[Item_Code], B121, Transit_Clean[SAP_Status], "In Transit")</f>
        <v>1979</v>
      </c>
      <c r="K121">
        <f t="shared" si="5"/>
        <v>1212.7079796264854</v>
      </c>
      <c r="L121" t="str" cm="1">
        <f t="array" ref="L121">_xlfn.IFS(C121&lt;0,"DATO INVALIDO", C121+J121&lt;I121,"PEDIR YA", C121&lt;I121,"EN CAMINO OK", TRUE,"SANO")</f>
        <v>SANO</v>
      </c>
    </row>
    <row r="122" spans="1:12" x14ac:dyDescent="0.45">
      <c r="A122" t="s">
        <v>1120</v>
      </c>
      <c r="B122" t="s">
        <v>81</v>
      </c>
      <c r="C122">
        <v>1835</v>
      </c>
      <c r="D122">
        <v>230.7</v>
      </c>
      <c r="E122">
        <v>28.8</v>
      </c>
      <c r="F122">
        <v>2.2000000000000002</v>
      </c>
      <c r="G122">
        <v>0.5</v>
      </c>
      <c r="H122">
        <f t="shared" si="3"/>
        <v>202.95932631010086</v>
      </c>
      <c r="I122">
        <f t="shared" si="4"/>
        <v>710.49932631010086</v>
      </c>
      <c r="J122">
        <f>SUMIFS(Transit_Clean[Quantity], Transit_Clean[Destination], A122, Transit_Clean[Item_Code], B122, Transit_Clean[SAP_Status], "In Transit")</f>
        <v>0</v>
      </c>
      <c r="K122">
        <f t="shared" si="5"/>
        <v>7.9540528825314265</v>
      </c>
      <c r="L122" t="str" cm="1">
        <f t="array" ref="L122">_xlfn.IFS(C122&lt;0,"DATO INVALIDO", C122+J122&lt;I122,"PEDIR YA", C122&lt;I122,"EN CAMINO OK", TRUE,"SANO")</f>
        <v>SANO</v>
      </c>
    </row>
    <row r="123" spans="1:12" x14ac:dyDescent="0.45">
      <c r="A123" t="s">
        <v>1122</v>
      </c>
      <c r="B123" t="s">
        <v>51</v>
      </c>
      <c r="C123">
        <v>4422</v>
      </c>
      <c r="D123">
        <v>717.5</v>
      </c>
      <c r="E123">
        <v>178.1</v>
      </c>
      <c r="F123">
        <v>1</v>
      </c>
      <c r="G123">
        <v>0.2</v>
      </c>
      <c r="H123">
        <f t="shared" si="3"/>
        <v>377.38447086492573</v>
      </c>
      <c r="I123">
        <f t="shared" si="4"/>
        <v>1094.8844708649258</v>
      </c>
      <c r="J123">
        <f>SUMIFS(Transit_Clean[Quantity], Transit_Clean[Destination], A123, Transit_Clean[Item_Code], B123, Transit_Clean[SAP_Status], "In Transit")</f>
        <v>754</v>
      </c>
      <c r="K123">
        <f t="shared" si="5"/>
        <v>6.163066202090592</v>
      </c>
      <c r="L123" t="str" cm="1">
        <f t="array" ref="L123">_xlfn.IFS(C123&lt;0,"DATO INVALIDO", C123+J123&lt;I123,"PEDIR YA", C123&lt;I123,"EN CAMINO OK", TRUE,"SANO")</f>
        <v>SANO</v>
      </c>
    </row>
    <row r="124" spans="1:12" x14ac:dyDescent="0.45">
      <c r="A124" t="s">
        <v>1115</v>
      </c>
      <c r="B124" t="s">
        <v>65</v>
      </c>
      <c r="C124">
        <v>5639</v>
      </c>
      <c r="D124">
        <v>459.5</v>
      </c>
      <c r="E124">
        <v>163.69999999999999</v>
      </c>
      <c r="F124">
        <v>2.2999999999999998</v>
      </c>
      <c r="G124">
        <v>0.6</v>
      </c>
      <c r="H124">
        <f t="shared" si="3"/>
        <v>612.15928840662048</v>
      </c>
      <c r="I124">
        <f t="shared" si="4"/>
        <v>1669.0092884066203</v>
      </c>
      <c r="J124">
        <f>SUMIFS(Transit_Clean[Quantity], Transit_Clean[Destination], A124, Transit_Clean[Item_Code], B124, Transit_Clean[SAP_Status], "In Transit")</f>
        <v>3264</v>
      </c>
      <c r="K124">
        <f t="shared" si="5"/>
        <v>12.272034820457019</v>
      </c>
      <c r="L124" t="str" cm="1">
        <f t="array" ref="L124">_xlfn.IFS(C124&lt;0,"DATO INVALIDO", C124+J124&lt;I124,"PEDIR YA", C124&lt;I124,"EN CAMINO OK", TRUE,"SANO")</f>
        <v>SANO</v>
      </c>
    </row>
    <row r="125" spans="1:12" x14ac:dyDescent="0.45">
      <c r="A125" t="s">
        <v>1122</v>
      </c>
      <c r="B125" t="s">
        <v>1129</v>
      </c>
      <c r="C125">
        <v>15892</v>
      </c>
      <c r="D125">
        <v>1047.8</v>
      </c>
      <c r="E125">
        <v>283.7</v>
      </c>
      <c r="F125">
        <v>1.2</v>
      </c>
      <c r="G125">
        <v>0.2</v>
      </c>
      <c r="H125">
        <f t="shared" si="3"/>
        <v>618.47102462928683</v>
      </c>
      <c r="I125">
        <f t="shared" si="4"/>
        <v>1875.8310246292867</v>
      </c>
      <c r="J125">
        <f>SUMIFS(Transit_Clean[Quantity], Transit_Clean[Destination], A125, Transit_Clean[Item_Code], B125, Transit_Clean[SAP_Status], "In Transit")</f>
        <v>0</v>
      </c>
      <c r="K125">
        <f t="shared" si="5"/>
        <v>15.167016606222562</v>
      </c>
      <c r="L125" t="str" cm="1">
        <f t="array" ref="L125">_xlfn.IFS(C125&lt;0,"DATO INVALIDO", C125+J125&lt;I125,"PEDIR YA", C125&lt;I125,"EN CAMINO OK", TRUE,"SANO")</f>
        <v>SANO</v>
      </c>
    </row>
    <row r="126" spans="1:12" x14ac:dyDescent="0.45">
      <c r="A126" t="s">
        <v>1127</v>
      </c>
      <c r="B126" t="s">
        <v>35</v>
      </c>
      <c r="C126">
        <v>3444</v>
      </c>
      <c r="D126">
        <v>595.29999999999995</v>
      </c>
      <c r="E126">
        <v>96.1</v>
      </c>
      <c r="F126">
        <v>4.5</v>
      </c>
      <c r="G126">
        <v>0.9</v>
      </c>
      <c r="H126">
        <f t="shared" si="3"/>
        <v>945.85152689666359</v>
      </c>
      <c r="I126">
        <f t="shared" si="4"/>
        <v>3624.7015268966634</v>
      </c>
      <c r="J126">
        <f>SUMIFS(Transit_Clean[Quantity], Transit_Clean[Destination], A126, Transit_Clean[Item_Code], B126, Transit_Clean[SAP_Status], "In Transit")</f>
        <v>0</v>
      </c>
      <c r="K126">
        <f t="shared" si="5"/>
        <v>5.7853183268940036</v>
      </c>
      <c r="L126" t="str" cm="1">
        <f t="array" ref="L126">_xlfn.IFS(C126&lt;0,"DATO INVALIDO", C126+J126&lt;I126,"PEDIR YA", C126&lt;I126,"EN CAMINO OK", TRUE,"SANO")</f>
        <v>PEDIR YA</v>
      </c>
    </row>
    <row r="127" spans="1:12" x14ac:dyDescent="0.45">
      <c r="A127" t="s">
        <v>1125</v>
      </c>
      <c r="B127" t="s">
        <v>57</v>
      </c>
      <c r="C127">
        <v>3223</v>
      </c>
      <c r="D127">
        <v>387.7</v>
      </c>
      <c r="E127">
        <v>38.5</v>
      </c>
      <c r="F127">
        <v>5.3</v>
      </c>
      <c r="G127">
        <v>1.2</v>
      </c>
      <c r="H127">
        <f t="shared" si="3"/>
        <v>781.45258149711151</v>
      </c>
      <c r="I127">
        <f t="shared" si="4"/>
        <v>2836.2625814971116</v>
      </c>
      <c r="J127">
        <f>SUMIFS(Transit_Clean[Quantity], Transit_Clean[Destination], A127, Transit_Clean[Item_Code], B127, Transit_Clean[SAP_Status], "In Transit")</f>
        <v>2198</v>
      </c>
      <c r="K127">
        <f t="shared" si="5"/>
        <v>8.3131287077637346</v>
      </c>
      <c r="L127" t="str" cm="1">
        <f t="array" ref="L127">_xlfn.IFS(C127&lt;0,"DATO INVALIDO", C127+J127&lt;I127,"PEDIR YA", C127&lt;I127,"EN CAMINO OK", TRUE,"SANO")</f>
        <v>SANO</v>
      </c>
    </row>
    <row r="128" spans="1:12" x14ac:dyDescent="0.45">
      <c r="A128" t="s">
        <v>1114</v>
      </c>
      <c r="B128" t="s">
        <v>41</v>
      </c>
      <c r="C128">
        <v>3186</v>
      </c>
      <c r="D128">
        <v>207.9</v>
      </c>
      <c r="E128">
        <v>60.8</v>
      </c>
      <c r="F128">
        <v>4.7</v>
      </c>
      <c r="G128">
        <v>1.3</v>
      </c>
      <c r="H128">
        <f t="shared" si="3"/>
        <v>496.15387759267787</v>
      </c>
      <c r="I128">
        <f t="shared" si="4"/>
        <v>1473.283877592678</v>
      </c>
      <c r="J128">
        <f>SUMIFS(Transit_Clean[Quantity], Transit_Clean[Destination], A128, Transit_Clean[Item_Code], B128, Transit_Clean[SAP_Status], "In Transit")</f>
        <v>3205</v>
      </c>
      <c r="K128">
        <f t="shared" si="5"/>
        <v>15.324675324675324</v>
      </c>
      <c r="L128" t="str" cm="1">
        <f t="array" ref="L128">_xlfn.IFS(C128&lt;0,"DATO INVALIDO", C128+J128&lt;I128,"PEDIR YA", C128&lt;I128,"EN CAMINO OK", TRUE,"SANO")</f>
        <v>SANO</v>
      </c>
    </row>
    <row r="129" spans="1:12" x14ac:dyDescent="0.45">
      <c r="A129" t="s">
        <v>1124</v>
      </c>
      <c r="B129" t="s">
        <v>35</v>
      </c>
      <c r="C129">
        <v>3654</v>
      </c>
      <c r="D129">
        <v>679.3</v>
      </c>
      <c r="E129">
        <v>112.7</v>
      </c>
      <c r="F129">
        <v>1</v>
      </c>
      <c r="G129">
        <v>0.3</v>
      </c>
      <c r="H129">
        <f t="shared" si="3"/>
        <v>384.24689756359771</v>
      </c>
      <c r="I129">
        <f t="shared" si="4"/>
        <v>1063.5468975635977</v>
      </c>
      <c r="J129">
        <f>SUMIFS(Transit_Clean[Quantity], Transit_Clean[Destination], A129, Transit_Clean[Item_Code], B129, Transit_Clean[SAP_Status], "In Transit")</f>
        <v>0</v>
      </c>
      <c r="K129">
        <f t="shared" si="5"/>
        <v>5.3790666862947152</v>
      </c>
      <c r="L129" t="str" cm="1">
        <f t="array" ref="L129">_xlfn.IFS(C129&lt;0,"DATO INVALIDO", C129+J129&lt;I129,"PEDIR YA", C129&lt;I129,"EN CAMINO OK", TRUE,"SANO")</f>
        <v>SANO</v>
      </c>
    </row>
    <row r="130" spans="1:12" x14ac:dyDescent="0.45">
      <c r="A130" t="s">
        <v>1127</v>
      </c>
      <c r="B130" t="s">
        <v>27</v>
      </c>
      <c r="C130">
        <v>4283</v>
      </c>
      <c r="D130">
        <v>349.5</v>
      </c>
      <c r="E130">
        <v>237.2</v>
      </c>
      <c r="F130">
        <v>4.7</v>
      </c>
      <c r="G130">
        <v>0.9</v>
      </c>
      <c r="H130">
        <f t="shared" si="3"/>
        <v>994.63903791086443</v>
      </c>
      <c r="I130">
        <f t="shared" si="4"/>
        <v>2637.2890379108644</v>
      </c>
      <c r="J130">
        <f>SUMIFS(Transit_Clean[Quantity], Transit_Clean[Destination], A130, Transit_Clean[Item_Code], B130, Transit_Clean[SAP_Status], "In Transit")</f>
        <v>423</v>
      </c>
      <c r="K130">
        <f t="shared" si="5"/>
        <v>12.254649499284692</v>
      </c>
      <c r="L130" t="str" cm="1">
        <f t="array" ref="L130">_xlfn.IFS(C130&lt;0,"DATO INVALIDO", C130+J130&lt;I130,"PEDIR YA", C130&lt;I130,"EN CAMINO OK", TRUE,"SANO")</f>
        <v>SANO</v>
      </c>
    </row>
    <row r="131" spans="1:12" x14ac:dyDescent="0.45">
      <c r="A131" t="s">
        <v>1124</v>
      </c>
      <c r="B131" t="s">
        <v>1130</v>
      </c>
      <c r="C131">
        <v>2540</v>
      </c>
      <c r="D131">
        <v>292.3</v>
      </c>
      <c r="E131">
        <v>153.5</v>
      </c>
      <c r="F131">
        <v>0.9</v>
      </c>
      <c r="G131">
        <v>0.3</v>
      </c>
      <c r="H131">
        <f t="shared" ref="H131:H194" si="6">IFERROR(1.65*SQRT(F131*E131^2 + D131^2*G131^2), "")</f>
        <v>280.47845745217222</v>
      </c>
      <c r="I131">
        <f t="shared" ref="I131:I194" si="7">IFERROR(D131*F131 + H131, "")</f>
        <v>543.54845745217222</v>
      </c>
      <c r="J131">
        <f>SUMIFS(Transit_Clean[Quantity], Transit_Clean[Destination], A131, Transit_Clean[Item_Code], B131, Transit_Clean[SAP_Status], "In Transit")</f>
        <v>3872</v>
      </c>
      <c r="K131">
        <f t="shared" ref="K131:K194" si="8">IFERROR(C131/D131, "")</f>
        <v>8.689702360588436</v>
      </c>
      <c r="L131" t="str" cm="1">
        <f t="array" ref="L131">_xlfn.IFS(C131&lt;0,"DATO INVALIDO", C131+J131&lt;I131,"PEDIR YA", C131&lt;I131,"EN CAMINO OK", TRUE,"SANO")</f>
        <v>SANO</v>
      </c>
    </row>
    <row r="132" spans="1:12" x14ac:dyDescent="0.45">
      <c r="A132" t="s">
        <v>1117</v>
      </c>
      <c r="B132" t="s">
        <v>40</v>
      </c>
      <c r="C132">
        <v>5250</v>
      </c>
      <c r="D132">
        <v>316.8</v>
      </c>
      <c r="E132">
        <v>33.9</v>
      </c>
      <c r="F132">
        <v>1.7</v>
      </c>
      <c r="G132">
        <v>0.5</v>
      </c>
      <c r="H132">
        <f t="shared" si="6"/>
        <v>271.34457942347029</v>
      </c>
      <c r="I132">
        <f t="shared" si="7"/>
        <v>809.9045794234703</v>
      </c>
      <c r="J132">
        <f>SUMIFS(Transit_Clean[Quantity], Transit_Clean[Destination], A132, Transit_Clean[Item_Code], B132, Transit_Clean[SAP_Status], "In Transit")</f>
        <v>1539</v>
      </c>
      <c r="K132">
        <f t="shared" si="8"/>
        <v>16.571969696969695</v>
      </c>
      <c r="L132" t="str" cm="1">
        <f t="array" ref="L132">_xlfn.IFS(C132&lt;0,"DATO INVALIDO", C132+J132&lt;I132,"PEDIR YA", C132&lt;I132,"EN CAMINO OK", TRUE,"SANO")</f>
        <v>SANO</v>
      </c>
    </row>
    <row r="133" spans="1:12" x14ac:dyDescent="0.45">
      <c r="A133" t="s">
        <v>1126</v>
      </c>
      <c r="B133" t="s">
        <v>1135</v>
      </c>
      <c r="C133">
        <v>9128</v>
      </c>
      <c r="D133">
        <v>529.6</v>
      </c>
      <c r="E133">
        <v>53.1</v>
      </c>
      <c r="F133">
        <v>1.1000000000000001</v>
      </c>
      <c r="G133">
        <v>0.2</v>
      </c>
      <c r="H133">
        <f t="shared" si="6"/>
        <v>197.45349040090429</v>
      </c>
      <c r="I133">
        <f t="shared" si="7"/>
        <v>780.0134904009044</v>
      </c>
      <c r="J133">
        <f>SUMIFS(Transit_Clean[Quantity], Transit_Clean[Destination], A133, Transit_Clean[Item_Code], B133, Transit_Clean[SAP_Status], "In Transit")</f>
        <v>3174</v>
      </c>
      <c r="K133">
        <f t="shared" si="8"/>
        <v>17.235649546827794</v>
      </c>
      <c r="L133" t="str" cm="1">
        <f t="array" ref="L133">_xlfn.IFS(C133&lt;0,"DATO INVALIDO", C133+J133&lt;I133,"PEDIR YA", C133&lt;I133,"EN CAMINO OK", TRUE,"SANO")</f>
        <v>SANO</v>
      </c>
    </row>
    <row r="134" spans="1:12" x14ac:dyDescent="0.45">
      <c r="A134" t="s">
        <v>1126</v>
      </c>
      <c r="B134" t="s">
        <v>51</v>
      </c>
      <c r="C134">
        <v>1239</v>
      </c>
      <c r="D134">
        <v>779.6</v>
      </c>
      <c r="E134">
        <v>199.8</v>
      </c>
      <c r="F134">
        <v>1</v>
      </c>
      <c r="G134">
        <v>0.2</v>
      </c>
      <c r="H134">
        <f t="shared" si="6"/>
        <v>418.17356770125969</v>
      </c>
      <c r="I134">
        <f t="shared" si="7"/>
        <v>1197.7735677012597</v>
      </c>
      <c r="J134">
        <f>SUMIFS(Transit_Clean[Quantity], Transit_Clean[Destination], A134, Transit_Clean[Item_Code], B134, Transit_Clean[SAP_Status], "In Transit")</f>
        <v>0</v>
      </c>
      <c r="K134">
        <f t="shared" si="8"/>
        <v>1.5892765520779886</v>
      </c>
      <c r="L134" t="str" cm="1">
        <f t="array" ref="L134">_xlfn.IFS(C134&lt;0,"DATO INVALIDO", C134+J134&lt;I134,"PEDIR YA", C134&lt;I134,"EN CAMINO OK", TRUE,"SANO")</f>
        <v>SANO</v>
      </c>
    </row>
    <row r="135" spans="1:12" x14ac:dyDescent="0.45">
      <c r="A135" t="s">
        <v>1118</v>
      </c>
      <c r="B135" t="s">
        <v>1138</v>
      </c>
      <c r="C135">
        <v>5726</v>
      </c>
      <c r="D135">
        <v>698.1</v>
      </c>
      <c r="E135">
        <v>144.19999999999999</v>
      </c>
      <c r="F135">
        <v>4.9000000000000004</v>
      </c>
      <c r="G135">
        <v>1.5</v>
      </c>
      <c r="H135">
        <f t="shared" si="6"/>
        <v>1806.2880603647495</v>
      </c>
      <c r="I135">
        <f t="shared" si="7"/>
        <v>5226.9780603647505</v>
      </c>
      <c r="J135">
        <f>SUMIFS(Transit_Clean[Quantity], Transit_Clean[Destination], A135, Transit_Clean[Item_Code], B135, Transit_Clean[SAP_Status], "In Transit")</f>
        <v>429</v>
      </c>
      <c r="K135">
        <f t="shared" si="8"/>
        <v>8.202263286062168</v>
      </c>
      <c r="L135" t="str" cm="1">
        <f t="array" ref="L135">_xlfn.IFS(C135&lt;0,"DATO INVALIDO", C135+J135&lt;I135,"PEDIR YA", C135&lt;I135,"EN CAMINO OK", TRUE,"SANO")</f>
        <v>SANO</v>
      </c>
    </row>
    <row r="136" spans="1:12" x14ac:dyDescent="0.45">
      <c r="A136" t="s">
        <v>1114</v>
      </c>
      <c r="B136" t="s">
        <v>40</v>
      </c>
      <c r="C136">
        <v>5541</v>
      </c>
      <c r="D136">
        <v>370.2</v>
      </c>
      <c r="E136">
        <v>34.5</v>
      </c>
      <c r="F136">
        <v>8.1999999999999993</v>
      </c>
      <c r="G136">
        <v>1.3</v>
      </c>
      <c r="H136">
        <f t="shared" si="6"/>
        <v>810.63752341351665</v>
      </c>
      <c r="I136">
        <f t="shared" si="7"/>
        <v>3846.2775234135161</v>
      </c>
      <c r="J136">
        <f>SUMIFS(Transit_Clean[Quantity], Transit_Clean[Destination], A136, Transit_Clean[Item_Code], B136, Transit_Clean[SAP_Status], "In Transit")</f>
        <v>0</v>
      </c>
      <c r="K136">
        <f t="shared" si="8"/>
        <v>14.967585089141005</v>
      </c>
      <c r="L136" t="str" cm="1">
        <f t="array" ref="L136">_xlfn.IFS(C136&lt;0,"DATO INVALIDO", C136+J136&lt;I136,"PEDIR YA", C136&lt;I136,"EN CAMINO OK", TRUE,"SANO")</f>
        <v>SANO</v>
      </c>
    </row>
    <row r="137" spans="1:12" x14ac:dyDescent="0.45">
      <c r="A137" t="s">
        <v>1116</v>
      </c>
      <c r="B137" t="s">
        <v>1130</v>
      </c>
      <c r="C137">
        <v>1595</v>
      </c>
      <c r="D137">
        <v>94</v>
      </c>
      <c r="E137">
        <v>37.799999999999997</v>
      </c>
      <c r="F137">
        <v>4.3</v>
      </c>
      <c r="G137">
        <v>1.6</v>
      </c>
      <c r="H137">
        <f t="shared" si="6"/>
        <v>279.84005837263538</v>
      </c>
      <c r="I137">
        <f t="shared" si="7"/>
        <v>684.04005837263537</v>
      </c>
      <c r="J137">
        <f>SUMIFS(Transit_Clean[Quantity], Transit_Clean[Destination], A137, Transit_Clean[Item_Code], B137, Transit_Clean[SAP_Status], "In Transit")</f>
        <v>1541</v>
      </c>
      <c r="K137">
        <f t="shared" si="8"/>
        <v>16.968085106382979</v>
      </c>
      <c r="L137" t="str" cm="1">
        <f t="array" ref="L137">_xlfn.IFS(C137&lt;0,"DATO INVALIDO", C137+J137&lt;I137,"PEDIR YA", C137&lt;I137,"EN CAMINO OK", TRUE,"SANO")</f>
        <v>SANO</v>
      </c>
    </row>
    <row r="138" spans="1:12" x14ac:dyDescent="0.45">
      <c r="A138" t="s">
        <v>1122</v>
      </c>
      <c r="B138" t="s">
        <v>1137</v>
      </c>
      <c r="C138">
        <v>2078</v>
      </c>
      <c r="D138">
        <v>233.1</v>
      </c>
      <c r="E138">
        <v>24.7</v>
      </c>
      <c r="F138">
        <v>1.2</v>
      </c>
      <c r="G138">
        <v>0.2</v>
      </c>
      <c r="H138">
        <f t="shared" si="6"/>
        <v>88.939934556980646</v>
      </c>
      <c r="I138">
        <f t="shared" si="7"/>
        <v>368.6599345569806</v>
      </c>
      <c r="J138">
        <f>SUMIFS(Transit_Clean[Quantity], Transit_Clean[Destination], A138, Transit_Clean[Item_Code], B138, Transit_Clean[SAP_Status], "In Transit")</f>
        <v>1889</v>
      </c>
      <c r="K138">
        <f t="shared" si="8"/>
        <v>8.9146289146289153</v>
      </c>
      <c r="L138" t="str" cm="1">
        <f t="array" ref="L138">_xlfn.IFS(C138&lt;0,"DATO INVALIDO", C138+J138&lt;I138,"PEDIR YA", C138&lt;I138,"EN CAMINO OK", TRUE,"SANO")</f>
        <v>SANO</v>
      </c>
    </row>
    <row r="139" spans="1:12" x14ac:dyDescent="0.45">
      <c r="A139" t="s">
        <v>1122</v>
      </c>
      <c r="B139" t="s">
        <v>99</v>
      </c>
      <c r="C139">
        <v>12184</v>
      </c>
      <c r="D139">
        <v>882.5</v>
      </c>
      <c r="E139">
        <v>158.9</v>
      </c>
      <c r="F139">
        <v>1.3</v>
      </c>
      <c r="G139">
        <v>0.2</v>
      </c>
      <c r="H139">
        <f t="shared" si="6"/>
        <v>417.3431047920883</v>
      </c>
      <c r="I139">
        <f t="shared" si="7"/>
        <v>1564.5931047920883</v>
      </c>
      <c r="J139">
        <f>SUMIFS(Transit_Clean[Quantity], Transit_Clean[Destination], A139, Transit_Clean[Item_Code], B139, Transit_Clean[SAP_Status], "In Transit")</f>
        <v>0</v>
      </c>
      <c r="K139">
        <f t="shared" si="8"/>
        <v>13.806232294617564</v>
      </c>
      <c r="L139" t="str" cm="1">
        <f t="array" ref="L139">_xlfn.IFS(C139&lt;0,"DATO INVALIDO", C139+J139&lt;I139,"PEDIR YA", C139&lt;I139,"EN CAMINO OK", TRUE,"SANO")</f>
        <v>SANO</v>
      </c>
    </row>
    <row r="140" spans="1:12" x14ac:dyDescent="0.45">
      <c r="A140" t="s">
        <v>1124</v>
      </c>
      <c r="B140" t="s">
        <v>97</v>
      </c>
      <c r="C140">
        <v>5692</v>
      </c>
      <c r="D140">
        <v>686.7</v>
      </c>
      <c r="E140">
        <v>292</v>
      </c>
      <c r="F140">
        <v>0.9</v>
      </c>
      <c r="G140">
        <v>0.3</v>
      </c>
      <c r="H140">
        <f t="shared" si="6"/>
        <v>569.61508316779145</v>
      </c>
      <c r="I140">
        <f t="shared" si="7"/>
        <v>1187.6450831677917</v>
      </c>
      <c r="J140">
        <f>SUMIFS(Transit_Clean[Quantity], Transit_Clean[Destination], A140, Transit_Clean[Item_Code], B140, Transit_Clean[SAP_Status], "In Transit")</f>
        <v>2370</v>
      </c>
      <c r="K140">
        <f t="shared" si="8"/>
        <v>8.2889180136886562</v>
      </c>
      <c r="L140" t="str" cm="1">
        <f t="array" ref="L140">_xlfn.IFS(C140&lt;0,"DATO INVALIDO", C140+J140&lt;I140,"PEDIR YA", C140&lt;I140,"EN CAMINO OK", TRUE,"SANO")</f>
        <v>SANO</v>
      </c>
    </row>
    <row r="141" spans="1:12" x14ac:dyDescent="0.45">
      <c r="A141" t="s">
        <v>1124</v>
      </c>
      <c r="B141" t="s">
        <v>29</v>
      </c>
      <c r="C141">
        <v>3101</v>
      </c>
      <c r="D141">
        <v>374.9</v>
      </c>
      <c r="E141">
        <v>101.3</v>
      </c>
      <c r="F141">
        <v>0.7</v>
      </c>
      <c r="G141">
        <v>0.3</v>
      </c>
      <c r="H141">
        <f t="shared" si="6"/>
        <v>232.36712744652584</v>
      </c>
      <c r="I141">
        <f t="shared" si="7"/>
        <v>494.79712744652579</v>
      </c>
      <c r="J141">
        <f>SUMIFS(Transit_Clean[Quantity], Transit_Clean[Destination], A141, Transit_Clean[Item_Code], B141, Transit_Clean[SAP_Status], "In Transit")</f>
        <v>3969</v>
      </c>
      <c r="K141">
        <f t="shared" si="8"/>
        <v>8.2715390770872244</v>
      </c>
      <c r="L141" t="str" cm="1">
        <f t="array" ref="L141">_xlfn.IFS(C141&lt;0,"DATO INVALIDO", C141+J141&lt;I141,"PEDIR YA", C141&lt;I141,"EN CAMINO OK", TRUE,"SANO")</f>
        <v>SANO</v>
      </c>
    </row>
    <row r="142" spans="1:12" x14ac:dyDescent="0.45">
      <c r="A142" t="s">
        <v>1118</v>
      </c>
      <c r="B142" t="s">
        <v>68</v>
      </c>
      <c r="C142">
        <v>4512</v>
      </c>
      <c r="D142">
        <v>406.2</v>
      </c>
      <c r="E142">
        <v>60.5</v>
      </c>
      <c r="F142">
        <v>5.4</v>
      </c>
      <c r="G142">
        <v>1.5</v>
      </c>
      <c r="H142">
        <f t="shared" si="6"/>
        <v>1031.760502442306</v>
      </c>
      <c r="I142">
        <f t="shared" si="7"/>
        <v>3225.240502442306</v>
      </c>
      <c r="J142">
        <f>SUMIFS(Transit_Clean[Quantity], Transit_Clean[Destination], A142, Transit_Clean[Item_Code], B142, Transit_Clean[SAP_Status], "In Transit")</f>
        <v>1063</v>
      </c>
      <c r="K142">
        <f t="shared" si="8"/>
        <v>11.107828655834565</v>
      </c>
      <c r="L142" t="str" cm="1">
        <f t="array" ref="L142">_xlfn.IFS(C142&lt;0,"DATO INVALIDO", C142+J142&lt;I142,"PEDIR YA", C142&lt;I142,"EN CAMINO OK", TRUE,"SANO")</f>
        <v>SANO</v>
      </c>
    </row>
    <row r="143" spans="1:12" x14ac:dyDescent="0.45">
      <c r="A143" t="s">
        <v>1118</v>
      </c>
      <c r="B143" t="s">
        <v>1133</v>
      </c>
      <c r="C143">
        <v>6484</v>
      </c>
      <c r="D143">
        <v>835.6</v>
      </c>
      <c r="E143">
        <v>131.4</v>
      </c>
      <c r="F143">
        <v>6.6</v>
      </c>
      <c r="G143">
        <v>1.5</v>
      </c>
      <c r="H143">
        <f t="shared" si="6"/>
        <v>2141.8035330907455</v>
      </c>
      <c r="I143">
        <f t="shared" si="7"/>
        <v>7656.7635330907451</v>
      </c>
      <c r="J143">
        <f>SUMIFS(Transit_Clean[Quantity], Transit_Clean[Destination], A143, Transit_Clean[Item_Code], B143, Transit_Clean[SAP_Status], "In Transit")</f>
        <v>0</v>
      </c>
      <c r="K143">
        <f t="shared" si="8"/>
        <v>7.7596936333173767</v>
      </c>
      <c r="L143" t="str" cm="1">
        <f t="array" ref="L143">_xlfn.IFS(C143&lt;0,"DATO INVALIDO", C143+J143&lt;I143,"PEDIR YA", C143&lt;I143,"EN CAMINO OK", TRUE,"SANO")</f>
        <v>PEDIR YA</v>
      </c>
    </row>
    <row r="144" spans="1:12" x14ac:dyDescent="0.45">
      <c r="A144" t="s">
        <v>1122</v>
      </c>
      <c r="B144" t="s">
        <v>56</v>
      </c>
      <c r="C144">
        <v>5075</v>
      </c>
      <c r="D144">
        <v>315.10000000000002</v>
      </c>
      <c r="E144">
        <v>50.6</v>
      </c>
      <c r="F144">
        <v>1.1000000000000001</v>
      </c>
      <c r="G144">
        <v>0.2</v>
      </c>
      <c r="H144">
        <f t="shared" si="6"/>
        <v>135.9415403730589</v>
      </c>
      <c r="I144">
        <f t="shared" si="7"/>
        <v>482.55154037305897</v>
      </c>
      <c r="J144">
        <f>SUMIFS(Transit_Clean[Quantity], Transit_Clean[Destination], A144, Transit_Clean[Item_Code], B144, Transit_Clean[SAP_Status], "In Transit")</f>
        <v>0</v>
      </c>
      <c r="K144">
        <f t="shared" si="8"/>
        <v>16.105998095842587</v>
      </c>
      <c r="L144" t="str" cm="1">
        <f t="array" ref="L144">_xlfn.IFS(C144&lt;0,"DATO INVALIDO", C144+J144&lt;I144,"PEDIR YA", C144&lt;I144,"EN CAMINO OK", TRUE,"SANO")</f>
        <v>SANO</v>
      </c>
    </row>
    <row r="145" spans="1:12" x14ac:dyDescent="0.45">
      <c r="A145" t="s">
        <v>1124</v>
      </c>
      <c r="B145" t="s">
        <v>1140</v>
      </c>
      <c r="C145">
        <v>1395</v>
      </c>
      <c r="D145">
        <v>355.5</v>
      </c>
      <c r="E145">
        <v>43.5</v>
      </c>
      <c r="F145">
        <v>1.4</v>
      </c>
      <c r="G145">
        <v>0.3</v>
      </c>
      <c r="H145">
        <f t="shared" si="6"/>
        <v>195.39353016732667</v>
      </c>
      <c r="I145">
        <f t="shared" si="7"/>
        <v>693.09353016732666</v>
      </c>
      <c r="J145">
        <f>SUMIFS(Transit_Clean[Quantity], Transit_Clean[Destination], A145, Transit_Clean[Item_Code], B145, Transit_Clean[SAP_Status], "In Transit")</f>
        <v>0</v>
      </c>
      <c r="K145">
        <f t="shared" si="8"/>
        <v>3.9240506329113924</v>
      </c>
      <c r="L145" t="str" cm="1">
        <f t="array" ref="L145">_xlfn.IFS(C145&lt;0,"DATO INVALIDO", C145+J145&lt;I145,"PEDIR YA", C145&lt;I145,"EN CAMINO OK", TRUE,"SANO")</f>
        <v>SANO</v>
      </c>
    </row>
    <row r="146" spans="1:12" x14ac:dyDescent="0.45">
      <c r="A146" t="s">
        <v>1117</v>
      </c>
      <c r="B146" t="s">
        <v>102</v>
      </c>
      <c r="C146">
        <v>2170</v>
      </c>
      <c r="D146">
        <v>277.89999999999998</v>
      </c>
      <c r="E146">
        <v>38.700000000000003</v>
      </c>
      <c r="F146">
        <v>2.2000000000000002</v>
      </c>
      <c r="G146">
        <v>0.5</v>
      </c>
      <c r="H146">
        <f t="shared" si="6"/>
        <v>248.0604781323498</v>
      </c>
      <c r="I146">
        <f t="shared" si="7"/>
        <v>859.44047813234977</v>
      </c>
      <c r="J146">
        <f>SUMIFS(Transit_Clean[Quantity], Transit_Clean[Destination], A146, Transit_Clean[Item_Code], B146, Transit_Clean[SAP_Status], "In Transit")</f>
        <v>2027</v>
      </c>
      <c r="K146">
        <f t="shared" si="8"/>
        <v>7.8085642317380355</v>
      </c>
      <c r="L146" t="str" cm="1">
        <f t="array" ref="L146">_xlfn.IFS(C146&lt;0,"DATO INVALIDO", C146+J146&lt;I146,"PEDIR YA", C146&lt;I146,"EN CAMINO OK", TRUE,"SANO")</f>
        <v>SANO</v>
      </c>
    </row>
    <row r="147" spans="1:12" x14ac:dyDescent="0.45">
      <c r="A147" t="s">
        <v>1117</v>
      </c>
      <c r="B147" t="s">
        <v>60</v>
      </c>
      <c r="C147">
        <v>2986</v>
      </c>
      <c r="D147">
        <v>785.7</v>
      </c>
      <c r="E147">
        <v>160.6</v>
      </c>
      <c r="F147">
        <v>2.2000000000000002</v>
      </c>
      <c r="G147">
        <v>0.5</v>
      </c>
      <c r="H147">
        <f t="shared" si="6"/>
        <v>758.05660819377476</v>
      </c>
      <c r="I147">
        <f t="shared" si="7"/>
        <v>2486.596608193775</v>
      </c>
      <c r="J147">
        <f>SUMIFS(Transit_Clean[Quantity], Transit_Clean[Destination], A147, Transit_Clean[Item_Code], B147, Transit_Clean[SAP_Status], "In Transit")</f>
        <v>1371</v>
      </c>
      <c r="K147">
        <f t="shared" si="8"/>
        <v>3.8004327351406388</v>
      </c>
      <c r="L147" t="str" cm="1">
        <f t="array" ref="L147">_xlfn.IFS(C147&lt;0,"DATO INVALIDO", C147+J147&lt;I147,"PEDIR YA", C147&lt;I147,"EN CAMINO OK", TRUE,"SANO")</f>
        <v>SANO</v>
      </c>
    </row>
    <row r="148" spans="1:12" x14ac:dyDescent="0.45">
      <c r="A148" t="s">
        <v>1123</v>
      </c>
      <c r="B148" t="s">
        <v>5</v>
      </c>
      <c r="C148">
        <v>3188</v>
      </c>
      <c r="D148">
        <v>270.89999999999998</v>
      </c>
      <c r="E148">
        <v>31.3</v>
      </c>
      <c r="F148">
        <v>0.9</v>
      </c>
      <c r="G148">
        <v>0.3</v>
      </c>
      <c r="H148">
        <f t="shared" si="6"/>
        <v>142.76585215922606</v>
      </c>
      <c r="I148">
        <f t="shared" si="7"/>
        <v>386.57585215922603</v>
      </c>
      <c r="J148">
        <f>SUMIFS(Transit_Clean[Quantity], Transit_Clean[Destination], A148, Transit_Clean[Item_Code], B148, Transit_Clean[SAP_Status], "In Transit")</f>
        <v>2068</v>
      </c>
      <c r="K148">
        <f t="shared" si="8"/>
        <v>11.768180140273165</v>
      </c>
      <c r="L148" t="str" cm="1">
        <f t="array" ref="L148">_xlfn.IFS(C148&lt;0,"DATO INVALIDO", C148+J148&lt;I148,"PEDIR YA", C148&lt;I148,"EN CAMINO OK", TRUE,"SANO")</f>
        <v>SANO</v>
      </c>
    </row>
    <row r="149" spans="1:12" x14ac:dyDescent="0.45">
      <c r="A149" t="s">
        <v>1125</v>
      </c>
      <c r="B149" t="s">
        <v>83</v>
      </c>
      <c r="C149">
        <v>5634</v>
      </c>
      <c r="D149">
        <v>742.2</v>
      </c>
      <c r="E149">
        <v>179.1</v>
      </c>
      <c r="F149">
        <v>4.7</v>
      </c>
      <c r="G149">
        <v>1.2</v>
      </c>
      <c r="H149">
        <f t="shared" si="6"/>
        <v>1603.1349533627854</v>
      </c>
      <c r="I149">
        <f t="shared" si="7"/>
        <v>5091.4749533627855</v>
      </c>
      <c r="J149">
        <f>SUMIFS(Transit_Clean[Quantity], Transit_Clean[Destination], A149, Transit_Clean[Item_Code], B149, Transit_Clean[SAP_Status], "In Transit")</f>
        <v>3214</v>
      </c>
      <c r="K149">
        <f t="shared" si="8"/>
        <v>7.5909458367016969</v>
      </c>
      <c r="L149" t="str" cm="1">
        <f t="array" ref="L149">_xlfn.IFS(C149&lt;0,"DATO INVALIDO", C149+J149&lt;I149,"PEDIR YA", C149&lt;I149,"EN CAMINO OK", TRUE,"SANO")</f>
        <v>SANO</v>
      </c>
    </row>
    <row r="150" spans="1:12" x14ac:dyDescent="0.45">
      <c r="A150" t="s">
        <v>1125</v>
      </c>
      <c r="B150" t="s">
        <v>24</v>
      </c>
      <c r="C150">
        <v>3885</v>
      </c>
      <c r="D150">
        <v>630.5</v>
      </c>
      <c r="E150">
        <v>134.19999999999999</v>
      </c>
      <c r="F150">
        <v>4.0999999999999996</v>
      </c>
      <c r="G150">
        <v>1.2</v>
      </c>
      <c r="H150">
        <f t="shared" si="6"/>
        <v>1326.4636053017057</v>
      </c>
      <c r="I150">
        <f t="shared" si="7"/>
        <v>3911.5136053017054</v>
      </c>
      <c r="J150">
        <f>SUMIFS(Transit_Clean[Quantity], Transit_Clean[Destination], A150, Transit_Clean[Item_Code], B150, Transit_Clean[SAP_Status], "In Transit")</f>
        <v>0</v>
      </c>
      <c r="K150">
        <f t="shared" si="8"/>
        <v>6.1617763679619353</v>
      </c>
      <c r="L150" t="str" cm="1">
        <f t="array" ref="L150">_xlfn.IFS(C150&lt;0,"DATO INVALIDO", C150+J150&lt;I150,"PEDIR YA", C150&lt;I150,"EN CAMINO OK", TRUE,"SANO")</f>
        <v>PEDIR YA</v>
      </c>
    </row>
    <row r="151" spans="1:12" x14ac:dyDescent="0.45">
      <c r="A151" t="s">
        <v>1125</v>
      </c>
      <c r="B151" t="s">
        <v>72</v>
      </c>
      <c r="C151">
        <v>3259</v>
      </c>
      <c r="D151">
        <v>547.70000000000005</v>
      </c>
      <c r="E151">
        <v>107.2</v>
      </c>
      <c r="F151">
        <v>2.8</v>
      </c>
      <c r="G151">
        <v>1.2</v>
      </c>
      <c r="H151">
        <f t="shared" si="6"/>
        <v>1124.1109479210672</v>
      </c>
      <c r="I151">
        <f t="shared" si="7"/>
        <v>2657.6709479210672</v>
      </c>
      <c r="J151">
        <f>SUMIFS(Transit_Clean[Quantity], Transit_Clean[Destination], A151, Transit_Clean[Item_Code], B151, Transit_Clean[SAP_Status], "In Transit")</f>
        <v>0</v>
      </c>
      <c r="K151">
        <f t="shared" si="8"/>
        <v>5.9503377761548286</v>
      </c>
      <c r="L151" t="str" cm="1">
        <f t="array" ref="L151">_xlfn.IFS(C151&lt;0,"DATO INVALIDO", C151+J151&lt;I151,"PEDIR YA", C151&lt;I151,"EN CAMINO OK", TRUE,"SANO")</f>
        <v>SANO</v>
      </c>
    </row>
    <row r="152" spans="1:12" x14ac:dyDescent="0.45">
      <c r="A152" t="s">
        <v>1128</v>
      </c>
      <c r="B152" t="s">
        <v>1138</v>
      </c>
      <c r="C152">
        <v>3623</v>
      </c>
      <c r="D152">
        <v>301.60000000000002</v>
      </c>
      <c r="E152">
        <v>69.599999999999994</v>
      </c>
      <c r="F152">
        <v>1.7</v>
      </c>
      <c r="G152">
        <v>0.5</v>
      </c>
      <c r="H152">
        <f t="shared" si="6"/>
        <v>290.39864999686205</v>
      </c>
      <c r="I152">
        <f t="shared" si="7"/>
        <v>803.11864999686213</v>
      </c>
      <c r="J152">
        <f>SUMIFS(Transit_Clean[Quantity], Transit_Clean[Destination], A152, Transit_Clean[Item_Code], B152, Transit_Clean[SAP_Status], "In Transit")</f>
        <v>2852</v>
      </c>
      <c r="K152">
        <f t="shared" si="8"/>
        <v>12.012599469496021</v>
      </c>
      <c r="L152" t="str" cm="1">
        <f t="array" ref="L152">_xlfn.IFS(C152&lt;0,"DATO INVALIDO", C152+J152&lt;I152,"PEDIR YA", C152&lt;I152,"EN CAMINO OK", TRUE,"SANO")</f>
        <v>SANO</v>
      </c>
    </row>
    <row r="153" spans="1:12" x14ac:dyDescent="0.45">
      <c r="A153" t="s">
        <v>1117</v>
      </c>
      <c r="B153" t="s">
        <v>51</v>
      </c>
      <c r="C153">
        <v>625</v>
      </c>
      <c r="D153">
        <v>762.3</v>
      </c>
      <c r="E153">
        <v>200.6</v>
      </c>
      <c r="F153">
        <v>2.8</v>
      </c>
      <c r="G153">
        <v>0.5</v>
      </c>
      <c r="H153">
        <f t="shared" si="6"/>
        <v>838.01212985627478</v>
      </c>
      <c r="I153">
        <f t="shared" si="7"/>
        <v>2972.4521298562745</v>
      </c>
      <c r="J153">
        <f>SUMIFS(Transit_Clean[Quantity], Transit_Clean[Destination], A153, Transit_Clean[Item_Code], B153, Transit_Clean[SAP_Status], "In Transit")</f>
        <v>0</v>
      </c>
      <c r="K153">
        <f t="shared" si="8"/>
        <v>0.81988718352354717</v>
      </c>
      <c r="L153" t="str" cm="1">
        <f t="array" ref="L153">_xlfn.IFS(C153&lt;0,"DATO INVALIDO", C153+J153&lt;I153,"PEDIR YA", C153&lt;I153,"EN CAMINO OK", TRUE,"SANO")</f>
        <v>PEDIR YA</v>
      </c>
    </row>
    <row r="154" spans="1:12" x14ac:dyDescent="0.45">
      <c r="A154" t="s">
        <v>1118</v>
      </c>
      <c r="B154" t="s">
        <v>1141</v>
      </c>
      <c r="C154">
        <v>829</v>
      </c>
      <c r="D154">
        <v>155.1</v>
      </c>
      <c r="E154">
        <v>17.2</v>
      </c>
      <c r="F154">
        <v>2.2000000000000002</v>
      </c>
      <c r="G154">
        <v>1.5</v>
      </c>
      <c r="H154">
        <f t="shared" si="6"/>
        <v>386.17357488084292</v>
      </c>
      <c r="I154">
        <f t="shared" si="7"/>
        <v>727.39357488084295</v>
      </c>
      <c r="J154">
        <f>SUMIFS(Transit_Clean[Quantity], Transit_Clean[Destination], A154, Transit_Clean[Item_Code], B154, Transit_Clean[SAP_Status], "In Transit")</f>
        <v>722</v>
      </c>
      <c r="K154">
        <f t="shared" si="8"/>
        <v>5.3449387491940685</v>
      </c>
      <c r="L154" t="str" cm="1">
        <f t="array" ref="L154">_xlfn.IFS(C154&lt;0,"DATO INVALIDO", C154+J154&lt;I154,"PEDIR YA", C154&lt;I154,"EN CAMINO OK", TRUE,"SANO")</f>
        <v>SANO</v>
      </c>
    </row>
    <row r="155" spans="1:12" x14ac:dyDescent="0.45">
      <c r="A155" t="s">
        <v>1122</v>
      </c>
      <c r="B155" t="s">
        <v>1133</v>
      </c>
      <c r="C155">
        <v>1635</v>
      </c>
      <c r="D155">
        <v>695.8</v>
      </c>
      <c r="E155">
        <v>150.69999999999999</v>
      </c>
      <c r="F155">
        <v>1</v>
      </c>
      <c r="G155">
        <v>0.2</v>
      </c>
      <c r="H155">
        <f t="shared" si="6"/>
        <v>338.45516397449154</v>
      </c>
      <c r="I155">
        <f t="shared" si="7"/>
        <v>1034.2551639744916</v>
      </c>
      <c r="J155">
        <f>SUMIFS(Transit_Clean[Quantity], Transit_Clean[Destination], A155, Transit_Clean[Item_Code], B155, Transit_Clean[SAP_Status], "In Transit")</f>
        <v>2351</v>
      </c>
      <c r="K155">
        <f t="shared" si="8"/>
        <v>2.3498131647025007</v>
      </c>
      <c r="L155" t="str" cm="1">
        <f t="array" ref="L155">_xlfn.IFS(C155&lt;0,"DATO INVALIDO", C155+J155&lt;I155,"PEDIR YA", C155&lt;I155,"EN CAMINO OK", TRUE,"SANO")</f>
        <v>SANO</v>
      </c>
    </row>
    <row r="156" spans="1:12" x14ac:dyDescent="0.45">
      <c r="A156" t="s">
        <v>1115</v>
      </c>
      <c r="B156" t="s">
        <v>107</v>
      </c>
      <c r="C156">
        <v>8096</v>
      </c>
      <c r="D156">
        <v>807.8</v>
      </c>
      <c r="E156">
        <v>374.1</v>
      </c>
      <c r="F156">
        <v>2.1</v>
      </c>
      <c r="G156">
        <v>0.6</v>
      </c>
      <c r="H156">
        <f t="shared" si="6"/>
        <v>1199.8704287365781</v>
      </c>
      <c r="I156">
        <f t="shared" si="7"/>
        <v>2896.2504287365782</v>
      </c>
      <c r="J156">
        <f>SUMIFS(Transit_Clean[Quantity], Transit_Clean[Destination], A156, Transit_Clean[Item_Code], B156, Transit_Clean[SAP_Status], "In Transit")</f>
        <v>2521</v>
      </c>
      <c r="K156">
        <f t="shared" si="8"/>
        <v>10.022282743253282</v>
      </c>
      <c r="L156" t="str" cm="1">
        <f t="array" ref="L156">_xlfn.IFS(C156&lt;0,"DATO INVALIDO", C156+J156&lt;I156,"PEDIR YA", C156&lt;I156,"EN CAMINO OK", TRUE,"SANO")</f>
        <v>SANO</v>
      </c>
    </row>
    <row r="157" spans="1:12" x14ac:dyDescent="0.45">
      <c r="A157" t="s">
        <v>1125</v>
      </c>
      <c r="B157" t="s">
        <v>60</v>
      </c>
      <c r="C157">
        <v>10512</v>
      </c>
      <c r="D157">
        <v>951.8</v>
      </c>
      <c r="E157">
        <v>179.4</v>
      </c>
      <c r="F157">
        <v>2.7</v>
      </c>
      <c r="G157">
        <v>1.2</v>
      </c>
      <c r="H157">
        <f t="shared" si="6"/>
        <v>1946.3197718684357</v>
      </c>
      <c r="I157">
        <f t="shared" si="7"/>
        <v>4516.1797718684356</v>
      </c>
      <c r="J157">
        <f>SUMIFS(Transit_Clean[Quantity], Transit_Clean[Destination], A157, Transit_Clean[Item_Code], B157, Transit_Clean[SAP_Status], "In Transit")</f>
        <v>1307</v>
      </c>
      <c r="K157">
        <f t="shared" si="8"/>
        <v>11.044337045597816</v>
      </c>
      <c r="L157" t="str" cm="1">
        <f t="array" ref="L157">_xlfn.IFS(C157&lt;0,"DATO INVALIDO", C157+J157&lt;I157,"PEDIR YA", C157&lt;I157,"EN CAMINO OK", TRUE,"SANO")</f>
        <v>SANO</v>
      </c>
    </row>
    <row r="158" spans="1:12" x14ac:dyDescent="0.45">
      <c r="A158" t="s">
        <v>1125</v>
      </c>
      <c r="B158" t="s">
        <v>1140</v>
      </c>
      <c r="C158">
        <v>3639</v>
      </c>
      <c r="D158">
        <v>280.3</v>
      </c>
      <c r="E158">
        <v>27.5</v>
      </c>
      <c r="F158">
        <v>4.2</v>
      </c>
      <c r="G158">
        <v>1.2</v>
      </c>
      <c r="H158">
        <f t="shared" si="6"/>
        <v>562.73055778143066</v>
      </c>
      <c r="I158">
        <f t="shared" si="7"/>
        <v>1739.9905577814307</v>
      </c>
      <c r="J158">
        <f>SUMIFS(Transit_Clean[Quantity], Transit_Clean[Destination], A158, Transit_Clean[Item_Code], B158, Transit_Clean[SAP_Status], "In Transit")</f>
        <v>2449</v>
      </c>
      <c r="K158">
        <f t="shared" si="8"/>
        <v>12.982518729932215</v>
      </c>
      <c r="L158" t="str" cm="1">
        <f t="array" ref="L158">_xlfn.IFS(C158&lt;0,"DATO INVALIDO", C158+J158&lt;I158,"PEDIR YA", C158&lt;I158,"EN CAMINO OK", TRUE,"SANO")</f>
        <v>SANO</v>
      </c>
    </row>
    <row r="159" spans="1:12" x14ac:dyDescent="0.45">
      <c r="A159" t="s">
        <v>1119</v>
      </c>
      <c r="B159" t="s">
        <v>60</v>
      </c>
      <c r="C159">
        <v>8919</v>
      </c>
      <c r="D159">
        <v>661.2</v>
      </c>
      <c r="E159">
        <v>159.5</v>
      </c>
      <c r="F159">
        <v>3.7</v>
      </c>
      <c r="G159">
        <v>1</v>
      </c>
      <c r="H159">
        <f t="shared" si="6"/>
        <v>1202.7066802477236</v>
      </c>
      <c r="I159">
        <f t="shared" si="7"/>
        <v>3649.1466802477244</v>
      </c>
      <c r="J159">
        <f>SUMIFS(Transit_Clean[Quantity], Transit_Clean[Destination], A159, Transit_Clean[Item_Code], B159, Transit_Clean[SAP_Status], "In Transit")</f>
        <v>2328</v>
      </c>
      <c r="K159">
        <f t="shared" si="8"/>
        <v>13.489110707803992</v>
      </c>
      <c r="L159" t="str" cm="1">
        <f t="array" ref="L159">_xlfn.IFS(C159&lt;0,"DATO INVALIDO", C159+J159&lt;I159,"PEDIR YA", C159&lt;I159,"EN CAMINO OK", TRUE,"SANO")</f>
        <v>SANO</v>
      </c>
    </row>
    <row r="160" spans="1:12" x14ac:dyDescent="0.45">
      <c r="A160" t="s">
        <v>1121</v>
      </c>
      <c r="B160" t="s">
        <v>64</v>
      </c>
      <c r="C160">
        <v>6595</v>
      </c>
      <c r="D160">
        <v>370.6</v>
      </c>
      <c r="E160">
        <v>65.400000000000006</v>
      </c>
      <c r="F160">
        <v>1.8</v>
      </c>
      <c r="G160">
        <v>0.4</v>
      </c>
      <c r="H160">
        <f t="shared" si="6"/>
        <v>284.23128926281152</v>
      </c>
      <c r="I160">
        <f t="shared" si="7"/>
        <v>951.31128926281156</v>
      </c>
      <c r="J160">
        <f>SUMIFS(Transit_Clean[Quantity], Transit_Clean[Destination], A160, Transit_Clean[Item_Code], B160, Transit_Clean[SAP_Status], "In Transit")</f>
        <v>0</v>
      </c>
      <c r="K160">
        <f t="shared" si="8"/>
        <v>17.795466810577441</v>
      </c>
      <c r="L160" t="str" cm="1">
        <f t="array" ref="L160">_xlfn.IFS(C160&lt;0,"DATO INVALIDO", C160+J160&lt;I160,"PEDIR YA", C160&lt;I160,"EN CAMINO OK", TRUE,"SANO")</f>
        <v>SANO</v>
      </c>
    </row>
    <row r="161" spans="1:12" x14ac:dyDescent="0.45">
      <c r="A161" t="s">
        <v>1114</v>
      </c>
      <c r="B161" t="s">
        <v>89</v>
      </c>
      <c r="C161">
        <v>695</v>
      </c>
      <c r="D161">
        <v>252.7</v>
      </c>
      <c r="E161">
        <v>32.5</v>
      </c>
      <c r="F161">
        <v>3.7</v>
      </c>
      <c r="G161">
        <v>1.3</v>
      </c>
      <c r="H161">
        <f t="shared" si="6"/>
        <v>551.76884474818792</v>
      </c>
      <c r="I161">
        <f t="shared" si="7"/>
        <v>1486.758844748188</v>
      </c>
      <c r="J161">
        <f>SUMIFS(Transit_Clean[Quantity], Transit_Clean[Destination], A161, Transit_Clean[Item_Code], B161, Transit_Clean[SAP_Status], "In Transit")</f>
        <v>0</v>
      </c>
      <c r="K161">
        <f t="shared" si="8"/>
        <v>2.7502967946181243</v>
      </c>
      <c r="L161" t="str" cm="1">
        <f t="array" ref="L161">_xlfn.IFS(C161&lt;0,"DATO INVALIDO", C161+J161&lt;I161,"PEDIR YA", C161&lt;I161,"EN CAMINO OK", TRUE,"SANO")</f>
        <v>PEDIR YA</v>
      </c>
    </row>
    <row r="162" spans="1:12" x14ac:dyDescent="0.45">
      <c r="A162" t="s">
        <v>1120</v>
      </c>
      <c r="B162" t="s">
        <v>51</v>
      </c>
      <c r="C162">
        <v>7777</v>
      </c>
      <c r="D162">
        <v>608.70000000000005</v>
      </c>
      <c r="E162">
        <v>177.6</v>
      </c>
      <c r="F162">
        <v>2.1</v>
      </c>
      <c r="G162">
        <v>0.5</v>
      </c>
      <c r="H162">
        <f t="shared" si="6"/>
        <v>657.65824625427604</v>
      </c>
      <c r="I162">
        <f t="shared" si="7"/>
        <v>1935.9282462542762</v>
      </c>
      <c r="J162">
        <f>SUMIFS(Transit_Clean[Quantity], Transit_Clean[Destination], A162, Transit_Clean[Item_Code], B162, Transit_Clean[SAP_Status], "In Transit")</f>
        <v>3766</v>
      </c>
      <c r="K162">
        <f t="shared" si="8"/>
        <v>12.776408739937571</v>
      </c>
      <c r="L162" t="str" cm="1">
        <f t="array" ref="L162">_xlfn.IFS(C162&lt;0,"DATO INVALIDO", C162+J162&lt;I162,"PEDIR YA", C162&lt;I162,"EN CAMINO OK", TRUE,"SANO")</f>
        <v>SANO</v>
      </c>
    </row>
    <row r="163" spans="1:12" x14ac:dyDescent="0.45">
      <c r="A163" t="s">
        <v>1114</v>
      </c>
      <c r="B163" t="s">
        <v>24</v>
      </c>
      <c r="C163">
        <v>3842</v>
      </c>
      <c r="D163">
        <v>278.2</v>
      </c>
      <c r="E163">
        <v>50.7</v>
      </c>
      <c r="F163">
        <v>7.7</v>
      </c>
      <c r="G163">
        <v>1.3</v>
      </c>
      <c r="H163">
        <f t="shared" si="6"/>
        <v>640.29935078328788</v>
      </c>
      <c r="I163">
        <f t="shared" si="7"/>
        <v>2782.4393507832879</v>
      </c>
      <c r="J163">
        <f>SUMIFS(Transit_Clean[Quantity], Transit_Clean[Destination], A163, Transit_Clean[Item_Code], B163, Transit_Clean[SAP_Status], "In Transit")</f>
        <v>1914</v>
      </c>
      <c r="K163">
        <f t="shared" si="8"/>
        <v>13.810208483105679</v>
      </c>
      <c r="L163" t="str" cm="1">
        <f t="array" ref="L163">_xlfn.IFS(C163&lt;0,"DATO INVALIDO", C163+J163&lt;I163,"PEDIR YA", C163&lt;I163,"EN CAMINO OK", TRUE,"SANO")</f>
        <v>SANO</v>
      </c>
    </row>
    <row r="164" spans="1:12" x14ac:dyDescent="0.45">
      <c r="A164" t="s">
        <v>1124</v>
      </c>
      <c r="B164" t="s">
        <v>107</v>
      </c>
      <c r="C164">
        <v>350</v>
      </c>
      <c r="D164">
        <v>124.1</v>
      </c>
      <c r="E164">
        <v>77.7</v>
      </c>
      <c r="F164">
        <v>0.8</v>
      </c>
      <c r="G164">
        <v>0.3</v>
      </c>
      <c r="H164">
        <f t="shared" si="6"/>
        <v>130.08766694137458</v>
      </c>
      <c r="I164">
        <f t="shared" si="7"/>
        <v>229.36766694137458</v>
      </c>
      <c r="J164">
        <f>SUMIFS(Transit_Clean[Quantity], Transit_Clean[Destination], A164, Transit_Clean[Item_Code], B164, Transit_Clean[SAP_Status], "In Transit")</f>
        <v>722</v>
      </c>
      <c r="K164">
        <f t="shared" si="8"/>
        <v>2.8203062046736505</v>
      </c>
      <c r="L164" t="str" cm="1">
        <f t="array" ref="L164">_xlfn.IFS(C164&lt;0,"DATO INVALIDO", C164+J164&lt;I164,"PEDIR YA", C164&lt;I164,"EN CAMINO OK", TRUE,"SANO")</f>
        <v>SANO</v>
      </c>
    </row>
    <row r="165" spans="1:12" x14ac:dyDescent="0.45">
      <c r="A165" t="s">
        <v>1121</v>
      </c>
      <c r="B165" t="s">
        <v>33</v>
      </c>
      <c r="C165">
        <v>9794</v>
      </c>
      <c r="D165">
        <v>571.6</v>
      </c>
      <c r="E165">
        <v>96</v>
      </c>
      <c r="F165">
        <v>2.1</v>
      </c>
      <c r="G165">
        <v>0.4</v>
      </c>
      <c r="H165">
        <f t="shared" si="6"/>
        <v>441.60193108273427</v>
      </c>
      <c r="I165">
        <f t="shared" si="7"/>
        <v>1641.9619310827343</v>
      </c>
      <c r="J165">
        <f>SUMIFS(Transit_Clean[Quantity], Transit_Clean[Destination], A165, Transit_Clean[Item_Code], B165, Transit_Clean[SAP_Status], "In Transit")</f>
        <v>849</v>
      </c>
      <c r="K165">
        <f t="shared" si="8"/>
        <v>17.134359692092371</v>
      </c>
      <c r="L165" t="str" cm="1">
        <f t="array" ref="L165">_xlfn.IFS(C165&lt;0,"DATO INVALIDO", C165+J165&lt;I165,"PEDIR YA", C165&lt;I165,"EN CAMINO OK", TRUE,"SANO")</f>
        <v>SANO</v>
      </c>
    </row>
    <row r="166" spans="1:12" x14ac:dyDescent="0.45">
      <c r="A166" t="s">
        <v>1123</v>
      </c>
      <c r="B166" t="s">
        <v>63</v>
      </c>
      <c r="C166">
        <v>5828</v>
      </c>
      <c r="D166">
        <v>406</v>
      </c>
      <c r="E166">
        <v>92.6</v>
      </c>
      <c r="F166">
        <v>1.5</v>
      </c>
      <c r="G166">
        <v>0.3</v>
      </c>
      <c r="H166">
        <f t="shared" si="6"/>
        <v>274.60174262010787</v>
      </c>
      <c r="I166">
        <f t="shared" si="7"/>
        <v>883.60174262010787</v>
      </c>
      <c r="J166">
        <f>SUMIFS(Transit_Clean[Quantity], Transit_Clean[Destination], A166, Transit_Clean[Item_Code], B166, Transit_Clean[SAP_Status], "In Transit")</f>
        <v>2485</v>
      </c>
      <c r="K166">
        <f t="shared" si="8"/>
        <v>14.354679802955665</v>
      </c>
      <c r="L166" t="str" cm="1">
        <f t="array" ref="L166">_xlfn.IFS(C166&lt;0,"DATO INVALIDO", C166+J166&lt;I166,"PEDIR YA", C166&lt;I166,"EN CAMINO OK", TRUE,"SANO")</f>
        <v>SANO</v>
      </c>
    </row>
    <row r="167" spans="1:12" x14ac:dyDescent="0.45">
      <c r="A167" t="s">
        <v>1114</v>
      </c>
      <c r="B167" t="s">
        <v>100</v>
      </c>
      <c r="C167">
        <v>1783</v>
      </c>
      <c r="D167">
        <v>139.30000000000001</v>
      </c>
      <c r="E167">
        <v>16.399999999999999</v>
      </c>
      <c r="F167">
        <v>5.6</v>
      </c>
      <c r="G167">
        <v>1.3</v>
      </c>
      <c r="H167">
        <f t="shared" si="6"/>
        <v>305.58322559042733</v>
      </c>
      <c r="I167">
        <f t="shared" si="7"/>
        <v>1085.6632255904274</v>
      </c>
      <c r="J167">
        <f>SUMIFS(Transit_Clean[Quantity], Transit_Clean[Destination], A167, Transit_Clean[Item_Code], B167, Transit_Clean[SAP_Status], "In Transit")</f>
        <v>2204</v>
      </c>
      <c r="K167">
        <f t="shared" si="8"/>
        <v>12.799712849964106</v>
      </c>
      <c r="L167" t="str" cm="1">
        <f t="array" ref="L167">_xlfn.IFS(C167&lt;0,"DATO INVALIDO", C167+J167&lt;I167,"PEDIR YA", C167&lt;I167,"EN CAMINO OK", TRUE,"SANO")</f>
        <v>SANO</v>
      </c>
    </row>
    <row r="168" spans="1:12" x14ac:dyDescent="0.45">
      <c r="A168" t="s">
        <v>1123</v>
      </c>
      <c r="B168" t="s">
        <v>58</v>
      </c>
      <c r="C168">
        <v>2769</v>
      </c>
      <c r="D168">
        <v>285.60000000000002</v>
      </c>
      <c r="E168">
        <v>25.9</v>
      </c>
      <c r="F168">
        <v>0.9</v>
      </c>
      <c r="G168">
        <v>0.3</v>
      </c>
      <c r="H168">
        <f t="shared" si="6"/>
        <v>147.0703729052864</v>
      </c>
      <c r="I168">
        <f t="shared" si="7"/>
        <v>404.11037290528645</v>
      </c>
      <c r="J168">
        <f>SUMIFS(Transit_Clean[Quantity], Transit_Clean[Destination], A168, Transit_Clean[Item_Code], B168, Transit_Clean[SAP_Status], "In Transit")</f>
        <v>0</v>
      </c>
      <c r="K168">
        <f t="shared" si="8"/>
        <v>9.6953781512605026</v>
      </c>
      <c r="L168" t="str" cm="1">
        <f t="array" ref="L168">_xlfn.IFS(C168&lt;0,"DATO INVALIDO", C168+J168&lt;I168,"PEDIR YA", C168&lt;I168,"EN CAMINO OK", TRUE,"SANO")</f>
        <v>SANO</v>
      </c>
    </row>
    <row r="169" spans="1:12" x14ac:dyDescent="0.45">
      <c r="A169" t="s">
        <v>1125</v>
      </c>
      <c r="B169" t="s">
        <v>102</v>
      </c>
      <c r="C169">
        <v>331</v>
      </c>
      <c r="D169">
        <v>128.1</v>
      </c>
      <c r="E169">
        <v>12.2</v>
      </c>
      <c r="F169">
        <v>3.2</v>
      </c>
      <c r="G169">
        <v>1.2</v>
      </c>
      <c r="H169">
        <f t="shared" si="6"/>
        <v>256.18143789900154</v>
      </c>
      <c r="I169">
        <f t="shared" si="7"/>
        <v>666.10143789900155</v>
      </c>
      <c r="J169">
        <f>SUMIFS(Transit_Clean[Quantity], Transit_Clean[Destination], A169, Transit_Clean[Item_Code], B169, Transit_Clean[SAP_Status], "In Transit")</f>
        <v>0</v>
      </c>
      <c r="K169">
        <f t="shared" si="8"/>
        <v>2.5839188134270104</v>
      </c>
      <c r="L169" t="str" cm="1">
        <f t="array" ref="L169">_xlfn.IFS(C169&lt;0,"DATO INVALIDO", C169+J169&lt;I169,"PEDIR YA", C169&lt;I169,"EN CAMINO OK", TRUE,"SANO")</f>
        <v>PEDIR YA</v>
      </c>
    </row>
    <row r="170" spans="1:12" x14ac:dyDescent="0.45">
      <c r="A170" t="s">
        <v>1120</v>
      </c>
      <c r="B170" t="s">
        <v>54</v>
      </c>
      <c r="C170">
        <v>328</v>
      </c>
      <c r="D170">
        <v>234.3</v>
      </c>
      <c r="E170">
        <v>20.100000000000001</v>
      </c>
      <c r="F170">
        <v>2.2999999999999998</v>
      </c>
      <c r="G170">
        <v>0.5</v>
      </c>
      <c r="H170">
        <f t="shared" si="6"/>
        <v>199.73415612696292</v>
      </c>
      <c r="I170">
        <f t="shared" si="7"/>
        <v>738.62415612696293</v>
      </c>
      <c r="J170">
        <f>SUMIFS(Transit_Clean[Quantity], Transit_Clean[Destination], A170, Transit_Clean[Item_Code], B170, Transit_Clean[SAP_Status], "In Transit")</f>
        <v>3360</v>
      </c>
      <c r="K170">
        <f t="shared" si="8"/>
        <v>1.3999146393512589</v>
      </c>
      <c r="L170" t="str" cm="1">
        <f t="array" ref="L170">_xlfn.IFS(C170&lt;0,"DATO INVALIDO", C170+J170&lt;I170,"PEDIR YA", C170&lt;I170,"EN CAMINO OK", TRUE,"SANO")</f>
        <v>EN CAMINO OK</v>
      </c>
    </row>
    <row r="171" spans="1:12" x14ac:dyDescent="0.45">
      <c r="A171" t="s">
        <v>1125</v>
      </c>
      <c r="B171" t="s">
        <v>28</v>
      </c>
      <c r="C171">
        <v>983</v>
      </c>
      <c r="D171">
        <v>315.8</v>
      </c>
      <c r="E171">
        <v>122.3</v>
      </c>
      <c r="F171">
        <v>4.2</v>
      </c>
      <c r="G171">
        <v>1.2</v>
      </c>
      <c r="H171">
        <f t="shared" si="6"/>
        <v>749.67273737344885</v>
      </c>
      <c r="I171">
        <f t="shared" si="7"/>
        <v>2076.032737373449</v>
      </c>
      <c r="J171">
        <f>SUMIFS(Transit_Clean[Quantity], Transit_Clean[Destination], A171, Transit_Clean[Item_Code], B171, Transit_Clean[SAP_Status], "In Transit")</f>
        <v>2628</v>
      </c>
      <c r="K171">
        <f t="shared" si="8"/>
        <v>3.1127295756808104</v>
      </c>
      <c r="L171" t="str" cm="1">
        <f t="array" ref="L171">_xlfn.IFS(C171&lt;0,"DATO INVALIDO", C171+J171&lt;I171,"PEDIR YA", C171&lt;I171,"EN CAMINO OK", TRUE,"SANO")</f>
        <v>EN CAMINO OK</v>
      </c>
    </row>
    <row r="172" spans="1:12" x14ac:dyDescent="0.45">
      <c r="A172" t="s">
        <v>1123</v>
      </c>
      <c r="B172" t="s">
        <v>110</v>
      </c>
      <c r="C172">
        <v>6105</v>
      </c>
      <c r="D172">
        <v>483.9</v>
      </c>
      <c r="E172">
        <v>195.5</v>
      </c>
      <c r="F172">
        <v>1</v>
      </c>
      <c r="G172">
        <v>0.3</v>
      </c>
      <c r="H172">
        <f t="shared" si="6"/>
        <v>401.78289044613376</v>
      </c>
      <c r="I172">
        <f t="shared" si="7"/>
        <v>885.6828904461338</v>
      </c>
      <c r="J172">
        <f>SUMIFS(Transit_Clean[Quantity], Transit_Clean[Destination], A172, Transit_Clean[Item_Code], B172, Transit_Clean[SAP_Status], "In Transit")</f>
        <v>0</v>
      </c>
      <c r="K172">
        <f t="shared" si="8"/>
        <v>12.616243025418475</v>
      </c>
      <c r="L172" t="str" cm="1">
        <f t="array" ref="L172">_xlfn.IFS(C172&lt;0,"DATO INVALIDO", C172+J172&lt;I172,"PEDIR YA", C172&lt;I172,"EN CAMINO OK", TRUE,"SANO")</f>
        <v>SANO</v>
      </c>
    </row>
    <row r="173" spans="1:12" x14ac:dyDescent="0.45">
      <c r="A173" t="s">
        <v>1120</v>
      </c>
      <c r="B173" t="s">
        <v>1129</v>
      </c>
      <c r="C173">
        <v>1896</v>
      </c>
      <c r="D173">
        <v>768.1</v>
      </c>
      <c r="E173">
        <v>189.8</v>
      </c>
      <c r="F173">
        <v>1.5</v>
      </c>
      <c r="G173">
        <v>0.5</v>
      </c>
      <c r="H173">
        <f t="shared" si="6"/>
        <v>740.72038189606337</v>
      </c>
      <c r="I173">
        <f t="shared" si="7"/>
        <v>1892.8703818960635</v>
      </c>
      <c r="J173">
        <f>SUMIFS(Transit_Clean[Quantity], Transit_Clean[Destination], A173, Transit_Clean[Item_Code], B173, Transit_Clean[SAP_Status], "In Transit")</f>
        <v>0</v>
      </c>
      <c r="K173">
        <f t="shared" si="8"/>
        <v>2.4684285900273402</v>
      </c>
      <c r="L173" t="str" cm="1">
        <f t="array" ref="L173">_xlfn.IFS(C173&lt;0,"DATO INVALIDO", C173+J173&lt;I173,"PEDIR YA", C173&lt;I173,"EN CAMINO OK", TRUE,"SANO")</f>
        <v>SANO</v>
      </c>
    </row>
    <row r="174" spans="1:12" x14ac:dyDescent="0.45">
      <c r="A174" t="s">
        <v>1117</v>
      </c>
      <c r="B174" t="s">
        <v>99</v>
      </c>
      <c r="C174">
        <v>744</v>
      </c>
      <c r="D174">
        <v>371.6</v>
      </c>
      <c r="E174">
        <v>67.099999999999994</v>
      </c>
      <c r="F174">
        <v>1.3</v>
      </c>
      <c r="G174">
        <v>0.5</v>
      </c>
      <c r="H174">
        <f t="shared" si="6"/>
        <v>331.54233438959199</v>
      </c>
      <c r="I174">
        <f t="shared" si="7"/>
        <v>814.62233438959197</v>
      </c>
      <c r="J174">
        <f>SUMIFS(Transit_Clean[Quantity], Transit_Clean[Destination], A174, Transit_Clean[Item_Code], B174, Transit_Clean[SAP_Status], "In Transit")</f>
        <v>1928</v>
      </c>
      <c r="K174">
        <f t="shared" si="8"/>
        <v>2.0021528525296017</v>
      </c>
      <c r="L174" t="str" cm="1">
        <f t="array" ref="L174">_xlfn.IFS(C174&lt;0,"DATO INVALIDO", C174+J174&lt;I174,"PEDIR YA", C174&lt;I174,"EN CAMINO OK", TRUE,"SANO")</f>
        <v>EN CAMINO OK</v>
      </c>
    </row>
    <row r="175" spans="1:12" x14ac:dyDescent="0.45">
      <c r="A175" t="s">
        <v>1127</v>
      </c>
      <c r="B175" t="s">
        <v>20</v>
      </c>
      <c r="C175">
        <v>557</v>
      </c>
      <c r="D175">
        <v>170.2</v>
      </c>
      <c r="E175">
        <v>33.4</v>
      </c>
      <c r="F175">
        <v>4.2</v>
      </c>
      <c r="G175">
        <v>0.9</v>
      </c>
      <c r="H175">
        <f t="shared" si="6"/>
        <v>276.83373499087855</v>
      </c>
      <c r="I175">
        <f t="shared" si="7"/>
        <v>991.67373499087853</v>
      </c>
      <c r="J175">
        <f>SUMIFS(Transit_Clean[Quantity], Transit_Clean[Destination], A175, Transit_Clean[Item_Code], B175, Transit_Clean[SAP_Status], "In Transit")</f>
        <v>0</v>
      </c>
      <c r="K175">
        <f t="shared" si="8"/>
        <v>3.27262044653349</v>
      </c>
      <c r="L175" t="str" cm="1">
        <f t="array" ref="L175">_xlfn.IFS(C175&lt;0,"DATO INVALIDO", C175+J175&lt;I175,"PEDIR YA", C175&lt;I175,"EN CAMINO OK", TRUE,"SANO")</f>
        <v>PEDIR YA</v>
      </c>
    </row>
    <row r="176" spans="1:12" x14ac:dyDescent="0.45">
      <c r="A176" t="s">
        <v>1119</v>
      </c>
      <c r="B176" t="s">
        <v>35</v>
      </c>
      <c r="C176">
        <v>1695</v>
      </c>
      <c r="D176">
        <v>414.2</v>
      </c>
      <c r="E176">
        <v>73.5</v>
      </c>
      <c r="F176">
        <v>2.9</v>
      </c>
      <c r="G176">
        <v>1</v>
      </c>
      <c r="H176">
        <f t="shared" si="6"/>
        <v>713.9528550349105</v>
      </c>
      <c r="I176">
        <f t="shared" si="7"/>
        <v>1915.1328550349103</v>
      </c>
      <c r="J176">
        <f>SUMIFS(Transit_Clean[Quantity], Transit_Clean[Destination], A176, Transit_Clean[Item_Code], B176, Transit_Clean[SAP_Status], "In Transit")</f>
        <v>396</v>
      </c>
      <c r="K176">
        <f t="shared" si="8"/>
        <v>4.0922259777885079</v>
      </c>
      <c r="L176" t="str" cm="1">
        <f t="array" ref="L176">_xlfn.IFS(C176&lt;0,"DATO INVALIDO", C176+J176&lt;I176,"PEDIR YA", C176&lt;I176,"EN CAMINO OK", TRUE,"SANO")</f>
        <v>EN CAMINO OK</v>
      </c>
    </row>
    <row r="177" spans="1:12" x14ac:dyDescent="0.45">
      <c r="A177" t="s">
        <v>1128</v>
      </c>
      <c r="B177" t="s">
        <v>64</v>
      </c>
      <c r="C177">
        <v>11769</v>
      </c>
      <c r="D177">
        <v>938.5</v>
      </c>
      <c r="E177">
        <v>254.3</v>
      </c>
      <c r="F177">
        <v>1.9</v>
      </c>
      <c r="G177">
        <v>0.5</v>
      </c>
      <c r="H177">
        <f t="shared" si="6"/>
        <v>966.43486617244412</v>
      </c>
      <c r="I177">
        <f t="shared" si="7"/>
        <v>2749.584866172444</v>
      </c>
      <c r="J177">
        <f>SUMIFS(Transit_Clean[Quantity], Transit_Clean[Destination], A177, Transit_Clean[Item_Code], B177, Transit_Clean[SAP_Status], "In Transit")</f>
        <v>0</v>
      </c>
      <c r="K177">
        <f t="shared" si="8"/>
        <v>12.540223761321258</v>
      </c>
      <c r="L177" t="str" cm="1">
        <f t="array" ref="L177">_xlfn.IFS(C177&lt;0,"DATO INVALIDO", C177+J177&lt;I177,"PEDIR YA", C177&lt;I177,"EN CAMINO OK", TRUE,"SANO")</f>
        <v>SANO</v>
      </c>
    </row>
    <row r="178" spans="1:12" x14ac:dyDescent="0.45">
      <c r="A178" t="s">
        <v>1116</v>
      </c>
      <c r="B178" t="s">
        <v>44</v>
      </c>
      <c r="C178">
        <v>11266</v>
      </c>
      <c r="D178">
        <v>683.1</v>
      </c>
      <c r="E178">
        <v>203.2</v>
      </c>
      <c r="F178">
        <v>3.3</v>
      </c>
      <c r="G178">
        <v>1.6</v>
      </c>
      <c r="H178">
        <f t="shared" si="6"/>
        <v>1903.4588753571747</v>
      </c>
      <c r="I178">
        <f t="shared" si="7"/>
        <v>4157.6888753571748</v>
      </c>
      <c r="J178">
        <f>SUMIFS(Transit_Clean[Quantity], Transit_Clean[Destination], A178, Transit_Clean[Item_Code], B178, Transit_Clean[SAP_Status], "In Transit")</f>
        <v>0</v>
      </c>
      <c r="K178">
        <f t="shared" si="8"/>
        <v>16.492460840286927</v>
      </c>
      <c r="L178" t="str" cm="1">
        <f t="array" ref="L178">_xlfn.IFS(C178&lt;0,"DATO INVALIDO", C178+J178&lt;I178,"PEDIR YA", C178&lt;I178,"EN CAMINO OK", TRUE,"SANO")</f>
        <v>SANO</v>
      </c>
    </row>
    <row r="179" spans="1:12" x14ac:dyDescent="0.45">
      <c r="A179" t="s">
        <v>1124</v>
      </c>
      <c r="B179" t="s">
        <v>67</v>
      </c>
      <c r="C179">
        <v>1126</v>
      </c>
      <c r="D179">
        <v>120.8</v>
      </c>
      <c r="E179">
        <v>46.9</v>
      </c>
      <c r="F179">
        <v>1.1000000000000001</v>
      </c>
      <c r="G179">
        <v>0.3</v>
      </c>
      <c r="H179">
        <f t="shared" si="6"/>
        <v>100.81093027792174</v>
      </c>
      <c r="I179">
        <f t="shared" si="7"/>
        <v>233.69093027792172</v>
      </c>
      <c r="J179">
        <f>SUMIFS(Transit_Clean[Quantity], Transit_Clean[Destination], A179, Transit_Clean[Item_Code], B179, Transit_Clean[SAP_Status], "In Transit")</f>
        <v>0</v>
      </c>
      <c r="K179">
        <f t="shared" si="8"/>
        <v>9.3211920529801322</v>
      </c>
      <c r="L179" t="str" cm="1">
        <f t="array" ref="L179">_xlfn.IFS(C179&lt;0,"DATO INVALIDO", C179+J179&lt;I179,"PEDIR YA", C179&lt;I179,"EN CAMINO OK", TRUE,"SANO")</f>
        <v>SANO</v>
      </c>
    </row>
    <row r="180" spans="1:12" x14ac:dyDescent="0.45">
      <c r="A180" t="s">
        <v>1116</v>
      </c>
      <c r="B180" t="s">
        <v>63</v>
      </c>
      <c r="C180">
        <v>6821</v>
      </c>
      <c r="D180">
        <v>483.1</v>
      </c>
      <c r="E180">
        <v>139.30000000000001</v>
      </c>
      <c r="F180">
        <v>5.7</v>
      </c>
      <c r="G180">
        <v>1.6</v>
      </c>
      <c r="H180">
        <f t="shared" si="6"/>
        <v>1388.426474250077</v>
      </c>
      <c r="I180">
        <f t="shared" si="7"/>
        <v>4142.0964742500773</v>
      </c>
      <c r="J180">
        <f>SUMIFS(Transit_Clean[Quantity], Transit_Clean[Destination], A180, Transit_Clean[Item_Code], B180, Transit_Clean[SAP_Status], "In Transit")</f>
        <v>622</v>
      </c>
      <c r="K180">
        <f t="shared" si="8"/>
        <v>14.119229973090457</v>
      </c>
      <c r="L180" t="str" cm="1">
        <f t="array" ref="L180">_xlfn.IFS(C180&lt;0,"DATO INVALIDO", C180+J180&lt;I180,"PEDIR YA", C180&lt;I180,"EN CAMINO OK", TRUE,"SANO")</f>
        <v>SANO</v>
      </c>
    </row>
    <row r="181" spans="1:12" x14ac:dyDescent="0.45">
      <c r="A181" t="s">
        <v>1126</v>
      </c>
      <c r="B181" t="s">
        <v>106</v>
      </c>
      <c r="C181">
        <v>14363</v>
      </c>
      <c r="D181">
        <v>991.2</v>
      </c>
      <c r="E181">
        <v>184.9</v>
      </c>
      <c r="F181">
        <v>1</v>
      </c>
      <c r="G181">
        <v>0.2</v>
      </c>
      <c r="H181">
        <f t="shared" si="6"/>
        <v>447.2903424410145</v>
      </c>
      <c r="I181">
        <f t="shared" si="7"/>
        <v>1438.4903424410145</v>
      </c>
      <c r="J181">
        <f>SUMIFS(Transit_Clean[Quantity], Transit_Clean[Destination], A181, Transit_Clean[Item_Code], B181, Transit_Clean[SAP_Status], "In Transit")</f>
        <v>0</v>
      </c>
      <c r="K181">
        <f t="shared" si="8"/>
        <v>14.49051654560129</v>
      </c>
      <c r="L181" t="str" cm="1">
        <f t="array" ref="L181">_xlfn.IFS(C181&lt;0,"DATO INVALIDO", C181+J181&lt;I181,"PEDIR YA", C181&lt;I181,"EN CAMINO OK", TRUE,"SANO")</f>
        <v>SANO</v>
      </c>
    </row>
    <row r="182" spans="1:12" x14ac:dyDescent="0.45">
      <c r="A182" t="s">
        <v>1117</v>
      </c>
      <c r="B182" t="s">
        <v>59</v>
      </c>
      <c r="C182">
        <v>3116</v>
      </c>
      <c r="D182">
        <v>240.8</v>
      </c>
      <c r="E182">
        <v>32.799999999999997</v>
      </c>
      <c r="F182">
        <v>1.8</v>
      </c>
      <c r="G182">
        <v>0.5</v>
      </c>
      <c r="H182">
        <f t="shared" si="6"/>
        <v>211.51347361338472</v>
      </c>
      <c r="I182">
        <f t="shared" si="7"/>
        <v>644.95347361338474</v>
      </c>
      <c r="J182">
        <f>SUMIFS(Transit_Clean[Quantity], Transit_Clean[Destination], A182, Transit_Clean[Item_Code], B182, Transit_Clean[SAP_Status], "In Transit")</f>
        <v>2766</v>
      </c>
      <c r="K182">
        <f t="shared" si="8"/>
        <v>12.940199335548172</v>
      </c>
      <c r="L182" t="str" cm="1">
        <f t="array" ref="L182">_xlfn.IFS(C182&lt;0,"DATO INVALIDO", C182+J182&lt;I182,"PEDIR YA", C182&lt;I182,"EN CAMINO OK", TRUE,"SANO")</f>
        <v>SANO</v>
      </c>
    </row>
    <row r="183" spans="1:12" x14ac:dyDescent="0.45">
      <c r="A183" t="s">
        <v>1128</v>
      </c>
      <c r="B183" t="s">
        <v>80</v>
      </c>
      <c r="C183">
        <v>6418</v>
      </c>
      <c r="D183">
        <v>534</v>
      </c>
      <c r="E183">
        <v>71.5</v>
      </c>
      <c r="F183">
        <v>2.2000000000000002</v>
      </c>
      <c r="G183">
        <v>0.5</v>
      </c>
      <c r="H183">
        <f t="shared" si="6"/>
        <v>474.02966560648917</v>
      </c>
      <c r="I183">
        <f t="shared" si="7"/>
        <v>1648.8296656064895</v>
      </c>
      <c r="J183">
        <f>SUMIFS(Transit_Clean[Quantity], Transit_Clean[Destination], A183, Transit_Clean[Item_Code], B183, Transit_Clean[SAP_Status], "In Transit")</f>
        <v>0</v>
      </c>
      <c r="K183">
        <f t="shared" si="8"/>
        <v>12.0187265917603</v>
      </c>
      <c r="L183" t="str" cm="1">
        <f t="array" ref="L183">_xlfn.IFS(C183&lt;0,"DATO INVALIDO", C183+J183&lt;I183,"PEDIR YA", C183&lt;I183,"EN CAMINO OK", TRUE,"SANO")</f>
        <v>SANO</v>
      </c>
    </row>
    <row r="184" spans="1:12" x14ac:dyDescent="0.45">
      <c r="A184" t="s">
        <v>1125</v>
      </c>
      <c r="B184" t="s">
        <v>32</v>
      </c>
      <c r="C184">
        <v>1238</v>
      </c>
      <c r="D184">
        <v>308.10000000000002</v>
      </c>
      <c r="E184">
        <v>106.1</v>
      </c>
      <c r="F184">
        <v>4</v>
      </c>
      <c r="G184">
        <v>1.2</v>
      </c>
      <c r="H184">
        <f t="shared" si="6"/>
        <v>703.37570212795947</v>
      </c>
      <c r="I184">
        <f t="shared" si="7"/>
        <v>1935.7757021279594</v>
      </c>
      <c r="J184">
        <f>SUMIFS(Transit_Clean[Quantity], Transit_Clean[Destination], A184, Transit_Clean[Item_Code], B184, Transit_Clean[SAP_Status], "In Transit")</f>
        <v>1380</v>
      </c>
      <c r="K184">
        <f t="shared" si="8"/>
        <v>4.0181759169100939</v>
      </c>
      <c r="L184" t="str" cm="1">
        <f t="array" ref="L184">_xlfn.IFS(C184&lt;0,"DATO INVALIDO", C184+J184&lt;I184,"PEDIR YA", C184&lt;I184,"EN CAMINO OK", TRUE,"SANO")</f>
        <v>EN CAMINO OK</v>
      </c>
    </row>
    <row r="185" spans="1:12" x14ac:dyDescent="0.45">
      <c r="A185" t="s">
        <v>1124</v>
      </c>
      <c r="B185" t="s">
        <v>89</v>
      </c>
      <c r="C185">
        <v>1018</v>
      </c>
      <c r="D185">
        <v>233.8</v>
      </c>
      <c r="E185">
        <v>27.3</v>
      </c>
      <c r="F185">
        <v>0.8</v>
      </c>
      <c r="G185">
        <v>0.3</v>
      </c>
      <c r="H185">
        <f t="shared" si="6"/>
        <v>122.54348608147232</v>
      </c>
      <c r="I185">
        <f t="shared" si="7"/>
        <v>309.58348608147236</v>
      </c>
      <c r="J185">
        <f>SUMIFS(Transit_Clean[Quantity], Transit_Clean[Destination], A185, Transit_Clean[Item_Code], B185, Transit_Clean[SAP_Status], "In Transit")</f>
        <v>0</v>
      </c>
      <c r="K185">
        <f t="shared" si="8"/>
        <v>4.3541488451668089</v>
      </c>
      <c r="L185" t="str" cm="1">
        <f t="array" ref="L185">_xlfn.IFS(C185&lt;0,"DATO INVALIDO", C185+J185&lt;I185,"PEDIR YA", C185&lt;I185,"EN CAMINO OK", TRUE,"SANO")</f>
        <v>SANO</v>
      </c>
    </row>
    <row r="186" spans="1:12" x14ac:dyDescent="0.45">
      <c r="A186" t="s">
        <v>1122</v>
      </c>
      <c r="B186" t="s">
        <v>23</v>
      </c>
      <c r="C186">
        <v>3535</v>
      </c>
      <c r="D186">
        <v>253</v>
      </c>
      <c r="E186">
        <v>97.5</v>
      </c>
      <c r="F186">
        <v>1</v>
      </c>
      <c r="G186">
        <v>0.2</v>
      </c>
      <c r="H186">
        <f t="shared" si="6"/>
        <v>181.24940199901351</v>
      </c>
      <c r="I186">
        <f t="shared" si="7"/>
        <v>434.24940199901351</v>
      </c>
      <c r="J186">
        <f>SUMIFS(Transit_Clean[Quantity], Transit_Clean[Destination], A186, Transit_Clean[Item_Code], B186, Transit_Clean[SAP_Status], "In Transit")</f>
        <v>0</v>
      </c>
      <c r="K186">
        <f t="shared" si="8"/>
        <v>13.972332015810277</v>
      </c>
      <c r="L186" t="str" cm="1">
        <f t="array" ref="L186">_xlfn.IFS(C186&lt;0,"DATO INVALIDO", C186+J186&lt;I186,"PEDIR YA", C186&lt;I186,"EN CAMINO OK", TRUE,"SANO")</f>
        <v>SANO</v>
      </c>
    </row>
    <row r="187" spans="1:12" x14ac:dyDescent="0.45">
      <c r="A187" t="s">
        <v>1124</v>
      </c>
      <c r="B187" t="s">
        <v>59</v>
      </c>
      <c r="C187">
        <v>1609</v>
      </c>
      <c r="D187">
        <v>412.9</v>
      </c>
      <c r="E187">
        <v>46.3</v>
      </c>
      <c r="F187">
        <v>1.1000000000000001</v>
      </c>
      <c r="G187">
        <v>0.3</v>
      </c>
      <c r="H187">
        <f t="shared" si="6"/>
        <v>219.52960674530894</v>
      </c>
      <c r="I187">
        <f t="shared" si="7"/>
        <v>673.71960674530897</v>
      </c>
      <c r="J187">
        <f>SUMIFS(Transit_Clean[Quantity], Transit_Clean[Destination], A187, Transit_Clean[Item_Code], B187, Transit_Clean[SAP_Status], "In Transit")</f>
        <v>0</v>
      </c>
      <c r="K187">
        <f t="shared" si="8"/>
        <v>3.8968273189634295</v>
      </c>
      <c r="L187" t="str" cm="1">
        <f t="array" ref="L187">_xlfn.IFS(C187&lt;0,"DATO INVALIDO", C187+J187&lt;I187,"PEDIR YA", C187&lt;I187,"EN CAMINO OK", TRUE,"SANO")</f>
        <v>SANO</v>
      </c>
    </row>
    <row r="188" spans="1:12" x14ac:dyDescent="0.45">
      <c r="A188" t="s">
        <v>1128</v>
      </c>
      <c r="B188" t="s">
        <v>98</v>
      </c>
      <c r="C188">
        <v>8734</v>
      </c>
      <c r="D188">
        <v>632.9</v>
      </c>
      <c r="E188">
        <v>177.9</v>
      </c>
      <c r="F188">
        <v>1.2</v>
      </c>
      <c r="G188">
        <v>0.5</v>
      </c>
      <c r="H188">
        <f t="shared" si="6"/>
        <v>613.21133859074223</v>
      </c>
      <c r="I188">
        <f t="shared" si="7"/>
        <v>1372.6913385907421</v>
      </c>
      <c r="J188">
        <f>SUMIFS(Transit_Clean[Quantity], Transit_Clean[Destination], A188, Transit_Clean[Item_Code], B188, Transit_Clean[SAP_Status], "In Transit")</f>
        <v>0</v>
      </c>
      <c r="K188">
        <f t="shared" si="8"/>
        <v>13.79996839943119</v>
      </c>
      <c r="L188" t="str" cm="1">
        <f t="array" ref="L188">_xlfn.IFS(C188&lt;0,"DATO INVALIDO", C188+J188&lt;I188,"PEDIR YA", C188&lt;I188,"EN CAMINO OK", TRUE,"SANO")</f>
        <v>SANO</v>
      </c>
    </row>
    <row r="189" spans="1:12" x14ac:dyDescent="0.45">
      <c r="A189" t="s">
        <v>1120</v>
      </c>
      <c r="B189" t="s">
        <v>101</v>
      </c>
      <c r="C189">
        <v>11699</v>
      </c>
      <c r="D189">
        <v>664.9</v>
      </c>
      <c r="E189">
        <v>111.8</v>
      </c>
      <c r="F189">
        <v>1.9</v>
      </c>
      <c r="G189">
        <v>0.5</v>
      </c>
      <c r="H189">
        <f t="shared" si="6"/>
        <v>604.61088149011175</v>
      </c>
      <c r="I189">
        <f t="shared" si="7"/>
        <v>1867.9208814901117</v>
      </c>
      <c r="J189">
        <f>SUMIFS(Transit_Clean[Quantity], Transit_Clean[Destination], A189, Transit_Clean[Item_Code], B189, Transit_Clean[SAP_Status], "In Transit")</f>
        <v>0</v>
      </c>
      <c r="K189">
        <f t="shared" si="8"/>
        <v>17.595127086779968</v>
      </c>
      <c r="L189" t="str" cm="1">
        <f t="array" ref="L189">_xlfn.IFS(C189&lt;0,"DATO INVALIDO", C189+J189&lt;I189,"PEDIR YA", C189&lt;I189,"EN CAMINO OK", TRUE,"SANO")</f>
        <v>SANO</v>
      </c>
    </row>
    <row r="190" spans="1:12" x14ac:dyDescent="0.45">
      <c r="A190" t="s">
        <v>1116</v>
      </c>
      <c r="B190" t="s">
        <v>31</v>
      </c>
      <c r="C190">
        <v>2200</v>
      </c>
      <c r="D190">
        <v>242</v>
      </c>
      <c r="E190">
        <v>34</v>
      </c>
      <c r="F190">
        <v>5.2</v>
      </c>
      <c r="G190">
        <v>1.6</v>
      </c>
      <c r="H190">
        <f t="shared" si="6"/>
        <v>651.56208176964992</v>
      </c>
      <c r="I190">
        <f t="shared" si="7"/>
        <v>1909.96208176965</v>
      </c>
      <c r="J190">
        <f>SUMIFS(Transit_Clean[Quantity], Transit_Clean[Destination], A190, Transit_Clean[Item_Code], B190, Transit_Clean[SAP_Status], "In Transit")</f>
        <v>0</v>
      </c>
      <c r="K190">
        <f t="shared" si="8"/>
        <v>9.0909090909090917</v>
      </c>
      <c r="L190" t="str" cm="1">
        <f t="array" ref="L190">_xlfn.IFS(C190&lt;0,"DATO INVALIDO", C190+J190&lt;I190,"PEDIR YA", C190&lt;I190,"EN CAMINO OK", TRUE,"SANO")</f>
        <v>SANO</v>
      </c>
    </row>
    <row r="191" spans="1:12" x14ac:dyDescent="0.45">
      <c r="A191" t="s">
        <v>1115</v>
      </c>
      <c r="B191" t="s">
        <v>63</v>
      </c>
      <c r="C191">
        <v>1660</v>
      </c>
      <c r="D191">
        <v>348.6</v>
      </c>
      <c r="E191">
        <v>67.599999999999994</v>
      </c>
      <c r="F191">
        <v>1.7</v>
      </c>
      <c r="G191">
        <v>0.6</v>
      </c>
      <c r="H191">
        <f t="shared" si="6"/>
        <v>374.5045590056281</v>
      </c>
      <c r="I191">
        <f t="shared" si="7"/>
        <v>967.12455900562804</v>
      </c>
      <c r="J191">
        <f>SUMIFS(Transit_Clean[Quantity], Transit_Clean[Destination], A191, Transit_Clean[Item_Code], B191, Transit_Clean[SAP_Status], "In Transit")</f>
        <v>0</v>
      </c>
      <c r="K191">
        <f t="shared" si="8"/>
        <v>4.7619047619047619</v>
      </c>
      <c r="L191" t="str" cm="1">
        <f t="array" ref="L191">_xlfn.IFS(C191&lt;0,"DATO INVALIDO", C191+J191&lt;I191,"PEDIR YA", C191&lt;I191,"EN CAMINO OK", TRUE,"SANO")</f>
        <v>SANO</v>
      </c>
    </row>
    <row r="192" spans="1:12" x14ac:dyDescent="0.45">
      <c r="A192" t="s">
        <v>1120</v>
      </c>
      <c r="B192" t="s">
        <v>31</v>
      </c>
      <c r="C192">
        <v>961</v>
      </c>
      <c r="D192">
        <v>293.2</v>
      </c>
      <c r="E192">
        <v>27.6</v>
      </c>
      <c r="F192">
        <v>1.5</v>
      </c>
      <c r="G192">
        <v>0.5</v>
      </c>
      <c r="H192">
        <f t="shared" si="6"/>
        <v>248.23700268090568</v>
      </c>
      <c r="I192">
        <f t="shared" si="7"/>
        <v>688.03700268090563</v>
      </c>
      <c r="J192">
        <f>SUMIFS(Transit_Clean[Quantity], Transit_Clean[Destination], A192, Transit_Clean[Item_Code], B192, Transit_Clean[SAP_Status], "In Transit")</f>
        <v>0</v>
      </c>
      <c r="K192">
        <f t="shared" si="8"/>
        <v>3.2776261937244202</v>
      </c>
      <c r="L192" t="str" cm="1">
        <f t="array" ref="L192">_xlfn.IFS(C192&lt;0,"DATO INVALIDO", C192+J192&lt;I192,"PEDIR YA", C192&lt;I192,"EN CAMINO OK", TRUE,"SANO")</f>
        <v>SANO</v>
      </c>
    </row>
    <row r="193" spans="1:12" x14ac:dyDescent="0.45">
      <c r="A193" t="s">
        <v>1128</v>
      </c>
      <c r="B193" t="s">
        <v>22</v>
      </c>
      <c r="C193">
        <v>4153</v>
      </c>
      <c r="D193">
        <v>420.5</v>
      </c>
      <c r="E193">
        <v>258.5</v>
      </c>
      <c r="F193">
        <v>2.2000000000000002</v>
      </c>
      <c r="G193">
        <v>0.5</v>
      </c>
      <c r="H193">
        <f t="shared" si="6"/>
        <v>721.51240393443686</v>
      </c>
      <c r="I193">
        <f t="shared" si="7"/>
        <v>1646.6124039344368</v>
      </c>
      <c r="J193">
        <f>SUMIFS(Transit_Clean[Quantity], Transit_Clean[Destination], A193, Transit_Clean[Item_Code], B193, Transit_Clean[SAP_Status], "In Transit")</f>
        <v>0</v>
      </c>
      <c r="K193">
        <f t="shared" si="8"/>
        <v>9.8763376932223537</v>
      </c>
      <c r="L193" t="str" cm="1">
        <f t="array" ref="L193">_xlfn.IFS(C193&lt;0,"DATO INVALIDO", C193+J193&lt;I193,"PEDIR YA", C193&lt;I193,"EN CAMINO OK", TRUE,"SANO")</f>
        <v>SANO</v>
      </c>
    </row>
    <row r="194" spans="1:12" x14ac:dyDescent="0.45">
      <c r="A194" t="s">
        <v>1126</v>
      </c>
      <c r="B194" t="s">
        <v>59</v>
      </c>
      <c r="C194">
        <v>470</v>
      </c>
      <c r="D194">
        <v>222.8</v>
      </c>
      <c r="E194">
        <v>24.2</v>
      </c>
      <c r="F194">
        <v>0.7</v>
      </c>
      <c r="G194">
        <v>0.2</v>
      </c>
      <c r="H194">
        <f t="shared" si="6"/>
        <v>80.75804607591742</v>
      </c>
      <c r="I194">
        <f t="shared" si="7"/>
        <v>236.71804607591741</v>
      </c>
      <c r="J194">
        <f>SUMIFS(Transit_Clean[Quantity], Transit_Clean[Destination], A194, Transit_Clean[Item_Code], B194, Transit_Clean[SAP_Status], "In Transit")</f>
        <v>0</v>
      </c>
      <c r="K194">
        <f t="shared" si="8"/>
        <v>2.1095152603231595</v>
      </c>
      <c r="L194" t="str" cm="1">
        <f t="array" ref="L194">_xlfn.IFS(C194&lt;0,"DATO INVALIDO", C194+J194&lt;I194,"PEDIR YA", C194&lt;I194,"EN CAMINO OK", TRUE,"SANO")</f>
        <v>SANO</v>
      </c>
    </row>
    <row r="195" spans="1:12" x14ac:dyDescent="0.45">
      <c r="A195" t="s">
        <v>1119</v>
      </c>
      <c r="B195" t="s">
        <v>1136</v>
      </c>
      <c r="C195">
        <v>7377</v>
      </c>
      <c r="D195">
        <v>688.2</v>
      </c>
      <c r="E195">
        <v>435.6</v>
      </c>
      <c r="F195">
        <v>2</v>
      </c>
      <c r="G195">
        <v>1</v>
      </c>
      <c r="H195">
        <f t="shared" ref="H195:H258" si="9">IFERROR(1.65*SQRT(F195*E195^2 + D195^2*G195^2), "")</f>
        <v>1524.0087782227504</v>
      </c>
      <c r="I195">
        <f t="shared" ref="I195:I258" si="10">IFERROR(D195*F195 + H195, "")</f>
        <v>2900.4087782227507</v>
      </c>
      <c r="J195">
        <f>SUMIFS(Transit_Clean[Quantity], Transit_Clean[Destination], A195, Transit_Clean[Item_Code], B195, Transit_Clean[SAP_Status], "In Transit")</f>
        <v>1113</v>
      </c>
      <c r="K195">
        <f t="shared" ref="K195:K258" si="11">IFERROR(C195/D195, "")</f>
        <v>10.719267654751524</v>
      </c>
      <c r="L195" t="str" cm="1">
        <f t="array" ref="L195">_xlfn.IFS(C195&lt;0,"DATO INVALIDO", C195+J195&lt;I195,"PEDIR YA", C195&lt;I195,"EN CAMINO OK", TRUE,"SANO")</f>
        <v>SANO</v>
      </c>
    </row>
    <row r="196" spans="1:12" x14ac:dyDescent="0.45">
      <c r="A196" t="s">
        <v>1123</v>
      </c>
      <c r="B196" t="s">
        <v>33</v>
      </c>
      <c r="C196">
        <v>3996</v>
      </c>
      <c r="D196">
        <v>284.7</v>
      </c>
      <c r="E196">
        <v>47.6</v>
      </c>
      <c r="F196">
        <v>1.3</v>
      </c>
      <c r="G196">
        <v>0.3</v>
      </c>
      <c r="H196">
        <f t="shared" si="9"/>
        <v>166.97116362489064</v>
      </c>
      <c r="I196">
        <f t="shared" si="10"/>
        <v>537.08116362489068</v>
      </c>
      <c r="J196">
        <f>SUMIFS(Transit_Clean[Quantity], Transit_Clean[Destination], A196, Transit_Clean[Item_Code], B196, Transit_Clean[SAP_Status], "In Transit")</f>
        <v>0</v>
      </c>
      <c r="K196">
        <f t="shared" si="11"/>
        <v>14.035827186512119</v>
      </c>
      <c r="L196" t="str" cm="1">
        <f t="array" ref="L196">_xlfn.IFS(C196&lt;0,"DATO INVALIDO", C196+J196&lt;I196,"PEDIR YA", C196&lt;I196,"EN CAMINO OK", TRUE,"SANO")</f>
        <v>SANO</v>
      </c>
    </row>
    <row r="197" spans="1:12" x14ac:dyDescent="0.45">
      <c r="A197" t="s">
        <v>1114</v>
      </c>
      <c r="B197" t="s">
        <v>31</v>
      </c>
      <c r="C197">
        <v>6172</v>
      </c>
      <c r="D197">
        <v>456.2</v>
      </c>
      <c r="E197">
        <v>40.1</v>
      </c>
      <c r="F197">
        <v>5.2</v>
      </c>
      <c r="G197">
        <v>1.3</v>
      </c>
      <c r="H197">
        <f t="shared" si="9"/>
        <v>990.11249005908417</v>
      </c>
      <c r="I197">
        <f t="shared" si="10"/>
        <v>3362.3524900590846</v>
      </c>
      <c r="J197">
        <f>SUMIFS(Transit_Clean[Quantity], Transit_Clean[Destination], A197, Transit_Clean[Item_Code], B197, Transit_Clean[SAP_Status], "In Transit")</f>
        <v>0</v>
      </c>
      <c r="K197">
        <f t="shared" si="11"/>
        <v>13.529153879877247</v>
      </c>
      <c r="L197" t="str" cm="1">
        <f t="array" ref="L197">_xlfn.IFS(C197&lt;0,"DATO INVALIDO", C197+J197&lt;I197,"PEDIR YA", C197&lt;I197,"EN CAMINO OK", TRUE,"SANO")</f>
        <v>SANO</v>
      </c>
    </row>
    <row r="198" spans="1:12" x14ac:dyDescent="0.45">
      <c r="A198" t="s">
        <v>1126</v>
      </c>
      <c r="B198" t="s">
        <v>58</v>
      </c>
      <c r="C198">
        <v>3213</v>
      </c>
      <c r="D198">
        <v>225.6</v>
      </c>
      <c r="E198">
        <v>26</v>
      </c>
      <c r="F198">
        <v>1.4</v>
      </c>
      <c r="G198">
        <v>0.2</v>
      </c>
      <c r="H198">
        <f t="shared" si="9"/>
        <v>90.10593045965399</v>
      </c>
      <c r="I198">
        <f t="shared" si="10"/>
        <v>405.94593045965394</v>
      </c>
      <c r="J198">
        <f>SUMIFS(Transit_Clean[Quantity], Transit_Clean[Destination], A198, Transit_Clean[Item_Code], B198, Transit_Clean[SAP_Status], "In Transit")</f>
        <v>0</v>
      </c>
      <c r="K198">
        <f t="shared" si="11"/>
        <v>14.242021276595745</v>
      </c>
      <c r="L198" t="str" cm="1">
        <f t="array" ref="L198">_xlfn.IFS(C198&lt;0,"DATO INVALIDO", C198+J198&lt;I198,"PEDIR YA", C198&lt;I198,"EN CAMINO OK", TRUE,"SANO")</f>
        <v>SANO</v>
      </c>
    </row>
    <row r="199" spans="1:12" x14ac:dyDescent="0.45">
      <c r="A199" t="s">
        <v>1114</v>
      </c>
      <c r="B199" t="s">
        <v>57</v>
      </c>
      <c r="C199">
        <v>6278</v>
      </c>
      <c r="D199">
        <v>448.1</v>
      </c>
      <c r="E199">
        <v>64.099999999999994</v>
      </c>
      <c r="F199">
        <v>6.5</v>
      </c>
      <c r="G199">
        <v>1.3</v>
      </c>
      <c r="H199">
        <f t="shared" si="9"/>
        <v>998.28199844169797</v>
      </c>
      <c r="I199">
        <f t="shared" si="10"/>
        <v>3910.9319984416979</v>
      </c>
      <c r="J199">
        <f>SUMIFS(Transit_Clean[Quantity], Transit_Clean[Destination], A199, Transit_Clean[Item_Code], B199, Transit_Clean[SAP_Status], "In Transit")</f>
        <v>0</v>
      </c>
      <c r="K199">
        <f t="shared" si="11"/>
        <v>14.010265565721935</v>
      </c>
      <c r="L199" t="str" cm="1">
        <f t="array" ref="L199">_xlfn.IFS(C199&lt;0,"DATO INVALIDO", C199+J199&lt;I199,"PEDIR YA", C199&lt;I199,"EN CAMINO OK", TRUE,"SANO")</f>
        <v>SANO</v>
      </c>
    </row>
    <row r="200" spans="1:12" x14ac:dyDescent="0.45">
      <c r="A200" t="s">
        <v>1122</v>
      </c>
      <c r="B200" t="s">
        <v>98</v>
      </c>
      <c r="C200">
        <v>1774</v>
      </c>
      <c r="D200">
        <v>481.4</v>
      </c>
      <c r="E200">
        <v>76.3</v>
      </c>
      <c r="F200">
        <v>1.2</v>
      </c>
      <c r="G200">
        <v>0.2</v>
      </c>
      <c r="H200">
        <f t="shared" si="9"/>
        <v>210.37251786771009</v>
      </c>
      <c r="I200">
        <f t="shared" si="10"/>
        <v>788.05251786771009</v>
      </c>
      <c r="J200">
        <f>SUMIFS(Transit_Clean[Quantity], Transit_Clean[Destination], A200, Transit_Clean[Item_Code], B200, Transit_Clean[SAP_Status], "In Transit")</f>
        <v>2153</v>
      </c>
      <c r="K200">
        <f t="shared" si="11"/>
        <v>3.6850851682592443</v>
      </c>
      <c r="L200" t="str" cm="1">
        <f t="array" ref="L200">_xlfn.IFS(C200&lt;0,"DATO INVALIDO", C200+J200&lt;I200,"PEDIR YA", C200&lt;I200,"EN CAMINO OK", TRUE,"SANO")</f>
        <v>SANO</v>
      </c>
    </row>
    <row r="201" spans="1:12" x14ac:dyDescent="0.45">
      <c r="A201" t="s">
        <v>1116</v>
      </c>
      <c r="B201" t="s">
        <v>69</v>
      </c>
      <c r="C201">
        <v>1605</v>
      </c>
      <c r="D201">
        <v>315.89999999999998</v>
      </c>
      <c r="E201">
        <v>208.9</v>
      </c>
      <c r="F201">
        <v>5.5</v>
      </c>
      <c r="G201">
        <v>1.6</v>
      </c>
      <c r="H201">
        <f t="shared" si="9"/>
        <v>1161.4467655960389</v>
      </c>
      <c r="I201">
        <f t="shared" si="10"/>
        <v>2898.8967655960387</v>
      </c>
      <c r="J201">
        <f>SUMIFS(Transit_Clean[Quantity], Transit_Clean[Destination], A201, Transit_Clean[Item_Code], B201, Transit_Clean[SAP_Status], "In Transit")</f>
        <v>0</v>
      </c>
      <c r="K201">
        <f t="shared" si="11"/>
        <v>5.0807217473884148</v>
      </c>
      <c r="L201" t="str" cm="1">
        <f t="array" ref="L201">_xlfn.IFS(C201&lt;0,"DATO INVALIDO", C201+J201&lt;I201,"PEDIR YA", C201&lt;I201,"EN CAMINO OK", TRUE,"SANO")</f>
        <v>PEDIR YA</v>
      </c>
    </row>
    <row r="202" spans="1:12" x14ac:dyDescent="0.45">
      <c r="A202" t="s">
        <v>1117</v>
      </c>
      <c r="B202" t="s">
        <v>55</v>
      </c>
      <c r="C202">
        <v>2931</v>
      </c>
      <c r="D202">
        <v>334.8</v>
      </c>
      <c r="E202">
        <v>83.5</v>
      </c>
      <c r="F202">
        <v>1.2</v>
      </c>
      <c r="G202">
        <v>0.5</v>
      </c>
      <c r="H202">
        <f t="shared" si="9"/>
        <v>314.75435636381587</v>
      </c>
      <c r="I202">
        <f t="shared" si="10"/>
        <v>716.51435636381586</v>
      </c>
      <c r="J202">
        <f>SUMIFS(Transit_Clean[Quantity], Transit_Clean[Destination], A202, Transit_Clean[Item_Code], B202, Transit_Clean[SAP_Status], "In Transit")</f>
        <v>0</v>
      </c>
      <c r="K202">
        <f t="shared" si="11"/>
        <v>8.7544802867383513</v>
      </c>
      <c r="L202" t="str" cm="1">
        <f t="array" ref="L202">_xlfn.IFS(C202&lt;0,"DATO INVALIDO", C202+J202&lt;I202,"PEDIR YA", C202&lt;I202,"EN CAMINO OK", TRUE,"SANO")</f>
        <v>SANO</v>
      </c>
    </row>
    <row r="203" spans="1:12" x14ac:dyDescent="0.45">
      <c r="A203" t="s">
        <v>1119</v>
      </c>
      <c r="B203" t="s">
        <v>102</v>
      </c>
      <c r="C203">
        <v>4175</v>
      </c>
      <c r="D203">
        <v>592.6</v>
      </c>
      <c r="E203">
        <v>80.099999999999994</v>
      </c>
      <c r="F203">
        <v>0.7</v>
      </c>
      <c r="G203">
        <v>1</v>
      </c>
      <c r="H203">
        <f t="shared" si="9"/>
        <v>984.0226598800964</v>
      </c>
      <c r="I203">
        <f t="shared" si="10"/>
        <v>1398.8426598800963</v>
      </c>
      <c r="J203">
        <f>SUMIFS(Transit_Clean[Quantity], Transit_Clean[Destination], A203, Transit_Clean[Item_Code], B203, Transit_Clean[SAP_Status], "In Transit")</f>
        <v>0</v>
      </c>
      <c r="K203">
        <f t="shared" si="11"/>
        <v>7.0452244346945658</v>
      </c>
      <c r="L203" t="str" cm="1">
        <f t="array" ref="L203">_xlfn.IFS(C203&lt;0,"DATO INVALIDO", C203+J203&lt;I203,"PEDIR YA", C203&lt;I203,"EN CAMINO OK", TRUE,"SANO")</f>
        <v>SANO</v>
      </c>
    </row>
    <row r="204" spans="1:12" x14ac:dyDescent="0.45">
      <c r="A204" t="s">
        <v>1123</v>
      </c>
      <c r="B204" t="s">
        <v>72</v>
      </c>
      <c r="C204">
        <v>4890</v>
      </c>
      <c r="D204">
        <v>299.5</v>
      </c>
      <c r="E204">
        <v>45.1</v>
      </c>
      <c r="F204">
        <v>0.8</v>
      </c>
      <c r="G204">
        <v>0.3</v>
      </c>
      <c r="H204">
        <f t="shared" si="9"/>
        <v>162.50808452581674</v>
      </c>
      <c r="I204">
        <f t="shared" si="10"/>
        <v>402.10808452581676</v>
      </c>
      <c r="J204">
        <f>SUMIFS(Transit_Clean[Quantity], Transit_Clean[Destination], A204, Transit_Clean[Item_Code], B204, Transit_Clean[SAP_Status], "In Transit")</f>
        <v>0</v>
      </c>
      <c r="K204">
        <f t="shared" si="11"/>
        <v>16.327212020033389</v>
      </c>
      <c r="L204" t="str" cm="1">
        <f t="array" ref="L204">_xlfn.IFS(C204&lt;0,"DATO INVALIDO", C204+J204&lt;I204,"PEDIR YA", C204&lt;I204,"EN CAMINO OK", TRUE,"SANO")</f>
        <v>SANO</v>
      </c>
    </row>
    <row r="205" spans="1:12" x14ac:dyDescent="0.45">
      <c r="A205" t="s">
        <v>1122</v>
      </c>
      <c r="B205" t="s">
        <v>97</v>
      </c>
      <c r="C205">
        <v>767</v>
      </c>
      <c r="D205">
        <v>106.2</v>
      </c>
      <c r="E205">
        <v>74.3</v>
      </c>
      <c r="F205">
        <v>1.1000000000000001</v>
      </c>
      <c r="G205">
        <v>0.2</v>
      </c>
      <c r="H205">
        <f t="shared" si="9"/>
        <v>133.26931208459058</v>
      </c>
      <c r="I205">
        <f t="shared" si="10"/>
        <v>250.08931208459057</v>
      </c>
      <c r="J205">
        <f>SUMIFS(Transit_Clean[Quantity], Transit_Clean[Destination], A205, Transit_Clean[Item_Code], B205, Transit_Clean[SAP_Status], "In Transit")</f>
        <v>2394</v>
      </c>
      <c r="K205">
        <f t="shared" si="11"/>
        <v>7.2222222222222223</v>
      </c>
      <c r="L205" t="str" cm="1">
        <f t="array" ref="L205">_xlfn.IFS(C205&lt;0,"DATO INVALIDO", C205+J205&lt;I205,"PEDIR YA", C205&lt;I205,"EN CAMINO OK", TRUE,"SANO")</f>
        <v>SANO</v>
      </c>
    </row>
    <row r="206" spans="1:12" x14ac:dyDescent="0.45">
      <c r="A206" t="s">
        <v>1116</v>
      </c>
      <c r="B206" t="s">
        <v>65</v>
      </c>
      <c r="C206">
        <v>3039</v>
      </c>
      <c r="D206">
        <v>354.7</v>
      </c>
      <c r="E206">
        <v>124</v>
      </c>
      <c r="F206">
        <v>5.6</v>
      </c>
      <c r="G206">
        <v>1.6</v>
      </c>
      <c r="H206">
        <f t="shared" si="9"/>
        <v>1054.1738179560332</v>
      </c>
      <c r="I206">
        <f t="shared" si="10"/>
        <v>3040.4938179560331</v>
      </c>
      <c r="J206">
        <f>SUMIFS(Transit_Clean[Quantity], Transit_Clean[Destination], A206, Transit_Clean[Item_Code], B206, Transit_Clean[SAP_Status], "In Transit")</f>
        <v>0</v>
      </c>
      <c r="K206">
        <f t="shared" si="11"/>
        <v>8.5678037778404281</v>
      </c>
      <c r="L206" t="str" cm="1">
        <f t="array" ref="L206">_xlfn.IFS(C206&lt;0,"DATO INVALIDO", C206+J206&lt;I206,"PEDIR YA", C206&lt;I206,"EN CAMINO OK", TRUE,"SANO")</f>
        <v>PEDIR YA</v>
      </c>
    </row>
    <row r="207" spans="1:12" x14ac:dyDescent="0.45">
      <c r="A207" t="s">
        <v>1125</v>
      </c>
      <c r="B207" t="s">
        <v>107</v>
      </c>
      <c r="C207">
        <v>1660</v>
      </c>
      <c r="D207">
        <v>527.5</v>
      </c>
      <c r="E207">
        <v>264.89999999999998</v>
      </c>
      <c r="F207">
        <v>3.5</v>
      </c>
      <c r="G207">
        <v>1.2</v>
      </c>
      <c r="H207">
        <f t="shared" si="9"/>
        <v>1326.4717647909056</v>
      </c>
      <c r="I207">
        <f t="shared" si="10"/>
        <v>3172.7217647909056</v>
      </c>
      <c r="J207">
        <f>SUMIFS(Transit_Clean[Quantity], Transit_Clean[Destination], A207, Transit_Clean[Item_Code], B207, Transit_Clean[SAP_Status], "In Transit")</f>
        <v>2573</v>
      </c>
      <c r="K207">
        <f t="shared" si="11"/>
        <v>3.1469194312796209</v>
      </c>
      <c r="L207" t="str" cm="1">
        <f t="array" ref="L207">_xlfn.IFS(C207&lt;0,"DATO INVALIDO", C207+J207&lt;I207,"PEDIR YA", C207&lt;I207,"EN CAMINO OK", TRUE,"SANO")</f>
        <v>EN CAMINO OK</v>
      </c>
    </row>
    <row r="208" spans="1:12" x14ac:dyDescent="0.45">
      <c r="A208" t="s">
        <v>1117</v>
      </c>
      <c r="B208" t="s">
        <v>36</v>
      </c>
      <c r="C208">
        <v>1566</v>
      </c>
      <c r="D208">
        <v>231.6</v>
      </c>
      <c r="E208">
        <v>60.7</v>
      </c>
      <c r="F208">
        <v>2.5</v>
      </c>
      <c r="G208">
        <v>0.5</v>
      </c>
      <c r="H208">
        <f t="shared" si="9"/>
        <v>248.1638671573684</v>
      </c>
      <c r="I208">
        <f t="shared" si="10"/>
        <v>827.16386715736837</v>
      </c>
      <c r="J208">
        <f>SUMIFS(Transit_Clean[Quantity], Transit_Clean[Destination], A208, Transit_Clean[Item_Code], B208, Transit_Clean[SAP_Status], "In Transit")</f>
        <v>0</v>
      </c>
      <c r="K208">
        <f t="shared" si="11"/>
        <v>6.7616580310880829</v>
      </c>
      <c r="L208" t="str" cm="1">
        <f t="array" ref="L208">_xlfn.IFS(C208&lt;0,"DATO INVALIDO", C208+J208&lt;I208,"PEDIR YA", C208&lt;I208,"EN CAMINO OK", TRUE,"SANO")</f>
        <v>SANO</v>
      </c>
    </row>
    <row r="209" spans="1:12" x14ac:dyDescent="0.45">
      <c r="A209" t="s">
        <v>1115</v>
      </c>
      <c r="B209" t="s">
        <v>99</v>
      </c>
      <c r="C209">
        <v>6324</v>
      </c>
      <c r="D209">
        <v>987.7</v>
      </c>
      <c r="E209">
        <v>151</v>
      </c>
      <c r="F209">
        <v>2.7</v>
      </c>
      <c r="G209">
        <v>0.6</v>
      </c>
      <c r="H209">
        <f t="shared" si="9"/>
        <v>1060.0671064036464</v>
      </c>
      <c r="I209">
        <f t="shared" si="10"/>
        <v>3726.8571064036469</v>
      </c>
      <c r="J209">
        <f>SUMIFS(Transit_Clean[Quantity], Transit_Clean[Destination], A209, Transit_Clean[Item_Code], B209, Transit_Clean[SAP_Status], "In Transit")</f>
        <v>1752</v>
      </c>
      <c r="K209">
        <f t="shared" si="11"/>
        <v>6.4027538726333901</v>
      </c>
      <c r="L209" t="str" cm="1">
        <f t="array" ref="L209">_xlfn.IFS(C209&lt;0,"DATO INVALIDO", C209+J209&lt;I209,"PEDIR YA", C209&lt;I209,"EN CAMINO OK", TRUE,"SANO")</f>
        <v>SANO</v>
      </c>
    </row>
    <row r="210" spans="1:12" x14ac:dyDescent="0.45">
      <c r="A210" t="s">
        <v>1120</v>
      </c>
      <c r="B210" t="s">
        <v>109</v>
      </c>
      <c r="C210">
        <v>6261</v>
      </c>
      <c r="D210">
        <v>474.6</v>
      </c>
      <c r="E210">
        <v>304.89999999999998</v>
      </c>
      <c r="F210">
        <v>2.2999999999999998</v>
      </c>
      <c r="G210">
        <v>0.5</v>
      </c>
      <c r="H210">
        <f t="shared" si="9"/>
        <v>857.56916726436691</v>
      </c>
      <c r="I210">
        <f t="shared" si="10"/>
        <v>1949.149167264367</v>
      </c>
      <c r="J210">
        <f>SUMIFS(Transit_Clean[Quantity], Transit_Clean[Destination], A210, Transit_Clean[Item_Code], B210, Transit_Clean[SAP_Status], "In Transit")</f>
        <v>0</v>
      </c>
      <c r="K210">
        <f t="shared" si="11"/>
        <v>13.192161820480404</v>
      </c>
      <c r="L210" t="str" cm="1">
        <f t="array" ref="L210">_xlfn.IFS(C210&lt;0,"DATO INVALIDO", C210+J210&lt;I210,"PEDIR YA", C210&lt;I210,"EN CAMINO OK", TRUE,"SANO")</f>
        <v>SANO</v>
      </c>
    </row>
    <row r="211" spans="1:12" x14ac:dyDescent="0.45">
      <c r="A211" t="s">
        <v>1123</v>
      </c>
      <c r="B211" t="s">
        <v>65</v>
      </c>
      <c r="C211">
        <v>514</v>
      </c>
      <c r="D211">
        <v>150.5</v>
      </c>
      <c r="E211">
        <v>42.7</v>
      </c>
      <c r="F211">
        <v>0.8</v>
      </c>
      <c r="G211">
        <v>0.3</v>
      </c>
      <c r="H211">
        <f t="shared" si="9"/>
        <v>97.575627726651092</v>
      </c>
      <c r="I211">
        <f t="shared" si="10"/>
        <v>217.97562772665111</v>
      </c>
      <c r="J211">
        <f>SUMIFS(Transit_Clean[Quantity], Transit_Clean[Destination], A211, Transit_Clean[Item_Code], B211, Transit_Clean[SAP_Status], "In Transit")</f>
        <v>2025</v>
      </c>
      <c r="K211">
        <f t="shared" si="11"/>
        <v>3.4152823920265782</v>
      </c>
      <c r="L211" t="str" cm="1">
        <f t="array" ref="L211">_xlfn.IFS(C211&lt;0,"DATO INVALIDO", C211+J211&lt;I211,"PEDIR YA", C211&lt;I211,"EN CAMINO OK", TRUE,"SANO")</f>
        <v>SANO</v>
      </c>
    </row>
    <row r="212" spans="1:12" x14ac:dyDescent="0.45">
      <c r="A212" t="s">
        <v>1119</v>
      </c>
      <c r="B212" t="s">
        <v>93</v>
      </c>
      <c r="C212">
        <v>7707</v>
      </c>
      <c r="D212">
        <v>557.9</v>
      </c>
      <c r="E212">
        <v>104.4</v>
      </c>
      <c r="F212">
        <v>3.3</v>
      </c>
      <c r="G212">
        <v>1</v>
      </c>
      <c r="H212">
        <f t="shared" si="9"/>
        <v>972.26913007921826</v>
      </c>
      <c r="I212">
        <f t="shared" si="10"/>
        <v>2813.3391300792182</v>
      </c>
      <c r="J212">
        <f>SUMIFS(Transit_Clean[Quantity], Transit_Clean[Destination], A212, Transit_Clean[Item_Code], B212, Transit_Clean[SAP_Status], "In Transit")</f>
        <v>0</v>
      </c>
      <c r="K212">
        <f t="shared" si="11"/>
        <v>13.814303638644919</v>
      </c>
      <c r="L212" t="str" cm="1">
        <f t="array" ref="L212">_xlfn.IFS(C212&lt;0,"DATO INVALIDO", C212+J212&lt;I212,"PEDIR YA", C212&lt;I212,"EN CAMINO OK", TRUE,"SANO")</f>
        <v>SANO</v>
      </c>
    </row>
    <row r="213" spans="1:12" x14ac:dyDescent="0.45">
      <c r="A213" t="s">
        <v>1126</v>
      </c>
      <c r="B213" t="s">
        <v>105</v>
      </c>
      <c r="C213">
        <v>4193</v>
      </c>
      <c r="D213">
        <v>548.9</v>
      </c>
      <c r="E213">
        <v>66.2</v>
      </c>
      <c r="F213">
        <v>1.3</v>
      </c>
      <c r="G213">
        <v>0.2</v>
      </c>
      <c r="H213">
        <f t="shared" si="9"/>
        <v>219.82075320360448</v>
      </c>
      <c r="I213">
        <f t="shared" si="10"/>
        <v>933.3907532036045</v>
      </c>
      <c r="J213">
        <f>SUMIFS(Transit_Clean[Quantity], Transit_Clean[Destination], A213, Transit_Clean[Item_Code], B213, Transit_Clean[SAP_Status], "In Transit")</f>
        <v>1214</v>
      </c>
      <c r="K213">
        <f t="shared" si="11"/>
        <v>7.6389141920204047</v>
      </c>
      <c r="L213" t="str" cm="1">
        <f t="array" ref="L213">_xlfn.IFS(C213&lt;0,"DATO INVALIDO", C213+J213&lt;I213,"PEDIR YA", C213&lt;I213,"EN CAMINO OK", TRUE,"SANO")</f>
        <v>SANO</v>
      </c>
    </row>
    <row r="214" spans="1:12" x14ac:dyDescent="0.45">
      <c r="A214" t="s">
        <v>1123</v>
      </c>
      <c r="B214" t="s">
        <v>44</v>
      </c>
      <c r="C214">
        <v>7174</v>
      </c>
      <c r="D214">
        <v>928</v>
      </c>
      <c r="E214">
        <v>171</v>
      </c>
      <c r="F214">
        <v>1.3</v>
      </c>
      <c r="G214">
        <v>0.3</v>
      </c>
      <c r="H214">
        <f t="shared" si="9"/>
        <v>560.80550893335567</v>
      </c>
      <c r="I214">
        <f t="shared" si="10"/>
        <v>1767.2055089333558</v>
      </c>
      <c r="J214">
        <f>SUMIFS(Transit_Clean[Quantity], Transit_Clean[Destination], A214, Transit_Clean[Item_Code], B214, Transit_Clean[SAP_Status], "In Transit")</f>
        <v>0</v>
      </c>
      <c r="K214">
        <f t="shared" si="11"/>
        <v>7.7306034482758621</v>
      </c>
      <c r="L214" t="str" cm="1">
        <f t="array" ref="L214">_xlfn.IFS(C214&lt;0,"DATO INVALIDO", C214+J214&lt;I214,"PEDIR YA", C214&lt;I214,"EN CAMINO OK", TRUE,"SANO")</f>
        <v>SANO</v>
      </c>
    </row>
    <row r="215" spans="1:12" x14ac:dyDescent="0.45">
      <c r="A215" t="s">
        <v>1124</v>
      </c>
      <c r="B215" t="s">
        <v>1129</v>
      </c>
      <c r="C215">
        <v>767</v>
      </c>
      <c r="E215">
        <v>167.5</v>
      </c>
      <c r="F215">
        <v>1</v>
      </c>
      <c r="G215">
        <v>0.3</v>
      </c>
      <c r="H215">
        <f t="shared" si="9"/>
        <v>276.375</v>
      </c>
      <c r="I215">
        <f t="shared" si="10"/>
        <v>276.375</v>
      </c>
      <c r="J215">
        <f>SUMIFS(Transit_Clean[Quantity], Transit_Clean[Destination], A215, Transit_Clean[Item_Code], B215, Transit_Clean[SAP_Status], "In Transit")</f>
        <v>0</v>
      </c>
      <c r="K215" t="str">
        <f t="shared" si="11"/>
        <v/>
      </c>
      <c r="L215" t="str" cm="1">
        <f t="array" ref="L215">_xlfn.IFS(C215&lt;0,"DATO INVALIDO", C215+J215&lt;I215,"PEDIR YA", C215&lt;I215,"EN CAMINO OK", TRUE,"SANO")</f>
        <v>SANO</v>
      </c>
    </row>
    <row r="216" spans="1:12" x14ac:dyDescent="0.45">
      <c r="A216" t="s">
        <v>1116</v>
      </c>
      <c r="B216" t="s">
        <v>99</v>
      </c>
      <c r="C216">
        <v>3419</v>
      </c>
      <c r="D216">
        <v>255.3</v>
      </c>
      <c r="E216">
        <v>64.400000000000006</v>
      </c>
      <c r="F216">
        <v>7.8</v>
      </c>
      <c r="G216">
        <v>1.6</v>
      </c>
      <c r="H216">
        <f t="shared" si="9"/>
        <v>736.43497971239799</v>
      </c>
      <c r="I216">
        <f t="shared" si="10"/>
        <v>2727.7749797123979</v>
      </c>
      <c r="J216">
        <f>SUMIFS(Transit_Clean[Quantity], Transit_Clean[Destination], A216, Transit_Clean[Item_Code], B216, Transit_Clean[SAP_Status], "In Transit")</f>
        <v>3991</v>
      </c>
      <c r="K216">
        <f t="shared" si="11"/>
        <v>13.392087739913826</v>
      </c>
      <c r="L216" t="str" cm="1">
        <f t="array" ref="L216">_xlfn.IFS(C216&lt;0,"DATO INVALIDO", C216+J216&lt;I216,"PEDIR YA", C216&lt;I216,"EN CAMINO OK", TRUE,"SANO")</f>
        <v>SANO</v>
      </c>
    </row>
    <row r="217" spans="1:12" x14ac:dyDescent="0.45">
      <c r="A217" t="s">
        <v>1114</v>
      </c>
      <c r="B217" t="s">
        <v>12</v>
      </c>
      <c r="C217">
        <v>4146</v>
      </c>
      <c r="D217">
        <v>308.60000000000002</v>
      </c>
      <c r="E217">
        <v>35.4</v>
      </c>
      <c r="F217">
        <v>5.5</v>
      </c>
      <c r="G217">
        <v>1.3</v>
      </c>
      <c r="H217">
        <f t="shared" si="9"/>
        <v>675.9721409636644</v>
      </c>
      <c r="I217">
        <f t="shared" si="10"/>
        <v>2373.2721409636647</v>
      </c>
      <c r="J217">
        <f>SUMIFS(Transit_Clean[Quantity], Transit_Clean[Destination], A217, Transit_Clean[Item_Code], B217, Transit_Clean[SAP_Status], "In Transit")</f>
        <v>0</v>
      </c>
      <c r="K217">
        <f t="shared" si="11"/>
        <v>13.434867141931301</v>
      </c>
      <c r="L217" t="str" cm="1">
        <f t="array" ref="L217">_xlfn.IFS(C217&lt;0,"DATO INVALIDO", C217+J217&lt;I217,"PEDIR YA", C217&lt;I217,"EN CAMINO OK", TRUE,"SANO")</f>
        <v>SANO</v>
      </c>
    </row>
    <row r="218" spans="1:12" x14ac:dyDescent="0.45">
      <c r="A218" t="s">
        <v>1119</v>
      </c>
      <c r="B218" t="s">
        <v>1130</v>
      </c>
      <c r="C218">
        <v>6350</v>
      </c>
      <c r="D218">
        <v>441.2</v>
      </c>
      <c r="E218">
        <v>203.7</v>
      </c>
      <c r="F218">
        <v>3.3</v>
      </c>
      <c r="G218">
        <v>1</v>
      </c>
      <c r="H218">
        <f t="shared" si="9"/>
        <v>950.12870958754843</v>
      </c>
      <c r="I218">
        <f t="shared" si="10"/>
        <v>2406.0887095875482</v>
      </c>
      <c r="J218">
        <f>SUMIFS(Transit_Clean[Quantity], Transit_Clean[Destination], A218, Transit_Clean[Item_Code], B218, Transit_Clean[SAP_Status], "In Transit")</f>
        <v>518</v>
      </c>
      <c r="K218">
        <f t="shared" si="11"/>
        <v>14.392565729827743</v>
      </c>
      <c r="L218" t="str" cm="1">
        <f t="array" ref="L218">_xlfn.IFS(C218&lt;0,"DATO INVALIDO", C218+J218&lt;I218,"PEDIR YA", C218&lt;I218,"EN CAMINO OK", TRUE,"SANO")</f>
        <v>SANO</v>
      </c>
    </row>
    <row r="219" spans="1:12" x14ac:dyDescent="0.45">
      <c r="A219" t="s">
        <v>1115</v>
      </c>
      <c r="B219" t="s">
        <v>51</v>
      </c>
      <c r="C219">
        <v>5817</v>
      </c>
      <c r="D219">
        <v>714.9</v>
      </c>
      <c r="E219">
        <v>207</v>
      </c>
      <c r="F219">
        <v>1.8</v>
      </c>
      <c r="G219">
        <v>0.6</v>
      </c>
      <c r="H219">
        <f t="shared" si="9"/>
        <v>843.14471029651838</v>
      </c>
      <c r="I219">
        <f t="shared" si="10"/>
        <v>2129.9647102965182</v>
      </c>
      <c r="J219">
        <f>SUMIFS(Transit_Clean[Quantity], Transit_Clean[Destination], A219, Transit_Clean[Item_Code], B219, Transit_Clean[SAP_Status], "In Transit")</f>
        <v>0</v>
      </c>
      <c r="K219">
        <f t="shared" si="11"/>
        <v>8.1368023499790176</v>
      </c>
      <c r="L219" t="str" cm="1">
        <f t="array" ref="L219">_xlfn.IFS(C219&lt;0,"DATO INVALIDO", C219+J219&lt;I219,"PEDIR YA", C219&lt;I219,"EN CAMINO OK", TRUE,"SANO")</f>
        <v>SANO</v>
      </c>
    </row>
    <row r="220" spans="1:12" x14ac:dyDescent="0.45">
      <c r="A220" t="s">
        <v>1116</v>
      </c>
      <c r="B220" t="s">
        <v>47</v>
      </c>
      <c r="C220">
        <v>465</v>
      </c>
      <c r="D220">
        <v>392.2</v>
      </c>
      <c r="E220">
        <v>46.2</v>
      </c>
      <c r="F220">
        <v>4</v>
      </c>
      <c r="G220">
        <v>1.6</v>
      </c>
      <c r="H220">
        <f t="shared" si="9"/>
        <v>1046.5723950420247</v>
      </c>
      <c r="I220">
        <f t="shared" si="10"/>
        <v>2615.3723950420244</v>
      </c>
      <c r="J220">
        <f>SUMIFS(Transit_Clean[Quantity], Transit_Clean[Destination], A220, Transit_Clean[Item_Code], B220, Transit_Clean[SAP_Status], "In Transit")</f>
        <v>1481</v>
      </c>
      <c r="K220">
        <f t="shared" si="11"/>
        <v>1.1856195818459969</v>
      </c>
      <c r="L220" t="str" cm="1">
        <f t="array" ref="L220">_xlfn.IFS(C220&lt;0,"DATO INVALIDO", C220+J220&lt;I220,"PEDIR YA", C220&lt;I220,"EN CAMINO OK", TRUE,"SANO")</f>
        <v>PEDIR YA</v>
      </c>
    </row>
    <row r="221" spans="1:12" x14ac:dyDescent="0.45">
      <c r="A221" t="s">
        <v>1122</v>
      </c>
      <c r="B221" t="s">
        <v>64</v>
      </c>
      <c r="C221">
        <v>6116</v>
      </c>
      <c r="D221">
        <v>517.79999999999995</v>
      </c>
      <c r="E221">
        <v>123.5</v>
      </c>
      <c r="F221">
        <v>0.9</v>
      </c>
      <c r="G221">
        <v>0.2</v>
      </c>
      <c r="H221">
        <f t="shared" si="9"/>
        <v>258.01114208208139</v>
      </c>
      <c r="I221">
        <f t="shared" si="10"/>
        <v>724.03114208208137</v>
      </c>
      <c r="J221">
        <f>SUMIFS(Transit_Clean[Quantity], Transit_Clean[Destination], A221, Transit_Clean[Item_Code], B221, Transit_Clean[SAP_Status], "In Transit")</f>
        <v>0</v>
      </c>
      <c r="K221">
        <f t="shared" si="11"/>
        <v>11.811510235612207</v>
      </c>
      <c r="L221" t="str" cm="1">
        <f t="array" ref="L221">_xlfn.IFS(C221&lt;0,"DATO INVALIDO", C221+J221&lt;I221,"PEDIR YA", C221&lt;I221,"EN CAMINO OK", TRUE,"SANO")</f>
        <v>SANO</v>
      </c>
    </row>
    <row r="222" spans="1:12" x14ac:dyDescent="0.45">
      <c r="A222" t="s">
        <v>1115</v>
      </c>
      <c r="B222" t="s">
        <v>41</v>
      </c>
      <c r="C222">
        <v>2945</v>
      </c>
      <c r="D222">
        <v>342</v>
      </c>
      <c r="E222">
        <v>99.1</v>
      </c>
      <c r="F222">
        <v>1.6</v>
      </c>
      <c r="G222">
        <v>0.6</v>
      </c>
      <c r="H222">
        <f t="shared" si="9"/>
        <v>396.75668206093263</v>
      </c>
      <c r="I222">
        <f t="shared" si="10"/>
        <v>943.95668206093274</v>
      </c>
      <c r="J222">
        <f>SUMIFS(Transit_Clean[Quantity], Transit_Clean[Destination], A222, Transit_Clean[Item_Code], B222, Transit_Clean[SAP_Status], "In Transit")</f>
        <v>0</v>
      </c>
      <c r="K222">
        <f t="shared" si="11"/>
        <v>8.6111111111111107</v>
      </c>
      <c r="L222" t="str" cm="1">
        <f t="array" ref="L222">_xlfn.IFS(C222&lt;0,"DATO INVALIDO", C222+J222&lt;I222,"PEDIR YA", C222&lt;I222,"EN CAMINO OK", TRUE,"SANO")</f>
        <v>SANO</v>
      </c>
    </row>
    <row r="223" spans="1:12" x14ac:dyDescent="0.45">
      <c r="A223" t="s">
        <v>1120</v>
      </c>
      <c r="B223" t="s">
        <v>89</v>
      </c>
      <c r="C223">
        <v>1666</v>
      </c>
      <c r="D223">
        <v>246.7</v>
      </c>
      <c r="E223">
        <v>44.1</v>
      </c>
      <c r="F223">
        <v>1.9</v>
      </c>
      <c r="G223">
        <v>0.5</v>
      </c>
      <c r="H223">
        <f t="shared" si="9"/>
        <v>226.89966765896773</v>
      </c>
      <c r="I223">
        <f t="shared" si="10"/>
        <v>695.62966765896772</v>
      </c>
      <c r="J223">
        <f>SUMIFS(Transit_Clean[Quantity], Transit_Clean[Destination], A223, Transit_Clean[Item_Code], B223, Transit_Clean[SAP_Status], "In Transit")</f>
        <v>0</v>
      </c>
      <c r="K223">
        <f t="shared" si="11"/>
        <v>6.7531414673692751</v>
      </c>
      <c r="L223" t="str" cm="1">
        <f t="array" ref="L223">_xlfn.IFS(C223&lt;0,"DATO INVALIDO", C223+J223&lt;I223,"PEDIR YA", C223&lt;I223,"EN CAMINO OK", TRUE,"SANO")</f>
        <v>SANO</v>
      </c>
    </row>
    <row r="224" spans="1:12" x14ac:dyDescent="0.45">
      <c r="A224" t="s">
        <v>1123</v>
      </c>
      <c r="B224" t="s">
        <v>15</v>
      </c>
      <c r="C224">
        <v>15661</v>
      </c>
      <c r="D224">
        <v>987.7</v>
      </c>
      <c r="E224">
        <v>239</v>
      </c>
      <c r="F224">
        <v>1.2</v>
      </c>
      <c r="G224">
        <v>0.3</v>
      </c>
      <c r="H224">
        <f t="shared" si="9"/>
        <v>652.41762838863417</v>
      </c>
      <c r="I224">
        <f t="shared" si="10"/>
        <v>1837.6576283886343</v>
      </c>
      <c r="J224">
        <f>SUMIFS(Transit_Clean[Quantity], Transit_Clean[Destination], A224, Transit_Clean[Item_Code], B224, Transit_Clean[SAP_Status], "In Transit")</f>
        <v>1280</v>
      </c>
      <c r="K224">
        <f t="shared" si="11"/>
        <v>15.856029158651411</v>
      </c>
      <c r="L224" t="str" cm="1">
        <f t="array" ref="L224">_xlfn.IFS(C224&lt;0,"DATO INVALIDO", C224+J224&lt;I224,"PEDIR YA", C224&lt;I224,"EN CAMINO OK", TRUE,"SANO")</f>
        <v>SANO</v>
      </c>
    </row>
    <row r="225" spans="1:12" x14ac:dyDescent="0.45">
      <c r="A225" t="s">
        <v>1128</v>
      </c>
      <c r="B225" t="s">
        <v>81</v>
      </c>
      <c r="C225">
        <v>4488</v>
      </c>
      <c r="D225">
        <v>495.9</v>
      </c>
      <c r="E225">
        <v>75.599999999999994</v>
      </c>
      <c r="F225">
        <v>1.4</v>
      </c>
      <c r="G225">
        <v>0.5</v>
      </c>
      <c r="H225">
        <f t="shared" si="9"/>
        <v>434.92668743852676</v>
      </c>
      <c r="I225">
        <f t="shared" si="10"/>
        <v>1129.1866874385266</v>
      </c>
      <c r="J225">
        <f>SUMIFS(Transit_Clean[Quantity], Transit_Clean[Destination], A225, Transit_Clean[Item_Code], B225, Transit_Clean[SAP_Status], "In Transit")</f>
        <v>0</v>
      </c>
      <c r="K225">
        <f t="shared" si="11"/>
        <v>9.050211736237145</v>
      </c>
      <c r="L225" t="str" cm="1">
        <f t="array" ref="L225">_xlfn.IFS(C225&lt;0,"DATO INVALIDO", C225+J225&lt;I225,"PEDIR YA", C225&lt;I225,"EN CAMINO OK", TRUE,"SANO")</f>
        <v>SANO</v>
      </c>
    </row>
    <row r="226" spans="1:12" x14ac:dyDescent="0.45">
      <c r="A226" t="s">
        <v>1118</v>
      </c>
      <c r="B226" t="s">
        <v>31</v>
      </c>
      <c r="C226">
        <v>7145</v>
      </c>
      <c r="D226">
        <v>398.8</v>
      </c>
      <c r="E226">
        <v>58.5</v>
      </c>
      <c r="F226">
        <v>5.6</v>
      </c>
      <c r="G226">
        <v>1.5</v>
      </c>
      <c r="H226">
        <f t="shared" si="9"/>
        <v>1013.1159086698816</v>
      </c>
      <c r="I226">
        <f t="shared" si="10"/>
        <v>3246.3959086698815</v>
      </c>
      <c r="J226">
        <f>SUMIFS(Transit_Clean[Quantity], Transit_Clean[Destination], A226, Transit_Clean[Item_Code], B226, Transit_Clean[SAP_Status], "In Transit")</f>
        <v>0</v>
      </c>
      <c r="K226">
        <f t="shared" si="11"/>
        <v>17.916248746238715</v>
      </c>
      <c r="L226" t="str" cm="1">
        <f t="array" ref="L226">_xlfn.IFS(C226&lt;0,"DATO INVALIDO", C226+J226&lt;I226,"PEDIR YA", C226&lt;I226,"EN CAMINO OK", TRUE,"SANO")</f>
        <v>SANO</v>
      </c>
    </row>
    <row r="227" spans="1:12" x14ac:dyDescent="0.45">
      <c r="A227" t="s">
        <v>1121</v>
      </c>
      <c r="B227" t="s">
        <v>23</v>
      </c>
      <c r="C227">
        <v>5800</v>
      </c>
      <c r="D227">
        <v>335.8</v>
      </c>
      <c r="E227">
        <v>127.5</v>
      </c>
      <c r="F227">
        <v>2.1</v>
      </c>
      <c r="G227">
        <v>0.4</v>
      </c>
      <c r="H227">
        <f t="shared" si="9"/>
        <v>376.90849777698031</v>
      </c>
      <c r="I227">
        <f t="shared" si="10"/>
        <v>1082.0884977769804</v>
      </c>
      <c r="J227">
        <f>SUMIFS(Transit_Clean[Quantity], Transit_Clean[Destination], A227, Transit_Clean[Item_Code], B227, Transit_Clean[SAP_Status], "In Transit")</f>
        <v>0</v>
      </c>
      <c r="K227">
        <f t="shared" si="11"/>
        <v>17.272185824895772</v>
      </c>
      <c r="L227" t="str" cm="1">
        <f t="array" ref="L227">_xlfn.IFS(C227&lt;0,"DATO INVALIDO", C227+J227&lt;I227,"PEDIR YA", C227&lt;I227,"EN CAMINO OK", TRUE,"SANO")</f>
        <v>SANO</v>
      </c>
    </row>
    <row r="228" spans="1:12" x14ac:dyDescent="0.45">
      <c r="A228" t="s">
        <v>1120</v>
      </c>
      <c r="B228" t="s">
        <v>33</v>
      </c>
      <c r="C228">
        <v>4679</v>
      </c>
      <c r="D228">
        <v>370.9</v>
      </c>
      <c r="E228">
        <v>60.1</v>
      </c>
      <c r="F228">
        <v>1.5</v>
      </c>
      <c r="G228">
        <v>0.5</v>
      </c>
      <c r="H228">
        <f t="shared" si="9"/>
        <v>329.21414898778272</v>
      </c>
      <c r="I228">
        <f t="shared" si="10"/>
        <v>885.56414898778257</v>
      </c>
      <c r="J228">
        <f>SUMIFS(Transit_Clean[Quantity], Transit_Clean[Destination], A228, Transit_Clean[Item_Code], B228, Transit_Clean[SAP_Status], "In Transit")</f>
        <v>1372</v>
      </c>
      <c r="K228">
        <f t="shared" si="11"/>
        <v>12.615260177945538</v>
      </c>
      <c r="L228" t="str" cm="1">
        <f t="array" ref="L228">_xlfn.IFS(C228&lt;0,"DATO INVALIDO", C228+J228&lt;I228,"PEDIR YA", C228&lt;I228,"EN CAMINO OK", TRUE,"SANO")</f>
        <v>SANO</v>
      </c>
    </row>
    <row r="229" spans="1:12" x14ac:dyDescent="0.45">
      <c r="A229" t="s">
        <v>1115</v>
      </c>
      <c r="B229" t="s">
        <v>19</v>
      </c>
      <c r="C229">
        <v>472</v>
      </c>
      <c r="D229">
        <v>141.69999999999999</v>
      </c>
      <c r="E229">
        <v>62.3</v>
      </c>
      <c r="F229">
        <v>1.5</v>
      </c>
      <c r="G229">
        <v>0.6</v>
      </c>
      <c r="H229">
        <f t="shared" si="9"/>
        <v>188.49280656433547</v>
      </c>
      <c r="I229">
        <f t="shared" si="10"/>
        <v>401.04280656433548</v>
      </c>
      <c r="J229">
        <f>SUMIFS(Transit_Clean[Quantity], Transit_Clean[Destination], A229, Transit_Clean[Item_Code], B229, Transit_Clean[SAP_Status], "In Transit")</f>
        <v>0</v>
      </c>
      <c r="K229">
        <f t="shared" si="11"/>
        <v>3.3309809456598449</v>
      </c>
      <c r="L229" t="str" cm="1">
        <f t="array" ref="L229">_xlfn.IFS(C229&lt;0,"DATO INVALIDO", C229+J229&lt;I229,"PEDIR YA", C229&lt;I229,"EN CAMINO OK", TRUE,"SANO")</f>
        <v>SANO</v>
      </c>
    </row>
    <row r="230" spans="1:12" x14ac:dyDescent="0.45">
      <c r="A230" t="s">
        <v>1124</v>
      </c>
      <c r="B230" t="s">
        <v>54</v>
      </c>
      <c r="C230">
        <v>5135</v>
      </c>
      <c r="D230">
        <v>475</v>
      </c>
      <c r="E230">
        <v>60</v>
      </c>
      <c r="F230">
        <v>0.9</v>
      </c>
      <c r="G230">
        <v>0.3</v>
      </c>
      <c r="H230">
        <f t="shared" si="9"/>
        <v>253.18899191118084</v>
      </c>
      <c r="I230">
        <f t="shared" si="10"/>
        <v>680.68899191118089</v>
      </c>
      <c r="J230">
        <f>SUMIFS(Transit_Clean[Quantity], Transit_Clean[Destination], A230, Transit_Clean[Item_Code], B230, Transit_Clean[SAP_Status], "In Transit")</f>
        <v>0</v>
      </c>
      <c r="K230">
        <f t="shared" si="11"/>
        <v>10.810526315789474</v>
      </c>
      <c r="L230" t="str" cm="1">
        <f t="array" ref="L230">_xlfn.IFS(C230&lt;0,"DATO INVALIDO", C230+J230&lt;I230,"PEDIR YA", C230&lt;I230,"EN CAMINO OK", TRUE,"SANO")</f>
        <v>SANO</v>
      </c>
    </row>
    <row r="231" spans="1:12" x14ac:dyDescent="0.45">
      <c r="A231" t="s">
        <v>1114</v>
      </c>
      <c r="B231" t="s">
        <v>54</v>
      </c>
      <c r="C231">
        <v>4489</v>
      </c>
      <c r="D231">
        <v>420.5</v>
      </c>
      <c r="E231">
        <v>60.7</v>
      </c>
      <c r="F231">
        <v>3.9</v>
      </c>
      <c r="G231">
        <v>1.3</v>
      </c>
      <c r="H231">
        <f t="shared" si="9"/>
        <v>923.40423675319471</v>
      </c>
      <c r="I231">
        <f t="shared" si="10"/>
        <v>2563.3542367531945</v>
      </c>
      <c r="J231">
        <f>SUMIFS(Transit_Clean[Quantity], Transit_Clean[Destination], A231, Transit_Clean[Item_Code], B231, Transit_Clean[SAP_Status], "In Transit")</f>
        <v>1660</v>
      </c>
      <c r="K231">
        <f t="shared" si="11"/>
        <v>10.67538644470868</v>
      </c>
      <c r="L231" t="str" cm="1">
        <f t="array" ref="L231">_xlfn.IFS(C231&lt;0,"DATO INVALIDO", C231+J231&lt;I231,"PEDIR YA", C231&lt;I231,"EN CAMINO OK", TRUE,"SANO")</f>
        <v>SANO</v>
      </c>
    </row>
    <row r="232" spans="1:12" x14ac:dyDescent="0.45">
      <c r="A232" t="s">
        <v>1118</v>
      </c>
      <c r="B232" t="s">
        <v>91</v>
      </c>
      <c r="C232">
        <v>9230</v>
      </c>
      <c r="D232">
        <v>704.7</v>
      </c>
      <c r="E232">
        <v>352.1</v>
      </c>
      <c r="F232">
        <v>6.1</v>
      </c>
      <c r="G232">
        <v>1.5</v>
      </c>
      <c r="H232">
        <f t="shared" si="9"/>
        <v>2258.5110577610089</v>
      </c>
      <c r="I232">
        <f t="shared" si="10"/>
        <v>6557.1810577610086</v>
      </c>
      <c r="J232">
        <f>SUMIFS(Transit_Clean[Quantity], Transit_Clean[Destination], A232, Transit_Clean[Item_Code], B232, Transit_Clean[SAP_Status], "In Transit")</f>
        <v>1652</v>
      </c>
      <c r="K232">
        <f t="shared" si="11"/>
        <v>13.097772101603518</v>
      </c>
      <c r="L232" t="str" cm="1">
        <f t="array" ref="L232">_xlfn.IFS(C232&lt;0,"DATO INVALIDO", C232+J232&lt;I232,"PEDIR YA", C232&lt;I232,"EN CAMINO OK", TRUE,"SANO")</f>
        <v>SANO</v>
      </c>
    </row>
    <row r="233" spans="1:12" x14ac:dyDescent="0.45">
      <c r="A233" t="s">
        <v>1116</v>
      </c>
      <c r="B233" t="s">
        <v>96</v>
      </c>
      <c r="C233">
        <v>1731</v>
      </c>
      <c r="D233">
        <v>637.6</v>
      </c>
      <c r="E233">
        <v>158.19999999999999</v>
      </c>
      <c r="F233">
        <v>7.5</v>
      </c>
      <c r="G233">
        <v>1.6</v>
      </c>
      <c r="H233">
        <f t="shared" si="9"/>
        <v>1828.7708031478412</v>
      </c>
      <c r="I233">
        <f t="shared" si="10"/>
        <v>6610.7708031478414</v>
      </c>
      <c r="J233">
        <f>SUMIFS(Transit_Clean[Quantity], Transit_Clean[Destination], A233, Transit_Clean[Item_Code], B233, Transit_Clean[SAP_Status], "In Transit")</f>
        <v>0</v>
      </c>
      <c r="K233">
        <f t="shared" si="11"/>
        <v>2.7148682559598494</v>
      </c>
      <c r="L233" t="str" cm="1">
        <f t="array" ref="L233">_xlfn.IFS(C233&lt;0,"DATO INVALIDO", C233+J233&lt;I233,"PEDIR YA", C233&lt;I233,"EN CAMINO OK", TRUE,"SANO")</f>
        <v>PEDIR YA</v>
      </c>
    </row>
    <row r="234" spans="1:12" x14ac:dyDescent="0.45">
      <c r="A234" t="s">
        <v>1115</v>
      </c>
      <c r="B234" t="s">
        <v>1138</v>
      </c>
      <c r="C234">
        <v>3182</v>
      </c>
      <c r="E234">
        <v>150.1</v>
      </c>
      <c r="F234">
        <v>1.5</v>
      </c>
      <c r="G234">
        <v>0.6</v>
      </c>
      <c r="H234">
        <f t="shared" si="9"/>
        <v>303.32643857319783</v>
      </c>
      <c r="I234">
        <f t="shared" si="10"/>
        <v>303.32643857319783</v>
      </c>
      <c r="J234">
        <f>SUMIFS(Transit_Clean[Quantity], Transit_Clean[Destination], A234, Transit_Clean[Item_Code], B234, Transit_Clean[SAP_Status], "In Transit")</f>
        <v>0</v>
      </c>
      <c r="K234" t="str">
        <f t="shared" si="11"/>
        <v/>
      </c>
      <c r="L234" t="str" cm="1">
        <f t="array" ref="L234">_xlfn.IFS(C234&lt;0,"DATO INVALIDO", C234+J234&lt;I234,"PEDIR YA", C234&lt;I234,"EN CAMINO OK", TRUE,"SANO")</f>
        <v>SANO</v>
      </c>
    </row>
    <row r="235" spans="1:12" x14ac:dyDescent="0.45">
      <c r="A235" t="s">
        <v>1117</v>
      </c>
      <c r="B235" t="s">
        <v>1130</v>
      </c>
      <c r="C235">
        <v>7745</v>
      </c>
      <c r="D235">
        <v>625.9</v>
      </c>
      <c r="E235">
        <v>433.5</v>
      </c>
      <c r="F235">
        <v>1.1000000000000001</v>
      </c>
      <c r="G235">
        <v>0.5</v>
      </c>
      <c r="H235">
        <f t="shared" si="9"/>
        <v>910.72254460057684</v>
      </c>
      <c r="I235">
        <f t="shared" si="10"/>
        <v>1599.2125446005768</v>
      </c>
      <c r="J235">
        <f>SUMIFS(Transit_Clean[Quantity], Transit_Clean[Destination], A235, Transit_Clean[Item_Code], B235, Transit_Clean[SAP_Status], "In Transit")</f>
        <v>1827</v>
      </c>
      <c r="K235">
        <f t="shared" si="11"/>
        <v>12.374181179102093</v>
      </c>
      <c r="L235" t="str" cm="1">
        <f t="array" ref="L235">_xlfn.IFS(C235&lt;0,"DATO INVALIDO", C235+J235&lt;I235,"PEDIR YA", C235&lt;I235,"EN CAMINO OK", TRUE,"SANO")</f>
        <v>SANO</v>
      </c>
    </row>
    <row r="236" spans="1:12" x14ac:dyDescent="0.45">
      <c r="A236" t="s">
        <v>1117</v>
      </c>
      <c r="B236" t="s">
        <v>93</v>
      </c>
      <c r="C236">
        <v>7278</v>
      </c>
      <c r="E236">
        <v>51.7</v>
      </c>
      <c r="F236">
        <v>2.5</v>
      </c>
      <c r="G236">
        <v>0.5</v>
      </c>
      <c r="H236">
        <f t="shared" si="9"/>
        <v>134.87904790033181</v>
      </c>
      <c r="I236">
        <f t="shared" si="10"/>
        <v>134.87904790033181</v>
      </c>
      <c r="J236">
        <f>SUMIFS(Transit_Clean[Quantity], Transit_Clean[Destination], A236, Transit_Clean[Item_Code], B236, Transit_Clean[SAP_Status], "In Transit")</f>
        <v>826</v>
      </c>
      <c r="K236" t="str">
        <f t="shared" si="11"/>
        <v/>
      </c>
      <c r="L236" t="str" cm="1">
        <f t="array" ref="L236">_xlfn.IFS(C236&lt;0,"DATO INVALIDO", C236+J236&lt;I236,"PEDIR YA", C236&lt;I236,"EN CAMINO OK", TRUE,"SANO")</f>
        <v>SANO</v>
      </c>
    </row>
    <row r="237" spans="1:12" x14ac:dyDescent="0.45">
      <c r="A237" t="s">
        <v>1117</v>
      </c>
      <c r="B237" t="s">
        <v>1140</v>
      </c>
      <c r="C237">
        <v>2788</v>
      </c>
      <c r="D237">
        <v>180.8</v>
      </c>
      <c r="E237">
        <v>14.5</v>
      </c>
      <c r="F237">
        <v>2.4</v>
      </c>
      <c r="G237">
        <v>0.5</v>
      </c>
      <c r="H237">
        <f t="shared" si="9"/>
        <v>153.69606078231152</v>
      </c>
      <c r="I237">
        <f t="shared" si="10"/>
        <v>587.61606078231148</v>
      </c>
      <c r="J237">
        <f>SUMIFS(Transit_Clean[Quantity], Transit_Clean[Destination], A237, Transit_Clean[Item_Code], B237, Transit_Clean[SAP_Status], "In Transit")</f>
        <v>3694</v>
      </c>
      <c r="K237">
        <f t="shared" si="11"/>
        <v>15.420353982300885</v>
      </c>
      <c r="L237" t="str" cm="1">
        <f t="array" ref="L237">_xlfn.IFS(C237&lt;0,"DATO INVALIDO", C237+J237&lt;I237,"PEDIR YA", C237&lt;I237,"EN CAMINO OK", TRUE,"SANO")</f>
        <v>SANO</v>
      </c>
    </row>
    <row r="238" spans="1:12" x14ac:dyDescent="0.45">
      <c r="A238" t="s">
        <v>1127</v>
      </c>
      <c r="B238" t="s">
        <v>87</v>
      </c>
      <c r="C238">
        <v>2395</v>
      </c>
      <c r="D238">
        <v>596.1</v>
      </c>
      <c r="E238">
        <v>93.9</v>
      </c>
      <c r="F238">
        <v>1.5</v>
      </c>
      <c r="G238">
        <v>0.9</v>
      </c>
      <c r="H238">
        <f t="shared" si="9"/>
        <v>905.31838035563487</v>
      </c>
      <c r="I238">
        <f t="shared" si="10"/>
        <v>1799.468380355635</v>
      </c>
      <c r="J238">
        <f>SUMIFS(Transit_Clean[Quantity], Transit_Clean[Destination], A238, Transit_Clean[Item_Code], B238, Transit_Clean[SAP_Status], "In Transit")</f>
        <v>1174</v>
      </c>
      <c r="K238">
        <f t="shared" si="11"/>
        <v>4.0177822513001171</v>
      </c>
      <c r="L238" t="str" cm="1">
        <f t="array" ref="L238">_xlfn.IFS(C238&lt;0,"DATO INVALIDO", C238+J238&lt;I238,"PEDIR YA", C238&lt;I238,"EN CAMINO OK", TRUE,"SANO")</f>
        <v>SANO</v>
      </c>
    </row>
    <row r="239" spans="1:12" x14ac:dyDescent="0.45">
      <c r="A239" t="s">
        <v>1124</v>
      </c>
      <c r="B239" t="s">
        <v>84</v>
      </c>
      <c r="C239">
        <v>3858</v>
      </c>
      <c r="D239">
        <v>510.4</v>
      </c>
      <c r="E239">
        <v>154.1</v>
      </c>
      <c r="F239">
        <v>1</v>
      </c>
      <c r="G239">
        <v>0.3</v>
      </c>
      <c r="H239">
        <f t="shared" si="9"/>
        <v>358.44344341750764</v>
      </c>
      <c r="I239">
        <f t="shared" si="10"/>
        <v>868.84344341750761</v>
      </c>
      <c r="J239">
        <f>SUMIFS(Transit_Clean[Quantity], Transit_Clean[Destination], A239, Transit_Clean[Item_Code], B239, Transit_Clean[SAP_Status], "In Transit")</f>
        <v>2333</v>
      </c>
      <c r="K239">
        <f t="shared" si="11"/>
        <v>7.5587774294670851</v>
      </c>
      <c r="L239" t="str" cm="1">
        <f t="array" ref="L239">_xlfn.IFS(C239&lt;0,"DATO INVALIDO", C239+J239&lt;I239,"PEDIR YA", C239&lt;I239,"EN CAMINO OK", TRUE,"SANO")</f>
        <v>SANO</v>
      </c>
    </row>
    <row r="240" spans="1:12" x14ac:dyDescent="0.45">
      <c r="A240" t="s">
        <v>1117</v>
      </c>
      <c r="B240" t="s">
        <v>80</v>
      </c>
      <c r="C240">
        <v>4594</v>
      </c>
      <c r="D240">
        <v>306.5</v>
      </c>
      <c r="E240">
        <v>44</v>
      </c>
      <c r="F240">
        <v>2.8</v>
      </c>
      <c r="G240">
        <v>0.5</v>
      </c>
      <c r="H240">
        <f t="shared" si="9"/>
        <v>280.53087513899425</v>
      </c>
      <c r="I240">
        <f t="shared" si="10"/>
        <v>1138.7308751389942</v>
      </c>
      <c r="J240">
        <f>SUMIFS(Transit_Clean[Quantity], Transit_Clean[Destination], A240, Transit_Clean[Item_Code], B240, Transit_Clean[SAP_Status], "In Transit")</f>
        <v>0</v>
      </c>
      <c r="K240">
        <f t="shared" si="11"/>
        <v>14.988580750407831</v>
      </c>
      <c r="L240" t="str" cm="1">
        <f t="array" ref="L240">_xlfn.IFS(C240&lt;0,"DATO INVALIDO", C240+J240&lt;I240,"PEDIR YA", C240&lt;I240,"EN CAMINO OK", TRUE,"SANO")</f>
        <v>SANO</v>
      </c>
    </row>
    <row r="241" spans="1:12" x14ac:dyDescent="0.45">
      <c r="A241" t="s">
        <v>1119</v>
      </c>
      <c r="B241" t="s">
        <v>1131</v>
      </c>
      <c r="C241">
        <v>4043</v>
      </c>
      <c r="D241">
        <v>872.1</v>
      </c>
      <c r="E241">
        <v>360.1</v>
      </c>
      <c r="F241">
        <v>3.5</v>
      </c>
      <c r="G241">
        <v>1</v>
      </c>
      <c r="H241">
        <f t="shared" si="9"/>
        <v>1818.3048249709123</v>
      </c>
      <c r="I241">
        <f t="shared" si="10"/>
        <v>4870.6548249709122</v>
      </c>
      <c r="J241">
        <f>SUMIFS(Transit_Clean[Quantity], Transit_Clean[Destination], A241, Transit_Clean[Item_Code], B241, Transit_Clean[SAP_Status], "In Transit")</f>
        <v>0</v>
      </c>
      <c r="K241">
        <f t="shared" si="11"/>
        <v>4.6359362458433662</v>
      </c>
      <c r="L241" t="str" cm="1">
        <f t="array" ref="L241">_xlfn.IFS(C241&lt;0,"DATO INVALIDO", C241+J241&lt;I241,"PEDIR YA", C241&lt;I241,"EN CAMINO OK", TRUE,"SANO")</f>
        <v>PEDIR YA</v>
      </c>
    </row>
    <row r="242" spans="1:12" x14ac:dyDescent="0.45">
      <c r="A242" t="s">
        <v>1119</v>
      </c>
      <c r="B242" t="s">
        <v>85</v>
      </c>
      <c r="C242">
        <v>4103</v>
      </c>
      <c r="D242">
        <v>289.39999999999998</v>
      </c>
      <c r="E242">
        <v>175.6</v>
      </c>
      <c r="F242">
        <v>3.3</v>
      </c>
      <c r="G242">
        <v>1</v>
      </c>
      <c r="H242">
        <f t="shared" si="9"/>
        <v>710.66756164890467</v>
      </c>
      <c r="I242">
        <f t="shared" si="10"/>
        <v>1665.6875616489046</v>
      </c>
      <c r="J242">
        <f>SUMIFS(Transit_Clean[Quantity], Transit_Clean[Destination], A242, Transit_Clean[Item_Code], B242, Transit_Clean[SAP_Status], "In Transit")</f>
        <v>2962</v>
      </c>
      <c r="K242">
        <f t="shared" si="11"/>
        <v>14.177608845888045</v>
      </c>
      <c r="L242" t="str" cm="1">
        <f t="array" ref="L242">_xlfn.IFS(C242&lt;0,"DATO INVALIDO", C242+J242&lt;I242,"PEDIR YA", C242&lt;I242,"EN CAMINO OK", TRUE,"SANO")</f>
        <v>SANO</v>
      </c>
    </row>
    <row r="243" spans="1:12" x14ac:dyDescent="0.45">
      <c r="A243" t="s">
        <v>1121</v>
      </c>
      <c r="B243" t="s">
        <v>74</v>
      </c>
      <c r="C243">
        <v>2685</v>
      </c>
      <c r="D243">
        <v>193.5</v>
      </c>
      <c r="E243">
        <v>109.5</v>
      </c>
      <c r="F243">
        <v>1.4</v>
      </c>
      <c r="G243">
        <v>0.4</v>
      </c>
      <c r="H243">
        <f t="shared" si="9"/>
        <v>249.01944095793002</v>
      </c>
      <c r="I243">
        <f t="shared" si="10"/>
        <v>519.91944095792996</v>
      </c>
      <c r="J243">
        <f>SUMIFS(Transit_Clean[Quantity], Transit_Clean[Destination], A243, Transit_Clean[Item_Code], B243, Transit_Clean[SAP_Status], "In Transit")</f>
        <v>2411</v>
      </c>
      <c r="K243">
        <f t="shared" si="11"/>
        <v>13.875968992248062</v>
      </c>
      <c r="L243" t="str" cm="1">
        <f t="array" ref="L243">_xlfn.IFS(C243&lt;0,"DATO INVALIDO", C243+J243&lt;I243,"PEDIR YA", C243&lt;I243,"EN CAMINO OK", TRUE,"SANO")</f>
        <v>SANO</v>
      </c>
    </row>
    <row r="244" spans="1:12" x14ac:dyDescent="0.45">
      <c r="A244" t="s">
        <v>1128</v>
      </c>
      <c r="B244" t="s">
        <v>30</v>
      </c>
      <c r="C244">
        <v>2126</v>
      </c>
      <c r="D244">
        <v>889.4</v>
      </c>
      <c r="E244">
        <v>164.5</v>
      </c>
      <c r="F244">
        <v>2.5</v>
      </c>
      <c r="G244">
        <v>0.5</v>
      </c>
      <c r="H244">
        <f t="shared" si="9"/>
        <v>850.04424978203338</v>
      </c>
      <c r="I244">
        <f t="shared" si="10"/>
        <v>3073.5442497820331</v>
      </c>
      <c r="J244">
        <f>SUMIFS(Transit_Clean[Quantity], Transit_Clean[Destination], A244, Transit_Clean[Item_Code], B244, Transit_Clean[SAP_Status], "In Transit")</f>
        <v>1653</v>
      </c>
      <c r="K244">
        <f t="shared" si="11"/>
        <v>2.3903755340679109</v>
      </c>
      <c r="L244" t="str" cm="1">
        <f t="array" ref="L244">_xlfn.IFS(C244&lt;0,"DATO INVALIDO", C244+J244&lt;I244,"PEDIR YA", C244&lt;I244,"EN CAMINO OK", TRUE,"SANO")</f>
        <v>EN CAMINO OK</v>
      </c>
    </row>
    <row r="245" spans="1:12" x14ac:dyDescent="0.45">
      <c r="A245" t="s">
        <v>1122</v>
      </c>
      <c r="B245" t="s">
        <v>91</v>
      </c>
      <c r="C245">
        <v>1150</v>
      </c>
      <c r="D245">
        <v>104</v>
      </c>
      <c r="E245">
        <v>66.099999999999994</v>
      </c>
      <c r="F245">
        <v>0.9</v>
      </c>
      <c r="G245">
        <v>0.2</v>
      </c>
      <c r="H245">
        <f t="shared" si="9"/>
        <v>109.01155536226422</v>
      </c>
      <c r="I245">
        <f t="shared" si="10"/>
        <v>202.61155536226423</v>
      </c>
      <c r="J245">
        <f>SUMIFS(Transit_Clean[Quantity], Transit_Clean[Destination], A245, Transit_Clean[Item_Code], B245, Transit_Clean[SAP_Status], "In Transit")</f>
        <v>0</v>
      </c>
      <c r="K245">
        <f t="shared" si="11"/>
        <v>11.057692307692308</v>
      </c>
      <c r="L245" t="str" cm="1">
        <f t="array" ref="L245">_xlfn.IFS(C245&lt;0,"DATO INVALIDO", C245+J245&lt;I245,"PEDIR YA", C245&lt;I245,"EN CAMINO OK", TRUE,"SANO")</f>
        <v>SANO</v>
      </c>
    </row>
    <row r="246" spans="1:12" x14ac:dyDescent="0.45">
      <c r="A246" t="s">
        <v>1123</v>
      </c>
      <c r="B246" t="s">
        <v>1141</v>
      </c>
      <c r="C246">
        <v>1928</v>
      </c>
      <c r="D246">
        <v>247</v>
      </c>
      <c r="E246">
        <v>24.7</v>
      </c>
      <c r="F246">
        <v>1.3</v>
      </c>
      <c r="G246">
        <v>0.3</v>
      </c>
      <c r="H246">
        <f t="shared" si="9"/>
        <v>130.79752007396775</v>
      </c>
      <c r="I246">
        <f t="shared" si="10"/>
        <v>451.89752007396777</v>
      </c>
      <c r="J246">
        <f>SUMIFS(Transit_Clean[Quantity], Transit_Clean[Destination], A246, Transit_Clean[Item_Code], B246, Transit_Clean[SAP_Status], "In Transit")</f>
        <v>0</v>
      </c>
      <c r="K246">
        <f t="shared" si="11"/>
        <v>7.8056680161943319</v>
      </c>
      <c r="L246" t="str" cm="1">
        <f t="array" ref="L246">_xlfn.IFS(C246&lt;0,"DATO INVALIDO", C246+J246&lt;I246,"PEDIR YA", C246&lt;I246,"EN CAMINO OK", TRUE,"SANO")</f>
        <v>SANO</v>
      </c>
    </row>
    <row r="247" spans="1:12" x14ac:dyDescent="0.45">
      <c r="A247" t="s">
        <v>1115</v>
      </c>
      <c r="B247" t="s">
        <v>36</v>
      </c>
      <c r="C247">
        <v>583</v>
      </c>
      <c r="D247">
        <v>221.5</v>
      </c>
      <c r="E247">
        <v>82.6</v>
      </c>
      <c r="F247">
        <v>1.9</v>
      </c>
      <c r="G247">
        <v>0.6</v>
      </c>
      <c r="H247">
        <f t="shared" si="9"/>
        <v>288.75308312639709</v>
      </c>
      <c r="I247">
        <f t="shared" si="10"/>
        <v>709.603083126397</v>
      </c>
      <c r="J247">
        <f>SUMIFS(Transit_Clean[Quantity], Transit_Clean[Destination], A247, Transit_Clean[Item_Code], B247, Transit_Clean[SAP_Status], "In Transit")</f>
        <v>2459</v>
      </c>
      <c r="K247">
        <f t="shared" si="11"/>
        <v>2.6320541760722347</v>
      </c>
      <c r="L247" t="str" cm="1">
        <f t="array" ref="L247">_xlfn.IFS(C247&lt;0,"DATO INVALIDO", C247+J247&lt;I247,"PEDIR YA", C247&lt;I247,"EN CAMINO OK", TRUE,"SANO")</f>
        <v>EN CAMINO OK</v>
      </c>
    </row>
    <row r="248" spans="1:12" x14ac:dyDescent="0.45">
      <c r="A248" t="s">
        <v>1117</v>
      </c>
      <c r="B248" t="s">
        <v>8</v>
      </c>
      <c r="C248">
        <v>7803</v>
      </c>
      <c r="D248">
        <v>630.29999999999995</v>
      </c>
      <c r="E248">
        <v>172.1</v>
      </c>
      <c r="F248">
        <v>2.9</v>
      </c>
      <c r="G248">
        <v>0.5</v>
      </c>
      <c r="H248">
        <f t="shared" si="9"/>
        <v>710.10009967521478</v>
      </c>
      <c r="I248">
        <f t="shared" si="10"/>
        <v>2537.9700996752144</v>
      </c>
      <c r="J248">
        <f>SUMIFS(Transit_Clean[Quantity], Transit_Clean[Destination], A248, Transit_Clean[Item_Code], B248, Transit_Clean[SAP_Status], "In Transit")</f>
        <v>0</v>
      </c>
      <c r="K248">
        <f t="shared" si="11"/>
        <v>12.379819133745837</v>
      </c>
      <c r="L248" t="str" cm="1">
        <f t="array" ref="L248">_xlfn.IFS(C248&lt;0,"DATO INVALIDO", C248+J248&lt;I248,"PEDIR YA", C248&lt;I248,"EN CAMINO OK", TRUE,"SANO")</f>
        <v>SANO</v>
      </c>
    </row>
    <row r="249" spans="1:12" x14ac:dyDescent="0.45">
      <c r="A249" t="s">
        <v>1122</v>
      </c>
      <c r="B249" t="s">
        <v>40</v>
      </c>
      <c r="C249">
        <v>2700</v>
      </c>
      <c r="D249">
        <v>354.9</v>
      </c>
      <c r="E249">
        <v>39.200000000000003</v>
      </c>
      <c r="F249">
        <v>0.8</v>
      </c>
      <c r="G249">
        <v>0.2</v>
      </c>
      <c r="H249">
        <f t="shared" si="9"/>
        <v>130.6261597422201</v>
      </c>
      <c r="I249">
        <f t="shared" si="10"/>
        <v>414.54615974222008</v>
      </c>
      <c r="J249">
        <f>SUMIFS(Transit_Clean[Quantity], Transit_Clean[Destination], A249, Transit_Clean[Item_Code], B249, Transit_Clean[SAP_Status], "In Transit")</f>
        <v>0</v>
      </c>
      <c r="K249">
        <f t="shared" si="11"/>
        <v>7.6077768385460702</v>
      </c>
      <c r="L249" t="str" cm="1">
        <f t="array" ref="L249">_xlfn.IFS(C249&lt;0,"DATO INVALIDO", C249+J249&lt;I249,"PEDIR YA", C249&lt;I249,"EN CAMINO OK", TRUE,"SANO")</f>
        <v>SANO</v>
      </c>
    </row>
    <row r="250" spans="1:12" x14ac:dyDescent="0.45">
      <c r="A250" t="s">
        <v>1120</v>
      </c>
      <c r="B250" t="s">
        <v>15</v>
      </c>
      <c r="C250">
        <v>1545</v>
      </c>
      <c r="D250">
        <v>487.6</v>
      </c>
      <c r="E250">
        <v>120.8</v>
      </c>
      <c r="F250">
        <v>1.8</v>
      </c>
      <c r="G250">
        <v>0.5</v>
      </c>
      <c r="H250">
        <f t="shared" si="9"/>
        <v>483.04491014811452</v>
      </c>
      <c r="I250">
        <f t="shared" si="10"/>
        <v>1360.7249101481145</v>
      </c>
      <c r="J250">
        <f>SUMIFS(Transit_Clean[Quantity], Transit_Clean[Destination], A250, Transit_Clean[Item_Code], B250, Transit_Clean[SAP_Status], "In Transit")</f>
        <v>3786</v>
      </c>
      <c r="K250">
        <f t="shared" si="11"/>
        <v>3.1685808039376537</v>
      </c>
      <c r="L250" t="str" cm="1">
        <f t="array" ref="L250">_xlfn.IFS(C250&lt;0,"DATO INVALIDO", C250+J250&lt;I250,"PEDIR YA", C250&lt;I250,"EN CAMINO OK", TRUE,"SANO")</f>
        <v>SANO</v>
      </c>
    </row>
    <row r="251" spans="1:12" x14ac:dyDescent="0.45">
      <c r="A251" t="s">
        <v>1124</v>
      </c>
      <c r="B251" t="s">
        <v>101</v>
      </c>
      <c r="C251">
        <v>2343</v>
      </c>
      <c r="D251">
        <v>356.6</v>
      </c>
      <c r="E251">
        <v>65.2</v>
      </c>
      <c r="F251">
        <v>1.1000000000000001</v>
      </c>
      <c r="G251">
        <v>0.3</v>
      </c>
      <c r="H251">
        <f t="shared" si="9"/>
        <v>209.49714396382592</v>
      </c>
      <c r="I251">
        <f t="shared" si="10"/>
        <v>601.75714396382591</v>
      </c>
      <c r="J251">
        <f>SUMIFS(Transit_Clean[Quantity], Transit_Clean[Destination], A251, Transit_Clean[Item_Code], B251, Transit_Clean[SAP_Status], "In Transit")</f>
        <v>5588</v>
      </c>
      <c r="K251">
        <f t="shared" si="11"/>
        <v>6.5703869882220971</v>
      </c>
      <c r="L251" t="str" cm="1">
        <f t="array" ref="L251">_xlfn.IFS(C251&lt;0,"DATO INVALIDO", C251+J251&lt;I251,"PEDIR YA", C251&lt;I251,"EN CAMINO OK", TRUE,"SANO")</f>
        <v>SANO</v>
      </c>
    </row>
    <row r="252" spans="1:12" x14ac:dyDescent="0.45">
      <c r="A252" t="s">
        <v>1125</v>
      </c>
      <c r="B252" t="s">
        <v>1138</v>
      </c>
      <c r="C252">
        <v>10813</v>
      </c>
      <c r="D252">
        <v>736.3</v>
      </c>
      <c r="E252">
        <v>196.1</v>
      </c>
      <c r="F252">
        <v>1.8</v>
      </c>
      <c r="G252">
        <v>1.2</v>
      </c>
      <c r="H252">
        <f t="shared" si="9"/>
        <v>1521.1332474444832</v>
      </c>
      <c r="I252">
        <f t="shared" si="10"/>
        <v>2846.4732474444831</v>
      </c>
      <c r="J252">
        <f>SUMIFS(Transit_Clean[Quantity], Transit_Clean[Destination], A252, Transit_Clean[Item_Code], B252, Transit_Clean[SAP_Status], "In Transit")</f>
        <v>0</v>
      </c>
      <c r="K252">
        <f t="shared" si="11"/>
        <v>14.685590112725793</v>
      </c>
      <c r="L252" t="str" cm="1">
        <f t="array" ref="L252">_xlfn.IFS(C252&lt;0,"DATO INVALIDO", C252+J252&lt;I252,"PEDIR YA", C252&lt;I252,"EN CAMINO OK", TRUE,"SANO")</f>
        <v>SANO</v>
      </c>
    </row>
    <row r="253" spans="1:12" x14ac:dyDescent="0.45">
      <c r="A253" t="s">
        <v>1117</v>
      </c>
      <c r="B253" t="s">
        <v>56</v>
      </c>
      <c r="C253">
        <v>6076</v>
      </c>
      <c r="D253">
        <v>807</v>
      </c>
      <c r="E253">
        <v>224.9</v>
      </c>
      <c r="F253">
        <v>2.1</v>
      </c>
      <c r="G253">
        <v>0.5</v>
      </c>
      <c r="H253">
        <f t="shared" si="9"/>
        <v>855.82411323676786</v>
      </c>
      <c r="I253">
        <f t="shared" si="10"/>
        <v>2550.5241132367678</v>
      </c>
      <c r="J253">
        <f>SUMIFS(Transit_Clean[Quantity], Transit_Clean[Destination], A253, Transit_Clean[Item_Code], B253, Transit_Clean[SAP_Status], "In Transit")</f>
        <v>3872</v>
      </c>
      <c r="K253">
        <f t="shared" si="11"/>
        <v>7.5291201982651801</v>
      </c>
      <c r="L253" t="str" cm="1">
        <f t="array" ref="L253">_xlfn.IFS(C253&lt;0,"DATO INVALIDO", C253+J253&lt;I253,"PEDIR YA", C253&lt;I253,"EN CAMINO OK", TRUE,"SANO")</f>
        <v>SANO</v>
      </c>
    </row>
    <row r="254" spans="1:12" x14ac:dyDescent="0.45">
      <c r="A254" t="s">
        <v>1122</v>
      </c>
      <c r="B254" t="s">
        <v>93</v>
      </c>
      <c r="C254">
        <v>3046</v>
      </c>
      <c r="E254">
        <v>27.1</v>
      </c>
      <c r="F254">
        <v>1.3</v>
      </c>
      <c r="G254">
        <v>0.2</v>
      </c>
      <c r="H254">
        <f t="shared" si="9"/>
        <v>50.98294413330796</v>
      </c>
      <c r="I254">
        <f t="shared" si="10"/>
        <v>50.98294413330796</v>
      </c>
      <c r="J254">
        <f>SUMIFS(Transit_Clean[Quantity], Transit_Clean[Destination], A254, Transit_Clean[Item_Code], B254, Transit_Clean[SAP_Status], "In Transit")</f>
        <v>0</v>
      </c>
      <c r="K254" t="str">
        <f t="shared" si="11"/>
        <v/>
      </c>
      <c r="L254" t="str" cm="1">
        <f t="array" ref="L254">_xlfn.IFS(C254&lt;0,"DATO INVALIDO", C254+J254&lt;I254,"PEDIR YA", C254&lt;I254,"EN CAMINO OK", TRUE,"SANO")</f>
        <v>SANO</v>
      </c>
    </row>
    <row r="255" spans="1:12" x14ac:dyDescent="0.45">
      <c r="A255" t="s">
        <v>1122</v>
      </c>
      <c r="B255" t="s">
        <v>62</v>
      </c>
      <c r="C255">
        <v>4594</v>
      </c>
      <c r="E255">
        <v>60.2</v>
      </c>
      <c r="F255">
        <v>1.2</v>
      </c>
      <c r="G255">
        <v>0.2</v>
      </c>
      <c r="H255">
        <f t="shared" si="9"/>
        <v>108.8105632739763</v>
      </c>
      <c r="I255">
        <f t="shared" si="10"/>
        <v>108.8105632739763</v>
      </c>
      <c r="J255">
        <f>SUMIFS(Transit_Clean[Quantity], Transit_Clean[Destination], A255, Transit_Clean[Item_Code], B255, Transit_Clean[SAP_Status], "In Transit")</f>
        <v>851</v>
      </c>
      <c r="K255" t="str">
        <f t="shared" si="11"/>
        <v/>
      </c>
      <c r="L255" t="str" cm="1">
        <f t="array" ref="L255">_xlfn.IFS(C255&lt;0,"DATO INVALIDO", C255+J255&lt;I255,"PEDIR YA", C255&lt;I255,"EN CAMINO OK", TRUE,"SANO")</f>
        <v>SANO</v>
      </c>
    </row>
    <row r="256" spans="1:12" x14ac:dyDescent="0.45">
      <c r="A256" t="s">
        <v>1116</v>
      </c>
      <c r="B256" t="s">
        <v>56</v>
      </c>
      <c r="C256">
        <v>2679</v>
      </c>
      <c r="D256">
        <v>282.2</v>
      </c>
      <c r="E256">
        <v>79.5</v>
      </c>
      <c r="F256">
        <v>3.8</v>
      </c>
      <c r="G256">
        <v>1.6</v>
      </c>
      <c r="H256">
        <f t="shared" si="9"/>
        <v>787.66938904530241</v>
      </c>
      <c r="I256">
        <f t="shared" si="10"/>
        <v>1860.0293890453022</v>
      </c>
      <c r="J256">
        <f>SUMIFS(Transit_Clean[Quantity], Transit_Clean[Destination], A256, Transit_Clean[Item_Code], B256, Transit_Clean[SAP_Status], "In Transit")</f>
        <v>1267</v>
      </c>
      <c r="K256">
        <f t="shared" si="11"/>
        <v>9.4932671863926306</v>
      </c>
      <c r="L256" t="str" cm="1">
        <f t="array" ref="L256">_xlfn.IFS(C256&lt;0,"DATO INVALIDO", C256+J256&lt;I256,"PEDIR YA", C256&lt;I256,"EN CAMINO OK", TRUE,"SANO")</f>
        <v>SANO</v>
      </c>
    </row>
    <row r="257" spans="1:12" x14ac:dyDescent="0.45">
      <c r="A257" t="s">
        <v>1114</v>
      </c>
      <c r="B257" t="s">
        <v>69</v>
      </c>
      <c r="C257">
        <v>5494</v>
      </c>
      <c r="D257">
        <v>341.3</v>
      </c>
      <c r="E257">
        <v>143.9</v>
      </c>
      <c r="F257">
        <v>5.0999999999999996</v>
      </c>
      <c r="G257">
        <v>1.3</v>
      </c>
      <c r="H257">
        <f t="shared" si="9"/>
        <v>907.45137934753825</v>
      </c>
      <c r="I257">
        <f t="shared" si="10"/>
        <v>2648.0813793475381</v>
      </c>
      <c r="J257">
        <f>SUMIFS(Transit_Clean[Quantity], Transit_Clean[Destination], A257, Transit_Clean[Item_Code], B257, Transit_Clean[SAP_Status], "In Transit")</f>
        <v>0</v>
      </c>
      <c r="K257">
        <f t="shared" si="11"/>
        <v>16.097275124523879</v>
      </c>
      <c r="L257" t="str" cm="1">
        <f t="array" ref="L257">_xlfn.IFS(C257&lt;0,"DATO INVALIDO", C257+J257&lt;I257,"PEDIR YA", C257&lt;I257,"EN CAMINO OK", TRUE,"SANO")</f>
        <v>SANO</v>
      </c>
    </row>
    <row r="258" spans="1:12" x14ac:dyDescent="0.45">
      <c r="A258" t="s">
        <v>1115</v>
      </c>
      <c r="B258" t="s">
        <v>108</v>
      </c>
      <c r="C258">
        <v>2170</v>
      </c>
      <c r="D258">
        <v>194.5</v>
      </c>
      <c r="E258">
        <v>35.700000000000003</v>
      </c>
      <c r="F258">
        <v>2.2999999999999998</v>
      </c>
      <c r="G258">
        <v>0.6</v>
      </c>
      <c r="H258">
        <f t="shared" si="9"/>
        <v>212.26861704571405</v>
      </c>
      <c r="I258">
        <f t="shared" si="10"/>
        <v>659.61861704571402</v>
      </c>
      <c r="J258">
        <f>SUMIFS(Transit_Clean[Quantity], Transit_Clean[Destination], A258, Transit_Clean[Item_Code], B258, Transit_Clean[SAP_Status], "In Transit")</f>
        <v>0</v>
      </c>
      <c r="K258">
        <f t="shared" si="11"/>
        <v>11.156812339331619</v>
      </c>
      <c r="L258" t="str" cm="1">
        <f t="array" ref="L258">_xlfn.IFS(C258&lt;0,"DATO INVALIDO", C258+J258&lt;I258,"PEDIR YA", C258&lt;I258,"EN CAMINO OK", TRUE,"SANO")</f>
        <v>SANO</v>
      </c>
    </row>
    <row r="259" spans="1:12" x14ac:dyDescent="0.45">
      <c r="A259" t="s">
        <v>1122</v>
      </c>
      <c r="B259" t="s">
        <v>1140</v>
      </c>
      <c r="C259">
        <v>1775</v>
      </c>
      <c r="D259">
        <v>162.6</v>
      </c>
      <c r="E259">
        <v>13.4</v>
      </c>
      <c r="F259">
        <v>0.9</v>
      </c>
      <c r="G259">
        <v>0.2</v>
      </c>
      <c r="H259">
        <f t="shared" ref="H259:H322" si="12">IFERROR(1.65*SQRT(F259*E259^2 + D259^2*G259^2), "")</f>
        <v>57.612046084130704</v>
      </c>
      <c r="I259">
        <f t="shared" ref="I259:I322" si="13">IFERROR(D259*F259 + H259, "")</f>
        <v>203.9520460841307</v>
      </c>
      <c r="J259">
        <f>SUMIFS(Transit_Clean[Quantity], Transit_Clean[Destination], A259, Transit_Clean[Item_Code], B259, Transit_Clean[SAP_Status], "In Transit")</f>
        <v>1655</v>
      </c>
      <c r="K259">
        <f t="shared" ref="K259:K322" si="14">IFERROR(C259/D259, "")</f>
        <v>10.916359163591636</v>
      </c>
      <c r="L259" t="str" cm="1">
        <f t="array" ref="L259">_xlfn.IFS(C259&lt;0,"DATO INVALIDO", C259+J259&lt;I259,"PEDIR YA", C259&lt;I259,"EN CAMINO OK", TRUE,"SANO")</f>
        <v>SANO</v>
      </c>
    </row>
    <row r="260" spans="1:12" x14ac:dyDescent="0.45">
      <c r="A260" t="s">
        <v>1122</v>
      </c>
      <c r="B260" t="s">
        <v>10</v>
      </c>
      <c r="C260">
        <v>5400</v>
      </c>
      <c r="D260">
        <v>535.9</v>
      </c>
      <c r="E260">
        <v>56.4</v>
      </c>
      <c r="F260">
        <v>0.8</v>
      </c>
      <c r="G260">
        <v>0.2</v>
      </c>
      <c r="H260">
        <f t="shared" si="12"/>
        <v>195.45585764821683</v>
      </c>
      <c r="I260">
        <f t="shared" si="13"/>
        <v>624.17585764821683</v>
      </c>
      <c r="J260">
        <f>SUMIFS(Transit_Clean[Quantity], Transit_Clean[Destination], A260, Transit_Clean[Item_Code], B260, Transit_Clean[SAP_Status], "In Transit")</f>
        <v>0</v>
      </c>
      <c r="K260">
        <f t="shared" si="14"/>
        <v>10.076506810972196</v>
      </c>
      <c r="L260" t="str" cm="1">
        <f t="array" ref="L260">_xlfn.IFS(C260&lt;0,"DATO INVALIDO", C260+J260&lt;I260,"PEDIR YA", C260&lt;I260,"EN CAMINO OK", TRUE,"SANO")</f>
        <v>SANO</v>
      </c>
    </row>
    <row r="261" spans="1:12" x14ac:dyDescent="0.45">
      <c r="A261" t="s">
        <v>1115</v>
      </c>
      <c r="B261" t="s">
        <v>10</v>
      </c>
      <c r="C261">
        <v>3364</v>
      </c>
      <c r="D261">
        <v>491.6</v>
      </c>
      <c r="E261">
        <v>67.8</v>
      </c>
      <c r="F261">
        <v>1.7</v>
      </c>
      <c r="G261">
        <v>0.6</v>
      </c>
      <c r="H261">
        <f t="shared" si="12"/>
        <v>508.07149160920255</v>
      </c>
      <c r="I261">
        <f t="shared" si="13"/>
        <v>1343.7914916092027</v>
      </c>
      <c r="J261">
        <f>SUMIFS(Transit_Clean[Quantity], Transit_Clean[Destination], A261, Transit_Clean[Item_Code], B261, Transit_Clean[SAP_Status], "In Transit")</f>
        <v>536</v>
      </c>
      <c r="K261">
        <f t="shared" si="14"/>
        <v>6.8429617575264441</v>
      </c>
      <c r="L261" t="str" cm="1">
        <f t="array" ref="L261">_xlfn.IFS(C261&lt;0,"DATO INVALIDO", C261+J261&lt;I261,"PEDIR YA", C261&lt;I261,"EN CAMINO OK", TRUE,"SANO")</f>
        <v>SANO</v>
      </c>
    </row>
    <row r="262" spans="1:12" x14ac:dyDescent="0.45">
      <c r="A262" t="s">
        <v>1127</v>
      </c>
      <c r="B262" t="s">
        <v>105</v>
      </c>
      <c r="C262">
        <v>233</v>
      </c>
      <c r="D262">
        <v>437.3</v>
      </c>
      <c r="E262">
        <v>57.6</v>
      </c>
      <c r="F262">
        <v>4.9000000000000004</v>
      </c>
      <c r="G262">
        <v>0.9</v>
      </c>
      <c r="H262">
        <f t="shared" si="12"/>
        <v>682.61831892372334</v>
      </c>
      <c r="I262">
        <f t="shared" si="13"/>
        <v>2825.388318923724</v>
      </c>
      <c r="J262">
        <f>SUMIFS(Transit_Clean[Quantity], Transit_Clean[Destination], A262, Transit_Clean[Item_Code], B262, Transit_Clean[SAP_Status], "In Transit")</f>
        <v>0</v>
      </c>
      <c r="K262">
        <f t="shared" si="14"/>
        <v>0.53281500114337976</v>
      </c>
      <c r="L262" t="str" cm="1">
        <f t="array" ref="L262">_xlfn.IFS(C262&lt;0,"DATO INVALIDO", C262+J262&lt;I262,"PEDIR YA", C262&lt;I262,"EN CAMINO OK", TRUE,"SANO")</f>
        <v>PEDIR YA</v>
      </c>
    </row>
    <row r="263" spans="1:12" x14ac:dyDescent="0.45">
      <c r="A263" t="s">
        <v>1114</v>
      </c>
      <c r="B263" t="s">
        <v>59</v>
      </c>
      <c r="C263">
        <v>2358</v>
      </c>
      <c r="D263">
        <v>177.8</v>
      </c>
      <c r="E263">
        <v>21.6</v>
      </c>
      <c r="F263">
        <v>4.9000000000000004</v>
      </c>
      <c r="G263">
        <v>1.3</v>
      </c>
      <c r="H263">
        <f t="shared" si="12"/>
        <v>389.45538152784593</v>
      </c>
      <c r="I263">
        <f t="shared" si="13"/>
        <v>1260.6753815278462</v>
      </c>
      <c r="J263">
        <f>SUMIFS(Transit_Clean[Quantity], Transit_Clean[Destination], A263, Transit_Clean[Item_Code], B263, Transit_Clean[SAP_Status], "In Transit")</f>
        <v>0</v>
      </c>
      <c r="K263">
        <f t="shared" si="14"/>
        <v>13.26209223847019</v>
      </c>
      <c r="L263" t="str" cm="1">
        <f t="array" ref="L263">_xlfn.IFS(C263&lt;0,"DATO INVALIDO", C263+J263&lt;I263,"PEDIR YA", C263&lt;I263,"EN CAMINO OK", TRUE,"SANO")</f>
        <v>SANO</v>
      </c>
    </row>
    <row r="264" spans="1:12" x14ac:dyDescent="0.45">
      <c r="A264" t="s">
        <v>1117</v>
      </c>
      <c r="B264" t="s">
        <v>13</v>
      </c>
      <c r="C264">
        <v>1856</v>
      </c>
      <c r="D264">
        <v>254.9</v>
      </c>
      <c r="E264">
        <v>108.4</v>
      </c>
      <c r="F264">
        <v>2</v>
      </c>
      <c r="G264">
        <v>0.5</v>
      </c>
      <c r="H264">
        <f t="shared" si="12"/>
        <v>328.94488103062196</v>
      </c>
      <c r="I264">
        <f t="shared" si="13"/>
        <v>838.74488103062197</v>
      </c>
      <c r="J264">
        <f>SUMIFS(Transit_Clean[Quantity], Transit_Clean[Destination], A264, Transit_Clean[Item_Code], B264, Transit_Clean[SAP_Status], "In Transit")</f>
        <v>2568</v>
      </c>
      <c r="K264">
        <f t="shared" si="14"/>
        <v>7.2812867791290703</v>
      </c>
      <c r="L264" t="str" cm="1">
        <f t="array" ref="L264">_xlfn.IFS(C264&lt;0,"DATO INVALIDO", C264+J264&lt;I264,"PEDIR YA", C264&lt;I264,"EN CAMINO OK", TRUE,"SANO")</f>
        <v>SANO</v>
      </c>
    </row>
    <row r="265" spans="1:12" x14ac:dyDescent="0.45">
      <c r="A265" t="s">
        <v>1123</v>
      </c>
      <c r="B265" t="s">
        <v>100</v>
      </c>
      <c r="D265">
        <v>315</v>
      </c>
      <c r="E265">
        <v>42.2</v>
      </c>
      <c r="F265">
        <v>1.1000000000000001</v>
      </c>
      <c r="G265">
        <v>0.3</v>
      </c>
      <c r="H265">
        <f t="shared" si="12"/>
        <v>172.1794883689692</v>
      </c>
      <c r="I265">
        <f t="shared" si="13"/>
        <v>518.67948836896926</v>
      </c>
      <c r="J265">
        <f>SUMIFS(Transit_Clean[Quantity], Transit_Clean[Destination], A265, Transit_Clean[Item_Code], B265, Transit_Clean[SAP_Status], "In Transit")</f>
        <v>2168</v>
      </c>
      <c r="K265">
        <f t="shared" si="14"/>
        <v>0</v>
      </c>
      <c r="L265" t="str" cm="1">
        <f t="array" ref="L265">_xlfn.IFS(C265&lt;0,"DATO INVALIDO", C265+J265&lt;I265,"PEDIR YA", C265&lt;I265,"EN CAMINO OK", TRUE,"SANO")</f>
        <v>EN CAMINO OK</v>
      </c>
    </row>
    <row r="266" spans="1:12" x14ac:dyDescent="0.45">
      <c r="A266" t="s">
        <v>1125</v>
      </c>
      <c r="B266" t="s">
        <v>41</v>
      </c>
      <c r="C266">
        <v>1435</v>
      </c>
      <c r="D266">
        <v>177.5</v>
      </c>
      <c r="E266">
        <v>60.7</v>
      </c>
      <c r="F266">
        <v>4.2</v>
      </c>
      <c r="G266">
        <v>1.2</v>
      </c>
      <c r="H266">
        <f t="shared" si="12"/>
        <v>406.99803857635482</v>
      </c>
      <c r="I266">
        <f t="shared" si="13"/>
        <v>1152.4980385763547</v>
      </c>
      <c r="J266">
        <f>SUMIFS(Transit_Clean[Quantity], Transit_Clean[Destination], A266, Transit_Clean[Item_Code], B266, Transit_Clean[SAP_Status], "In Transit")</f>
        <v>3695</v>
      </c>
      <c r="K266">
        <f t="shared" si="14"/>
        <v>8.0845070422535219</v>
      </c>
      <c r="L266" t="str" cm="1">
        <f t="array" ref="L266">_xlfn.IFS(C266&lt;0,"DATO INVALIDO", C266+J266&lt;I266,"PEDIR YA", C266&lt;I266,"EN CAMINO OK", TRUE,"SANO")</f>
        <v>SANO</v>
      </c>
    </row>
    <row r="267" spans="1:12" x14ac:dyDescent="0.45">
      <c r="A267" t="s">
        <v>1126</v>
      </c>
      <c r="B267" t="s">
        <v>64</v>
      </c>
      <c r="C267">
        <v>1076</v>
      </c>
      <c r="E267">
        <v>192.4</v>
      </c>
      <c r="F267">
        <v>1</v>
      </c>
      <c r="G267">
        <v>0.2</v>
      </c>
      <c r="H267">
        <f t="shared" si="12"/>
        <v>317.45999999999998</v>
      </c>
      <c r="I267">
        <f t="shared" si="13"/>
        <v>317.45999999999998</v>
      </c>
      <c r="J267">
        <f>SUMIFS(Transit_Clean[Quantity], Transit_Clean[Destination], A267, Transit_Clean[Item_Code], B267, Transit_Clean[SAP_Status], "In Transit")</f>
        <v>2538</v>
      </c>
      <c r="K267" t="str">
        <f t="shared" si="14"/>
        <v/>
      </c>
      <c r="L267" t="str" cm="1">
        <f t="array" ref="L267">_xlfn.IFS(C267&lt;0,"DATO INVALIDO", C267+J267&lt;I267,"PEDIR YA", C267&lt;I267,"EN CAMINO OK", TRUE,"SANO")</f>
        <v>SANO</v>
      </c>
    </row>
    <row r="268" spans="1:12" x14ac:dyDescent="0.45">
      <c r="A268" t="s">
        <v>1121</v>
      </c>
      <c r="B268" t="s">
        <v>60</v>
      </c>
      <c r="C268">
        <v>6094</v>
      </c>
      <c r="D268">
        <v>722.8</v>
      </c>
      <c r="E268">
        <v>145.6</v>
      </c>
      <c r="F268">
        <v>1.7</v>
      </c>
      <c r="G268">
        <v>0.4</v>
      </c>
      <c r="H268">
        <f t="shared" si="12"/>
        <v>570.69320323970919</v>
      </c>
      <c r="I268">
        <f t="shared" si="13"/>
        <v>1799.4532032397092</v>
      </c>
      <c r="J268">
        <f>SUMIFS(Transit_Clean[Quantity], Transit_Clean[Destination], A268, Transit_Clean[Item_Code], B268, Transit_Clean[SAP_Status], "In Transit")</f>
        <v>0</v>
      </c>
      <c r="K268">
        <f t="shared" si="14"/>
        <v>8.4311012728278918</v>
      </c>
      <c r="L268" t="str" cm="1">
        <f t="array" ref="L268">_xlfn.IFS(C268&lt;0,"DATO INVALIDO", C268+J268&lt;I268,"PEDIR YA", C268&lt;I268,"EN CAMINO OK", TRUE,"SANO")</f>
        <v>SANO</v>
      </c>
    </row>
    <row r="269" spans="1:12" x14ac:dyDescent="0.45">
      <c r="A269" t="s">
        <v>1126</v>
      </c>
      <c r="B269" t="s">
        <v>89</v>
      </c>
      <c r="C269">
        <v>2281</v>
      </c>
      <c r="D269">
        <v>151</v>
      </c>
      <c r="E269">
        <v>23.7</v>
      </c>
      <c r="F269">
        <v>0.9</v>
      </c>
      <c r="G269">
        <v>0.2</v>
      </c>
      <c r="H269">
        <f t="shared" si="12"/>
        <v>62.123343619769855</v>
      </c>
      <c r="I269">
        <f t="shared" si="13"/>
        <v>198.02334361976986</v>
      </c>
      <c r="J269">
        <f>SUMIFS(Transit_Clean[Quantity], Transit_Clean[Destination], A269, Transit_Clean[Item_Code], B269, Transit_Clean[SAP_Status], "In Transit")</f>
        <v>0</v>
      </c>
      <c r="K269">
        <f t="shared" si="14"/>
        <v>15.105960264900663</v>
      </c>
      <c r="L269" t="str" cm="1">
        <f t="array" ref="L269">_xlfn.IFS(C269&lt;0,"DATO INVALIDO", C269+J269&lt;I269,"PEDIR YA", C269&lt;I269,"EN CAMINO OK", TRUE,"SANO")</f>
        <v>SANO</v>
      </c>
    </row>
    <row r="270" spans="1:12" x14ac:dyDescent="0.45">
      <c r="A270" t="s">
        <v>1124</v>
      </c>
      <c r="B270" t="s">
        <v>47</v>
      </c>
      <c r="C270">
        <v>7675</v>
      </c>
      <c r="D270">
        <v>494.7</v>
      </c>
      <c r="E270">
        <v>44.6</v>
      </c>
      <c r="F270">
        <v>1</v>
      </c>
      <c r="G270">
        <v>0.3</v>
      </c>
      <c r="H270">
        <f t="shared" si="12"/>
        <v>255.69510818991043</v>
      </c>
      <c r="I270">
        <f t="shared" si="13"/>
        <v>750.39510818991039</v>
      </c>
      <c r="J270">
        <f>SUMIFS(Transit_Clean[Quantity], Transit_Clean[Destination], A270, Transit_Clean[Item_Code], B270, Transit_Clean[SAP_Status], "In Transit")</f>
        <v>1457</v>
      </c>
      <c r="K270">
        <f t="shared" si="14"/>
        <v>15.514453203961997</v>
      </c>
      <c r="L270" t="str" cm="1">
        <f t="array" ref="L270">_xlfn.IFS(C270&lt;0,"DATO INVALIDO", C270+J270&lt;I270,"PEDIR YA", C270&lt;I270,"EN CAMINO OK", TRUE,"SANO")</f>
        <v>SANO</v>
      </c>
    </row>
    <row r="271" spans="1:12" x14ac:dyDescent="0.45">
      <c r="A271" t="s">
        <v>1116</v>
      </c>
      <c r="B271" t="s">
        <v>78</v>
      </c>
      <c r="C271">
        <v>2283</v>
      </c>
      <c r="D271">
        <v>210.9</v>
      </c>
      <c r="E271">
        <v>73</v>
      </c>
      <c r="F271">
        <v>6</v>
      </c>
      <c r="G271">
        <v>1.6</v>
      </c>
      <c r="H271">
        <f t="shared" si="12"/>
        <v>630.1180279725379</v>
      </c>
      <c r="I271">
        <f t="shared" si="13"/>
        <v>1895.518027972538</v>
      </c>
      <c r="J271">
        <f>SUMIFS(Transit_Clean[Quantity], Transit_Clean[Destination], A271, Transit_Clean[Item_Code], B271, Transit_Clean[SAP_Status], "In Transit")</f>
        <v>0</v>
      </c>
      <c r="K271">
        <f t="shared" si="14"/>
        <v>10.825035561877668</v>
      </c>
      <c r="L271" t="str" cm="1">
        <f t="array" ref="L271">_xlfn.IFS(C271&lt;0,"DATO INVALIDO", C271+J271&lt;I271,"PEDIR YA", C271&lt;I271,"EN CAMINO OK", TRUE,"SANO")</f>
        <v>SANO</v>
      </c>
    </row>
    <row r="272" spans="1:12" x14ac:dyDescent="0.45">
      <c r="A272" t="s">
        <v>1126</v>
      </c>
      <c r="B272" t="s">
        <v>5</v>
      </c>
      <c r="C272">
        <v>4543</v>
      </c>
      <c r="D272">
        <v>455.1</v>
      </c>
      <c r="E272">
        <v>57.6</v>
      </c>
      <c r="F272">
        <v>0.6</v>
      </c>
      <c r="G272">
        <v>0.2</v>
      </c>
      <c r="H272">
        <f t="shared" si="12"/>
        <v>167.25577553256571</v>
      </c>
      <c r="I272">
        <f t="shared" si="13"/>
        <v>440.31577553256568</v>
      </c>
      <c r="J272">
        <f>SUMIFS(Transit_Clean[Quantity], Transit_Clean[Destination], A272, Transit_Clean[Item_Code], B272, Transit_Clean[SAP_Status], "In Transit")</f>
        <v>1957</v>
      </c>
      <c r="K272">
        <f t="shared" si="14"/>
        <v>9.9824214458360796</v>
      </c>
      <c r="L272" t="str" cm="1">
        <f t="array" ref="L272">_xlfn.IFS(C272&lt;0,"DATO INVALIDO", C272+J272&lt;I272,"PEDIR YA", C272&lt;I272,"EN CAMINO OK", TRUE,"SANO")</f>
        <v>SANO</v>
      </c>
    </row>
    <row r="273" spans="1:12" x14ac:dyDescent="0.45">
      <c r="A273" t="s">
        <v>1122</v>
      </c>
      <c r="B273" t="s">
        <v>108</v>
      </c>
      <c r="C273">
        <v>4764</v>
      </c>
      <c r="D273">
        <v>269.39999999999998</v>
      </c>
      <c r="E273">
        <v>38.6</v>
      </c>
      <c r="F273">
        <v>0.9</v>
      </c>
      <c r="G273">
        <v>0.2</v>
      </c>
      <c r="H273">
        <f t="shared" si="12"/>
        <v>107.49111634921277</v>
      </c>
      <c r="I273">
        <f t="shared" si="13"/>
        <v>349.95111634921273</v>
      </c>
      <c r="J273">
        <f>SUMIFS(Transit_Clean[Quantity], Transit_Clean[Destination], A273, Transit_Clean[Item_Code], B273, Transit_Clean[SAP_Status], "In Transit")</f>
        <v>976</v>
      </c>
      <c r="K273">
        <f t="shared" si="14"/>
        <v>17.683741648106906</v>
      </c>
      <c r="L273" t="str" cm="1">
        <f t="array" ref="L273">_xlfn.IFS(C273&lt;0,"DATO INVALIDO", C273+J273&lt;I273,"PEDIR YA", C273&lt;I273,"EN CAMINO OK", TRUE,"SANO")</f>
        <v>SANO</v>
      </c>
    </row>
    <row r="274" spans="1:12" x14ac:dyDescent="0.45">
      <c r="A274" t="s">
        <v>1117</v>
      </c>
      <c r="B274" t="s">
        <v>31</v>
      </c>
      <c r="C274">
        <v>208</v>
      </c>
      <c r="D274">
        <v>180.2</v>
      </c>
      <c r="E274">
        <v>16</v>
      </c>
      <c r="F274">
        <v>1.9</v>
      </c>
      <c r="G274">
        <v>0.5</v>
      </c>
      <c r="H274">
        <f t="shared" si="12"/>
        <v>153.05393240619463</v>
      </c>
      <c r="I274">
        <f t="shared" si="13"/>
        <v>495.43393240619457</v>
      </c>
      <c r="J274">
        <f>SUMIFS(Transit_Clean[Quantity], Transit_Clean[Destination], A274, Transit_Clean[Item_Code], B274, Transit_Clean[SAP_Status], "In Transit")</f>
        <v>1407</v>
      </c>
      <c r="K274">
        <f t="shared" si="14"/>
        <v>1.1542730299667037</v>
      </c>
      <c r="L274" t="str" cm="1">
        <f t="array" ref="L274">_xlfn.IFS(C274&lt;0,"DATO INVALIDO", C274+J274&lt;I274,"PEDIR YA", C274&lt;I274,"EN CAMINO OK", TRUE,"SANO")</f>
        <v>EN CAMINO OK</v>
      </c>
    </row>
    <row r="275" spans="1:12" x14ac:dyDescent="0.45">
      <c r="A275" t="s">
        <v>1115</v>
      </c>
      <c r="B275" t="s">
        <v>93</v>
      </c>
      <c r="C275">
        <v>3432</v>
      </c>
      <c r="D275">
        <v>523</v>
      </c>
      <c r="E275">
        <v>67</v>
      </c>
      <c r="F275">
        <v>1.8</v>
      </c>
      <c r="G275">
        <v>0.6</v>
      </c>
      <c r="H275">
        <f t="shared" si="12"/>
        <v>538.59457609597223</v>
      </c>
      <c r="I275">
        <f t="shared" si="13"/>
        <v>1479.9945760959722</v>
      </c>
      <c r="J275">
        <f>SUMIFS(Transit_Clean[Quantity], Transit_Clean[Destination], A275, Transit_Clean[Item_Code], B275, Transit_Clean[SAP_Status], "In Transit")</f>
        <v>1515</v>
      </c>
      <c r="K275">
        <f t="shared" si="14"/>
        <v>6.5621414913957938</v>
      </c>
      <c r="L275" t="str" cm="1">
        <f t="array" ref="L275">_xlfn.IFS(C275&lt;0,"DATO INVALIDO", C275+J275&lt;I275,"PEDIR YA", C275&lt;I275,"EN CAMINO OK", TRUE,"SANO")</f>
        <v>SANO</v>
      </c>
    </row>
    <row r="276" spans="1:12" x14ac:dyDescent="0.45">
      <c r="A276" t="s">
        <v>1127</v>
      </c>
      <c r="B276" t="s">
        <v>48</v>
      </c>
      <c r="C276">
        <v>10179</v>
      </c>
      <c r="D276">
        <v>722</v>
      </c>
      <c r="E276">
        <v>143.6</v>
      </c>
      <c r="F276">
        <v>2.8</v>
      </c>
      <c r="G276">
        <v>0.9</v>
      </c>
      <c r="H276">
        <f t="shared" si="12"/>
        <v>1143.128202337778</v>
      </c>
      <c r="I276">
        <f t="shared" si="13"/>
        <v>3164.7282023377779</v>
      </c>
      <c r="J276">
        <f>SUMIFS(Transit_Clean[Quantity], Transit_Clean[Destination], A276, Transit_Clean[Item_Code], B276, Transit_Clean[SAP_Status], "In Transit")</f>
        <v>0</v>
      </c>
      <c r="K276">
        <f t="shared" si="14"/>
        <v>14.098337950138504</v>
      </c>
      <c r="L276" t="str" cm="1">
        <f t="array" ref="L276">_xlfn.IFS(C276&lt;0,"DATO INVALIDO", C276+J276&lt;I276,"PEDIR YA", C276&lt;I276,"EN CAMINO OK", TRUE,"SANO")</f>
        <v>SANO</v>
      </c>
    </row>
    <row r="277" spans="1:12" x14ac:dyDescent="0.45">
      <c r="A277" t="s">
        <v>1114</v>
      </c>
      <c r="B277" t="s">
        <v>25</v>
      </c>
      <c r="C277">
        <v>3615</v>
      </c>
      <c r="D277">
        <v>281.2</v>
      </c>
      <c r="E277">
        <v>93</v>
      </c>
      <c r="F277">
        <v>3.1</v>
      </c>
      <c r="G277">
        <v>1.3</v>
      </c>
      <c r="H277">
        <f t="shared" si="12"/>
        <v>660.91926286498858</v>
      </c>
      <c r="I277">
        <f t="shared" si="13"/>
        <v>1532.6392628649887</v>
      </c>
      <c r="J277">
        <f>SUMIFS(Transit_Clean[Quantity], Transit_Clean[Destination], A277, Transit_Clean[Item_Code], B277, Transit_Clean[SAP_Status], "In Transit")</f>
        <v>6559</v>
      </c>
      <c r="K277">
        <f t="shared" si="14"/>
        <v>12.85561877667141</v>
      </c>
      <c r="L277" t="str" cm="1">
        <f t="array" ref="L277">_xlfn.IFS(C277&lt;0,"DATO INVALIDO", C277+J277&lt;I277,"PEDIR YA", C277&lt;I277,"EN CAMINO OK", TRUE,"SANO")</f>
        <v>SANO</v>
      </c>
    </row>
    <row r="278" spans="1:12" x14ac:dyDescent="0.45">
      <c r="A278" t="s">
        <v>1115</v>
      </c>
      <c r="B278" t="s">
        <v>52</v>
      </c>
      <c r="C278">
        <v>1448</v>
      </c>
      <c r="D278">
        <v>185.8</v>
      </c>
      <c r="E278">
        <v>77.8</v>
      </c>
      <c r="F278">
        <v>1.9</v>
      </c>
      <c r="G278">
        <v>0.6</v>
      </c>
      <c r="H278">
        <f t="shared" si="12"/>
        <v>255.23418163326005</v>
      </c>
      <c r="I278">
        <f t="shared" si="13"/>
        <v>608.25418163326003</v>
      </c>
      <c r="J278">
        <f>SUMIFS(Transit_Clean[Quantity], Transit_Clean[Destination], A278, Transit_Clean[Item_Code], B278, Transit_Clean[SAP_Status], "In Transit")</f>
        <v>1951</v>
      </c>
      <c r="K278">
        <f t="shared" si="14"/>
        <v>7.7933261571582344</v>
      </c>
      <c r="L278" t="str" cm="1">
        <f t="array" ref="L278">_xlfn.IFS(C278&lt;0,"DATO INVALIDO", C278+J278&lt;I278,"PEDIR YA", C278&lt;I278,"EN CAMINO OK", TRUE,"SANO")</f>
        <v>SANO</v>
      </c>
    </row>
    <row r="279" spans="1:12" x14ac:dyDescent="0.45">
      <c r="A279" t="s">
        <v>1128</v>
      </c>
      <c r="B279" t="s">
        <v>60</v>
      </c>
      <c r="C279">
        <v>2487</v>
      </c>
      <c r="D279">
        <v>881.2</v>
      </c>
      <c r="E279">
        <v>229</v>
      </c>
      <c r="F279">
        <v>2.2999999999999998</v>
      </c>
      <c r="G279">
        <v>0.5</v>
      </c>
      <c r="H279">
        <f t="shared" si="12"/>
        <v>925.68185239314266</v>
      </c>
      <c r="I279">
        <f t="shared" si="13"/>
        <v>2952.4418523931427</v>
      </c>
      <c r="J279">
        <f>SUMIFS(Transit_Clean[Quantity], Transit_Clean[Destination], A279, Transit_Clean[Item_Code], B279, Transit_Clean[SAP_Status], "In Transit")</f>
        <v>2649</v>
      </c>
      <c r="K279">
        <f t="shared" si="14"/>
        <v>2.8222877893781204</v>
      </c>
      <c r="L279" t="str" cm="1">
        <f t="array" ref="L279">_xlfn.IFS(C279&lt;0,"DATO INVALIDO", C279+J279&lt;I279,"PEDIR YA", C279&lt;I279,"EN CAMINO OK", TRUE,"SANO")</f>
        <v>EN CAMINO OK</v>
      </c>
    </row>
    <row r="280" spans="1:12" x14ac:dyDescent="0.45">
      <c r="A280" t="s">
        <v>1119</v>
      </c>
      <c r="B280" t="s">
        <v>24</v>
      </c>
      <c r="C280">
        <v>2391</v>
      </c>
      <c r="D280">
        <v>285.3</v>
      </c>
      <c r="E280">
        <v>59.1</v>
      </c>
      <c r="F280">
        <v>4.0999999999999996</v>
      </c>
      <c r="G280">
        <v>1</v>
      </c>
      <c r="H280">
        <f t="shared" si="12"/>
        <v>510.47867090359415</v>
      </c>
      <c r="I280">
        <f t="shared" si="13"/>
        <v>1680.2086709035941</v>
      </c>
      <c r="J280">
        <f>SUMIFS(Transit_Clean[Quantity], Transit_Clean[Destination], A280, Transit_Clean[Item_Code], B280, Transit_Clean[SAP_Status], "In Transit")</f>
        <v>0</v>
      </c>
      <c r="K280">
        <f t="shared" si="14"/>
        <v>8.3806519453207144</v>
      </c>
      <c r="L280" t="str" cm="1">
        <f t="array" ref="L280">_xlfn.IFS(C280&lt;0,"DATO INVALIDO", C280+J280&lt;I280,"PEDIR YA", C280&lt;I280,"EN CAMINO OK", TRUE,"SANO")</f>
        <v>SANO</v>
      </c>
    </row>
    <row r="281" spans="1:12" x14ac:dyDescent="0.45">
      <c r="A281" t="s">
        <v>1121</v>
      </c>
      <c r="B281" t="s">
        <v>37</v>
      </c>
      <c r="C281">
        <v>1713</v>
      </c>
      <c r="D281">
        <v>201.2</v>
      </c>
      <c r="E281">
        <v>86</v>
      </c>
      <c r="F281">
        <v>2.2999999999999998</v>
      </c>
      <c r="G281">
        <v>0.4</v>
      </c>
      <c r="H281">
        <f t="shared" si="12"/>
        <v>252.8747086286013</v>
      </c>
      <c r="I281">
        <f t="shared" si="13"/>
        <v>715.63470862860117</v>
      </c>
      <c r="J281">
        <f>SUMIFS(Transit_Clean[Quantity], Transit_Clean[Destination], A281, Transit_Clean[Item_Code], B281, Transit_Clean[SAP_Status], "In Transit")</f>
        <v>0</v>
      </c>
      <c r="K281">
        <f t="shared" si="14"/>
        <v>8.5139165009940356</v>
      </c>
      <c r="L281" t="str" cm="1">
        <f t="array" ref="L281">_xlfn.IFS(C281&lt;0,"DATO INVALIDO", C281+J281&lt;I281,"PEDIR YA", C281&lt;I281,"EN CAMINO OK", TRUE,"SANO")</f>
        <v>SANO</v>
      </c>
    </row>
    <row r="282" spans="1:12" x14ac:dyDescent="0.45">
      <c r="A282" t="s">
        <v>1114</v>
      </c>
      <c r="B282" t="s">
        <v>1136</v>
      </c>
      <c r="C282">
        <v>3495</v>
      </c>
      <c r="E282">
        <v>182.6</v>
      </c>
      <c r="F282">
        <v>2.9</v>
      </c>
      <c r="G282">
        <v>1.3</v>
      </c>
      <c r="H282">
        <f t="shared" si="12"/>
        <v>513.07838181899649</v>
      </c>
      <c r="I282">
        <f t="shared" si="13"/>
        <v>513.07838181899649</v>
      </c>
      <c r="J282">
        <f>SUMIFS(Transit_Clean[Quantity], Transit_Clean[Destination], A282, Transit_Clean[Item_Code], B282, Transit_Clean[SAP_Status], "In Transit")</f>
        <v>474</v>
      </c>
      <c r="K282" t="str">
        <f t="shared" si="14"/>
        <v/>
      </c>
      <c r="L282" t="str" cm="1">
        <f t="array" ref="L282">_xlfn.IFS(C282&lt;0,"DATO INVALIDO", C282+J282&lt;I282,"PEDIR YA", C282&lt;I282,"EN CAMINO OK", TRUE,"SANO")</f>
        <v>SANO</v>
      </c>
    </row>
    <row r="283" spans="1:12" x14ac:dyDescent="0.45">
      <c r="A283" t="s">
        <v>1114</v>
      </c>
      <c r="B283" t="s">
        <v>97</v>
      </c>
      <c r="C283">
        <v>333</v>
      </c>
      <c r="D283">
        <v>419.2</v>
      </c>
      <c r="E283">
        <v>172.5</v>
      </c>
      <c r="F283">
        <v>5.3</v>
      </c>
      <c r="G283">
        <v>1.3</v>
      </c>
      <c r="H283">
        <f t="shared" si="12"/>
        <v>1112.6060561440872</v>
      </c>
      <c r="I283">
        <f t="shared" si="13"/>
        <v>3334.366056144087</v>
      </c>
      <c r="J283">
        <f>SUMIFS(Transit_Clean[Quantity], Transit_Clean[Destination], A283, Transit_Clean[Item_Code], B283, Transit_Clean[SAP_Status], "In Transit")</f>
        <v>752</v>
      </c>
      <c r="K283">
        <f t="shared" si="14"/>
        <v>0.79437022900763365</v>
      </c>
      <c r="L283" t="str" cm="1">
        <f t="array" ref="L283">_xlfn.IFS(C283&lt;0,"DATO INVALIDO", C283+J283&lt;I283,"PEDIR YA", C283&lt;I283,"EN CAMINO OK", TRUE,"SANO")</f>
        <v>PEDIR YA</v>
      </c>
    </row>
    <row r="284" spans="1:12" x14ac:dyDescent="0.45">
      <c r="A284" t="s">
        <v>1128</v>
      </c>
      <c r="B284" t="s">
        <v>106</v>
      </c>
      <c r="C284">
        <v>5211</v>
      </c>
      <c r="D284">
        <v>488.4</v>
      </c>
      <c r="E284">
        <v>99.7</v>
      </c>
      <c r="F284">
        <v>1.3</v>
      </c>
      <c r="G284">
        <v>0.5</v>
      </c>
      <c r="H284">
        <f t="shared" si="12"/>
        <v>444.44690170199186</v>
      </c>
      <c r="I284">
        <f t="shared" si="13"/>
        <v>1079.3669017019918</v>
      </c>
      <c r="J284">
        <f>SUMIFS(Transit_Clean[Quantity], Transit_Clean[Destination], A284, Transit_Clean[Item_Code], B284, Transit_Clean[SAP_Status], "In Transit")</f>
        <v>0</v>
      </c>
      <c r="K284">
        <f t="shared" si="14"/>
        <v>10.669533169533169</v>
      </c>
      <c r="L284" t="str" cm="1">
        <f t="array" ref="L284">_xlfn.IFS(C284&lt;0,"DATO INVALIDO", C284+J284&lt;I284,"PEDIR YA", C284&lt;I284,"EN CAMINO OK", TRUE,"SANO")</f>
        <v>SANO</v>
      </c>
    </row>
    <row r="285" spans="1:12" x14ac:dyDescent="0.45">
      <c r="A285" t="s">
        <v>1122</v>
      </c>
      <c r="B285" t="s">
        <v>49</v>
      </c>
      <c r="C285">
        <v>9305</v>
      </c>
      <c r="D285">
        <v>617.29999999999995</v>
      </c>
      <c r="E285">
        <v>88.7</v>
      </c>
      <c r="F285">
        <v>1.2</v>
      </c>
      <c r="G285">
        <v>0.2</v>
      </c>
      <c r="H285">
        <f t="shared" si="12"/>
        <v>259.23174942703298</v>
      </c>
      <c r="I285">
        <f t="shared" si="13"/>
        <v>999.9917494270328</v>
      </c>
      <c r="J285">
        <f>SUMIFS(Transit_Clean[Quantity], Transit_Clean[Destination], A285, Transit_Clean[Item_Code], B285, Transit_Clean[SAP_Status], "In Transit")</f>
        <v>0</v>
      </c>
      <c r="K285">
        <f t="shared" si="14"/>
        <v>15.073708083589828</v>
      </c>
      <c r="L285" t="str" cm="1">
        <f t="array" ref="L285">_xlfn.IFS(C285&lt;0,"DATO INVALIDO", C285+J285&lt;I285,"PEDIR YA", C285&lt;I285,"EN CAMINO OK", TRUE,"SANO")</f>
        <v>SANO</v>
      </c>
    </row>
    <row r="286" spans="1:12" x14ac:dyDescent="0.45">
      <c r="A286" t="s">
        <v>1124</v>
      </c>
      <c r="B286" t="s">
        <v>1134</v>
      </c>
      <c r="C286">
        <v>7619</v>
      </c>
      <c r="D286">
        <v>494.4</v>
      </c>
      <c r="E286">
        <v>73.3</v>
      </c>
      <c r="F286">
        <v>0.9</v>
      </c>
      <c r="G286">
        <v>0.3</v>
      </c>
      <c r="H286">
        <f t="shared" si="12"/>
        <v>270.29006216747956</v>
      </c>
      <c r="I286">
        <f t="shared" si="13"/>
        <v>715.25006216747954</v>
      </c>
      <c r="J286">
        <f>SUMIFS(Transit_Clean[Quantity], Transit_Clean[Destination], A286, Transit_Clean[Item_Code], B286, Transit_Clean[SAP_Status], "In Transit")</f>
        <v>984</v>
      </c>
      <c r="K286">
        <f t="shared" si="14"/>
        <v>15.410598705501618</v>
      </c>
      <c r="L286" t="str" cm="1">
        <f t="array" ref="L286">_xlfn.IFS(C286&lt;0,"DATO INVALIDO", C286+J286&lt;I286,"PEDIR YA", C286&lt;I286,"EN CAMINO OK", TRUE,"SANO")</f>
        <v>SANO</v>
      </c>
    </row>
    <row r="287" spans="1:12" x14ac:dyDescent="0.45">
      <c r="A287" t="s">
        <v>1115</v>
      </c>
      <c r="B287" t="s">
        <v>80</v>
      </c>
      <c r="C287">
        <v>4611</v>
      </c>
      <c r="D287">
        <v>463</v>
      </c>
      <c r="E287">
        <v>41.3</v>
      </c>
      <c r="F287">
        <v>1.7</v>
      </c>
      <c r="G287">
        <v>0.6</v>
      </c>
      <c r="H287">
        <f t="shared" si="12"/>
        <v>466.90193471702378</v>
      </c>
      <c r="I287">
        <f t="shared" si="13"/>
        <v>1254.0019347170237</v>
      </c>
      <c r="J287">
        <f>SUMIFS(Transit_Clean[Quantity], Transit_Clean[Destination], A287, Transit_Clean[Item_Code], B287, Transit_Clean[SAP_Status], "In Transit")</f>
        <v>3394</v>
      </c>
      <c r="K287">
        <f t="shared" si="14"/>
        <v>9.9589632829373649</v>
      </c>
      <c r="L287" t="str" cm="1">
        <f t="array" ref="L287">_xlfn.IFS(C287&lt;0,"DATO INVALIDO", C287+J287&lt;I287,"PEDIR YA", C287&lt;I287,"EN CAMINO OK", TRUE,"SANO")</f>
        <v>SANO</v>
      </c>
    </row>
    <row r="288" spans="1:12" x14ac:dyDescent="0.45">
      <c r="A288" t="s">
        <v>1124</v>
      </c>
      <c r="B288" t="s">
        <v>70</v>
      </c>
      <c r="D288">
        <v>484.6</v>
      </c>
      <c r="E288">
        <v>97.7</v>
      </c>
      <c r="F288">
        <v>0.6</v>
      </c>
      <c r="G288">
        <v>0.3</v>
      </c>
      <c r="H288">
        <f t="shared" si="12"/>
        <v>270.43151876953988</v>
      </c>
      <c r="I288">
        <f t="shared" si="13"/>
        <v>561.19151876953993</v>
      </c>
      <c r="J288">
        <f>SUMIFS(Transit_Clean[Quantity], Transit_Clean[Destination], A288, Transit_Clean[Item_Code], B288, Transit_Clean[SAP_Status], "In Transit")</f>
        <v>2947</v>
      </c>
      <c r="K288">
        <f t="shared" si="14"/>
        <v>0</v>
      </c>
      <c r="L288" t="str" cm="1">
        <f t="array" ref="L288">_xlfn.IFS(C288&lt;0,"DATO INVALIDO", C288+J288&lt;I288,"PEDIR YA", C288&lt;I288,"EN CAMINO OK", TRUE,"SANO")</f>
        <v>EN CAMINO OK</v>
      </c>
    </row>
    <row r="289" spans="1:12" x14ac:dyDescent="0.45">
      <c r="A289" t="s">
        <v>1115</v>
      </c>
      <c r="B289" t="s">
        <v>25</v>
      </c>
      <c r="C289">
        <v>4653</v>
      </c>
      <c r="D289">
        <v>362.5</v>
      </c>
      <c r="E289">
        <v>129.80000000000001</v>
      </c>
      <c r="F289">
        <v>1.2</v>
      </c>
      <c r="G289">
        <v>0.6</v>
      </c>
      <c r="H289">
        <f t="shared" si="12"/>
        <v>428.75845449973343</v>
      </c>
      <c r="I289">
        <f t="shared" si="13"/>
        <v>863.75845449973349</v>
      </c>
      <c r="J289">
        <f>SUMIFS(Transit_Clean[Quantity], Transit_Clean[Destination], A289, Transit_Clean[Item_Code], B289, Transit_Clean[SAP_Status], "In Transit")</f>
        <v>2164</v>
      </c>
      <c r="K289">
        <f t="shared" si="14"/>
        <v>12.835862068965517</v>
      </c>
      <c r="L289" t="str" cm="1">
        <f t="array" ref="L289">_xlfn.IFS(C289&lt;0,"DATO INVALIDO", C289+J289&lt;I289,"PEDIR YA", C289&lt;I289,"EN CAMINO OK", TRUE,"SANO")</f>
        <v>SANO</v>
      </c>
    </row>
    <row r="290" spans="1:12" x14ac:dyDescent="0.45">
      <c r="A290" t="s">
        <v>1127</v>
      </c>
      <c r="B290" t="s">
        <v>97</v>
      </c>
      <c r="C290">
        <v>5866</v>
      </c>
      <c r="D290">
        <v>628.5</v>
      </c>
      <c r="E290">
        <v>373.3</v>
      </c>
      <c r="F290">
        <v>3.3</v>
      </c>
      <c r="G290">
        <v>0.9</v>
      </c>
      <c r="H290">
        <f t="shared" si="12"/>
        <v>1457.076556323912</v>
      </c>
      <c r="I290">
        <f t="shared" si="13"/>
        <v>3531.1265563239117</v>
      </c>
      <c r="J290">
        <f>SUMIFS(Transit_Clean[Quantity], Transit_Clean[Destination], A290, Transit_Clean[Item_Code], B290, Transit_Clean[SAP_Status], "In Transit")</f>
        <v>1026</v>
      </c>
      <c r="K290">
        <f t="shared" si="14"/>
        <v>9.3333333333333339</v>
      </c>
      <c r="L290" t="str" cm="1">
        <f t="array" ref="L290">_xlfn.IFS(C290&lt;0,"DATO INVALIDO", C290+J290&lt;I290,"PEDIR YA", C290&lt;I290,"EN CAMINO OK", TRUE,"SANO")</f>
        <v>SANO</v>
      </c>
    </row>
    <row r="291" spans="1:12" x14ac:dyDescent="0.45">
      <c r="A291" t="s">
        <v>1124</v>
      </c>
      <c r="B291" t="s">
        <v>8</v>
      </c>
      <c r="C291">
        <v>2662</v>
      </c>
      <c r="D291">
        <v>261.8</v>
      </c>
      <c r="E291">
        <v>52.6</v>
      </c>
      <c r="F291">
        <v>0.9</v>
      </c>
      <c r="G291">
        <v>0.3</v>
      </c>
      <c r="H291">
        <f t="shared" si="12"/>
        <v>153.53527598242692</v>
      </c>
      <c r="I291">
        <f t="shared" si="13"/>
        <v>389.15527598242693</v>
      </c>
      <c r="J291">
        <f>SUMIFS(Transit_Clean[Quantity], Transit_Clean[Destination], A291, Transit_Clean[Item_Code], B291, Transit_Clean[SAP_Status], "In Transit")</f>
        <v>997</v>
      </c>
      <c r="K291">
        <f t="shared" si="14"/>
        <v>10.168067226890756</v>
      </c>
      <c r="L291" t="str" cm="1">
        <f t="array" ref="L291">_xlfn.IFS(C291&lt;0,"DATO INVALIDO", C291+J291&lt;I291,"PEDIR YA", C291&lt;I291,"EN CAMINO OK", TRUE,"SANO")</f>
        <v>SANO</v>
      </c>
    </row>
    <row r="292" spans="1:12" x14ac:dyDescent="0.45">
      <c r="A292" t="s">
        <v>1117</v>
      </c>
      <c r="B292" t="s">
        <v>108</v>
      </c>
      <c r="C292">
        <v>6418</v>
      </c>
      <c r="D292">
        <v>641.29999999999995</v>
      </c>
      <c r="E292">
        <v>85.4</v>
      </c>
      <c r="F292">
        <v>2.2000000000000002</v>
      </c>
      <c r="G292">
        <v>0.5</v>
      </c>
      <c r="H292">
        <f t="shared" si="12"/>
        <v>568.85858706382373</v>
      </c>
      <c r="I292">
        <f t="shared" si="13"/>
        <v>1979.7185870638239</v>
      </c>
      <c r="J292">
        <f>SUMIFS(Transit_Clean[Quantity], Transit_Clean[Destination], A292, Transit_Clean[Item_Code], B292, Transit_Clean[SAP_Status], "In Transit")</f>
        <v>1162</v>
      </c>
      <c r="K292">
        <f t="shared" si="14"/>
        <v>10.007796663028225</v>
      </c>
      <c r="L292" t="str" cm="1">
        <f t="array" ref="L292">_xlfn.IFS(C292&lt;0,"DATO INVALIDO", C292+J292&lt;I292,"PEDIR YA", C292&lt;I292,"EN CAMINO OK", TRUE,"SANO")</f>
        <v>SANO</v>
      </c>
    </row>
    <row r="293" spans="1:12" x14ac:dyDescent="0.45">
      <c r="A293" t="s">
        <v>1116</v>
      </c>
      <c r="B293" t="s">
        <v>77</v>
      </c>
      <c r="C293">
        <v>4624</v>
      </c>
      <c r="D293">
        <v>294.89999999999998</v>
      </c>
      <c r="E293">
        <v>89.7</v>
      </c>
      <c r="F293">
        <v>6.1</v>
      </c>
      <c r="G293">
        <v>1.6</v>
      </c>
      <c r="H293">
        <f t="shared" si="12"/>
        <v>860.08239805759297</v>
      </c>
      <c r="I293">
        <f t="shared" si="13"/>
        <v>2658.9723980575927</v>
      </c>
      <c r="J293">
        <f>SUMIFS(Transit_Clean[Quantity], Transit_Clean[Destination], A293, Transit_Clean[Item_Code], B293, Transit_Clean[SAP_Status], "In Transit")</f>
        <v>2105</v>
      </c>
      <c r="K293">
        <f t="shared" si="14"/>
        <v>15.679891488640218</v>
      </c>
      <c r="L293" t="str" cm="1">
        <f t="array" ref="L293">_xlfn.IFS(C293&lt;0,"DATO INVALIDO", C293+J293&lt;I293,"PEDIR YA", C293&lt;I293,"EN CAMINO OK", TRUE,"SANO")</f>
        <v>SANO</v>
      </c>
    </row>
    <row r="294" spans="1:12" x14ac:dyDescent="0.45">
      <c r="A294" t="s">
        <v>1115</v>
      </c>
      <c r="B294" t="s">
        <v>47</v>
      </c>
      <c r="C294">
        <v>3446</v>
      </c>
      <c r="D294">
        <v>282.5</v>
      </c>
      <c r="E294">
        <v>32.6</v>
      </c>
      <c r="F294">
        <v>2.2000000000000002</v>
      </c>
      <c r="G294">
        <v>0.6</v>
      </c>
      <c r="H294">
        <f t="shared" si="12"/>
        <v>290.83243740167637</v>
      </c>
      <c r="I294">
        <f t="shared" si="13"/>
        <v>912.33243740167632</v>
      </c>
      <c r="J294">
        <f>SUMIFS(Transit_Clean[Quantity], Transit_Clean[Destination], A294, Transit_Clean[Item_Code], B294, Transit_Clean[SAP_Status], "In Transit")</f>
        <v>0</v>
      </c>
      <c r="K294">
        <f t="shared" si="14"/>
        <v>12.198230088495576</v>
      </c>
      <c r="L294" t="str" cm="1">
        <f t="array" ref="L294">_xlfn.IFS(C294&lt;0,"DATO INVALIDO", C294+J294&lt;I294,"PEDIR YA", C294&lt;I294,"EN CAMINO OK", TRUE,"SANO")</f>
        <v>SANO</v>
      </c>
    </row>
    <row r="295" spans="1:12" x14ac:dyDescent="0.45">
      <c r="A295" t="s">
        <v>1128</v>
      </c>
      <c r="B295" t="s">
        <v>55</v>
      </c>
      <c r="C295">
        <v>15402</v>
      </c>
      <c r="D295">
        <v>865.2</v>
      </c>
      <c r="E295">
        <v>162.19999999999999</v>
      </c>
      <c r="F295">
        <v>1.2</v>
      </c>
      <c r="G295">
        <v>0.5</v>
      </c>
      <c r="H295">
        <f t="shared" si="12"/>
        <v>771.65221724556716</v>
      </c>
      <c r="I295">
        <f t="shared" si="13"/>
        <v>1809.8922172455673</v>
      </c>
      <c r="J295">
        <f>SUMIFS(Transit_Clean[Quantity], Transit_Clean[Destination], A295, Transit_Clean[Item_Code], B295, Transit_Clean[SAP_Status], "In Transit")</f>
        <v>7138</v>
      </c>
      <c r="K295">
        <f t="shared" si="14"/>
        <v>17.801664355062414</v>
      </c>
      <c r="L295" t="str" cm="1">
        <f t="array" ref="L295">_xlfn.IFS(C295&lt;0,"DATO INVALIDO", C295+J295&lt;I295,"PEDIR YA", C295&lt;I295,"EN CAMINO OK", TRUE,"SANO")</f>
        <v>SANO</v>
      </c>
    </row>
    <row r="296" spans="1:12" x14ac:dyDescent="0.45">
      <c r="A296" t="s">
        <v>1117</v>
      </c>
      <c r="B296" t="s">
        <v>77</v>
      </c>
      <c r="C296">
        <v>811</v>
      </c>
      <c r="D296">
        <v>190.6</v>
      </c>
      <c r="E296">
        <v>83.8</v>
      </c>
      <c r="F296">
        <v>2.2000000000000002</v>
      </c>
      <c r="G296">
        <v>0.5</v>
      </c>
      <c r="H296">
        <f t="shared" si="12"/>
        <v>258.43160488802448</v>
      </c>
      <c r="I296">
        <f t="shared" si="13"/>
        <v>677.75160488802453</v>
      </c>
      <c r="J296">
        <f>SUMIFS(Transit_Clean[Quantity], Transit_Clean[Destination], A296, Transit_Clean[Item_Code], B296, Transit_Clean[SAP_Status], "In Transit")</f>
        <v>0</v>
      </c>
      <c r="K296">
        <f t="shared" si="14"/>
        <v>4.2549842602308496</v>
      </c>
      <c r="L296" t="str" cm="1">
        <f t="array" ref="L296">_xlfn.IFS(C296&lt;0,"DATO INVALIDO", C296+J296&lt;I296,"PEDIR YA", C296&lt;I296,"EN CAMINO OK", TRUE,"SANO")</f>
        <v>SANO</v>
      </c>
    </row>
    <row r="297" spans="1:12" x14ac:dyDescent="0.45">
      <c r="A297" t="s">
        <v>1126</v>
      </c>
      <c r="B297" t="s">
        <v>50</v>
      </c>
      <c r="C297">
        <v>1318</v>
      </c>
      <c r="D297">
        <v>145.19999999999999</v>
      </c>
      <c r="E297">
        <v>57.2</v>
      </c>
      <c r="F297">
        <v>1.5</v>
      </c>
      <c r="G297">
        <v>0.2</v>
      </c>
      <c r="H297">
        <f t="shared" si="12"/>
        <v>125.12921184120037</v>
      </c>
      <c r="I297">
        <f t="shared" si="13"/>
        <v>342.92921184120036</v>
      </c>
      <c r="J297">
        <f>SUMIFS(Transit_Clean[Quantity], Transit_Clean[Destination], A297, Transit_Clean[Item_Code], B297, Transit_Clean[SAP_Status], "In Transit")</f>
        <v>2296</v>
      </c>
      <c r="K297">
        <f t="shared" si="14"/>
        <v>9.0771349862258965</v>
      </c>
      <c r="L297" t="str" cm="1">
        <f t="array" ref="L297">_xlfn.IFS(C297&lt;0,"DATO INVALIDO", C297+J297&lt;I297,"PEDIR YA", C297&lt;I297,"EN CAMINO OK", TRUE,"SANO")</f>
        <v>SANO</v>
      </c>
    </row>
    <row r="298" spans="1:12" x14ac:dyDescent="0.45">
      <c r="A298" t="s">
        <v>1117</v>
      </c>
      <c r="B298" t="s">
        <v>58</v>
      </c>
      <c r="C298">
        <v>2604</v>
      </c>
      <c r="D298">
        <v>285.7</v>
      </c>
      <c r="E298">
        <v>42.1</v>
      </c>
      <c r="F298">
        <v>1.6</v>
      </c>
      <c r="G298">
        <v>0.5</v>
      </c>
      <c r="H298">
        <f t="shared" si="12"/>
        <v>251.54778167626523</v>
      </c>
      <c r="I298">
        <f t="shared" si="13"/>
        <v>708.66778167626524</v>
      </c>
      <c r="J298">
        <f>SUMIFS(Transit_Clean[Quantity], Transit_Clean[Destination], A298, Transit_Clean[Item_Code], B298, Transit_Clean[SAP_Status], "In Transit")</f>
        <v>537</v>
      </c>
      <c r="K298">
        <f t="shared" si="14"/>
        <v>9.1144557227861398</v>
      </c>
      <c r="L298" t="str" cm="1">
        <f t="array" ref="L298">_xlfn.IFS(C298&lt;0,"DATO INVALIDO", C298+J298&lt;I298,"PEDIR YA", C298&lt;I298,"EN CAMINO OK", TRUE,"SANO")</f>
        <v>SANO</v>
      </c>
    </row>
    <row r="299" spans="1:12" x14ac:dyDescent="0.45">
      <c r="A299" t="s">
        <v>1127</v>
      </c>
      <c r="B299" t="s">
        <v>23</v>
      </c>
      <c r="C299">
        <v>1577</v>
      </c>
      <c r="D299">
        <v>352.7</v>
      </c>
      <c r="E299">
        <v>92.1</v>
      </c>
      <c r="F299">
        <v>2.2999999999999998</v>
      </c>
      <c r="G299">
        <v>0.9</v>
      </c>
      <c r="H299">
        <f t="shared" si="12"/>
        <v>572.22263556918995</v>
      </c>
      <c r="I299">
        <f t="shared" si="13"/>
        <v>1383.4326355691899</v>
      </c>
      <c r="J299">
        <f>SUMIFS(Transit_Clean[Quantity], Transit_Clean[Destination], A299, Transit_Clean[Item_Code], B299, Transit_Clean[SAP_Status], "In Transit")</f>
        <v>5259</v>
      </c>
      <c r="K299">
        <f t="shared" si="14"/>
        <v>4.4712220017011628</v>
      </c>
      <c r="L299" t="str" cm="1">
        <f t="array" ref="L299">_xlfn.IFS(C299&lt;0,"DATO INVALIDO", C299+J299&lt;I299,"PEDIR YA", C299&lt;I299,"EN CAMINO OK", TRUE,"SANO")</f>
        <v>SANO</v>
      </c>
    </row>
    <row r="300" spans="1:12" x14ac:dyDescent="0.45">
      <c r="A300" t="s">
        <v>1128</v>
      </c>
      <c r="B300" t="s">
        <v>59</v>
      </c>
      <c r="C300">
        <v>3709</v>
      </c>
      <c r="D300">
        <v>310.8</v>
      </c>
      <c r="E300">
        <v>26.3</v>
      </c>
      <c r="F300">
        <v>1.1000000000000001</v>
      </c>
      <c r="G300">
        <v>0.5</v>
      </c>
      <c r="H300">
        <f t="shared" si="12"/>
        <v>260.41798464679817</v>
      </c>
      <c r="I300">
        <f t="shared" si="13"/>
        <v>602.29798464679823</v>
      </c>
      <c r="J300">
        <f>SUMIFS(Transit_Clean[Quantity], Transit_Clean[Destination], A300, Transit_Clean[Item_Code], B300, Transit_Clean[SAP_Status], "In Transit")</f>
        <v>0</v>
      </c>
      <c r="K300">
        <f t="shared" si="14"/>
        <v>11.933719433719434</v>
      </c>
      <c r="L300" t="str" cm="1">
        <f t="array" ref="L300">_xlfn.IFS(C300&lt;0,"DATO INVALIDO", C300+J300&lt;I300,"PEDIR YA", C300&lt;I300,"EN CAMINO OK", TRUE,"SANO")</f>
        <v>SANO</v>
      </c>
    </row>
    <row r="301" spans="1:12" x14ac:dyDescent="0.45">
      <c r="A301" t="s">
        <v>1125</v>
      </c>
      <c r="B301" t="s">
        <v>69</v>
      </c>
      <c r="C301">
        <v>4919</v>
      </c>
      <c r="D301">
        <v>333</v>
      </c>
      <c r="E301">
        <v>177.8</v>
      </c>
      <c r="F301">
        <v>3.1</v>
      </c>
      <c r="G301">
        <v>1.2</v>
      </c>
      <c r="H301">
        <f t="shared" si="12"/>
        <v>837.5760872840151</v>
      </c>
      <c r="I301">
        <f t="shared" si="13"/>
        <v>1869.8760872840151</v>
      </c>
      <c r="J301">
        <f>SUMIFS(Transit_Clean[Quantity], Transit_Clean[Destination], A301, Transit_Clean[Item_Code], B301, Transit_Clean[SAP_Status], "In Transit")</f>
        <v>3130</v>
      </c>
      <c r="K301">
        <f t="shared" si="14"/>
        <v>14.771771771771771</v>
      </c>
      <c r="L301" t="str" cm="1">
        <f t="array" ref="L301">_xlfn.IFS(C301&lt;0,"DATO INVALIDO", C301+J301&lt;I301,"PEDIR YA", C301&lt;I301,"EN CAMINO OK", TRUE,"SANO")</f>
        <v>SANO</v>
      </c>
    </row>
    <row r="302" spans="1:12" x14ac:dyDescent="0.45">
      <c r="A302" t="s">
        <v>1125</v>
      </c>
      <c r="B302" t="s">
        <v>18</v>
      </c>
      <c r="C302">
        <v>1754</v>
      </c>
      <c r="D302">
        <v>400.4</v>
      </c>
      <c r="E302">
        <v>62.2</v>
      </c>
      <c r="F302">
        <v>2.2999999999999998</v>
      </c>
      <c r="G302">
        <v>1.2</v>
      </c>
      <c r="H302">
        <f t="shared" si="12"/>
        <v>807.92627394707233</v>
      </c>
      <c r="I302">
        <f t="shared" si="13"/>
        <v>1728.8462739470722</v>
      </c>
      <c r="J302">
        <f>SUMIFS(Transit_Clean[Quantity], Transit_Clean[Destination], A302, Transit_Clean[Item_Code], B302, Transit_Clean[SAP_Status], "In Transit")</f>
        <v>0</v>
      </c>
      <c r="K302">
        <f t="shared" si="14"/>
        <v>4.3806193806193807</v>
      </c>
      <c r="L302" t="str" cm="1">
        <f t="array" ref="L302">_xlfn.IFS(C302&lt;0,"DATO INVALIDO", C302+J302&lt;I302,"PEDIR YA", C302&lt;I302,"EN CAMINO OK", TRUE,"SANO")</f>
        <v>SANO</v>
      </c>
    </row>
    <row r="303" spans="1:12" x14ac:dyDescent="0.45">
      <c r="A303" t="s">
        <v>1127</v>
      </c>
      <c r="B303" t="s">
        <v>41</v>
      </c>
      <c r="C303">
        <v>1653</v>
      </c>
      <c r="D303">
        <v>349.8</v>
      </c>
      <c r="E303">
        <v>123.5</v>
      </c>
      <c r="F303">
        <v>4.2</v>
      </c>
      <c r="G303">
        <v>0.9</v>
      </c>
      <c r="H303">
        <f t="shared" si="12"/>
        <v>666.5082683913231</v>
      </c>
      <c r="I303">
        <f t="shared" si="13"/>
        <v>2135.6682683913232</v>
      </c>
      <c r="J303">
        <f>SUMIFS(Transit_Clean[Quantity], Transit_Clean[Destination], A303, Transit_Clean[Item_Code], B303, Transit_Clean[SAP_Status], "In Transit")</f>
        <v>3469</v>
      </c>
      <c r="K303">
        <f t="shared" si="14"/>
        <v>4.7255574614065177</v>
      </c>
      <c r="L303" t="str" cm="1">
        <f t="array" ref="L303">_xlfn.IFS(C303&lt;0,"DATO INVALIDO", C303+J303&lt;I303,"PEDIR YA", C303&lt;I303,"EN CAMINO OK", TRUE,"SANO")</f>
        <v>EN CAMINO OK</v>
      </c>
    </row>
    <row r="304" spans="1:12" x14ac:dyDescent="0.45">
      <c r="A304" t="s">
        <v>1124</v>
      </c>
      <c r="B304" t="s">
        <v>57</v>
      </c>
      <c r="C304">
        <v>2934</v>
      </c>
      <c r="D304">
        <v>166.2</v>
      </c>
      <c r="E304">
        <v>13.4</v>
      </c>
      <c r="F304">
        <v>0.5</v>
      </c>
      <c r="G304">
        <v>0.3</v>
      </c>
      <c r="H304">
        <f t="shared" si="12"/>
        <v>83.74135424627427</v>
      </c>
      <c r="I304">
        <f t="shared" si="13"/>
        <v>166.84135424627425</v>
      </c>
      <c r="J304">
        <f>SUMIFS(Transit_Clean[Quantity], Transit_Clean[Destination], A304, Transit_Clean[Item_Code], B304, Transit_Clean[SAP_Status], "In Transit")</f>
        <v>0</v>
      </c>
      <c r="K304">
        <f t="shared" si="14"/>
        <v>17.653429602888089</v>
      </c>
      <c r="L304" t="str" cm="1">
        <f t="array" ref="L304">_xlfn.IFS(C304&lt;0,"DATO INVALIDO", C304+J304&lt;I304,"PEDIR YA", C304&lt;I304,"EN CAMINO OK", TRUE,"SANO")</f>
        <v>SANO</v>
      </c>
    </row>
    <row r="305" spans="1:12" x14ac:dyDescent="0.45">
      <c r="A305" t="s">
        <v>1116</v>
      </c>
      <c r="B305" t="s">
        <v>1129</v>
      </c>
      <c r="C305">
        <v>2189</v>
      </c>
      <c r="D305">
        <v>785.1</v>
      </c>
      <c r="E305">
        <v>181.1</v>
      </c>
      <c r="F305">
        <v>7.1</v>
      </c>
      <c r="G305">
        <v>1.6</v>
      </c>
      <c r="H305">
        <f t="shared" si="12"/>
        <v>2220.3373452909136</v>
      </c>
      <c r="I305">
        <f t="shared" si="13"/>
        <v>7794.5473452909137</v>
      </c>
      <c r="J305">
        <f>SUMIFS(Transit_Clean[Quantity], Transit_Clean[Destination], A305, Transit_Clean[Item_Code], B305, Transit_Clean[SAP_Status], "In Transit")</f>
        <v>2587</v>
      </c>
      <c r="K305">
        <f t="shared" si="14"/>
        <v>2.7881798497006751</v>
      </c>
      <c r="L305" t="str" cm="1">
        <f t="array" ref="L305">_xlfn.IFS(C305&lt;0,"DATO INVALIDO", C305+J305&lt;I305,"PEDIR YA", C305&lt;I305,"EN CAMINO OK", TRUE,"SANO")</f>
        <v>PEDIR YA</v>
      </c>
    </row>
    <row r="306" spans="1:12" x14ac:dyDescent="0.45">
      <c r="A306" t="s">
        <v>1118</v>
      </c>
      <c r="B306" t="s">
        <v>55</v>
      </c>
      <c r="C306">
        <v>5185</v>
      </c>
      <c r="D306">
        <v>502.3</v>
      </c>
      <c r="E306">
        <v>137.30000000000001</v>
      </c>
      <c r="F306">
        <v>5.4</v>
      </c>
      <c r="G306">
        <v>1.5</v>
      </c>
      <c r="H306">
        <f t="shared" si="12"/>
        <v>1350.0628992721968</v>
      </c>
      <c r="I306">
        <f t="shared" si="13"/>
        <v>4062.4828992721968</v>
      </c>
      <c r="J306">
        <f>SUMIFS(Transit_Clean[Quantity], Transit_Clean[Destination], A306, Transit_Clean[Item_Code], B306, Transit_Clean[SAP_Status], "In Transit")</f>
        <v>0</v>
      </c>
      <c r="K306">
        <f t="shared" si="14"/>
        <v>10.32251642444754</v>
      </c>
      <c r="L306" t="str" cm="1">
        <f t="array" ref="L306">_xlfn.IFS(C306&lt;0,"DATO INVALIDO", C306+J306&lt;I306,"PEDIR YA", C306&lt;I306,"EN CAMINO OK", TRUE,"SANO")</f>
        <v>SANO</v>
      </c>
    </row>
    <row r="307" spans="1:12" x14ac:dyDescent="0.45">
      <c r="A307" t="s">
        <v>1128</v>
      </c>
      <c r="B307" t="s">
        <v>50</v>
      </c>
      <c r="C307">
        <v>1589</v>
      </c>
      <c r="D307">
        <v>284.3</v>
      </c>
      <c r="E307">
        <v>117.5</v>
      </c>
      <c r="F307">
        <v>1.4</v>
      </c>
      <c r="G307">
        <v>0.5</v>
      </c>
      <c r="H307">
        <f t="shared" si="12"/>
        <v>328.07781337854891</v>
      </c>
      <c r="I307">
        <f t="shared" si="13"/>
        <v>726.09781337854884</v>
      </c>
      <c r="J307">
        <f>SUMIFS(Transit_Clean[Quantity], Transit_Clean[Destination], A307, Transit_Clean[Item_Code], B307, Transit_Clean[SAP_Status], "In Transit")</f>
        <v>0</v>
      </c>
      <c r="K307">
        <f t="shared" si="14"/>
        <v>5.5891663735490678</v>
      </c>
      <c r="L307" t="str" cm="1">
        <f t="array" ref="L307">_xlfn.IFS(C307&lt;0,"DATO INVALIDO", C307+J307&lt;I307,"PEDIR YA", C307&lt;I307,"EN CAMINO OK", TRUE,"SANO")</f>
        <v>SANO</v>
      </c>
    </row>
    <row r="308" spans="1:12" x14ac:dyDescent="0.45">
      <c r="A308" t="s">
        <v>1124</v>
      </c>
      <c r="B308" t="s">
        <v>98</v>
      </c>
      <c r="C308">
        <v>4754</v>
      </c>
      <c r="D308">
        <v>738.3</v>
      </c>
      <c r="E308">
        <v>145.9</v>
      </c>
      <c r="F308">
        <v>1.1000000000000001</v>
      </c>
      <c r="G308">
        <v>0.3</v>
      </c>
      <c r="H308">
        <f t="shared" si="12"/>
        <v>444.19431499035414</v>
      </c>
      <c r="I308">
        <f t="shared" si="13"/>
        <v>1256.3243149903542</v>
      </c>
      <c r="J308">
        <f>SUMIFS(Transit_Clean[Quantity], Transit_Clean[Destination], A308, Transit_Clean[Item_Code], B308, Transit_Clean[SAP_Status], "In Transit")</f>
        <v>2072</v>
      </c>
      <c r="K308">
        <f t="shared" si="14"/>
        <v>6.4391168901530547</v>
      </c>
      <c r="L308" t="str" cm="1">
        <f t="array" ref="L308">_xlfn.IFS(C308&lt;0,"DATO INVALIDO", C308+J308&lt;I308,"PEDIR YA", C308&lt;I308,"EN CAMINO OK", TRUE,"SANO")</f>
        <v>SANO</v>
      </c>
    </row>
    <row r="309" spans="1:12" x14ac:dyDescent="0.45">
      <c r="A309" t="s">
        <v>1116</v>
      </c>
      <c r="B309" t="s">
        <v>20</v>
      </c>
      <c r="C309">
        <v>1704</v>
      </c>
      <c r="D309">
        <v>459.1</v>
      </c>
      <c r="E309">
        <v>56.6</v>
      </c>
      <c r="F309">
        <v>3.9</v>
      </c>
      <c r="G309">
        <v>1.6</v>
      </c>
      <c r="H309">
        <f t="shared" si="12"/>
        <v>1225.9758463224307</v>
      </c>
      <c r="I309">
        <f t="shared" si="13"/>
        <v>3016.4658463224305</v>
      </c>
      <c r="J309">
        <f>SUMIFS(Transit_Clean[Quantity], Transit_Clean[Destination], A309, Transit_Clean[Item_Code], B309, Transit_Clean[SAP_Status], "In Transit")</f>
        <v>0</v>
      </c>
      <c r="K309">
        <f t="shared" si="14"/>
        <v>3.7116096710956219</v>
      </c>
      <c r="L309" t="str" cm="1">
        <f t="array" ref="L309">_xlfn.IFS(C309&lt;0,"DATO INVALIDO", C309+J309&lt;I309,"PEDIR YA", C309&lt;I309,"EN CAMINO OK", TRUE,"SANO")</f>
        <v>PEDIR YA</v>
      </c>
    </row>
    <row r="310" spans="1:12" x14ac:dyDescent="0.45">
      <c r="A310" t="s">
        <v>1128</v>
      </c>
      <c r="B310" t="s">
        <v>1140</v>
      </c>
      <c r="C310">
        <v>3224</v>
      </c>
      <c r="D310">
        <v>423.7</v>
      </c>
      <c r="E310">
        <v>50.5</v>
      </c>
      <c r="F310">
        <v>1.6</v>
      </c>
      <c r="G310">
        <v>0.5</v>
      </c>
      <c r="H310">
        <f t="shared" si="12"/>
        <v>365.09702718078927</v>
      </c>
      <c r="I310">
        <f t="shared" si="13"/>
        <v>1043.0170271807892</v>
      </c>
      <c r="J310">
        <f>SUMIFS(Transit_Clean[Quantity], Transit_Clean[Destination], A310, Transit_Clean[Item_Code], B310, Transit_Clean[SAP_Status], "In Transit")</f>
        <v>4558</v>
      </c>
      <c r="K310">
        <f t="shared" si="14"/>
        <v>7.6091574227047438</v>
      </c>
      <c r="L310" t="str" cm="1">
        <f t="array" ref="L310">_xlfn.IFS(C310&lt;0,"DATO INVALIDO", C310+J310&lt;I310,"PEDIR YA", C310&lt;I310,"EN CAMINO OK", TRUE,"SANO")</f>
        <v>SANO</v>
      </c>
    </row>
    <row r="311" spans="1:12" x14ac:dyDescent="0.45">
      <c r="A311" t="s">
        <v>1118</v>
      </c>
      <c r="B311" t="s">
        <v>35</v>
      </c>
      <c r="C311">
        <v>3490</v>
      </c>
      <c r="D311">
        <v>527.70000000000005</v>
      </c>
      <c r="E311">
        <v>104.7</v>
      </c>
      <c r="F311">
        <v>5.3</v>
      </c>
      <c r="G311">
        <v>1.5</v>
      </c>
      <c r="H311">
        <f t="shared" si="12"/>
        <v>1365.2695449759181</v>
      </c>
      <c r="I311">
        <f t="shared" si="13"/>
        <v>4162.079544975918</v>
      </c>
      <c r="J311">
        <f>SUMIFS(Transit_Clean[Quantity], Transit_Clean[Destination], A311, Transit_Clean[Item_Code], B311, Transit_Clean[SAP_Status], "In Transit")</f>
        <v>1096</v>
      </c>
      <c r="K311">
        <f t="shared" si="14"/>
        <v>6.6136062156528324</v>
      </c>
      <c r="L311" t="str" cm="1">
        <f t="array" ref="L311">_xlfn.IFS(C311&lt;0,"DATO INVALIDO", C311+J311&lt;I311,"PEDIR YA", C311&lt;I311,"EN CAMINO OK", TRUE,"SANO")</f>
        <v>EN CAMINO OK</v>
      </c>
    </row>
    <row r="312" spans="1:12" x14ac:dyDescent="0.45">
      <c r="A312" t="s">
        <v>1120</v>
      </c>
      <c r="B312" t="s">
        <v>7</v>
      </c>
      <c r="C312">
        <v>5365</v>
      </c>
      <c r="D312">
        <v>477.7</v>
      </c>
      <c r="E312">
        <v>50.5</v>
      </c>
      <c r="F312">
        <v>1.5</v>
      </c>
      <c r="G312">
        <v>0.5</v>
      </c>
      <c r="H312">
        <f t="shared" si="12"/>
        <v>407.10117163151222</v>
      </c>
      <c r="I312">
        <f t="shared" si="13"/>
        <v>1123.6511716315122</v>
      </c>
      <c r="J312">
        <f>SUMIFS(Transit_Clean[Quantity], Transit_Clean[Destination], A312, Transit_Clean[Item_Code], B312, Transit_Clean[SAP_Status], "In Transit")</f>
        <v>0</v>
      </c>
      <c r="K312">
        <f t="shared" si="14"/>
        <v>11.230898053171448</v>
      </c>
      <c r="L312" t="str" cm="1">
        <f t="array" ref="L312">_xlfn.IFS(C312&lt;0,"DATO INVALIDO", C312+J312&lt;I312,"PEDIR YA", C312&lt;I312,"EN CAMINO OK", TRUE,"SANO")</f>
        <v>SANO</v>
      </c>
    </row>
    <row r="313" spans="1:12" x14ac:dyDescent="0.45">
      <c r="A313" t="s">
        <v>1114</v>
      </c>
      <c r="B313" t="s">
        <v>96</v>
      </c>
      <c r="C313">
        <v>5106</v>
      </c>
      <c r="D313">
        <v>812.5</v>
      </c>
      <c r="E313">
        <v>206.4</v>
      </c>
      <c r="F313">
        <v>7.7</v>
      </c>
      <c r="G313">
        <v>1.3</v>
      </c>
      <c r="H313">
        <f t="shared" si="12"/>
        <v>1982.5362505831388</v>
      </c>
      <c r="I313">
        <f t="shared" si="13"/>
        <v>8238.7862505831381</v>
      </c>
      <c r="J313">
        <f>SUMIFS(Transit_Clean[Quantity], Transit_Clean[Destination], A313, Transit_Clean[Item_Code], B313, Transit_Clean[SAP_Status], "In Transit")</f>
        <v>0</v>
      </c>
      <c r="K313">
        <f t="shared" si="14"/>
        <v>6.2843076923076922</v>
      </c>
      <c r="L313" t="str" cm="1">
        <f t="array" ref="L313">_xlfn.IFS(C313&lt;0,"DATO INVALIDO", C313+J313&lt;I313,"PEDIR YA", C313&lt;I313,"EN CAMINO OK", TRUE,"SANO")</f>
        <v>PEDIR YA</v>
      </c>
    </row>
    <row r="314" spans="1:12" x14ac:dyDescent="0.45">
      <c r="A314" t="s">
        <v>1128</v>
      </c>
      <c r="B314" t="s">
        <v>1135</v>
      </c>
      <c r="C314">
        <v>1457</v>
      </c>
      <c r="D314">
        <v>228.7</v>
      </c>
      <c r="E314">
        <v>28.8</v>
      </c>
      <c r="F314">
        <v>2.5</v>
      </c>
      <c r="G314">
        <v>0.5</v>
      </c>
      <c r="H314">
        <f t="shared" si="12"/>
        <v>203.08760426537606</v>
      </c>
      <c r="I314">
        <f t="shared" si="13"/>
        <v>774.83760426537606</v>
      </c>
      <c r="J314">
        <f>SUMIFS(Transit_Clean[Quantity], Transit_Clean[Destination], A314, Transit_Clean[Item_Code], B314, Transit_Clean[SAP_Status], "In Transit")</f>
        <v>0</v>
      </c>
      <c r="K314">
        <f t="shared" si="14"/>
        <v>6.3707914298207262</v>
      </c>
      <c r="L314" t="str" cm="1">
        <f t="array" ref="L314">_xlfn.IFS(C314&lt;0,"DATO INVALIDO", C314+J314&lt;I314,"PEDIR YA", C314&lt;I314,"EN CAMINO OK", TRUE,"SANO")</f>
        <v>SANO</v>
      </c>
    </row>
    <row r="315" spans="1:12" x14ac:dyDescent="0.45">
      <c r="A315" t="s">
        <v>1126</v>
      </c>
      <c r="B315" t="s">
        <v>30</v>
      </c>
      <c r="C315">
        <v>2526</v>
      </c>
      <c r="D315">
        <v>701.3</v>
      </c>
      <c r="E315">
        <v>136.69999999999999</v>
      </c>
      <c r="F315">
        <v>1.1000000000000001</v>
      </c>
      <c r="G315">
        <v>0.2</v>
      </c>
      <c r="H315">
        <f t="shared" si="12"/>
        <v>330.94100058545177</v>
      </c>
      <c r="I315">
        <f t="shared" si="13"/>
        <v>1102.3710005854518</v>
      </c>
      <c r="J315">
        <f>SUMIFS(Transit_Clean[Quantity], Transit_Clean[Destination], A315, Transit_Clean[Item_Code], B315, Transit_Clean[SAP_Status], "In Transit")</f>
        <v>0</v>
      </c>
      <c r="K315">
        <f t="shared" si="14"/>
        <v>3.6018822187366322</v>
      </c>
      <c r="L315" t="str" cm="1">
        <f t="array" ref="L315">_xlfn.IFS(C315&lt;0,"DATO INVALIDO", C315+J315&lt;I315,"PEDIR YA", C315&lt;I315,"EN CAMINO OK", TRUE,"SANO")</f>
        <v>SANO</v>
      </c>
    </row>
    <row r="316" spans="1:12" x14ac:dyDescent="0.45">
      <c r="A316" t="s">
        <v>1120</v>
      </c>
      <c r="B316" t="s">
        <v>96</v>
      </c>
      <c r="C316">
        <v>9169</v>
      </c>
      <c r="D316">
        <v>826</v>
      </c>
      <c r="E316">
        <v>218.3</v>
      </c>
      <c r="F316">
        <v>1.5</v>
      </c>
      <c r="G316">
        <v>0.5</v>
      </c>
      <c r="H316">
        <f t="shared" si="12"/>
        <v>811.77876267952456</v>
      </c>
      <c r="I316">
        <f t="shared" si="13"/>
        <v>2050.7787626795243</v>
      </c>
      <c r="J316">
        <f>SUMIFS(Transit_Clean[Quantity], Transit_Clean[Destination], A316, Transit_Clean[Item_Code], B316, Transit_Clean[SAP_Status], "In Transit")</f>
        <v>0</v>
      </c>
      <c r="K316">
        <f t="shared" si="14"/>
        <v>11.10048426150121</v>
      </c>
      <c r="L316" t="str" cm="1">
        <f t="array" ref="L316">_xlfn.IFS(C316&lt;0,"DATO INVALIDO", C316+J316&lt;I316,"PEDIR YA", C316&lt;I316,"EN CAMINO OK", TRUE,"SANO")</f>
        <v>SANO</v>
      </c>
    </row>
    <row r="317" spans="1:12" x14ac:dyDescent="0.45">
      <c r="A317" t="s">
        <v>1126</v>
      </c>
      <c r="B317" t="s">
        <v>108</v>
      </c>
      <c r="C317">
        <v>6619</v>
      </c>
      <c r="D317">
        <v>468</v>
      </c>
      <c r="E317">
        <v>53.6</v>
      </c>
      <c r="F317">
        <v>0.9</v>
      </c>
      <c r="G317">
        <v>0.2</v>
      </c>
      <c r="H317">
        <f t="shared" si="12"/>
        <v>175.75887983257064</v>
      </c>
      <c r="I317">
        <f t="shared" si="13"/>
        <v>596.95887983257057</v>
      </c>
      <c r="J317">
        <f>SUMIFS(Transit_Clean[Quantity], Transit_Clean[Destination], A317, Transit_Clean[Item_Code], B317, Transit_Clean[SAP_Status], "In Transit")</f>
        <v>1350</v>
      </c>
      <c r="K317">
        <f t="shared" si="14"/>
        <v>14.143162393162394</v>
      </c>
      <c r="L317" t="str" cm="1">
        <f t="array" ref="L317">_xlfn.IFS(C317&lt;0,"DATO INVALIDO", C317+J317&lt;I317,"PEDIR YA", C317&lt;I317,"EN CAMINO OK", TRUE,"SANO")</f>
        <v>SANO</v>
      </c>
    </row>
    <row r="318" spans="1:12" x14ac:dyDescent="0.45">
      <c r="A318" t="s">
        <v>1126</v>
      </c>
      <c r="B318" t="s">
        <v>8</v>
      </c>
      <c r="C318">
        <v>5549</v>
      </c>
      <c r="D318">
        <v>334.4</v>
      </c>
      <c r="E318">
        <v>63.6</v>
      </c>
      <c r="F318">
        <v>1</v>
      </c>
      <c r="G318">
        <v>0.2</v>
      </c>
      <c r="H318">
        <f t="shared" si="12"/>
        <v>152.28252527456982</v>
      </c>
      <c r="I318">
        <f t="shared" si="13"/>
        <v>486.6825252745698</v>
      </c>
      <c r="J318">
        <f>SUMIFS(Transit_Clean[Quantity], Transit_Clean[Destination], A318, Transit_Clean[Item_Code], B318, Transit_Clean[SAP_Status], "In Transit")</f>
        <v>0</v>
      </c>
      <c r="K318">
        <f t="shared" si="14"/>
        <v>16.593899521531103</v>
      </c>
      <c r="L318" t="str" cm="1">
        <f t="array" ref="L318">_xlfn.IFS(C318&lt;0,"DATO INVALIDO", C318+J318&lt;I318,"PEDIR YA", C318&lt;I318,"EN CAMINO OK", TRUE,"SANO")</f>
        <v>SANO</v>
      </c>
    </row>
    <row r="319" spans="1:12" x14ac:dyDescent="0.45">
      <c r="A319" t="s">
        <v>1118</v>
      </c>
      <c r="B319" t="s">
        <v>96</v>
      </c>
      <c r="D319">
        <v>983.5</v>
      </c>
      <c r="E319">
        <v>207.3</v>
      </c>
      <c r="F319">
        <v>4.5999999999999996</v>
      </c>
      <c r="G319">
        <v>1.5</v>
      </c>
      <c r="H319">
        <f t="shared" si="12"/>
        <v>2542.306644313634</v>
      </c>
      <c r="I319">
        <f t="shared" si="13"/>
        <v>7066.4066443136335</v>
      </c>
      <c r="J319">
        <f>SUMIFS(Transit_Clean[Quantity], Transit_Clean[Destination], A319, Transit_Clean[Item_Code], B319, Transit_Clean[SAP_Status], "In Transit")</f>
        <v>0</v>
      </c>
      <c r="K319">
        <f t="shared" si="14"/>
        <v>0</v>
      </c>
      <c r="L319" t="str" cm="1">
        <f t="array" ref="L319">_xlfn.IFS(C319&lt;0,"DATO INVALIDO", C319+J319&lt;I319,"PEDIR YA", C319&lt;I319,"EN CAMINO OK", TRUE,"SANO")</f>
        <v>PEDIR YA</v>
      </c>
    </row>
    <row r="320" spans="1:12" x14ac:dyDescent="0.45">
      <c r="A320" t="s">
        <v>1127</v>
      </c>
      <c r="B320" t="s">
        <v>1133</v>
      </c>
      <c r="C320">
        <v>3153</v>
      </c>
      <c r="D320">
        <v>559.20000000000005</v>
      </c>
      <c r="E320">
        <v>123.4</v>
      </c>
      <c r="F320">
        <v>2.5</v>
      </c>
      <c r="G320">
        <v>0.9</v>
      </c>
      <c r="H320">
        <f t="shared" si="12"/>
        <v>890.63273575250992</v>
      </c>
      <c r="I320">
        <f t="shared" si="13"/>
        <v>2288.6327357525097</v>
      </c>
      <c r="J320">
        <f>SUMIFS(Transit_Clean[Quantity], Transit_Clean[Destination], A320, Transit_Clean[Item_Code], B320, Transit_Clean[SAP_Status], "In Transit")</f>
        <v>1093</v>
      </c>
      <c r="K320">
        <f t="shared" si="14"/>
        <v>5.6384120171673819</v>
      </c>
      <c r="L320" t="str" cm="1">
        <f t="array" ref="L320">_xlfn.IFS(C320&lt;0,"DATO INVALIDO", C320+J320&lt;I320,"PEDIR YA", C320&lt;I320,"EN CAMINO OK", TRUE,"SANO")</f>
        <v>SANO</v>
      </c>
    </row>
    <row r="321" spans="1:12" x14ac:dyDescent="0.45">
      <c r="A321" t="s">
        <v>1119</v>
      </c>
      <c r="B321" t="s">
        <v>1140</v>
      </c>
      <c r="C321">
        <v>417</v>
      </c>
      <c r="D321">
        <v>178.9</v>
      </c>
      <c r="E321">
        <v>22.6</v>
      </c>
      <c r="F321">
        <v>2.2000000000000002</v>
      </c>
      <c r="G321">
        <v>1</v>
      </c>
      <c r="H321">
        <f t="shared" si="12"/>
        <v>300.3221291297063</v>
      </c>
      <c r="I321">
        <f t="shared" si="13"/>
        <v>693.90212912970628</v>
      </c>
      <c r="J321">
        <f>SUMIFS(Transit_Clean[Quantity], Transit_Clean[Destination], A321, Transit_Clean[Item_Code], B321, Transit_Clean[SAP_Status], "In Transit")</f>
        <v>0</v>
      </c>
      <c r="K321">
        <f t="shared" si="14"/>
        <v>2.3309111235326996</v>
      </c>
      <c r="L321" t="str" cm="1">
        <f t="array" ref="L321">_xlfn.IFS(C321&lt;0,"DATO INVALIDO", C321+J321&lt;I321,"PEDIR YA", C321&lt;I321,"EN CAMINO OK", TRUE,"SANO")</f>
        <v>PEDIR YA</v>
      </c>
    </row>
    <row r="322" spans="1:12" x14ac:dyDescent="0.45">
      <c r="A322" t="s">
        <v>1124</v>
      </c>
      <c r="B322" t="s">
        <v>30</v>
      </c>
      <c r="C322">
        <v>1844</v>
      </c>
      <c r="D322">
        <v>799.5</v>
      </c>
      <c r="E322">
        <v>127.9</v>
      </c>
      <c r="F322">
        <v>0.7</v>
      </c>
      <c r="G322">
        <v>0.3</v>
      </c>
      <c r="H322">
        <f t="shared" si="12"/>
        <v>433.35329826107238</v>
      </c>
      <c r="I322">
        <f t="shared" si="13"/>
        <v>993.00329826107236</v>
      </c>
      <c r="J322">
        <f>SUMIFS(Transit_Clean[Quantity], Transit_Clean[Destination], A322, Transit_Clean[Item_Code], B322, Transit_Clean[SAP_Status], "In Transit")</f>
        <v>1978</v>
      </c>
      <c r="K322">
        <f t="shared" si="14"/>
        <v>2.306441525953721</v>
      </c>
      <c r="L322" t="str" cm="1">
        <f t="array" ref="L322">_xlfn.IFS(C322&lt;0,"DATO INVALIDO", C322+J322&lt;I322,"PEDIR YA", C322&lt;I322,"EN CAMINO OK", TRUE,"SANO")</f>
        <v>SANO</v>
      </c>
    </row>
    <row r="323" spans="1:12" x14ac:dyDescent="0.45">
      <c r="A323" t="s">
        <v>1123</v>
      </c>
      <c r="B323" t="s">
        <v>1138</v>
      </c>
      <c r="C323">
        <v>7292</v>
      </c>
      <c r="D323">
        <v>485.5</v>
      </c>
      <c r="E323">
        <v>143.80000000000001</v>
      </c>
      <c r="F323">
        <v>0.5</v>
      </c>
      <c r="G323">
        <v>0.3</v>
      </c>
      <c r="H323">
        <f t="shared" ref="H323:H386" si="15">IFERROR(1.65*SQRT(F323*E323^2 + D323^2*G323^2), "")</f>
        <v>293.09287001947013</v>
      </c>
      <c r="I323">
        <f t="shared" ref="I323:I386" si="16">IFERROR(D323*F323 + H323, "")</f>
        <v>535.84287001947018</v>
      </c>
      <c r="J323">
        <f>SUMIFS(Transit_Clean[Quantity], Transit_Clean[Destination], A323, Transit_Clean[Item_Code], B323, Transit_Clean[SAP_Status], "In Transit")</f>
        <v>1454</v>
      </c>
      <c r="K323">
        <f t="shared" ref="K323:K386" si="17">IFERROR(C323/D323, "")</f>
        <v>15.019567456230691</v>
      </c>
      <c r="L323" t="str" cm="1">
        <f t="array" ref="L323">_xlfn.IFS(C323&lt;0,"DATO INVALIDO", C323+J323&lt;I323,"PEDIR YA", C323&lt;I323,"EN CAMINO OK", TRUE,"SANO")</f>
        <v>SANO</v>
      </c>
    </row>
    <row r="324" spans="1:12" x14ac:dyDescent="0.45">
      <c r="A324" t="s">
        <v>1124</v>
      </c>
      <c r="B324" t="s">
        <v>80</v>
      </c>
      <c r="C324">
        <v>3422</v>
      </c>
      <c r="D324">
        <v>405</v>
      </c>
      <c r="E324">
        <v>57.5</v>
      </c>
      <c r="F324">
        <v>1.4</v>
      </c>
      <c r="G324">
        <v>0.3</v>
      </c>
      <c r="H324">
        <f t="shared" si="15"/>
        <v>229.76509199615157</v>
      </c>
      <c r="I324">
        <f t="shared" si="16"/>
        <v>796.76509199615157</v>
      </c>
      <c r="J324">
        <f>SUMIFS(Transit_Clean[Quantity], Transit_Clean[Destination], A324, Transit_Clean[Item_Code], B324, Transit_Clean[SAP_Status], "In Transit")</f>
        <v>0</v>
      </c>
      <c r="K324">
        <f t="shared" si="17"/>
        <v>8.4493827160493833</v>
      </c>
      <c r="L324" t="str" cm="1">
        <f t="array" ref="L324">_xlfn.IFS(C324&lt;0,"DATO INVALIDO", C324+J324&lt;I324,"PEDIR YA", C324&lt;I324,"EN CAMINO OK", TRUE,"SANO")</f>
        <v>SANO</v>
      </c>
    </row>
    <row r="325" spans="1:12" x14ac:dyDescent="0.45">
      <c r="A325" t="s">
        <v>1124</v>
      </c>
      <c r="B325" t="s">
        <v>51</v>
      </c>
      <c r="C325">
        <v>8066</v>
      </c>
      <c r="D325">
        <v>599.4</v>
      </c>
      <c r="E325">
        <v>90.8</v>
      </c>
      <c r="F325">
        <v>1.2</v>
      </c>
      <c r="G325">
        <v>0.3</v>
      </c>
      <c r="H325">
        <f t="shared" si="15"/>
        <v>339.06918038801456</v>
      </c>
      <c r="I325">
        <f t="shared" si="16"/>
        <v>1058.3491803880145</v>
      </c>
      <c r="J325">
        <f>SUMIFS(Transit_Clean[Quantity], Transit_Clean[Destination], A325, Transit_Clean[Item_Code], B325, Transit_Clean[SAP_Status], "In Transit")</f>
        <v>0</v>
      </c>
      <c r="K325">
        <f t="shared" si="17"/>
        <v>13.456790123456791</v>
      </c>
      <c r="L325" t="str" cm="1">
        <f t="array" ref="L325">_xlfn.IFS(C325&lt;0,"DATO INVALIDO", C325+J325&lt;I325,"PEDIR YA", C325&lt;I325,"EN CAMINO OK", TRUE,"SANO")</f>
        <v>SANO</v>
      </c>
    </row>
    <row r="326" spans="1:12" x14ac:dyDescent="0.45">
      <c r="A326" t="s">
        <v>1120</v>
      </c>
      <c r="B326" t="s">
        <v>32</v>
      </c>
      <c r="C326">
        <v>1843</v>
      </c>
      <c r="D326">
        <v>221.1</v>
      </c>
      <c r="E326">
        <v>77.900000000000006</v>
      </c>
      <c r="F326">
        <v>2.5</v>
      </c>
      <c r="G326">
        <v>0.5</v>
      </c>
      <c r="H326">
        <f t="shared" si="15"/>
        <v>273.0853559214591</v>
      </c>
      <c r="I326">
        <f t="shared" si="16"/>
        <v>825.83535592145904</v>
      </c>
      <c r="J326">
        <f>SUMIFS(Transit_Clean[Quantity], Transit_Clean[Destination], A326, Transit_Clean[Item_Code], B326, Transit_Clean[SAP_Status], "In Transit")</f>
        <v>2536</v>
      </c>
      <c r="K326">
        <f t="shared" si="17"/>
        <v>8.3355947535052017</v>
      </c>
      <c r="L326" t="str" cm="1">
        <f t="array" ref="L326">_xlfn.IFS(C326&lt;0,"DATO INVALIDO", C326+J326&lt;I326,"PEDIR YA", C326&lt;I326,"EN CAMINO OK", TRUE,"SANO")</f>
        <v>SANO</v>
      </c>
    </row>
    <row r="327" spans="1:12" x14ac:dyDescent="0.45">
      <c r="A327" t="s">
        <v>1123</v>
      </c>
      <c r="B327" t="s">
        <v>102</v>
      </c>
      <c r="C327">
        <v>3844</v>
      </c>
      <c r="D327">
        <v>447.6</v>
      </c>
      <c r="E327">
        <v>50.6</v>
      </c>
      <c r="F327">
        <v>1.2</v>
      </c>
      <c r="G327">
        <v>0.3</v>
      </c>
      <c r="H327">
        <f t="shared" si="15"/>
        <v>239.69650803463952</v>
      </c>
      <c r="I327">
        <f t="shared" si="16"/>
        <v>776.81650803463958</v>
      </c>
      <c r="J327">
        <f>SUMIFS(Transit_Clean[Quantity], Transit_Clean[Destination], A327, Transit_Clean[Item_Code], B327, Transit_Clean[SAP_Status], "In Transit")</f>
        <v>1953</v>
      </c>
      <c r="K327">
        <f t="shared" si="17"/>
        <v>8.588025022341375</v>
      </c>
      <c r="L327" t="str" cm="1">
        <f t="array" ref="L327">_xlfn.IFS(C327&lt;0,"DATO INVALIDO", C327+J327&lt;I327,"PEDIR YA", C327&lt;I327,"EN CAMINO OK", TRUE,"SANO")</f>
        <v>SANO</v>
      </c>
    </row>
    <row r="328" spans="1:12" x14ac:dyDescent="0.45">
      <c r="A328" t="s">
        <v>1125</v>
      </c>
      <c r="B328" t="s">
        <v>19</v>
      </c>
      <c r="C328">
        <v>1235</v>
      </c>
      <c r="D328">
        <v>324.89999999999998</v>
      </c>
      <c r="E328">
        <v>135.1</v>
      </c>
      <c r="F328">
        <v>4.8</v>
      </c>
      <c r="G328">
        <v>1.2</v>
      </c>
      <c r="H328">
        <f t="shared" si="15"/>
        <v>807.68479612036765</v>
      </c>
      <c r="I328">
        <f t="shared" si="16"/>
        <v>2367.2047961203675</v>
      </c>
      <c r="J328">
        <f>SUMIFS(Transit_Clean[Quantity], Transit_Clean[Destination], A328, Transit_Clean[Item_Code], B328, Transit_Clean[SAP_Status], "In Transit")</f>
        <v>2833</v>
      </c>
      <c r="K328">
        <f t="shared" si="17"/>
        <v>3.801169590643275</v>
      </c>
      <c r="L328" t="str" cm="1">
        <f t="array" ref="L328">_xlfn.IFS(C328&lt;0,"DATO INVALIDO", C328+J328&lt;I328,"PEDIR YA", C328&lt;I328,"EN CAMINO OK", TRUE,"SANO")</f>
        <v>EN CAMINO OK</v>
      </c>
    </row>
    <row r="329" spans="1:12" x14ac:dyDescent="0.45">
      <c r="A329" t="s">
        <v>1125</v>
      </c>
      <c r="B329" t="s">
        <v>80</v>
      </c>
      <c r="C329">
        <v>2805</v>
      </c>
      <c r="D329">
        <v>273.3</v>
      </c>
      <c r="E329">
        <v>33.5</v>
      </c>
      <c r="F329">
        <v>2.9</v>
      </c>
      <c r="G329">
        <v>1.2</v>
      </c>
      <c r="H329">
        <f t="shared" si="15"/>
        <v>549.25991139760049</v>
      </c>
      <c r="I329">
        <f t="shared" si="16"/>
        <v>1341.8299113976004</v>
      </c>
      <c r="J329">
        <f>SUMIFS(Transit_Clean[Quantity], Transit_Clean[Destination], A329, Transit_Clean[Item_Code], B329, Transit_Clean[SAP_Status], "In Transit")</f>
        <v>2461</v>
      </c>
      <c r="K329">
        <f t="shared" si="17"/>
        <v>10.263446761800219</v>
      </c>
      <c r="L329" t="str" cm="1">
        <f t="array" ref="L329">_xlfn.IFS(C329&lt;0,"DATO INVALIDO", C329+J329&lt;I329,"PEDIR YA", C329&lt;I329,"EN CAMINO OK", TRUE,"SANO")</f>
        <v>SANO</v>
      </c>
    </row>
    <row r="330" spans="1:12" x14ac:dyDescent="0.45">
      <c r="A330" t="s">
        <v>1119</v>
      </c>
      <c r="B330" t="s">
        <v>72</v>
      </c>
      <c r="C330">
        <v>2375</v>
      </c>
      <c r="D330">
        <v>605.5</v>
      </c>
      <c r="E330">
        <v>108.9</v>
      </c>
      <c r="F330">
        <v>4.3</v>
      </c>
      <c r="G330">
        <v>1</v>
      </c>
      <c r="H330">
        <f t="shared" si="15"/>
        <v>1066.294360058469</v>
      </c>
      <c r="I330">
        <f t="shared" si="16"/>
        <v>3669.9443600584691</v>
      </c>
      <c r="J330">
        <f>SUMIFS(Transit_Clean[Quantity], Transit_Clean[Destination], A330, Transit_Clean[Item_Code], B330, Transit_Clean[SAP_Status], "In Transit")</f>
        <v>1135</v>
      </c>
      <c r="K330">
        <f t="shared" si="17"/>
        <v>3.922378199834847</v>
      </c>
      <c r="L330" t="str" cm="1">
        <f t="array" ref="L330">_xlfn.IFS(C330&lt;0,"DATO INVALIDO", C330+J330&lt;I330,"PEDIR YA", C330&lt;I330,"EN CAMINO OK", TRUE,"SANO")</f>
        <v>PEDIR YA</v>
      </c>
    </row>
    <row r="331" spans="1:12" x14ac:dyDescent="0.45">
      <c r="A331" t="s">
        <v>1118</v>
      </c>
      <c r="B331" t="s">
        <v>1135</v>
      </c>
      <c r="C331">
        <v>1100</v>
      </c>
      <c r="D331">
        <v>218.3</v>
      </c>
      <c r="E331">
        <v>32.5</v>
      </c>
      <c r="F331">
        <v>2.6</v>
      </c>
      <c r="G331">
        <v>1.5</v>
      </c>
      <c r="H331">
        <f t="shared" si="15"/>
        <v>547.1678455293677</v>
      </c>
      <c r="I331">
        <f t="shared" si="16"/>
        <v>1114.7478455293676</v>
      </c>
      <c r="J331">
        <f>SUMIFS(Transit_Clean[Quantity], Transit_Clean[Destination], A331, Transit_Clean[Item_Code], B331, Transit_Clean[SAP_Status], "In Transit")</f>
        <v>0</v>
      </c>
      <c r="K331">
        <f t="shared" si="17"/>
        <v>5.0389372423270729</v>
      </c>
      <c r="L331" t="str" cm="1">
        <f t="array" ref="L331">_xlfn.IFS(C331&lt;0,"DATO INVALIDO", C331+J331&lt;I331,"PEDIR YA", C331&lt;I331,"EN CAMINO OK", TRUE,"SANO")</f>
        <v>PEDIR YA</v>
      </c>
    </row>
    <row r="332" spans="1:12" x14ac:dyDescent="0.45">
      <c r="A332" t="s">
        <v>1122</v>
      </c>
      <c r="B332" t="s">
        <v>32</v>
      </c>
      <c r="C332">
        <v>1042</v>
      </c>
      <c r="D332">
        <v>227.5</v>
      </c>
      <c r="E332">
        <v>67.3</v>
      </c>
      <c r="F332">
        <v>1</v>
      </c>
      <c r="G332">
        <v>0.2</v>
      </c>
      <c r="H332">
        <f t="shared" si="15"/>
        <v>134.04196227301361</v>
      </c>
      <c r="I332">
        <f t="shared" si="16"/>
        <v>361.54196227301361</v>
      </c>
      <c r="J332">
        <f>SUMIFS(Transit_Clean[Quantity], Transit_Clean[Destination], A332, Transit_Clean[Item_Code], B332, Transit_Clean[SAP_Status], "In Transit")</f>
        <v>0</v>
      </c>
      <c r="K332">
        <f t="shared" si="17"/>
        <v>4.5802197802197799</v>
      </c>
      <c r="L332" t="str" cm="1">
        <f t="array" ref="L332">_xlfn.IFS(C332&lt;0,"DATO INVALIDO", C332+J332&lt;I332,"PEDIR YA", C332&lt;I332,"EN CAMINO OK", TRUE,"SANO")</f>
        <v>SANO</v>
      </c>
    </row>
    <row r="333" spans="1:12" x14ac:dyDescent="0.45">
      <c r="A333" t="s">
        <v>1124</v>
      </c>
      <c r="B333" t="s">
        <v>10</v>
      </c>
      <c r="C333">
        <v>1211</v>
      </c>
      <c r="D333">
        <v>702.4</v>
      </c>
      <c r="E333">
        <v>130.1</v>
      </c>
      <c r="F333">
        <v>0.9</v>
      </c>
      <c r="G333">
        <v>0.3</v>
      </c>
      <c r="H333">
        <f t="shared" si="15"/>
        <v>402.93907895176903</v>
      </c>
      <c r="I333">
        <f t="shared" si="16"/>
        <v>1035.0990789517691</v>
      </c>
      <c r="J333">
        <f>SUMIFS(Transit_Clean[Quantity], Transit_Clean[Destination], A333, Transit_Clean[Item_Code], B333, Transit_Clean[SAP_Status], "In Transit")</f>
        <v>901</v>
      </c>
      <c r="K333">
        <f t="shared" si="17"/>
        <v>1.7240888382687927</v>
      </c>
      <c r="L333" t="str" cm="1">
        <f t="array" ref="L333">_xlfn.IFS(C333&lt;0,"DATO INVALIDO", C333+J333&lt;I333,"PEDIR YA", C333&lt;I333,"EN CAMINO OK", TRUE,"SANO")</f>
        <v>SANO</v>
      </c>
    </row>
    <row r="334" spans="1:12" x14ac:dyDescent="0.45">
      <c r="A334" t="s">
        <v>1127</v>
      </c>
      <c r="B334" t="s">
        <v>67</v>
      </c>
      <c r="C334">
        <v>467</v>
      </c>
      <c r="D334">
        <v>217.9</v>
      </c>
      <c r="E334">
        <v>65.8</v>
      </c>
      <c r="F334">
        <v>2.5</v>
      </c>
      <c r="G334">
        <v>0.9</v>
      </c>
      <c r="H334">
        <f t="shared" si="15"/>
        <v>366.29714630645157</v>
      </c>
      <c r="I334">
        <f t="shared" si="16"/>
        <v>911.04714630645162</v>
      </c>
      <c r="J334">
        <f>SUMIFS(Transit_Clean[Quantity], Transit_Clean[Destination], A334, Transit_Clean[Item_Code], B334, Transit_Clean[SAP_Status], "In Transit")</f>
        <v>0</v>
      </c>
      <c r="K334">
        <f t="shared" si="17"/>
        <v>2.1431849472234972</v>
      </c>
      <c r="L334" t="str" cm="1">
        <f t="array" ref="L334">_xlfn.IFS(C334&lt;0,"DATO INVALIDO", C334+J334&lt;I334,"PEDIR YA", C334&lt;I334,"EN CAMINO OK", TRUE,"SANO")</f>
        <v>PEDIR YA</v>
      </c>
    </row>
    <row r="335" spans="1:12" x14ac:dyDescent="0.45">
      <c r="A335" t="s">
        <v>1122</v>
      </c>
      <c r="B335" t="s">
        <v>110</v>
      </c>
      <c r="C335">
        <v>3358</v>
      </c>
      <c r="D335">
        <v>200.6</v>
      </c>
      <c r="E335">
        <v>96.9</v>
      </c>
      <c r="F335">
        <v>1.6</v>
      </c>
      <c r="G335">
        <v>0.2</v>
      </c>
      <c r="H335">
        <f t="shared" si="15"/>
        <v>212.79876964869888</v>
      </c>
      <c r="I335">
        <f t="shared" si="16"/>
        <v>533.75876964869894</v>
      </c>
      <c r="J335">
        <f>SUMIFS(Transit_Clean[Quantity], Transit_Clean[Destination], A335, Transit_Clean[Item_Code], B335, Transit_Clean[SAP_Status], "In Transit")</f>
        <v>6600</v>
      </c>
      <c r="K335">
        <f t="shared" si="17"/>
        <v>16.739780658025921</v>
      </c>
      <c r="L335" t="str" cm="1">
        <f t="array" ref="L335">_xlfn.IFS(C335&lt;0,"DATO INVALIDO", C335+J335&lt;I335,"PEDIR YA", C335&lt;I335,"EN CAMINO OK", TRUE,"SANO")</f>
        <v>SANO</v>
      </c>
    </row>
    <row r="336" spans="1:12" x14ac:dyDescent="0.45">
      <c r="A336" t="s">
        <v>1126</v>
      </c>
      <c r="B336" t="s">
        <v>1137</v>
      </c>
      <c r="C336">
        <v>1085</v>
      </c>
      <c r="D336">
        <v>269.10000000000002</v>
      </c>
      <c r="E336">
        <v>32.700000000000003</v>
      </c>
      <c r="F336">
        <v>0.8</v>
      </c>
      <c r="G336">
        <v>0.2</v>
      </c>
      <c r="H336">
        <f t="shared" si="15"/>
        <v>101.06872131871464</v>
      </c>
      <c r="I336">
        <f t="shared" si="16"/>
        <v>316.34872131871464</v>
      </c>
      <c r="J336">
        <f>SUMIFS(Transit_Clean[Quantity], Transit_Clean[Destination], A336, Transit_Clean[Item_Code], B336, Transit_Clean[SAP_Status], "In Transit")</f>
        <v>2102</v>
      </c>
      <c r="K336">
        <f t="shared" si="17"/>
        <v>4.0319583797844665</v>
      </c>
      <c r="L336" t="str" cm="1">
        <f t="array" ref="L336">_xlfn.IFS(C336&lt;0,"DATO INVALIDO", C336+J336&lt;I336,"PEDIR YA", C336&lt;I336,"EN CAMINO OK", TRUE,"SANO")</f>
        <v>SANO</v>
      </c>
    </row>
    <row r="337" spans="1:12" x14ac:dyDescent="0.45">
      <c r="A337" t="s">
        <v>1118</v>
      </c>
      <c r="B337" t="s">
        <v>56</v>
      </c>
      <c r="C337">
        <v>15440</v>
      </c>
      <c r="D337">
        <v>960.1</v>
      </c>
      <c r="E337">
        <v>174.5</v>
      </c>
      <c r="F337">
        <v>4.4000000000000004</v>
      </c>
      <c r="G337">
        <v>1.5</v>
      </c>
      <c r="H337">
        <f t="shared" si="15"/>
        <v>2451.7984676572114</v>
      </c>
      <c r="I337">
        <f t="shared" si="16"/>
        <v>6676.2384676572119</v>
      </c>
      <c r="J337">
        <f>SUMIFS(Transit_Clean[Quantity], Transit_Clean[Destination], A337, Transit_Clean[Item_Code], B337, Transit_Clean[SAP_Status], "In Transit")</f>
        <v>0</v>
      </c>
      <c r="K337">
        <f t="shared" si="17"/>
        <v>16.081658160608271</v>
      </c>
      <c r="L337" t="str" cm="1">
        <f t="array" ref="L337">_xlfn.IFS(C337&lt;0,"DATO INVALIDO", C337+J337&lt;I337,"PEDIR YA", C337&lt;I337,"EN CAMINO OK", TRUE,"SANO")</f>
        <v>SANO</v>
      </c>
    </row>
    <row r="338" spans="1:12" x14ac:dyDescent="0.45">
      <c r="A338" t="s">
        <v>1118</v>
      </c>
      <c r="B338" t="s">
        <v>41</v>
      </c>
      <c r="C338">
        <v>3842</v>
      </c>
      <c r="D338">
        <v>221.8</v>
      </c>
      <c r="E338">
        <v>88.6</v>
      </c>
      <c r="F338">
        <v>4</v>
      </c>
      <c r="G338">
        <v>1.5</v>
      </c>
      <c r="H338">
        <f t="shared" si="15"/>
        <v>621.96274520665622</v>
      </c>
      <c r="I338">
        <f t="shared" si="16"/>
        <v>1509.1627452066564</v>
      </c>
      <c r="J338">
        <f>SUMIFS(Transit_Clean[Quantity], Transit_Clean[Destination], A338, Transit_Clean[Item_Code], B338, Transit_Clean[SAP_Status], "In Transit")</f>
        <v>3116</v>
      </c>
      <c r="K338">
        <f t="shared" si="17"/>
        <v>17.321911632100992</v>
      </c>
      <c r="L338" t="str" cm="1">
        <f t="array" ref="L338">_xlfn.IFS(C338&lt;0,"DATO INVALIDO", C338+J338&lt;I338,"PEDIR YA", C338&lt;I338,"EN CAMINO OK", TRUE,"SANO")</f>
        <v>SANO</v>
      </c>
    </row>
    <row r="339" spans="1:12" x14ac:dyDescent="0.45">
      <c r="A339" t="s">
        <v>1114</v>
      </c>
      <c r="B339" t="s">
        <v>99</v>
      </c>
      <c r="C339">
        <v>3240</v>
      </c>
      <c r="D339">
        <v>449.6</v>
      </c>
      <c r="E339">
        <v>134</v>
      </c>
      <c r="F339">
        <v>6.4</v>
      </c>
      <c r="G339">
        <v>1.3</v>
      </c>
      <c r="H339">
        <f t="shared" si="15"/>
        <v>1114.8619975871454</v>
      </c>
      <c r="I339">
        <f t="shared" si="16"/>
        <v>3992.3019975871457</v>
      </c>
      <c r="J339">
        <f>SUMIFS(Transit_Clean[Quantity], Transit_Clean[Destination], A339, Transit_Clean[Item_Code], B339, Transit_Clean[SAP_Status], "In Transit")</f>
        <v>1989</v>
      </c>
      <c r="K339">
        <f t="shared" si="17"/>
        <v>7.2064056939501775</v>
      </c>
      <c r="L339" t="str" cm="1">
        <f t="array" ref="L339">_xlfn.IFS(C339&lt;0,"DATO INVALIDO", C339+J339&lt;I339,"PEDIR YA", C339&lt;I339,"EN CAMINO OK", TRUE,"SANO")</f>
        <v>EN CAMINO OK</v>
      </c>
    </row>
    <row r="340" spans="1:12" x14ac:dyDescent="0.45">
      <c r="A340" t="s">
        <v>1116</v>
      </c>
      <c r="B340" t="s">
        <v>27</v>
      </c>
      <c r="C340">
        <v>13483</v>
      </c>
      <c r="D340">
        <v>763.7</v>
      </c>
      <c r="E340">
        <v>516.6</v>
      </c>
      <c r="F340">
        <v>6.1</v>
      </c>
      <c r="G340">
        <v>1.6</v>
      </c>
      <c r="H340">
        <f t="shared" si="15"/>
        <v>2914.9618433238538</v>
      </c>
      <c r="I340">
        <f t="shared" si="16"/>
        <v>7573.5318433238535</v>
      </c>
      <c r="J340">
        <f>SUMIFS(Transit_Clean[Quantity], Transit_Clean[Destination], A340, Transit_Clean[Item_Code], B340, Transit_Clean[SAP_Status], "In Transit")</f>
        <v>1598</v>
      </c>
      <c r="K340">
        <f t="shared" si="17"/>
        <v>17.654838287285582</v>
      </c>
      <c r="L340" t="str" cm="1">
        <f t="array" ref="L340">_xlfn.IFS(C340&lt;0,"DATO INVALIDO", C340+J340&lt;I340,"PEDIR YA", C340&lt;I340,"EN CAMINO OK", TRUE,"SANO")</f>
        <v>SANO</v>
      </c>
    </row>
    <row r="341" spans="1:12" x14ac:dyDescent="0.45">
      <c r="A341" t="s">
        <v>1127</v>
      </c>
      <c r="B341" t="s">
        <v>59</v>
      </c>
      <c r="C341">
        <v>3755</v>
      </c>
      <c r="D341">
        <v>360.5</v>
      </c>
      <c r="E341">
        <v>53.2</v>
      </c>
      <c r="F341">
        <v>1.3</v>
      </c>
      <c r="G341">
        <v>0.9</v>
      </c>
      <c r="H341">
        <f t="shared" si="15"/>
        <v>544.61777351299315</v>
      </c>
      <c r="I341">
        <f t="shared" si="16"/>
        <v>1013.2677735129932</v>
      </c>
      <c r="J341">
        <f>SUMIFS(Transit_Clean[Quantity], Transit_Clean[Destination], A341, Transit_Clean[Item_Code], B341, Transit_Clean[SAP_Status], "In Transit")</f>
        <v>573</v>
      </c>
      <c r="K341">
        <f t="shared" si="17"/>
        <v>10.416088765603329</v>
      </c>
      <c r="L341" t="str" cm="1">
        <f t="array" ref="L341">_xlfn.IFS(C341&lt;0,"DATO INVALIDO", C341+J341&lt;I341,"PEDIR YA", C341&lt;I341,"EN CAMINO OK", TRUE,"SANO")</f>
        <v>SANO</v>
      </c>
    </row>
    <row r="342" spans="1:12" x14ac:dyDescent="0.45">
      <c r="A342" t="s">
        <v>1126</v>
      </c>
      <c r="B342" t="s">
        <v>96</v>
      </c>
      <c r="C342">
        <v>5624</v>
      </c>
      <c r="D342">
        <v>314.8</v>
      </c>
      <c r="E342">
        <v>89.3</v>
      </c>
      <c r="F342">
        <v>1.2</v>
      </c>
      <c r="G342">
        <v>0.2</v>
      </c>
      <c r="H342">
        <f t="shared" si="15"/>
        <v>191.9493273913717</v>
      </c>
      <c r="I342">
        <f t="shared" si="16"/>
        <v>569.70932739137174</v>
      </c>
      <c r="J342">
        <f>SUMIFS(Transit_Clean[Quantity], Transit_Clean[Destination], A342, Transit_Clean[Item_Code], B342, Transit_Clean[SAP_Status], "In Transit")</f>
        <v>0</v>
      </c>
      <c r="K342">
        <f t="shared" si="17"/>
        <v>17.86531130876747</v>
      </c>
      <c r="L342" t="str" cm="1">
        <f t="array" ref="L342">_xlfn.IFS(C342&lt;0,"DATO INVALIDO", C342+J342&lt;I342,"PEDIR YA", C342&lt;I342,"EN CAMINO OK", TRUE,"SANO")</f>
        <v>SANO</v>
      </c>
    </row>
    <row r="343" spans="1:12" x14ac:dyDescent="0.45">
      <c r="A343" t="s">
        <v>1122</v>
      </c>
      <c r="B343" t="s">
        <v>45</v>
      </c>
      <c r="C343">
        <v>4636</v>
      </c>
      <c r="D343">
        <v>386.4</v>
      </c>
      <c r="E343">
        <v>64.599999999999994</v>
      </c>
      <c r="F343">
        <v>0.9</v>
      </c>
      <c r="G343">
        <v>0.2</v>
      </c>
      <c r="H343">
        <f t="shared" si="15"/>
        <v>162.74088433457646</v>
      </c>
      <c r="I343">
        <f t="shared" si="16"/>
        <v>510.50088433457643</v>
      </c>
      <c r="J343">
        <f>SUMIFS(Transit_Clean[Quantity], Transit_Clean[Destination], A343, Transit_Clean[Item_Code], B343, Transit_Clean[SAP_Status], "In Transit")</f>
        <v>1093</v>
      </c>
      <c r="K343">
        <f t="shared" si="17"/>
        <v>11.997929606625259</v>
      </c>
      <c r="L343" t="str" cm="1">
        <f t="array" ref="L343">_xlfn.IFS(C343&lt;0,"DATO INVALIDO", C343+J343&lt;I343,"PEDIR YA", C343&lt;I343,"EN CAMINO OK", TRUE,"SANO")</f>
        <v>SANO</v>
      </c>
    </row>
    <row r="344" spans="1:12" x14ac:dyDescent="0.45">
      <c r="A344" t="s">
        <v>1125</v>
      </c>
      <c r="B344" t="s">
        <v>95</v>
      </c>
      <c r="C344">
        <v>1592</v>
      </c>
      <c r="D344">
        <v>201.5</v>
      </c>
      <c r="E344">
        <v>22.6</v>
      </c>
      <c r="F344">
        <v>3.3</v>
      </c>
      <c r="G344">
        <v>1.2</v>
      </c>
      <c r="H344">
        <f t="shared" si="15"/>
        <v>404.67994320203218</v>
      </c>
      <c r="I344">
        <f t="shared" si="16"/>
        <v>1069.6299432020321</v>
      </c>
      <c r="J344">
        <f>SUMIFS(Transit_Clean[Quantity], Transit_Clean[Destination], A344, Transit_Clean[Item_Code], B344, Transit_Clean[SAP_Status], "In Transit")</f>
        <v>1438</v>
      </c>
      <c r="K344">
        <f t="shared" si="17"/>
        <v>7.9007444168734491</v>
      </c>
      <c r="L344" t="str" cm="1">
        <f t="array" ref="L344">_xlfn.IFS(C344&lt;0,"DATO INVALIDO", C344+J344&lt;I344,"PEDIR YA", C344&lt;I344,"EN CAMINO OK", TRUE,"SANO")</f>
        <v>SANO</v>
      </c>
    </row>
    <row r="345" spans="1:12" x14ac:dyDescent="0.45">
      <c r="A345" t="s">
        <v>1114</v>
      </c>
      <c r="B345" t="s">
        <v>1134</v>
      </c>
      <c r="C345">
        <v>4261</v>
      </c>
      <c r="D345">
        <v>241.4</v>
      </c>
      <c r="E345">
        <v>28</v>
      </c>
      <c r="F345">
        <v>5</v>
      </c>
      <c r="G345">
        <v>1.3</v>
      </c>
      <c r="H345">
        <f t="shared" si="15"/>
        <v>528.00771472488918</v>
      </c>
      <c r="I345">
        <f t="shared" si="16"/>
        <v>1735.0077147248892</v>
      </c>
      <c r="J345">
        <f>SUMIFS(Transit_Clean[Quantity], Transit_Clean[Destination], A345, Transit_Clean[Item_Code], B345, Transit_Clean[SAP_Status], "In Transit")</f>
        <v>0</v>
      </c>
      <c r="K345">
        <f t="shared" si="17"/>
        <v>17.651201325600663</v>
      </c>
      <c r="L345" t="str" cm="1">
        <f t="array" ref="L345">_xlfn.IFS(C345&lt;0,"DATO INVALIDO", C345+J345&lt;I345,"PEDIR YA", C345&lt;I345,"EN CAMINO OK", TRUE,"SANO")</f>
        <v>SANO</v>
      </c>
    </row>
    <row r="346" spans="1:12" x14ac:dyDescent="0.45">
      <c r="A346" t="s">
        <v>1121</v>
      </c>
      <c r="B346" t="s">
        <v>91</v>
      </c>
      <c r="C346">
        <v>3599</v>
      </c>
      <c r="D346">
        <v>321.10000000000002</v>
      </c>
      <c r="E346">
        <v>185.6</v>
      </c>
      <c r="F346">
        <v>1.5</v>
      </c>
      <c r="G346">
        <v>0.4</v>
      </c>
      <c r="H346">
        <f t="shared" si="15"/>
        <v>430.79813819931951</v>
      </c>
      <c r="I346">
        <f t="shared" si="16"/>
        <v>912.4481381993196</v>
      </c>
      <c r="J346">
        <f>SUMIFS(Transit_Clean[Quantity], Transit_Clean[Destination], A346, Transit_Clean[Item_Code], B346, Transit_Clean[SAP_Status], "In Transit")</f>
        <v>0</v>
      </c>
      <c r="K346">
        <f t="shared" si="17"/>
        <v>11.208346309560884</v>
      </c>
      <c r="L346" t="str" cm="1">
        <f t="array" ref="L346">_xlfn.IFS(C346&lt;0,"DATO INVALIDO", C346+J346&lt;I346,"PEDIR YA", C346&lt;I346,"EN CAMINO OK", TRUE,"SANO")</f>
        <v>SANO</v>
      </c>
    </row>
    <row r="347" spans="1:12" x14ac:dyDescent="0.45">
      <c r="A347" t="s">
        <v>1123</v>
      </c>
      <c r="B347" t="s">
        <v>1136</v>
      </c>
      <c r="C347">
        <v>5719</v>
      </c>
      <c r="D347">
        <v>415</v>
      </c>
      <c r="E347">
        <v>237.7</v>
      </c>
      <c r="F347">
        <v>0.6</v>
      </c>
      <c r="G347">
        <v>0.3</v>
      </c>
      <c r="H347">
        <f t="shared" si="15"/>
        <v>366.73462863492995</v>
      </c>
      <c r="I347">
        <f t="shared" si="16"/>
        <v>615.73462863493</v>
      </c>
      <c r="J347">
        <f>SUMIFS(Transit_Clean[Quantity], Transit_Clean[Destination], A347, Transit_Clean[Item_Code], B347, Transit_Clean[SAP_Status], "In Transit")</f>
        <v>1703</v>
      </c>
      <c r="K347">
        <f t="shared" si="17"/>
        <v>13.780722891566265</v>
      </c>
      <c r="L347" t="str" cm="1">
        <f t="array" ref="L347">_xlfn.IFS(C347&lt;0,"DATO INVALIDO", C347+J347&lt;I347,"PEDIR YA", C347&lt;I347,"EN CAMINO OK", TRUE,"SANO")</f>
        <v>SANO</v>
      </c>
    </row>
    <row r="348" spans="1:12" x14ac:dyDescent="0.45">
      <c r="A348" t="s">
        <v>1125</v>
      </c>
      <c r="B348" t="s">
        <v>30</v>
      </c>
      <c r="C348">
        <v>5824</v>
      </c>
      <c r="D348">
        <v>698.8</v>
      </c>
      <c r="E348">
        <v>188.5</v>
      </c>
      <c r="F348">
        <v>4.2</v>
      </c>
      <c r="G348">
        <v>1.2</v>
      </c>
      <c r="H348">
        <f t="shared" si="15"/>
        <v>1523.3873066298668</v>
      </c>
      <c r="I348">
        <f t="shared" si="16"/>
        <v>4458.3473066298666</v>
      </c>
      <c r="J348">
        <f>SUMIFS(Transit_Clean[Quantity], Transit_Clean[Destination], A348, Transit_Clean[Item_Code], B348, Transit_Clean[SAP_Status], "In Transit")</f>
        <v>1737</v>
      </c>
      <c r="K348">
        <f t="shared" si="17"/>
        <v>8.3342873497424161</v>
      </c>
      <c r="L348" t="str" cm="1">
        <f t="array" ref="L348">_xlfn.IFS(C348&lt;0,"DATO INVALIDO", C348+J348&lt;I348,"PEDIR YA", C348&lt;I348,"EN CAMINO OK", TRUE,"SANO")</f>
        <v>SANO</v>
      </c>
    </row>
    <row r="349" spans="1:12" x14ac:dyDescent="0.45">
      <c r="A349" t="s">
        <v>1125</v>
      </c>
      <c r="B349" t="s">
        <v>75</v>
      </c>
      <c r="C349">
        <v>11002</v>
      </c>
      <c r="D349">
        <v>755.1</v>
      </c>
      <c r="E349">
        <v>124</v>
      </c>
      <c r="F349">
        <v>6.2</v>
      </c>
      <c r="G349">
        <v>1.2</v>
      </c>
      <c r="H349">
        <f t="shared" si="15"/>
        <v>1579.5117035349879</v>
      </c>
      <c r="I349">
        <f t="shared" si="16"/>
        <v>6261.1317035349875</v>
      </c>
      <c r="J349">
        <f>SUMIFS(Transit_Clean[Quantity], Transit_Clean[Destination], A349, Transit_Clean[Item_Code], B349, Transit_Clean[SAP_Status], "In Transit")</f>
        <v>0</v>
      </c>
      <c r="K349">
        <f t="shared" si="17"/>
        <v>14.570255595285392</v>
      </c>
      <c r="L349" t="str" cm="1">
        <f t="array" ref="L349">_xlfn.IFS(C349&lt;0,"DATO INVALIDO", C349+J349&lt;I349,"PEDIR YA", C349&lt;I349,"EN CAMINO OK", TRUE,"SANO")</f>
        <v>SANO</v>
      </c>
    </row>
    <row r="350" spans="1:12" x14ac:dyDescent="0.45">
      <c r="A350" t="s">
        <v>1121</v>
      </c>
      <c r="B350" t="s">
        <v>69</v>
      </c>
      <c r="C350">
        <v>2667</v>
      </c>
      <c r="D350">
        <v>306.39999999999998</v>
      </c>
      <c r="E350">
        <v>146.6</v>
      </c>
      <c r="F350">
        <v>2.2999999999999998</v>
      </c>
      <c r="G350">
        <v>0.4</v>
      </c>
      <c r="H350">
        <f t="shared" si="15"/>
        <v>418.89058476647568</v>
      </c>
      <c r="I350">
        <f t="shared" si="16"/>
        <v>1123.6105847664755</v>
      </c>
      <c r="J350">
        <f>SUMIFS(Transit_Clean[Quantity], Transit_Clean[Destination], A350, Transit_Clean[Item_Code], B350, Transit_Clean[SAP_Status], "In Transit")</f>
        <v>1614</v>
      </c>
      <c r="K350">
        <f t="shared" si="17"/>
        <v>8.7043080939947792</v>
      </c>
      <c r="L350" t="str" cm="1">
        <f t="array" ref="L350">_xlfn.IFS(C350&lt;0,"DATO INVALIDO", C350+J350&lt;I350,"PEDIR YA", C350&lt;I350,"EN CAMINO OK", TRUE,"SANO")</f>
        <v>SANO</v>
      </c>
    </row>
    <row r="351" spans="1:12" x14ac:dyDescent="0.45">
      <c r="A351" t="s">
        <v>1128</v>
      </c>
      <c r="B351" t="s">
        <v>74</v>
      </c>
      <c r="C351">
        <v>6991</v>
      </c>
      <c r="D351">
        <v>510.1</v>
      </c>
      <c r="E351">
        <v>273.3</v>
      </c>
      <c r="F351">
        <v>2.2000000000000002</v>
      </c>
      <c r="G351">
        <v>0.5</v>
      </c>
      <c r="H351">
        <f t="shared" si="15"/>
        <v>790.23607720177517</v>
      </c>
      <c r="I351">
        <f t="shared" si="16"/>
        <v>1912.4560772017753</v>
      </c>
      <c r="J351">
        <f>SUMIFS(Transit_Clean[Quantity], Transit_Clean[Destination], A351, Transit_Clean[Item_Code], B351, Transit_Clean[SAP_Status], "In Transit")</f>
        <v>548</v>
      </c>
      <c r="K351">
        <f t="shared" si="17"/>
        <v>13.705155851793766</v>
      </c>
      <c r="L351" t="str" cm="1">
        <f t="array" ref="L351">_xlfn.IFS(C351&lt;0,"DATO INVALIDO", C351+J351&lt;I351,"PEDIR YA", C351&lt;I351,"EN CAMINO OK", TRUE,"SANO")</f>
        <v>SANO</v>
      </c>
    </row>
    <row r="352" spans="1:12" x14ac:dyDescent="0.45">
      <c r="A352" t="s">
        <v>1123</v>
      </c>
      <c r="B352" t="s">
        <v>109</v>
      </c>
      <c r="C352">
        <v>3221</v>
      </c>
      <c r="D352">
        <v>201.9</v>
      </c>
      <c r="E352">
        <v>111.4</v>
      </c>
      <c r="F352">
        <v>0.9</v>
      </c>
      <c r="G352">
        <v>0.3</v>
      </c>
      <c r="H352">
        <f t="shared" si="15"/>
        <v>200.98658669237108</v>
      </c>
      <c r="I352">
        <f t="shared" si="16"/>
        <v>382.69658669237106</v>
      </c>
      <c r="J352">
        <f>SUMIFS(Transit_Clean[Quantity], Transit_Clean[Destination], A352, Transit_Clean[Item_Code], B352, Transit_Clean[SAP_Status], "In Transit")</f>
        <v>0</v>
      </c>
      <c r="K352">
        <f t="shared" si="17"/>
        <v>15.95344229816741</v>
      </c>
      <c r="L352" t="str" cm="1">
        <f t="array" ref="L352">_xlfn.IFS(C352&lt;0,"DATO INVALIDO", C352+J352&lt;I352,"PEDIR YA", C352&lt;I352,"EN CAMINO OK", TRUE,"SANO")</f>
        <v>SANO</v>
      </c>
    </row>
    <row r="353" spans="1:12" x14ac:dyDescent="0.45">
      <c r="A353" t="s">
        <v>1123</v>
      </c>
      <c r="B353" t="s">
        <v>1130</v>
      </c>
      <c r="C353">
        <v>3364</v>
      </c>
      <c r="D353">
        <v>481.5</v>
      </c>
      <c r="E353">
        <v>321.7</v>
      </c>
      <c r="F353">
        <v>0.9</v>
      </c>
      <c r="G353">
        <v>0.3</v>
      </c>
      <c r="H353">
        <f t="shared" si="15"/>
        <v>557.1226979120039</v>
      </c>
      <c r="I353">
        <f t="shared" si="16"/>
        <v>990.47269791200392</v>
      </c>
      <c r="J353">
        <f>SUMIFS(Transit_Clean[Quantity], Transit_Clean[Destination], A353, Transit_Clean[Item_Code], B353, Transit_Clean[SAP_Status], "In Transit")</f>
        <v>0</v>
      </c>
      <c r="K353">
        <f t="shared" si="17"/>
        <v>6.9865005192107992</v>
      </c>
      <c r="L353" t="str" cm="1">
        <f t="array" ref="L353">_xlfn.IFS(C353&lt;0,"DATO INVALIDO", C353+J353&lt;I353,"PEDIR YA", C353&lt;I353,"EN CAMINO OK", TRUE,"SANO")</f>
        <v>SANO</v>
      </c>
    </row>
    <row r="354" spans="1:12" x14ac:dyDescent="0.45">
      <c r="A354" t="s">
        <v>1122</v>
      </c>
      <c r="B354" t="s">
        <v>36</v>
      </c>
      <c r="D354">
        <v>169.1</v>
      </c>
      <c r="E354">
        <v>61</v>
      </c>
      <c r="F354">
        <v>1</v>
      </c>
      <c r="G354">
        <v>0.2</v>
      </c>
      <c r="H354">
        <f t="shared" si="15"/>
        <v>115.08430522447446</v>
      </c>
      <c r="I354">
        <f t="shared" si="16"/>
        <v>284.18430522447443</v>
      </c>
      <c r="J354">
        <f>SUMIFS(Transit_Clean[Quantity], Transit_Clean[Destination], A354, Transit_Clean[Item_Code], B354, Transit_Clean[SAP_Status], "In Transit")</f>
        <v>871</v>
      </c>
      <c r="K354">
        <f t="shared" si="17"/>
        <v>0</v>
      </c>
      <c r="L354" t="str" cm="1">
        <f t="array" ref="L354">_xlfn.IFS(C354&lt;0,"DATO INVALIDO", C354+J354&lt;I354,"PEDIR YA", C354&lt;I354,"EN CAMINO OK", TRUE,"SANO")</f>
        <v>EN CAMINO OK</v>
      </c>
    </row>
    <row r="355" spans="1:12" x14ac:dyDescent="0.45">
      <c r="A355" t="s">
        <v>1124</v>
      </c>
      <c r="B355" t="s">
        <v>12</v>
      </c>
      <c r="C355">
        <v>9966</v>
      </c>
      <c r="D355">
        <v>671.5</v>
      </c>
      <c r="E355">
        <v>80.400000000000006</v>
      </c>
      <c r="F355">
        <v>0.7</v>
      </c>
      <c r="G355">
        <v>0.3</v>
      </c>
      <c r="H355">
        <f t="shared" si="15"/>
        <v>350.43379827900446</v>
      </c>
      <c r="I355">
        <f t="shared" si="16"/>
        <v>820.48379827900442</v>
      </c>
      <c r="J355">
        <f>SUMIFS(Transit_Clean[Quantity], Transit_Clean[Destination], A355, Transit_Clean[Item_Code], B355, Transit_Clean[SAP_Status], "In Transit")</f>
        <v>0</v>
      </c>
      <c r="K355">
        <f t="shared" si="17"/>
        <v>14.841399851079672</v>
      </c>
      <c r="L355" t="str" cm="1">
        <f t="array" ref="L355">_xlfn.IFS(C355&lt;0,"DATO INVALIDO", C355+J355&lt;I355,"PEDIR YA", C355&lt;I355,"EN CAMINO OK", TRUE,"SANO")</f>
        <v>SANO</v>
      </c>
    </row>
    <row r="356" spans="1:12" x14ac:dyDescent="0.45">
      <c r="A356" t="s">
        <v>1118</v>
      </c>
      <c r="B356" t="s">
        <v>74</v>
      </c>
      <c r="C356">
        <v>4008</v>
      </c>
      <c r="D356">
        <v>614.9</v>
      </c>
      <c r="E356">
        <v>273.89999999999998</v>
      </c>
      <c r="F356">
        <v>5.2</v>
      </c>
      <c r="G356">
        <v>1.5</v>
      </c>
      <c r="H356">
        <f t="shared" si="15"/>
        <v>1837.9843293609033</v>
      </c>
      <c r="I356">
        <f t="shared" si="16"/>
        <v>5035.4643293609033</v>
      </c>
      <c r="J356">
        <f>SUMIFS(Transit_Clean[Quantity], Transit_Clean[Destination], A356, Transit_Clean[Item_Code], B356, Transit_Clean[SAP_Status], "In Transit")</f>
        <v>0</v>
      </c>
      <c r="K356">
        <f t="shared" si="17"/>
        <v>6.5181330297609366</v>
      </c>
      <c r="L356" t="str" cm="1">
        <f t="array" ref="L356">_xlfn.IFS(C356&lt;0,"DATO INVALIDO", C356+J356&lt;I356,"PEDIR YA", C356&lt;I356,"EN CAMINO OK", TRUE,"SANO")</f>
        <v>PEDIR YA</v>
      </c>
    </row>
    <row r="357" spans="1:12" x14ac:dyDescent="0.45">
      <c r="A357" t="s">
        <v>1126</v>
      </c>
      <c r="B357" t="s">
        <v>56</v>
      </c>
      <c r="C357">
        <v>3913</v>
      </c>
      <c r="D357">
        <v>370.7</v>
      </c>
      <c r="E357">
        <v>91</v>
      </c>
      <c r="F357">
        <v>1</v>
      </c>
      <c r="G357">
        <v>0.2</v>
      </c>
      <c r="H357">
        <f t="shared" si="15"/>
        <v>193.67471714449462</v>
      </c>
      <c r="I357">
        <f t="shared" si="16"/>
        <v>564.37471714449464</v>
      </c>
      <c r="J357">
        <f>SUMIFS(Transit_Clean[Quantity], Transit_Clean[Destination], A357, Transit_Clean[Item_Code], B357, Transit_Clean[SAP_Status], "In Transit")</f>
        <v>3359</v>
      </c>
      <c r="K357">
        <f t="shared" si="17"/>
        <v>10.555705422174265</v>
      </c>
      <c r="L357" t="str" cm="1">
        <f t="array" ref="L357">_xlfn.IFS(C357&lt;0,"DATO INVALIDO", C357+J357&lt;I357,"PEDIR YA", C357&lt;I357,"EN CAMINO OK", TRUE,"SANO")</f>
        <v>SANO</v>
      </c>
    </row>
    <row r="358" spans="1:12" x14ac:dyDescent="0.45">
      <c r="A358" t="s">
        <v>1123</v>
      </c>
      <c r="B358" t="s">
        <v>56</v>
      </c>
      <c r="C358">
        <v>6964</v>
      </c>
      <c r="D358">
        <v>406.9</v>
      </c>
      <c r="E358">
        <v>110.7</v>
      </c>
      <c r="F358">
        <v>1.5</v>
      </c>
      <c r="G358">
        <v>0.3</v>
      </c>
      <c r="H358">
        <f t="shared" si="15"/>
        <v>301.01906447557434</v>
      </c>
      <c r="I358">
        <f t="shared" si="16"/>
        <v>911.36906447557431</v>
      </c>
      <c r="J358">
        <f>SUMIFS(Transit_Clean[Quantity], Transit_Clean[Destination], A358, Transit_Clean[Item_Code], B358, Transit_Clean[SAP_Status], "In Transit")</f>
        <v>0</v>
      </c>
      <c r="K358">
        <f t="shared" si="17"/>
        <v>17.114770213811749</v>
      </c>
      <c r="L358" t="str" cm="1">
        <f t="array" ref="L358">_xlfn.IFS(C358&lt;0,"DATO INVALIDO", C358+J358&lt;I358,"PEDIR YA", C358&lt;I358,"EN CAMINO OK", TRUE,"SANO")</f>
        <v>SANO</v>
      </c>
    </row>
    <row r="359" spans="1:12" x14ac:dyDescent="0.45">
      <c r="A359" t="s">
        <v>1118</v>
      </c>
      <c r="B359" t="s">
        <v>7</v>
      </c>
      <c r="C359">
        <v>2716</v>
      </c>
      <c r="D359">
        <v>352.2</v>
      </c>
      <c r="E359">
        <v>50.8</v>
      </c>
      <c r="F359">
        <v>5.2</v>
      </c>
      <c r="G359">
        <v>1.5</v>
      </c>
      <c r="H359">
        <f t="shared" si="15"/>
        <v>892.40478119797172</v>
      </c>
      <c r="I359">
        <f t="shared" si="16"/>
        <v>2723.8447811979718</v>
      </c>
      <c r="J359">
        <f>SUMIFS(Transit_Clean[Quantity], Transit_Clean[Destination], A359, Transit_Clean[Item_Code], B359, Transit_Clean[SAP_Status], "In Transit")</f>
        <v>0</v>
      </c>
      <c r="K359">
        <f t="shared" si="17"/>
        <v>7.7115275411697901</v>
      </c>
      <c r="L359" t="str" cm="1">
        <f t="array" ref="L359">_xlfn.IFS(C359&lt;0,"DATO INVALIDO", C359+J359&lt;I359,"PEDIR YA", C359&lt;I359,"EN CAMINO OK", TRUE,"SANO")</f>
        <v>PEDIR YA</v>
      </c>
    </row>
    <row r="360" spans="1:12" x14ac:dyDescent="0.45">
      <c r="A360" t="s">
        <v>1120</v>
      </c>
      <c r="B360" t="s">
        <v>95</v>
      </c>
      <c r="C360">
        <v>1933</v>
      </c>
      <c r="D360">
        <v>283.2</v>
      </c>
      <c r="E360">
        <v>31.7</v>
      </c>
      <c r="F360">
        <v>0.8</v>
      </c>
      <c r="G360">
        <v>0.5</v>
      </c>
      <c r="H360">
        <f t="shared" si="15"/>
        <v>238.27777911504882</v>
      </c>
      <c r="I360">
        <f t="shared" si="16"/>
        <v>464.83777911504882</v>
      </c>
      <c r="J360">
        <f>SUMIFS(Transit_Clean[Quantity], Transit_Clean[Destination], A360, Transit_Clean[Item_Code], B360, Transit_Clean[SAP_Status], "In Transit")</f>
        <v>0</v>
      </c>
      <c r="K360">
        <f t="shared" si="17"/>
        <v>6.8255649717514126</v>
      </c>
      <c r="L360" t="str" cm="1">
        <f t="array" ref="L360">_xlfn.IFS(C360&lt;0,"DATO INVALIDO", C360+J360&lt;I360,"PEDIR YA", C360&lt;I360,"EN CAMINO OK", TRUE,"SANO")</f>
        <v>SANO</v>
      </c>
    </row>
    <row r="361" spans="1:12" x14ac:dyDescent="0.45">
      <c r="A361" t="s">
        <v>1120</v>
      </c>
      <c r="B361" t="s">
        <v>59</v>
      </c>
      <c r="C361">
        <v>2178</v>
      </c>
      <c r="D361">
        <v>267.7</v>
      </c>
      <c r="E361">
        <v>25.1</v>
      </c>
      <c r="F361">
        <v>2.2999999999999998</v>
      </c>
      <c r="G361">
        <v>0.5</v>
      </c>
      <c r="H361">
        <f t="shared" si="15"/>
        <v>229.61008661152059</v>
      </c>
      <c r="I361">
        <f t="shared" si="16"/>
        <v>845.32008661152054</v>
      </c>
      <c r="J361">
        <f>SUMIFS(Transit_Clean[Quantity], Transit_Clean[Destination], A361, Transit_Clean[Item_Code], B361, Transit_Clean[SAP_Status], "In Transit")</f>
        <v>0</v>
      </c>
      <c r="K361">
        <f t="shared" si="17"/>
        <v>8.1359731042211436</v>
      </c>
      <c r="L361" t="str" cm="1">
        <f t="array" ref="L361">_xlfn.IFS(C361&lt;0,"DATO INVALIDO", C361+J361&lt;I361,"PEDIR YA", C361&lt;I361,"EN CAMINO OK", TRUE,"SANO")</f>
        <v>SANO</v>
      </c>
    </row>
    <row r="362" spans="1:12" x14ac:dyDescent="0.45">
      <c r="A362" t="s">
        <v>1121</v>
      </c>
      <c r="B362" t="s">
        <v>103</v>
      </c>
      <c r="C362">
        <v>4765</v>
      </c>
      <c r="D362">
        <v>290.5</v>
      </c>
      <c r="E362">
        <v>37.6</v>
      </c>
      <c r="F362">
        <v>2.8</v>
      </c>
      <c r="G362">
        <v>0.4</v>
      </c>
      <c r="H362">
        <f t="shared" si="15"/>
        <v>218.03092757680045</v>
      </c>
      <c r="I362">
        <f t="shared" si="16"/>
        <v>1031.4309275768005</v>
      </c>
      <c r="J362">
        <f>SUMIFS(Transit_Clean[Quantity], Transit_Clean[Destination], A362, Transit_Clean[Item_Code], B362, Transit_Clean[SAP_Status], "In Transit")</f>
        <v>1274</v>
      </c>
      <c r="K362">
        <f t="shared" si="17"/>
        <v>16.40275387263339</v>
      </c>
      <c r="L362" t="str" cm="1">
        <f t="array" ref="L362">_xlfn.IFS(C362&lt;0,"DATO INVALIDO", C362+J362&lt;I362,"PEDIR YA", C362&lt;I362,"EN CAMINO OK", TRUE,"SANO")</f>
        <v>SANO</v>
      </c>
    </row>
    <row r="363" spans="1:12" x14ac:dyDescent="0.45">
      <c r="A363" t="s">
        <v>1122</v>
      </c>
      <c r="B363" t="s">
        <v>107</v>
      </c>
      <c r="D363">
        <v>564.5</v>
      </c>
      <c r="E363">
        <v>272.39999999999998</v>
      </c>
      <c r="F363">
        <v>0.7</v>
      </c>
      <c r="G363">
        <v>0.2</v>
      </c>
      <c r="H363">
        <f t="shared" si="15"/>
        <v>419.6571283142942</v>
      </c>
      <c r="I363">
        <f t="shared" si="16"/>
        <v>814.80712831429423</v>
      </c>
      <c r="J363">
        <f>SUMIFS(Transit_Clean[Quantity], Transit_Clean[Destination], A363, Transit_Clean[Item_Code], B363, Transit_Clean[SAP_Status], "In Transit")</f>
        <v>5121</v>
      </c>
      <c r="K363">
        <f t="shared" si="17"/>
        <v>0</v>
      </c>
      <c r="L363" t="str" cm="1">
        <f t="array" ref="L363">_xlfn.IFS(C363&lt;0,"DATO INVALIDO", C363+J363&lt;I363,"PEDIR YA", C363&lt;I363,"EN CAMINO OK", TRUE,"SANO")</f>
        <v>EN CAMINO OK</v>
      </c>
    </row>
    <row r="364" spans="1:12" x14ac:dyDescent="0.45">
      <c r="A364" t="s">
        <v>1115</v>
      </c>
      <c r="B364" t="s">
        <v>76</v>
      </c>
      <c r="C364">
        <v>2570</v>
      </c>
      <c r="D364">
        <v>280</v>
      </c>
      <c r="E364">
        <v>80.2</v>
      </c>
      <c r="F364">
        <v>1.8</v>
      </c>
      <c r="G364">
        <v>0.6</v>
      </c>
      <c r="H364">
        <f t="shared" si="15"/>
        <v>329.18088039860396</v>
      </c>
      <c r="I364">
        <f t="shared" si="16"/>
        <v>833.1808803986039</v>
      </c>
      <c r="J364">
        <f>SUMIFS(Transit_Clean[Quantity], Transit_Clean[Destination], A364, Transit_Clean[Item_Code], B364, Transit_Clean[SAP_Status], "In Transit")</f>
        <v>1145</v>
      </c>
      <c r="K364">
        <f t="shared" si="17"/>
        <v>9.1785714285714288</v>
      </c>
      <c r="L364" t="str" cm="1">
        <f t="array" ref="L364">_xlfn.IFS(C364&lt;0,"DATO INVALIDO", C364+J364&lt;I364,"PEDIR YA", C364&lt;I364,"EN CAMINO OK", TRUE,"SANO")</f>
        <v>SANO</v>
      </c>
    </row>
    <row r="365" spans="1:12" x14ac:dyDescent="0.45">
      <c r="A365" t="s">
        <v>1124</v>
      </c>
      <c r="B365" t="s">
        <v>56</v>
      </c>
      <c r="C365">
        <v>2535</v>
      </c>
      <c r="D365">
        <v>777</v>
      </c>
      <c r="E365">
        <v>231.9</v>
      </c>
      <c r="F365">
        <v>0.7</v>
      </c>
      <c r="G365">
        <v>0.3</v>
      </c>
      <c r="H365">
        <f t="shared" si="15"/>
        <v>500.41520608640576</v>
      </c>
      <c r="I365">
        <f t="shared" si="16"/>
        <v>1044.3152060864059</v>
      </c>
      <c r="J365">
        <f>SUMIFS(Transit_Clean[Quantity], Transit_Clean[Destination], A365, Transit_Clean[Item_Code], B365, Transit_Clean[SAP_Status], "In Transit")</f>
        <v>661</v>
      </c>
      <c r="K365">
        <f t="shared" si="17"/>
        <v>3.2625482625482625</v>
      </c>
      <c r="L365" t="str" cm="1">
        <f t="array" ref="L365">_xlfn.IFS(C365&lt;0,"DATO INVALIDO", C365+J365&lt;I365,"PEDIR YA", C365&lt;I365,"EN CAMINO OK", TRUE,"SANO")</f>
        <v>SANO</v>
      </c>
    </row>
    <row r="366" spans="1:12" x14ac:dyDescent="0.45">
      <c r="A366" t="s">
        <v>1121</v>
      </c>
      <c r="B366" t="s">
        <v>22</v>
      </c>
      <c r="C366">
        <v>2441</v>
      </c>
      <c r="D366">
        <v>214</v>
      </c>
      <c r="E366">
        <v>101.4</v>
      </c>
      <c r="F366">
        <v>2.2000000000000002</v>
      </c>
      <c r="G366">
        <v>0.4</v>
      </c>
      <c r="H366">
        <f t="shared" si="15"/>
        <v>285.53902889097316</v>
      </c>
      <c r="I366">
        <f t="shared" si="16"/>
        <v>756.33902889097317</v>
      </c>
      <c r="J366">
        <f>SUMIFS(Transit_Clean[Quantity], Transit_Clean[Destination], A366, Transit_Clean[Item_Code], B366, Transit_Clean[SAP_Status], "In Transit")</f>
        <v>0</v>
      </c>
      <c r="K366">
        <f t="shared" si="17"/>
        <v>11.406542056074766</v>
      </c>
      <c r="L366" t="str" cm="1">
        <f t="array" ref="L366">_xlfn.IFS(C366&lt;0,"DATO INVALIDO", C366+J366&lt;I366,"PEDIR YA", C366&lt;I366,"EN CAMINO OK", TRUE,"SANO")</f>
        <v>SANO</v>
      </c>
    </row>
    <row r="367" spans="1:12" x14ac:dyDescent="0.45">
      <c r="A367" t="s">
        <v>1126</v>
      </c>
      <c r="B367" t="s">
        <v>109</v>
      </c>
      <c r="C367">
        <v>1478</v>
      </c>
      <c r="D367">
        <v>279.10000000000002</v>
      </c>
      <c r="E367">
        <v>132</v>
      </c>
      <c r="F367">
        <v>1.3</v>
      </c>
      <c r="G367">
        <v>0.2</v>
      </c>
      <c r="H367">
        <f t="shared" si="15"/>
        <v>264.86006608962396</v>
      </c>
      <c r="I367">
        <f t="shared" si="16"/>
        <v>627.690066089624</v>
      </c>
      <c r="J367">
        <f>SUMIFS(Transit_Clean[Quantity], Transit_Clean[Destination], A367, Transit_Clean[Item_Code], B367, Transit_Clean[SAP_Status], "In Transit")</f>
        <v>1916</v>
      </c>
      <c r="K367">
        <f t="shared" si="17"/>
        <v>5.2955929774274448</v>
      </c>
      <c r="L367" t="str" cm="1">
        <f t="array" ref="L367">_xlfn.IFS(C367&lt;0,"DATO INVALIDO", C367+J367&lt;I367,"PEDIR YA", C367&lt;I367,"EN CAMINO OK", TRUE,"SANO")</f>
        <v>SANO</v>
      </c>
    </row>
    <row r="368" spans="1:12" x14ac:dyDescent="0.45">
      <c r="A368" t="s">
        <v>1123</v>
      </c>
      <c r="B368" t="s">
        <v>93</v>
      </c>
      <c r="C368">
        <v>9542</v>
      </c>
      <c r="D368">
        <v>564.9</v>
      </c>
      <c r="E368">
        <v>77.5</v>
      </c>
      <c r="F368">
        <v>0.8</v>
      </c>
      <c r="G368">
        <v>0.3</v>
      </c>
      <c r="H368">
        <f t="shared" si="15"/>
        <v>302.11261600643223</v>
      </c>
      <c r="I368">
        <f t="shared" si="16"/>
        <v>754.03261600643225</v>
      </c>
      <c r="J368">
        <f>SUMIFS(Transit_Clean[Quantity], Transit_Clean[Destination], A368, Transit_Clean[Item_Code], B368, Transit_Clean[SAP_Status], "In Transit")</f>
        <v>415</v>
      </c>
      <c r="K368">
        <f t="shared" si="17"/>
        <v>16.891485218622766</v>
      </c>
      <c r="L368" t="str" cm="1">
        <f t="array" ref="L368">_xlfn.IFS(C368&lt;0,"DATO INVALIDO", C368+J368&lt;I368,"PEDIR YA", C368&lt;I368,"EN CAMINO OK", TRUE,"SANO")</f>
        <v>SANO</v>
      </c>
    </row>
    <row r="369" spans="1:12" x14ac:dyDescent="0.45">
      <c r="A369" t="s">
        <v>1114</v>
      </c>
      <c r="B369" t="s">
        <v>45</v>
      </c>
      <c r="C369">
        <v>9465</v>
      </c>
      <c r="D369">
        <v>569.20000000000005</v>
      </c>
      <c r="E369">
        <v>66.2</v>
      </c>
      <c r="F369">
        <v>4.5</v>
      </c>
      <c r="G369">
        <v>1.3</v>
      </c>
      <c r="H369">
        <f t="shared" si="15"/>
        <v>1242.7269210916775</v>
      </c>
      <c r="I369">
        <f t="shared" si="16"/>
        <v>3804.1269210916776</v>
      </c>
      <c r="J369">
        <f>SUMIFS(Transit_Clean[Quantity], Transit_Clean[Destination], A369, Transit_Clean[Item_Code], B369, Transit_Clean[SAP_Status], "In Transit")</f>
        <v>634</v>
      </c>
      <c r="K369">
        <f t="shared" si="17"/>
        <v>16.628601546029515</v>
      </c>
      <c r="L369" t="str" cm="1">
        <f t="array" ref="L369">_xlfn.IFS(C369&lt;0,"DATO INVALIDO", C369+J369&lt;I369,"PEDIR YA", C369&lt;I369,"EN CAMINO OK", TRUE,"SANO")</f>
        <v>SANO</v>
      </c>
    </row>
    <row r="370" spans="1:12" x14ac:dyDescent="0.45">
      <c r="A370" t="s">
        <v>1123</v>
      </c>
      <c r="B370" t="s">
        <v>57</v>
      </c>
      <c r="C370">
        <v>6386</v>
      </c>
      <c r="D370">
        <v>398.3</v>
      </c>
      <c r="E370">
        <v>41.9</v>
      </c>
      <c r="F370">
        <v>0.9</v>
      </c>
      <c r="G370">
        <v>0.3</v>
      </c>
      <c r="H370">
        <f t="shared" si="15"/>
        <v>207.78151391485721</v>
      </c>
      <c r="I370">
        <f t="shared" si="16"/>
        <v>566.25151391485724</v>
      </c>
      <c r="J370">
        <f>SUMIFS(Transit_Clean[Quantity], Transit_Clean[Destination], A370, Transit_Clean[Item_Code], B370, Transit_Clean[SAP_Status], "In Transit")</f>
        <v>1209</v>
      </c>
      <c r="K370">
        <f t="shared" si="17"/>
        <v>16.033140848606578</v>
      </c>
      <c r="L370" t="str" cm="1">
        <f t="array" ref="L370">_xlfn.IFS(C370&lt;0,"DATO INVALIDO", C370+J370&lt;I370,"PEDIR YA", C370&lt;I370,"EN CAMINO OK", TRUE,"SANO")</f>
        <v>SANO</v>
      </c>
    </row>
    <row r="371" spans="1:12" x14ac:dyDescent="0.45">
      <c r="A371" t="s">
        <v>1123</v>
      </c>
      <c r="B371" t="s">
        <v>81</v>
      </c>
      <c r="C371">
        <v>2998</v>
      </c>
      <c r="D371">
        <v>223.2</v>
      </c>
      <c r="E371">
        <v>34.6</v>
      </c>
      <c r="F371">
        <v>1.5</v>
      </c>
      <c r="G371">
        <v>0.3</v>
      </c>
      <c r="H371">
        <f t="shared" si="15"/>
        <v>130.7502061413289</v>
      </c>
      <c r="I371">
        <f t="shared" si="16"/>
        <v>465.55020614132889</v>
      </c>
      <c r="J371">
        <f>SUMIFS(Transit_Clean[Quantity], Transit_Clean[Destination], A371, Transit_Clean[Item_Code], B371, Transit_Clean[SAP_Status], "In Transit")</f>
        <v>0</v>
      </c>
      <c r="K371">
        <f t="shared" si="17"/>
        <v>13.431899641577061</v>
      </c>
      <c r="L371" t="str" cm="1">
        <f t="array" ref="L371">_xlfn.IFS(C371&lt;0,"DATO INVALIDO", C371+J371&lt;I371,"PEDIR YA", C371&lt;I371,"EN CAMINO OK", TRUE,"SANO")</f>
        <v>SANO</v>
      </c>
    </row>
    <row r="372" spans="1:12" x14ac:dyDescent="0.45">
      <c r="A372" t="s">
        <v>1118</v>
      </c>
      <c r="B372" t="s">
        <v>81</v>
      </c>
      <c r="C372">
        <v>6626</v>
      </c>
      <c r="D372">
        <v>432</v>
      </c>
      <c r="E372">
        <v>76.099999999999994</v>
      </c>
      <c r="F372">
        <v>1.9</v>
      </c>
      <c r="G372">
        <v>1.5</v>
      </c>
      <c r="H372">
        <f t="shared" si="15"/>
        <v>1083.1182398646511</v>
      </c>
      <c r="I372">
        <f t="shared" si="16"/>
        <v>1903.918239864651</v>
      </c>
      <c r="J372">
        <f>SUMIFS(Transit_Clean[Quantity], Transit_Clean[Destination], A372, Transit_Clean[Item_Code], B372, Transit_Clean[SAP_Status], "In Transit")</f>
        <v>1107</v>
      </c>
      <c r="K372">
        <f t="shared" si="17"/>
        <v>15.337962962962964</v>
      </c>
      <c r="L372" t="str" cm="1">
        <f t="array" ref="L372">_xlfn.IFS(C372&lt;0,"DATO INVALIDO", C372+J372&lt;I372,"PEDIR YA", C372&lt;I372,"EN CAMINO OK", TRUE,"SANO")</f>
        <v>SANO</v>
      </c>
    </row>
    <row r="373" spans="1:12" x14ac:dyDescent="0.45">
      <c r="A373" t="s">
        <v>1124</v>
      </c>
      <c r="B373" t="s">
        <v>110</v>
      </c>
      <c r="C373">
        <v>71</v>
      </c>
      <c r="D373">
        <v>113</v>
      </c>
      <c r="E373">
        <v>68.8</v>
      </c>
      <c r="F373">
        <v>0.7</v>
      </c>
      <c r="G373">
        <v>0.3</v>
      </c>
      <c r="H373">
        <f t="shared" si="15"/>
        <v>110.22466831431156</v>
      </c>
      <c r="I373">
        <f t="shared" si="16"/>
        <v>189.32466831431157</v>
      </c>
      <c r="J373">
        <f>SUMIFS(Transit_Clean[Quantity], Transit_Clean[Destination], A373, Transit_Clean[Item_Code], B373, Transit_Clean[SAP_Status], "In Transit")</f>
        <v>0</v>
      </c>
      <c r="K373">
        <f t="shared" si="17"/>
        <v>0.62831858407079644</v>
      </c>
      <c r="L373" t="str" cm="1">
        <f t="array" ref="L373">_xlfn.IFS(C373&lt;0,"DATO INVALIDO", C373+J373&lt;I373,"PEDIR YA", C373&lt;I373,"EN CAMINO OK", TRUE,"SANO")</f>
        <v>PEDIR YA</v>
      </c>
    </row>
    <row r="374" spans="1:12" x14ac:dyDescent="0.45">
      <c r="A374" t="s">
        <v>1117</v>
      </c>
      <c r="B374" t="s">
        <v>106</v>
      </c>
      <c r="D374">
        <v>476.8</v>
      </c>
      <c r="E374">
        <v>96.1</v>
      </c>
      <c r="F374">
        <v>0.6</v>
      </c>
      <c r="G374">
        <v>0.5</v>
      </c>
      <c r="H374">
        <f t="shared" si="15"/>
        <v>412.08955960446264</v>
      </c>
      <c r="I374">
        <f t="shared" si="16"/>
        <v>698.16955960446262</v>
      </c>
      <c r="J374">
        <f>SUMIFS(Transit_Clean[Quantity], Transit_Clean[Destination], A374, Transit_Clean[Item_Code], B374, Transit_Clean[SAP_Status], "In Transit")</f>
        <v>507</v>
      </c>
      <c r="K374">
        <f t="shared" si="17"/>
        <v>0</v>
      </c>
      <c r="L374" t="str" cm="1">
        <f t="array" ref="L374">_xlfn.IFS(C374&lt;0,"DATO INVALIDO", C374+J374&lt;I374,"PEDIR YA", C374&lt;I374,"EN CAMINO OK", TRUE,"SANO")</f>
        <v>PEDIR YA</v>
      </c>
    </row>
    <row r="375" spans="1:12" x14ac:dyDescent="0.45">
      <c r="A375" t="s">
        <v>1119</v>
      </c>
      <c r="B375" t="s">
        <v>101</v>
      </c>
      <c r="C375">
        <v>6351</v>
      </c>
      <c r="D375">
        <v>657</v>
      </c>
      <c r="E375">
        <v>136</v>
      </c>
      <c r="F375">
        <v>3.1</v>
      </c>
      <c r="G375">
        <v>1</v>
      </c>
      <c r="H375">
        <f t="shared" si="15"/>
        <v>1153.8050175397921</v>
      </c>
      <c r="I375">
        <f t="shared" si="16"/>
        <v>3190.5050175397919</v>
      </c>
      <c r="J375">
        <f>SUMIFS(Transit_Clean[Quantity], Transit_Clean[Destination], A375, Transit_Clean[Item_Code], B375, Transit_Clean[SAP_Status], "In Transit")</f>
        <v>2044</v>
      </c>
      <c r="K375">
        <f t="shared" si="17"/>
        <v>9.6666666666666661</v>
      </c>
      <c r="L375" t="str" cm="1">
        <f t="array" ref="L375">_xlfn.IFS(C375&lt;0,"DATO INVALIDO", C375+J375&lt;I375,"PEDIR YA", C375&lt;I375,"EN CAMINO OK", TRUE,"SANO")</f>
        <v>SANO</v>
      </c>
    </row>
    <row r="376" spans="1:12" x14ac:dyDescent="0.45">
      <c r="A376" t="s">
        <v>1115</v>
      </c>
      <c r="B376" t="s">
        <v>31</v>
      </c>
      <c r="C376">
        <v>1104</v>
      </c>
      <c r="D376">
        <v>248.9</v>
      </c>
      <c r="E376">
        <v>26.6</v>
      </c>
      <c r="F376">
        <v>2.8</v>
      </c>
      <c r="G376">
        <v>0.6</v>
      </c>
      <c r="H376">
        <f t="shared" si="15"/>
        <v>257.12275434313472</v>
      </c>
      <c r="I376">
        <f t="shared" si="16"/>
        <v>954.04275434313467</v>
      </c>
      <c r="J376">
        <f>SUMIFS(Transit_Clean[Quantity], Transit_Clean[Destination], A376, Transit_Clean[Item_Code], B376, Transit_Clean[SAP_Status], "In Transit")</f>
        <v>2305</v>
      </c>
      <c r="K376">
        <f t="shared" si="17"/>
        <v>4.4355162715950183</v>
      </c>
      <c r="L376" t="str" cm="1">
        <f t="array" ref="L376">_xlfn.IFS(C376&lt;0,"DATO INVALIDO", C376+J376&lt;I376,"PEDIR YA", C376&lt;I376,"EN CAMINO OK", TRUE,"SANO")</f>
        <v>SANO</v>
      </c>
    </row>
    <row r="377" spans="1:12" x14ac:dyDescent="0.45">
      <c r="A377" t="s">
        <v>1120</v>
      </c>
      <c r="B377" t="s">
        <v>103</v>
      </c>
      <c r="C377">
        <v>839</v>
      </c>
      <c r="D377">
        <v>366.9</v>
      </c>
      <c r="E377">
        <v>53.7</v>
      </c>
      <c r="F377">
        <v>1.7</v>
      </c>
      <c r="G377">
        <v>0.5</v>
      </c>
      <c r="H377">
        <f t="shared" si="15"/>
        <v>323.98948717319513</v>
      </c>
      <c r="I377">
        <f t="shared" si="16"/>
        <v>947.71948717319503</v>
      </c>
      <c r="J377">
        <f>SUMIFS(Transit_Clean[Quantity], Transit_Clean[Destination], A377, Transit_Clean[Item_Code], B377, Transit_Clean[SAP_Status], "In Transit")</f>
        <v>1377</v>
      </c>
      <c r="K377">
        <f t="shared" si="17"/>
        <v>2.2867266285091308</v>
      </c>
      <c r="L377" t="str" cm="1">
        <f t="array" ref="L377">_xlfn.IFS(C377&lt;0,"DATO INVALIDO", C377+J377&lt;I377,"PEDIR YA", C377&lt;I377,"EN CAMINO OK", TRUE,"SANO")</f>
        <v>EN CAMINO OK</v>
      </c>
    </row>
    <row r="378" spans="1:12" x14ac:dyDescent="0.45">
      <c r="A378" t="s">
        <v>1127</v>
      </c>
      <c r="B378" t="s">
        <v>91</v>
      </c>
      <c r="C378">
        <v>4906</v>
      </c>
      <c r="D378">
        <v>333.3</v>
      </c>
      <c r="E378">
        <v>202.5</v>
      </c>
      <c r="F378">
        <v>2.2999999999999998</v>
      </c>
      <c r="G378">
        <v>0.9</v>
      </c>
      <c r="H378">
        <f t="shared" si="15"/>
        <v>708.34093725249988</v>
      </c>
      <c r="I378">
        <f t="shared" si="16"/>
        <v>1474.9309372524999</v>
      </c>
      <c r="J378">
        <f>SUMIFS(Transit_Clean[Quantity], Transit_Clean[Destination], A378, Transit_Clean[Item_Code], B378, Transit_Clean[SAP_Status], "In Transit")</f>
        <v>3045</v>
      </c>
      <c r="K378">
        <f t="shared" si="17"/>
        <v>14.71947194719472</v>
      </c>
      <c r="L378" t="str" cm="1">
        <f t="array" ref="L378">_xlfn.IFS(C378&lt;0,"DATO INVALIDO", C378+J378&lt;I378,"PEDIR YA", C378&lt;I378,"EN CAMINO OK", TRUE,"SANO")</f>
        <v>SANO</v>
      </c>
    </row>
    <row r="379" spans="1:12" x14ac:dyDescent="0.45">
      <c r="A379" t="s">
        <v>1119</v>
      </c>
      <c r="B379" t="s">
        <v>44</v>
      </c>
      <c r="C379">
        <v>11478</v>
      </c>
      <c r="D379">
        <v>903</v>
      </c>
      <c r="E379">
        <v>207.6</v>
      </c>
      <c r="F379">
        <v>1.8</v>
      </c>
      <c r="G379">
        <v>1</v>
      </c>
      <c r="H379">
        <f t="shared" si="15"/>
        <v>1559.215051036899</v>
      </c>
      <c r="I379">
        <f t="shared" si="16"/>
        <v>3184.6150510368989</v>
      </c>
      <c r="J379">
        <f>SUMIFS(Transit_Clean[Quantity], Transit_Clean[Destination], A379, Transit_Clean[Item_Code], B379, Transit_Clean[SAP_Status], "In Transit")</f>
        <v>2134</v>
      </c>
      <c r="K379">
        <f t="shared" si="17"/>
        <v>12.710963455149502</v>
      </c>
      <c r="L379" t="str" cm="1">
        <f t="array" ref="L379">_xlfn.IFS(C379&lt;0,"DATO INVALIDO", C379+J379&lt;I379,"PEDIR YA", C379&lt;I379,"EN CAMINO OK", TRUE,"SANO")</f>
        <v>SANO</v>
      </c>
    </row>
    <row r="380" spans="1:12" x14ac:dyDescent="0.45">
      <c r="A380" t="s">
        <v>1127</v>
      </c>
      <c r="B380" t="s">
        <v>103</v>
      </c>
      <c r="C380">
        <v>7478</v>
      </c>
      <c r="D380">
        <v>450.2</v>
      </c>
      <c r="E380">
        <v>84.9</v>
      </c>
      <c r="F380">
        <v>3.1</v>
      </c>
      <c r="G380">
        <v>0.9</v>
      </c>
      <c r="H380">
        <f t="shared" si="15"/>
        <v>712.59307715308307</v>
      </c>
      <c r="I380">
        <f t="shared" si="16"/>
        <v>2108.2130771530833</v>
      </c>
      <c r="J380">
        <f>SUMIFS(Transit_Clean[Quantity], Transit_Clean[Destination], A380, Transit_Clean[Item_Code], B380, Transit_Clean[SAP_Status], "In Transit")</f>
        <v>1317</v>
      </c>
      <c r="K380">
        <f t="shared" si="17"/>
        <v>16.610395379831186</v>
      </c>
      <c r="L380" t="str" cm="1">
        <f t="array" ref="L380">_xlfn.IFS(C380&lt;0,"DATO INVALIDO", C380+J380&lt;I380,"PEDIR YA", C380&lt;I380,"EN CAMINO OK", TRUE,"SANO")</f>
        <v>SANO</v>
      </c>
    </row>
    <row r="381" spans="1:12" x14ac:dyDescent="0.45">
      <c r="A381" t="s">
        <v>1118</v>
      </c>
      <c r="B381" t="s">
        <v>22</v>
      </c>
      <c r="C381">
        <v>3802</v>
      </c>
      <c r="D381">
        <v>405.1</v>
      </c>
      <c r="E381">
        <v>262.60000000000002</v>
      </c>
      <c r="F381">
        <v>6.6</v>
      </c>
      <c r="G381">
        <v>1.5</v>
      </c>
      <c r="H381">
        <f t="shared" si="15"/>
        <v>1498.1112630796986</v>
      </c>
      <c r="I381">
        <f t="shared" si="16"/>
        <v>4171.7712630796987</v>
      </c>
      <c r="J381">
        <f>SUMIFS(Transit_Clean[Quantity], Transit_Clean[Destination], A381, Transit_Clean[Item_Code], B381, Transit_Clean[SAP_Status], "In Transit")</f>
        <v>2319</v>
      </c>
      <c r="K381">
        <f t="shared" si="17"/>
        <v>9.3853369538385572</v>
      </c>
      <c r="L381" t="str" cm="1">
        <f t="array" ref="L381">_xlfn.IFS(C381&lt;0,"DATO INVALIDO", C381+J381&lt;I381,"PEDIR YA", C381&lt;I381,"EN CAMINO OK", TRUE,"SANO")</f>
        <v>EN CAMINO OK</v>
      </c>
    </row>
    <row r="382" spans="1:12" x14ac:dyDescent="0.45">
      <c r="A382" t="s">
        <v>1118</v>
      </c>
      <c r="B382" t="s">
        <v>83</v>
      </c>
      <c r="C382">
        <v>3086</v>
      </c>
      <c r="D382">
        <v>475.2</v>
      </c>
      <c r="E382">
        <v>87.8</v>
      </c>
      <c r="F382">
        <v>5.0999999999999996</v>
      </c>
      <c r="G382">
        <v>1.5</v>
      </c>
      <c r="H382">
        <f t="shared" si="15"/>
        <v>1220.7758068498899</v>
      </c>
      <c r="I382">
        <f t="shared" si="16"/>
        <v>3644.2958068498901</v>
      </c>
      <c r="J382">
        <f>SUMIFS(Transit_Clean[Quantity], Transit_Clean[Destination], A382, Transit_Clean[Item_Code], B382, Transit_Clean[SAP_Status], "In Transit")</f>
        <v>0</v>
      </c>
      <c r="K382">
        <f t="shared" si="17"/>
        <v>6.4941077441077439</v>
      </c>
      <c r="L382" t="str" cm="1">
        <f t="array" ref="L382">_xlfn.IFS(C382&lt;0,"DATO INVALIDO", C382+J382&lt;I382,"PEDIR YA", C382&lt;I382,"EN CAMINO OK", TRUE,"SANO")</f>
        <v>PEDIR YA</v>
      </c>
    </row>
    <row r="383" spans="1:12" x14ac:dyDescent="0.45">
      <c r="A383" t="s">
        <v>1123</v>
      </c>
      <c r="B383" t="s">
        <v>105</v>
      </c>
      <c r="C383">
        <v>2244</v>
      </c>
      <c r="D383">
        <v>487.1</v>
      </c>
      <c r="E383">
        <v>80.8</v>
      </c>
      <c r="F383">
        <v>0.9</v>
      </c>
      <c r="G383">
        <v>0.3</v>
      </c>
      <c r="H383">
        <f t="shared" si="15"/>
        <v>272.27376346289776</v>
      </c>
      <c r="I383">
        <f t="shared" si="16"/>
        <v>710.6637634628978</v>
      </c>
      <c r="J383">
        <f>SUMIFS(Transit_Clean[Quantity], Transit_Clean[Destination], A383, Transit_Clean[Item_Code], B383, Transit_Clean[SAP_Status], "In Transit")</f>
        <v>1198</v>
      </c>
      <c r="K383">
        <f t="shared" si="17"/>
        <v>4.6068569082323956</v>
      </c>
      <c r="L383" t="str" cm="1">
        <f t="array" ref="L383">_xlfn.IFS(C383&lt;0,"DATO INVALIDO", C383+J383&lt;I383,"PEDIR YA", C383&lt;I383,"EN CAMINO OK", TRUE,"SANO")</f>
        <v>SANO</v>
      </c>
    </row>
    <row r="384" spans="1:12" x14ac:dyDescent="0.45">
      <c r="A384" t="s">
        <v>1116</v>
      </c>
      <c r="B384" t="s">
        <v>106</v>
      </c>
      <c r="C384">
        <v>3638</v>
      </c>
      <c r="D384">
        <v>433</v>
      </c>
      <c r="E384">
        <v>78.599999999999994</v>
      </c>
      <c r="F384">
        <v>2.4</v>
      </c>
      <c r="G384">
        <v>1.6</v>
      </c>
      <c r="H384">
        <f t="shared" si="15"/>
        <v>1160.6421175538997</v>
      </c>
      <c r="I384">
        <f t="shared" si="16"/>
        <v>2199.8421175538997</v>
      </c>
      <c r="J384">
        <f>SUMIFS(Transit_Clean[Quantity], Transit_Clean[Destination], A384, Transit_Clean[Item_Code], B384, Transit_Clean[SAP_Status], "In Transit")</f>
        <v>514</v>
      </c>
      <c r="K384">
        <f t="shared" si="17"/>
        <v>8.4018475750577366</v>
      </c>
      <c r="L384" t="str" cm="1">
        <f t="array" ref="L384">_xlfn.IFS(C384&lt;0,"DATO INVALIDO", C384+J384&lt;I384,"PEDIR YA", C384&lt;I384,"EN CAMINO OK", TRUE,"SANO")</f>
        <v>SANO</v>
      </c>
    </row>
    <row r="385" spans="1:12" x14ac:dyDescent="0.45">
      <c r="A385" t="s">
        <v>1126</v>
      </c>
      <c r="B385" t="s">
        <v>31</v>
      </c>
      <c r="C385">
        <v>8676</v>
      </c>
      <c r="D385">
        <v>505.8</v>
      </c>
      <c r="E385">
        <v>54.6</v>
      </c>
      <c r="F385">
        <v>1.2</v>
      </c>
      <c r="G385">
        <v>0.2</v>
      </c>
      <c r="H385">
        <f t="shared" si="15"/>
        <v>193.90650612086228</v>
      </c>
      <c r="I385">
        <f t="shared" si="16"/>
        <v>800.86650612086237</v>
      </c>
      <c r="J385">
        <f>SUMIFS(Transit_Clean[Quantity], Transit_Clean[Destination], A385, Transit_Clean[Item_Code], B385, Transit_Clean[SAP_Status], "In Transit")</f>
        <v>3876</v>
      </c>
      <c r="K385">
        <f t="shared" si="17"/>
        <v>17.153024911032027</v>
      </c>
      <c r="L385" t="str" cm="1">
        <f t="array" ref="L385">_xlfn.IFS(C385&lt;0,"DATO INVALIDO", C385+J385&lt;I385,"PEDIR YA", C385&lt;I385,"EN CAMINO OK", TRUE,"SANO")</f>
        <v>SANO</v>
      </c>
    </row>
    <row r="386" spans="1:12" x14ac:dyDescent="0.45">
      <c r="A386" t="s">
        <v>1114</v>
      </c>
      <c r="B386" t="s">
        <v>107</v>
      </c>
      <c r="C386">
        <v>4003</v>
      </c>
      <c r="D386">
        <v>508.8</v>
      </c>
      <c r="E386">
        <v>208.6</v>
      </c>
      <c r="F386">
        <v>3.4</v>
      </c>
      <c r="G386">
        <v>1.3</v>
      </c>
      <c r="H386">
        <f t="shared" si="15"/>
        <v>1262.4929877492391</v>
      </c>
      <c r="I386">
        <f t="shared" si="16"/>
        <v>2992.4129877492392</v>
      </c>
      <c r="J386">
        <f>SUMIFS(Transit_Clean[Quantity], Transit_Clean[Destination], A386, Transit_Clean[Item_Code], B386, Transit_Clean[SAP_Status], "In Transit")</f>
        <v>0</v>
      </c>
      <c r="K386">
        <f t="shared" si="17"/>
        <v>7.8675314465408803</v>
      </c>
      <c r="L386" t="str" cm="1">
        <f t="array" ref="L386">_xlfn.IFS(C386&lt;0,"DATO INVALIDO", C386+J386&lt;I386,"PEDIR YA", C386&lt;I386,"EN CAMINO OK", TRUE,"SANO")</f>
        <v>SANO</v>
      </c>
    </row>
    <row r="387" spans="1:12" x14ac:dyDescent="0.45">
      <c r="A387" t="s">
        <v>1117</v>
      </c>
      <c r="B387" t="s">
        <v>1141</v>
      </c>
      <c r="C387">
        <v>606</v>
      </c>
      <c r="D387">
        <v>209.6</v>
      </c>
      <c r="E387">
        <v>21.4</v>
      </c>
      <c r="F387">
        <v>2.4</v>
      </c>
      <c r="G387">
        <v>0.5</v>
      </c>
      <c r="H387">
        <f t="shared" ref="H387:H450" si="18">IFERROR(1.65*SQRT(F387*E387^2 + D387^2*G387^2), "")</f>
        <v>181.36603055699265</v>
      </c>
      <c r="I387">
        <f t="shared" ref="I387:I450" si="19">IFERROR(D387*F387 + H387, "")</f>
        <v>684.40603055699262</v>
      </c>
      <c r="J387">
        <f>SUMIFS(Transit_Clean[Quantity], Transit_Clean[Destination], A387, Transit_Clean[Item_Code], B387, Transit_Clean[SAP_Status], "In Transit")</f>
        <v>1848</v>
      </c>
      <c r="K387">
        <f t="shared" ref="K387:K450" si="20">IFERROR(C387/D387, "")</f>
        <v>2.8912213740458017</v>
      </c>
      <c r="L387" t="str" cm="1">
        <f t="array" ref="L387">_xlfn.IFS(C387&lt;0,"DATO INVALIDO", C387+J387&lt;I387,"PEDIR YA", C387&lt;I387,"EN CAMINO OK", TRUE,"SANO")</f>
        <v>EN CAMINO OK</v>
      </c>
    </row>
    <row r="388" spans="1:12" x14ac:dyDescent="0.45">
      <c r="A388" t="s">
        <v>1118</v>
      </c>
      <c r="B388" t="s">
        <v>25</v>
      </c>
      <c r="C388">
        <v>1595</v>
      </c>
      <c r="D388">
        <v>234.8</v>
      </c>
      <c r="E388">
        <v>58.8</v>
      </c>
      <c r="F388">
        <v>3.9</v>
      </c>
      <c r="G388">
        <v>1.5</v>
      </c>
      <c r="H388">
        <f t="shared" si="18"/>
        <v>611.90057236449786</v>
      </c>
      <c r="I388">
        <f t="shared" si="19"/>
        <v>1527.620572364498</v>
      </c>
      <c r="J388">
        <f>SUMIFS(Transit_Clean[Quantity], Transit_Clean[Destination], A388, Transit_Clean[Item_Code], B388, Transit_Clean[SAP_Status], "In Transit")</f>
        <v>0</v>
      </c>
      <c r="K388">
        <f t="shared" si="20"/>
        <v>6.7930153321976148</v>
      </c>
      <c r="L388" t="str" cm="1">
        <f t="array" ref="L388">_xlfn.IFS(C388&lt;0,"DATO INVALIDO", C388+J388&lt;I388,"PEDIR YA", C388&lt;I388,"EN CAMINO OK", TRUE,"SANO")</f>
        <v>SANO</v>
      </c>
    </row>
    <row r="389" spans="1:12" x14ac:dyDescent="0.45">
      <c r="A389" t="s">
        <v>1119</v>
      </c>
      <c r="B389" t="s">
        <v>40</v>
      </c>
      <c r="C389">
        <v>5334</v>
      </c>
      <c r="D389">
        <v>445.2</v>
      </c>
      <c r="E389">
        <v>61</v>
      </c>
      <c r="F389">
        <v>1.5</v>
      </c>
      <c r="G389">
        <v>1</v>
      </c>
      <c r="H389">
        <f t="shared" si="18"/>
        <v>744.85126713324439</v>
      </c>
      <c r="I389">
        <f t="shared" si="19"/>
        <v>1412.6512671332443</v>
      </c>
      <c r="J389">
        <f>SUMIFS(Transit_Clean[Quantity], Transit_Clean[Destination], A389, Transit_Clean[Item_Code], B389, Transit_Clean[SAP_Status], "In Transit")</f>
        <v>0</v>
      </c>
      <c r="K389">
        <f t="shared" si="20"/>
        <v>11.981132075471699</v>
      </c>
      <c r="L389" t="str" cm="1">
        <f t="array" ref="L389">_xlfn.IFS(C389&lt;0,"DATO INVALIDO", C389+J389&lt;I389,"PEDIR YA", C389&lt;I389,"EN CAMINO OK", TRUE,"SANO")</f>
        <v>SANO</v>
      </c>
    </row>
    <row r="390" spans="1:12" x14ac:dyDescent="0.45">
      <c r="A390" t="s">
        <v>1116</v>
      </c>
      <c r="B390" t="s">
        <v>59</v>
      </c>
      <c r="C390">
        <v>5234</v>
      </c>
      <c r="D390">
        <v>460.7</v>
      </c>
      <c r="E390">
        <v>63.7</v>
      </c>
      <c r="F390">
        <v>6</v>
      </c>
      <c r="G390">
        <v>1.6</v>
      </c>
      <c r="H390">
        <f t="shared" si="18"/>
        <v>1243.1981192287897</v>
      </c>
      <c r="I390">
        <f t="shared" si="19"/>
        <v>4007.3981192287893</v>
      </c>
      <c r="J390">
        <f>SUMIFS(Transit_Clean[Quantity], Transit_Clean[Destination], A390, Transit_Clean[Item_Code], B390, Transit_Clean[SAP_Status], "In Transit")</f>
        <v>1283</v>
      </c>
      <c r="K390">
        <f t="shared" si="20"/>
        <v>11.360972433253744</v>
      </c>
      <c r="L390" t="str" cm="1">
        <f t="array" ref="L390">_xlfn.IFS(C390&lt;0,"DATO INVALIDO", C390+J390&lt;I390,"PEDIR YA", C390&lt;I390,"EN CAMINO OK", TRUE,"SANO")</f>
        <v>SANO</v>
      </c>
    </row>
    <row r="391" spans="1:12" x14ac:dyDescent="0.45">
      <c r="A391" t="s">
        <v>1123</v>
      </c>
      <c r="B391" t="s">
        <v>62</v>
      </c>
      <c r="C391">
        <v>4115</v>
      </c>
      <c r="D391">
        <v>377.3</v>
      </c>
      <c r="E391">
        <v>34.700000000000003</v>
      </c>
      <c r="F391">
        <v>1.2</v>
      </c>
      <c r="G391">
        <v>0.3</v>
      </c>
      <c r="H391">
        <f t="shared" si="18"/>
        <v>197.01362126068844</v>
      </c>
      <c r="I391">
        <f t="shared" si="19"/>
        <v>649.7736212606884</v>
      </c>
      <c r="J391">
        <f>SUMIFS(Transit_Clean[Quantity], Transit_Clean[Destination], A391, Transit_Clean[Item_Code], B391, Transit_Clean[SAP_Status], "In Transit")</f>
        <v>1003</v>
      </c>
      <c r="K391">
        <f t="shared" si="20"/>
        <v>10.906440498277233</v>
      </c>
      <c r="L391" t="str" cm="1">
        <f t="array" ref="L391">_xlfn.IFS(C391&lt;0,"DATO INVALIDO", C391+J391&lt;I391,"PEDIR YA", C391&lt;I391,"EN CAMINO OK", TRUE,"SANO")</f>
        <v>SANO</v>
      </c>
    </row>
    <row r="392" spans="1:12" x14ac:dyDescent="0.45">
      <c r="A392" t="s">
        <v>1123</v>
      </c>
      <c r="B392" t="s">
        <v>28</v>
      </c>
      <c r="C392">
        <v>999999</v>
      </c>
      <c r="D392">
        <v>370.6</v>
      </c>
      <c r="E392">
        <v>129.19999999999999</v>
      </c>
      <c r="F392">
        <v>1.2</v>
      </c>
      <c r="G392">
        <v>0.3</v>
      </c>
      <c r="H392">
        <f t="shared" si="18"/>
        <v>296.96406632621387</v>
      </c>
      <c r="I392">
        <f t="shared" si="19"/>
        <v>741.68406632621395</v>
      </c>
      <c r="J392">
        <f>SUMIFS(Transit_Clean[Quantity], Transit_Clean[Destination], A392, Transit_Clean[Item_Code], B392, Transit_Clean[SAP_Status], "In Transit")</f>
        <v>0</v>
      </c>
      <c r="K392">
        <f t="shared" si="20"/>
        <v>2698.3243389098757</v>
      </c>
      <c r="L392" t="str" cm="1">
        <f t="array" ref="L392">_xlfn.IFS(C392&lt;0,"DATO INVALIDO", C392+J392&lt;I392,"PEDIR YA", C392&lt;I392,"EN CAMINO OK", TRUE,"SANO")</f>
        <v>SANO</v>
      </c>
    </row>
    <row r="393" spans="1:12" x14ac:dyDescent="0.45">
      <c r="A393" t="s">
        <v>1120</v>
      </c>
      <c r="B393" t="s">
        <v>1133</v>
      </c>
      <c r="C393">
        <v>7985</v>
      </c>
      <c r="D393">
        <v>597.9</v>
      </c>
      <c r="E393">
        <v>143.19999999999999</v>
      </c>
      <c r="F393">
        <v>2.6</v>
      </c>
      <c r="G393">
        <v>0.5</v>
      </c>
      <c r="H393">
        <f t="shared" si="18"/>
        <v>623.27060446988037</v>
      </c>
      <c r="I393">
        <f t="shared" si="19"/>
        <v>2177.8106044698802</v>
      </c>
      <c r="J393">
        <f>SUMIFS(Transit_Clean[Quantity], Transit_Clean[Destination], A393, Transit_Clean[Item_Code], B393, Transit_Clean[SAP_Status], "In Transit")</f>
        <v>1138</v>
      </c>
      <c r="K393">
        <f t="shared" si="20"/>
        <v>13.355076099682222</v>
      </c>
      <c r="L393" t="str" cm="1">
        <f t="array" ref="L393">_xlfn.IFS(C393&lt;0,"DATO INVALIDO", C393+J393&lt;I393,"PEDIR YA", C393&lt;I393,"EN CAMINO OK", TRUE,"SANO")</f>
        <v>SANO</v>
      </c>
    </row>
    <row r="394" spans="1:12" x14ac:dyDescent="0.45">
      <c r="A394" t="s">
        <v>1127</v>
      </c>
      <c r="B394" t="s">
        <v>84</v>
      </c>
      <c r="C394">
        <v>2018</v>
      </c>
      <c r="D394">
        <v>347.3</v>
      </c>
      <c r="E394">
        <v>126.9</v>
      </c>
      <c r="F394">
        <v>4</v>
      </c>
      <c r="G394">
        <v>0.9</v>
      </c>
      <c r="H394">
        <f t="shared" si="18"/>
        <v>664.34672893019501</v>
      </c>
      <c r="I394">
        <f t="shared" si="19"/>
        <v>2053.5467289301951</v>
      </c>
      <c r="J394">
        <f>SUMIFS(Transit_Clean[Quantity], Transit_Clean[Destination], A394, Transit_Clean[Item_Code], B394, Transit_Clean[SAP_Status], "In Transit")</f>
        <v>0</v>
      </c>
      <c r="K394">
        <f t="shared" si="20"/>
        <v>5.8105384393895765</v>
      </c>
      <c r="L394" t="str" cm="1">
        <f t="array" ref="L394">_xlfn.IFS(C394&lt;0,"DATO INVALIDO", C394+J394&lt;I394,"PEDIR YA", C394&lt;I394,"EN CAMINO OK", TRUE,"SANO")</f>
        <v>PEDIR YA</v>
      </c>
    </row>
    <row r="395" spans="1:12" x14ac:dyDescent="0.45">
      <c r="A395" t="s">
        <v>1118</v>
      </c>
      <c r="B395" t="s">
        <v>28</v>
      </c>
      <c r="C395">
        <v>1988</v>
      </c>
      <c r="D395">
        <v>133.30000000000001</v>
      </c>
      <c r="E395">
        <v>53.9</v>
      </c>
      <c r="F395">
        <v>7.3</v>
      </c>
      <c r="G395">
        <v>1.5</v>
      </c>
      <c r="H395">
        <f t="shared" si="18"/>
        <v>408.14755499543298</v>
      </c>
      <c r="I395">
        <f t="shared" si="19"/>
        <v>1381.2375549954331</v>
      </c>
      <c r="J395">
        <f>SUMIFS(Transit_Clean[Quantity], Transit_Clean[Destination], A395, Transit_Clean[Item_Code], B395, Transit_Clean[SAP_Status], "In Transit")</f>
        <v>2117</v>
      </c>
      <c r="K395">
        <f t="shared" si="20"/>
        <v>14.913728432108027</v>
      </c>
      <c r="L395" t="str" cm="1">
        <f t="array" ref="L395">_xlfn.IFS(C395&lt;0,"DATO INVALIDO", C395+J395&lt;I395,"PEDIR YA", C395&lt;I395,"EN CAMINO OK", TRUE,"SANO")</f>
        <v>SANO</v>
      </c>
    </row>
    <row r="396" spans="1:12" x14ac:dyDescent="0.45">
      <c r="A396" t="s">
        <v>1121</v>
      </c>
      <c r="B396" t="s">
        <v>13</v>
      </c>
      <c r="C396">
        <v>249</v>
      </c>
      <c r="D396">
        <v>217.4</v>
      </c>
      <c r="E396">
        <v>97.7</v>
      </c>
      <c r="F396">
        <v>1.2</v>
      </c>
      <c r="G396">
        <v>0.4</v>
      </c>
      <c r="H396">
        <f t="shared" si="18"/>
        <v>227.53487795500715</v>
      </c>
      <c r="I396">
        <f t="shared" si="19"/>
        <v>488.41487795500711</v>
      </c>
      <c r="J396">
        <f>SUMIFS(Transit_Clean[Quantity], Transit_Clean[Destination], A396, Transit_Clean[Item_Code], B396, Transit_Clean[SAP_Status], "In Transit")</f>
        <v>2839</v>
      </c>
      <c r="K396">
        <f t="shared" si="20"/>
        <v>1.1453541858325667</v>
      </c>
      <c r="L396" t="str" cm="1">
        <f t="array" ref="L396">_xlfn.IFS(C396&lt;0,"DATO INVALIDO", C396+J396&lt;I396,"PEDIR YA", C396&lt;I396,"EN CAMINO OK", TRUE,"SANO")</f>
        <v>EN CAMINO OK</v>
      </c>
    </row>
    <row r="397" spans="1:12" x14ac:dyDescent="0.45">
      <c r="A397" t="s">
        <v>1114</v>
      </c>
      <c r="B397" t="s">
        <v>23</v>
      </c>
      <c r="C397">
        <v>1495</v>
      </c>
      <c r="E397">
        <v>103.8</v>
      </c>
      <c r="F397">
        <v>2.2000000000000002</v>
      </c>
      <c r="G397">
        <v>1.3</v>
      </c>
      <c r="H397">
        <f t="shared" si="18"/>
        <v>254.03446297697482</v>
      </c>
      <c r="I397">
        <f t="shared" si="19"/>
        <v>254.03446297697482</v>
      </c>
      <c r="J397">
        <f>SUMIFS(Transit_Clean[Quantity], Transit_Clean[Destination], A397, Transit_Clean[Item_Code], B397, Transit_Clean[SAP_Status], "In Transit")</f>
        <v>2825</v>
      </c>
      <c r="K397" t="str">
        <f t="shared" si="20"/>
        <v/>
      </c>
      <c r="L397" t="str" cm="1">
        <f t="array" ref="L397">_xlfn.IFS(C397&lt;0,"DATO INVALIDO", C397+J397&lt;I397,"PEDIR YA", C397&lt;I397,"EN CAMINO OK", TRUE,"SANO")</f>
        <v>SANO</v>
      </c>
    </row>
    <row r="398" spans="1:12" x14ac:dyDescent="0.45">
      <c r="A398" t="s">
        <v>1127</v>
      </c>
      <c r="B398" t="s">
        <v>32</v>
      </c>
      <c r="C398">
        <v>1729</v>
      </c>
      <c r="D398">
        <v>155.30000000000001</v>
      </c>
      <c r="E398">
        <v>68.8</v>
      </c>
      <c r="F398">
        <v>2.9</v>
      </c>
      <c r="G398">
        <v>0.9</v>
      </c>
      <c r="H398">
        <f t="shared" si="18"/>
        <v>300.92774411850098</v>
      </c>
      <c r="I398">
        <f t="shared" si="19"/>
        <v>751.29774411850099</v>
      </c>
      <c r="J398">
        <f>SUMIFS(Transit_Clean[Quantity], Transit_Clean[Destination], A398, Transit_Clean[Item_Code], B398, Transit_Clean[SAP_Status], "In Transit")</f>
        <v>0</v>
      </c>
      <c r="K398">
        <f t="shared" si="20"/>
        <v>11.13329040566645</v>
      </c>
      <c r="L398" t="str" cm="1">
        <f t="array" ref="L398">_xlfn.IFS(C398&lt;0,"DATO INVALIDO", C398+J398&lt;I398,"PEDIR YA", C398&lt;I398,"EN CAMINO OK", TRUE,"SANO")</f>
        <v>SANO</v>
      </c>
    </row>
    <row r="399" spans="1:12" x14ac:dyDescent="0.45">
      <c r="A399" t="s">
        <v>1121</v>
      </c>
      <c r="B399" t="s">
        <v>61</v>
      </c>
      <c r="C399">
        <v>6616</v>
      </c>
      <c r="D399">
        <v>392.4</v>
      </c>
      <c r="E399">
        <v>68</v>
      </c>
      <c r="F399">
        <v>1.9</v>
      </c>
      <c r="G399">
        <v>0.4</v>
      </c>
      <c r="H399">
        <f t="shared" si="18"/>
        <v>301.6479873229722</v>
      </c>
      <c r="I399">
        <f t="shared" si="19"/>
        <v>1047.2079873229723</v>
      </c>
      <c r="J399">
        <f>SUMIFS(Transit_Clean[Quantity], Transit_Clean[Destination], A399, Transit_Clean[Item_Code], B399, Transit_Clean[SAP_Status], "In Transit")</f>
        <v>1607</v>
      </c>
      <c r="K399">
        <f t="shared" si="20"/>
        <v>16.860346585117227</v>
      </c>
      <c r="L399" t="str" cm="1">
        <f t="array" ref="L399">_xlfn.IFS(C399&lt;0,"DATO INVALIDO", C399+J399&lt;I399,"PEDIR YA", C399&lt;I399,"EN CAMINO OK", TRUE,"SANO")</f>
        <v>SANO</v>
      </c>
    </row>
    <row r="400" spans="1:12" x14ac:dyDescent="0.45">
      <c r="A400" t="s">
        <v>1117</v>
      </c>
      <c r="B400" t="s">
        <v>66</v>
      </c>
      <c r="C400">
        <v>4534</v>
      </c>
      <c r="E400">
        <v>37.4</v>
      </c>
      <c r="F400">
        <v>2.4</v>
      </c>
      <c r="G400">
        <v>0.5</v>
      </c>
      <c r="H400">
        <f t="shared" si="18"/>
        <v>95.600720917783875</v>
      </c>
      <c r="I400">
        <f t="shared" si="19"/>
        <v>95.600720917783875</v>
      </c>
      <c r="J400">
        <f>SUMIFS(Transit_Clean[Quantity], Transit_Clean[Destination], A400, Transit_Clean[Item_Code], B400, Transit_Clean[SAP_Status], "In Transit")</f>
        <v>0</v>
      </c>
      <c r="K400" t="str">
        <f t="shared" si="20"/>
        <v/>
      </c>
      <c r="L400" t="str" cm="1">
        <f t="array" ref="L400">_xlfn.IFS(C400&lt;0,"DATO INVALIDO", C400+J400&lt;I400,"PEDIR YA", C400&lt;I400,"EN CAMINO OK", TRUE,"SANO")</f>
        <v>SANO</v>
      </c>
    </row>
    <row r="401" spans="1:12" x14ac:dyDescent="0.45">
      <c r="A401" t="s">
        <v>1119</v>
      </c>
      <c r="B401" t="s">
        <v>48</v>
      </c>
      <c r="C401">
        <v>3494</v>
      </c>
      <c r="D401">
        <v>505.2</v>
      </c>
      <c r="E401">
        <v>97.4</v>
      </c>
      <c r="F401">
        <v>3.6</v>
      </c>
      <c r="G401">
        <v>1</v>
      </c>
      <c r="H401">
        <f t="shared" si="18"/>
        <v>887.6008963267218</v>
      </c>
      <c r="I401">
        <f t="shared" si="19"/>
        <v>2706.3208963267216</v>
      </c>
      <c r="J401">
        <f>SUMIFS(Transit_Clean[Quantity], Transit_Clean[Destination], A401, Transit_Clean[Item_Code], B401, Transit_Clean[SAP_Status], "In Transit")</f>
        <v>0</v>
      </c>
      <c r="K401">
        <f t="shared" si="20"/>
        <v>6.9160728424386386</v>
      </c>
      <c r="L401" t="str" cm="1">
        <f t="array" ref="L401">_xlfn.IFS(C401&lt;0,"DATO INVALIDO", C401+J401&lt;I401,"PEDIR YA", C401&lt;I401,"EN CAMINO OK", TRUE,"SANO")</f>
        <v>SANO</v>
      </c>
    </row>
    <row r="402" spans="1:12" x14ac:dyDescent="0.45">
      <c r="A402" t="s">
        <v>1118</v>
      </c>
      <c r="B402" t="s">
        <v>65</v>
      </c>
      <c r="C402">
        <v>4121</v>
      </c>
      <c r="D402">
        <v>441.8</v>
      </c>
      <c r="E402">
        <v>185.3</v>
      </c>
      <c r="F402">
        <v>6</v>
      </c>
      <c r="G402">
        <v>1.5</v>
      </c>
      <c r="H402">
        <f t="shared" si="18"/>
        <v>1325.3391517551272</v>
      </c>
      <c r="I402">
        <f t="shared" si="19"/>
        <v>3976.1391517551274</v>
      </c>
      <c r="J402">
        <f>SUMIFS(Transit_Clean[Quantity], Transit_Clean[Destination], A402, Transit_Clean[Item_Code], B402, Transit_Clean[SAP_Status], "In Transit")</f>
        <v>2325</v>
      </c>
      <c r="K402">
        <f t="shared" si="20"/>
        <v>9.3277501131733818</v>
      </c>
      <c r="L402" t="str" cm="1">
        <f t="array" ref="L402">_xlfn.IFS(C402&lt;0,"DATO INVALIDO", C402+J402&lt;I402,"PEDIR YA", C402&lt;I402,"EN CAMINO OK", TRUE,"SANO")</f>
        <v>SANO</v>
      </c>
    </row>
    <row r="403" spans="1:12" x14ac:dyDescent="0.45">
      <c r="A403" t="s">
        <v>1120</v>
      </c>
      <c r="B403" t="s">
        <v>99</v>
      </c>
      <c r="C403">
        <v>3436</v>
      </c>
      <c r="D403">
        <v>674.7</v>
      </c>
      <c r="E403">
        <v>156.4</v>
      </c>
      <c r="F403">
        <v>1.7</v>
      </c>
      <c r="G403">
        <v>0.5</v>
      </c>
      <c r="H403">
        <f t="shared" si="18"/>
        <v>650.4195660312273</v>
      </c>
      <c r="I403">
        <f t="shared" si="19"/>
        <v>1797.4095660312273</v>
      </c>
      <c r="J403">
        <f>SUMIFS(Transit_Clean[Quantity], Transit_Clean[Destination], A403, Transit_Clean[Item_Code], B403, Transit_Clean[SAP_Status], "In Transit")</f>
        <v>2115</v>
      </c>
      <c r="K403">
        <f t="shared" si="20"/>
        <v>5.0926337631539944</v>
      </c>
      <c r="L403" t="str" cm="1">
        <f t="array" ref="L403">_xlfn.IFS(C403&lt;0,"DATO INVALIDO", C403+J403&lt;I403,"PEDIR YA", C403&lt;I403,"EN CAMINO OK", TRUE,"SANO")</f>
        <v>SANO</v>
      </c>
    </row>
    <row r="404" spans="1:12" x14ac:dyDescent="0.45">
      <c r="A404" t="s">
        <v>1116</v>
      </c>
      <c r="B404" t="s">
        <v>75</v>
      </c>
      <c r="C404">
        <v>2327</v>
      </c>
      <c r="D404">
        <v>422.5</v>
      </c>
      <c r="E404">
        <v>43.3</v>
      </c>
      <c r="F404">
        <v>7.1</v>
      </c>
      <c r="G404">
        <v>1.6</v>
      </c>
      <c r="H404">
        <f t="shared" si="18"/>
        <v>1131.5291931618469</v>
      </c>
      <c r="I404">
        <f t="shared" si="19"/>
        <v>4131.2791931618467</v>
      </c>
      <c r="J404">
        <f>SUMIFS(Transit_Clean[Quantity], Transit_Clean[Destination], A404, Transit_Clean[Item_Code], B404, Transit_Clean[SAP_Status], "In Transit")</f>
        <v>0</v>
      </c>
      <c r="K404">
        <f t="shared" si="20"/>
        <v>5.5076923076923077</v>
      </c>
      <c r="L404" t="str" cm="1">
        <f t="array" ref="L404">_xlfn.IFS(C404&lt;0,"DATO INVALIDO", C404+J404&lt;I404,"PEDIR YA", C404&lt;I404,"EN CAMINO OK", TRUE,"SANO")</f>
        <v>PEDIR YA</v>
      </c>
    </row>
    <row r="405" spans="1:12" x14ac:dyDescent="0.45">
      <c r="A405" t="s">
        <v>1121</v>
      </c>
      <c r="B405" t="s">
        <v>1130</v>
      </c>
      <c r="C405">
        <v>4915</v>
      </c>
      <c r="D405">
        <v>456.1</v>
      </c>
      <c r="E405">
        <v>277.10000000000002</v>
      </c>
      <c r="F405">
        <v>1.9</v>
      </c>
      <c r="G405">
        <v>0.4</v>
      </c>
      <c r="H405">
        <f t="shared" si="18"/>
        <v>698.42910127191863</v>
      </c>
      <c r="I405">
        <f t="shared" si="19"/>
        <v>1565.0191012719188</v>
      </c>
      <c r="J405">
        <f>SUMIFS(Transit_Clean[Quantity], Transit_Clean[Destination], A405, Transit_Clean[Item_Code], B405, Transit_Clean[SAP_Status], "In Transit")</f>
        <v>1594</v>
      </c>
      <c r="K405">
        <f t="shared" si="20"/>
        <v>10.776145582109185</v>
      </c>
      <c r="L405" t="str" cm="1">
        <f t="array" ref="L405">_xlfn.IFS(C405&lt;0,"DATO INVALIDO", C405+J405&lt;I405,"PEDIR YA", C405&lt;I405,"EN CAMINO OK", TRUE,"SANO")</f>
        <v>SANO</v>
      </c>
    </row>
    <row r="406" spans="1:12" x14ac:dyDescent="0.45">
      <c r="A406" t="s">
        <v>1114</v>
      </c>
      <c r="B406" t="s">
        <v>56</v>
      </c>
      <c r="C406">
        <v>3668</v>
      </c>
      <c r="D406">
        <v>465.4</v>
      </c>
      <c r="E406">
        <v>97.1</v>
      </c>
      <c r="F406">
        <v>2.8</v>
      </c>
      <c r="G406">
        <v>1.3</v>
      </c>
      <c r="H406">
        <f t="shared" si="18"/>
        <v>1033.6545445742499</v>
      </c>
      <c r="I406">
        <f t="shared" si="19"/>
        <v>2336.7745445742498</v>
      </c>
      <c r="J406">
        <f>SUMIFS(Transit_Clean[Quantity], Transit_Clean[Destination], A406, Transit_Clean[Item_Code], B406, Transit_Clean[SAP_Status], "In Transit")</f>
        <v>2614</v>
      </c>
      <c r="K406">
        <f t="shared" si="20"/>
        <v>7.8813923506660943</v>
      </c>
      <c r="L406" t="str" cm="1">
        <f t="array" ref="L406">_xlfn.IFS(C406&lt;0,"DATO INVALIDO", C406+J406&lt;I406,"PEDIR YA", C406&lt;I406,"EN CAMINO OK", TRUE,"SANO")</f>
        <v>SANO</v>
      </c>
    </row>
    <row r="407" spans="1:12" x14ac:dyDescent="0.45">
      <c r="A407" t="s">
        <v>1114</v>
      </c>
      <c r="B407" t="s">
        <v>110</v>
      </c>
      <c r="C407">
        <v>4889</v>
      </c>
      <c r="D407">
        <v>326.8</v>
      </c>
      <c r="E407">
        <v>130.80000000000001</v>
      </c>
      <c r="F407">
        <v>3.8</v>
      </c>
      <c r="G407">
        <v>1.3</v>
      </c>
      <c r="H407">
        <f t="shared" si="18"/>
        <v>817.54437635886165</v>
      </c>
      <c r="I407">
        <f t="shared" si="19"/>
        <v>2059.3843763588616</v>
      </c>
      <c r="J407">
        <f>SUMIFS(Transit_Clean[Quantity], Transit_Clean[Destination], A407, Transit_Clean[Item_Code], B407, Transit_Clean[SAP_Status], "In Transit")</f>
        <v>0</v>
      </c>
      <c r="K407">
        <f t="shared" si="20"/>
        <v>14.960220318237454</v>
      </c>
      <c r="L407" t="str" cm="1">
        <f t="array" ref="L407">_xlfn.IFS(C407&lt;0,"DATO INVALIDO", C407+J407&lt;I407,"PEDIR YA", C407&lt;I407,"EN CAMINO OK", TRUE,"SANO")</f>
        <v>SANO</v>
      </c>
    </row>
    <row r="408" spans="1:12" x14ac:dyDescent="0.45">
      <c r="A408" t="s">
        <v>1116</v>
      </c>
      <c r="B408" t="s">
        <v>105</v>
      </c>
      <c r="C408">
        <v>3837</v>
      </c>
      <c r="D408">
        <v>390.5</v>
      </c>
      <c r="E408">
        <v>75.900000000000006</v>
      </c>
      <c r="F408">
        <v>6.9</v>
      </c>
      <c r="G408">
        <v>1.6</v>
      </c>
      <c r="H408">
        <f t="shared" si="18"/>
        <v>1082.1341425407945</v>
      </c>
      <c r="I408">
        <f t="shared" si="19"/>
        <v>3776.5841425407948</v>
      </c>
      <c r="J408">
        <f>SUMIFS(Transit_Clean[Quantity], Transit_Clean[Destination], A408, Transit_Clean[Item_Code], B408, Transit_Clean[SAP_Status], "In Transit")</f>
        <v>1479</v>
      </c>
      <c r="K408">
        <f t="shared" si="20"/>
        <v>9.8258642765685025</v>
      </c>
      <c r="L408" t="str" cm="1">
        <f t="array" ref="L408">_xlfn.IFS(C408&lt;0,"DATO INVALIDO", C408+J408&lt;I408,"PEDIR YA", C408&lt;I408,"EN CAMINO OK", TRUE,"SANO")</f>
        <v>SANO</v>
      </c>
    </row>
    <row r="409" spans="1:12" x14ac:dyDescent="0.45">
      <c r="A409" t="s">
        <v>1117</v>
      </c>
      <c r="B409" t="s">
        <v>92</v>
      </c>
      <c r="C409">
        <v>2533</v>
      </c>
      <c r="D409">
        <v>206.2</v>
      </c>
      <c r="E409">
        <v>59.7</v>
      </c>
      <c r="F409">
        <v>1.6</v>
      </c>
      <c r="G409">
        <v>0.5</v>
      </c>
      <c r="H409">
        <f t="shared" si="18"/>
        <v>210.86557154974349</v>
      </c>
      <c r="I409">
        <f t="shared" si="19"/>
        <v>540.78557154974351</v>
      </c>
      <c r="J409">
        <f>SUMIFS(Transit_Clean[Quantity], Transit_Clean[Destination], A409, Transit_Clean[Item_Code], B409, Transit_Clean[SAP_Status], "In Transit")</f>
        <v>4053</v>
      </c>
      <c r="K409">
        <f t="shared" si="20"/>
        <v>12.284190106692533</v>
      </c>
      <c r="L409" t="str" cm="1">
        <f t="array" ref="L409">_xlfn.IFS(C409&lt;0,"DATO INVALIDO", C409+J409&lt;I409,"PEDIR YA", C409&lt;I409,"EN CAMINO OK", TRUE,"SANO")</f>
        <v>SANO</v>
      </c>
    </row>
    <row r="410" spans="1:12" x14ac:dyDescent="0.45">
      <c r="A410" t="s">
        <v>1126</v>
      </c>
      <c r="B410" t="s">
        <v>98</v>
      </c>
      <c r="C410">
        <v>6850</v>
      </c>
      <c r="D410">
        <v>688.6</v>
      </c>
      <c r="E410">
        <v>110.5</v>
      </c>
      <c r="F410">
        <v>1.1000000000000001</v>
      </c>
      <c r="G410">
        <v>0.2</v>
      </c>
      <c r="H410">
        <f t="shared" si="18"/>
        <v>296.99116961872789</v>
      </c>
      <c r="I410">
        <f t="shared" si="19"/>
        <v>1054.4511696187278</v>
      </c>
      <c r="J410">
        <f>SUMIFS(Transit_Clean[Quantity], Transit_Clean[Destination], A410, Transit_Clean[Item_Code], B410, Transit_Clean[SAP_Status], "In Transit")</f>
        <v>0</v>
      </c>
      <c r="K410">
        <f t="shared" si="20"/>
        <v>9.9477200116177755</v>
      </c>
      <c r="L410" t="str" cm="1">
        <f t="array" ref="L410">_xlfn.IFS(C410&lt;0,"DATO INVALIDO", C410+J410&lt;I410,"PEDIR YA", C410&lt;I410,"EN CAMINO OK", TRUE,"SANO")</f>
        <v>SANO</v>
      </c>
    </row>
    <row r="411" spans="1:12" x14ac:dyDescent="0.45">
      <c r="A411" t="s">
        <v>1117</v>
      </c>
      <c r="B411" t="s">
        <v>89</v>
      </c>
      <c r="C411">
        <v>4401</v>
      </c>
      <c r="D411">
        <v>642.20000000000005</v>
      </c>
      <c r="E411">
        <v>124.2</v>
      </c>
      <c r="F411">
        <v>1.2</v>
      </c>
      <c r="G411">
        <v>0.5</v>
      </c>
      <c r="H411">
        <f t="shared" si="18"/>
        <v>575.41246085308239</v>
      </c>
      <c r="I411">
        <f t="shared" si="19"/>
        <v>1346.0524608530823</v>
      </c>
      <c r="J411">
        <f>SUMIFS(Transit_Clean[Quantity], Transit_Clean[Destination], A411, Transit_Clean[Item_Code], B411, Transit_Clean[SAP_Status], "In Transit")</f>
        <v>1524</v>
      </c>
      <c r="K411">
        <f t="shared" si="20"/>
        <v>6.8530052943008402</v>
      </c>
      <c r="L411" t="str" cm="1">
        <f t="array" ref="L411">_xlfn.IFS(C411&lt;0,"DATO INVALIDO", C411+J411&lt;I411,"PEDIR YA", C411&lt;I411,"EN CAMINO OK", TRUE,"SANO")</f>
        <v>SANO</v>
      </c>
    </row>
    <row r="412" spans="1:12" x14ac:dyDescent="0.45">
      <c r="A412" t="s">
        <v>1114</v>
      </c>
      <c r="B412" t="s">
        <v>87</v>
      </c>
      <c r="C412">
        <v>5217</v>
      </c>
      <c r="D412">
        <v>326.10000000000002</v>
      </c>
      <c r="E412">
        <v>46.6</v>
      </c>
      <c r="F412">
        <v>2.6</v>
      </c>
      <c r="G412">
        <v>1.3</v>
      </c>
      <c r="H412">
        <f t="shared" si="18"/>
        <v>710.38718541387698</v>
      </c>
      <c r="I412">
        <f t="shared" si="19"/>
        <v>1558.2471854138771</v>
      </c>
      <c r="J412">
        <f>SUMIFS(Transit_Clean[Quantity], Transit_Clean[Destination], A412, Transit_Clean[Item_Code], B412, Transit_Clean[SAP_Status], "In Transit")</f>
        <v>1289</v>
      </c>
      <c r="K412">
        <f t="shared" si="20"/>
        <v>15.998160073597054</v>
      </c>
      <c r="L412" t="str" cm="1">
        <f t="array" ref="L412">_xlfn.IFS(C412&lt;0,"DATO INVALIDO", C412+J412&lt;I412,"PEDIR YA", C412&lt;I412,"EN CAMINO OK", TRUE,"SANO")</f>
        <v>SANO</v>
      </c>
    </row>
    <row r="413" spans="1:12" x14ac:dyDescent="0.45">
      <c r="A413" t="s">
        <v>1125</v>
      </c>
      <c r="B413" t="s">
        <v>33</v>
      </c>
      <c r="C413">
        <v>3780</v>
      </c>
      <c r="D413">
        <v>440.8</v>
      </c>
      <c r="E413">
        <v>67.5</v>
      </c>
      <c r="F413">
        <v>4</v>
      </c>
      <c r="G413">
        <v>1.2</v>
      </c>
      <c r="H413">
        <f t="shared" si="18"/>
        <v>900.76049711119106</v>
      </c>
      <c r="I413">
        <f t="shared" si="19"/>
        <v>2663.9604971111912</v>
      </c>
      <c r="J413">
        <f>SUMIFS(Transit_Clean[Quantity], Transit_Clean[Destination], A413, Transit_Clean[Item_Code], B413, Transit_Clean[SAP_Status], "In Transit")</f>
        <v>0</v>
      </c>
      <c r="K413">
        <f t="shared" si="20"/>
        <v>8.5753176043557158</v>
      </c>
      <c r="L413" t="str" cm="1">
        <f t="array" ref="L413">_xlfn.IFS(C413&lt;0,"DATO INVALIDO", C413+J413&lt;I413,"PEDIR YA", C413&lt;I413,"EN CAMINO OK", TRUE,"SANO")</f>
        <v>SANO</v>
      </c>
    </row>
    <row r="414" spans="1:12" x14ac:dyDescent="0.45">
      <c r="A414" t="s">
        <v>1118</v>
      </c>
      <c r="B414" t="s">
        <v>48</v>
      </c>
      <c r="C414">
        <v>5505</v>
      </c>
      <c r="D414">
        <v>472.3</v>
      </c>
      <c r="E414">
        <v>140.19999999999999</v>
      </c>
      <c r="F414">
        <v>6</v>
      </c>
      <c r="G414">
        <v>1.5</v>
      </c>
      <c r="H414">
        <f t="shared" si="18"/>
        <v>1299.0411778331932</v>
      </c>
      <c r="I414">
        <f t="shared" si="19"/>
        <v>4132.8411778331938</v>
      </c>
      <c r="J414">
        <f>SUMIFS(Transit_Clean[Quantity], Transit_Clean[Destination], A414, Transit_Clean[Item_Code], B414, Transit_Clean[SAP_Status], "In Transit")</f>
        <v>1794</v>
      </c>
      <c r="K414">
        <f t="shared" si="20"/>
        <v>11.655727291975438</v>
      </c>
      <c r="L414" t="str" cm="1">
        <f t="array" ref="L414">_xlfn.IFS(C414&lt;0,"DATO INVALIDO", C414+J414&lt;I414,"PEDIR YA", C414&lt;I414,"EN CAMINO OK", TRUE,"SANO")</f>
        <v>SANO</v>
      </c>
    </row>
    <row r="415" spans="1:12" x14ac:dyDescent="0.45">
      <c r="A415" t="s">
        <v>1114</v>
      </c>
      <c r="B415" t="s">
        <v>72</v>
      </c>
      <c r="C415">
        <v>2322</v>
      </c>
      <c r="D415">
        <v>261.39999999999998</v>
      </c>
      <c r="E415">
        <v>35.700000000000003</v>
      </c>
      <c r="F415">
        <v>2.8</v>
      </c>
      <c r="G415">
        <v>1.3</v>
      </c>
      <c r="H415">
        <f t="shared" si="18"/>
        <v>569.30070391577772</v>
      </c>
      <c r="I415">
        <f t="shared" si="19"/>
        <v>1301.2207039157774</v>
      </c>
      <c r="J415">
        <f>SUMIFS(Transit_Clean[Quantity], Transit_Clean[Destination], A415, Transit_Clean[Item_Code], B415, Transit_Clean[SAP_Status], "In Transit")</f>
        <v>3359</v>
      </c>
      <c r="K415">
        <f t="shared" si="20"/>
        <v>8.8829380260137736</v>
      </c>
      <c r="L415" t="str" cm="1">
        <f t="array" ref="L415">_xlfn.IFS(C415&lt;0,"DATO INVALIDO", C415+J415&lt;I415,"PEDIR YA", C415&lt;I415,"EN CAMINO OK", TRUE,"SANO")</f>
        <v>SANO</v>
      </c>
    </row>
    <row r="416" spans="1:12" x14ac:dyDescent="0.45">
      <c r="A416" t="s">
        <v>1120</v>
      </c>
      <c r="B416" t="s">
        <v>56</v>
      </c>
      <c r="C416">
        <v>3756</v>
      </c>
      <c r="D416">
        <v>332</v>
      </c>
      <c r="E416">
        <v>61.8</v>
      </c>
      <c r="F416">
        <v>0.8</v>
      </c>
      <c r="G416">
        <v>0.5</v>
      </c>
      <c r="H416">
        <f t="shared" si="18"/>
        <v>288.6858408720455</v>
      </c>
      <c r="I416">
        <f t="shared" si="19"/>
        <v>554.28584087204558</v>
      </c>
      <c r="J416">
        <f>SUMIFS(Transit_Clean[Quantity], Transit_Clean[Destination], A416, Transit_Clean[Item_Code], B416, Transit_Clean[SAP_Status], "In Transit")</f>
        <v>595</v>
      </c>
      <c r="K416">
        <f t="shared" si="20"/>
        <v>11.313253012048193</v>
      </c>
      <c r="L416" t="str" cm="1">
        <f t="array" ref="L416">_xlfn.IFS(C416&lt;0,"DATO INVALIDO", C416+J416&lt;I416,"PEDIR YA", C416&lt;I416,"EN CAMINO OK", TRUE,"SANO")</f>
        <v>SANO</v>
      </c>
    </row>
    <row r="417" spans="1:12" x14ac:dyDescent="0.45">
      <c r="A417" t="s">
        <v>1126</v>
      </c>
      <c r="B417" t="s">
        <v>102</v>
      </c>
      <c r="C417">
        <v>931</v>
      </c>
      <c r="E417">
        <v>34.200000000000003</v>
      </c>
      <c r="F417">
        <v>1</v>
      </c>
      <c r="G417">
        <v>0.2</v>
      </c>
      <c r="H417">
        <f t="shared" si="18"/>
        <v>56.43</v>
      </c>
      <c r="I417">
        <f t="shared" si="19"/>
        <v>56.43</v>
      </c>
      <c r="J417">
        <f>SUMIFS(Transit_Clean[Quantity], Transit_Clean[Destination], A417, Transit_Clean[Item_Code], B417, Transit_Clean[SAP_Status], "In Transit")</f>
        <v>0</v>
      </c>
      <c r="K417" t="str">
        <f t="shared" si="20"/>
        <v/>
      </c>
      <c r="L417" t="str" cm="1">
        <f t="array" ref="L417">_xlfn.IFS(C417&lt;0,"DATO INVALIDO", C417+J417&lt;I417,"PEDIR YA", C417&lt;I417,"EN CAMINO OK", TRUE,"SANO")</f>
        <v>SANO</v>
      </c>
    </row>
    <row r="418" spans="1:12" x14ac:dyDescent="0.45">
      <c r="A418" t="s">
        <v>1122</v>
      </c>
      <c r="B418" t="s">
        <v>92</v>
      </c>
      <c r="C418">
        <v>1971</v>
      </c>
      <c r="D418">
        <v>399.4</v>
      </c>
      <c r="E418">
        <v>126.5</v>
      </c>
      <c r="F418">
        <v>1</v>
      </c>
      <c r="G418">
        <v>0.2</v>
      </c>
      <c r="H418">
        <f t="shared" si="18"/>
        <v>246.8560163921471</v>
      </c>
      <c r="I418">
        <f t="shared" si="19"/>
        <v>646.2560163921471</v>
      </c>
      <c r="J418">
        <f>SUMIFS(Transit_Clean[Quantity], Transit_Clean[Destination], A418, Transit_Clean[Item_Code], B418, Transit_Clean[SAP_Status], "In Transit")</f>
        <v>0</v>
      </c>
      <c r="K418">
        <f t="shared" si="20"/>
        <v>4.9349023535302958</v>
      </c>
      <c r="L418" t="str" cm="1">
        <f t="array" ref="L418">_xlfn.IFS(C418&lt;0,"DATO INVALIDO", C418+J418&lt;I418,"PEDIR YA", C418&lt;I418,"EN CAMINO OK", TRUE,"SANO")</f>
        <v>SANO</v>
      </c>
    </row>
    <row r="419" spans="1:12" x14ac:dyDescent="0.45">
      <c r="A419" t="s">
        <v>1115</v>
      </c>
      <c r="B419" t="s">
        <v>66</v>
      </c>
      <c r="C419">
        <v>5724</v>
      </c>
      <c r="D419">
        <v>519.9</v>
      </c>
      <c r="E419">
        <v>60.4</v>
      </c>
      <c r="F419">
        <v>2.8</v>
      </c>
      <c r="G419">
        <v>0.6</v>
      </c>
      <c r="H419">
        <f t="shared" si="18"/>
        <v>541.04255200584726</v>
      </c>
      <c r="I419">
        <f t="shared" si="19"/>
        <v>1996.7625520058471</v>
      </c>
      <c r="J419">
        <f>SUMIFS(Transit_Clean[Quantity], Transit_Clean[Destination], A419, Transit_Clean[Item_Code], B419, Transit_Clean[SAP_Status], "In Transit")</f>
        <v>0</v>
      </c>
      <c r="K419">
        <f t="shared" si="20"/>
        <v>11.009809578765148</v>
      </c>
      <c r="L419" t="str" cm="1">
        <f t="array" ref="L419">_xlfn.IFS(C419&lt;0,"DATO INVALIDO", C419+J419&lt;I419,"PEDIR YA", C419&lt;I419,"EN CAMINO OK", TRUE,"SANO")</f>
        <v>SANO</v>
      </c>
    </row>
    <row r="420" spans="1:12" x14ac:dyDescent="0.45">
      <c r="A420" t="s">
        <v>1126</v>
      </c>
      <c r="B420" t="s">
        <v>1138</v>
      </c>
      <c r="C420">
        <v>19378</v>
      </c>
      <c r="D420">
        <v>1098.5999999999999</v>
      </c>
      <c r="E420">
        <v>247.7</v>
      </c>
      <c r="F420">
        <v>0.9</v>
      </c>
      <c r="G420">
        <v>0.2</v>
      </c>
      <c r="H420">
        <f t="shared" si="18"/>
        <v>530.81974413778164</v>
      </c>
      <c r="I420">
        <f t="shared" si="19"/>
        <v>1519.5597441377815</v>
      </c>
      <c r="J420">
        <f>SUMIFS(Transit_Clean[Quantity], Transit_Clean[Destination], A420, Transit_Clean[Item_Code], B420, Transit_Clean[SAP_Status], "In Transit")</f>
        <v>0</v>
      </c>
      <c r="K420">
        <f t="shared" si="20"/>
        <v>17.63881303477153</v>
      </c>
      <c r="L420" t="str" cm="1">
        <f t="array" ref="L420">_xlfn.IFS(C420&lt;0,"DATO INVALIDO", C420+J420&lt;I420,"PEDIR YA", C420&lt;I420,"EN CAMINO OK", TRUE,"SANO")</f>
        <v>SANO</v>
      </c>
    </row>
    <row r="421" spans="1:12" x14ac:dyDescent="0.45">
      <c r="A421" t="s">
        <v>1117</v>
      </c>
      <c r="B421" t="s">
        <v>49</v>
      </c>
      <c r="D421">
        <v>425.8</v>
      </c>
      <c r="E421">
        <v>80</v>
      </c>
      <c r="F421">
        <v>1.9</v>
      </c>
      <c r="G421">
        <v>0.5</v>
      </c>
      <c r="H421">
        <f t="shared" si="18"/>
        <v>395.60934168065342</v>
      </c>
      <c r="I421">
        <f t="shared" si="19"/>
        <v>1204.6293416806534</v>
      </c>
      <c r="J421">
        <f>SUMIFS(Transit_Clean[Quantity], Transit_Clean[Destination], A421, Transit_Clean[Item_Code], B421, Transit_Clean[SAP_Status], "In Transit")</f>
        <v>997</v>
      </c>
      <c r="K421">
        <f t="shared" si="20"/>
        <v>0</v>
      </c>
      <c r="L421" t="str" cm="1">
        <f t="array" ref="L421">_xlfn.IFS(C421&lt;0,"DATO INVALIDO", C421+J421&lt;I421,"PEDIR YA", C421&lt;I421,"EN CAMINO OK", TRUE,"SANO")</f>
        <v>PEDIR YA</v>
      </c>
    </row>
    <row r="422" spans="1:12" x14ac:dyDescent="0.45">
      <c r="A422" t="s">
        <v>1126</v>
      </c>
      <c r="B422" t="s">
        <v>1140</v>
      </c>
      <c r="C422">
        <v>2547</v>
      </c>
      <c r="D422">
        <v>252.3</v>
      </c>
      <c r="E422">
        <v>32.6</v>
      </c>
      <c r="F422">
        <v>0.9</v>
      </c>
      <c r="G422">
        <v>0.2</v>
      </c>
      <c r="H422">
        <f t="shared" si="18"/>
        <v>97.652899450041943</v>
      </c>
      <c r="I422">
        <f t="shared" si="19"/>
        <v>324.72289945004195</v>
      </c>
      <c r="J422">
        <f>SUMIFS(Transit_Clean[Quantity], Transit_Clean[Destination], A422, Transit_Clean[Item_Code], B422, Transit_Clean[SAP_Status], "In Transit")</f>
        <v>2783</v>
      </c>
      <c r="K422">
        <f t="shared" si="20"/>
        <v>10.095124851367419</v>
      </c>
      <c r="L422" t="str" cm="1">
        <f t="array" ref="L422">_xlfn.IFS(C422&lt;0,"DATO INVALIDO", C422+J422&lt;I422,"PEDIR YA", C422&lt;I422,"EN CAMINO OK", TRUE,"SANO")</f>
        <v>SANO</v>
      </c>
    </row>
    <row r="423" spans="1:12" x14ac:dyDescent="0.45">
      <c r="A423" t="s">
        <v>1119</v>
      </c>
      <c r="B423" t="s">
        <v>108</v>
      </c>
      <c r="C423">
        <v>736</v>
      </c>
      <c r="D423">
        <v>265.60000000000002</v>
      </c>
      <c r="E423">
        <v>53.1</v>
      </c>
      <c r="F423">
        <v>4.5999999999999996</v>
      </c>
      <c r="G423">
        <v>1</v>
      </c>
      <c r="H423">
        <f t="shared" si="18"/>
        <v>476.82877790146011</v>
      </c>
      <c r="I423">
        <f t="shared" si="19"/>
        <v>1698.5887779014602</v>
      </c>
      <c r="J423">
        <f>SUMIFS(Transit_Clean[Quantity], Transit_Clean[Destination], A423, Transit_Clean[Item_Code], B423, Transit_Clean[SAP_Status], "In Transit")</f>
        <v>0</v>
      </c>
      <c r="K423">
        <f t="shared" si="20"/>
        <v>2.7710843373493974</v>
      </c>
      <c r="L423" t="str" cm="1">
        <f t="array" ref="L423">_xlfn.IFS(C423&lt;0,"DATO INVALIDO", C423+J423&lt;I423,"PEDIR YA", C423&lt;I423,"EN CAMINO OK", TRUE,"SANO")</f>
        <v>PEDIR YA</v>
      </c>
    </row>
    <row r="424" spans="1:12" x14ac:dyDescent="0.45">
      <c r="A424" t="s">
        <v>1126</v>
      </c>
      <c r="B424" t="s">
        <v>85</v>
      </c>
      <c r="C424">
        <v>1943</v>
      </c>
      <c r="D424">
        <v>285.8</v>
      </c>
      <c r="E424">
        <v>118.8</v>
      </c>
      <c r="F424">
        <v>1</v>
      </c>
      <c r="G424">
        <v>0.2</v>
      </c>
      <c r="H424">
        <f t="shared" si="18"/>
        <v>217.52924170327077</v>
      </c>
      <c r="I424">
        <f t="shared" si="19"/>
        <v>503.32924170327078</v>
      </c>
      <c r="J424">
        <f>SUMIFS(Transit_Clean[Quantity], Transit_Clean[Destination], A424, Transit_Clean[Item_Code], B424, Transit_Clean[SAP_Status], "In Transit")</f>
        <v>2898</v>
      </c>
      <c r="K424">
        <f t="shared" si="20"/>
        <v>6.798460461861441</v>
      </c>
      <c r="L424" t="str" cm="1">
        <f t="array" ref="L424">_xlfn.IFS(C424&lt;0,"DATO INVALIDO", C424+J424&lt;I424,"PEDIR YA", C424&lt;I424,"EN CAMINO OK", TRUE,"SANO")</f>
        <v>SANO</v>
      </c>
    </row>
    <row r="425" spans="1:12" x14ac:dyDescent="0.45">
      <c r="A425" t="s">
        <v>1119</v>
      </c>
      <c r="B425" t="s">
        <v>43</v>
      </c>
      <c r="C425">
        <v>7085</v>
      </c>
      <c r="D425">
        <v>507.2</v>
      </c>
      <c r="E425">
        <v>352</v>
      </c>
      <c r="F425">
        <v>4.5</v>
      </c>
      <c r="G425">
        <v>1</v>
      </c>
      <c r="H425">
        <f t="shared" si="18"/>
        <v>1489.4116336325562</v>
      </c>
      <c r="I425">
        <f t="shared" si="19"/>
        <v>3771.8116336325565</v>
      </c>
      <c r="J425">
        <f>SUMIFS(Transit_Clean[Quantity], Transit_Clean[Destination], A425, Transit_Clean[Item_Code], B425, Transit_Clean[SAP_Status], "In Transit")</f>
        <v>0</v>
      </c>
      <c r="K425">
        <f t="shared" si="20"/>
        <v>13.968848580441641</v>
      </c>
      <c r="L425" t="str" cm="1">
        <f t="array" ref="L425">_xlfn.IFS(C425&lt;0,"DATO INVALIDO", C425+J425&lt;I425,"PEDIR YA", C425&lt;I425,"EN CAMINO OK", TRUE,"SANO")</f>
        <v>SANO</v>
      </c>
    </row>
    <row r="426" spans="1:12" x14ac:dyDescent="0.45">
      <c r="A426" t="s">
        <v>1128</v>
      </c>
      <c r="B426" t="s">
        <v>25</v>
      </c>
      <c r="C426">
        <v>2226</v>
      </c>
      <c r="D426">
        <v>224.1</v>
      </c>
      <c r="E426">
        <v>88.4</v>
      </c>
      <c r="F426">
        <v>2.1</v>
      </c>
      <c r="G426">
        <v>0.5</v>
      </c>
      <c r="H426">
        <f t="shared" si="18"/>
        <v>280.81903775607879</v>
      </c>
      <c r="I426">
        <f t="shared" si="19"/>
        <v>751.42903775607874</v>
      </c>
      <c r="J426">
        <f>SUMIFS(Transit_Clean[Quantity], Transit_Clean[Destination], A426, Transit_Clean[Item_Code], B426, Transit_Clean[SAP_Status], "In Transit")</f>
        <v>1016</v>
      </c>
      <c r="K426">
        <f t="shared" si="20"/>
        <v>9.9330655957161991</v>
      </c>
      <c r="L426" t="str" cm="1">
        <f t="array" ref="L426">_xlfn.IFS(C426&lt;0,"DATO INVALIDO", C426+J426&lt;I426,"PEDIR YA", C426&lt;I426,"EN CAMINO OK", TRUE,"SANO")</f>
        <v>SANO</v>
      </c>
    </row>
    <row r="427" spans="1:12" x14ac:dyDescent="0.45">
      <c r="A427" t="s">
        <v>1128</v>
      </c>
      <c r="B427" t="s">
        <v>56</v>
      </c>
      <c r="C427">
        <v>5167</v>
      </c>
      <c r="D427">
        <v>401.4</v>
      </c>
      <c r="E427">
        <v>62.7</v>
      </c>
      <c r="F427">
        <v>1</v>
      </c>
      <c r="G427">
        <v>0.5</v>
      </c>
      <c r="H427">
        <f t="shared" si="18"/>
        <v>346.93885779773933</v>
      </c>
      <c r="I427">
        <f t="shared" si="19"/>
        <v>748.33885779773937</v>
      </c>
      <c r="J427">
        <f>SUMIFS(Transit_Clean[Quantity], Transit_Clean[Destination], A427, Transit_Clean[Item_Code], B427, Transit_Clean[SAP_Status], "In Transit")</f>
        <v>2050</v>
      </c>
      <c r="K427">
        <f t="shared" si="20"/>
        <v>12.872446437468859</v>
      </c>
      <c r="L427" t="str" cm="1">
        <f t="array" ref="L427">_xlfn.IFS(C427&lt;0,"DATO INVALIDO", C427+J427&lt;I427,"PEDIR YA", C427&lt;I427,"EN CAMINO OK", TRUE,"SANO")</f>
        <v>SANO</v>
      </c>
    </row>
    <row r="428" spans="1:12" x14ac:dyDescent="0.45">
      <c r="A428" t="s">
        <v>1121</v>
      </c>
      <c r="B428" t="s">
        <v>75</v>
      </c>
      <c r="C428">
        <v>6609</v>
      </c>
      <c r="D428">
        <v>567.29999999999995</v>
      </c>
      <c r="E428">
        <v>75.099999999999994</v>
      </c>
      <c r="F428">
        <v>2.4</v>
      </c>
      <c r="G428">
        <v>0.4</v>
      </c>
      <c r="H428">
        <f t="shared" si="18"/>
        <v>420.76200406405519</v>
      </c>
      <c r="I428">
        <f t="shared" si="19"/>
        <v>1782.2820040640549</v>
      </c>
      <c r="J428">
        <f>SUMIFS(Transit_Clean[Quantity], Transit_Clean[Destination], A428, Transit_Clean[Item_Code], B428, Transit_Clean[SAP_Status], "In Transit")</f>
        <v>0</v>
      </c>
      <c r="K428">
        <f t="shared" si="20"/>
        <v>11.649920676890535</v>
      </c>
      <c r="L428" t="str" cm="1">
        <f t="array" ref="L428">_xlfn.IFS(C428&lt;0,"DATO INVALIDO", C428+J428&lt;I428,"PEDIR YA", C428&lt;I428,"EN CAMINO OK", TRUE,"SANO")</f>
        <v>SANO</v>
      </c>
    </row>
    <row r="429" spans="1:12" x14ac:dyDescent="0.45">
      <c r="A429" t="s">
        <v>1115</v>
      </c>
      <c r="B429" t="s">
        <v>13</v>
      </c>
      <c r="C429">
        <v>912</v>
      </c>
      <c r="D429">
        <v>328.8</v>
      </c>
      <c r="E429">
        <v>122.7</v>
      </c>
      <c r="F429">
        <v>2.4</v>
      </c>
      <c r="G429">
        <v>0.6</v>
      </c>
      <c r="H429">
        <f t="shared" si="18"/>
        <v>452.02801572911386</v>
      </c>
      <c r="I429">
        <f t="shared" si="19"/>
        <v>1241.1480157291139</v>
      </c>
      <c r="J429">
        <f>SUMIFS(Transit_Clean[Quantity], Transit_Clean[Destination], A429, Transit_Clean[Item_Code], B429, Transit_Clean[SAP_Status], "In Transit")</f>
        <v>0</v>
      </c>
      <c r="K429">
        <f t="shared" si="20"/>
        <v>2.773722627737226</v>
      </c>
      <c r="L429" t="str" cm="1">
        <f t="array" ref="L429">_xlfn.IFS(C429&lt;0,"DATO INVALIDO", C429+J429&lt;I429,"PEDIR YA", C429&lt;I429,"EN CAMINO OK", TRUE,"SANO")</f>
        <v>PEDIR YA</v>
      </c>
    </row>
    <row r="430" spans="1:12" x14ac:dyDescent="0.45">
      <c r="A430" t="s">
        <v>1125</v>
      </c>
      <c r="B430" t="s">
        <v>39</v>
      </c>
      <c r="C430">
        <v>6763</v>
      </c>
      <c r="D430">
        <v>478</v>
      </c>
      <c r="E430">
        <v>60.8</v>
      </c>
      <c r="F430">
        <v>2.9</v>
      </c>
      <c r="G430">
        <v>1.2</v>
      </c>
      <c r="H430">
        <f t="shared" si="18"/>
        <v>961.73518733589026</v>
      </c>
      <c r="I430">
        <f t="shared" si="19"/>
        <v>2347.9351873358901</v>
      </c>
      <c r="J430">
        <f>SUMIFS(Transit_Clean[Quantity], Transit_Clean[Destination], A430, Transit_Clean[Item_Code], B430, Transit_Clean[SAP_Status], "In Transit")</f>
        <v>610</v>
      </c>
      <c r="K430">
        <f t="shared" si="20"/>
        <v>14.148535564853557</v>
      </c>
      <c r="L430" t="str" cm="1">
        <f t="array" ref="L430">_xlfn.IFS(C430&lt;0,"DATO INVALIDO", C430+J430&lt;I430,"PEDIR YA", C430&lt;I430,"EN CAMINO OK", TRUE,"SANO")</f>
        <v>SANO</v>
      </c>
    </row>
    <row r="431" spans="1:12" x14ac:dyDescent="0.45">
      <c r="A431" t="s">
        <v>1121</v>
      </c>
      <c r="B431" t="s">
        <v>43</v>
      </c>
      <c r="C431">
        <v>4614</v>
      </c>
      <c r="D431">
        <v>473.7</v>
      </c>
      <c r="E431">
        <v>208.4</v>
      </c>
      <c r="F431">
        <v>2.5</v>
      </c>
      <c r="G431">
        <v>0.4</v>
      </c>
      <c r="H431">
        <f t="shared" si="18"/>
        <v>627.17164250626001</v>
      </c>
      <c r="I431">
        <f t="shared" si="19"/>
        <v>1811.42164250626</v>
      </c>
      <c r="J431">
        <f>SUMIFS(Transit_Clean[Quantity], Transit_Clean[Destination], A431, Transit_Clean[Item_Code], B431, Transit_Clean[SAP_Status], "In Transit")</f>
        <v>0</v>
      </c>
      <c r="K431">
        <f t="shared" si="20"/>
        <v>9.740341988600381</v>
      </c>
      <c r="L431" t="str" cm="1">
        <f t="array" ref="L431">_xlfn.IFS(C431&lt;0,"DATO INVALIDO", C431+J431&lt;I431,"PEDIR YA", C431&lt;I431,"EN CAMINO OK", TRUE,"SANO")</f>
        <v>SANO</v>
      </c>
    </row>
    <row r="432" spans="1:12" x14ac:dyDescent="0.45">
      <c r="A432" t="s">
        <v>1126</v>
      </c>
      <c r="B432" t="s">
        <v>36</v>
      </c>
      <c r="C432">
        <v>4012</v>
      </c>
      <c r="D432">
        <v>253.6</v>
      </c>
      <c r="E432">
        <v>106.6</v>
      </c>
      <c r="F432">
        <v>1.2</v>
      </c>
      <c r="G432">
        <v>0.2</v>
      </c>
      <c r="H432">
        <f t="shared" si="18"/>
        <v>210.06768400684575</v>
      </c>
      <c r="I432">
        <f t="shared" si="19"/>
        <v>514.3876840068458</v>
      </c>
      <c r="J432">
        <f>SUMIFS(Transit_Clean[Quantity], Transit_Clean[Destination], A432, Transit_Clean[Item_Code], B432, Transit_Clean[SAP_Status], "In Transit")</f>
        <v>2211</v>
      </c>
      <c r="K432">
        <f t="shared" si="20"/>
        <v>15.82018927444795</v>
      </c>
      <c r="L432" t="str" cm="1">
        <f t="array" ref="L432">_xlfn.IFS(C432&lt;0,"DATO INVALIDO", C432+J432&lt;I432,"PEDIR YA", C432&lt;I432,"EN CAMINO OK", TRUE,"SANO")</f>
        <v>SANO</v>
      </c>
    </row>
    <row r="433" spans="1:12" x14ac:dyDescent="0.45">
      <c r="A433" t="s">
        <v>1116</v>
      </c>
      <c r="B433" t="s">
        <v>33</v>
      </c>
      <c r="C433">
        <v>2307</v>
      </c>
      <c r="D433">
        <v>175.2</v>
      </c>
      <c r="E433">
        <v>22.8</v>
      </c>
      <c r="F433">
        <v>5.6</v>
      </c>
      <c r="G433">
        <v>1.6</v>
      </c>
      <c r="H433">
        <f t="shared" si="18"/>
        <v>471.01765510859576</v>
      </c>
      <c r="I433">
        <f t="shared" si="19"/>
        <v>1452.1376551085957</v>
      </c>
      <c r="J433">
        <f>SUMIFS(Transit_Clean[Quantity], Transit_Clean[Destination], A433, Transit_Clean[Item_Code], B433, Transit_Clean[SAP_Status], "In Transit")</f>
        <v>0</v>
      </c>
      <c r="K433">
        <f t="shared" si="20"/>
        <v>13.167808219178083</v>
      </c>
      <c r="L433" t="str" cm="1">
        <f t="array" ref="L433">_xlfn.IFS(C433&lt;0,"DATO INVALIDO", C433+J433&lt;I433,"PEDIR YA", C433&lt;I433,"EN CAMINO OK", TRUE,"SANO")</f>
        <v>SANO</v>
      </c>
    </row>
    <row r="434" spans="1:12" x14ac:dyDescent="0.45">
      <c r="A434" t="s">
        <v>1115</v>
      </c>
      <c r="B434" t="s">
        <v>67</v>
      </c>
      <c r="C434">
        <v>3385</v>
      </c>
      <c r="D434">
        <v>355.2</v>
      </c>
      <c r="E434">
        <v>119.3</v>
      </c>
      <c r="F434">
        <v>2</v>
      </c>
      <c r="G434">
        <v>0.6</v>
      </c>
      <c r="H434">
        <f t="shared" si="18"/>
        <v>448.49997096320976</v>
      </c>
      <c r="I434">
        <f t="shared" si="19"/>
        <v>1158.8999709632099</v>
      </c>
      <c r="J434">
        <f>SUMIFS(Transit_Clean[Quantity], Transit_Clean[Destination], A434, Transit_Clean[Item_Code], B434, Transit_Clean[SAP_Status], "In Transit")</f>
        <v>2461</v>
      </c>
      <c r="K434">
        <f t="shared" si="20"/>
        <v>9.5298423423423433</v>
      </c>
      <c r="L434" t="str" cm="1">
        <f t="array" ref="L434">_xlfn.IFS(C434&lt;0,"DATO INVALIDO", C434+J434&lt;I434,"PEDIR YA", C434&lt;I434,"EN CAMINO OK", TRUE,"SANO")</f>
        <v>SANO</v>
      </c>
    </row>
    <row r="435" spans="1:12" x14ac:dyDescent="0.45">
      <c r="A435" t="s">
        <v>1114</v>
      </c>
      <c r="B435" t="s">
        <v>35</v>
      </c>
      <c r="C435">
        <v>1967</v>
      </c>
      <c r="D435">
        <v>415.7</v>
      </c>
      <c r="E435">
        <v>60.5</v>
      </c>
      <c r="F435">
        <v>3</v>
      </c>
      <c r="G435">
        <v>1.3</v>
      </c>
      <c r="H435">
        <f t="shared" si="18"/>
        <v>908.28523742668517</v>
      </c>
      <c r="I435">
        <f t="shared" si="19"/>
        <v>2155.3852374266853</v>
      </c>
      <c r="J435">
        <f>SUMIFS(Transit_Clean[Quantity], Transit_Clean[Destination], A435, Transit_Clean[Item_Code], B435, Transit_Clean[SAP_Status], "In Transit")</f>
        <v>2212</v>
      </c>
      <c r="K435">
        <f t="shared" si="20"/>
        <v>4.7317777243204233</v>
      </c>
      <c r="L435" t="str" cm="1">
        <f t="array" ref="L435">_xlfn.IFS(C435&lt;0,"DATO INVALIDO", C435+J435&lt;I435,"PEDIR YA", C435&lt;I435,"EN CAMINO OK", TRUE,"SANO")</f>
        <v>EN CAMINO OK</v>
      </c>
    </row>
    <row r="436" spans="1:12" x14ac:dyDescent="0.45">
      <c r="A436" t="s">
        <v>1122</v>
      </c>
      <c r="B436" t="s">
        <v>78</v>
      </c>
      <c r="C436">
        <v>5676</v>
      </c>
      <c r="D436">
        <v>374.9</v>
      </c>
      <c r="E436">
        <v>156.4</v>
      </c>
      <c r="F436">
        <v>1.2</v>
      </c>
      <c r="G436">
        <v>0.2</v>
      </c>
      <c r="H436">
        <f t="shared" si="18"/>
        <v>308.57714174740812</v>
      </c>
      <c r="I436">
        <f t="shared" si="19"/>
        <v>758.45714174740806</v>
      </c>
      <c r="J436">
        <f>SUMIFS(Transit_Clean[Quantity], Transit_Clean[Destination], A436, Transit_Clean[Item_Code], B436, Transit_Clean[SAP_Status], "In Transit")</f>
        <v>0</v>
      </c>
      <c r="K436">
        <f t="shared" si="20"/>
        <v>15.140037343291546</v>
      </c>
      <c r="L436" t="str" cm="1">
        <f t="array" ref="L436">_xlfn.IFS(C436&lt;0,"DATO INVALIDO", C436+J436&lt;I436,"PEDIR YA", C436&lt;I436,"EN CAMINO OK", TRUE,"SANO")</f>
        <v>SANO</v>
      </c>
    </row>
    <row r="437" spans="1:12" x14ac:dyDescent="0.45">
      <c r="A437" t="s">
        <v>1119</v>
      </c>
      <c r="B437" t="s">
        <v>8</v>
      </c>
      <c r="C437">
        <v>9389</v>
      </c>
      <c r="D437">
        <v>869.1</v>
      </c>
      <c r="E437">
        <v>235.4</v>
      </c>
      <c r="F437">
        <v>2.1</v>
      </c>
      <c r="G437">
        <v>1</v>
      </c>
      <c r="H437">
        <f t="shared" si="18"/>
        <v>1540.522609128149</v>
      </c>
      <c r="I437">
        <f t="shared" si="19"/>
        <v>3365.6326091281489</v>
      </c>
      <c r="J437">
        <f>SUMIFS(Transit_Clean[Quantity], Transit_Clean[Destination], A437, Transit_Clean[Item_Code], B437, Transit_Clean[SAP_Status], "In Transit")</f>
        <v>2316</v>
      </c>
      <c r="K437">
        <f t="shared" si="20"/>
        <v>10.803129674375791</v>
      </c>
      <c r="L437" t="str" cm="1">
        <f t="array" ref="L437">_xlfn.IFS(C437&lt;0,"DATO INVALIDO", C437+J437&lt;I437,"PEDIR YA", C437&lt;I437,"EN CAMINO OK", TRUE,"SANO")</f>
        <v>SANO</v>
      </c>
    </row>
    <row r="438" spans="1:12" x14ac:dyDescent="0.45">
      <c r="A438" t="s">
        <v>1122</v>
      </c>
      <c r="B438" t="s">
        <v>24</v>
      </c>
      <c r="C438">
        <v>11344</v>
      </c>
      <c r="D438">
        <v>662.8</v>
      </c>
      <c r="E438">
        <v>114.8</v>
      </c>
      <c r="F438">
        <v>0.7</v>
      </c>
      <c r="G438">
        <v>0.2</v>
      </c>
      <c r="H438">
        <f t="shared" si="18"/>
        <v>270.10394972306494</v>
      </c>
      <c r="I438">
        <f t="shared" si="19"/>
        <v>734.06394972306487</v>
      </c>
      <c r="J438">
        <f>SUMIFS(Transit_Clean[Quantity], Transit_Clean[Destination], A438, Transit_Clean[Item_Code], B438, Transit_Clean[SAP_Status], "In Transit")</f>
        <v>0</v>
      </c>
      <c r="K438">
        <f t="shared" si="20"/>
        <v>17.11526855763428</v>
      </c>
      <c r="L438" t="str" cm="1">
        <f t="array" ref="L438">_xlfn.IFS(C438&lt;0,"DATO INVALIDO", C438+J438&lt;I438,"PEDIR YA", C438&lt;I438,"EN CAMINO OK", TRUE,"SANO")</f>
        <v>SANO</v>
      </c>
    </row>
    <row r="439" spans="1:12" x14ac:dyDescent="0.45">
      <c r="A439" t="s">
        <v>1121</v>
      </c>
      <c r="B439" t="s">
        <v>47</v>
      </c>
      <c r="C439">
        <v>3070</v>
      </c>
      <c r="E439">
        <v>26.7</v>
      </c>
      <c r="F439">
        <v>1.6</v>
      </c>
      <c r="G439">
        <v>0.4</v>
      </c>
      <c r="H439">
        <f t="shared" si="18"/>
        <v>55.725656927487172</v>
      </c>
      <c r="I439">
        <f t="shared" si="19"/>
        <v>55.725656927487172</v>
      </c>
      <c r="J439">
        <f>SUMIFS(Transit_Clean[Quantity], Transit_Clean[Destination], A439, Transit_Clean[Item_Code], B439, Transit_Clean[SAP_Status], "In Transit")</f>
        <v>0</v>
      </c>
      <c r="K439" t="str">
        <f t="shared" si="20"/>
        <v/>
      </c>
      <c r="L439" t="str" cm="1">
        <f t="array" ref="L439">_xlfn.IFS(C439&lt;0,"DATO INVALIDO", C439+J439&lt;I439,"PEDIR YA", C439&lt;I439,"EN CAMINO OK", TRUE,"SANO")</f>
        <v>SANO</v>
      </c>
    </row>
    <row r="440" spans="1:12" x14ac:dyDescent="0.45">
      <c r="A440" t="s">
        <v>1117</v>
      </c>
      <c r="B440" t="s">
        <v>78</v>
      </c>
      <c r="C440">
        <v>3045</v>
      </c>
      <c r="D440">
        <v>202.6</v>
      </c>
      <c r="E440">
        <v>74.8</v>
      </c>
      <c r="F440">
        <v>1.4</v>
      </c>
      <c r="G440">
        <v>0.5</v>
      </c>
      <c r="H440">
        <f t="shared" si="18"/>
        <v>221.9525759818975</v>
      </c>
      <c r="I440">
        <f t="shared" si="19"/>
        <v>505.59257598189748</v>
      </c>
      <c r="J440">
        <f>SUMIFS(Transit_Clean[Quantity], Transit_Clean[Destination], A440, Transit_Clean[Item_Code], B440, Transit_Clean[SAP_Status], "In Transit")</f>
        <v>0</v>
      </c>
      <c r="K440">
        <f t="shared" si="20"/>
        <v>15.029615004935835</v>
      </c>
      <c r="L440" t="str" cm="1">
        <f t="array" ref="L440">_xlfn.IFS(C440&lt;0,"DATO INVALIDO", C440+J440&lt;I440,"PEDIR YA", C440&lt;I440,"EN CAMINO OK", TRUE,"SANO")</f>
        <v>SANO</v>
      </c>
    </row>
    <row r="441" spans="1:12" x14ac:dyDescent="0.45">
      <c r="A441" t="s">
        <v>1126</v>
      </c>
      <c r="B441" t="s">
        <v>47</v>
      </c>
      <c r="C441">
        <v>4556</v>
      </c>
      <c r="D441">
        <v>324.2</v>
      </c>
      <c r="E441">
        <v>44.2</v>
      </c>
      <c r="F441">
        <v>0.5</v>
      </c>
      <c r="G441">
        <v>0.2</v>
      </c>
      <c r="H441">
        <f t="shared" si="18"/>
        <v>118.7661426754275</v>
      </c>
      <c r="I441">
        <f t="shared" si="19"/>
        <v>280.86614267542751</v>
      </c>
      <c r="J441">
        <f>SUMIFS(Transit_Clean[Quantity], Transit_Clean[Destination], A441, Transit_Clean[Item_Code], B441, Transit_Clean[SAP_Status], "In Transit")</f>
        <v>1491</v>
      </c>
      <c r="K441">
        <f t="shared" si="20"/>
        <v>14.053053670573721</v>
      </c>
      <c r="L441" t="str" cm="1">
        <f t="array" ref="L441">_xlfn.IFS(C441&lt;0,"DATO INVALIDO", C441+J441&lt;I441,"PEDIR YA", C441&lt;I441,"EN CAMINO OK", TRUE,"SANO")</f>
        <v>SANO</v>
      </c>
    </row>
    <row r="442" spans="1:12" x14ac:dyDescent="0.45">
      <c r="A442" t="s">
        <v>1123</v>
      </c>
      <c r="B442" t="s">
        <v>61</v>
      </c>
      <c r="C442">
        <v>4107</v>
      </c>
      <c r="D442">
        <v>276.5</v>
      </c>
      <c r="E442">
        <v>45</v>
      </c>
      <c r="F442">
        <v>1.1000000000000001</v>
      </c>
      <c r="G442">
        <v>0.3</v>
      </c>
      <c r="H442">
        <f t="shared" si="18"/>
        <v>157.47089034564451</v>
      </c>
      <c r="I442">
        <f t="shared" si="19"/>
        <v>461.62089034564451</v>
      </c>
      <c r="J442">
        <f>SUMIFS(Transit_Clean[Quantity], Transit_Clean[Destination], A442, Transit_Clean[Item_Code], B442, Transit_Clean[SAP_Status], "In Transit")</f>
        <v>1588</v>
      </c>
      <c r="K442">
        <f t="shared" si="20"/>
        <v>14.853526220614828</v>
      </c>
      <c r="L442" t="str" cm="1">
        <f t="array" ref="L442">_xlfn.IFS(C442&lt;0,"DATO INVALIDO", C442+J442&lt;I442,"PEDIR YA", C442&lt;I442,"EN CAMINO OK", TRUE,"SANO")</f>
        <v>SANO</v>
      </c>
    </row>
    <row r="443" spans="1:12" x14ac:dyDescent="0.45">
      <c r="A443" t="s">
        <v>1126</v>
      </c>
      <c r="B443" t="s">
        <v>10</v>
      </c>
      <c r="C443">
        <v>3576</v>
      </c>
      <c r="D443">
        <v>316</v>
      </c>
      <c r="E443">
        <v>55.5</v>
      </c>
      <c r="F443">
        <v>1.2</v>
      </c>
      <c r="G443">
        <v>0.2</v>
      </c>
      <c r="H443">
        <f t="shared" si="18"/>
        <v>144.6979445258294</v>
      </c>
      <c r="I443">
        <f t="shared" si="19"/>
        <v>523.89794452582942</v>
      </c>
      <c r="J443">
        <f>SUMIFS(Transit_Clean[Quantity], Transit_Clean[Destination], A443, Transit_Clean[Item_Code], B443, Transit_Clean[SAP_Status], "In Transit")</f>
        <v>2957</v>
      </c>
      <c r="K443">
        <f t="shared" si="20"/>
        <v>11.316455696202532</v>
      </c>
      <c r="L443" t="str" cm="1">
        <f t="array" ref="L443">_xlfn.IFS(C443&lt;0,"DATO INVALIDO", C443+J443&lt;I443,"PEDIR YA", C443&lt;I443,"EN CAMINO OK", TRUE,"SANO")</f>
        <v>SANO</v>
      </c>
    </row>
    <row r="444" spans="1:12" x14ac:dyDescent="0.45">
      <c r="A444" t="s">
        <v>1127</v>
      </c>
      <c r="B444" t="s">
        <v>47</v>
      </c>
      <c r="C444">
        <v>4648</v>
      </c>
      <c r="D444">
        <v>355</v>
      </c>
      <c r="E444">
        <v>29.9</v>
      </c>
      <c r="F444">
        <v>1.5</v>
      </c>
      <c r="G444">
        <v>0.9</v>
      </c>
      <c r="H444">
        <f t="shared" si="18"/>
        <v>530.62641657054735</v>
      </c>
      <c r="I444">
        <f t="shared" si="19"/>
        <v>1063.1264165705475</v>
      </c>
      <c r="J444">
        <f>SUMIFS(Transit_Clean[Quantity], Transit_Clean[Destination], A444, Transit_Clean[Item_Code], B444, Transit_Clean[SAP_Status], "In Transit")</f>
        <v>2645</v>
      </c>
      <c r="K444">
        <f t="shared" si="20"/>
        <v>13.092957746478874</v>
      </c>
      <c r="L444" t="str" cm="1">
        <f t="array" ref="L444">_xlfn.IFS(C444&lt;0,"DATO INVALIDO", C444+J444&lt;I444,"PEDIR YA", C444&lt;I444,"EN CAMINO OK", TRUE,"SANO")</f>
        <v>SANO</v>
      </c>
    </row>
    <row r="445" spans="1:12" x14ac:dyDescent="0.45">
      <c r="A445" t="s">
        <v>1119</v>
      </c>
      <c r="B445" t="s">
        <v>99</v>
      </c>
      <c r="C445">
        <v>6377</v>
      </c>
      <c r="D445">
        <v>996.9</v>
      </c>
      <c r="E445">
        <v>202.4</v>
      </c>
      <c r="F445">
        <v>3.7</v>
      </c>
      <c r="G445">
        <v>1</v>
      </c>
      <c r="H445">
        <f t="shared" si="18"/>
        <v>1765.872307145961</v>
      </c>
      <c r="I445">
        <f t="shared" si="19"/>
        <v>5454.4023071459615</v>
      </c>
      <c r="J445">
        <f>SUMIFS(Transit_Clean[Quantity], Transit_Clean[Destination], A445, Transit_Clean[Item_Code], B445, Transit_Clean[SAP_Status], "In Transit")</f>
        <v>3846</v>
      </c>
      <c r="K445">
        <f t="shared" si="20"/>
        <v>6.3968301735379676</v>
      </c>
      <c r="L445" t="str" cm="1">
        <f t="array" ref="L445">_xlfn.IFS(C445&lt;0,"DATO INVALIDO", C445+J445&lt;I445,"PEDIR YA", C445&lt;I445,"EN CAMINO OK", TRUE,"SANO")</f>
        <v>SANO</v>
      </c>
    </row>
    <row r="446" spans="1:12" x14ac:dyDescent="0.45">
      <c r="A446" t="s">
        <v>1118</v>
      </c>
      <c r="B446" t="s">
        <v>40</v>
      </c>
      <c r="C446">
        <v>1388</v>
      </c>
      <c r="D446">
        <v>236.4</v>
      </c>
      <c r="E446">
        <v>35.1</v>
      </c>
      <c r="F446">
        <v>5.7</v>
      </c>
      <c r="G446">
        <v>1.5</v>
      </c>
      <c r="H446">
        <f t="shared" si="18"/>
        <v>601.20624354916674</v>
      </c>
      <c r="I446">
        <f t="shared" si="19"/>
        <v>1948.6862435491666</v>
      </c>
      <c r="J446">
        <f>SUMIFS(Transit_Clean[Quantity], Transit_Clean[Destination], A446, Transit_Clean[Item_Code], B446, Transit_Clean[SAP_Status], "In Transit")</f>
        <v>0</v>
      </c>
      <c r="K446">
        <f t="shared" si="20"/>
        <v>5.8714043993231808</v>
      </c>
      <c r="L446" t="str" cm="1">
        <f t="array" ref="L446">_xlfn.IFS(C446&lt;0,"DATO INVALIDO", C446+J446&lt;I446,"PEDIR YA", C446&lt;I446,"EN CAMINO OK", TRUE,"SANO")</f>
        <v>PEDIR YA</v>
      </c>
    </row>
    <row r="447" spans="1:12" x14ac:dyDescent="0.45">
      <c r="A447" t="s">
        <v>1117</v>
      </c>
      <c r="B447" t="s">
        <v>1132</v>
      </c>
      <c r="C447">
        <v>4541</v>
      </c>
      <c r="D447">
        <v>277.5</v>
      </c>
      <c r="E447">
        <v>41</v>
      </c>
      <c r="F447">
        <v>1.6</v>
      </c>
      <c r="G447">
        <v>0.5</v>
      </c>
      <c r="H447">
        <f t="shared" si="18"/>
        <v>244.40706803660566</v>
      </c>
      <c r="I447">
        <f t="shared" si="19"/>
        <v>688.40706803660566</v>
      </c>
      <c r="J447">
        <f>SUMIFS(Transit_Clean[Quantity], Transit_Clean[Destination], A447, Transit_Clean[Item_Code], B447, Transit_Clean[SAP_Status], "In Transit")</f>
        <v>0</v>
      </c>
      <c r="K447">
        <f t="shared" si="20"/>
        <v>16.363963963963965</v>
      </c>
      <c r="L447" t="str" cm="1">
        <f t="array" ref="L447">_xlfn.IFS(C447&lt;0,"DATO INVALIDO", C447+J447&lt;I447,"PEDIR YA", C447&lt;I447,"EN CAMINO OK", TRUE,"SANO")</f>
        <v>SANO</v>
      </c>
    </row>
    <row r="448" spans="1:12" x14ac:dyDescent="0.45">
      <c r="A448" t="s">
        <v>1119</v>
      </c>
      <c r="B448" t="s">
        <v>105</v>
      </c>
      <c r="C448">
        <v>4884</v>
      </c>
      <c r="D448">
        <v>385.5</v>
      </c>
      <c r="E448">
        <v>57.4</v>
      </c>
      <c r="F448">
        <v>3.5</v>
      </c>
      <c r="G448">
        <v>1</v>
      </c>
      <c r="H448">
        <f t="shared" si="18"/>
        <v>660.29262450446925</v>
      </c>
      <c r="I448">
        <f t="shared" si="19"/>
        <v>2009.5426245044691</v>
      </c>
      <c r="J448">
        <f>SUMIFS(Transit_Clean[Quantity], Transit_Clean[Destination], A448, Transit_Clean[Item_Code], B448, Transit_Clean[SAP_Status], "In Transit")</f>
        <v>1492</v>
      </c>
      <c r="K448">
        <f t="shared" si="20"/>
        <v>12.669260700389104</v>
      </c>
      <c r="L448" t="str" cm="1">
        <f t="array" ref="L448">_xlfn.IFS(C448&lt;0,"DATO INVALIDO", C448+J448&lt;I448,"PEDIR YA", C448&lt;I448,"EN CAMINO OK", TRUE,"SANO")</f>
        <v>SANO</v>
      </c>
    </row>
    <row r="449" spans="1:12" x14ac:dyDescent="0.45">
      <c r="A449" t="s">
        <v>1120</v>
      </c>
      <c r="B449" t="s">
        <v>76</v>
      </c>
      <c r="D449">
        <v>524.6</v>
      </c>
      <c r="E449">
        <v>131.5</v>
      </c>
      <c r="F449">
        <v>1.5</v>
      </c>
      <c r="G449">
        <v>0.5</v>
      </c>
      <c r="H449">
        <f t="shared" si="18"/>
        <v>507.86685062376341</v>
      </c>
      <c r="I449">
        <f t="shared" si="19"/>
        <v>1294.7668506237635</v>
      </c>
      <c r="J449">
        <f>SUMIFS(Transit_Clean[Quantity], Transit_Clean[Destination], A449, Transit_Clean[Item_Code], B449, Transit_Clean[SAP_Status], "In Transit")</f>
        <v>1151</v>
      </c>
      <c r="K449">
        <f t="shared" si="20"/>
        <v>0</v>
      </c>
      <c r="L449" t="str" cm="1">
        <f t="array" ref="L449">_xlfn.IFS(C449&lt;0,"DATO INVALIDO", C449+J449&lt;I449,"PEDIR YA", C449&lt;I449,"EN CAMINO OK", TRUE,"SANO")</f>
        <v>PEDIR YA</v>
      </c>
    </row>
    <row r="450" spans="1:12" x14ac:dyDescent="0.45">
      <c r="A450" t="s">
        <v>1116</v>
      </c>
      <c r="B450" t="s">
        <v>54</v>
      </c>
      <c r="C450">
        <v>5364</v>
      </c>
      <c r="D450">
        <v>472.4</v>
      </c>
      <c r="E450">
        <v>55.4</v>
      </c>
      <c r="F450">
        <v>4.5999999999999996</v>
      </c>
      <c r="G450">
        <v>1.6</v>
      </c>
      <c r="H450">
        <f t="shared" si="18"/>
        <v>1262.4519110667147</v>
      </c>
      <c r="I450">
        <f t="shared" si="19"/>
        <v>3435.4919110667142</v>
      </c>
      <c r="J450">
        <f>SUMIFS(Transit_Clean[Quantity], Transit_Clean[Destination], A450, Transit_Clean[Item_Code], B450, Transit_Clean[SAP_Status], "In Transit")</f>
        <v>1507</v>
      </c>
      <c r="K450">
        <f t="shared" si="20"/>
        <v>11.354784081287045</v>
      </c>
      <c r="L450" t="str" cm="1">
        <f t="array" ref="L450">_xlfn.IFS(C450&lt;0,"DATO INVALIDO", C450+J450&lt;I450,"PEDIR YA", C450&lt;I450,"EN CAMINO OK", TRUE,"SANO")</f>
        <v>SANO</v>
      </c>
    </row>
    <row r="451" spans="1:12" x14ac:dyDescent="0.45">
      <c r="A451" t="s">
        <v>1120</v>
      </c>
      <c r="B451" t="s">
        <v>27</v>
      </c>
      <c r="C451">
        <v>5966</v>
      </c>
      <c r="D451">
        <v>427.9</v>
      </c>
      <c r="E451">
        <v>215.7</v>
      </c>
      <c r="F451">
        <v>1.8</v>
      </c>
      <c r="G451">
        <v>0.5</v>
      </c>
      <c r="H451">
        <f t="shared" ref="H451:H514" si="21">IFERROR(1.65*SQRT(F451*E451^2 + D451^2*G451^2), "")</f>
        <v>593.82187527174335</v>
      </c>
      <c r="I451">
        <f t="shared" ref="I451:I514" si="22">IFERROR(D451*F451 + H451, "")</f>
        <v>1364.0418752717433</v>
      </c>
      <c r="J451">
        <f>SUMIFS(Transit_Clean[Quantity], Transit_Clean[Destination], A451, Transit_Clean[Item_Code], B451, Transit_Clean[SAP_Status], "In Transit")</f>
        <v>1074</v>
      </c>
      <c r="K451">
        <f t="shared" ref="K451:K514" si="23">IFERROR(C451/D451, "")</f>
        <v>13.942509932227157</v>
      </c>
      <c r="L451" t="str" cm="1">
        <f t="array" ref="L451">_xlfn.IFS(C451&lt;0,"DATO INVALIDO", C451+J451&lt;I451,"PEDIR YA", C451&lt;I451,"EN CAMINO OK", TRUE,"SANO")</f>
        <v>SANO</v>
      </c>
    </row>
    <row r="452" spans="1:12" x14ac:dyDescent="0.45">
      <c r="A452" t="s">
        <v>1128</v>
      </c>
      <c r="B452" t="s">
        <v>24</v>
      </c>
      <c r="C452">
        <v>6177</v>
      </c>
      <c r="D452">
        <v>642.4</v>
      </c>
      <c r="E452">
        <v>150.9</v>
      </c>
      <c r="F452">
        <v>1.6</v>
      </c>
      <c r="G452">
        <v>0.5</v>
      </c>
      <c r="H452">
        <f t="shared" si="21"/>
        <v>616.49691707258353</v>
      </c>
      <c r="I452">
        <f t="shared" si="22"/>
        <v>1644.3369170725834</v>
      </c>
      <c r="J452">
        <f>SUMIFS(Transit_Clean[Quantity], Transit_Clean[Destination], A452, Transit_Clean[Item_Code], B452, Transit_Clean[SAP_Status], "In Transit")</f>
        <v>0</v>
      </c>
      <c r="K452">
        <f t="shared" si="23"/>
        <v>9.615504358655043</v>
      </c>
      <c r="L452" t="str" cm="1">
        <f t="array" ref="L452">_xlfn.IFS(C452&lt;0,"DATO INVALIDO", C452+J452&lt;I452,"PEDIR YA", C452&lt;I452,"EN CAMINO OK", TRUE,"SANO")</f>
        <v>SANO</v>
      </c>
    </row>
    <row r="453" spans="1:12" x14ac:dyDescent="0.45">
      <c r="A453" t="s">
        <v>1117</v>
      </c>
      <c r="B453" t="s">
        <v>1131</v>
      </c>
      <c r="C453">
        <v>3245</v>
      </c>
      <c r="D453">
        <v>185.3</v>
      </c>
      <c r="E453">
        <v>108.4</v>
      </c>
      <c r="F453">
        <v>2.6</v>
      </c>
      <c r="G453">
        <v>0.5</v>
      </c>
      <c r="H453">
        <f t="shared" si="21"/>
        <v>326.41436888753839</v>
      </c>
      <c r="I453">
        <f t="shared" si="22"/>
        <v>808.19436888753842</v>
      </c>
      <c r="J453">
        <f>SUMIFS(Transit_Clean[Quantity], Transit_Clean[Destination], A453, Transit_Clean[Item_Code], B453, Transit_Clean[SAP_Status], "In Transit")</f>
        <v>0</v>
      </c>
      <c r="K453">
        <f t="shared" si="23"/>
        <v>17.512142471667566</v>
      </c>
      <c r="L453" t="str" cm="1">
        <f t="array" ref="L453">_xlfn.IFS(C453&lt;0,"DATO INVALIDO", C453+J453&lt;I453,"PEDIR YA", C453&lt;I453,"EN CAMINO OK", TRUE,"SANO")</f>
        <v>SANO</v>
      </c>
    </row>
    <row r="454" spans="1:12" x14ac:dyDescent="0.45">
      <c r="A454" t="s">
        <v>1115</v>
      </c>
      <c r="B454" t="s">
        <v>96</v>
      </c>
      <c r="C454">
        <v>1822</v>
      </c>
      <c r="D454">
        <v>445.1</v>
      </c>
      <c r="E454">
        <v>118.4</v>
      </c>
      <c r="F454">
        <v>1.9</v>
      </c>
      <c r="G454">
        <v>0.6</v>
      </c>
      <c r="H454">
        <f t="shared" si="21"/>
        <v>516.41654450743533</v>
      </c>
      <c r="I454">
        <f t="shared" si="22"/>
        <v>1362.1065445074355</v>
      </c>
      <c r="J454">
        <f>SUMIFS(Transit_Clean[Quantity], Transit_Clean[Destination], A454, Transit_Clean[Item_Code], B454, Transit_Clean[SAP_Status], "In Transit")</f>
        <v>1173</v>
      </c>
      <c r="K454">
        <f t="shared" si="23"/>
        <v>4.0934621433385754</v>
      </c>
      <c r="L454" t="str" cm="1">
        <f t="array" ref="L454">_xlfn.IFS(C454&lt;0,"DATO INVALIDO", C454+J454&lt;I454,"PEDIR YA", C454&lt;I454,"EN CAMINO OK", TRUE,"SANO")</f>
        <v>SANO</v>
      </c>
    </row>
    <row r="455" spans="1:12" x14ac:dyDescent="0.45">
      <c r="A455" t="s">
        <v>1114</v>
      </c>
      <c r="B455" t="s">
        <v>93</v>
      </c>
      <c r="C455">
        <v>1181</v>
      </c>
      <c r="D455">
        <v>363.7</v>
      </c>
      <c r="E455">
        <v>70.900000000000006</v>
      </c>
      <c r="F455">
        <v>4.5999999999999996</v>
      </c>
      <c r="G455">
        <v>1.3</v>
      </c>
      <c r="H455">
        <f t="shared" si="21"/>
        <v>819.49143599384252</v>
      </c>
      <c r="I455">
        <f t="shared" si="22"/>
        <v>2492.5114359938425</v>
      </c>
      <c r="J455">
        <f>SUMIFS(Transit_Clean[Quantity], Transit_Clean[Destination], A455, Transit_Clean[Item_Code], B455, Transit_Clean[SAP_Status], "In Transit")</f>
        <v>832</v>
      </c>
      <c r="K455">
        <f t="shared" si="23"/>
        <v>3.247181743194941</v>
      </c>
      <c r="L455" t="str" cm="1">
        <f t="array" ref="L455">_xlfn.IFS(C455&lt;0,"DATO INVALIDO", C455+J455&lt;I455,"PEDIR YA", C455&lt;I455,"EN CAMINO OK", TRUE,"SANO")</f>
        <v>PEDIR YA</v>
      </c>
    </row>
    <row r="456" spans="1:12" x14ac:dyDescent="0.45">
      <c r="A456" t="s">
        <v>1122</v>
      </c>
      <c r="B456" t="s">
        <v>72</v>
      </c>
      <c r="C456">
        <v>4886</v>
      </c>
      <c r="D456">
        <v>279.3</v>
      </c>
      <c r="E456">
        <v>35.4</v>
      </c>
      <c r="F456">
        <v>1.2</v>
      </c>
      <c r="G456">
        <v>0.2</v>
      </c>
      <c r="H456">
        <f t="shared" si="21"/>
        <v>112.20159660628721</v>
      </c>
      <c r="I456">
        <f t="shared" si="22"/>
        <v>447.36159660628721</v>
      </c>
      <c r="J456">
        <f>SUMIFS(Transit_Clean[Quantity], Transit_Clean[Destination], A456, Transit_Clean[Item_Code], B456, Transit_Clean[SAP_Status], "In Transit")</f>
        <v>0</v>
      </c>
      <c r="K456">
        <f t="shared" si="23"/>
        <v>17.493734335839598</v>
      </c>
      <c r="L456" t="str" cm="1">
        <f t="array" ref="L456">_xlfn.IFS(C456&lt;0,"DATO INVALIDO", C456+J456&lt;I456,"PEDIR YA", C456&lt;I456,"EN CAMINO OK", TRUE,"SANO")</f>
        <v>SANO</v>
      </c>
    </row>
    <row r="457" spans="1:12" x14ac:dyDescent="0.45">
      <c r="A457" t="s">
        <v>1121</v>
      </c>
      <c r="B457" t="s">
        <v>99</v>
      </c>
      <c r="C457">
        <v>6474</v>
      </c>
      <c r="D457">
        <v>545.29999999999995</v>
      </c>
      <c r="E457">
        <v>83.9</v>
      </c>
      <c r="F457">
        <v>1.8</v>
      </c>
      <c r="G457">
        <v>0.4</v>
      </c>
      <c r="H457">
        <f t="shared" si="21"/>
        <v>404.99656666322494</v>
      </c>
      <c r="I457">
        <f t="shared" si="22"/>
        <v>1386.5365666632249</v>
      </c>
      <c r="J457">
        <f>SUMIFS(Transit_Clean[Quantity], Transit_Clean[Destination], A457, Transit_Clean[Item_Code], B457, Transit_Clean[SAP_Status], "In Transit")</f>
        <v>2009</v>
      </c>
      <c r="K457">
        <f t="shared" si="23"/>
        <v>11.87236383642032</v>
      </c>
      <c r="L457" t="str" cm="1">
        <f t="array" ref="L457">_xlfn.IFS(C457&lt;0,"DATO INVALIDO", C457+J457&lt;I457,"PEDIR YA", C457&lt;I457,"EN CAMINO OK", TRUE,"SANO")</f>
        <v>SANO</v>
      </c>
    </row>
    <row r="458" spans="1:12" x14ac:dyDescent="0.45">
      <c r="A458" t="s">
        <v>1120</v>
      </c>
      <c r="B458" t="s">
        <v>20</v>
      </c>
      <c r="C458">
        <v>2007</v>
      </c>
      <c r="D458">
        <v>263.7</v>
      </c>
      <c r="E458">
        <v>39.5</v>
      </c>
      <c r="F458">
        <v>1.9</v>
      </c>
      <c r="G458">
        <v>0.5</v>
      </c>
      <c r="H458">
        <f t="shared" si="21"/>
        <v>235.3717770756511</v>
      </c>
      <c r="I458">
        <f t="shared" si="22"/>
        <v>736.40177707565113</v>
      </c>
      <c r="J458">
        <f>SUMIFS(Transit_Clean[Quantity], Transit_Clean[Destination], A458, Transit_Clean[Item_Code], B458, Transit_Clean[SAP_Status], "In Transit")</f>
        <v>2679</v>
      </c>
      <c r="K458">
        <f t="shared" si="23"/>
        <v>7.6109215017064846</v>
      </c>
      <c r="L458" t="str" cm="1">
        <f t="array" ref="L458">_xlfn.IFS(C458&lt;0,"DATO INVALIDO", C458+J458&lt;I458,"PEDIR YA", C458&lt;I458,"EN CAMINO OK", TRUE,"SANO")</f>
        <v>SANO</v>
      </c>
    </row>
    <row r="459" spans="1:12" x14ac:dyDescent="0.45">
      <c r="A459" t="s">
        <v>1123</v>
      </c>
      <c r="B459" t="s">
        <v>54</v>
      </c>
      <c r="C459">
        <v>3699</v>
      </c>
      <c r="D459">
        <v>208.8</v>
      </c>
      <c r="E459">
        <v>19.2</v>
      </c>
      <c r="F459">
        <v>0.5</v>
      </c>
      <c r="G459">
        <v>0.3</v>
      </c>
      <c r="H459">
        <f t="shared" si="21"/>
        <v>105.7557276746749</v>
      </c>
      <c r="I459">
        <f t="shared" si="22"/>
        <v>210.15572767467489</v>
      </c>
      <c r="J459">
        <f>SUMIFS(Transit_Clean[Quantity], Transit_Clean[Destination], A459, Transit_Clean[Item_Code], B459, Transit_Clean[SAP_Status], "In Transit")</f>
        <v>0</v>
      </c>
      <c r="K459">
        <f t="shared" si="23"/>
        <v>17.71551724137931</v>
      </c>
      <c r="L459" t="str" cm="1">
        <f t="array" ref="L459">_xlfn.IFS(C459&lt;0,"DATO INVALIDO", C459+J459&lt;I459,"PEDIR YA", C459&lt;I459,"EN CAMINO OK", TRUE,"SANO")</f>
        <v>SANO</v>
      </c>
    </row>
    <row r="460" spans="1:12" x14ac:dyDescent="0.45">
      <c r="A460" t="s">
        <v>1117</v>
      </c>
      <c r="B460" t="s">
        <v>18</v>
      </c>
      <c r="C460">
        <v>4071</v>
      </c>
      <c r="D460">
        <v>271.60000000000002</v>
      </c>
      <c r="E460">
        <v>33</v>
      </c>
      <c r="F460">
        <v>1.6</v>
      </c>
      <c r="G460">
        <v>0.5</v>
      </c>
      <c r="H460">
        <f t="shared" si="21"/>
        <v>234.41640066343484</v>
      </c>
      <c r="I460">
        <f t="shared" si="22"/>
        <v>668.9764006634349</v>
      </c>
      <c r="J460">
        <f>SUMIFS(Transit_Clean[Quantity], Transit_Clean[Destination], A460, Transit_Clean[Item_Code], B460, Transit_Clean[SAP_Status], "In Transit")</f>
        <v>1227</v>
      </c>
      <c r="K460">
        <f t="shared" si="23"/>
        <v>14.988954344624446</v>
      </c>
      <c r="L460" t="str" cm="1">
        <f t="array" ref="L460">_xlfn.IFS(C460&lt;0,"DATO INVALIDO", C460+J460&lt;I460,"PEDIR YA", C460&lt;I460,"EN CAMINO OK", TRUE,"SANO")</f>
        <v>SANO</v>
      </c>
    </row>
    <row r="461" spans="1:12" x14ac:dyDescent="0.45">
      <c r="A461" t="s">
        <v>1128</v>
      </c>
      <c r="B461" t="s">
        <v>110</v>
      </c>
      <c r="C461">
        <v>3107</v>
      </c>
      <c r="D461">
        <v>303.60000000000002</v>
      </c>
      <c r="E461">
        <v>162</v>
      </c>
      <c r="F461">
        <v>1.9</v>
      </c>
      <c r="G461">
        <v>0.5</v>
      </c>
      <c r="H461">
        <f t="shared" si="21"/>
        <v>445.52089950977603</v>
      </c>
      <c r="I461">
        <f t="shared" si="22"/>
        <v>1022.3608995097761</v>
      </c>
      <c r="J461">
        <f>SUMIFS(Transit_Clean[Quantity], Transit_Clean[Destination], A461, Transit_Clean[Item_Code], B461, Transit_Clean[SAP_Status], "In Transit")</f>
        <v>2870</v>
      </c>
      <c r="K461">
        <f t="shared" si="23"/>
        <v>10.233860342555994</v>
      </c>
      <c r="L461" t="str" cm="1">
        <f t="array" ref="L461">_xlfn.IFS(C461&lt;0,"DATO INVALIDO", C461+J461&lt;I461,"PEDIR YA", C461&lt;I461,"EN CAMINO OK", TRUE,"SANO")</f>
        <v>SANO</v>
      </c>
    </row>
    <row r="462" spans="1:12" x14ac:dyDescent="0.45">
      <c r="A462" t="s">
        <v>1117</v>
      </c>
      <c r="B462" t="s">
        <v>28</v>
      </c>
      <c r="C462">
        <v>2629</v>
      </c>
      <c r="D462">
        <v>155.1</v>
      </c>
      <c r="E462">
        <v>62.6</v>
      </c>
      <c r="F462">
        <v>2.1</v>
      </c>
      <c r="G462">
        <v>0.5</v>
      </c>
      <c r="H462">
        <f t="shared" si="21"/>
        <v>196.92042153177002</v>
      </c>
      <c r="I462">
        <f t="shared" si="22"/>
        <v>522.63042153177003</v>
      </c>
      <c r="J462">
        <f>SUMIFS(Transit_Clean[Quantity], Transit_Clean[Destination], A462, Transit_Clean[Item_Code], B462, Transit_Clean[SAP_Status], "In Transit")</f>
        <v>2400</v>
      </c>
      <c r="K462">
        <f t="shared" si="23"/>
        <v>16.950354609929079</v>
      </c>
      <c r="L462" t="str" cm="1">
        <f t="array" ref="L462">_xlfn.IFS(C462&lt;0,"DATO INVALIDO", C462+J462&lt;I462,"PEDIR YA", C462&lt;I462,"EN CAMINO OK", TRUE,"SANO")</f>
        <v>SANO</v>
      </c>
    </row>
    <row r="463" spans="1:12" x14ac:dyDescent="0.45">
      <c r="A463" t="s">
        <v>1116</v>
      </c>
      <c r="B463" t="s">
        <v>1133</v>
      </c>
      <c r="C463">
        <v>2855</v>
      </c>
      <c r="D463">
        <v>671.2</v>
      </c>
      <c r="E463">
        <v>139.1</v>
      </c>
      <c r="F463">
        <v>4.4000000000000004</v>
      </c>
      <c r="G463">
        <v>1.6</v>
      </c>
      <c r="H463">
        <f t="shared" si="21"/>
        <v>1836.2053229456669</v>
      </c>
      <c r="I463">
        <f t="shared" si="22"/>
        <v>4789.4853229456676</v>
      </c>
      <c r="J463">
        <f>SUMIFS(Transit_Clean[Quantity], Transit_Clean[Destination], A463, Transit_Clean[Item_Code], B463, Transit_Clean[SAP_Status], "In Transit")</f>
        <v>1148</v>
      </c>
      <c r="K463">
        <f t="shared" si="23"/>
        <v>4.2535756853396895</v>
      </c>
      <c r="L463" t="str" cm="1">
        <f t="array" ref="L463">_xlfn.IFS(C463&lt;0,"DATO INVALIDO", C463+J463&lt;I463,"PEDIR YA", C463&lt;I463,"EN CAMINO OK", TRUE,"SANO")</f>
        <v>PEDIR YA</v>
      </c>
    </row>
    <row r="464" spans="1:12" x14ac:dyDescent="0.45">
      <c r="A464" t="s">
        <v>1119</v>
      </c>
      <c r="B464" t="s">
        <v>87</v>
      </c>
      <c r="C464">
        <v>9643</v>
      </c>
      <c r="D464">
        <v>570.79999999999995</v>
      </c>
      <c r="E464">
        <v>58.8</v>
      </c>
      <c r="F464">
        <v>5</v>
      </c>
      <c r="G464">
        <v>1</v>
      </c>
      <c r="H464">
        <f t="shared" si="21"/>
        <v>966.48296125694822</v>
      </c>
      <c r="I464">
        <f t="shared" si="22"/>
        <v>3820.4829612569483</v>
      </c>
      <c r="J464">
        <f>SUMIFS(Transit_Clean[Quantity], Transit_Clean[Destination], A464, Transit_Clean[Item_Code], B464, Transit_Clean[SAP_Status], "In Transit")</f>
        <v>0</v>
      </c>
      <c r="K464">
        <f t="shared" si="23"/>
        <v>16.893833216538194</v>
      </c>
      <c r="L464" t="str" cm="1">
        <f t="array" ref="L464">_xlfn.IFS(C464&lt;0,"DATO INVALIDO", C464+J464&lt;I464,"PEDIR YA", C464&lt;I464,"EN CAMINO OK", TRUE,"SANO")</f>
        <v>SANO</v>
      </c>
    </row>
    <row r="465" spans="1:12" x14ac:dyDescent="0.45">
      <c r="A465" t="s">
        <v>1124</v>
      </c>
      <c r="B465" t="s">
        <v>1135</v>
      </c>
      <c r="C465">
        <v>4372</v>
      </c>
      <c r="D465">
        <v>370.9</v>
      </c>
      <c r="E465">
        <v>50.8</v>
      </c>
      <c r="F465">
        <v>0.8</v>
      </c>
      <c r="G465">
        <v>0.3</v>
      </c>
      <c r="H465">
        <f t="shared" si="21"/>
        <v>198.31273670707586</v>
      </c>
      <c r="I465">
        <f t="shared" si="22"/>
        <v>495.03273670707586</v>
      </c>
      <c r="J465">
        <f>SUMIFS(Transit_Clean[Quantity], Transit_Clean[Destination], A465, Transit_Clean[Item_Code], B465, Transit_Clean[SAP_Status], "In Transit")</f>
        <v>0</v>
      </c>
      <c r="K465">
        <f t="shared" si="23"/>
        <v>11.787543812348343</v>
      </c>
      <c r="L465" t="str" cm="1">
        <f t="array" ref="L465">_xlfn.IFS(C465&lt;0,"DATO INVALIDO", C465+J465&lt;I465,"PEDIR YA", C465&lt;I465,"EN CAMINO OK", TRUE,"SANO")</f>
        <v>SANO</v>
      </c>
    </row>
    <row r="466" spans="1:12" x14ac:dyDescent="0.45">
      <c r="A466" t="s">
        <v>1127</v>
      </c>
      <c r="B466" t="s">
        <v>39</v>
      </c>
      <c r="C466">
        <v>274</v>
      </c>
      <c r="E466">
        <v>39.299999999999997</v>
      </c>
      <c r="F466">
        <v>2.7</v>
      </c>
      <c r="G466">
        <v>0.9</v>
      </c>
      <c r="H466">
        <f t="shared" si="21"/>
        <v>106.55120772426748</v>
      </c>
      <c r="I466">
        <f t="shared" si="22"/>
        <v>106.55120772426748</v>
      </c>
      <c r="J466">
        <f>SUMIFS(Transit_Clean[Quantity], Transit_Clean[Destination], A466, Transit_Clean[Item_Code], B466, Transit_Clean[SAP_Status], "In Transit")</f>
        <v>1635</v>
      </c>
      <c r="K466" t="str">
        <f t="shared" si="23"/>
        <v/>
      </c>
      <c r="L466" t="str" cm="1">
        <f t="array" ref="L466">_xlfn.IFS(C466&lt;0,"DATO INVALIDO", C466+J466&lt;I466,"PEDIR YA", C466&lt;I466,"EN CAMINO OK", TRUE,"SANO")</f>
        <v>SANO</v>
      </c>
    </row>
    <row r="467" spans="1:12" x14ac:dyDescent="0.45">
      <c r="A467" t="s">
        <v>1126</v>
      </c>
      <c r="B467" t="s">
        <v>107</v>
      </c>
      <c r="C467">
        <v>5233</v>
      </c>
      <c r="D467">
        <v>293.60000000000002</v>
      </c>
      <c r="E467">
        <v>175.5</v>
      </c>
      <c r="F467">
        <v>1</v>
      </c>
      <c r="G467">
        <v>0.2</v>
      </c>
      <c r="H467">
        <f t="shared" si="21"/>
        <v>305.35383601487632</v>
      </c>
      <c r="I467">
        <f t="shared" si="22"/>
        <v>598.95383601487629</v>
      </c>
      <c r="J467">
        <f>SUMIFS(Transit_Clean[Quantity], Transit_Clean[Destination], A467, Transit_Clean[Item_Code], B467, Transit_Clean[SAP_Status], "In Transit")</f>
        <v>5567</v>
      </c>
      <c r="K467">
        <f t="shared" si="23"/>
        <v>17.823569482288828</v>
      </c>
      <c r="L467" t="str" cm="1">
        <f t="array" ref="L467">_xlfn.IFS(C467&lt;0,"DATO INVALIDO", C467+J467&lt;I467,"PEDIR YA", C467&lt;I467,"EN CAMINO OK", TRUE,"SANO")</f>
        <v>SANO</v>
      </c>
    </row>
    <row r="468" spans="1:12" x14ac:dyDescent="0.45">
      <c r="A468" t="s">
        <v>1128</v>
      </c>
      <c r="B468" t="s">
        <v>96</v>
      </c>
      <c r="C468">
        <v>2429</v>
      </c>
      <c r="D468">
        <v>271.2</v>
      </c>
      <c r="E468">
        <v>70.3</v>
      </c>
      <c r="F468">
        <v>3</v>
      </c>
      <c r="G468">
        <v>0.5</v>
      </c>
      <c r="H468">
        <f t="shared" si="21"/>
        <v>300.70601536218055</v>
      </c>
      <c r="I468">
        <f t="shared" si="22"/>
        <v>1114.3060153621805</v>
      </c>
      <c r="J468">
        <f>SUMIFS(Transit_Clean[Quantity], Transit_Clean[Destination], A468, Transit_Clean[Item_Code], B468, Transit_Clean[SAP_Status], "In Transit")</f>
        <v>0</v>
      </c>
      <c r="K468">
        <f t="shared" si="23"/>
        <v>8.9564896755162238</v>
      </c>
      <c r="L468" t="str" cm="1">
        <f t="array" ref="L468">_xlfn.IFS(C468&lt;0,"DATO INVALIDO", C468+J468&lt;I468,"PEDIR YA", C468&lt;I468,"EN CAMINO OK", TRUE,"SANO")</f>
        <v>SANO</v>
      </c>
    </row>
    <row r="469" spans="1:12" x14ac:dyDescent="0.45">
      <c r="A469" t="s">
        <v>1114</v>
      </c>
      <c r="B469" t="s">
        <v>19</v>
      </c>
      <c r="C469">
        <v>3088</v>
      </c>
      <c r="D469">
        <v>261.7</v>
      </c>
      <c r="E469">
        <v>94.8</v>
      </c>
      <c r="F469">
        <v>2.9</v>
      </c>
      <c r="G469">
        <v>1.3</v>
      </c>
      <c r="H469">
        <f t="shared" si="21"/>
        <v>621.34114673201066</v>
      </c>
      <c r="I469">
        <f t="shared" si="22"/>
        <v>1380.2711467320105</v>
      </c>
      <c r="J469">
        <f>SUMIFS(Transit_Clean[Quantity], Transit_Clean[Destination], A469, Transit_Clean[Item_Code], B469, Transit_Clean[SAP_Status], "In Transit")</f>
        <v>4861</v>
      </c>
      <c r="K469">
        <f t="shared" si="23"/>
        <v>11.799770729843333</v>
      </c>
      <c r="L469" t="str" cm="1">
        <f t="array" ref="L469">_xlfn.IFS(C469&lt;0,"DATO INVALIDO", C469+J469&lt;I469,"PEDIR YA", C469&lt;I469,"EN CAMINO OK", TRUE,"SANO")</f>
        <v>SANO</v>
      </c>
    </row>
    <row r="470" spans="1:12" x14ac:dyDescent="0.45">
      <c r="A470" t="s">
        <v>1128</v>
      </c>
      <c r="B470" t="s">
        <v>85</v>
      </c>
      <c r="C470">
        <v>4732</v>
      </c>
      <c r="D470">
        <v>412.3</v>
      </c>
      <c r="E470">
        <v>225.1</v>
      </c>
      <c r="F470">
        <v>1.2</v>
      </c>
      <c r="G470">
        <v>0.5</v>
      </c>
      <c r="H470">
        <f t="shared" si="21"/>
        <v>530.31994534078194</v>
      </c>
      <c r="I470">
        <f t="shared" si="22"/>
        <v>1025.0799453407819</v>
      </c>
      <c r="J470">
        <f>SUMIFS(Transit_Clean[Quantity], Transit_Clean[Destination], A470, Transit_Clean[Item_Code], B470, Transit_Clean[SAP_Status], "In Transit")</f>
        <v>884</v>
      </c>
      <c r="K470">
        <f t="shared" si="23"/>
        <v>11.477079796264855</v>
      </c>
      <c r="L470" t="str" cm="1">
        <f t="array" ref="L470">_xlfn.IFS(C470&lt;0,"DATO INVALIDO", C470+J470&lt;I470,"PEDIR YA", C470&lt;I470,"EN CAMINO OK", TRUE,"SANO")</f>
        <v>SANO</v>
      </c>
    </row>
    <row r="471" spans="1:12" x14ac:dyDescent="0.45">
      <c r="A471" t="s">
        <v>1125</v>
      </c>
      <c r="B471" t="s">
        <v>47</v>
      </c>
      <c r="C471">
        <v>1297</v>
      </c>
      <c r="D471">
        <v>193.8</v>
      </c>
      <c r="E471">
        <v>26.4</v>
      </c>
      <c r="F471">
        <v>4.5999999999999996</v>
      </c>
      <c r="G471">
        <v>1.2</v>
      </c>
      <c r="H471">
        <f t="shared" si="21"/>
        <v>394.93352191982888</v>
      </c>
      <c r="I471">
        <f t="shared" si="22"/>
        <v>1286.4135219198288</v>
      </c>
      <c r="J471">
        <f>SUMIFS(Transit_Clean[Quantity], Transit_Clean[Destination], A471, Transit_Clean[Item_Code], B471, Transit_Clean[SAP_Status], "In Transit")</f>
        <v>1516</v>
      </c>
      <c r="K471">
        <f t="shared" si="23"/>
        <v>6.6924664602683173</v>
      </c>
      <c r="L471" t="str" cm="1">
        <f t="array" ref="L471">_xlfn.IFS(C471&lt;0,"DATO INVALIDO", C471+J471&lt;I471,"PEDIR YA", C471&lt;I471,"EN CAMINO OK", TRUE,"SANO")</f>
        <v>SANO</v>
      </c>
    </row>
    <row r="472" spans="1:12" x14ac:dyDescent="0.45">
      <c r="A472" t="s">
        <v>1127</v>
      </c>
      <c r="B472" t="s">
        <v>24</v>
      </c>
      <c r="C472">
        <v>9439</v>
      </c>
      <c r="D472">
        <v>559.5</v>
      </c>
      <c r="E472">
        <v>148.19999999999999</v>
      </c>
      <c r="F472">
        <v>2.8</v>
      </c>
      <c r="G472">
        <v>0.9</v>
      </c>
      <c r="H472">
        <f t="shared" si="21"/>
        <v>926.14791681796169</v>
      </c>
      <c r="I472">
        <f t="shared" si="22"/>
        <v>2492.7479168179616</v>
      </c>
      <c r="J472">
        <f>SUMIFS(Transit_Clean[Quantity], Transit_Clean[Destination], A472, Transit_Clean[Item_Code], B472, Transit_Clean[SAP_Status], "In Transit")</f>
        <v>0</v>
      </c>
      <c r="K472">
        <f t="shared" si="23"/>
        <v>16.870420017873101</v>
      </c>
      <c r="L472" t="str" cm="1">
        <f t="array" ref="L472">_xlfn.IFS(C472&lt;0,"DATO INVALIDO", C472+J472&lt;I472,"PEDIR YA", C472&lt;I472,"EN CAMINO OK", TRUE,"SANO")</f>
        <v>SANO</v>
      </c>
    </row>
    <row r="473" spans="1:12" x14ac:dyDescent="0.45">
      <c r="A473" t="s">
        <v>1127</v>
      </c>
      <c r="B473" t="s">
        <v>77</v>
      </c>
      <c r="C473">
        <v>3496</v>
      </c>
      <c r="D473">
        <v>241</v>
      </c>
      <c r="E473">
        <v>81.099999999999994</v>
      </c>
      <c r="F473">
        <v>2.5</v>
      </c>
      <c r="G473">
        <v>0.9</v>
      </c>
      <c r="H473">
        <f t="shared" si="21"/>
        <v>415.74969487361017</v>
      </c>
      <c r="I473">
        <f t="shared" si="22"/>
        <v>1018.2496948736102</v>
      </c>
      <c r="J473">
        <f>SUMIFS(Transit_Clean[Quantity], Transit_Clean[Destination], A473, Transit_Clean[Item_Code], B473, Transit_Clean[SAP_Status], "In Transit")</f>
        <v>1804</v>
      </c>
      <c r="K473">
        <f t="shared" si="23"/>
        <v>14.506224066390041</v>
      </c>
      <c r="L473" t="str" cm="1">
        <f t="array" ref="L473">_xlfn.IFS(C473&lt;0,"DATO INVALIDO", C473+J473&lt;I473,"PEDIR YA", C473&lt;I473,"EN CAMINO OK", TRUE,"SANO")</f>
        <v>SANO</v>
      </c>
    </row>
    <row r="474" spans="1:12" x14ac:dyDescent="0.45">
      <c r="A474" t="s">
        <v>1124</v>
      </c>
      <c r="B474" t="s">
        <v>1136</v>
      </c>
      <c r="C474">
        <v>2880</v>
      </c>
      <c r="D474">
        <v>326.7</v>
      </c>
      <c r="E474">
        <v>167.4</v>
      </c>
      <c r="F474">
        <v>0.8</v>
      </c>
      <c r="G474">
        <v>0.3</v>
      </c>
      <c r="H474">
        <f t="shared" si="21"/>
        <v>295.27241261629911</v>
      </c>
      <c r="I474">
        <f t="shared" si="22"/>
        <v>556.63241261629912</v>
      </c>
      <c r="J474">
        <f>SUMIFS(Transit_Clean[Quantity], Transit_Clean[Destination], A474, Transit_Clean[Item_Code], B474, Transit_Clean[SAP_Status], "In Transit")</f>
        <v>0</v>
      </c>
      <c r="K474">
        <f t="shared" si="23"/>
        <v>8.8154269972451793</v>
      </c>
      <c r="L474" t="str" cm="1">
        <f t="array" ref="L474">_xlfn.IFS(C474&lt;0,"DATO INVALIDO", C474+J474&lt;I474,"PEDIR YA", C474&lt;I474,"EN CAMINO OK", TRUE,"SANO")</f>
        <v>SANO</v>
      </c>
    </row>
    <row r="475" spans="1:12" x14ac:dyDescent="0.45">
      <c r="A475" t="s">
        <v>1117</v>
      </c>
      <c r="B475" t="s">
        <v>33</v>
      </c>
      <c r="C475">
        <v>3051</v>
      </c>
      <c r="D475">
        <v>283</v>
      </c>
      <c r="E475">
        <v>52</v>
      </c>
      <c r="F475">
        <v>2.9</v>
      </c>
      <c r="G475">
        <v>0.5</v>
      </c>
      <c r="H475">
        <f t="shared" si="21"/>
        <v>275.42572796490884</v>
      </c>
      <c r="I475">
        <f t="shared" si="22"/>
        <v>1096.1257279649087</v>
      </c>
      <c r="J475">
        <f>SUMIFS(Transit_Clean[Quantity], Transit_Clean[Destination], A475, Transit_Clean[Item_Code], B475, Transit_Clean[SAP_Status], "In Transit")</f>
        <v>0</v>
      </c>
      <c r="K475">
        <f t="shared" si="23"/>
        <v>10.780918727915195</v>
      </c>
      <c r="L475" t="str" cm="1">
        <f t="array" ref="L475">_xlfn.IFS(C475&lt;0,"DATO INVALIDO", C475+J475&lt;I475,"PEDIR YA", C475&lt;I475,"EN CAMINO OK", TRUE,"SANO")</f>
        <v>SANO</v>
      </c>
    </row>
    <row r="476" spans="1:12" x14ac:dyDescent="0.45">
      <c r="A476" t="s">
        <v>1120</v>
      </c>
      <c r="B476" t="s">
        <v>48</v>
      </c>
      <c r="C476">
        <v>7270</v>
      </c>
      <c r="D476">
        <v>787.2</v>
      </c>
      <c r="E476">
        <v>232.2</v>
      </c>
      <c r="F476">
        <v>2.2999999999999998</v>
      </c>
      <c r="G476">
        <v>0.5</v>
      </c>
      <c r="H476">
        <f t="shared" si="21"/>
        <v>871.42761401621885</v>
      </c>
      <c r="I476">
        <f t="shared" si="22"/>
        <v>2681.9876140162187</v>
      </c>
      <c r="J476">
        <f>SUMIFS(Transit_Clean[Quantity], Transit_Clean[Destination], A476, Transit_Clean[Item_Code], B476, Transit_Clean[SAP_Status], "In Transit")</f>
        <v>0</v>
      </c>
      <c r="K476">
        <f t="shared" si="23"/>
        <v>9.2352642276422756</v>
      </c>
      <c r="L476" t="str" cm="1">
        <f t="array" ref="L476">_xlfn.IFS(C476&lt;0,"DATO INVALIDO", C476+J476&lt;I476,"PEDIR YA", C476&lt;I476,"EN CAMINO OK", TRUE,"SANO")</f>
        <v>SANO</v>
      </c>
    </row>
    <row r="477" spans="1:12" x14ac:dyDescent="0.45">
      <c r="A477" t="s">
        <v>1122</v>
      </c>
      <c r="B477" t="s">
        <v>109</v>
      </c>
      <c r="C477">
        <v>5355</v>
      </c>
      <c r="D477">
        <v>650.9</v>
      </c>
      <c r="E477">
        <v>373.8</v>
      </c>
      <c r="F477">
        <v>1.4</v>
      </c>
      <c r="G477">
        <v>0.2</v>
      </c>
      <c r="H477">
        <f t="shared" si="21"/>
        <v>760.7266771114314</v>
      </c>
      <c r="I477">
        <f t="shared" si="22"/>
        <v>1671.9866771114312</v>
      </c>
      <c r="J477">
        <f>SUMIFS(Transit_Clean[Quantity], Transit_Clean[Destination], A477, Transit_Clean[Item_Code], B477, Transit_Clean[SAP_Status], "In Transit")</f>
        <v>0</v>
      </c>
      <c r="K477">
        <f t="shared" si="23"/>
        <v>8.2270702104778</v>
      </c>
      <c r="L477" t="str" cm="1">
        <f t="array" ref="L477">_xlfn.IFS(C477&lt;0,"DATO INVALIDO", C477+J477&lt;I477,"PEDIR YA", C477&lt;I477,"EN CAMINO OK", TRUE,"SANO")</f>
        <v>SANO</v>
      </c>
    </row>
    <row r="478" spans="1:12" x14ac:dyDescent="0.45">
      <c r="A478" t="s">
        <v>1115</v>
      </c>
      <c r="B478" t="s">
        <v>53</v>
      </c>
      <c r="C478">
        <v>337</v>
      </c>
      <c r="D478">
        <v>159.9</v>
      </c>
      <c r="E478">
        <v>68.2</v>
      </c>
      <c r="F478">
        <v>0.5</v>
      </c>
      <c r="G478">
        <v>0.6</v>
      </c>
      <c r="H478">
        <f t="shared" si="21"/>
        <v>177.1742279537292</v>
      </c>
      <c r="I478">
        <f t="shared" si="22"/>
        <v>257.12422795372919</v>
      </c>
      <c r="J478">
        <f>SUMIFS(Transit_Clean[Quantity], Transit_Clean[Destination], A478, Transit_Clean[Item_Code], B478, Transit_Clean[SAP_Status], "In Transit")</f>
        <v>3203</v>
      </c>
      <c r="K478">
        <f t="shared" si="23"/>
        <v>2.1075672295184491</v>
      </c>
      <c r="L478" t="str" cm="1">
        <f t="array" ref="L478">_xlfn.IFS(C478&lt;0,"DATO INVALIDO", C478+J478&lt;I478,"PEDIR YA", C478&lt;I478,"EN CAMINO OK", TRUE,"SANO")</f>
        <v>SANO</v>
      </c>
    </row>
    <row r="479" spans="1:12" x14ac:dyDescent="0.45">
      <c r="A479" t="s">
        <v>1128</v>
      </c>
      <c r="B479" t="s">
        <v>105</v>
      </c>
      <c r="C479">
        <v>4956</v>
      </c>
      <c r="D479">
        <v>593.20000000000005</v>
      </c>
      <c r="E479">
        <v>108.6</v>
      </c>
      <c r="F479">
        <v>1.9</v>
      </c>
      <c r="G479">
        <v>0.5</v>
      </c>
      <c r="H479">
        <f t="shared" si="21"/>
        <v>548.18772212628028</v>
      </c>
      <c r="I479">
        <f t="shared" si="22"/>
        <v>1675.2677221262802</v>
      </c>
      <c r="J479">
        <f>SUMIFS(Transit_Clean[Quantity], Transit_Clean[Destination], A479, Transit_Clean[Item_Code], B479, Transit_Clean[SAP_Status], "In Transit")</f>
        <v>1093</v>
      </c>
      <c r="K479">
        <f t="shared" si="23"/>
        <v>8.3546864463924475</v>
      </c>
      <c r="L479" t="str" cm="1">
        <f t="array" ref="L479">_xlfn.IFS(C479&lt;0,"DATO INVALIDO", C479+J479&lt;I479,"PEDIR YA", C479&lt;I479,"EN CAMINO OK", TRUE,"SANO")</f>
        <v>SANO</v>
      </c>
    </row>
    <row r="480" spans="1:12" x14ac:dyDescent="0.45">
      <c r="A480" t="s">
        <v>1118</v>
      </c>
      <c r="B480" t="s">
        <v>1129</v>
      </c>
      <c r="C480">
        <v>1101</v>
      </c>
      <c r="D480">
        <v>534.20000000000005</v>
      </c>
      <c r="E480">
        <v>147.4</v>
      </c>
      <c r="F480">
        <v>5</v>
      </c>
      <c r="G480">
        <v>1.5</v>
      </c>
      <c r="H480">
        <f t="shared" si="21"/>
        <v>1429.6233495312674</v>
      </c>
      <c r="I480">
        <f t="shared" si="22"/>
        <v>4100.6233495312672</v>
      </c>
      <c r="J480">
        <f>SUMIFS(Transit_Clean[Quantity], Transit_Clean[Destination], A480, Transit_Clean[Item_Code], B480, Transit_Clean[SAP_Status], "In Transit")</f>
        <v>0</v>
      </c>
      <c r="K480">
        <f t="shared" si="23"/>
        <v>2.0610258330213402</v>
      </c>
      <c r="L480" t="str" cm="1">
        <f t="array" ref="L480">_xlfn.IFS(C480&lt;0,"DATO INVALIDO", C480+J480&lt;I480,"PEDIR YA", C480&lt;I480,"EN CAMINO OK", TRUE,"SANO")</f>
        <v>PEDIR YA</v>
      </c>
    </row>
    <row r="481" spans="1:12" x14ac:dyDescent="0.45">
      <c r="A481" t="s">
        <v>1120</v>
      </c>
      <c r="B481" t="s">
        <v>36</v>
      </c>
      <c r="C481">
        <v>2698</v>
      </c>
      <c r="D481">
        <v>418.6</v>
      </c>
      <c r="E481">
        <v>187.6</v>
      </c>
      <c r="F481">
        <v>2.1</v>
      </c>
      <c r="G481">
        <v>0.5</v>
      </c>
      <c r="H481">
        <f t="shared" si="21"/>
        <v>566.10484310328945</v>
      </c>
      <c r="I481">
        <f t="shared" si="22"/>
        <v>1445.1648431032895</v>
      </c>
      <c r="J481">
        <f>SUMIFS(Transit_Clean[Quantity], Transit_Clean[Destination], A481, Transit_Clean[Item_Code], B481, Transit_Clean[SAP_Status], "In Transit")</f>
        <v>4555</v>
      </c>
      <c r="K481">
        <f t="shared" si="23"/>
        <v>6.445293836598184</v>
      </c>
      <c r="L481" t="str" cm="1">
        <f t="array" ref="L481">_xlfn.IFS(C481&lt;0,"DATO INVALIDO", C481+J481&lt;I481,"PEDIR YA", C481&lt;I481,"EN CAMINO OK", TRUE,"SANO")</f>
        <v>SANO</v>
      </c>
    </row>
    <row r="482" spans="1:12" x14ac:dyDescent="0.45">
      <c r="A482" t="s">
        <v>1124</v>
      </c>
      <c r="B482" t="s">
        <v>88</v>
      </c>
      <c r="C482">
        <v>332</v>
      </c>
      <c r="D482">
        <v>415.8</v>
      </c>
      <c r="E482">
        <v>169.9</v>
      </c>
      <c r="F482">
        <v>1</v>
      </c>
      <c r="G482">
        <v>0.3</v>
      </c>
      <c r="H482">
        <f t="shared" si="21"/>
        <v>347.77865987722708</v>
      </c>
      <c r="I482">
        <f t="shared" si="22"/>
        <v>763.5786598772271</v>
      </c>
      <c r="J482">
        <f>SUMIFS(Transit_Clean[Quantity], Transit_Clean[Destination], A482, Transit_Clean[Item_Code], B482, Transit_Clean[SAP_Status], "In Transit")</f>
        <v>0</v>
      </c>
      <c r="K482">
        <f t="shared" si="23"/>
        <v>0.79846079846079843</v>
      </c>
      <c r="L482" t="str" cm="1">
        <f t="array" ref="L482">_xlfn.IFS(C482&lt;0,"DATO INVALIDO", C482+J482&lt;I482,"PEDIR YA", C482&lt;I482,"EN CAMINO OK", TRUE,"SANO")</f>
        <v>PEDIR YA</v>
      </c>
    </row>
    <row r="483" spans="1:12" x14ac:dyDescent="0.45">
      <c r="A483" t="s">
        <v>1119</v>
      </c>
      <c r="B483" t="s">
        <v>58</v>
      </c>
      <c r="C483">
        <v>1510</v>
      </c>
      <c r="D483">
        <v>209.9</v>
      </c>
      <c r="E483">
        <v>19</v>
      </c>
      <c r="F483">
        <v>5.0999999999999996</v>
      </c>
      <c r="G483">
        <v>1</v>
      </c>
      <c r="H483">
        <f t="shared" si="21"/>
        <v>353.49728001075198</v>
      </c>
      <c r="I483">
        <f t="shared" si="22"/>
        <v>1423.9872800107519</v>
      </c>
      <c r="J483">
        <f>SUMIFS(Transit_Clean[Quantity], Transit_Clean[Destination], A483, Transit_Clean[Item_Code], B483, Transit_Clean[SAP_Status], "In Transit")</f>
        <v>0</v>
      </c>
      <c r="K483">
        <f t="shared" si="23"/>
        <v>7.1939018580276324</v>
      </c>
      <c r="L483" t="str" cm="1">
        <f t="array" ref="L483">_xlfn.IFS(C483&lt;0,"DATO INVALIDO", C483+J483&lt;I483,"PEDIR YA", C483&lt;I483,"EN CAMINO OK", TRUE,"SANO")</f>
        <v>SANO</v>
      </c>
    </row>
    <row r="484" spans="1:12" x14ac:dyDescent="0.45">
      <c r="A484" t="s">
        <v>1126</v>
      </c>
      <c r="B484" t="s">
        <v>66</v>
      </c>
      <c r="C484">
        <v>7976</v>
      </c>
      <c r="D484">
        <v>550</v>
      </c>
      <c r="E484">
        <v>89</v>
      </c>
      <c r="F484">
        <v>1.1000000000000001</v>
      </c>
      <c r="G484">
        <v>0.2</v>
      </c>
      <c r="H484">
        <f t="shared" si="21"/>
        <v>238.04130891507043</v>
      </c>
      <c r="I484">
        <f t="shared" si="22"/>
        <v>843.04130891507043</v>
      </c>
      <c r="J484">
        <f>SUMIFS(Transit_Clean[Quantity], Transit_Clean[Destination], A484, Transit_Clean[Item_Code], B484, Transit_Clean[SAP_Status], "In Transit")</f>
        <v>0</v>
      </c>
      <c r="K484">
        <f t="shared" si="23"/>
        <v>14.501818181818182</v>
      </c>
      <c r="L484" t="str" cm="1">
        <f t="array" ref="L484">_xlfn.IFS(C484&lt;0,"DATO INVALIDO", C484+J484&lt;I484,"PEDIR YA", C484&lt;I484,"EN CAMINO OK", TRUE,"SANO")</f>
        <v>SANO</v>
      </c>
    </row>
    <row r="485" spans="1:12" x14ac:dyDescent="0.45">
      <c r="A485" t="s">
        <v>1125</v>
      </c>
      <c r="B485" t="s">
        <v>58</v>
      </c>
      <c r="C485">
        <v>1421</v>
      </c>
      <c r="D485">
        <v>194.7</v>
      </c>
      <c r="E485">
        <v>28.8</v>
      </c>
      <c r="F485">
        <v>1.4</v>
      </c>
      <c r="G485">
        <v>1.2</v>
      </c>
      <c r="H485">
        <f t="shared" si="21"/>
        <v>389.58476176051852</v>
      </c>
      <c r="I485">
        <f t="shared" si="22"/>
        <v>662.16476176051856</v>
      </c>
      <c r="J485">
        <f>SUMIFS(Transit_Clean[Quantity], Transit_Clean[Destination], A485, Transit_Clean[Item_Code], B485, Transit_Clean[SAP_Status], "In Transit")</f>
        <v>1573</v>
      </c>
      <c r="K485">
        <f t="shared" si="23"/>
        <v>7.2984078068823832</v>
      </c>
      <c r="L485" t="str" cm="1">
        <f t="array" ref="L485">_xlfn.IFS(C485&lt;0,"DATO INVALIDO", C485+J485&lt;I485,"PEDIR YA", C485&lt;I485,"EN CAMINO OK", TRUE,"SANO")</f>
        <v>SANO</v>
      </c>
    </row>
    <row r="486" spans="1:12" x14ac:dyDescent="0.45">
      <c r="A486" t="s">
        <v>1128</v>
      </c>
      <c r="B486" t="s">
        <v>52</v>
      </c>
      <c r="C486">
        <v>3990</v>
      </c>
      <c r="D486">
        <v>361.1</v>
      </c>
      <c r="E486">
        <v>139.19999999999999</v>
      </c>
      <c r="F486">
        <v>1.6</v>
      </c>
      <c r="G486">
        <v>0.5</v>
      </c>
      <c r="H486">
        <f t="shared" si="21"/>
        <v>416.11719790973552</v>
      </c>
      <c r="I486">
        <f t="shared" si="22"/>
        <v>993.87719790973563</v>
      </c>
      <c r="J486">
        <f>SUMIFS(Transit_Clean[Quantity], Transit_Clean[Destination], A486, Transit_Clean[Item_Code], B486, Transit_Clean[SAP_Status], "In Transit")</f>
        <v>5673</v>
      </c>
      <c r="K486">
        <f t="shared" si="23"/>
        <v>11.049570756023261</v>
      </c>
      <c r="L486" t="str" cm="1">
        <f t="array" ref="L486">_xlfn.IFS(C486&lt;0,"DATO INVALIDO", C486+J486&lt;I486,"PEDIR YA", C486&lt;I486,"EN CAMINO OK", TRUE,"SANO")</f>
        <v>SANO</v>
      </c>
    </row>
    <row r="487" spans="1:12" x14ac:dyDescent="0.45">
      <c r="A487" t="s">
        <v>1116</v>
      </c>
      <c r="B487" t="s">
        <v>58</v>
      </c>
      <c r="C487">
        <v>388</v>
      </c>
      <c r="D487">
        <v>293.89999999999998</v>
      </c>
      <c r="E487">
        <v>25.9</v>
      </c>
      <c r="F487">
        <v>4.2</v>
      </c>
      <c r="G487">
        <v>1.6</v>
      </c>
      <c r="H487">
        <f t="shared" si="21"/>
        <v>780.82327050428</v>
      </c>
      <c r="I487">
        <f t="shared" si="22"/>
        <v>2015.2032705042798</v>
      </c>
      <c r="J487">
        <f>SUMIFS(Transit_Clean[Quantity], Transit_Clean[Destination], A487, Transit_Clean[Item_Code], B487, Transit_Clean[SAP_Status], "In Transit")</f>
        <v>1387</v>
      </c>
      <c r="K487">
        <f t="shared" si="23"/>
        <v>1.3201769309288875</v>
      </c>
      <c r="L487" t="str" cm="1">
        <f t="array" ref="L487">_xlfn.IFS(C487&lt;0,"DATO INVALIDO", C487+J487&lt;I487,"PEDIR YA", C487&lt;I487,"EN CAMINO OK", TRUE,"SANO")</f>
        <v>PEDIR YA</v>
      </c>
    </row>
    <row r="488" spans="1:12" x14ac:dyDescent="0.45">
      <c r="A488" t="s">
        <v>1116</v>
      </c>
      <c r="B488" t="s">
        <v>81</v>
      </c>
      <c r="C488">
        <v>2580</v>
      </c>
      <c r="D488">
        <v>293</v>
      </c>
      <c r="E488">
        <v>33.1</v>
      </c>
      <c r="F488">
        <v>6.7</v>
      </c>
      <c r="G488">
        <v>1.6</v>
      </c>
      <c r="H488">
        <f t="shared" si="21"/>
        <v>786.33195185462228</v>
      </c>
      <c r="I488">
        <f t="shared" si="22"/>
        <v>2749.4319518546226</v>
      </c>
      <c r="J488">
        <f>SUMIFS(Transit_Clean[Quantity], Transit_Clean[Destination], A488, Transit_Clean[Item_Code], B488, Transit_Clean[SAP_Status], "In Transit")</f>
        <v>397</v>
      </c>
      <c r="K488">
        <f t="shared" si="23"/>
        <v>8.8054607508532428</v>
      </c>
      <c r="L488" t="str" cm="1">
        <f t="array" ref="L488">_xlfn.IFS(C488&lt;0,"DATO INVALIDO", C488+J488&lt;I488,"PEDIR YA", C488&lt;I488,"EN CAMINO OK", TRUE,"SANO")</f>
        <v>EN CAMINO OK</v>
      </c>
    </row>
    <row r="489" spans="1:12" x14ac:dyDescent="0.45">
      <c r="A489" t="s">
        <v>1125</v>
      </c>
      <c r="B489" t="s">
        <v>35</v>
      </c>
      <c r="C489">
        <v>3118</v>
      </c>
      <c r="D489">
        <v>395.1</v>
      </c>
      <c r="E489">
        <v>78.900000000000006</v>
      </c>
      <c r="F489">
        <v>2.7</v>
      </c>
      <c r="G489">
        <v>1.2</v>
      </c>
      <c r="H489">
        <f t="shared" si="21"/>
        <v>811.01795492547501</v>
      </c>
      <c r="I489">
        <f t="shared" si="22"/>
        <v>1877.7879549254753</v>
      </c>
      <c r="J489">
        <f>SUMIFS(Transit_Clean[Quantity], Transit_Clean[Destination], A489, Transit_Clean[Item_Code], B489, Transit_Clean[SAP_Status], "In Transit")</f>
        <v>0</v>
      </c>
      <c r="K489">
        <f t="shared" si="23"/>
        <v>7.8916729941786885</v>
      </c>
      <c r="L489" t="str" cm="1">
        <f t="array" ref="L489">_xlfn.IFS(C489&lt;0,"DATO INVALIDO", C489+J489&lt;I489,"PEDIR YA", C489&lt;I489,"EN CAMINO OK", TRUE,"SANO")</f>
        <v>SANO</v>
      </c>
    </row>
    <row r="490" spans="1:12" x14ac:dyDescent="0.45">
      <c r="A490" t="s">
        <v>1118</v>
      </c>
      <c r="B490" t="s">
        <v>1132</v>
      </c>
      <c r="C490">
        <v>863</v>
      </c>
      <c r="D490">
        <v>329.4</v>
      </c>
      <c r="E490">
        <v>30.8</v>
      </c>
      <c r="F490">
        <v>2.7</v>
      </c>
      <c r="G490">
        <v>1.5</v>
      </c>
      <c r="H490">
        <f t="shared" si="21"/>
        <v>819.53049711709923</v>
      </c>
      <c r="I490">
        <f t="shared" si="22"/>
        <v>1708.9104971170991</v>
      </c>
      <c r="J490">
        <f>SUMIFS(Transit_Clean[Quantity], Transit_Clean[Destination], A490, Transit_Clean[Item_Code], B490, Transit_Clean[SAP_Status], "In Transit")</f>
        <v>0</v>
      </c>
      <c r="K490">
        <f t="shared" si="23"/>
        <v>2.6199149969641775</v>
      </c>
      <c r="L490" t="str" cm="1">
        <f t="array" ref="L490">_xlfn.IFS(C490&lt;0,"DATO INVALIDO", C490+J490&lt;I490,"PEDIR YA", C490&lt;I490,"EN CAMINO OK", TRUE,"SANO")</f>
        <v>PEDIR YA</v>
      </c>
    </row>
    <row r="491" spans="1:12" x14ac:dyDescent="0.45">
      <c r="A491" t="s">
        <v>1128</v>
      </c>
      <c r="B491" t="s">
        <v>63</v>
      </c>
      <c r="C491">
        <v>9304</v>
      </c>
      <c r="D491">
        <v>750.7</v>
      </c>
      <c r="E491">
        <v>218.8</v>
      </c>
      <c r="F491">
        <v>1.7</v>
      </c>
      <c r="G491">
        <v>0.5</v>
      </c>
      <c r="H491">
        <f t="shared" si="21"/>
        <v>777.90539330708464</v>
      </c>
      <c r="I491">
        <f t="shared" si="22"/>
        <v>2054.0953933070846</v>
      </c>
      <c r="J491">
        <f>SUMIFS(Transit_Clean[Quantity], Transit_Clean[Destination], A491, Transit_Clean[Item_Code], B491, Transit_Clean[SAP_Status], "In Transit")</f>
        <v>1271</v>
      </c>
      <c r="K491">
        <f t="shared" si="23"/>
        <v>12.393765818569335</v>
      </c>
      <c r="L491" t="str" cm="1">
        <f t="array" ref="L491">_xlfn.IFS(C491&lt;0,"DATO INVALIDO", C491+J491&lt;I491,"PEDIR YA", C491&lt;I491,"EN CAMINO OK", TRUE,"SANO")</f>
        <v>SANO</v>
      </c>
    </row>
    <row r="492" spans="1:12" x14ac:dyDescent="0.45">
      <c r="A492" t="s">
        <v>1119</v>
      </c>
      <c r="B492" t="s">
        <v>62</v>
      </c>
      <c r="C492">
        <v>867</v>
      </c>
      <c r="D492">
        <v>159.30000000000001</v>
      </c>
      <c r="E492">
        <v>21.2</v>
      </c>
      <c r="F492">
        <v>3.1</v>
      </c>
      <c r="G492">
        <v>1</v>
      </c>
      <c r="H492">
        <f t="shared" si="21"/>
        <v>269.96417403981587</v>
      </c>
      <c r="I492">
        <f t="shared" si="22"/>
        <v>763.79417403981597</v>
      </c>
      <c r="J492">
        <f>SUMIFS(Transit_Clean[Quantity], Transit_Clean[Destination], A492, Transit_Clean[Item_Code], B492, Transit_Clean[SAP_Status], "In Transit")</f>
        <v>0</v>
      </c>
      <c r="K492">
        <f t="shared" si="23"/>
        <v>5.4425612052730692</v>
      </c>
      <c r="L492" t="str" cm="1">
        <f t="array" ref="L492">_xlfn.IFS(C492&lt;0,"DATO INVALIDO", C492+J492&lt;I492,"PEDIR YA", C492&lt;I492,"EN CAMINO OK", TRUE,"SANO")</f>
        <v>SANO</v>
      </c>
    </row>
    <row r="493" spans="1:12" x14ac:dyDescent="0.45">
      <c r="A493" t="s">
        <v>1124</v>
      </c>
      <c r="B493" t="s">
        <v>22</v>
      </c>
      <c r="D493">
        <v>163.19999999999999</v>
      </c>
      <c r="E493">
        <v>83</v>
      </c>
      <c r="F493">
        <v>1.5</v>
      </c>
      <c r="G493">
        <v>0.3</v>
      </c>
      <c r="H493">
        <f t="shared" si="21"/>
        <v>186.16930038542873</v>
      </c>
      <c r="I493">
        <f t="shared" si="22"/>
        <v>430.96930038542871</v>
      </c>
      <c r="J493">
        <f>SUMIFS(Transit_Clean[Quantity], Transit_Clean[Destination], A493, Transit_Clean[Item_Code], B493, Transit_Clean[SAP_Status], "In Transit")</f>
        <v>794</v>
      </c>
      <c r="K493">
        <f t="shared" si="23"/>
        <v>0</v>
      </c>
      <c r="L493" t="str" cm="1">
        <f t="array" ref="L493">_xlfn.IFS(C493&lt;0,"DATO INVALIDO", C493+J493&lt;I493,"PEDIR YA", C493&lt;I493,"EN CAMINO OK", TRUE,"SANO")</f>
        <v>EN CAMINO OK</v>
      </c>
    </row>
    <row r="494" spans="1:12" x14ac:dyDescent="0.45">
      <c r="A494" t="s">
        <v>1118</v>
      </c>
      <c r="B494" t="s">
        <v>20</v>
      </c>
      <c r="C494">
        <v>999999</v>
      </c>
      <c r="D494">
        <v>258.3</v>
      </c>
      <c r="E494">
        <v>45.5</v>
      </c>
      <c r="F494">
        <v>5.4</v>
      </c>
      <c r="G494">
        <v>1.5</v>
      </c>
      <c r="H494">
        <f t="shared" si="21"/>
        <v>662.66936018745423</v>
      </c>
      <c r="I494">
        <f t="shared" si="22"/>
        <v>2057.4893601874546</v>
      </c>
      <c r="J494">
        <f>SUMIFS(Transit_Clean[Quantity], Transit_Clean[Destination], A494, Transit_Clean[Item_Code], B494, Transit_Clean[SAP_Status], "In Transit")</f>
        <v>0</v>
      </c>
      <c r="K494">
        <f t="shared" si="23"/>
        <v>3871.4634146341464</v>
      </c>
      <c r="L494" t="str" cm="1">
        <f t="array" ref="L494">_xlfn.IFS(C494&lt;0,"DATO INVALIDO", C494+J494&lt;I494,"PEDIR YA", C494&lt;I494,"EN CAMINO OK", TRUE,"SANO")</f>
        <v>SANO</v>
      </c>
    </row>
    <row r="495" spans="1:12" x14ac:dyDescent="0.45">
      <c r="A495" t="s">
        <v>1126</v>
      </c>
      <c r="B495" t="s">
        <v>61</v>
      </c>
      <c r="C495">
        <v>3423</v>
      </c>
      <c r="D495">
        <v>345.5</v>
      </c>
      <c r="E495">
        <v>59.2</v>
      </c>
      <c r="F495">
        <v>0.9</v>
      </c>
      <c r="G495">
        <v>0.2</v>
      </c>
      <c r="H495">
        <f t="shared" si="21"/>
        <v>146.92400887873976</v>
      </c>
      <c r="I495">
        <f t="shared" si="22"/>
        <v>457.87400887873974</v>
      </c>
      <c r="J495">
        <f>SUMIFS(Transit_Clean[Quantity], Transit_Clean[Destination], A495, Transit_Clean[Item_Code], B495, Transit_Clean[SAP_Status], "In Transit")</f>
        <v>1710</v>
      </c>
      <c r="K495">
        <f t="shared" si="23"/>
        <v>9.9073806078147619</v>
      </c>
      <c r="L495" t="str" cm="1">
        <f t="array" ref="L495">_xlfn.IFS(C495&lt;0,"DATO INVALIDO", C495+J495&lt;I495,"PEDIR YA", C495&lt;I495,"EN CAMINO OK", TRUE,"SANO")</f>
        <v>SANO</v>
      </c>
    </row>
    <row r="496" spans="1:12" x14ac:dyDescent="0.45">
      <c r="A496" t="s">
        <v>1123</v>
      </c>
      <c r="B496" t="s">
        <v>97</v>
      </c>
      <c r="C496">
        <v>3175</v>
      </c>
      <c r="D496">
        <v>285.60000000000002</v>
      </c>
      <c r="E496">
        <v>117.1</v>
      </c>
      <c r="F496">
        <v>1.1000000000000001</v>
      </c>
      <c r="G496">
        <v>0.3</v>
      </c>
      <c r="H496">
        <f t="shared" si="21"/>
        <v>247.08557673708921</v>
      </c>
      <c r="I496">
        <f t="shared" si="22"/>
        <v>561.24557673708921</v>
      </c>
      <c r="J496">
        <f>SUMIFS(Transit_Clean[Quantity], Transit_Clean[Destination], A496, Transit_Clean[Item_Code], B496, Transit_Clean[SAP_Status], "In Transit")</f>
        <v>0</v>
      </c>
      <c r="K496">
        <f t="shared" si="23"/>
        <v>11.116946778711483</v>
      </c>
      <c r="L496" t="str" cm="1">
        <f t="array" ref="L496">_xlfn.IFS(C496&lt;0,"DATO INVALIDO", C496+J496&lt;I496,"PEDIR YA", C496&lt;I496,"EN CAMINO OK", TRUE,"SANO")</f>
        <v>SANO</v>
      </c>
    </row>
    <row r="497" spans="1:12" x14ac:dyDescent="0.45">
      <c r="A497" t="s">
        <v>1120</v>
      </c>
      <c r="B497" t="s">
        <v>83</v>
      </c>
      <c r="C497">
        <v>2132</v>
      </c>
      <c r="D497">
        <v>416.6</v>
      </c>
      <c r="E497">
        <v>115.2</v>
      </c>
      <c r="F497">
        <v>2.6</v>
      </c>
      <c r="G497">
        <v>0.5</v>
      </c>
      <c r="H497">
        <f t="shared" si="21"/>
        <v>460.50549363172644</v>
      </c>
      <c r="I497">
        <f t="shared" si="22"/>
        <v>1543.6654936317266</v>
      </c>
      <c r="J497">
        <f>SUMIFS(Transit_Clean[Quantity], Transit_Clean[Destination], A497, Transit_Clean[Item_Code], B497, Transit_Clean[SAP_Status], "In Transit")</f>
        <v>1523</v>
      </c>
      <c r="K497">
        <f t="shared" si="23"/>
        <v>5.1176188190110414</v>
      </c>
      <c r="L497" t="str" cm="1">
        <f t="array" ref="L497">_xlfn.IFS(C497&lt;0,"DATO INVALIDO", C497+J497&lt;I497,"PEDIR YA", C497&lt;I497,"EN CAMINO OK", TRUE,"SANO")</f>
        <v>SANO</v>
      </c>
    </row>
    <row r="498" spans="1:12" x14ac:dyDescent="0.45">
      <c r="A498" t="s">
        <v>1117</v>
      </c>
      <c r="B498" t="s">
        <v>87</v>
      </c>
      <c r="C498">
        <v>2134</v>
      </c>
      <c r="D498">
        <v>301.89999999999998</v>
      </c>
      <c r="E498">
        <v>37.700000000000003</v>
      </c>
      <c r="F498">
        <v>1.4</v>
      </c>
      <c r="G498">
        <v>0.5</v>
      </c>
      <c r="H498">
        <f t="shared" si="21"/>
        <v>259.71497144225242</v>
      </c>
      <c r="I498">
        <f t="shared" si="22"/>
        <v>682.37497144225244</v>
      </c>
      <c r="J498">
        <f>SUMIFS(Transit_Clean[Quantity], Transit_Clean[Destination], A498, Transit_Clean[Item_Code], B498, Transit_Clean[SAP_Status], "In Transit")</f>
        <v>0</v>
      </c>
      <c r="K498">
        <f t="shared" si="23"/>
        <v>7.0685657502484274</v>
      </c>
      <c r="L498" t="str" cm="1">
        <f t="array" ref="L498">_xlfn.IFS(C498&lt;0,"DATO INVALIDO", C498+J498&lt;I498,"PEDIR YA", C498&lt;I498,"EN CAMINO OK", TRUE,"SANO")</f>
        <v>SANO</v>
      </c>
    </row>
    <row r="499" spans="1:12" x14ac:dyDescent="0.45">
      <c r="A499" t="s">
        <v>1120</v>
      </c>
      <c r="B499" t="s">
        <v>52</v>
      </c>
      <c r="C499">
        <v>2542</v>
      </c>
      <c r="D499">
        <v>242.8</v>
      </c>
      <c r="E499">
        <v>66.8</v>
      </c>
      <c r="F499">
        <v>2</v>
      </c>
      <c r="G499">
        <v>0.5</v>
      </c>
      <c r="H499">
        <f t="shared" si="21"/>
        <v>253.81290924616107</v>
      </c>
      <c r="I499">
        <f t="shared" si="22"/>
        <v>739.41290924616112</v>
      </c>
      <c r="J499">
        <f>SUMIFS(Transit_Clean[Quantity], Transit_Clean[Destination], A499, Transit_Clean[Item_Code], B499, Transit_Clean[SAP_Status], "In Transit")</f>
        <v>0</v>
      </c>
      <c r="K499">
        <f t="shared" si="23"/>
        <v>10.469522240527182</v>
      </c>
      <c r="L499" t="str" cm="1">
        <f t="array" ref="L499">_xlfn.IFS(C499&lt;0,"DATO INVALIDO", C499+J499&lt;I499,"PEDIR YA", C499&lt;I499,"EN CAMINO OK", TRUE,"SANO")</f>
        <v>SANO</v>
      </c>
    </row>
    <row r="500" spans="1:12" x14ac:dyDescent="0.45">
      <c r="A500" t="s">
        <v>1124</v>
      </c>
      <c r="B500" t="s">
        <v>66</v>
      </c>
      <c r="C500">
        <v>4220</v>
      </c>
      <c r="D500">
        <v>432.8</v>
      </c>
      <c r="E500">
        <v>46.9</v>
      </c>
      <c r="F500">
        <v>1.1000000000000001</v>
      </c>
      <c r="G500">
        <v>0.3</v>
      </c>
      <c r="H500">
        <f t="shared" si="21"/>
        <v>229.09462181269117</v>
      </c>
      <c r="I500">
        <f t="shared" si="22"/>
        <v>705.17462181269116</v>
      </c>
      <c r="J500">
        <f>SUMIFS(Transit_Clean[Quantity], Transit_Clean[Destination], A500, Transit_Clean[Item_Code], B500, Transit_Clean[SAP_Status], "In Transit")</f>
        <v>473</v>
      </c>
      <c r="K500">
        <f t="shared" si="23"/>
        <v>9.7504621072088717</v>
      </c>
      <c r="L500" t="str" cm="1">
        <f t="array" ref="L500">_xlfn.IFS(C500&lt;0,"DATO INVALIDO", C500+J500&lt;I500,"PEDIR YA", C500&lt;I500,"EN CAMINO OK", TRUE,"SANO")</f>
        <v>SANO</v>
      </c>
    </row>
    <row r="501" spans="1:12" x14ac:dyDescent="0.45">
      <c r="A501" t="s">
        <v>1119</v>
      </c>
      <c r="B501" t="s">
        <v>69</v>
      </c>
      <c r="C501">
        <v>5194</v>
      </c>
      <c r="E501">
        <v>347.4</v>
      </c>
      <c r="F501">
        <v>3.3</v>
      </c>
      <c r="G501">
        <v>1</v>
      </c>
      <c r="H501">
        <f t="shared" si="21"/>
        <v>1041.2876756833336</v>
      </c>
      <c r="I501">
        <f t="shared" si="22"/>
        <v>1041.2876756833336</v>
      </c>
      <c r="J501">
        <f>SUMIFS(Transit_Clean[Quantity], Transit_Clean[Destination], A501, Transit_Clean[Item_Code], B501, Transit_Clean[SAP_Status], "In Transit")</f>
        <v>0</v>
      </c>
      <c r="K501" t="str">
        <f t="shared" si="23"/>
        <v/>
      </c>
      <c r="L501" t="str" cm="1">
        <f t="array" ref="L501">_xlfn.IFS(C501&lt;0,"DATO INVALIDO", C501+J501&lt;I501,"PEDIR YA", C501&lt;I501,"EN CAMINO OK", TRUE,"SANO")</f>
        <v>SANO</v>
      </c>
    </row>
    <row r="502" spans="1:12" x14ac:dyDescent="0.45">
      <c r="A502" t="s">
        <v>1128</v>
      </c>
      <c r="B502" t="s">
        <v>12</v>
      </c>
      <c r="C502">
        <v>1073</v>
      </c>
      <c r="D502">
        <v>351.8</v>
      </c>
      <c r="E502">
        <v>42.4</v>
      </c>
      <c r="F502">
        <v>3.3</v>
      </c>
      <c r="G502">
        <v>0.5</v>
      </c>
      <c r="H502">
        <f t="shared" si="21"/>
        <v>316.84046538439497</v>
      </c>
      <c r="I502">
        <f t="shared" si="22"/>
        <v>1477.780465384395</v>
      </c>
      <c r="J502">
        <f>SUMIFS(Transit_Clean[Quantity], Transit_Clean[Destination], A502, Transit_Clean[Item_Code], B502, Transit_Clean[SAP_Status], "In Transit")</f>
        <v>0</v>
      </c>
      <c r="K502">
        <f t="shared" si="23"/>
        <v>3.0500284252416145</v>
      </c>
      <c r="L502" t="str" cm="1">
        <f t="array" ref="L502">_xlfn.IFS(C502&lt;0,"DATO INVALIDO", C502+J502&lt;I502,"PEDIR YA", C502&lt;I502,"EN CAMINO OK", TRUE,"SANO")</f>
        <v>PEDIR YA</v>
      </c>
    </row>
    <row r="503" spans="1:12" x14ac:dyDescent="0.45">
      <c r="A503" t="s">
        <v>1114</v>
      </c>
      <c r="B503" t="s">
        <v>66</v>
      </c>
      <c r="C503">
        <v>1070</v>
      </c>
      <c r="D503">
        <v>327.7</v>
      </c>
      <c r="E503">
        <v>59.2</v>
      </c>
      <c r="F503">
        <v>3.5</v>
      </c>
      <c r="G503">
        <v>1.3</v>
      </c>
      <c r="H503">
        <f t="shared" si="21"/>
        <v>726.28262017774455</v>
      </c>
      <c r="I503">
        <f t="shared" si="22"/>
        <v>1873.2326201777446</v>
      </c>
      <c r="J503">
        <f>SUMIFS(Transit_Clean[Quantity], Transit_Clean[Destination], A503, Transit_Clean[Item_Code], B503, Transit_Clean[SAP_Status], "In Transit")</f>
        <v>1826</v>
      </c>
      <c r="K503">
        <f t="shared" si="23"/>
        <v>3.2651815685077814</v>
      </c>
      <c r="L503" t="str" cm="1">
        <f t="array" ref="L503">_xlfn.IFS(C503&lt;0,"DATO INVALIDO", C503+J503&lt;I503,"PEDIR YA", C503&lt;I503,"EN CAMINO OK", TRUE,"SANO")</f>
        <v>EN CAMINO OK</v>
      </c>
    </row>
    <row r="504" spans="1:12" x14ac:dyDescent="0.45">
      <c r="A504" t="s">
        <v>1127</v>
      </c>
      <c r="B504" t="s">
        <v>1130</v>
      </c>
      <c r="D504">
        <v>190.8</v>
      </c>
      <c r="E504">
        <v>122.6</v>
      </c>
      <c r="F504">
        <v>2.6</v>
      </c>
      <c r="G504">
        <v>0.9</v>
      </c>
      <c r="H504">
        <f t="shared" si="21"/>
        <v>432.05978394662003</v>
      </c>
      <c r="I504">
        <f t="shared" si="22"/>
        <v>928.13978394662013</v>
      </c>
      <c r="J504">
        <f>SUMIFS(Transit_Clean[Quantity], Transit_Clean[Destination], A504, Transit_Clean[Item_Code], B504, Transit_Clean[SAP_Status], "In Transit")</f>
        <v>4507</v>
      </c>
      <c r="K504">
        <f t="shared" si="23"/>
        <v>0</v>
      </c>
      <c r="L504" t="str" cm="1">
        <f t="array" ref="L504">_xlfn.IFS(C504&lt;0,"DATO INVALIDO", C504+J504&lt;I504,"PEDIR YA", C504&lt;I504,"EN CAMINO OK", TRUE,"SANO")</f>
        <v>EN CAMINO OK</v>
      </c>
    </row>
    <row r="505" spans="1:12" x14ac:dyDescent="0.45">
      <c r="A505" t="s">
        <v>1125</v>
      </c>
      <c r="B505" t="s">
        <v>77</v>
      </c>
      <c r="C505">
        <v>907</v>
      </c>
      <c r="E505">
        <v>113.6</v>
      </c>
      <c r="F505">
        <v>5.3</v>
      </c>
      <c r="G505">
        <v>1.2</v>
      </c>
      <c r="H505">
        <f t="shared" si="21"/>
        <v>431.51928587260147</v>
      </c>
      <c r="I505">
        <f t="shared" si="22"/>
        <v>431.51928587260147</v>
      </c>
      <c r="J505">
        <f>SUMIFS(Transit_Clean[Quantity], Transit_Clean[Destination], A505, Transit_Clean[Item_Code], B505, Transit_Clean[SAP_Status], "In Transit")</f>
        <v>0</v>
      </c>
      <c r="K505" t="str">
        <f t="shared" si="23"/>
        <v/>
      </c>
      <c r="L505" t="str" cm="1">
        <f t="array" ref="L505">_xlfn.IFS(C505&lt;0,"DATO INVALIDO", C505+J505&lt;I505,"PEDIR YA", C505&lt;I505,"EN CAMINO OK", TRUE,"SANO")</f>
        <v>SANO</v>
      </c>
    </row>
    <row r="506" spans="1:12" x14ac:dyDescent="0.45">
      <c r="A506" t="s">
        <v>1128</v>
      </c>
      <c r="B506" t="s">
        <v>1132</v>
      </c>
      <c r="C506">
        <v>1800</v>
      </c>
      <c r="D506">
        <v>489.3</v>
      </c>
      <c r="E506">
        <v>65.900000000000006</v>
      </c>
      <c r="F506">
        <v>2</v>
      </c>
      <c r="G506">
        <v>0.5</v>
      </c>
      <c r="H506">
        <f t="shared" si="21"/>
        <v>431.97000787815119</v>
      </c>
      <c r="I506">
        <f t="shared" si="22"/>
        <v>1410.5700078781513</v>
      </c>
      <c r="J506">
        <f>SUMIFS(Transit_Clean[Quantity], Transit_Clean[Destination], A506, Transit_Clean[Item_Code], B506, Transit_Clean[SAP_Status], "In Transit")</f>
        <v>0</v>
      </c>
      <c r="K506">
        <f t="shared" si="23"/>
        <v>3.6787247087676271</v>
      </c>
      <c r="L506" t="str" cm="1">
        <f t="array" ref="L506">_xlfn.IFS(C506&lt;0,"DATO INVALIDO", C506+J506&lt;I506,"PEDIR YA", C506&lt;I506,"EN CAMINO OK", TRUE,"SANO")</f>
        <v>SANO</v>
      </c>
    </row>
    <row r="507" spans="1:12" x14ac:dyDescent="0.45">
      <c r="A507" t="s">
        <v>1114</v>
      </c>
      <c r="B507" t="s">
        <v>43</v>
      </c>
      <c r="C507">
        <v>7416</v>
      </c>
      <c r="D507">
        <v>566.79999999999995</v>
      </c>
      <c r="E507">
        <v>287.5</v>
      </c>
      <c r="F507">
        <v>5.0999999999999996</v>
      </c>
      <c r="G507">
        <v>1.3</v>
      </c>
      <c r="H507">
        <f t="shared" si="21"/>
        <v>1620.4311046704513</v>
      </c>
      <c r="I507">
        <f t="shared" si="22"/>
        <v>4511.1111046704509</v>
      </c>
      <c r="J507">
        <f>SUMIFS(Transit_Clean[Quantity], Transit_Clean[Destination], A507, Transit_Clean[Item_Code], B507, Transit_Clean[SAP_Status], "In Transit")</f>
        <v>1468</v>
      </c>
      <c r="K507">
        <f t="shared" si="23"/>
        <v>13.083980239943545</v>
      </c>
      <c r="L507" t="str" cm="1">
        <f t="array" ref="L507">_xlfn.IFS(C507&lt;0,"DATO INVALIDO", C507+J507&lt;I507,"PEDIR YA", C507&lt;I507,"EN CAMINO OK", TRUE,"SANO")</f>
        <v>SANO</v>
      </c>
    </row>
    <row r="508" spans="1:12" x14ac:dyDescent="0.45">
      <c r="A508" t="s">
        <v>1118</v>
      </c>
      <c r="B508" t="s">
        <v>101</v>
      </c>
      <c r="C508">
        <v>6908</v>
      </c>
      <c r="D508">
        <v>402.5</v>
      </c>
      <c r="E508">
        <v>81.400000000000006</v>
      </c>
      <c r="F508">
        <v>5.2</v>
      </c>
      <c r="G508">
        <v>1.5</v>
      </c>
      <c r="H508">
        <f t="shared" si="21"/>
        <v>1042.2059541550557</v>
      </c>
      <c r="I508">
        <f t="shared" si="22"/>
        <v>3135.2059541550557</v>
      </c>
      <c r="J508">
        <f>SUMIFS(Transit_Clean[Quantity], Transit_Clean[Destination], A508, Transit_Clean[Item_Code], B508, Transit_Clean[SAP_Status], "In Transit")</f>
        <v>1217</v>
      </c>
      <c r="K508">
        <f t="shared" si="23"/>
        <v>17.162732919254658</v>
      </c>
      <c r="L508" t="str" cm="1">
        <f t="array" ref="L508">_xlfn.IFS(C508&lt;0,"DATO INVALIDO", C508+J508&lt;I508,"PEDIR YA", C508&lt;I508,"EN CAMINO OK", TRUE,"SANO")</f>
        <v>SANO</v>
      </c>
    </row>
    <row r="509" spans="1:12" x14ac:dyDescent="0.45">
      <c r="A509" t="s">
        <v>1123</v>
      </c>
      <c r="B509" t="s">
        <v>39</v>
      </c>
      <c r="C509">
        <v>869</v>
      </c>
      <c r="D509">
        <v>251.3</v>
      </c>
      <c r="E509">
        <v>47.9</v>
      </c>
      <c r="F509">
        <v>1.3</v>
      </c>
      <c r="G509">
        <v>0.3</v>
      </c>
      <c r="H509">
        <f t="shared" si="21"/>
        <v>153.60414523947588</v>
      </c>
      <c r="I509">
        <f t="shared" si="22"/>
        <v>480.29414523947588</v>
      </c>
      <c r="J509">
        <f>SUMIFS(Transit_Clean[Quantity], Transit_Clean[Destination], A509, Transit_Clean[Item_Code], B509, Transit_Clean[SAP_Status], "In Transit")</f>
        <v>1442</v>
      </c>
      <c r="K509">
        <f t="shared" si="23"/>
        <v>3.4580183048149622</v>
      </c>
      <c r="L509" t="str" cm="1">
        <f t="array" ref="L509">_xlfn.IFS(C509&lt;0,"DATO INVALIDO", C509+J509&lt;I509,"PEDIR YA", C509&lt;I509,"EN CAMINO OK", TRUE,"SANO")</f>
        <v>SANO</v>
      </c>
    </row>
    <row r="510" spans="1:12" x14ac:dyDescent="0.45">
      <c r="A510" t="s">
        <v>1126</v>
      </c>
      <c r="B510" t="s">
        <v>95</v>
      </c>
      <c r="C510">
        <v>9565</v>
      </c>
      <c r="D510">
        <v>556</v>
      </c>
      <c r="E510">
        <v>64.5</v>
      </c>
      <c r="F510">
        <v>1.1000000000000001</v>
      </c>
      <c r="G510">
        <v>0.2</v>
      </c>
      <c r="H510">
        <f t="shared" si="21"/>
        <v>214.76456664799247</v>
      </c>
      <c r="I510">
        <f t="shared" si="22"/>
        <v>826.36456664799243</v>
      </c>
      <c r="J510">
        <f>SUMIFS(Transit_Clean[Quantity], Transit_Clean[Destination], A510, Transit_Clean[Item_Code], B510, Transit_Clean[SAP_Status], "In Transit")</f>
        <v>0</v>
      </c>
      <c r="K510">
        <f t="shared" si="23"/>
        <v>17.203237410071942</v>
      </c>
      <c r="L510" t="str" cm="1">
        <f t="array" ref="L510">_xlfn.IFS(C510&lt;0,"DATO INVALIDO", C510+J510&lt;I510,"PEDIR YA", C510&lt;I510,"EN CAMINO OK", TRUE,"SANO")</f>
        <v>SANO</v>
      </c>
    </row>
    <row r="511" spans="1:12" x14ac:dyDescent="0.45">
      <c r="A511" t="s">
        <v>1127</v>
      </c>
      <c r="B511" t="s">
        <v>40</v>
      </c>
      <c r="C511">
        <v>1300</v>
      </c>
      <c r="E511">
        <v>19.100000000000001</v>
      </c>
      <c r="F511">
        <v>2.9</v>
      </c>
      <c r="G511">
        <v>0.9</v>
      </c>
      <c r="H511">
        <f t="shared" si="21"/>
        <v>53.668111132217049</v>
      </c>
      <c r="I511">
        <f t="shared" si="22"/>
        <v>53.668111132217049</v>
      </c>
      <c r="J511">
        <f>SUMIFS(Transit_Clean[Quantity], Transit_Clean[Destination], A511, Transit_Clean[Item_Code], B511, Transit_Clean[SAP_Status], "In Transit")</f>
        <v>0</v>
      </c>
      <c r="K511" t="str">
        <f t="shared" si="23"/>
        <v/>
      </c>
      <c r="L511" t="str" cm="1">
        <f t="array" ref="L511">_xlfn.IFS(C511&lt;0,"DATO INVALIDO", C511+J511&lt;I511,"PEDIR YA", C511&lt;I511,"EN CAMINO OK", TRUE,"SANO")</f>
        <v>SANO</v>
      </c>
    </row>
    <row r="512" spans="1:12" x14ac:dyDescent="0.45">
      <c r="A512" t="s">
        <v>1128</v>
      </c>
      <c r="B512" t="s">
        <v>95</v>
      </c>
      <c r="C512">
        <v>587</v>
      </c>
      <c r="D512">
        <v>142.4</v>
      </c>
      <c r="E512">
        <v>15.3</v>
      </c>
      <c r="F512">
        <v>2</v>
      </c>
      <c r="G512">
        <v>0.5</v>
      </c>
      <c r="H512">
        <f t="shared" si="21"/>
        <v>122.78505792644316</v>
      </c>
      <c r="I512">
        <f t="shared" si="22"/>
        <v>407.58505792644314</v>
      </c>
      <c r="J512">
        <f>SUMIFS(Transit_Clean[Quantity], Transit_Clean[Destination], A512, Transit_Clean[Item_Code], B512, Transit_Clean[SAP_Status], "In Transit")</f>
        <v>508</v>
      </c>
      <c r="K512">
        <f t="shared" si="23"/>
        <v>4.1221910112359552</v>
      </c>
      <c r="L512" t="str" cm="1">
        <f t="array" ref="L512">_xlfn.IFS(C512&lt;0,"DATO INVALIDO", C512+J512&lt;I512,"PEDIR YA", C512&lt;I512,"EN CAMINO OK", TRUE,"SANO")</f>
        <v>SANO</v>
      </c>
    </row>
    <row r="513" spans="1:12" x14ac:dyDescent="0.45">
      <c r="A513" t="s">
        <v>1123</v>
      </c>
      <c r="B513" t="s">
        <v>40</v>
      </c>
      <c r="C513">
        <v>2336</v>
      </c>
      <c r="D513">
        <v>403.1</v>
      </c>
      <c r="E513">
        <v>42.3</v>
      </c>
      <c r="F513">
        <v>1</v>
      </c>
      <c r="G513">
        <v>0.3</v>
      </c>
      <c r="H513">
        <f t="shared" si="21"/>
        <v>211.38911683256072</v>
      </c>
      <c r="I513">
        <f t="shared" si="22"/>
        <v>614.48911683256074</v>
      </c>
      <c r="J513">
        <f>SUMIFS(Transit_Clean[Quantity], Transit_Clean[Destination], A513, Transit_Clean[Item_Code], B513, Transit_Clean[SAP_Status], "In Transit")</f>
        <v>0</v>
      </c>
      <c r="K513">
        <f t="shared" si="23"/>
        <v>5.7950880674770522</v>
      </c>
      <c r="L513" t="str" cm="1">
        <f t="array" ref="L513">_xlfn.IFS(C513&lt;0,"DATO INVALIDO", C513+J513&lt;I513,"PEDIR YA", C513&lt;I513,"EN CAMINO OK", TRUE,"SANO")</f>
        <v>SANO</v>
      </c>
    </row>
    <row r="514" spans="1:12" x14ac:dyDescent="0.45">
      <c r="A514" t="s">
        <v>1121</v>
      </c>
      <c r="B514" t="s">
        <v>24</v>
      </c>
      <c r="C514">
        <v>3341</v>
      </c>
      <c r="D514">
        <v>465.6</v>
      </c>
      <c r="E514">
        <v>120.7</v>
      </c>
      <c r="F514">
        <v>1.5</v>
      </c>
      <c r="G514">
        <v>0.4</v>
      </c>
      <c r="H514">
        <f t="shared" si="21"/>
        <v>392.33264285998433</v>
      </c>
      <c r="I514">
        <f t="shared" si="22"/>
        <v>1090.7326428599845</v>
      </c>
      <c r="J514">
        <f>SUMIFS(Transit_Clean[Quantity], Transit_Clean[Destination], A514, Transit_Clean[Item_Code], B514, Transit_Clean[SAP_Status], "In Transit")</f>
        <v>0</v>
      </c>
      <c r="K514">
        <f t="shared" si="23"/>
        <v>7.1756872852233675</v>
      </c>
      <c r="L514" t="str" cm="1">
        <f t="array" ref="L514">_xlfn.IFS(C514&lt;0,"DATO INVALIDO", C514+J514&lt;I514,"PEDIR YA", C514&lt;I514,"EN CAMINO OK", TRUE,"SANO")</f>
        <v>SANO</v>
      </c>
    </row>
    <row r="515" spans="1:12" x14ac:dyDescent="0.45">
      <c r="A515" t="s">
        <v>1120</v>
      </c>
      <c r="B515" t="s">
        <v>87</v>
      </c>
      <c r="C515">
        <v>4732</v>
      </c>
      <c r="D515">
        <v>601.70000000000005</v>
      </c>
      <c r="E515">
        <v>69.400000000000006</v>
      </c>
      <c r="F515">
        <v>1.5</v>
      </c>
      <c r="G515">
        <v>0.5</v>
      </c>
      <c r="H515">
        <f t="shared" ref="H515:H578" si="24">IFERROR(1.65*SQRT(F515*E515^2 + D515^2*G515^2), "")</f>
        <v>515.83355082453681</v>
      </c>
      <c r="I515">
        <f t="shared" ref="I515:I578" si="25">IFERROR(D515*F515 + H515, "")</f>
        <v>1418.383550824537</v>
      </c>
      <c r="J515">
        <f>SUMIFS(Transit_Clean[Quantity], Transit_Clean[Destination], A515, Transit_Clean[Item_Code], B515, Transit_Clean[SAP_Status], "In Transit")</f>
        <v>0</v>
      </c>
      <c r="K515">
        <f t="shared" ref="K515:K578" si="26">IFERROR(C515/D515, "")</f>
        <v>7.8643842446401857</v>
      </c>
      <c r="L515" t="str" cm="1">
        <f t="array" ref="L515">_xlfn.IFS(C515&lt;0,"DATO INVALIDO", C515+J515&lt;I515,"PEDIR YA", C515&lt;I515,"EN CAMINO OK", TRUE,"SANO")</f>
        <v>SANO</v>
      </c>
    </row>
    <row r="516" spans="1:12" x14ac:dyDescent="0.45">
      <c r="A516" t="s">
        <v>1125</v>
      </c>
      <c r="B516" t="s">
        <v>92</v>
      </c>
      <c r="C516">
        <v>1025</v>
      </c>
      <c r="D516">
        <v>150.80000000000001</v>
      </c>
      <c r="E516">
        <v>46.8</v>
      </c>
      <c r="F516">
        <v>2.1</v>
      </c>
      <c r="G516">
        <v>1.2</v>
      </c>
      <c r="H516">
        <f t="shared" si="24"/>
        <v>318.86447700551406</v>
      </c>
      <c r="I516">
        <f t="shared" si="25"/>
        <v>635.54447700551418</v>
      </c>
      <c r="J516">
        <f>SUMIFS(Transit_Clean[Quantity], Transit_Clean[Destination], A516, Transit_Clean[Item_Code], B516, Transit_Clean[SAP_Status], "In Transit")</f>
        <v>0</v>
      </c>
      <c r="K516">
        <f t="shared" si="26"/>
        <v>6.79708222811671</v>
      </c>
      <c r="L516" t="str" cm="1">
        <f t="array" ref="L516">_xlfn.IFS(C516&lt;0,"DATO INVALIDO", C516+J516&lt;I516,"PEDIR YA", C516&lt;I516,"EN CAMINO OK", TRUE,"SANO")</f>
        <v>SANO</v>
      </c>
    </row>
    <row r="517" spans="1:12" x14ac:dyDescent="0.45">
      <c r="A517" t="s">
        <v>1128</v>
      </c>
      <c r="B517" t="s">
        <v>1131</v>
      </c>
      <c r="C517">
        <v>968</v>
      </c>
      <c r="D517">
        <v>103</v>
      </c>
      <c r="E517">
        <v>49.2</v>
      </c>
      <c r="F517">
        <v>2.2999999999999998</v>
      </c>
      <c r="G517">
        <v>0.5</v>
      </c>
      <c r="H517">
        <f t="shared" si="24"/>
        <v>149.59342614232753</v>
      </c>
      <c r="I517">
        <f t="shared" si="25"/>
        <v>386.49342614232751</v>
      </c>
      <c r="J517">
        <f>SUMIFS(Transit_Clean[Quantity], Transit_Clean[Destination], A517, Transit_Clean[Item_Code], B517, Transit_Clean[SAP_Status], "In Transit")</f>
        <v>1677</v>
      </c>
      <c r="K517">
        <f t="shared" si="26"/>
        <v>9.3980582524271838</v>
      </c>
      <c r="L517" t="str" cm="1">
        <f t="array" ref="L517">_xlfn.IFS(C517&lt;0,"DATO INVALIDO", C517+J517&lt;I517,"PEDIR YA", C517&lt;I517,"EN CAMINO OK", TRUE,"SANO")</f>
        <v>SANO</v>
      </c>
    </row>
    <row r="518" spans="1:12" x14ac:dyDescent="0.45">
      <c r="A518" t="s">
        <v>1115</v>
      </c>
      <c r="B518" t="s">
        <v>20</v>
      </c>
      <c r="C518">
        <v>6404</v>
      </c>
      <c r="D518">
        <v>405.6</v>
      </c>
      <c r="E518">
        <v>50.2</v>
      </c>
      <c r="F518">
        <v>2.1</v>
      </c>
      <c r="G518">
        <v>0.6</v>
      </c>
      <c r="H518">
        <f t="shared" si="24"/>
        <v>419.10056385788846</v>
      </c>
      <c r="I518">
        <f t="shared" si="25"/>
        <v>1270.8605638578886</v>
      </c>
      <c r="J518">
        <f>SUMIFS(Transit_Clean[Quantity], Transit_Clean[Destination], A518, Transit_Clean[Item_Code], B518, Transit_Clean[SAP_Status], "In Transit")</f>
        <v>0</v>
      </c>
      <c r="K518">
        <f t="shared" si="26"/>
        <v>15.78895463510848</v>
      </c>
      <c r="L518" t="str" cm="1">
        <f t="array" ref="L518">_xlfn.IFS(C518&lt;0,"DATO INVALIDO", C518+J518&lt;I518,"PEDIR YA", C518&lt;I518,"EN CAMINO OK", TRUE,"SANO")</f>
        <v>SANO</v>
      </c>
    </row>
    <row r="519" spans="1:12" x14ac:dyDescent="0.45">
      <c r="A519" t="s">
        <v>1114</v>
      </c>
      <c r="B519" t="s">
        <v>32</v>
      </c>
      <c r="C519">
        <v>1790</v>
      </c>
      <c r="D519">
        <v>243.7</v>
      </c>
      <c r="E519">
        <v>101.7</v>
      </c>
      <c r="F519">
        <v>5.5</v>
      </c>
      <c r="G519">
        <v>1.3</v>
      </c>
      <c r="H519">
        <f t="shared" si="24"/>
        <v>654.31284380619491</v>
      </c>
      <c r="I519">
        <f t="shared" si="25"/>
        <v>1994.6628438061948</v>
      </c>
      <c r="J519">
        <f>SUMIFS(Transit_Clean[Quantity], Transit_Clean[Destination], A519, Transit_Clean[Item_Code], B519, Transit_Clean[SAP_Status], "In Transit")</f>
        <v>0</v>
      </c>
      <c r="K519">
        <f t="shared" si="26"/>
        <v>7.3450964300369312</v>
      </c>
      <c r="L519" t="str" cm="1">
        <f t="array" ref="L519">_xlfn.IFS(C519&lt;0,"DATO INVALIDO", C519+J519&lt;I519,"PEDIR YA", C519&lt;I519,"EN CAMINO OK", TRUE,"SANO")</f>
        <v>PEDIR YA</v>
      </c>
    </row>
    <row r="520" spans="1:12" x14ac:dyDescent="0.45">
      <c r="A520" t="s">
        <v>1120</v>
      </c>
      <c r="B520" t="s">
        <v>91</v>
      </c>
      <c r="C520">
        <v>1859</v>
      </c>
      <c r="D520">
        <v>720.2</v>
      </c>
      <c r="E520">
        <v>341.6</v>
      </c>
      <c r="F520">
        <v>2</v>
      </c>
      <c r="G520">
        <v>0.5</v>
      </c>
      <c r="H520">
        <f t="shared" si="24"/>
        <v>994.18919045873747</v>
      </c>
      <c r="I520">
        <f t="shared" si="25"/>
        <v>2434.5891904587374</v>
      </c>
      <c r="J520">
        <f>SUMIFS(Transit_Clean[Quantity], Transit_Clean[Destination], A520, Transit_Clean[Item_Code], B520, Transit_Clean[SAP_Status], "In Transit")</f>
        <v>0</v>
      </c>
      <c r="K520">
        <f t="shared" si="26"/>
        <v>2.5812274368231045</v>
      </c>
      <c r="L520" t="str" cm="1">
        <f t="array" ref="L520">_xlfn.IFS(C520&lt;0,"DATO INVALIDO", C520+J520&lt;I520,"PEDIR YA", C520&lt;I520,"EN CAMINO OK", TRUE,"SANO")</f>
        <v>PEDIR YA</v>
      </c>
    </row>
    <row r="521" spans="1:12" x14ac:dyDescent="0.45">
      <c r="A521" t="s">
        <v>1122</v>
      </c>
      <c r="B521" t="s">
        <v>81</v>
      </c>
      <c r="C521">
        <v>552</v>
      </c>
      <c r="E521">
        <v>46.5</v>
      </c>
      <c r="F521">
        <v>0.9</v>
      </c>
      <c r="G521">
        <v>0.2</v>
      </c>
      <c r="H521">
        <f t="shared" si="24"/>
        <v>72.787726042925669</v>
      </c>
      <c r="I521">
        <f t="shared" si="25"/>
        <v>72.787726042925669</v>
      </c>
      <c r="J521">
        <f>SUMIFS(Transit_Clean[Quantity], Transit_Clean[Destination], A521, Transit_Clean[Item_Code], B521, Transit_Clean[SAP_Status], "In Transit")</f>
        <v>935</v>
      </c>
      <c r="K521" t="str">
        <f t="shared" si="26"/>
        <v/>
      </c>
      <c r="L521" t="str" cm="1">
        <f t="array" ref="L521">_xlfn.IFS(C521&lt;0,"DATO INVALIDO", C521+J521&lt;I521,"PEDIR YA", C521&lt;I521,"EN CAMINO OK", TRUE,"SANO")</f>
        <v>SANO</v>
      </c>
    </row>
    <row r="522" spans="1:12" x14ac:dyDescent="0.45">
      <c r="A522" t="s">
        <v>1127</v>
      </c>
      <c r="B522" t="s">
        <v>37</v>
      </c>
      <c r="C522">
        <v>2383</v>
      </c>
      <c r="D522">
        <v>588</v>
      </c>
      <c r="E522">
        <v>382.7</v>
      </c>
      <c r="F522">
        <v>4.2</v>
      </c>
      <c r="G522">
        <v>0.9</v>
      </c>
      <c r="H522">
        <f t="shared" si="24"/>
        <v>1561.1316612973421</v>
      </c>
      <c r="I522">
        <f t="shared" si="25"/>
        <v>4030.7316612973418</v>
      </c>
      <c r="J522">
        <f>SUMIFS(Transit_Clean[Quantity], Transit_Clean[Destination], A522, Transit_Clean[Item_Code], B522, Transit_Clean[SAP_Status], "In Transit")</f>
        <v>1565</v>
      </c>
      <c r="K522">
        <f t="shared" si="26"/>
        <v>4.0527210884353737</v>
      </c>
      <c r="L522" t="str" cm="1">
        <f t="array" ref="L522">_xlfn.IFS(C522&lt;0,"DATO INVALIDO", C522+J522&lt;I522,"PEDIR YA", C522&lt;I522,"EN CAMINO OK", TRUE,"SANO")</f>
        <v>PEDIR YA</v>
      </c>
    </row>
    <row r="523" spans="1:12" x14ac:dyDescent="0.45">
      <c r="A523" t="s">
        <v>1117</v>
      </c>
      <c r="B523" t="s">
        <v>30</v>
      </c>
      <c r="C523">
        <v>6595</v>
      </c>
      <c r="D523">
        <v>552.29999999999995</v>
      </c>
      <c r="E523">
        <v>113.9</v>
      </c>
      <c r="F523">
        <v>2.4</v>
      </c>
      <c r="G523">
        <v>0.5</v>
      </c>
      <c r="H523">
        <f t="shared" si="24"/>
        <v>540.72321791860384</v>
      </c>
      <c r="I523">
        <f t="shared" si="25"/>
        <v>1866.2432179186035</v>
      </c>
      <c r="J523">
        <f>SUMIFS(Transit_Clean[Quantity], Transit_Clean[Destination], A523, Transit_Clean[Item_Code], B523, Transit_Clean[SAP_Status], "In Transit")</f>
        <v>3828</v>
      </c>
      <c r="K523">
        <f t="shared" si="26"/>
        <v>11.940974108274489</v>
      </c>
      <c r="L523" t="str" cm="1">
        <f t="array" ref="L523">_xlfn.IFS(C523&lt;0,"DATO INVALIDO", C523+J523&lt;I523,"PEDIR YA", C523&lt;I523,"EN CAMINO OK", TRUE,"SANO")</f>
        <v>SANO</v>
      </c>
    </row>
    <row r="524" spans="1:12" x14ac:dyDescent="0.45">
      <c r="A524" t="s">
        <v>1120</v>
      </c>
      <c r="B524" t="s">
        <v>1131</v>
      </c>
      <c r="C524">
        <v>10631</v>
      </c>
      <c r="D524">
        <v>651.6</v>
      </c>
      <c r="E524">
        <v>357.3</v>
      </c>
      <c r="F524">
        <v>2.1</v>
      </c>
      <c r="G524">
        <v>0.5</v>
      </c>
      <c r="H524">
        <f t="shared" si="24"/>
        <v>1009.3881560888753</v>
      </c>
      <c r="I524">
        <f t="shared" si="25"/>
        <v>2377.7481560888755</v>
      </c>
      <c r="J524">
        <f>SUMIFS(Transit_Clean[Quantity], Transit_Clean[Destination], A524, Transit_Clean[Item_Code], B524, Transit_Clean[SAP_Status], "In Transit")</f>
        <v>3522</v>
      </c>
      <c r="K524">
        <f t="shared" si="26"/>
        <v>16.315224063842848</v>
      </c>
      <c r="L524" t="str" cm="1">
        <f t="array" ref="L524">_xlfn.IFS(C524&lt;0,"DATO INVALIDO", C524+J524&lt;I524,"PEDIR YA", C524&lt;I524,"EN CAMINO OK", TRUE,"SANO")</f>
        <v>SANO</v>
      </c>
    </row>
    <row r="525" spans="1:12" x14ac:dyDescent="0.45">
      <c r="A525" t="s">
        <v>1124</v>
      </c>
      <c r="B525" t="s">
        <v>93</v>
      </c>
      <c r="C525">
        <v>3273</v>
      </c>
      <c r="D525">
        <v>333</v>
      </c>
      <c r="E525">
        <v>61.3</v>
      </c>
      <c r="F525">
        <v>0.6</v>
      </c>
      <c r="G525">
        <v>0.3</v>
      </c>
      <c r="H525">
        <f t="shared" si="24"/>
        <v>182.5068871029255</v>
      </c>
      <c r="I525">
        <f t="shared" si="25"/>
        <v>382.30688710292549</v>
      </c>
      <c r="J525">
        <f>SUMIFS(Transit_Clean[Quantity], Transit_Clean[Destination], A525, Transit_Clean[Item_Code], B525, Transit_Clean[SAP_Status], "In Transit")</f>
        <v>409</v>
      </c>
      <c r="K525">
        <f t="shared" si="26"/>
        <v>9.8288288288288292</v>
      </c>
      <c r="L525" t="str" cm="1">
        <f t="array" ref="L525">_xlfn.IFS(C525&lt;0,"DATO INVALIDO", C525+J525&lt;I525,"PEDIR YA", C525&lt;I525,"EN CAMINO OK", TRUE,"SANO")</f>
        <v>SANO</v>
      </c>
    </row>
    <row r="526" spans="1:12" x14ac:dyDescent="0.45">
      <c r="A526" t="s">
        <v>1123</v>
      </c>
      <c r="B526" t="s">
        <v>87</v>
      </c>
      <c r="C526">
        <v>2500</v>
      </c>
      <c r="D526">
        <v>384.1</v>
      </c>
      <c r="E526">
        <v>69.7</v>
      </c>
      <c r="F526">
        <v>1.1000000000000001</v>
      </c>
      <c r="G526">
        <v>0.3</v>
      </c>
      <c r="H526">
        <f t="shared" si="24"/>
        <v>225.1621455701424</v>
      </c>
      <c r="I526">
        <f t="shared" si="25"/>
        <v>647.67214557014245</v>
      </c>
      <c r="J526">
        <f>SUMIFS(Transit_Clean[Quantity], Transit_Clean[Destination], A526, Transit_Clean[Item_Code], B526, Transit_Clean[SAP_Status], "In Transit")</f>
        <v>0</v>
      </c>
      <c r="K526">
        <f t="shared" si="26"/>
        <v>6.5087216870606612</v>
      </c>
      <c r="L526" t="str" cm="1">
        <f t="array" ref="L526">_xlfn.IFS(C526&lt;0,"DATO INVALIDO", C526+J526&lt;I526,"PEDIR YA", C526&lt;I526,"EN CAMINO OK", TRUE,"SANO")</f>
        <v>SANO</v>
      </c>
    </row>
    <row r="527" spans="1:12" x14ac:dyDescent="0.45">
      <c r="A527" t="s">
        <v>1125</v>
      </c>
      <c r="B527" t="s">
        <v>1129</v>
      </c>
      <c r="C527">
        <v>8264</v>
      </c>
      <c r="D527">
        <v>518.79999999999995</v>
      </c>
      <c r="E527">
        <v>146.30000000000001</v>
      </c>
      <c r="F527">
        <v>3.1</v>
      </c>
      <c r="G527">
        <v>1.2</v>
      </c>
      <c r="H527">
        <f t="shared" si="24"/>
        <v>1111.6793327455086</v>
      </c>
      <c r="I527">
        <f t="shared" si="25"/>
        <v>2719.9593327455086</v>
      </c>
      <c r="J527">
        <f>SUMIFS(Transit_Clean[Quantity], Transit_Clean[Destination], A527, Transit_Clean[Item_Code], B527, Transit_Clean[SAP_Status], "In Transit")</f>
        <v>4221</v>
      </c>
      <c r="K527">
        <f t="shared" si="26"/>
        <v>15.929067077872014</v>
      </c>
      <c r="L527" t="str" cm="1">
        <f t="array" ref="L527">_xlfn.IFS(C527&lt;0,"DATO INVALIDO", C527+J527&lt;I527,"PEDIR YA", C527&lt;I527,"EN CAMINO OK", TRUE,"SANO")</f>
        <v>SANO</v>
      </c>
    </row>
    <row r="528" spans="1:12" x14ac:dyDescent="0.45">
      <c r="A528" t="s">
        <v>1116</v>
      </c>
      <c r="B528" t="s">
        <v>60</v>
      </c>
      <c r="C528">
        <v>702</v>
      </c>
      <c r="D528">
        <v>328.8</v>
      </c>
      <c r="E528">
        <v>64.900000000000006</v>
      </c>
      <c r="F528">
        <v>3</v>
      </c>
      <c r="G528">
        <v>1.6</v>
      </c>
      <c r="H528">
        <f t="shared" si="24"/>
        <v>887.62669219610564</v>
      </c>
      <c r="I528">
        <f t="shared" si="25"/>
        <v>1874.0266921961056</v>
      </c>
      <c r="J528">
        <f>SUMIFS(Transit_Clean[Quantity], Transit_Clean[Destination], A528, Transit_Clean[Item_Code], B528, Transit_Clean[SAP_Status], "In Transit")</f>
        <v>0</v>
      </c>
      <c r="K528">
        <f t="shared" si="26"/>
        <v>2.1350364963503647</v>
      </c>
      <c r="L528" t="str" cm="1">
        <f t="array" ref="L528">_xlfn.IFS(C528&lt;0,"DATO INVALIDO", C528+J528&lt;I528,"PEDIR YA", C528&lt;I528,"EN CAMINO OK", TRUE,"SANO")</f>
        <v>PEDIR YA</v>
      </c>
    </row>
    <row r="529" spans="1:12" x14ac:dyDescent="0.45">
      <c r="A529" t="s">
        <v>1118</v>
      </c>
      <c r="B529" t="s">
        <v>42</v>
      </c>
      <c r="C529">
        <v>184</v>
      </c>
      <c r="D529">
        <v>261.10000000000002</v>
      </c>
      <c r="E529">
        <v>91.4</v>
      </c>
      <c r="F529">
        <v>4.8</v>
      </c>
      <c r="G529">
        <v>1.5</v>
      </c>
      <c r="H529">
        <f t="shared" si="24"/>
        <v>725.79133970188013</v>
      </c>
      <c r="I529">
        <f t="shared" si="25"/>
        <v>1979.0713397018801</v>
      </c>
      <c r="J529">
        <f>SUMIFS(Transit_Clean[Quantity], Transit_Clean[Destination], A529, Transit_Clean[Item_Code], B529, Transit_Clean[SAP_Status], "In Transit")</f>
        <v>0</v>
      </c>
      <c r="K529">
        <f t="shared" si="26"/>
        <v>0.70471083875909613</v>
      </c>
      <c r="L529" t="str" cm="1">
        <f t="array" ref="L529">_xlfn.IFS(C529&lt;0,"DATO INVALIDO", C529+J529&lt;I529,"PEDIR YA", C529&lt;I529,"EN CAMINO OK", TRUE,"SANO")</f>
        <v>PEDIR YA</v>
      </c>
    </row>
    <row r="530" spans="1:12" x14ac:dyDescent="0.45">
      <c r="A530" t="s">
        <v>1125</v>
      </c>
      <c r="B530" t="s">
        <v>87</v>
      </c>
      <c r="C530">
        <v>2586</v>
      </c>
      <c r="D530">
        <v>251.4</v>
      </c>
      <c r="E530">
        <v>32</v>
      </c>
      <c r="F530">
        <v>2.6</v>
      </c>
      <c r="G530">
        <v>1.2</v>
      </c>
      <c r="H530">
        <f t="shared" si="24"/>
        <v>505.00034453849634</v>
      </c>
      <c r="I530">
        <f t="shared" si="25"/>
        <v>1158.6403445384963</v>
      </c>
      <c r="J530">
        <f>SUMIFS(Transit_Clean[Quantity], Transit_Clean[Destination], A530, Transit_Clean[Item_Code], B530, Transit_Clean[SAP_Status], "In Transit")</f>
        <v>2889</v>
      </c>
      <c r="K530">
        <f t="shared" si="26"/>
        <v>10.286396181384248</v>
      </c>
      <c r="L530" t="str" cm="1">
        <f t="array" ref="L530">_xlfn.IFS(C530&lt;0,"DATO INVALIDO", C530+J530&lt;I530,"PEDIR YA", C530&lt;I530,"EN CAMINO OK", TRUE,"SANO")</f>
        <v>SANO</v>
      </c>
    </row>
    <row r="531" spans="1:12" x14ac:dyDescent="0.45">
      <c r="A531" t="s">
        <v>1114</v>
      </c>
      <c r="B531" t="s">
        <v>28</v>
      </c>
      <c r="C531">
        <v>2917</v>
      </c>
      <c r="D531">
        <v>285.89999999999998</v>
      </c>
      <c r="E531">
        <v>121.3</v>
      </c>
      <c r="F531">
        <v>6</v>
      </c>
      <c r="G531">
        <v>1.3</v>
      </c>
      <c r="H531">
        <f t="shared" si="24"/>
        <v>785.13083905184226</v>
      </c>
      <c r="I531">
        <f t="shared" si="25"/>
        <v>2500.5308390518421</v>
      </c>
      <c r="J531">
        <f>SUMIFS(Transit_Clean[Quantity], Transit_Clean[Destination], A531, Transit_Clean[Item_Code], B531, Transit_Clean[SAP_Status], "In Transit")</f>
        <v>0</v>
      </c>
      <c r="K531">
        <f t="shared" si="26"/>
        <v>10.202868135711789</v>
      </c>
      <c r="L531" t="str" cm="1">
        <f t="array" ref="L531">_xlfn.IFS(C531&lt;0,"DATO INVALIDO", C531+J531&lt;I531,"PEDIR YA", C531&lt;I531,"EN CAMINO OK", TRUE,"SANO")</f>
        <v>SANO</v>
      </c>
    </row>
    <row r="532" spans="1:12" x14ac:dyDescent="0.45">
      <c r="A532" t="s">
        <v>1121</v>
      </c>
      <c r="B532" t="s">
        <v>30</v>
      </c>
      <c r="C532">
        <v>2192</v>
      </c>
      <c r="D532">
        <v>381.9</v>
      </c>
      <c r="E532">
        <v>88.5</v>
      </c>
      <c r="F532">
        <v>2</v>
      </c>
      <c r="G532">
        <v>0.4</v>
      </c>
      <c r="H532">
        <f t="shared" si="24"/>
        <v>325.84938263866633</v>
      </c>
      <c r="I532">
        <f t="shared" si="25"/>
        <v>1089.6493826386663</v>
      </c>
      <c r="J532">
        <f>SUMIFS(Transit_Clean[Quantity], Transit_Clean[Destination], A532, Transit_Clean[Item_Code], B532, Transit_Clean[SAP_Status], "In Transit")</f>
        <v>1628</v>
      </c>
      <c r="K532">
        <f t="shared" si="26"/>
        <v>5.739722440429432</v>
      </c>
      <c r="L532" t="str" cm="1">
        <f t="array" ref="L532">_xlfn.IFS(C532&lt;0,"DATO INVALIDO", C532+J532&lt;I532,"PEDIR YA", C532&lt;I532,"EN CAMINO OK", TRUE,"SANO")</f>
        <v>SANO</v>
      </c>
    </row>
    <row r="533" spans="1:12" x14ac:dyDescent="0.45">
      <c r="A533" t="s">
        <v>1123</v>
      </c>
      <c r="B533" t="s">
        <v>52</v>
      </c>
      <c r="C533">
        <v>1423</v>
      </c>
      <c r="D533">
        <v>181.8</v>
      </c>
      <c r="E533">
        <v>53</v>
      </c>
      <c r="F533">
        <v>0.8</v>
      </c>
      <c r="G533">
        <v>0.3</v>
      </c>
      <c r="H533">
        <f t="shared" si="24"/>
        <v>119.23247074937264</v>
      </c>
      <c r="I533">
        <f t="shared" si="25"/>
        <v>264.67247074937268</v>
      </c>
      <c r="J533">
        <f>SUMIFS(Transit_Clean[Quantity], Transit_Clean[Destination], A533, Transit_Clean[Item_Code], B533, Transit_Clean[SAP_Status], "In Transit")</f>
        <v>3520</v>
      </c>
      <c r="K533">
        <f t="shared" si="26"/>
        <v>7.8272827282728272</v>
      </c>
      <c r="L533" t="str" cm="1">
        <f t="array" ref="L533">_xlfn.IFS(C533&lt;0,"DATO INVALIDO", C533+J533&lt;I533,"PEDIR YA", C533&lt;I533,"EN CAMINO OK", TRUE,"SANO")</f>
        <v>SANO</v>
      </c>
    </row>
    <row r="534" spans="1:12" x14ac:dyDescent="0.45">
      <c r="A534" t="s">
        <v>1127</v>
      </c>
      <c r="B534" t="s">
        <v>1141</v>
      </c>
      <c r="C534">
        <v>977</v>
      </c>
      <c r="D534">
        <v>345.7</v>
      </c>
      <c r="E534">
        <v>45.5</v>
      </c>
      <c r="F534">
        <v>2.5</v>
      </c>
      <c r="G534">
        <v>0.9</v>
      </c>
      <c r="H534">
        <f t="shared" si="24"/>
        <v>526.90962120913105</v>
      </c>
      <c r="I534">
        <f t="shared" si="25"/>
        <v>1391.159621209131</v>
      </c>
      <c r="J534">
        <f>SUMIFS(Transit_Clean[Quantity], Transit_Clean[Destination], A534, Transit_Clean[Item_Code], B534, Transit_Clean[SAP_Status], "In Transit")</f>
        <v>0</v>
      </c>
      <c r="K534">
        <f t="shared" si="26"/>
        <v>2.8261498409025165</v>
      </c>
      <c r="L534" t="str" cm="1">
        <f t="array" ref="L534">_xlfn.IFS(C534&lt;0,"DATO INVALIDO", C534+J534&lt;I534,"PEDIR YA", C534&lt;I534,"EN CAMINO OK", TRUE,"SANO")</f>
        <v>PEDIR YA</v>
      </c>
    </row>
    <row r="535" spans="1:12" x14ac:dyDescent="0.45">
      <c r="A535" t="s">
        <v>1119</v>
      </c>
      <c r="B535" t="s">
        <v>109</v>
      </c>
      <c r="C535">
        <v>10686</v>
      </c>
      <c r="D535">
        <v>687.5</v>
      </c>
      <c r="E535">
        <v>334</v>
      </c>
      <c r="F535">
        <v>3.3</v>
      </c>
      <c r="G535">
        <v>1</v>
      </c>
      <c r="H535">
        <f t="shared" si="24"/>
        <v>1512.9618744783359</v>
      </c>
      <c r="I535">
        <f t="shared" si="25"/>
        <v>3781.7118744783356</v>
      </c>
      <c r="J535">
        <f>SUMIFS(Transit_Clean[Quantity], Transit_Clean[Destination], A535, Transit_Clean[Item_Code], B535, Transit_Clean[SAP_Status], "In Transit")</f>
        <v>0</v>
      </c>
      <c r="K535">
        <f t="shared" si="26"/>
        <v>15.543272727272727</v>
      </c>
      <c r="L535" t="str" cm="1">
        <f t="array" ref="L535">_xlfn.IFS(C535&lt;0,"DATO INVALIDO", C535+J535&lt;I535,"PEDIR YA", C535&lt;I535,"EN CAMINO OK", TRUE,"SANO")</f>
        <v>SANO</v>
      </c>
    </row>
    <row r="536" spans="1:12" x14ac:dyDescent="0.45">
      <c r="A536" t="s">
        <v>1122</v>
      </c>
      <c r="B536" t="s">
        <v>47</v>
      </c>
      <c r="C536">
        <v>3838</v>
      </c>
      <c r="D536">
        <v>472.5</v>
      </c>
      <c r="E536">
        <v>44</v>
      </c>
      <c r="F536">
        <v>1</v>
      </c>
      <c r="G536">
        <v>0.2</v>
      </c>
      <c r="H536">
        <f t="shared" si="24"/>
        <v>171.99815587674189</v>
      </c>
      <c r="I536">
        <f t="shared" si="25"/>
        <v>644.49815587674186</v>
      </c>
      <c r="J536">
        <f>SUMIFS(Transit_Clean[Quantity], Transit_Clean[Destination], A536, Transit_Clean[Item_Code], B536, Transit_Clean[SAP_Status], "In Transit")</f>
        <v>0</v>
      </c>
      <c r="K536">
        <f t="shared" si="26"/>
        <v>8.1227513227513235</v>
      </c>
      <c r="L536" t="str" cm="1">
        <f t="array" ref="L536">_xlfn.IFS(C536&lt;0,"DATO INVALIDO", C536+J536&lt;I536,"PEDIR YA", C536&lt;I536,"EN CAMINO OK", TRUE,"SANO")</f>
        <v>SANO</v>
      </c>
    </row>
    <row r="537" spans="1:12" x14ac:dyDescent="0.45">
      <c r="A537" t="s">
        <v>1127</v>
      </c>
      <c r="B537" t="s">
        <v>70</v>
      </c>
      <c r="C537">
        <v>865</v>
      </c>
      <c r="D537">
        <v>399</v>
      </c>
      <c r="E537">
        <v>106.7</v>
      </c>
      <c r="F537">
        <v>2</v>
      </c>
      <c r="G537">
        <v>0.9</v>
      </c>
      <c r="H537">
        <f t="shared" si="24"/>
        <v>642.70113682410738</v>
      </c>
      <c r="I537">
        <f t="shared" si="25"/>
        <v>1440.7011368241074</v>
      </c>
      <c r="J537">
        <f>SUMIFS(Transit_Clean[Quantity], Transit_Clean[Destination], A537, Transit_Clean[Item_Code], B537, Transit_Clean[SAP_Status], "In Transit")</f>
        <v>0</v>
      </c>
      <c r="K537">
        <f t="shared" si="26"/>
        <v>2.1679197994987467</v>
      </c>
      <c r="L537" t="str" cm="1">
        <f t="array" ref="L537">_xlfn.IFS(C537&lt;0,"DATO INVALIDO", C537+J537&lt;I537,"PEDIR YA", C537&lt;I537,"EN CAMINO OK", TRUE,"SANO")</f>
        <v>PEDIR YA</v>
      </c>
    </row>
    <row r="538" spans="1:12" x14ac:dyDescent="0.45">
      <c r="A538" t="s">
        <v>1117</v>
      </c>
      <c r="B538" t="s">
        <v>105</v>
      </c>
      <c r="C538">
        <v>2830</v>
      </c>
      <c r="D538">
        <v>533.20000000000005</v>
      </c>
      <c r="E538">
        <v>84</v>
      </c>
      <c r="F538">
        <v>2.2000000000000002</v>
      </c>
      <c r="G538">
        <v>0.5</v>
      </c>
      <c r="H538">
        <f t="shared" si="24"/>
        <v>485.55650968759551</v>
      </c>
      <c r="I538">
        <f t="shared" si="25"/>
        <v>1658.5965096875957</v>
      </c>
      <c r="J538">
        <f>SUMIFS(Transit_Clean[Quantity], Transit_Clean[Destination], A538, Transit_Clean[Item_Code], B538, Transit_Clean[SAP_Status], "In Transit")</f>
        <v>1262</v>
      </c>
      <c r="K538">
        <f t="shared" si="26"/>
        <v>5.3075768942235557</v>
      </c>
      <c r="L538" t="str" cm="1">
        <f t="array" ref="L538">_xlfn.IFS(C538&lt;0,"DATO INVALIDO", C538+J538&lt;I538,"PEDIR YA", C538&lt;I538,"EN CAMINO OK", TRUE,"SANO")</f>
        <v>SANO</v>
      </c>
    </row>
    <row r="539" spans="1:12" x14ac:dyDescent="0.45">
      <c r="A539" t="s">
        <v>1127</v>
      </c>
      <c r="B539" t="s">
        <v>85</v>
      </c>
      <c r="C539">
        <v>327</v>
      </c>
      <c r="D539">
        <v>113.7</v>
      </c>
      <c r="E539">
        <v>73.7</v>
      </c>
      <c r="F539">
        <v>2.7</v>
      </c>
      <c r="G539">
        <v>0.9</v>
      </c>
      <c r="H539">
        <f t="shared" si="24"/>
        <v>261.60172103361629</v>
      </c>
      <c r="I539">
        <f t="shared" si="25"/>
        <v>568.5917210336163</v>
      </c>
      <c r="J539">
        <f>SUMIFS(Transit_Clean[Quantity], Transit_Clean[Destination], A539, Transit_Clean[Item_Code], B539, Transit_Clean[SAP_Status], "In Transit")</f>
        <v>1835</v>
      </c>
      <c r="K539">
        <f t="shared" si="26"/>
        <v>2.8759894459102902</v>
      </c>
      <c r="L539" t="str" cm="1">
        <f t="array" ref="L539">_xlfn.IFS(C539&lt;0,"DATO INVALIDO", C539+J539&lt;I539,"PEDIR YA", C539&lt;I539,"EN CAMINO OK", TRUE,"SANO")</f>
        <v>EN CAMINO OK</v>
      </c>
    </row>
    <row r="540" spans="1:12" x14ac:dyDescent="0.45">
      <c r="A540" t="s">
        <v>1126</v>
      </c>
      <c r="B540" t="s">
        <v>77</v>
      </c>
      <c r="C540">
        <v>2090</v>
      </c>
      <c r="D540">
        <v>174.7</v>
      </c>
      <c r="E540">
        <v>47.1</v>
      </c>
      <c r="F540">
        <v>1.1000000000000001</v>
      </c>
      <c r="G540">
        <v>0.2</v>
      </c>
      <c r="H540">
        <f t="shared" si="24"/>
        <v>99.835971215288936</v>
      </c>
      <c r="I540">
        <f t="shared" si="25"/>
        <v>292.00597121528892</v>
      </c>
      <c r="J540">
        <f>SUMIFS(Transit_Clean[Quantity], Transit_Clean[Destination], A540, Transit_Clean[Item_Code], B540, Transit_Clean[SAP_Status], "In Transit")</f>
        <v>0</v>
      </c>
      <c r="K540">
        <f t="shared" si="26"/>
        <v>11.963365769891244</v>
      </c>
      <c r="L540" t="str" cm="1">
        <f t="array" ref="L540">_xlfn.IFS(C540&lt;0,"DATO INVALIDO", C540+J540&lt;I540,"PEDIR YA", C540&lt;I540,"EN CAMINO OK", TRUE,"SANO")</f>
        <v>SANO</v>
      </c>
    </row>
    <row r="541" spans="1:12" x14ac:dyDescent="0.45">
      <c r="A541" t="s">
        <v>1125</v>
      </c>
      <c r="B541" t="s">
        <v>101</v>
      </c>
      <c r="C541">
        <v>6910</v>
      </c>
      <c r="D541">
        <v>630.4</v>
      </c>
      <c r="E541">
        <v>96.6</v>
      </c>
      <c r="F541">
        <v>4.3</v>
      </c>
      <c r="G541">
        <v>1.2</v>
      </c>
      <c r="H541">
        <f t="shared" si="24"/>
        <v>1291.2108692595489</v>
      </c>
      <c r="I541">
        <f t="shared" si="25"/>
        <v>4001.9308692595487</v>
      </c>
      <c r="J541">
        <f>SUMIFS(Transit_Clean[Quantity], Transit_Clean[Destination], A541, Transit_Clean[Item_Code], B541, Transit_Clean[SAP_Status], "In Transit")</f>
        <v>5793</v>
      </c>
      <c r="K541">
        <f t="shared" si="26"/>
        <v>10.961294416243655</v>
      </c>
      <c r="L541" t="str" cm="1">
        <f t="array" ref="L541">_xlfn.IFS(C541&lt;0,"DATO INVALIDO", C541+J541&lt;I541,"PEDIR YA", C541&lt;I541,"EN CAMINO OK", TRUE,"SANO")</f>
        <v>SANO</v>
      </c>
    </row>
    <row r="542" spans="1:12" x14ac:dyDescent="0.45">
      <c r="A542" t="s">
        <v>1124</v>
      </c>
      <c r="B542" t="s">
        <v>74</v>
      </c>
      <c r="C542">
        <v>767</v>
      </c>
      <c r="D542">
        <v>291.7</v>
      </c>
      <c r="E542">
        <v>197.8</v>
      </c>
      <c r="F542">
        <v>0.8</v>
      </c>
      <c r="G542">
        <v>0.3</v>
      </c>
      <c r="H542">
        <f t="shared" si="24"/>
        <v>325.67285240291369</v>
      </c>
      <c r="I542">
        <f t="shared" si="25"/>
        <v>559.0328524029137</v>
      </c>
      <c r="J542">
        <f>SUMIFS(Transit_Clean[Quantity], Transit_Clean[Destination], A542, Transit_Clean[Item_Code], B542, Transit_Clean[SAP_Status], "In Transit")</f>
        <v>1614</v>
      </c>
      <c r="K542">
        <f t="shared" si="26"/>
        <v>2.6294137812821394</v>
      </c>
      <c r="L542" t="str" cm="1">
        <f t="array" ref="L542">_xlfn.IFS(C542&lt;0,"DATO INVALIDO", C542+J542&lt;I542,"PEDIR YA", C542&lt;I542,"EN CAMINO OK", TRUE,"SANO")</f>
        <v>SANO</v>
      </c>
    </row>
    <row r="543" spans="1:12" x14ac:dyDescent="0.45">
      <c r="A543" t="s">
        <v>1124</v>
      </c>
      <c r="B543" t="s">
        <v>23</v>
      </c>
      <c r="C543">
        <v>4315</v>
      </c>
      <c r="D543">
        <v>330.5</v>
      </c>
      <c r="E543">
        <v>109.2</v>
      </c>
      <c r="F543">
        <v>0.9</v>
      </c>
      <c r="G543">
        <v>0.3</v>
      </c>
      <c r="H543">
        <f t="shared" si="24"/>
        <v>236.60619426855675</v>
      </c>
      <c r="I543">
        <f t="shared" si="25"/>
        <v>534.05619426855674</v>
      </c>
      <c r="J543">
        <f>SUMIFS(Transit_Clean[Quantity], Transit_Clean[Destination], A543, Transit_Clean[Item_Code], B543, Transit_Clean[SAP_Status], "In Transit")</f>
        <v>3018</v>
      </c>
      <c r="K543">
        <f t="shared" si="26"/>
        <v>13.055975794251134</v>
      </c>
      <c r="L543" t="str" cm="1">
        <f t="array" ref="L543">_xlfn.IFS(C543&lt;0,"DATO INVALIDO", C543+J543&lt;I543,"PEDIR YA", C543&lt;I543,"EN CAMINO OK", TRUE,"SANO")</f>
        <v>SANO</v>
      </c>
    </row>
    <row r="544" spans="1:12" x14ac:dyDescent="0.45">
      <c r="A544" t="s">
        <v>1122</v>
      </c>
      <c r="B544" t="s">
        <v>105</v>
      </c>
      <c r="C544">
        <v>1128</v>
      </c>
      <c r="D544">
        <v>514.29999999999995</v>
      </c>
      <c r="E544">
        <v>98</v>
      </c>
      <c r="F544">
        <v>1.2</v>
      </c>
      <c r="G544">
        <v>0.2</v>
      </c>
      <c r="H544">
        <f t="shared" si="24"/>
        <v>245.3177673161893</v>
      </c>
      <c r="I544">
        <f t="shared" si="25"/>
        <v>862.47776731618933</v>
      </c>
      <c r="J544">
        <f>SUMIFS(Transit_Clean[Quantity], Transit_Clean[Destination], A544, Transit_Clean[Item_Code], B544, Transit_Clean[SAP_Status], "In Transit")</f>
        <v>0</v>
      </c>
      <c r="K544">
        <f t="shared" si="26"/>
        <v>2.1932724090997473</v>
      </c>
      <c r="L544" t="str" cm="1">
        <f t="array" ref="L544">_xlfn.IFS(C544&lt;0,"DATO INVALIDO", C544+J544&lt;I544,"PEDIR YA", C544&lt;I544,"EN CAMINO OK", TRUE,"SANO")</f>
        <v>SANO</v>
      </c>
    </row>
    <row r="545" spans="1:12" x14ac:dyDescent="0.45">
      <c r="A545" t="s">
        <v>1116</v>
      </c>
      <c r="B545" t="s">
        <v>10</v>
      </c>
      <c r="D545">
        <v>402.3</v>
      </c>
      <c r="E545">
        <v>66.8</v>
      </c>
      <c r="F545">
        <v>3</v>
      </c>
      <c r="G545">
        <v>1.6</v>
      </c>
      <c r="H545">
        <f t="shared" si="24"/>
        <v>1079.0932667679845</v>
      </c>
      <c r="I545">
        <f t="shared" si="25"/>
        <v>2285.9932667679846</v>
      </c>
      <c r="J545">
        <f>SUMIFS(Transit_Clean[Quantity], Transit_Clean[Destination], A545, Transit_Clean[Item_Code], B545, Transit_Clean[SAP_Status], "In Transit")</f>
        <v>1432</v>
      </c>
      <c r="K545">
        <f t="shared" si="26"/>
        <v>0</v>
      </c>
      <c r="L545" t="str" cm="1">
        <f t="array" ref="L545">_xlfn.IFS(C545&lt;0,"DATO INVALIDO", C545+J545&lt;I545,"PEDIR YA", C545&lt;I545,"EN CAMINO OK", TRUE,"SANO")</f>
        <v>PEDIR YA</v>
      </c>
    </row>
    <row r="546" spans="1:12" x14ac:dyDescent="0.45">
      <c r="A546" t="s">
        <v>1123</v>
      </c>
      <c r="B546" t="s">
        <v>1133</v>
      </c>
      <c r="C546">
        <v>3505</v>
      </c>
      <c r="D546">
        <v>234.2</v>
      </c>
      <c r="E546">
        <v>48.4</v>
      </c>
      <c r="F546">
        <v>1</v>
      </c>
      <c r="G546">
        <v>0.3</v>
      </c>
      <c r="H546">
        <f t="shared" si="24"/>
        <v>140.77340885621828</v>
      </c>
      <c r="I546">
        <f t="shared" si="25"/>
        <v>374.97340885621827</v>
      </c>
      <c r="J546">
        <f>SUMIFS(Transit_Clean[Quantity], Transit_Clean[Destination], A546, Transit_Clean[Item_Code], B546, Transit_Clean[SAP_Status], "In Transit")</f>
        <v>0</v>
      </c>
      <c r="K546">
        <f t="shared" si="26"/>
        <v>14.965841161400514</v>
      </c>
      <c r="L546" t="str" cm="1">
        <f t="array" ref="L546">_xlfn.IFS(C546&lt;0,"DATO INVALIDO", C546+J546&lt;I546,"PEDIR YA", C546&lt;I546,"EN CAMINO OK", TRUE,"SANO")</f>
        <v>SANO</v>
      </c>
    </row>
    <row r="547" spans="1:12" x14ac:dyDescent="0.45">
      <c r="A547" t="s">
        <v>1119</v>
      </c>
      <c r="B547" t="s">
        <v>49</v>
      </c>
      <c r="C547">
        <v>2049</v>
      </c>
      <c r="D547">
        <v>213.6</v>
      </c>
      <c r="E547">
        <v>22.1</v>
      </c>
      <c r="F547">
        <v>3.8</v>
      </c>
      <c r="G547">
        <v>1</v>
      </c>
      <c r="H547">
        <f t="shared" si="24"/>
        <v>359.53692335419458</v>
      </c>
      <c r="I547">
        <f t="shared" si="25"/>
        <v>1171.2169233541945</v>
      </c>
      <c r="J547">
        <f>SUMIFS(Transit_Clean[Quantity], Transit_Clean[Destination], A547, Transit_Clean[Item_Code], B547, Transit_Clean[SAP_Status], "In Transit")</f>
        <v>0</v>
      </c>
      <c r="K547">
        <f t="shared" si="26"/>
        <v>9.5926966292134832</v>
      </c>
      <c r="L547" t="str" cm="1">
        <f t="array" ref="L547">_xlfn.IFS(C547&lt;0,"DATO INVALIDO", C547+J547&lt;I547,"PEDIR YA", C547&lt;I547,"EN CAMINO OK", TRUE,"SANO")</f>
        <v>SANO</v>
      </c>
    </row>
    <row r="548" spans="1:12" x14ac:dyDescent="0.45">
      <c r="A548" t="s">
        <v>1116</v>
      </c>
      <c r="B548" t="s">
        <v>18</v>
      </c>
      <c r="C548">
        <v>827</v>
      </c>
      <c r="D548">
        <v>253.9</v>
      </c>
      <c r="E548">
        <v>48.6</v>
      </c>
      <c r="F548">
        <v>6</v>
      </c>
      <c r="G548">
        <v>1.6</v>
      </c>
      <c r="H548">
        <f t="shared" si="24"/>
        <v>698.48360339810426</v>
      </c>
      <c r="I548">
        <f t="shared" si="25"/>
        <v>2221.8836033981042</v>
      </c>
      <c r="J548">
        <f>SUMIFS(Transit_Clean[Quantity], Transit_Clean[Destination], A548, Transit_Clean[Item_Code], B548, Transit_Clean[SAP_Status], "In Transit")</f>
        <v>0</v>
      </c>
      <c r="K548">
        <f t="shared" si="26"/>
        <v>3.2571878692398579</v>
      </c>
      <c r="L548" t="str" cm="1">
        <f t="array" ref="L548">_xlfn.IFS(C548&lt;0,"DATO INVALIDO", C548+J548&lt;I548,"PEDIR YA", C548&lt;I548,"EN CAMINO OK", TRUE,"SANO")</f>
        <v>PEDIR YA</v>
      </c>
    </row>
    <row r="549" spans="1:12" x14ac:dyDescent="0.45">
      <c r="A549" t="s">
        <v>1120</v>
      </c>
      <c r="B549" t="s">
        <v>70</v>
      </c>
      <c r="C549">
        <v>6273</v>
      </c>
      <c r="D549">
        <v>410.5</v>
      </c>
      <c r="E549">
        <v>92.6</v>
      </c>
      <c r="F549">
        <v>1.2</v>
      </c>
      <c r="G549">
        <v>0.5</v>
      </c>
      <c r="H549">
        <f t="shared" si="24"/>
        <v>377.76451636733958</v>
      </c>
      <c r="I549">
        <f t="shared" si="25"/>
        <v>870.36451636733955</v>
      </c>
      <c r="J549">
        <f>SUMIFS(Transit_Clean[Quantity], Transit_Clean[Destination], A549, Transit_Clean[Item_Code], B549, Transit_Clean[SAP_Status], "In Transit")</f>
        <v>2082</v>
      </c>
      <c r="K549">
        <f t="shared" si="26"/>
        <v>15.28136419001218</v>
      </c>
      <c r="L549" t="str" cm="1">
        <f t="array" ref="L549">_xlfn.IFS(C549&lt;0,"DATO INVALIDO", C549+J549&lt;I549,"PEDIR YA", C549&lt;I549,"EN CAMINO OK", TRUE,"SANO")</f>
        <v>SANO</v>
      </c>
    </row>
    <row r="550" spans="1:12" x14ac:dyDescent="0.45">
      <c r="A550" t="s">
        <v>1126</v>
      </c>
      <c r="B550" t="s">
        <v>52</v>
      </c>
      <c r="C550">
        <v>1439</v>
      </c>
      <c r="D550">
        <v>242.7</v>
      </c>
      <c r="E550">
        <v>83.2</v>
      </c>
      <c r="F550">
        <v>0.9</v>
      </c>
      <c r="G550">
        <v>0.2</v>
      </c>
      <c r="H550">
        <f t="shared" si="24"/>
        <v>152.89142173778095</v>
      </c>
      <c r="I550">
        <f t="shared" si="25"/>
        <v>371.32142173778095</v>
      </c>
      <c r="J550">
        <f>SUMIFS(Transit_Clean[Quantity], Transit_Clean[Destination], A550, Transit_Clean[Item_Code], B550, Transit_Clean[SAP_Status], "In Transit")</f>
        <v>0</v>
      </c>
      <c r="K550">
        <f t="shared" si="26"/>
        <v>5.9291306139266586</v>
      </c>
      <c r="L550" t="str" cm="1">
        <f t="array" ref="L550">_xlfn.IFS(C550&lt;0,"DATO INVALIDO", C550+J550&lt;I550,"PEDIR YA", C550&lt;I550,"EN CAMINO OK", TRUE,"SANO")</f>
        <v>SANO</v>
      </c>
    </row>
    <row r="551" spans="1:12" x14ac:dyDescent="0.45">
      <c r="A551" t="s">
        <v>1124</v>
      </c>
      <c r="B551" t="s">
        <v>71</v>
      </c>
      <c r="C551">
        <v>1774</v>
      </c>
      <c r="D551">
        <v>294.89999999999998</v>
      </c>
      <c r="E551">
        <v>42.5</v>
      </c>
      <c r="F551">
        <v>1.4</v>
      </c>
      <c r="G551">
        <v>0.3</v>
      </c>
      <c r="H551">
        <f t="shared" si="24"/>
        <v>167.90880999890979</v>
      </c>
      <c r="I551">
        <f t="shared" si="25"/>
        <v>580.76880999890977</v>
      </c>
      <c r="J551">
        <f>SUMIFS(Transit_Clean[Quantity], Transit_Clean[Destination], A551, Transit_Clean[Item_Code], B551, Transit_Clean[SAP_Status], "In Transit")</f>
        <v>3320</v>
      </c>
      <c r="K551">
        <f t="shared" si="26"/>
        <v>6.0155985079688037</v>
      </c>
      <c r="L551" t="str" cm="1">
        <f t="array" ref="L551">_xlfn.IFS(C551&lt;0,"DATO INVALIDO", C551+J551&lt;I551,"PEDIR YA", C551&lt;I551,"EN CAMINO OK", TRUE,"SANO")</f>
        <v>SANO</v>
      </c>
    </row>
    <row r="552" spans="1:12" x14ac:dyDescent="0.45">
      <c r="A552" t="s">
        <v>1122</v>
      </c>
      <c r="B552" t="s">
        <v>41</v>
      </c>
      <c r="C552">
        <v>1093</v>
      </c>
      <c r="D552">
        <v>284.2</v>
      </c>
      <c r="E552">
        <v>120.5</v>
      </c>
      <c r="F552">
        <v>1.1000000000000001</v>
      </c>
      <c r="G552">
        <v>0.2</v>
      </c>
      <c r="H552">
        <f t="shared" si="24"/>
        <v>228.64892845473824</v>
      </c>
      <c r="I552">
        <f t="shared" si="25"/>
        <v>541.26892845473822</v>
      </c>
      <c r="J552">
        <f>SUMIFS(Transit_Clean[Quantity], Transit_Clean[Destination], A552, Transit_Clean[Item_Code], B552, Transit_Clean[SAP_Status], "In Transit")</f>
        <v>0</v>
      </c>
      <c r="K552">
        <f t="shared" si="26"/>
        <v>3.8458831808585505</v>
      </c>
      <c r="L552" t="str" cm="1">
        <f t="array" ref="L552">_xlfn.IFS(C552&lt;0,"DATO INVALIDO", C552+J552&lt;I552,"PEDIR YA", C552&lt;I552,"EN CAMINO OK", TRUE,"SANO")</f>
        <v>SANO</v>
      </c>
    </row>
    <row r="553" spans="1:12" x14ac:dyDescent="0.45">
      <c r="A553" t="s">
        <v>1114</v>
      </c>
      <c r="B553" t="s">
        <v>63</v>
      </c>
      <c r="C553">
        <v>1163</v>
      </c>
      <c r="D553">
        <v>363.2</v>
      </c>
      <c r="E553">
        <v>89.3</v>
      </c>
      <c r="F553">
        <v>4.3</v>
      </c>
      <c r="G553">
        <v>1.3</v>
      </c>
      <c r="H553">
        <f t="shared" si="24"/>
        <v>836.83694762092091</v>
      </c>
      <c r="I553">
        <f t="shared" si="25"/>
        <v>2398.5969476209211</v>
      </c>
      <c r="J553">
        <f>SUMIFS(Transit_Clean[Quantity], Transit_Clean[Destination], A553, Transit_Clean[Item_Code], B553, Transit_Clean[SAP_Status], "In Transit")</f>
        <v>0</v>
      </c>
      <c r="K553">
        <f t="shared" si="26"/>
        <v>3.2020925110132161</v>
      </c>
      <c r="L553" t="str" cm="1">
        <f t="array" ref="L553">_xlfn.IFS(C553&lt;0,"DATO INVALIDO", C553+J553&lt;I553,"PEDIR YA", C553&lt;I553,"EN CAMINO OK", TRUE,"SANO")</f>
        <v>PEDIR YA</v>
      </c>
    </row>
    <row r="554" spans="1:12" x14ac:dyDescent="0.45">
      <c r="A554" t="s">
        <v>1118</v>
      </c>
      <c r="B554" t="s">
        <v>109</v>
      </c>
      <c r="C554">
        <v>651</v>
      </c>
      <c r="D554">
        <v>95</v>
      </c>
      <c r="E554">
        <v>52.9</v>
      </c>
      <c r="F554">
        <v>3.9</v>
      </c>
      <c r="G554">
        <v>1.5</v>
      </c>
      <c r="H554">
        <f t="shared" si="24"/>
        <v>291.54173526701106</v>
      </c>
      <c r="I554">
        <f t="shared" si="25"/>
        <v>662.04173526701106</v>
      </c>
      <c r="J554">
        <f>SUMIFS(Transit_Clean[Quantity], Transit_Clean[Destination], A554, Transit_Clean[Item_Code], B554, Transit_Clean[SAP_Status], "In Transit")</f>
        <v>1836</v>
      </c>
      <c r="K554">
        <f t="shared" si="26"/>
        <v>6.8526315789473689</v>
      </c>
      <c r="L554" t="str" cm="1">
        <f t="array" ref="L554">_xlfn.IFS(C554&lt;0,"DATO INVALIDO", C554+J554&lt;I554,"PEDIR YA", C554&lt;I554,"EN CAMINO OK", TRUE,"SANO")</f>
        <v>EN CAMINO OK</v>
      </c>
    </row>
    <row r="555" spans="1:12" x14ac:dyDescent="0.45">
      <c r="A555" t="s">
        <v>1121</v>
      </c>
      <c r="B555" t="s">
        <v>45</v>
      </c>
      <c r="D555">
        <v>363.2</v>
      </c>
      <c r="E555">
        <v>66</v>
      </c>
      <c r="F555">
        <v>2.2999999999999998</v>
      </c>
      <c r="G555">
        <v>0.4</v>
      </c>
      <c r="H555">
        <f t="shared" si="24"/>
        <v>291.0979662313016</v>
      </c>
      <c r="I555">
        <f t="shared" si="25"/>
        <v>1126.4579662313015</v>
      </c>
      <c r="J555">
        <f>SUMIFS(Transit_Clean[Quantity], Transit_Clean[Destination], A555, Transit_Clean[Item_Code], B555, Transit_Clean[SAP_Status], "In Transit")</f>
        <v>2351</v>
      </c>
      <c r="K555">
        <f t="shared" si="26"/>
        <v>0</v>
      </c>
      <c r="L555" t="str" cm="1">
        <f t="array" ref="L555">_xlfn.IFS(C555&lt;0,"DATO INVALIDO", C555+J555&lt;I555,"PEDIR YA", C555&lt;I555,"EN CAMINO OK", TRUE,"SANO")</f>
        <v>EN CAMINO OK</v>
      </c>
    </row>
    <row r="556" spans="1:12" x14ac:dyDescent="0.45">
      <c r="A556" t="s">
        <v>1127</v>
      </c>
      <c r="B556" t="s">
        <v>12</v>
      </c>
      <c r="C556">
        <v>445</v>
      </c>
      <c r="D556">
        <v>376.7</v>
      </c>
      <c r="E556">
        <v>40.5</v>
      </c>
      <c r="F556">
        <v>2.4</v>
      </c>
      <c r="G556">
        <v>0.9</v>
      </c>
      <c r="H556">
        <f t="shared" si="24"/>
        <v>568.89822824495593</v>
      </c>
      <c r="I556">
        <f t="shared" si="25"/>
        <v>1472.978228244956</v>
      </c>
      <c r="J556">
        <f>SUMIFS(Transit_Clean[Quantity], Transit_Clean[Destination], A556, Transit_Clean[Item_Code], B556, Transit_Clean[SAP_Status], "In Transit")</f>
        <v>1010</v>
      </c>
      <c r="K556">
        <f t="shared" si="26"/>
        <v>1.1813113883727104</v>
      </c>
      <c r="L556" t="str" cm="1">
        <f t="array" ref="L556">_xlfn.IFS(C556&lt;0,"DATO INVALIDO", C556+J556&lt;I556,"PEDIR YA", C556&lt;I556,"EN CAMINO OK", TRUE,"SANO")</f>
        <v>PEDIR YA</v>
      </c>
    </row>
    <row r="557" spans="1:12" x14ac:dyDescent="0.45">
      <c r="A557" t="s">
        <v>1114</v>
      </c>
      <c r="B557" t="s">
        <v>55</v>
      </c>
      <c r="C557">
        <v>5601</v>
      </c>
      <c r="D557">
        <v>702.7</v>
      </c>
      <c r="E557">
        <v>162.4</v>
      </c>
      <c r="F557">
        <v>3.9</v>
      </c>
      <c r="G557">
        <v>1.3</v>
      </c>
      <c r="H557">
        <f t="shared" si="24"/>
        <v>1597.4847906043581</v>
      </c>
      <c r="I557">
        <f t="shared" si="25"/>
        <v>4338.0147906043585</v>
      </c>
      <c r="J557">
        <f>SUMIFS(Transit_Clean[Quantity], Transit_Clean[Destination], A557, Transit_Clean[Item_Code], B557, Transit_Clean[SAP_Status], "In Transit")</f>
        <v>1788</v>
      </c>
      <c r="K557">
        <f t="shared" si="26"/>
        <v>7.970684502632702</v>
      </c>
      <c r="L557" t="str" cm="1">
        <f t="array" ref="L557">_xlfn.IFS(C557&lt;0,"DATO INVALIDO", C557+J557&lt;I557,"PEDIR YA", C557&lt;I557,"EN CAMINO OK", TRUE,"SANO")</f>
        <v>SANO</v>
      </c>
    </row>
    <row r="558" spans="1:12" x14ac:dyDescent="0.45">
      <c r="A558" t="s">
        <v>1118</v>
      </c>
      <c r="B558" t="s">
        <v>92</v>
      </c>
      <c r="C558">
        <v>4628</v>
      </c>
      <c r="D558">
        <v>267.10000000000002</v>
      </c>
      <c r="E558">
        <v>74.599999999999994</v>
      </c>
      <c r="F558">
        <v>3.4</v>
      </c>
      <c r="G558">
        <v>1.5</v>
      </c>
      <c r="H558">
        <f t="shared" si="24"/>
        <v>698.94975055167595</v>
      </c>
      <c r="I558">
        <f t="shared" si="25"/>
        <v>1607.0897505516759</v>
      </c>
      <c r="J558">
        <f>SUMIFS(Transit_Clean[Quantity], Transit_Clean[Destination], A558, Transit_Clean[Item_Code], B558, Transit_Clean[SAP_Status], "In Transit")</f>
        <v>0</v>
      </c>
      <c r="K558">
        <f t="shared" si="26"/>
        <v>17.326843878697115</v>
      </c>
      <c r="L558" t="str" cm="1">
        <f t="array" ref="L558">_xlfn.IFS(C558&lt;0,"DATO INVALIDO", C558+J558&lt;I558,"PEDIR YA", C558&lt;I558,"EN CAMINO OK", TRUE,"SANO")</f>
        <v>SANO</v>
      </c>
    </row>
    <row r="559" spans="1:12" x14ac:dyDescent="0.45">
      <c r="A559" t="s">
        <v>1123</v>
      </c>
      <c r="B559" t="s">
        <v>91</v>
      </c>
      <c r="C559">
        <v>3299</v>
      </c>
      <c r="D559">
        <v>269.2</v>
      </c>
      <c r="E559">
        <v>165.8</v>
      </c>
      <c r="F559">
        <v>0.9</v>
      </c>
      <c r="G559">
        <v>0.3</v>
      </c>
      <c r="H559">
        <f t="shared" si="24"/>
        <v>291.74152759934606</v>
      </c>
      <c r="I559">
        <f t="shared" si="25"/>
        <v>534.02152759934609</v>
      </c>
      <c r="J559">
        <f>SUMIFS(Transit_Clean[Quantity], Transit_Clean[Destination], A559, Transit_Clean[Item_Code], B559, Transit_Clean[SAP_Status], "In Transit")</f>
        <v>0</v>
      </c>
      <c r="K559">
        <f t="shared" si="26"/>
        <v>12.254829123328381</v>
      </c>
      <c r="L559" t="str" cm="1">
        <f t="array" ref="L559">_xlfn.IFS(C559&lt;0,"DATO INVALIDO", C559+J559&lt;I559,"PEDIR YA", C559&lt;I559,"EN CAMINO OK", TRUE,"SANO")</f>
        <v>SANO</v>
      </c>
    </row>
    <row r="560" spans="1:12" x14ac:dyDescent="0.45">
      <c r="A560" t="s">
        <v>1122</v>
      </c>
      <c r="B560" t="s">
        <v>27</v>
      </c>
      <c r="C560">
        <v>6986</v>
      </c>
      <c r="D560">
        <v>483</v>
      </c>
      <c r="E560">
        <v>196</v>
      </c>
      <c r="F560">
        <v>1.4</v>
      </c>
      <c r="G560">
        <v>0.2</v>
      </c>
      <c r="H560">
        <f t="shared" si="24"/>
        <v>414.52111659118157</v>
      </c>
      <c r="I560">
        <f t="shared" si="25"/>
        <v>1090.7211165911815</v>
      </c>
      <c r="J560">
        <f>SUMIFS(Transit_Clean[Quantity], Transit_Clean[Destination], A560, Transit_Clean[Item_Code], B560, Transit_Clean[SAP_Status], "In Transit")</f>
        <v>0</v>
      </c>
      <c r="K560">
        <f t="shared" si="26"/>
        <v>14.463768115942029</v>
      </c>
      <c r="L560" t="str" cm="1">
        <f t="array" ref="L560">_xlfn.IFS(C560&lt;0,"DATO INVALIDO", C560+J560&lt;I560,"PEDIR YA", C560&lt;I560,"EN CAMINO OK", TRUE,"SANO")</f>
        <v>SANO</v>
      </c>
    </row>
    <row r="561" spans="1:12" x14ac:dyDescent="0.45">
      <c r="A561" t="s">
        <v>1128</v>
      </c>
      <c r="B561" t="s">
        <v>47</v>
      </c>
      <c r="C561">
        <v>3821</v>
      </c>
      <c r="D561">
        <v>430.1</v>
      </c>
      <c r="E561">
        <v>37.9</v>
      </c>
      <c r="F561">
        <v>2.2000000000000002</v>
      </c>
      <c r="G561">
        <v>0.5</v>
      </c>
      <c r="H561">
        <f t="shared" si="24"/>
        <v>366.75534181692569</v>
      </c>
      <c r="I561">
        <f t="shared" si="25"/>
        <v>1312.9753418169257</v>
      </c>
      <c r="J561">
        <f>SUMIFS(Transit_Clean[Quantity], Transit_Clean[Destination], A561, Transit_Clean[Item_Code], B561, Transit_Clean[SAP_Status], "In Transit")</f>
        <v>1446</v>
      </c>
      <c r="K561">
        <f t="shared" si="26"/>
        <v>8.8839804696582192</v>
      </c>
      <c r="L561" t="str" cm="1">
        <f t="array" ref="L561">_xlfn.IFS(C561&lt;0,"DATO INVALIDO", C561+J561&lt;I561,"PEDIR YA", C561&lt;I561,"EN CAMINO OK", TRUE,"SANO")</f>
        <v>SANO</v>
      </c>
    </row>
    <row r="562" spans="1:12" x14ac:dyDescent="0.45">
      <c r="A562" t="s">
        <v>1128</v>
      </c>
      <c r="B562" t="s">
        <v>36</v>
      </c>
      <c r="C562">
        <v>6116</v>
      </c>
      <c r="D562">
        <v>349.4</v>
      </c>
      <c r="E562">
        <v>91.4</v>
      </c>
      <c r="F562">
        <v>1.7</v>
      </c>
      <c r="G562">
        <v>0.5</v>
      </c>
      <c r="H562">
        <f t="shared" si="24"/>
        <v>348.93432103334288</v>
      </c>
      <c r="I562">
        <f t="shared" si="25"/>
        <v>942.91432103334273</v>
      </c>
      <c r="J562">
        <f>SUMIFS(Transit_Clean[Quantity], Transit_Clean[Destination], A562, Transit_Clean[Item_Code], B562, Transit_Clean[SAP_Status], "In Transit")</f>
        <v>1550</v>
      </c>
      <c r="K562">
        <f t="shared" si="26"/>
        <v>17.50429307384087</v>
      </c>
      <c r="L562" t="str" cm="1">
        <f t="array" ref="L562">_xlfn.IFS(C562&lt;0,"DATO INVALIDO", C562+J562&lt;I562,"PEDIR YA", C562&lt;I562,"EN CAMINO OK", TRUE,"SANO")</f>
        <v>SANO</v>
      </c>
    </row>
    <row r="563" spans="1:12" x14ac:dyDescent="0.45">
      <c r="A563" t="s">
        <v>1128</v>
      </c>
      <c r="B563" t="s">
        <v>23</v>
      </c>
      <c r="C563">
        <v>7372</v>
      </c>
      <c r="D563">
        <v>521.70000000000005</v>
      </c>
      <c r="E563">
        <v>234.2</v>
      </c>
      <c r="F563">
        <v>1.8</v>
      </c>
      <c r="G563">
        <v>0.5</v>
      </c>
      <c r="H563">
        <f t="shared" si="24"/>
        <v>673.82265680685589</v>
      </c>
      <c r="I563">
        <f t="shared" si="25"/>
        <v>1612.8826568068559</v>
      </c>
      <c r="J563">
        <f>SUMIFS(Transit_Clean[Quantity], Transit_Clean[Destination], A563, Transit_Clean[Item_Code], B563, Transit_Clean[SAP_Status], "In Transit")</f>
        <v>1188</v>
      </c>
      <c r="K563">
        <f t="shared" si="26"/>
        <v>14.130726471152002</v>
      </c>
      <c r="L563" t="str" cm="1">
        <f t="array" ref="L563">_xlfn.IFS(C563&lt;0,"DATO INVALIDO", C563+J563&lt;I563,"PEDIR YA", C563&lt;I563,"EN CAMINO OK", TRUE,"SANO")</f>
        <v>SANO</v>
      </c>
    </row>
    <row r="564" spans="1:12" x14ac:dyDescent="0.45">
      <c r="A564" t="s">
        <v>1121</v>
      </c>
      <c r="B564" t="s">
        <v>87</v>
      </c>
      <c r="C564">
        <v>2474</v>
      </c>
      <c r="D564">
        <v>211.6</v>
      </c>
      <c r="E564">
        <v>23.9</v>
      </c>
      <c r="F564">
        <v>1.5</v>
      </c>
      <c r="G564">
        <v>0.4</v>
      </c>
      <c r="H564">
        <f t="shared" si="24"/>
        <v>147.77170626848701</v>
      </c>
      <c r="I564">
        <f t="shared" si="25"/>
        <v>465.17170626848701</v>
      </c>
      <c r="J564">
        <f>SUMIFS(Transit_Clean[Quantity], Transit_Clean[Destination], A564, Transit_Clean[Item_Code], B564, Transit_Clean[SAP_Status], "In Transit")</f>
        <v>1944</v>
      </c>
      <c r="K564">
        <f t="shared" si="26"/>
        <v>11.69187145557656</v>
      </c>
      <c r="L564" t="str" cm="1">
        <f t="array" ref="L564">_xlfn.IFS(C564&lt;0,"DATO INVALIDO", C564+J564&lt;I564,"PEDIR YA", C564&lt;I564,"EN CAMINO OK", TRUE,"SANO")</f>
        <v>SANO</v>
      </c>
    </row>
    <row r="565" spans="1:12" x14ac:dyDescent="0.45">
      <c r="A565" t="s">
        <v>1125</v>
      </c>
      <c r="B565" t="s">
        <v>1135</v>
      </c>
      <c r="C565">
        <v>362</v>
      </c>
      <c r="D565">
        <v>403.8</v>
      </c>
      <c r="E565">
        <v>49</v>
      </c>
      <c r="F565">
        <v>4.3</v>
      </c>
      <c r="G565">
        <v>1.2</v>
      </c>
      <c r="H565">
        <f t="shared" si="24"/>
        <v>816.91280644019764</v>
      </c>
      <c r="I565">
        <f t="shared" si="25"/>
        <v>2553.2528064401977</v>
      </c>
      <c r="J565">
        <f>SUMIFS(Transit_Clean[Quantity], Transit_Clean[Destination], A565, Transit_Clean[Item_Code], B565, Transit_Clean[SAP_Status], "In Transit")</f>
        <v>637</v>
      </c>
      <c r="K565">
        <f t="shared" si="26"/>
        <v>0.89648340762753831</v>
      </c>
      <c r="L565" t="str" cm="1">
        <f t="array" ref="L565">_xlfn.IFS(C565&lt;0,"DATO INVALIDO", C565+J565&lt;I565,"PEDIR YA", C565&lt;I565,"EN CAMINO OK", TRUE,"SANO")</f>
        <v>PEDIR YA</v>
      </c>
    </row>
    <row r="566" spans="1:12" x14ac:dyDescent="0.45">
      <c r="A566" t="s">
        <v>1126</v>
      </c>
      <c r="B566" t="s">
        <v>57</v>
      </c>
      <c r="C566">
        <v>2403</v>
      </c>
      <c r="D566">
        <v>312.2</v>
      </c>
      <c r="E566">
        <v>38.6</v>
      </c>
      <c r="F566">
        <v>0.9</v>
      </c>
      <c r="G566">
        <v>0.2</v>
      </c>
      <c r="H566">
        <f t="shared" si="24"/>
        <v>119.4367245280948</v>
      </c>
      <c r="I566">
        <f t="shared" si="25"/>
        <v>400.41672452809485</v>
      </c>
      <c r="J566">
        <f>SUMIFS(Transit_Clean[Quantity], Transit_Clean[Destination], A566, Transit_Clean[Item_Code], B566, Transit_Clean[SAP_Status], "In Transit")</f>
        <v>4665</v>
      </c>
      <c r="K566">
        <f t="shared" si="26"/>
        <v>7.6969891095451635</v>
      </c>
      <c r="L566" t="str" cm="1">
        <f t="array" ref="L566">_xlfn.IFS(C566&lt;0,"DATO INVALIDO", C566+J566&lt;I566,"PEDIR YA", C566&lt;I566,"EN CAMINO OK", TRUE,"SANO")</f>
        <v>SANO</v>
      </c>
    </row>
    <row r="567" spans="1:12" x14ac:dyDescent="0.45">
      <c r="A567" t="s">
        <v>1114</v>
      </c>
      <c r="B567" t="s">
        <v>7</v>
      </c>
      <c r="C567">
        <v>5875</v>
      </c>
      <c r="D567">
        <v>473.5</v>
      </c>
      <c r="E567">
        <v>43.1</v>
      </c>
      <c r="F567">
        <v>4.2</v>
      </c>
      <c r="G567">
        <v>1.3</v>
      </c>
      <c r="H567">
        <f t="shared" si="24"/>
        <v>1026.0609138112854</v>
      </c>
      <c r="I567">
        <f t="shared" si="25"/>
        <v>3014.7609138112857</v>
      </c>
      <c r="J567">
        <f>SUMIFS(Transit_Clean[Quantity], Transit_Clean[Destination], A567, Transit_Clean[Item_Code], B567, Transit_Clean[SAP_Status], "In Transit")</f>
        <v>0</v>
      </c>
      <c r="K567">
        <f t="shared" si="26"/>
        <v>12.407602956705386</v>
      </c>
      <c r="L567" t="str" cm="1">
        <f t="array" ref="L567">_xlfn.IFS(C567&lt;0,"DATO INVALIDO", C567+J567&lt;I567,"PEDIR YA", C567&lt;I567,"EN CAMINO OK", TRUE,"SANO")</f>
        <v>SANO</v>
      </c>
    </row>
    <row r="568" spans="1:12" x14ac:dyDescent="0.45">
      <c r="A568" t="s">
        <v>1117</v>
      </c>
      <c r="B568" t="s">
        <v>50</v>
      </c>
      <c r="C568">
        <v>700</v>
      </c>
      <c r="D568">
        <v>138.9</v>
      </c>
      <c r="E568">
        <v>60</v>
      </c>
      <c r="F568">
        <v>2.1</v>
      </c>
      <c r="G568">
        <v>0.5</v>
      </c>
      <c r="H568">
        <f t="shared" si="24"/>
        <v>183.61247521955039</v>
      </c>
      <c r="I568">
        <f t="shared" si="25"/>
        <v>475.30247521955039</v>
      </c>
      <c r="J568">
        <f>SUMIFS(Transit_Clean[Quantity], Transit_Clean[Destination], A568, Transit_Clean[Item_Code], B568, Transit_Clean[SAP_Status], "In Transit")</f>
        <v>4723</v>
      </c>
      <c r="K568">
        <f t="shared" si="26"/>
        <v>5.0395968322534195</v>
      </c>
      <c r="L568" t="str" cm="1">
        <f t="array" ref="L568">_xlfn.IFS(C568&lt;0,"DATO INVALIDO", C568+J568&lt;I568,"PEDIR YA", C568&lt;I568,"EN CAMINO OK", TRUE,"SANO")</f>
        <v>SANO</v>
      </c>
    </row>
    <row r="569" spans="1:12" x14ac:dyDescent="0.45">
      <c r="A569" t="s">
        <v>1128</v>
      </c>
      <c r="B569" t="s">
        <v>93</v>
      </c>
      <c r="C569">
        <v>1952</v>
      </c>
      <c r="D569">
        <v>307.10000000000002</v>
      </c>
      <c r="E569">
        <v>60.9</v>
      </c>
      <c r="F569">
        <v>1.4</v>
      </c>
      <c r="G569">
        <v>0.5</v>
      </c>
      <c r="H569">
        <f t="shared" si="24"/>
        <v>279.86809771971156</v>
      </c>
      <c r="I569">
        <f t="shared" si="25"/>
        <v>709.80809771971155</v>
      </c>
      <c r="J569">
        <f>SUMIFS(Transit_Clean[Quantity], Transit_Clean[Destination], A569, Transit_Clean[Item_Code], B569, Transit_Clean[SAP_Status], "In Transit")</f>
        <v>0</v>
      </c>
      <c r="K569">
        <f t="shared" si="26"/>
        <v>6.3562357538261152</v>
      </c>
      <c r="L569" t="str" cm="1">
        <f t="array" ref="L569">_xlfn.IFS(C569&lt;0,"DATO INVALIDO", C569+J569&lt;I569,"PEDIR YA", C569&lt;I569,"EN CAMINO OK", TRUE,"SANO")</f>
        <v>SANO</v>
      </c>
    </row>
    <row r="570" spans="1:12" x14ac:dyDescent="0.45">
      <c r="A570" t="s">
        <v>1125</v>
      </c>
      <c r="B570" t="s">
        <v>13</v>
      </c>
      <c r="C570">
        <v>6140</v>
      </c>
      <c r="D570">
        <v>405.4</v>
      </c>
      <c r="E570">
        <v>158.9</v>
      </c>
      <c r="F570">
        <v>3.6</v>
      </c>
      <c r="G570">
        <v>1.2</v>
      </c>
      <c r="H570">
        <f t="shared" si="24"/>
        <v>944.34207471339528</v>
      </c>
      <c r="I570">
        <f t="shared" si="25"/>
        <v>2403.7820747133956</v>
      </c>
      <c r="J570">
        <f>SUMIFS(Transit_Clean[Quantity], Transit_Clean[Destination], A570, Transit_Clean[Item_Code], B570, Transit_Clean[SAP_Status], "In Transit")</f>
        <v>0</v>
      </c>
      <c r="K570">
        <f t="shared" si="26"/>
        <v>15.145535273803652</v>
      </c>
      <c r="L570" t="str" cm="1">
        <f t="array" ref="L570">_xlfn.IFS(C570&lt;0,"DATO INVALIDO", C570+J570&lt;I570,"PEDIR YA", C570&lt;I570,"EN CAMINO OK", TRUE,"SANO")</f>
        <v>SANO</v>
      </c>
    </row>
    <row r="571" spans="1:12" x14ac:dyDescent="0.45">
      <c r="A571" t="s">
        <v>1126</v>
      </c>
      <c r="B571" t="s">
        <v>1136</v>
      </c>
      <c r="C571">
        <v>5033</v>
      </c>
      <c r="D571">
        <v>314.8</v>
      </c>
      <c r="E571">
        <v>145.30000000000001</v>
      </c>
      <c r="F571">
        <v>0.9</v>
      </c>
      <c r="G571">
        <v>0.2</v>
      </c>
      <c r="H571">
        <f t="shared" si="24"/>
        <v>250.04356416132771</v>
      </c>
      <c r="I571">
        <f t="shared" si="25"/>
        <v>533.36356416132776</v>
      </c>
      <c r="J571">
        <f>SUMIFS(Transit_Clean[Quantity], Transit_Clean[Destination], A571, Transit_Clean[Item_Code], B571, Transit_Clean[SAP_Status], "In Transit")</f>
        <v>1928</v>
      </c>
      <c r="K571">
        <f t="shared" si="26"/>
        <v>15.987928843710291</v>
      </c>
      <c r="L571" t="str" cm="1">
        <f t="array" ref="L571">_xlfn.IFS(C571&lt;0,"DATO INVALIDO", C571+J571&lt;I571,"PEDIR YA", C571&lt;I571,"EN CAMINO OK", TRUE,"SANO")</f>
        <v>SANO</v>
      </c>
    </row>
    <row r="572" spans="1:12" x14ac:dyDescent="0.45">
      <c r="A572" t="s">
        <v>1115</v>
      </c>
      <c r="B572" t="s">
        <v>54</v>
      </c>
      <c r="C572">
        <v>5265</v>
      </c>
      <c r="D572">
        <v>342.4</v>
      </c>
      <c r="E572">
        <v>41.4</v>
      </c>
      <c r="F572">
        <v>1.2</v>
      </c>
      <c r="G572">
        <v>0.6</v>
      </c>
      <c r="H572">
        <f t="shared" si="24"/>
        <v>347.13720039200632</v>
      </c>
      <c r="I572">
        <f t="shared" si="25"/>
        <v>758.01720039200632</v>
      </c>
      <c r="J572">
        <f>SUMIFS(Transit_Clean[Quantity], Transit_Clean[Destination], A572, Transit_Clean[Item_Code], B572, Transit_Clean[SAP_Status], "In Transit")</f>
        <v>0</v>
      </c>
      <c r="K572">
        <f t="shared" si="26"/>
        <v>15.376752336448599</v>
      </c>
      <c r="L572" t="str" cm="1">
        <f t="array" ref="L572">_xlfn.IFS(C572&lt;0,"DATO INVALIDO", C572+J572&lt;I572,"PEDIR YA", C572&lt;I572,"EN CAMINO OK", TRUE,"SANO")</f>
        <v>SANO</v>
      </c>
    </row>
    <row r="573" spans="1:12" x14ac:dyDescent="0.45">
      <c r="A573" t="s">
        <v>1121</v>
      </c>
      <c r="B573" t="s">
        <v>66</v>
      </c>
      <c r="C573">
        <v>3171</v>
      </c>
      <c r="D573">
        <v>494.4</v>
      </c>
      <c r="E573">
        <v>70.7</v>
      </c>
      <c r="F573">
        <v>2.7</v>
      </c>
      <c r="G573">
        <v>0.4</v>
      </c>
      <c r="H573">
        <f t="shared" si="24"/>
        <v>378.44015482437908</v>
      </c>
      <c r="I573">
        <f t="shared" si="25"/>
        <v>1713.3201548243792</v>
      </c>
      <c r="J573">
        <f>SUMIFS(Transit_Clean[Quantity], Transit_Clean[Destination], A573, Transit_Clean[Item_Code], B573, Transit_Clean[SAP_Status], "In Transit")</f>
        <v>383</v>
      </c>
      <c r="K573">
        <f t="shared" si="26"/>
        <v>6.4138349514563107</v>
      </c>
      <c r="L573" t="str" cm="1">
        <f t="array" ref="L573">_xlfn.IFS(C573&lt;0,"DATO INVALIDO", C573+J573&lt;I573,"PEDIR YA", C573&lt;I573,"EN CAMINO OK", TRUE,"SANO")</f>
        <v>SANO</v>
      </c>
    </row>
    <row r="574" spans="1:12" x14ac:dyDescent="0.45">
      <c r="A574" t="s">
        <v>1124</v>
      </c>
      <c r="B574" t="s">
        <v>42</v>
      </c>
      <c r="C574">
        <v>5003</v>
      </c>
      <c r="D574">
        <v>335</v>
      </c>
      <c r="E574">
        <v>109.3</v>
      </c>
      <c r="F574">
        <v>0.7</v>
      </c>
      <c r="G574">
        <v>0.3</v>
      </c>
      <c r="H574">
        <f t="shared" si="24"/>
        <v>224.19846998251347</v>
      </c>
      <c r="I574">
        <f t="shared" si="25"/>
        <v>458.69846998251342</v>
      </c>
      <c r="J574">
        <f>SUMIFS(Transit_Clean[Quantity], Transit_Clean[Destination], A574, Transit_Clean[Item_Code], B574, Transit_Clean[SAP_Status], "In Transit")</f>
        <v>825</v>
      </c>
      <c r="K574">
        <f t="shared" si="26"/>
        <v>14.934328358208955</v>
      </c>
      <c r="L574" t="str" cm="1">
        <f t="array" ref="L574">_xlfn.IFS(C574&lt;0,"DATO INVALIDO", C574+J574&lt;I574,"PEDIR YA", C574&lt;I574,"EN CAMINO OK", TRUE,"SANO")</f>
        <v>SANO</v>
      </c>
    </row>
    <row r="575" spans="1:12" x14ac:dyDescent="0.45">
      <c r="A575" t="s">
        <v>1119</v>
      </c>
      <c r="B575" t="s">
        <v>42</v>
      </c>
      <c r="C575">
        <v>6719</v>
      </c>
      <c r="D575">
        <v>375</v>
      </c>
      <c r="E575">
        <v>98.1</v>
      </c>
      <c r="F575">
        <v>3.4</v>
      </c>
      <c r="G575">
        <v>1</v>
      </c>
      <c r="H575">
        <f t="shared" si="24"/>
        <v>686.97344087308056</v>
      </c>
      <c r="I575">
        <f t="shared" si="25"/>
        <v>1961.9734408730806</v>
      </c>
      <c r="J575">
        <f>SUMIFS(Transit_Clean[Quantity], Transit_Clean[Destination], A575, Transit_Clean[Item_Code], B575, Transit_Clean[SAP_Status], "In Transit")</f>
        <v>3029</v>
      </c>
      <c r="K575">
        <f t="shared" si="26"/>
        <v>17.917333333333332</v>
      </c>
      <c r="L575" t="str" cm="1">
        <f t="array" ref="L575">_xlfn.IFS(C575&lt;0,"DATO INVALIDO", C575+J575&lt;I575,"PEDIR YA", C575&lt;I575,"EN CAMINO OK", TRUE,"SANO")</f>
        <v>SANO</v>
      </c>
    </row>
    <row r="576" spans="1:12" x14ac:dyDescent="0.45">
      <c r="A576" t="s">
        <v>1125</v>
      </c>
      <c r="B576" t="s">
        <v>84</v>
      </c>
      <c r="C576">
        <v>7711</v>
      </c>
      <c r="D576">
        <v>465.3</v>
      </c>
      <c r="E576">
        <v>142.4</v>
      </c>
      <c r="F576">
        <v>3.5</v>
      </c>
      <c r="G576">
        <v>1.2</v>
      </c>
      <c r="H576">
        <f t="shared" si="24"/>
        <v>1020.7861382464007</v>
      </c>
      <c r="I576">
        <f t="shared" si="25"/>
        <v>2649.3361382464009</v>
      </c>
      <c r="J576">
        <f>SUMIFS(Transit_Clean[Quantity], Transit_Clean[Destination], A576, Transit_Clean[Item_Code], B576, Transit_Clean[SAP_Status], "In Transit")</f>
        <v>0</v>
      </c>
      <c r="K576">
        <f t="shared" si="26"/>
        <v>16.57210401891253</v>
      </c>
      <c r="L576" t="str" cm="1">
        <f t="array" ref="L576">_xlfn.IFS(C576&lt;0,"DATO INVALIDO", C576+J576&lt;I576,"PEDIR YA", C576&lt;I576,"EN CAMINO OK", TRUE,"SANO")</f>
        <v>SANO</v>
      </c>
    </row>
    <row r="577" spans="1:12" x14ac:dyDescent="0.45">
      <c r="A577" t="s">
        <v>1118</v>
      </c>
      <c r="B577" t="s">
        <v>97</v>
      </c>
      <c r="C577">
        <v>5787</v>
      </c>
      <c r="D577">
        <v>369.1</v>
      </c>
      <c r="E577">
        <v>184.4</v>
      </c>
      <c r="F577">
        <v>0.5</v>
      </c>
      <c r="G577">
        <v>1.5</v>
      </c>
      <c r="H577">
        <f t="shared" si="24"/>
        <v>938.51501416133453</v>
      </c>
      <c r="I577">
        <f t="shared" si="25"/>
        <v>1123.0650141613346</v>
      </c>
      <c r="J577">
        <f>SUMIFS(Transit_Clean[Quantity], Transit_Clean[Destination], A577, Transit_Clean[Item_Code], B577, Transit_Clean[SAP_Status], "In Transit")</f>
        <v>1008</v>
      </c>
      <c r="K577">
        <f t="shared" si="26"/>
        <v>15.678677865077214</v>
      </c>
      <c r="L577" t="str" cm="1">
        <f t="array" ref="L577">_xlfn.IFS(C577&lt;0,"DATO INVALIDO", C577+J577&lt;I577,"PEDIR YA", C577&lt;I577,"EN CAMINO OK", TRUE,"SANO")</f>
        <v>SANO</v>
      </c>
    </row>
    <row r="578" spans="1:12" x14ac:dyDescent="0.45">
      <c r="A578" t="s">
        <v>1115</v>
      </c>
      <c r="B578" t="s">
        <v>109</v>
      </c>
      <c r="C578">
        <v>6496</v>
      </c>
      <c r="D578">
        <v>428.4</v>
      </c>
      <c r="E578">
        <v>295</v>
      </c>
      <c r="F578">
        <v>1.8</v>
      </c>
      <c r="G578">
        <v>0.6</v>
      </c>
      <c r="H578">
        <f t="shared" si="24"/>
        <v>778.67862045647553</v>
      </c>
      <c r="I578">
        <f t="shared" si="25"/>
        <v>1549.7986204564754</v>
      </c>
      <c r="J578">
        <f>SUMIFS(Transit_Clean[Quantity], Transit_Clean[Destination], A578, Transit_Clean[Item_Code], B578, Transit_Clean[SAP_Status], "In Transit")</f>
        <v>0</v>
      </c>
      <c r="K578">
        <f t="shared" si="26"/>
        <v>15.163398692810459</v>
      </c>
      <c r="L578" t="str" cm="1">
        <f t="array" ref="L578">_xlfn.IFS(C578&lt;0,"DATO INVALIDO", C578+J578&lt;I578,"PEDIR YA", C578&lt;I578,"EN CAMINO OK", TRUE,"SANO")</f>
        <v>SANO</v>
      </c>
    </row>
    <row r="579" spans="1:12" x14ac:dyDescent="0.45">
      <c r="A579" t="s">
        <v>1126</v>
      </c>
      <c r="B579" t="s">
        <v>97</v>
      </c>
      <c r="C579">
        <v>5347</v>
      </c>
      <c r="D579">
        <v>729.2</v>
      </c>
      <c r="E579">
        <v>380</v>
      </c>
      <c r="F579">
        <v>0.8</v>
      </c>
      <c r="G579">
        <v>0.2</v>
      </c>
      <c r="H579">
        <f t="shared" ref="H579:H642" si="27">IFERROR(1.65*SQRT(F579*E579^2 + D579^2*G579^2), "")</f>
        <v>610.25313149217016</v>
      </c>
      <c r="I579">
        <f t="shared" ref="I579:I642" si="28">IFERROR(D579*F579 + H579, "")</f>
        <v>1193.6131314921702</v>
      </c>
      <c r="J579">
        <f>SUMIFS(Transit_Clean[Quantity], Transit_Clean[Destination], A579, Transit_Clean[Item_Code], B579, Transit_Clean[SAP_Status], "In Transit")</f>
        <v>0</v>
      </c>
      <c r="K579">
        <f t="shared" ref="K579:K642" si="29">IFERROR(C579/D579, "")</f>
        <v>7.3326933625891382</v>
      </c>
      <c r="L579" t="str" cm="1">
        <f t="array" ref="L579">_xlfn.IFS(C579&lt;0,"DATO INVALIDO", C579+J579&lt;I579,"PEDIR YA", C579&lt;I579,"EN CAMINO OK", TRUE,"SANO")</f>
        <v>SANO</v>
      </c>
    </row>
    <row r="580" spans="1:12" x14ac:dyDescent="0.45">
      <c r="A580" t="s">
        <v>1114</v>
      </c>
      <c r="B580" t="s">
        <v>22</v>
      </c>
      <c r="C580">
        <v>5372</v>
      </c>
      <c r="D580">
        <v>503.1</v>
      </c>
      <c r="E580">
        <v>215.7</v>
      </c>
      <c r="F580">
        <v>4.9000000000000004</v>
      </c>
      <c r="G580">
        <v>1.3</v>
      </c>
      <c r="H580">
        <f t="shared" si="27"/>
        <v>1336.1282317100968</v>
      </c>
      <c r="I580">
        <f t="shared" si="28"/>
        <v>3801.3182317100973</v>
      </c>
      <c r="J580">
        <f>SUMIFS(Transit_Clean[Quantity], Transit_Clean[Destination], A580, Transit_Clean[Item_Code], B580, Transit_Clean[SAP_Status], "In Transit")</f>
        <v>3260</v>
      </c>
      <c r="K580">
        <f t="shared" si="29"/>
        <v>10.677797654541839</v>
      </c>
      <c r="L580" t="str" cm="1">
        <f t="array" ref="L580">_xlfn.IFS(C580&lt;0,"DATO INVALIDO", C580+J580&lt;I580,"PEDIR YA", C580&lt;I580,"EN CAMINO OK", TRUE,"SANO")</f>
        <v>SANO</v>
      </c>
    </row>
    <row r="581" spans="1:12" x14ac:dyDescent="0.45">
      <c r="A581" t="s">
        <v>1127</v>
      </c>
      <c r="B581" t="s">
        <v>75</v>
      </c>
      <c r="C581">
        <v>1322</v>
      </c>
      <c r="E581">
        <v>42.2</v>
      </c>
      <c r="F581">
        <v>3.8</v>
      </c>
      <c r="G581">
        <v>0.9</v>
      </c>
      <c r="H581">
        <f t="shared" si="27"/>
        <v>135.73385804580963</v>
      </c>
      <c r="I581">
        <f t="shared" si="28"/>
        <v>135.73385804580963</v>
      </c>
      <c r="J581">
        <f>SUMIFS(Transit_Clean[Quantity], Transit_Clean[Destination], A581, Transit_Clean[Item_Code], B581, Transit_Clean[SAP_Status], "In Transit")</f>
        <v>1773</v>
      </c>
      <c r="K581" t="str">
        <f t="shared" si="29"/>
        <v/>
      </c>
      <c r="L581" t="str" cm="1">
        <f t="array" ref="L581">_xlfn.IFS(C581&lt;0,"DATO INVALIDO", C581+J581&lt;I581,"PEDIR YA", C581&lt;I581,"EN CAMINO OK", TRUE,"SANO")</f>
        <v>SANO</v>
      </c>
    </row>
    <row r="582" spans="1:12" x14ac:dyDescent="0.45">
      <c r="A582" t="s">
        <v>1116</v>
      </c>
      <c r="B582" t="s">
        <v>35</v>
      </c>
      <c r="C582">
        <v>2403</v>
      </c>
      <c r="D582">
        <v>352.5</v>
      </c>
      <c r="E582">
        <v>61.2</v>
      </c>
      <c r="F582">
        <v>3.2</v>
      </c>
      <c r="G582">
        <v>1.6</v>
      </c>
      <c r="H582">
        <f t="shared" si="27"/>
        <v>947.96974280828181</v>
      </c>
      <c r="I582">
        <f t="shared" si="28"/>
        <v>2075.9697428082818</v>
      </c>
      <c r="J582">
        <f>SUMIFS(Transit_Clean[Quantity], Transit_Clean[Destination], A582, Transit_Clean[Item_Code], B582, Transit_Clean[SAP_Status], "In Transit")</f>
        <v>0</v>
      </c>
      <c r="K582">
        <f t="shared" si="29"/>
        <v>6.817021276595745</v>
      </c>
      <c r="L582" t="str" cm="1">
        <f t="array" ref="L582">_xlfn.IFS(C582&lt;0,"DATO INVALIDO", C582+J582&lt;I582,"PEDIR YA", C582&lt;I582,"EN CAMINO OK", TRUE,"SANO")</f>
        <v>SANO</v>
      </c>
    </row>
    <row r="583" spans="1:12" x14ac:dyDescent="0.45">
      <c r="A583" t="s">
        <v>1115</v>
      </c>
      <c r="B583" t="s">
        <v>27</v>
      </c>
      <c r="C583">
        <v>4937</v>
      </c>
      <c r="D583">
        <v>422.7</v>
      </c>
      <c r="E583">
        <v>232.7</v>
      </c>
      <c r="F583">
        <v>2.4</v>
      </c>
      <c r="G583">
        <v>0.6</v>
      </c>
      <c r="H583">
        <f t="shared" si="27"/>
        <v>727.27650353149716</v>
      </c>
      <c r="I583">
        <f t="shared" si="28"/>
        <v>1741.7565035314969</v>
      </c>
      <c r="J583">
        <f>SUMIFS(Transit_Clean[Quantity], Transit_Clean[Destination], A583, Transit_Clean[Item_Code], B583, Transit_Clean[SAP_Status], "In Transit")</f>
        <v>0</v>
      </c>
      <c r="K583">
        <f t="shared" si="29"/>
        <v>11.679678258812396</v>
      </c>
      <c r="L583" t="str" cm="1">
        <f t="array" ref="L583">_xlfn.IFS(C583&lt;0,"DATO INVALIDO", C583+J583&lt;I583,"PEDIR YA", C583&lt;I583,"EN CAMINO OK", TRUE,"SANO")</f>
        <v>SANO</v>
      </c>
    </row>
    <row r="584" spans="1:12" x14ac:dyDescent="0.45">
      <c r="A584" t="s">
        <v>1118</v>
      </c>
      <c r="B584" t="s">
        <v>72</v>
      </c>
      <c r="C584">
        <v>1008</v>
      </c>
      <c r="D584">
        <v>452.5</v>
      </c>
      <c r="E584">
        <v>54.8</v>
      </c>
      <c r="F584">
        <v>4.2</v>
      </c>
      <c r="G584">
        <v>1.5</v>
      </c>
      <c r="H584">
        <f t="shared" si="27"/>
        <v>1135.164421917041</v>
      </c>
      <c r="I584">
        <f t="shared" si="28"/>
        <v>3035.6644219170412</v>
      </c>
      <c r="J584">
        <f>SUMIFS(Transit_Clean[Quantity], Transit_Clean[Destination], A584, Transit_Clean[Item_Code], B584, Transit_Clean[SAP_Status], "In Transit")</f>
        <v>0</v>
      </c>
      <c r="K584">
        <f t="shared" si="29"/>
        <v>2.2276243093922652</v>
      </c>
      <c r="L584" t="str" cm="1">
        <f t="array" ref="L584">_xlfn.IFS(C584&lt;0,"DATO INVALIDO", C584+J584&lt;I584,"PEDIR YA", C584&lt;I584,"EN CAMINO OK", TRUE,"SANO")</f>
        <v>PEDIR YA</v>
      </c>
    </row>
    <row r="585" spans="1:12" x14ac:dyDescent="0.45">
      <c r="A585" t="s">
        <v>1127</v>
      </c>
      <c r="B585" t="s">
        <v>1134</v>
      </c>
      <c r="C585">
        <v>861</v>
      </c>
      <c r="D585">
        <v>325.60000000000002</v>
      </c>
      <c r="E585">
        <v>52.6</v>
      </c>
      <c r="F585">
        <v>2.5</v>
      </c>
      <c r="G585">
        <v>0.9</v>
      </c>
      <c r="H585">
        <f t="shared" si="27"/>
        <v>502.61215913067605</v>
      </c>
      <c r="I585">
        <f t="shared" si="28"/>
        <v>1316.612159130676</v>
      </c>
      <c r="J585">
        <f>SUMIFS(Transit_Clean[Quantity], Transit_Clean[Destination], A585, Transit_Clean[Item_Code], B585, Transit_Clean[SAP_Status], "In Transit")</f>
        <v>0</v>
      </c>
      <c r="K585">
        <f t="shared" si="29"/>
        <v>2.644348894348894</v>
      </c>
      <c r="L585" t="str" cm="1">
        <f t="array" ref="L585">_xlfn.IFS(C585&lt;0,"DATO INVALIDO", C585+J585&lt;I585,"PEDIR YA", C585&lt;I585,"EN CAMINO OK", TRUE,"SANO")</f>
        <v>PEDIR YA</v>
      </c>
    </row>
    <row r="586" spans="1:12" x14ac:dyDescent="0.45">
      <c r="A586" t="s">
        <v>1121</v>
      </c>
      <c r="B586" t="s">
        <v>15</v>
      </c>
      <c r="C586">
        <v>4912</v>
      </c>
      <c r="D586">
        <v>813.8</v>
      </c>
      <c r="E586">
        <v>127.1</v>
      </c>
      <c r="F586">
        <v>2.8</v>
      </c>
      <c r="G586">
        <v>0.4</v>
      </c>
      <c r="H586">
        <f t="shared" si="27"/>
        <v>641.58403276110289</v>
      </c>
      <c r="I586">
        <f t="shared" si="28"/>
        <v>2920.2240327611025</v>
      </c>
      <c r="J586">
        <f>SUMIFS(Transit_Clean[Quantity], Transit_Clean[Destination], A586, Transit_Clean[Item_Code], B586, Transit_Clean[SAP_Status], "In Transit")</f>
        <v>1158</v>
      </c>
      <c r="K586">
        <f t="shared" si="29"/>
        <v>6.0358810518554931</v>
      </c>
      <c r="L586" t="str" cm="1">
        <f t="array" ref="L586">_xlfn.IFS(C586&lt;0,"DATO INVALIDO", C586+J586&lt;I586,"PEDIR YA", C586&lt;I586,"EN CAMINO OK", TRUE,"SANO")</f>
        <v>SANO</v>
      </c>
    </row>
    <row r="587" spans="1:12" x14ac:dyDescent="0.45">
      <c r="A587" t="s">
        <v>1116</v>
      </c>
      <c r="B587" t="s">
        <v>1140</v>
      </c>
      <c r="C587">
        <v>1769</v>
      </c>
      <c r="D587">
        <v>261.10000000000002</v>
      </c>
      <c r="E587">
        <v>35.799999999999997</v>
      </c>
      <c r="F587">
        <v>4.9000000000000004</v>
      </c>
      <c r="G587">
        <v>1.6</v>
      </c>
      <c r="H587">
        <f t="shared" si="27"/>
        <v>701.59632441026952</v>
      </c>
      <c r="I587">
        <f t="shared" si="28"/>
        <v>1980.9863244102696</v>
      </c>
      <c r="J587">
        <f>SUMIFS(Transit_Clean[Quantity], Transit_Clean[Destination], A587, Transit_Clean[Item_Code], B587, Transit_Clean[SAP_Status], "In Transit")</f>
        <v>0</v>
      </c>
      <c r="K587">
        <f t="shared" si="29"/>
        <v>6.7751819226350047</v>
      </c>
      <c r="L587" t="str" cm="1">
        <f t="array" ref="L587">_xlfn.IFS(C587&lt;0,"DATO INVALIDO", C587+J587&lt;I587,"PEDIR YA", C587&lt;I587,"EN CAMINO OK", TRUE,"SANO")</f>
        <v>PEDIR YA</v>
      </c>
    </row>
    <row r="588" spans="1:12" x14ac:dyDescent="0.45">
      <c r="A588" t="s">
        <v>1124</v>
      </c>
      <c r="B588" t="s">
        <v>52</v>
      </c>
      <c r="C588">
        <v>5591</v>
      </c>
      <c r="D588">
        <v>316.10000000000002</v>
      </c>
      <c r="E588">
        <v>86.5</v>
      </c>
      <c r="F588">
        <v>1.2</v>
      </c>
      <c r="G588">
        <v>0.3</v>
      </c>
      <c r="H588">
        <f t="shared" si="27"/>
        <v>221.19497096509676</v>
      </c>
      <c r="I588">
        <f t="shared" si="28"/>
        <v>600.51497096509672</v>
      </c>
      <c r="J588">
        <f>SUMIFS(Transit_Clean[Quantity], Transit_Clean[Destination], A588, Transit_Clean[Item_Code], B588, Transit_Clean[SAP_Status], "In Transit")</f>
        <v>0</v>
      </c>
      <c r="K588">
        <f t="shared" si="29"/>
        <v>17.68744068332806</v>
      </c>
      <c r="L588" t="str" cm="1">
        <f t="array" ref="L588">_xlfn.IFS(C588&lt;0,"DATO INVALIDO", C588+J588&lt;I588,"PEDIR YA", C588&lt;I588,"EN CAMINO OK", TRUE,"SANO")</f>
        <v>SANO</v>
      </c>
    </row>
    <row r="589" spans="1:12" x14ac:dyDescent="0.45">
      <c r="A589" t="s">
        <v>1116</v>
      </c>
      <c r="B589" t="s">
        <v>93</v>
      </c>
      <c r="C589">
        <v>4985</v>
      </c>
      <c r="D589">
        <v>317.39999999999998</v>
      </c>
      <c r="E589">
        <v>44.8</v>
      </c>
      <c r="F589">
        <v>4.4000000000000004</v>
      </c>
      <c r="G589">
        <v>1.6</v>
      </c>
      <c r="H589">
        <f t="shared" si="27"/>
        <v>852.16141209045611</v>
      </c>
      <c r="I589">
        <f t="shared" si="28"/>
        <v>2248.7214120904559</v>
      </c>
      <c r="J589">
        <f>SUMIFS(Transit_Clean[Quantity], Transit_Clean[Destination], A589, Transit_Clean[Item_Code], B589, Transit_Clean[SAP_Status], "In Transit")</f>
        <v>557</v>
      </c>
      <c r="K589">
        <f t="shared" si="29"/>
        <v>15.705734089477001</v>
      </c>
      <c r="L589" t="str" cm="1">
        <f t="array" ref="L589">_xlfn.IFS(C589&lt;0,"DATO INVALIDO", C589+J589&lt;I589,"PEDIR YA", C589&lt;I589,"EN CAMINO OK", TRUE,"SANO")</f>
        <v>SANO</v>
      </c>
    </row>
    <row r="590" spans="1:12" x14ac:dyDescent="0.45">
      <c r="A590" t="s">
        <v>1117</v>
      </c>
      <c r="B590" t="s">
        <v>96</v>
      </c>
      <c r="C590">
        <v>6327</v>
      </c>
      <c r="D590">
        <v>763.3</v>
      </c>
      <c r="E590">
        <v>145.5</v>
      </c>
      <c r="F590">
        <v>2.5</v>
      </c>
      <c r="G590">
        <v>0.5</v>
      </c>
      <c r="H590">
        <f t="shared" si="27"/>
        <v>735.28255865942435</v>
      </c>
      <c r="I590">
        <f t="shared" si="28"/>
        <v>2643.5325586594245</v>
      </c>
      <c r="J590">
        <f>SUMIFS(Transit_Clean[Quantity], Transit_Clean[Destination], A590, Transit_Clean[Item_Code], B590, Transit_Clean[SAP_Status], "In Transit")</f>
        <v>1875</v>
      </c>
      <c r="K590">
        <f t="shared" si="29"/>
        <v>8.2890082536355312</v>
      </c>
      <c r="L590" t="str" cm="1">
        <f t="array" ref="L590">_xlfn.IFS(C590&lt;0,"DATO INVALIDO", C590+J590&lt;I590,"PEDIR YA", C590&lt;I590,"EN CAMINO OK", TRUE,"SANO")</f>
        <v>SANO</v>
      </c>
    </row>
    <row r="591" spans="1:12" x14ac:dyDescent="0.45">
      <c r="A591" t="s">
        <v>1121</v>
      </c>
      <c r="B591" t="s">
        <v>35</v>
      </c>
      <c r="C591">
        <v>4683</v>
      </c>
      <c r="D591">
        <v>307.8</v>
      </c>
      <c r="E591">
        <v>51.5</v>
      </c>
      <c r="F591">
        <v>2.2000000000000002</v>
      </c>
      <c r="G591">
        <v>0.4</v>
      </c>
      <c r="H591">
        <f t="shared" si="27"/>
        <v>239.07061985739696</v>
      </c>
      <c r="I591">
        <f t="shared" si="28"/>
        <v>916.23061985739707</v>
      </c>
      <c r="J591">
        <f>SUMIFS(Transit_Clean[Quantity], Transit_Clean[Destination], A591, Transit_Clean[Item_Code], B591, Transit_Clean[SAP_Status], "In Transit")</f>
        <v>0</v>
      </c>
      <c r="K591">
        <f t="shared" si="29"/>
        <v>15.214424951267056</v>
      </c>
      <c r="L591" t="str" cm="1">
        <f t="array" ref="L591">_xlfn.IFS(C591&lt;0,"DATO INVALIDO", C591+J591&lt;I591,"PEDIR YA", C591&lt;I591,"EN CAMINO OK", TRUE,"SANO")</f>
        <v>SANO</v>
      </c>
    </row>
    <row r="592" spans="1:12" x14ac:dyDescent="0.45">
      <c r="A592" t="s">
        <v>1114</v>
      </c>
      <c r="B592" t="s">
        <v>77</v>
      </c>
      <c r="C592">
        <v>2501</v>
      </c>
      <c r="D592">
        <v>145.9</v>
      </c>
      <c r="E592">
        <v>52.7</v>
      </c>
      <c r="F592">
        <v>6.6</v>
      </c>
      <c r="G592">
        <v>1.3</v>
      </c>
      <c r="H592">
        <f t="shared" si="27"/>
        <v>384.50602120805598</v>
      </c>
      <c r="I592">
        <f t="shared" si="28"/>
        <v>1347.446021208056</v>
      </c>
      <c r="J592">
        <f>SUMIFS(Transit_Clean[Quantity], Transit_Clean[Destination], A592, Transit_Clean[Item_Code], B592, Transit_Clean[SAP_Status], "In Transit")</f>
        <v>3779</v>
      </c>
      <c r="K592">
        <f t="shared" si="29"/>
        <v>17.141877998629198</v>
      </c>
      <c r="L592" t="str" cm="1">
        <f t="array" ref="L592">_xlfn.IFS(C592&lt;0,"DATO INVALIDO", C592+J592&lt;I592,"PEDIR YA", C592&lt;I592,"EN CAMINO OK", TRUE,"SANO")</f>
        <v>SANO</v>
      </c>
    </row>
    <row r="593" spans="1:12" x14ac:dyDescent="0.45">
      <c r="A593" t="s">
        <v>1126</v>
      </c>
      <c r="B593" t="s">
        <v>93</v>
      </c>
      <c r="C593">
        <v>2250</v>
      </c>
      <c r="D593">
        <v>499.1</v>
      </c>
      <c r="E593">
        <v>57.2</v>
      </c>
      <c r="F593">
        <v>0.8</v>
      </c>
      <c r="G593">
        <v>0.2</v>
      </c>
      <c r="H593">
        <f t="shared" si="27"/>
        <v>185.0760539048745</v>
      </c>
      <c r="I593">
        <f t="shared" si="28"/>
        <v>584.35605390487456</v>
      </c>
      <c r="J593">
        <f>SUMIFS(Transit_Clean[Quantity], Transit_Clean[Destination], A593, Transit_Clean[Item_Code], B593, Transit_Clean[SAP_Status], "In Transit")</f>
        <v>0</v>
      </c>
      <c r="K593">
        <f t="shared" si="29"/>
        <v>4.5081146062913238</v>
      </c>
      <c r="L593" t="str" cm="1">
        <f t="array" ref="L593">_xlfn.IFS(C593&lt;0,"DATO INVALIDO", C593+J593&lt;I593,"PEDIR YA", C593&lt;I593,"EN CAMINO OK", TRUE,"SANO")</f>
        <v>SANO</v>
      </c>
    </row>
    <row r="594" spans="1:12" x14ac:dyDescent="0.45">
      <c r="A594" t="s">
        <v>1124</v>
      </c>
      <c r="B594" t="s">
        <v>69</v>
      </c>
      <c r="C594">
        <v>9377</v>
      </c>
      <c r="D594">
        <v>702.4</v>
      </c>
      <c r="E594">
        <v>339</v>
      </c>
      <c r="F594">
        <v>0.8</v>
      </c>
      <c r="G594">
        <v>0.3</v>
      </c>
      <c r="H594">
        <f t="shared" si="27"/>
        <v>609.24944262920746</v>
      </c>
      <c r="I594">
        <f t="shared" si="28"/>
        <v>1171.1694426292074</v>
      </c>
      <c r="J594">
        <f>SUMIFS(Transit_Clean[Quantity], Transit_Clean[Destination], A594, Transit_Clean[Item_Code], B594, Transit_Clean[SAP_Status], "In Transit")</f>
        <v>1705</v>
      </c>
      <c r="K594">
        <f t="shared" si="29"/>
        <v>13.349943052391801</v>
      </c>
      <c r="L594" t="str" cm="1">
        <f t="array" ref="L594">_xlfn.IFS(C594&lt;0,"DATO INVALIDO", C594+J594&lt;I594,"PEDIR YA", C594&lt;I594,"EN CAMINO OK", TRUE,"SANO")</f>
        <v>SANO</v>
      </c>
    </row>
    <row r="595" spans="1:12" x14ac:dyDescent="0.45">
      <c r="A595" t="s">
        <v>1122</v>
      </c>
      <c r="B595" t="s">
        <v>88</v>
      </c>
      <c r="C595">
        <v>7742</v>
      </c>
      <c r="D595">
        <v>645.5</v>
      </c>
      <c r="E595">
        <v>367.3</v>
      </c>
      <c r="F595">
        <v>1.1000000000000001</v>
      </c>
      <c r="G595">
        <v>0.2</v>
      </c>
      <c r="H595">
        <f t="shared" si="27"/>
        <v>670.36929110192693</v>
      </c>
      <c r="I595">
        <f t="shared" si="28"/>
        <v>1380.419291101927</v>
      </c>
      <c r="J595">
        <f>SUMIFS(Transit_Clean[Quantity], Transit_Clean[Destination], A595, Transit_Clean[Item_Code], B595, Transit_Clean[SAP_Status], "In Transit")</f>
        <v>1032</v>
      </c>
      <c r="K595">
        <f t="shared" si="29"/>
        <v>11.993803253292022</v>
      </c>
      <c r="L595" t="str" cm="1">
        <f t="array" ref="L595">_xlfn.IFS(C595&lt;0,"DATO INVALIDO", C595+J595&lt;I595,"PEDIR YA", C595&lt;I595,"EN CAMINO OK", TRUE,"SANO")</f>
        <v>SANO</v>
      </c>
    </row>
    <row r="596" spans="1:12" x14ac:dyDescent="0.45">
      <c r="A596" t="s">
        <v>1114</v>
      </c>
      <c r="B596" t="s">
        <v>58</v>
      </c>
      <c r="C596">
        <v>399</v>
      </c>
      <c r="D596">
        <v>281.60000000000002</v>
      </c>
      <c r="E596">
        <v>26.7</v>
      </c>
      <c r="F596">
        <v>5</v>
      </c>
      <c r="G596">
        <v>1.3</v>
      </c>
      <c r="H596">
        <f t="shared" si="27"/>
        <v>612.0121503279164</v>
      </c>
      <c r="I596">
        <f t="shared" si="28"/>
        <v>2020.0121503279165</v>
      </c>
      <c r="J596">
        <f>SUMIFS(Transit_Clean[Quantity], Transit_Clean[Destination], A596, Transit_Clean[Item_Code], B596, Transit_Clean[SAP_Status], "In Transit")</f>
        <v>1447</v>
      </c>
      <c r="K596">
        <f t="shared" si="29"/>
        <v>1.4169034090909089</v>
      </c>
      <c r="L596" t="str" cm="1">
        <f t="array" ref="L596">_xlfn.IFS(C596&lt;0,"DATO INVALIDO", C596+J596&lt;I596,"PEDIR YA", C596&lt;I596,"EN CAMINO OK", TRUE,"SANO")</f>
        <v>PEDIR YA</v>
      </c>
    </row>
    <row r="597" spans="1:12" x14ac:dyDescent="0.45">
      <c r="A597" t="s">
        <v>1122</v>
      </c>
      <c r="B597" t="s">
        <v>58</v>
      </c>
      <c r="C597">
        <v>4565</v>
      </c>
      <c r="D597">
        <v>405.4</v>
      </c>
      <c r="E597">
        <v>57.7</v>
      </c>
      <c r="F597">
        <v>1</v>
      </c>
      <c r="G597">
        <v>0.2</v>
      </c>
      <c r="H597">
        <f t="shared" si="27"/>
        <v>164.19992554505012</v>
      </c>
      <c r="I597">
        <f t="shared" si="28"/>
        <v>569.59992554505016</v>
      </c>
      <c r="J597">
        <f>SUMIFS(Transit_Clean[Quantity], Transit_Clean[Destination], A597, Transit_Clean[Item_Code], B597, Transit_Clean[SAP_Status], "In Transit")</f>
        <v>0</v>
      </c>
      <c r="K597">
        <f t="shared" si="29"/>
        <v>11.260483473112975</v>
      </c>
      <c r="L597" t="str" cm="1">
        <f t="array" ref="L597">_xlfn.IFS(C597&lt;0,"DATO INVALIDO", C597+J597&lt;I597,"PEDIR YA", C597&lt;I597,"EN CAMINO OK", TRUE,"SANO")</f>
        <v>SANO</v>
      </c>
    </row>
    <row r="598" spans="1:12" x14ac:dyDescent="0.45">
      <c r="A598" t="s">
        <v>1124</v>
      </c>
      <c r="B598" t="s">
        <v>40</v>
      </c>
      <c r="C598">
        <v>3450</v>
      </c>
      <c r="D598">
        <v>313.8</v>
      </c>
      <c r="E598">
        <v>28.6</v>
      </c>
      <c r="F598">
        <v>1</v>
      </c>
      <c r="G598">
        <v>0.3</v>
      </c>
      <c r="H598">
        <f t="shared" si="27"/>
        <v>162.34104736941916</v>
      </c>
      <c r="I598">
        <f t="shared" si="28"/>
        <v>476.1410473694192</v>
      </c>
      <c r="J598">
        <f>SUMIFS(Transit_Clean[Quantity], Transit_Clean[Destination], A598, Transit_Clean[Item_Code], B598, Transit_Clean[SAP_Status], "In Transit")</f>
        <v>0</v>
      </c>
      <c r="K598">
        <f t="shared" si="29"/>
        <v>10.994263862332696</v>
      </c>
      <c r="L598" t="str" cm="1">
        <f t="array" ref="L598">_xlfn.IFS(C598&lt;0,"DATO INVALIDO", C598+J598&lt;I598,"PEDIR YA", C598&lt;I598,"EN CAMINO OK", TRUE,"SANO")</f>
        <v>SANO</v>
      </c>
    </row>
    <row r="599" spans="1:12" x14ac:dyDescent="0.45">
      <c r="A599" t="s">
        <v>1115</v>
      </c>
      <c r="B599" t="s">
        <v>75</v>
      </c>
      <c r="C599">
        <v>1843</v>
      </c>
      <c r="D599">
        <v>330.5</v>
      </c>
      <c r="E599">
        <v>44.2</v>
      </c>
      <c r="F599">
        <v>1.9</v>
      </c>
      <c r="G599">
        <v>0.6</v>
      </c>
      <c r="H599">
        <f t="shared" si="27"/>
        <v>342.28973010448323</v>
      </c>
      <c r="I599">
        <f t="shared" si="28"/>
        <v>970.23973010448321</v>
      </c>
      <c r="J599">
        <f>SUMIFS(Transit_Clean[Quantity], Transit_Clean[Destination], A599, Transit_Clean[Item_Code], B599, Transit_Clean[SAP_Status], "In Transit")</f>
        <v>0</v>
      </c>
      <c r="K599">
        <f t="shared" si="29"/>
        <v>5.5763993948562787</v>
      </c>
      <c r="L599" t="str" cm="1">
        <f t="array" ref="L599">_xlfn.IFS(C599&lt;0,"DATO INVALIDO", C599+J599&lt;I599,"PEDIR YA", C599&lt;I599,"EN CAMINO OK", TRUE,"SANO")</f>
        <v>SANO</v>
      </c>
    </row>
    <row r="600" spans="1:12" x14ac:dyDescent="0.45">
      <c r="A600" t="s">
        <v>1125</v>
      </c>
      <c r="B600" t="s">
        <v>7</v>
      </c>
      <c r="C600">
        <v>2598</v>
      </c>
      <c r="D600">
        <v>196.3</v>
      </c>
      <c r="E600">
        <v>22.7</v>
      </c>
      <c r="F600">
        <v>4</v>
      </c>
      <c r="G600">
        <v>1.2</v>
      </c>
      <c r="H600">
        <f t="shared" si="27"/>
        <v>395.82696519565212</v>
      </c>
      <c r="I600">
        <f t="shared" si="28"/>
        <v>1181.0269651956521</v>
      </c>
      <c r="J600">
        <f>SUMIFS(Transit_Clean[Quantity], Transit_Clean[Destination], A600, Transit_Clean[Item_Code], B600, Transit_Clean[SAP_Status], "In Transit")</f>
        <v>2045</v>
      </c>
      <c r="K600">
        <f t="shared" si="29"/>
        <v>13.234844625573102</v>
      </c>
      <c r="L600" t="str" cm="1">
        <f t="array" ref="L600">_xlfn.IFS(C600&lt;0,"DATO INVALIDO", C600+J600&lt;I600,"PEDIR YA", C600&lt;I600,"EN CAMINO OK", TRUE,"SANO")</f>
        <v>SANO</v>
      </c>
    </row>
    <row r="601" spans="1:12" x14ac:dyDescent="0.45">
      <c r="A601" t="s">
        <v>1116</v>
      </c>
      <c r="B601" t="s">
        <v>19</v>
      </c>
      <c r="C601">
        <v>1267</v>
      </c>
      <c r="D601">
        <v>151.6</v>
      </c>
      <c r="E601">
        <v>67</v>
      </c>
      <c r="F601">
        <v>6.6</v>
      </c>
      <c r="G601">
        <v>1.6</v>
      </c>
      <c r="H601">
        <f t="shared" si="27"/>
        <v>490.75436490774075</v>
      </c>
      <c r="I601">
        <f t="shared" si="28"/>
        <v>1491.3143649077406</v>
      </c>
      <c r="J601">
        <f>SUMIFS(Transit_Clean[Quantity], Transit_Clean[Destination], A601, Transit_Clean[Item_Code], B601, Transit_Clean[SAP_Status], "In Transit")</f>
        <v>986</v>
      </c>
      <c r="K601">
        <f t="shared" si="29"/>
        <v>8.3575197889182054</v>
      </c>
      <c r="L601" t="str" cm="1">
        <f t="array" ref="L601">_xlfn.IFS(C601&lt;0,"DATO INVALIDO", C601+J601&lt;I601,"PEDIR YA", C601&lt;I601,"EN CAMINO OK", TRUE,"SANO")</f>
        <v>EN CAMINO OK</v>
      </c>
    </row>
    <row r="602" spans="1:12" x14ac:dyDescent="0.45">
      <c r="A602" t="s">
        <v>1128</v>
      </c>
      <c r="B602" t="s">
        <v>40</v>
      </c>
      <c r="C602">
        <v>4680</v>
      </c>
      <c r="D602">
        <v>326.7</v>
      </c>
      <c r="E602">
        <v>43.5</v>
      </c>
      <c r="F602">
        <v>1.9</v>
      </c>
      <c r="G602">
        <v>0.5</v>
      </c>
      <c r="H602">
        <f t="shared" si="27"/>
        <v>287.11184135063115</v>
      </c>
      <c r="I602">
        <f t="shared" si="28"/>
        <v>907.84184135063106</v>
      </c>
      <c r="J602">
        <f>SUMIFS(Transit_Clean[Quantity], Transit_Clean[Destination], A602, Transit_Clean[Item_Code], B602, Transit_Clean[SAP_Status], "In Transit")</f>
        <v>0</v>
      </c>
      <c r="K602">
        <f t="shared" si="29"/>
        <v>14.325068870523417</v>
      </c>
      <c r="L602" t="str" cm="1">
        <f t="array" ref="L602">_xlfn.IFS(C602&lt;0,"DATO INVALIDO", C602+J602&lt;I602,"PEDIR YA", C602&lt;I602,"EN CAMINO OK", TRUE,"SANO")</f>
        <v>SANO</v>
      </c>
    </row>
    <row r="603" spans="1:12" x14ac:dyDescent="0.45">
      <c r="A603" t="s">
        <v>1120</v>
      </c>
      <c r="B603" t="s">
        <v>60</v>
      </c>
      <c r="C603">
        <v>6493</v>
      </c>
      <c r="D603">
        <v>521.79999999999995</v>
      </c>
      <c r="E603">
        <v>105.7</v>
      </c>
      <c r="F603">
        <v>3.1</v>
      </c>
      <c r="G603">
        <v>0.5</v>
      </c>
      <c r="H603">
        <f t="shared" si="27"/>
        <v>528.78195667259672</v>
      </c>
      <c r="I603">
        <f t="shared" si="28"/>
        <v>2146.3619566725965</v>
      </c>
      <c r="J603">
        <f>SUMIFS(Transit_Clean[Quantity], Transit_Clean[Destination], A603, Transit_Clean[Item_Code], B603, Transit_Clean[SAP_Status], "In Transit")</f>
        <v>2685</v>
      </c>
      <c r="K603">
        <f t="shared" si="29"/>
        <v>12.443464929091608</v>
      </c>
      <c r="L603" t="str" cm="1">
        <f t="array" ref="L603">_xlfn.IFS(C603&lt;0,"DATO INVALIDO", C603+J603&lt;I603,"PEDIR YA", C603&lt;I603,"EN CAMINO OK", TRUE,"SANO")</f>
        <v>SANO</v>
      </c>
    </row>
    <row r="604" spans="1:12" x14ac:dyDescent="0.45">
      <c r="A604" t="s">
        <v>1127</v>
      </c>
      <c r="B604" t="s">
        <v>19</v>
      </c>
      <c r="C604">
        <v>415</v>
      </c>
      <c r="D604">
        <v>346.8</v>
      </c>
      <c r="E604">
        <v>117.6</v>
      </c>
      <c r="F604">
        <v>3.1</v>
      </c>
      <c r="G604">
        <v>0.9</v>
      </c>
      <c r="H604">
        <f t="shared" si="27"/>
        <v>618.01509444672945</v>
      </c>
      <c r="I604">
        <f t="shared" si="28"/>
        <v>1693.0950944467295</v>
      </c>
      <c r="J604">
        <f>SUMIFS(Transit_Clean[Quantity], Transit_Clean[Destination], A604, Transit_Clean[Item_Code], B604, Transit_Clean[SAP_Status], "In Transit")</f>
        <v>1147</v>
      </c>
      <c r="K604">
        <f t="shared" si="29"/>
        <v>1.1966551326412918</v>
      </c>
      <c r="L604" t="str" cm="1">
        <f t="array" ref="L604">_xlfn.IFS(C604&lt;0,"DATO INVALIDO", C604+J604&lt;I604,"PEDIR YA", C604&lt;I604,"EN CAMINO OK", TRUE,"SANO")</f>
        <v>PEDIR YA</v>
      </c>
    </row>
    <row r="605" spans="1:12" x14ac:dyDescent="0.45">
      <c r="A605" t="s">
        <v>1116</v>
      </c>
      <c r="B605" t="s">
        <v>15</v>
      </c>
      <c r="C605">
        <v>7804</v>
      </c>
      <c r="D605">
        <v>636.79999999999995</v>
      </c>
      <c r="E605">
        <v>129.80000000000001</v>
      </c>
      <c r="F605">
        <v>1.4</v>
      </c>
      <c r="G605">
        <v>1.6</v>
      </c>
      <c r="H605">
        <f t="shared" si="27"/>
        <v>1700.1436267456934</v>
      </c>
      <c r="I605">
        <f t="shared" si="28"/>
        <v>2591.6636267456934</v>
      </c>
      <c r="J605">
        <f>SUMIFS(Transit_Clean[Quantity], Transit_Clean[Destination], A605, Transit_Clean[Item_Code], B605, Transit_Clean[SAP_Status], "In Transit")</f>
        <v>0</v>
      </c>
      <c r="K605">
        <f t="shared" si="29"/>
        <v>12.255025125628142</v>
      </c>
      <c r="L605" t="str" cm="1">
        <f t="array" ref="L605">_xlfn.IFS(C605&lt;0,"DATO INVALIDO", C605+J605&lt;I605,"PEDIR YA", C605&lt;I605,"EN CAMINO OK", TRUE,"SANO")</f>
        <v>SANO</v>
      </c>
    </row>
    <row r="606" spans="1:12" x14ac:dyDescent="0.45">
      <c r="A606" t="s">
        <v>1118</v>
      </c>
      <c r="B606" t="s">
        <v>52</v>
      </c>
      <c r="C606">
        <v>1342</v>
      </c>
      <c r="D606">
        <v>237.5</v>
      </c>
      <c r="E606">
        <v>62.5</v>
      </c>
      <c r="F606">
        <v>6</v>
      </c>
      <c r="G606">
        <v>1.5</v>
      </c>
      <c r="H606">
        <f t="shared" si="27"/>
        <v>639.7906914814015</v>
      </c>
      <c r="I606">
        <f t="shared" si="28"/>
        <v>2064.7906914814016</v>
      </c>
      <c r="J606">
        <f>SUMIFS(Transit_Clean[Quantity], Transit_Clean[Destination], A606, Transit_Clean[Item_Code], B606, Transit_Clean[SAP_Status], "In Transit")</f>
        <v>623</v>
      </c>
      <c r="K606">
        <f t="shared" si="29"/>
        <v>5.6505263157894738</v>
      </c>
      <c r="L606" t="str" cm="1">
        <f t="array" ref="L606">_xlfn.IFS(C606&lt;0,"DATO INVALIDO", C606+J606&lt;I606,"PEDIR YA", C606&lt;I606,"EN CAMINO OK", TRUE,"SANO")</f>
        <v>PEDIR YA</v>
      </c>
    </row>
    <row r="607" spans="1:12" x14ac:dyDescent="0.45">
      <c r="A607" t="s">
        <v>1127</v>
      </c>
      <c r="B607" t="s">
        <v>71</v>
      </c>
      <c r="C607">
        <v>2514</v>
      </c>
      <c r="D607">
        <v>375.2</v>
      </c>
      <c r="E607">
        <v>51.3</v>
      </c>
      <c r="F607">
        <v>2.2000000000000002</v>
      </c>
      <c r="G607">
        <v>0.9</v>
      </c>
      <c r="H607">
        <f t="shared" si="27"/>
        <v>571.1419655733589</v>
      </c>
      <c r="I607">
        <f t="shared" si="28"/>
        <v>1396.581965573359</v>
      </c>
      <c r="J607">
        <f>SUMIFS(Transit_Clean[Quantity], Transit_Clean[Destination], A607, Transit_Clean[Item_Code], B607, Transit_Clean[SAP_Status], "In Transit")</f>
        <v>0</v>
      </c>
      <c r="K607">
        <f t="shared" si="29"/>
        <v>6.7004264392324098</v>
      </c>
      <c r="L607" t="str" cm="1">
        <f t="array" ref="L607">_xlfn.IFS(C607&lt;0,"DATO INVALIDO", C607+J607&lt;I607,"PEDIR YA", C607&lt;I607,"EN CAMINO OK", TRUE,"SANO")</f>
        <v>SANO</v>
      </c>
    </row>
    <row r="608" spans="1:12" x14ac:dyDescent="0.45">
      <c r="A608" t="s">
        <v>1124</v>
      </c>
      <c r="B608" t="s">
        <v>60</v>
      </c>
      <c r="C608">
        <v>9600</v>
      </c>
      <c r="D608">
        <v>618.5</v>
      </c>
      <c r="E608">
        <v>126.9</v>
      </c>
      <c r="F608">
        <v>1</v>
      </c>
      <c r="G608">
        <v>0.3</v>
      </c>
      <c r="H608">
        <f t="shared" si="27"/>
        <v>370.91035713666719</v>
      </c>
      <c r="I608">
        <f t="shared" si="28"/>
        <v>989.41035713666724</v>
      </c>
      <c r="J608">
        <f>SUMIFS(Transit_Clean[Quantity], Transit_Clean[Destination], A608, Transit_Clean[Item_Code], B608, Transit_Clean[SAP_Status], "In Transit")</f>
        <v>0</v>
      </c>
      <c r="K608">
        <f t="shared" si="29"/>
        <v>15.521422797089734</v>
      </c>
      <c r="L608" t="str" cm="1">
        <f t="array" ref="L608">_xlfn.IFS(C608&lt;0,"DATO INVALIDO", C608+J608&lt;I608,"PEDIR YA", C608&lt;I608,"EN CAMINO OK", TRUE,"SANO")</f>
        <v>SANO</v>
      </c>
    </row>
    <row r="609" spans="1:12" x14ac:dyDescent="0.45">
      <c r="A609" t="s">
        <v>1118</v>
      </c>
      <c r="B609" t="s">
        <v>64</v>
      </c>
      <c r="C609">
        <v>9049</v>
      </c>
      <c r="D609">
        <v>700.3</v>
      </c>
      <c r="E609">
        <v>112.6</v>
      </c>
      <c r="F609">
        <v>6.5</v>
      </c>
      <c r="G609">
        <v>1.5</v>
      </c>
      <c r="H609">
        <f t="shared" si="27"/>
        <v>1796.8016224548135</v>
      </c>
      <c r="I609">
        <f t="shared" si="28"/>
        <v>6348.7516224548135</v>
      </c>
      <c r="J609">
        <f>SUMIFS(Transit_Clean[Quantity], Transit_Clean[Destination], A609, Transit_Clean[Item_Code], B609, Transit_Clean[SAP_Status], "In Transit")</f>
        <v>1522</v>
      </c>
      <c r="K609">
        <f t="shared" si="29"/>
        <v>12.92160502641725</v>
      </c>
      <c r="L609" t="str" cm="1">
        <f t="array" ref="L609">_xlfn.IFS(C609&lt;0,"DATO INVALIDO", C609+J609&lt;I609,"PEDIR YA", C609&lt;I609,"EN CAMINO OK", TRUE,"SANO")</f>
        <v>SANO</v>
      </c>
    </row>
    <row r="610" spans="1:12" x14ac:dyDescent="0.45">
      <c r="A610" t="s">
        <v>1123</v>
      </c>
      <c r="B610" t="s">
        <v>101</v>
      </c>
      <c r="C610">
        <v>9816</v>
      </c>
      <c r="D610">
        <v>909.6</v>
      </c>
      <c r="E610">
        <v>148.9</v>
      </c>
      <c r="F610">
        <v>0.8</v>
      </c>
      <c r="G610">
        <v>0.3</v>
      </c>
      <c r="H610">
        <f t="shared" si="27"/>
        <v>501.01472920863313</v>
      </c>
      <c r="I610">
        <f t="shared" si="28"/>
        <v>1228.6947292086331</v>
      </c>
      <c r="J610">
        <f>SUMIFS(Transit_Clean[Quantity], Transit_Clean[Destination], A610, Transit_Clean[Item_Code], B610, Transit_Clean[SAP_Status], "In Transit")</f>
        <v>812</v>
      </c>
      <c r="K610">
        <f t="shared" si="29"/>
        <v>10.791556728232189</v>
      </c>
      <c r="L610" t="str" cm="1">
        <f t="array" ref="L610">_xlfn.IFS(C610&lt;0,"DATO INVALIDO", C610+J610&lt;I610,"PEDIR YA", C610&lt;I610,"EN CAMINO OK", TRUE,"SANO")</f>
        <v>SANO</v>
      </c>
    </row>
    <row r="611" spans="1:12" x14ac:dyDescent="0.45">
      <c r="A611" t="s">
        <v>1115</v>
      </c>
      <c r="B611" t="s">
        <v>70</v>
      </c>
      <c r="C611">
        <v>994</v>
      </c>
      <c r="D611">
        <v>350.4</v>
      </c>
      <c r="E611">
        <v>66.400000000000006</v>
      </c>
      <c r="F611">
        <v>1.7</v>
      </c>
      <c r="G611">
        <v>0.6</v>
      </c>
      <c r="H611">
        <f t="shared" si="27"/>
        <v>375.15677247785356</v>
      </c>
      <c r="I611">
        <f t="shared" si="28"/>
        <v>970.83677247785351</v>
      </c>
      <c r="J611">
        <f>SUMIFS(Transit_Clean[Quantity], Transit_Clean[Destination], A611, Transit_Clean[Item_Code], B611, Transit_Clean[SAP_Status], "In Transit")</f>
        <v>2516</v>
      </c>
      <c r="K611">
        <f t="shared" si="29"/>
        <v>2.83675799086758</v>
      </c>
      <c r="L611" t="str" cm="1">
        <f t="array" ref="L611">_xlfn.IFS(C611&lt;0,"DATO INVALIDO", C611+J611&lt;I611,"PEDIR YA", C611&lt;I611,"EN CAMINO OK", TRUE,"SANO")</f>
        <v>SANO</v>
      </c>
    </row>
    <row r="612" spans="1:12" x14ac:dyDescent="0.45">
      <c r="A612" t="s">
        <v>1127</v>
      </c>
      <c r="B612" t="s">
        <v>95</v>
      </c>
      <c r="C612">
        <v>3727</v>
      </c>
      <c r="D612">
        <v>279.8</v>
      </c>
      <c r="E612">
        <v>39.4</v>
      </c>
      <c r="F612">
        <v>2.2000000000000002</v>
      </c>
      <c r="G612">
        <v>0.9</v>
      </c>
      <c r="H612">
        <f t="shared" si="27"/>
        <v>426.5449603840139</v>
      </c>
      <c r="I612">
        <f t="shared" si="28"/>
        <v>1042.104960384014</v>
      </c>
      <c r="J612">
        <f>SUMIFS(Transit_Clean[Quantity], Transit_Clean[Destination], A612, Transit_Clean[Item_Code], B612, Transit_Clean[SAP_Status], "In Transit")</f>
        <v>2932</v>
      </c>
      <c r="K612">
        <f t="shared" si="29"/>
        <v>13.320228734810579</v>
      </c>
      <c r="L612" t="str" cm="1">
        <f t="array" ref="L612">_xlfn.IFS(C612&lt;0,"DATO INVALIDO", C612+J612&lt;I612,"PEDIR YA", C612&lt;I612,"EN CAMINO OK", TRUE,"SANO")</f>
        <v>SANO</v>
      </c>
    </row>
    <row r="613" spans="1:12" x14ac:dyDescent="0.45">
      <c r="A613" t="s">
        <v>1124</v>
      </c>
      <c r="B613" t="s">
        <v>27</v>
      </c>
      <c r="C613">
        <v>2340</v>
      </c>
      <c r="D613">
        <v>524.4</v>
      </c>
      <c r="E613">
        <v>329.3</v>
      </c>
      <c r="F613">
        <v>0.5</v>
      </c>
      <c r="G613">
        <v>0.3</v>
      </c>
      <c r="H613">
        <f t="shared" si="27"/>
        <v>463.67298023121856</v>
      </c>
      <c r="I613">
        <f t="shared" si="28"/>
        <v>725.87298023121855</v>
      </c>
      <c r="J613">
        <f>SUMIFS(Transit_Clean[Quantity], Transit_Clean[Destination], A613, Transit_Clean[Item_Code], B613, Transit_Clean[SAP_Status], "In Transit")</f>
        <v>1788</v>
      </c>
      <c r="K613">
        <f t="shared" si="29"/>
        <v>4.4622425629290623</v>
      </c>
      <c r="L613" t="str" cm="1">
        <f t="array" ref="L613">_xlfn.IFS(C613&lt;0,"DATO INVALIDO", C613+J613&lt;I613,"PEDIR YA", C613&lt;I613,"EN CAMINO OK", TRUE,"SANO")</f>
        <v>SANO</v>
      </c>
    </row>
    <row r="614" spans="1:12" x14ac:dyDescent="0.45">
      <c r="A614" t="s">
        <v>1114</v>
      </c>
      <c r="B614" t="s">
        <v>29</v>
      </c>
      <c r="C614">
        <v>4027</v>
      </c>
      <c r="D614">
        <v>458.7</v>
      </c>
      <c r="E614">
        <v>88.5</v>
      </c>
      <c r="F614">
        <v>4.8</v>
      </c>
      <c r="G614">
        <v>1.3</v>
      </c>
      <c r="H614">
        <f t="shared" si="27"/>
        <v>1034.6176505512797</v>
      </c>
      <c r="I614">
        <f t="shared" si="28"/>
        <v>3236.3776505512797</v>
      </c>
      <c r="J614">
        <f>SUMIFS(Transit_Clean[Quantity], Transit_Clean[Destination], A614, Transit_Clean[Item_Code], B614, Transit_Clean[SAP_Status], "In Transit")</f>
        <v>0</v>
      </c>
      <c r="K614">
        <f t="shared" si="29"/>
        <v>8.7791584913887082</v>
      </c>
      <c r="L614" t="str" cm="1">
        <f t="array" ref="L614">_xlfn.IFS(C614&lt;0,"DATO INVALIDO", C614+J614&lt;I614,"PEDIR YA", C614&lt;I614,"EN CAMINO OK", TRUE,"SANO")</f>
        <v>SANO</v>
      </c>
    </row>
    <row r="615" spans="1:12" x14ac:dyDescent="0.45">
      <c r="A615" t="s">
        <v>1126</v>
      </c>
      <c r="B615" t="s">
        <v>15</v>
      </c>
      <c r="C615">
        <v>9750</v>
      </c>
      <c r="D615">
        <v>550.79999999999995</v>
      </c>
      <c r="E615">
        <v>113.9</v>
      </c>
      <c r="F615">
        <v>0.9</v>
      </c>
      <c r="G615">
        <v>0.2</v>
      </c>
      <c r="H615">
        <f t="shared" si="27"/>
        <v>254.60903263336908</v>
      </c>
      <c r="I615">
        <f t="shared" si="28"/>
        <v>750.32903263336902</v>
      </c>
      <c r="J615">
        <f>SUMIFS(Transit_Clean[Quantity], Transit_Clean[Destination], A615, Transit_Clean[Item_Code], B615, Transit_Clean[SAP_Status], "In Transit")</f>
        <v>431</v>
      </c>
      <c r="K615">
        <f t="shared" si="29"/>
        <v>17.701525054466231</v>
      </c>
      <c r="L615" t="str" cm="1">
        <f t="array" ref="L615">_xlfn.IFS(C615&lt;0,"DATO INVALIDO", C615+J615&lt;I615,"PEDIR YA", C615&lt;I615,"EN CAMINO OK", TRUE,"SANO")</f>
        <v>SANO</v>
      </c>
    </row>
    <row r="616" spans="1:12" x14ac:dyDescent="0.45">
      <c r="A616" t="s">
        <v>1125</v>
      </c>
      <c r="B616" t="s">
        <v>98</v>
      </c>
      <c r="C616">
        <v>1399</v>
      </c>
      <c r="D616">
        <v>315.7</v>
      </c>
      <c r="E616">
        <v>56.1</v>
      </c>
      <c r="F616">
        <v>4.4000000000000004</v>
      </c>
      <c r="G616">
        <v>1.2</v>
      </c>
      <c r="H616">
        <f t="shared" si="27"/>
        <v>654.54788670195865</v>
      </c>
      <c r="I616">
        <f t="shared" si="28"/>
        <v>2043.6278867019587</v>
      </c>
      <c r="J616">
        <f>SUMIFS(Transit_Clean[Quantity], Transit_Clean[Destination], A616, Transit_Clean[Item_Code], B616, Transit_Clean[SAP_Status], "In Transit")</f>
        <v>0</v>
      </c>
      <c r="K616">
        <f t="shared" si="29"/>
        <v>4.4314222363002855</v>
      </c>
      <c r="L616" t="str" cm="1">
        <f t="array" ref="L616">_xlfn.IFS(C616&lt;0,"DATO INVALIDO", C616+J616&lt;I616,"PEDIR YA", C616&lt;I616,"EN CAMINO OK", TRUE,"SANO")</f>
        <v>PEDIR YA</v>
      </c>
    </row>
    <row r="617" spans="1:12" x14ac:dyDescent="0.45">
      <c r="A617" t="s">
        <v>1125</v>
      </c>
      <c r="B617" t="s">
        <v>50</v>
      </c>
      <c r="C617">
        <v>3911</v>
      </c>
      <c r="D617">
        <v>327.7</v>
      </c>
      <c r="E617">
        <v>124.6</v>
      </c>
      <c r="F617">
        <v>3.5</v>
      </c>
      <c r="G617">
        <v>1.2</v>
      </c>
      <c r="H617">
        <f t="shared" si="27"/>
        <v>754.27879465486762</v>
      </c>
      <c r="I617">
        <f t="shared" si="28"/>
        <v>1901.2287946548677</v>
      </c>
      <c r="J617">
        <f>SUMIFS(Transit_Clean[Quantity], Transit_Clean[Destination], A617, Transit_Clean[Item_Code], B617, Transit_Clean[SAP_Status], "In Transit")</f>
        <v>624</v>
      </c>
      <c r="K617">
        <f t="shared" si="29"/>
        <v>11.934696368629846</v>
      </c>
      <c r="L617" t="str" cm="1">
        <f t="array" ref="L617">_xlfn.IFS(C617&lt;0,"DATO INVALIDO", C617+J617&lt;I617,"PEDIR YA", C617&lt;I617,"EN CAMINO OK", TRUE,"SANO")</f>
        <v>SANO</v>
      </c>
    </row>
    <row r="618" spans="1:12" x14ac:dyDescent="0.45">
      <c r="A618" t="s">
        <v>1114</v>
      </c>
      <c r="B618" t="s">
        <v>61</v>
      </c>
      <c r="C618">
        <v>693</v>
      </c>
      <c r="D618">
        <v>242.6</v>
      </c>
      <c r="E618">
        <v>42.7</v>
      </c>
      <c r="F618">
        <v>5.7</v>
      </c>
      <c r="G618">
        <v>1.3</v>
      </c>
      <c r="H618">
        <f t="shared" si="27"/>
        <v>546.88800697354839</v>
      </c>
      <c r="I618">
        <f t="shared" si="28"/>
        <v>1929.7080069735484</v>
      </c>
      <c r="J618">
        <f>SUMIFS(Transit_Clean[Quantity], Transit_Clean[Destination], A618, Transit_Clean[Item_Code], B618, Transit_Clean[SAP_Status], "In Transit")</f>
        <v>0</v>
      </c>
      <c r="K618">
        <f t="shared" si="29"/>
        <v>2.8565539983511954</v>
      </c>
      <c r="L618" t="str" cm="1">
        <f t="array" ref="L618">_xlfn.IFS(C618&lt;0,"DATO INVALIDO", C618+J618&lt;I618,"PEDIR YA", C618&lt;I618,"EN CAMINO OK", TRUE,"SANO")</f>
        <v>PEDIR YA</v>
      </c>
    </row>
    <row r="619" spans="1:12" x14ac:dyDescent="0.45">
      <c r="A619" t="s">
        <v>1114</v>
      </c>
      <c r="B619" t="s">
        <v>1132</v>
      </c>
      <c r="C619">
        <v>4276</v>
      </c>
      <c r="D619">
        <v>357.2</v>
      </c>
      <c r="E619">
        <v>36.700000000000003</v>
      </c>
      <c r="F619">
        <v>3.9</v>
      </c>
      <c r="G619">
        <v>1.3</v>
      </c>
      <c r="H619">
        <f t="shared" si="27"/>
        <v>775.47030048448664</v>
      </c>
      <c r="I619">
        <f t="shared" si="28"/>
        <v>2168.5503004844868</v>
      </c>
      <c r="J619">
        <f>SUMIFS(Transit_Clean[Quantity], Transit_Clean[Destination], A619, Transit_Clean[Item_Code], B619, Transit_Clean[SAP_Status], "In Transit")</f>
        <v>2701</v>
      </c>
      <c r="K619">
        <f t="shared" si="29"/>
        <v>11.970884658454647</v>
      </c>
      <c r="L619" t="str" cm="1">
        <f t="array" ref="L619">_xlfn.IFS(C619&lt;0,"DATO INVALIDO", C619+J619&lt;I619,"PEDIR YA", C619&lt;I619,"EN CAMINO OK", TRUE,"SANO")</f>
        <v>SANO</v>
      </c>
    </row>
    <row r="620" spans="1:12" x14ac:dyDescent="0.45">
      <c r="A620" t="s">
        <v>1118</v>
      </c>
      <c r="B620" t="s">
        <v>106</v>
      </c>
      <c r="C620">
        <v>5148</v>
      </c>
      <c r="D620">
        <v>560.29999999999995</v>
      </c>
      <c r="E620">
        <v>94.4</v>
      </c>
      <c r="F620">
        <v>5</v>
      </c>
      <c r="G620">
        <v>1.5</v>
      </c>
      <c r="H620">
        <f t="shared" si="27"/>
        <v>1429.8114034047462</v>
      </c>
      <c r="I620">
        <f t="shared" si="28"/>
        <v>4231.3114034047467</v>
      </c>
      <c r="J620">
        <f>SUMIFS(Transit_Clean[Quantity], Transit_Clean[Destination], A620, Transit_Clean[Item_Code], B620, Transit_Clean[SAP_Status], "In Transit")</f>
        <v>1104</v>
      </c>
      <c r="K620">
        <f t="shared" si="29"/>
        <v>9.1879350348027842</v>
      </c>
      <c r="L620" t="str" cm="1">
        <f t="array" ref="L620">_xlfn.IFS(C620&lt;0,"DATO INVALIDO", C620+J620&lt;I620,"PEDIR YA", C620&lt;I620,"EN CAMINO OK", TRUE,"SANO")</f>
        <v>SANO</v>
      </c>
    </row>
    <row r="621" spans="1:12" x14ac:dyDescent="0.45">
      <c r="A621" t="s">
        <v>1120</v>
      </c>
      <c r="B621" t="s">
        <v>18</v>
      </c>
      <c r="C621">
        <v>2922</v>
      </c>
      <c r="D621">
        <v>298.3</v>
      </c>
      <c r="E621">
        <v>53.2</v>
      </c>
      <c r="F621">
        <v>2</v>
      </c>
      <c r="G621">
        <v>0.5</v>
      </c>
      <c r="H621">
        <f t="shared" si="27"/>
        <v>275.6349693095018</v>
      </c>
      <c r="I621">
        <f t="shared" si="28"/>
        <v>872.23496930950182</v>
      </c>
      <c r="J621">
        <f>SUMIFS(Transit_Clean[Quantity], Transit_Clean[Destination], A621, Transit_Clean[Item_Code], B621, Transit_Clean[SAP_Status], "In Transit")</f>
        <v>626</v>
      </c>
      <c r="K621">
        <f t="shared" si="29"/>
        <v>9.7955078779751918</v>
      </c>
      <c r="L621" t="str" cm="1">
        <f t="array" ref="L621">_xlfn.IFS(C621&lt;0,"DATO INVALIDO", C621+J621&lt;I621,"PEDIR YA", C621&lt;I621,"EN CAMINO OK", TRUE,"SANO")</f>
        <v>SANO</v>
      </c>
    </row>
    <row r="622" spans="1:12" x14ac:dyDescent="0.45">
      <c r="A622" t="s">
        <v>1124</v>
      </c>
      <c r="B622" t="s">
        <v>53</v>
      </c>
      <c r="C622">
        <v>2107</v>
      </c>
      <c r="D622">
        <v>153.5</v>
      </c>
      <c r="E622">
        <v>55.2</v>
      </c>
      <c r="F622">
        <v>0.9</v>
      </c>
      <c r="G622">
        <v>0.3</v>
      </c>
      <c r="H622">
        <f t="shared" si="27"/>
        <v>115.06237467673785</v>
      </c>
      <c r="I622">
        <f t="shared" si="28"/>
        <v>253.21237467673785</v>
      </c>
      <c r="J622">
        <f>SUMIFS(Transit_Clean[Quantity], Transit_Clean[Destination], A622, Transit_Clean[Item_Code], B622, Transit_Clean[SAP_Status], "In Transit")</f>
        <v>3896</v>
      </c>
      <c r="K622">
        <f t="shared" si="29"/>
        <v>13.726384364820847</v>
      </c>
      <c r="L622" t="str" cm="1">
        <f t="array" ref="L622">_xlfn.IFS(C622&lt;0,"DATO INVALIDO", C622+J622&lt;I622,"PEDIR YA", C622&lt;I622,"EN CAMINO OK", TRUE,"SANO")</f>
        <v>SANO</v>
      </c>
    </row>
    <row r="623" spans="1:12" x14ac:dyDescent="0.45">
      <c r="A623" t="s">
        <v>1127</v>
      </c>
      <c r="B623" t="s">
        <v>88</v>
      </c>
      <c r="C623">
        <v>2725</v>
      </c>
      <c r="D623">
        <v>178.7</v>
      </c>
      <c r="E623">
        <v>118</v>
      </c>
      <c r="F623">
        <v>3.9</v>
      </c>
      <c r="G623">
        <v>0.9</v>
      </c>
      <c r="H623">
        <f t="shared" si="27"/>
        <v>467.18574735350177</v>
      </c>
      <c r="I623">
        <f t="shared" si="28"/>
        <v>1164.1157473535018</v>
      </c>
      <c r="J623">
        <f>SUMIFS(Transit_Clean[Quantity], Transit_Clean[Destination], A623, Transit_Clean[Item_Code], B623, Transit_Clean[SAP_Status], "In Transit")</f>
        <v>2034</v>
      </c>
      <c r="K623">
        <f t="shared" si="29"/>
        <v>15.249020705092335</v>
      </c>
      <c r="L623" t="str" cm="1">
        <f t="array" ref="L623">_xlfn.IFS(C623&lt;0,"DATO INVALIDO", C623+J623&lt;I623,"PEDIR YA", C623&lt;I623,"EN CAMINO OK", TRUE,"SANO")</f>
        <v>SANO</v>
      </c>
    </row>
    <row r="624" spans="1:12" x14ac:dyDescent="0.45">
      <c r="A624" t="s">
        <v>1125</v>
      </c>
      <c r="B624" t="s">
        <v>103</v>
      </c>
      <c r="C624">
        <v>1330</v>
      </c>
      <c r="D624">
        <v>443</v>
      </c>
      <c r="E624">
        <v>47.2</v>
      </c>
      <c r="F624">
        <v>3.4</v>
      </c>
      <c r="G624">
        <v>1.2</v>
      </c>
      <c r="H624">
        <f t="shared" si="27"/>
        <v>888.81751814419135</v>
      </c>
      <c r="I624">
        <f t="shared" si="28"/>
        <v>2395.0175181441914</v>
      </c>
      <c r="J624">
        <f>SUMIFS(Transit_Clean[Quantity], Transit_Clean[Destination], A624, Transit_Clean[Item_Code], B624, Transit_Clean[SAP_Status], "In Transit")</f>
        <v>0</v>
      </c>
      <c r="K624">
        <f t="shared" si="29"/>
        <v>3.0022573363431153</v>
      </c>
      <c r="L624" t="str" cm="1">
        <f t="array" ref="L624">_xlfn.IFS(C624&lt;0,"DATO INVALIDO", C624+J624&lt;I624,"PEDIR YA", C624&lt;I624,"EN CAMINO OK", TRUE,"SANO")</f>
        <v>PEDIR YA</v>
      </c>
    </row>
    <row r="625" spans="1:12" x14ac:dyDescent="0.45">
      <c r="A625" t="s">
        <v>1125</v>
      </c>
      <c r="B625" t="s">
        <v>1132</v>
      </c>
      <c r="C625">
        <v>2072</v>
      </c>
      <c r="D625">
        <v>298.2</v>
      </c>
      <c r="E625">
        <v>42.8</v>
      </c>
      <c r="F625">
        <v>4.9000000000000004</v>
      </c>
      <c r="G625">
        <v>1.2</v>
      </c>
      <c r="H625">
        <f t="shared" si="27"/>
        <v>610.77972597000951</v>
      </c>
      <c r="I625">
        <f t="shared" si="28"/>
        <v>2071.9597259700095</v>
      </c>
      <c r="J625">
        <f>SUMIFS(Transit_Clean[Quantity], Transit_Clean[Destination], A625, Transit_Clean[Item_Code], B625, Transit_Clean[SAP_Status], "In Transit")</f>
        <v>0</v>
      </c>
      <c r="K625">
        <f t="shared" si="29"/>
        <v>6.948356807511737</v>
      </c>
      <c r="L625" t="str" cm="1">
        <f t="array" ref="L625">_xlfn.IFS(C625&lt;0,"DATO INVALIDO", C625+J625&lt;I625,"PEDIR YA", C625&lt;I625,"EN CAMINO OK", TRUE,"SANO")</f>
        <v>SANO</v>
      </c>
    </row>
    <row r="626" spans="1:12" x14ac:dyDescent="0.45">
      <c r="A626" t="s">
        <v>1116</v>
      </c>
      <c r="B626" t="s">
        <v>109</v>
      </c>
      <c r="C626">
        <v>794</v>
      </c>
      <c r="D626">
        <v>113.3</v>
      </c>
      <c r="E626">
        <v>58.2</v>
      </c>
      <c r="F626">
        <v>9.6</v>
      </c>
      <c r="G626">
        <v>1.6</v>
      </c>
      <c r="H626">
        <f t="shared" si="27"/>
        <v>421.89678024843943</v>
      </c>
      <c r="I626">
        <f t="shared" si="28"/>
        <v>1509.5767802484393</v>
      </c>
      <c r="J626">
        <f>SUMIFS(Transit_Clean[Quantity], Transit_Clean[Destination], A626, Transit_Clean[Item_Code], B626, Transit_Clean[SAP_Status], "In Transit")</f>
        <v>0</v>
      </c>
      <c r="K626">
        <f t="shared" si="29"/>
        <v>7.0079435127978815</v>
      </c>
      <c r="L626" t="str" cm="1">
        <f t="array" ref="L626">_xlfn.IFS(C626&lt;0,"DATO INVALIDO", C626+J626&lt;I626,"PEDIR YA", C626&lt;I626,"EN CAMINO OK", TRUE,"SANO")</f>
        <v>PEDIR YA</v>
      </c>
    </row>
    <row r="627" spans="1:12" x14ac:dyDescent="0.45">
      <c r="A627" t="s">
        <v>1117</v>
      </c>
      <c r="B627" t="s">
        <v>12</v>
      </c>
      <c r="C627">
        <v>4502</v>
      </c>
      <c r="D627">
        <v>408.1</v>
      </c>
      <c r="E627">
        <v>47.1</v>
      </c>
      <c r="F627">
        <v>1.9</v>
      </c>
      <c r="G627">
        <v>0.5</v>
      </c>
      <c r="H627">
        <f t="shared" si="27"/>
        <v>353.31343893736903</v>
      </c>
      <c r="I627">
        <f t="shared" si="28"/>
        <v>1128.7034389373689</v>
      </c>
      <c r="J627">
        <f>SUMIFS(Transit_Clean[Quantity], Transit_Clean[Destination], A627, Transit_Clean[Item_Code], B627, Transit_Clean[SAP_Status], "In Transit")</f>
        <v>82</v>
      </c>
      <c r="K627">
        <f t="shared" si="29"/>
        <v>11.031609899534427</v>
      </c>
      <c r="L627" t="str" cm="1">
        <f t="array" ref="L627">_xlfn.IFS(C627&lt;0,"DATO INVALIDO", C627+J627&lt;I627,"PEDIR YA", C627&lt;I627,"EN CAMINO OK", TRUE,"SANO")</f>
        <v>SANO</v>
      </c>
    </row>
    <row r="628" spans="1:12" x14ac:dyDescent="0.45">
      <c r="A628" t="s">
        <v>1125</v>
      </c>
      <c r="B628" t="s">
        <v>40</v>
      </c>
      <c r="C628">
        <v>3667</v>
      </c>
      <c r="D628">
        <v>240.2</v>
      </c>
      <c r="E628">
        <v>29.3</v>
      </c>
      <c r="F628">
        <v>4.3</v>
      </c>
      <c r="G628">
        <v>1.2</v>
      </c>
      <c r="H628">
        <f t="shared" si="27"/>
        <v>486.0469967230535</v>
      </c>
      <c r="I628">
        <f t="shared" si="28"/>
        <v>1518.9069967230535</v>
      </c>
      <c r="J628">
        <f>SUMIFS(Transit_Clean[Quantity], Transit_Clean[Destination], A628, Transit_Clean[Item_Code], B628, Transit_Clean[SAP_Status], "In Transit")</f>
        <v>0</v>
      </c>
      <c r="K628">
        <f t="shared" si="29"/>
        <v>15.266444629475437</v>
      </c>
      <c r="L628" t="str" cm="1">
        <f t="array" ref="L628">_xlfn.IFS(C628&lt;0,"DATO INVALIDO", C628+J628&lt;I628,"PEDIR YA", C628&lt;I628,"EN CAMINO OK", TRUE,"SANO")</f>
        <v>SANO</v>
      </c>
    </row>
    <row r="629" spans="1:12" x14ac:dyDescent="0.45">
      <c r="A629" t="s">
        <v>1114</v>
      </c>
      <c r="B629" t="s">
        <v>18</v>
      </c>
      <c r="C629">
        <v>2310</v>
      </c>
      <c r="D629">
        <v>271.60000000000002</v>
      </c>
      <c r="E629">
        <v>41.2</v>
      </c>
      <c r="F629">
        <v>3.3</v>
      </c>
      <c r="G629">
        <v>1.3</v>
      </c>
      <c r="H629">
        <f t="shared" si="27"/>
        <v>595.52666778575087</v>
      </c>
      <c r="I629">
        <f t="shared" si="28"/>
        <v>1491.806667785751</v>
      </c>
      <c r="J629">
        <f>SUMIFS(Transit_Clean[Quantity], Transit_Clean[Destination], A629, Transit_Clean[Item_Code], B629, Transit_Clean[SAP_Status], "In Transit")</f>
        <v>520</v>
      </c>
      <c r="K629">
        <f t="shared" si="29"/>
        <v>8.5051546391752577</v>
      </c>
      <c r="L629" t="str" cm="1">
        <f t="array" ref="L629">_xlfn.IFS(C629&lt;0,"DATO INVALIDO", C629+J629&lt;I629,"PEDIR YA", C629&lt;I629,"EN CAMINO OK", TRUE,"SANO")</f>
        <v>SANO</v>
      </c>
    </row>
    <row r="630" spans="1:12" x14ac:dyDescent="0.45">
      <c r="A630" t="s">
        <v>1120</v>
      </c>
      <c r="B630" t="s">
        <v>65</v>
      </c>
      <c r="C630">
        <v>2671</v>
      </c>
      <c r="D630">
        <v>243</v>
      </c>
      <c r="E630">
        <v>95.8</v>
      </c>
      <c r="F630">
        <v>2.8</v>
      </c>
      <c r="G630">
        <v>0.5</v>
      </c>
      <c r="H630">
        <f t="shared" si="27"/>
        <v>331.89060749741014</v>
      </c>
      <c r="I630">
        <f t="shared" si="28"/>
        <v>1012.2906074974101</v>
      </c>
      <c r="J630">
        <f>SUMIFS(Transit_Clean[Quantity], Transit_Clean[Destination], A630, Transit_Clean[Item_Code], B630, Transit_Clean[SAP_Status], "In Transit")</f>
        <v>0</v>
      </c>
      <c r="K630">
        <f t="shared" si="29"/>
        <v>10.991769547325102</v>
      </c>
      <c r="L630" t="str" cm="1">
        <f t="array" ref="L630">_xlfn.IFS(C630&lt;0,"DATO INVALIDO", C630+J630&lt;I630,"PEDIR YA", C630&lt;I630,"EN CAMINO OK", TRUE,"SANO")</f>
        <v>SANO</v>
      </c>
    </row>
    <row r="631" spans="1:12" x14ac:dyDescent="0.45">
      <c r="A631" t="s">
        <v>1124</v>
      </c>
      <c r="B631" t="s">
        <v>78</v>
      </c>
      <c r="C631">
        <v>3048</v>
      </c>
      <c r="D631">
        <v>390.8</v>
      </c>
      <c r="E631">
        <v>125.1</v>
      </c>
      <c r="F631">
        <v>1.3</v>
      </c>
      <c r="G631">
        <v>0.3</v>
      </c>
      <c r="H631">
        <f t="shared" si="27"/>
        <v>304.64840851135261</v>
      </c>
      <c r="I631">
        <f t="shared" si="28"/>
        <v>812.68840851135269</v>
      </c>
      <c r="J631">
        <f>SUMIFS(Transit_Clean[Quantity], Transit_Clean[Destination], A631, Transit_Clean[Item_Code], B631, Transit_Clean[SAP_Status], "In Transit")</f>
        <v>2029</v>
      </c>
      <c r="K631">
        <f t="shared" si="29"/>
        <v>7.7993858751279426</v>
      </c>
      <c r="L631" t="str" cm="1">
        <f t="array" ref="L631">_xlfn.IFS(C631&lt;0,"DATO INVALIDO", C631+J631&lt;I631,"PEDIR YA", C631&lt;I631,"EN CAMINO OK", TRUE,"SANO")</f>
        <v>SANO</v>
      </c>
    </row>
    <row r="632" spans="1:12" x14ac:dyDescent="0.45">
      <c r="A632" t="s">
        <v>1114</v>
      </c>
      <c r="B632" t="s">
        <v>74</v>
      </c>
      <c r="C632">
        <v>11161</v>
      </c>
      <c r="D632">
        <v>640.20000000000005</v>
      </c>
      <c r="E632">
        <v>355.5</v>
      </c>
      <c r="F632">
        <v>6</v>
      </c>
      <c r="G632">
        <v>1.3</v>
      </c>
      <c r="H632">
        <f t="shared" si="27"/>
        <v>1987.5057912345815</v>
      </c>
      <c r="I632">
        <f t="shared" si="28"/>
        <v>5828.7057912345817</v>
      </c>
      <c r="J632">
        <f>SUMIFS(Transit_Clean[Quantity], Transit_Clean[Destination], A632, Transit_Clean[Item_Code], B632, Transit_Clean[SAP_Status], "In Transit")</f>
        <v>1552</v>
      </c>
      <c r="K632">
        <f t="shared" si="29"/>
        <v>17.433614495470163</v>
      </c>
      <c r="L632" t="str" cm="1">
        <f t="array" ref="L632">_xlfn.IFS(C632&lt;0,"DATO INVALIDO", C632+J632&lt;I632,"PEDIR YA", C632&lt;I632,"EN CAMINO OK", TRUE,"SANO")</f>
        <v>SANO</v>
      </c>
    </row>
    <row r="633" spans="1:12" x14ac:dyDescent="0.45">
      <c r="A633" t="s">
        <v>1122</v>
      </c>
      <c r="B633" t="s">
        <v>101</v>
      </c>
      <c r="C633">
        <v>12238</v>
      </c>
      <c r="D633">
        <v>771.8</v>
      </c>
      <c r="E633">
        <v>152</v>
      </c>
      <c r="F633">
        <v>1.1000000000000001</v>
      </c>
      <c r="G633">
        <v>0.2</v>
      </c>
      <c r="H633">
        <f t="shared" si="27"/>
        <v>366.14169065540733</v>
      </c>
      <c r="I633">
        <f t="shared" si="28"/>
        <v>1215.1216906554073</v>
      </c>
      <c r="J633">
        <f>SUMIFS(Transit_Clean[Quantity], Transit_Clean[Destination], A633, Transit_Clean[Item_Code], B633, Transit_Clean[SAP_Status], "In Transit")</f>
        <v>1881</v>
      </c>
      <c r="K633">
        <f t="shared" si="29"/>
        <v>15.856439492096399</v>
      </c>
      <c r="L633" t="str" cm="1">
        <f t="array" ref="L633">_xlfn.IFS(C633&lt;0,"DATO INVALIDO", C633+J633&lt;I633,"PEDIR YA", C633&lt;I633,"EN CAMINO OK", TRUE,"SANO")</f>
        <v>SANO</v>
      </c>
    </row>
    <row r="634" spans="1:12" x14ac:dyDescent="0.45">
      <c r="A634" t="s">
        <v>1122</v>
      </c>
      <c r="B634" t="s">
        <v>1138</v>
      </c>
      <c r="C634">
        <v>8428</v>
      </c>
      <c r="D634">
        <v>665.6</v>
      </c>
      <c r="E634">
        <v>126.7</v>
      </c>
      <c r="F634">
        <v>1.2</v>
      </c>
      <c r="G634">
        <v>0.2</v>
      </c>
      <c r="H634">
        <f t="shared" si="27"/>
        <v>317.31693231531153</v>
      </c>
      <c r="I634">
        <f t="shared" si="28"/>
        <v>1116.0369323153116</v>
      </c>
      <c r="J634">
        <f>SUMIFS(Transit_Clean[Quantity], Transit_Clean[Destination], A634, Transit_Clean[Item_Code], B634, Transit_Clean[SAP_Status], "In Transit")</f>
        <v>2792</v>
      </c>
      <c r="K634">
        <f t="shared" si="29"/>
        <v>12.662259615384615</v>
      </c>
      <c r="L634" t="str" cm="1">
        <f t="array" ref="L634">_xlfn.IFS(C634&lt;0,"DATO INVALIDO", C634+J634&lt;I634,"PEDIR YA", C634&lt;I634,"EN CAMINO OK", TRUE,"SANO")</f>
        <v>SANO</v>
      </c>
    </row>
    <row r="635" spans="1:12" x14ac:dyDescent="0.45">
      <c r="A635" t="s">
        <v>1128</v>
      </c>
      <c r="B635" t="s">
        <v>1141</v>
      </c>
      <c r="C635">
        <v>4165</v>
      </c>
      <c r="D635">
        <v>238</v>
      </c>
      <c r="E635">
        <v>35.299999999999997</v>
      </c>
      <c r="F635">
        <v>2.5</v>
      </c>
      <c r="G635">
        <v>0.5</v>
      </c>
      <c r="H635">
        <f t="shared" si="27"/>
        <v>216.87443962463624</v>
      </c>
      <c r="I635">
        <f t="shared" si="28"/>
        <v>811.87443962463624</v>
      </c>
      <c r="J635">
        <f>SUMIFS(Transit_Clean[Quantity], Transit_Clean[Destination], A635, Transit_Clean[Item_Code], B635, Transit_Clean[SAP_Status], "In Transit")</f>
        <v>2479</v>
      </c>
      <c r="K635">
        <f t="shared" si="29"/>
        <v>17.5</v>
      </c>
      <c r="L635" t="str" cm="1">
        <f t="array" ref="L635">_xlfn.IFS(C635&lt;0,"DATO INVALIDO", C635+J635&lt;I635,"PEDIR YA", C635&lt;I635,"EN CAMINO OK", TRUE,"SANO")</f>
        <v>SANO</v>
      </c>
    </row>
    <row r="636" spans="1:12" x14ac:dyDescent="0.45">
      <c r="A636" t="s">
        <v>1128</v>
      </c>
      <c r="B636" t="s">
        <v>1133</v>
      </c>
      <c r="C636">
        <v>6899</v>
      </c>
      <c r="D636">
        <v>818.3</v>
      </c>
      <c r="E636">
        <v>216.9</v>
      </c>
      <c r="F636">
        <v>2</v>
      </c>
      <c r="G636">
        <v>0.5</v>
      </c>
      <c r="H636">
        <f t="shared" si="27"/>
        <v>843.75350722604401</v>
      </c>
      <c r="I636">
        <f t="shared" si="28"/>
        <v>2480.3535072260438</v>
      </c>
      <c r="J636">
        <f>SUMIFS(Transit_Clean[Quantity], Transit_Clean[Destination], A636, Transit_Clean[Item_Code], B636, Transit_Clean[SAP_Status], "In Transit")</f>
        <v>1127</v>
      </c>
      <c r="K636">
        <f t="shared" si="29"/>
        <v>8.4308933154099961</v>
      </c>
      <c r="L636" t="str" cm="1">
        <f t="array" ref="L636">_xlfn.IFS(C636&lt;0,"DATO INVALIDO", C636+J636&lt;I636,"PEDIR YA", C636&lt;I636,"EN CAMINO OK", TRUE,"SANO")</f>
        <v>SANO</v>
      </c>
    </row>
    <row r="637" spans="1:12" x14ac:dyDescent="0.45">
      <c r="A637" t="s">
        <v>1121</v>
      </c>
      <c r="B637" t="s">
        <v>98</v>
      </c>
      <c r="C637">
        <v>3726</v>
      </c>
      <c r="D637">
        <v>739.6</v>
      </c>
      <c r="E637">
        <v>151.4</v>
      </c>
      <c r="F637">
        <v>1.8</v>
      </c>
      <c r="G637">
        <v>0.4</v>
      </c>
      <c r="H637">
        <f t="shared" si="27"/>
        <v>592.11976784768808</v>
      </c>
      <c r="I637">
        <f t="shared" si="28"/>
        <v>1923.3997678476881</v>
      </c>
      <c r="J637">
        <f>SUMIFS(Transit_Clean[Quantity], Transit_Clean[Destination], A637, Transit_Clean[Item_Code], B637, Transit_Clean[SAP_Status], "In Transit")</f>
        <v>0</v>
      </c>
      <c r="K637">
        <f t="shared" si="29"/>
        <v>5.0378583017847482</v>
      </c>
      <c r="L637" t="str" cm="1">
        <f t="array" ref="L637">_xlfn.IFS(C637&lt;0,"DATO INVALIDO", C637+J637&lt;I637,"PEDIR YA", C637&lt;I637,"EN CAMINO OK", TRUE,"SANO")</f>
        <v>SANO</v>
      </c>
    </row>
    <row r="638" spans="1:12" x14ac:dyDescent="0.45">
      <c r="A638" t="s">
        <v>1126</v>
      </c>
      <c r="B638" t="s">
        <v>54</v>
      </c>
      <c r="C638">
        <v>1880</v>
      </c>
      <c r="D638">
        <v>360.6</v>
      </c>
      <c r="E638">
        <v>41.1</v>
      </c>
      <c r="F638">
        <v>1.1000000000000001</v>
      </c>
      <c r="G638">
        <v>0.2</v>
      </c>
      <c r="H638">
        <f t="shared" si="27"/>
        <v>138.63363823942589</v>
      </c>
      <c r="I638">
        <f t="shared" si="28"/>
        <v>535.29363823942595</v>
      </c>
      <c r="J638">
        <f>SUMIFS(Transit_Clean[Quantity], Transit_Clean[Destination], A638, Transit_Clean[Item_Code], B638, Transit_Clean[SAP_Status], "In Transit")</f>
        <v>1514</v>
      </c>
      <c r="K638">
        <f t="shared" si="29"/>
        <v>5.213533000554631</v>
      </c>
      <c r="L638" t="str" cm="1">
        <f t="array" ref="L638">_xlfn.IFS(C638&lt;0,"DATO INVALIDO", C638+J638&lt;I638,"PEDIR YA", C638&lt;I638,"EN CAMINO OK", TRUE,"SANO")</f>
        <v>SANO</v>
      </c>
    </row>
    <row r="639" spans="1:12" x14ac:dyDescent="0.45">
      <c r="A639" t="s">
        <v>1126</v>
      </c>
      <c r="B639" t="s">
        <v>101</v>
      </c>
      <c r="C639">
        <v>1192</v>
      </c>
      <c r="D639">
        <v>279.8</v>
      </c>
      <c r="E639">
        <v>46.4</v>
      </c>
      <c r="F639">
        <v>1.3</v>
      </c>
      <c r="G639">
        <v>0.2</v>
      </c>
      <c r="H639">
        <f t="shared" si="27"/>
        <v>127.06467343837154</v>
      </c>
      <c r="I639">
        <f t="shared" si="28"/>
        <v>490.80467343837154</v>
      </c>
      <c r="J639">
        <f>SUMIFS(Transit_Clean[Quantity], Transit_Clean[Destination], A639, Transit_Clean[Item_Code], B639, Transit_Clean[SAP_Status], "In Transit")</f>
        <v>0</v>
      </c>
      <c r="K639">
        <f t="shared" si="29"/>
        <v>4.2601858470335952</v>
      </c>
      <c r="L639" t="str" cm="1">
        <f t="array" ref="L639">_xlfn.IFS(C639&lt;0,"DATO INVALIDO", C639+J639&lt;I639,"PEDIR YA", C639&lt;I639,"EN CAMINO OK", TRUE,"SANO")</f>
        <v>SANO</v>
      </c>
    </row>
    <row r="640" spans="1:12" x14ac:dyDescent="0.45">
      <c r="A640" t="s">
        <v>1116</v>
      </c>
      <c r="B640" t="s">
        <v>36</v>
      </c>
      <c r="C640">
        <v>3045</v>
      </c>
      <c r="D640">
        <v>329.2</v>
      </c>
      <c r="E640">
        <v>133.9</v>
      </c>
      <c r="F640">
        <v>3.4</v>
      </c>
      <c r="G640">
        <v>1.6</v>
      </c>
      <c r="H640">
        <f t="shared" si="27"/>
        <v>959.83107061034445</v>
      </c>
      <c r="I640">
        <f t="shared" si="28"/>
        <v>2079.1110706103445</v>
      </c>
      <c r="J640">
        <f>SUMIFS(Transit_Clean[Quantity], Transit_Clean[Destination], A640, Transit_Clean[Item_Code], B640, Transit_Clean[SAP_Status], "In Transit")</f>
        <v>0</v>
      </c>
      <c r="K640">
        <f t="shared" si="29"/>
        <v>9.2496962332928323</v>
      </c>
      <c r="L640" t="str" cm="1">
        <f t="array" ref="L640">_xlfn.IFS(C640&lt;0,"DATO INVALIDO", C640+J640&lt;I640,"PEDIR YA", C640&lt;I640,"EN CAMINO OK", TRUE,"SANO")</f>
        <v>SANO</v>
      </c>
    </row>
    <row r="641" spans="1:12" x14ac:dyDescent="0.45">
      <c r="A641" t="s">
        <v>1115</v>
      </c>
      <c r="B641" t="s">
        <v>48</v>
      </c>
      <c r="C641">
        <v>7424</v>
      </c>
      <c r="D641">
        <v>555.9</v>
      </c>
      <c r="E641">
        <v>155.1</v>
      </c>
      <c r="F641">
        <v>2.9</v>
      </c>
      <c r="G641">
        <v>0.6</v>
      </c>
      <c r="H641">
        <f t="shared" si="27"/>
        <v>701.99959347103606</v>
      </c>
      <c r="I641">
        <f t="shared" si="28"/>
        <v>2314.1095934710361</v>
      </c>
      <c r="J641">
        <f>SUMIFS(Transit_Clean[Quantity], Transit_Clean[Destination], A641, Transit_Clean[Item_Code], B641, Transit_Clean[SAP_Status], "In Transit")</f>
        <v>0</v>
      </c>
      <c r="K641">
        <f t="shared" si="29"/>
        <v>13.354919949631229</v>
      </c>
      <c r="L641" t="str" cm="1">
        <f t="array" ref="L641">_xlfn.IFS(C641&lt;0,"DATO INVALIDO", C641+J641&lt;I641,"PEDIR YA", C641&lt;I641,"EN CAMINO OK", TRUE,"SANO")</f>
        <v>SANO</v>
      </c>
    </row>
    <row r="642" spans="1:12" x14ac:dyDescent="0.45">
      <c r="A642" t="s">
        <v>1121</v>
      </c>
      <c r="B642" t="s">
        <v>106</v>
      </c>
      <c r="C642">
        <v>2055</v>
      </c>
      <c r="D642">
        <v>584</v>
      </c>
      <c r="E642">
        <v>140.80000000000001</v>
      </c>
      <c r="F642">
        <v>1.4</v>
      </c>
      <c r="G642">
        <v>0.4</v>
      </c>
      <c r="H642">
        <f t="shared" si="27"/>
        <v>473.41906273406443</v>
      </c>
      <c r="I642">
        <f t="shared" si="28"/>
        <v>1291.0190627340644</v>
      </c>
      <c r="J642">
        <f>SUMIFS(Transit_Clean[Quantity], Transit_Clean[Destination], A642, Transit_Clean[Item_Code], B642, Transit_Clean[SAP_Status], "In Transit")</f>
        <v>332</v>
      </c>
      <c r="K642">
        <f t="shared" si="29"/>
        <v>3.5188356164383561</v>
      </c>
      <c r="L642" t="str" cm="1">
        <f t="array" ref="L642">_xlfn.IFS(C642&lt;0,"DATO INVALIDO", C642+J642&lt;I642,"PEDIR YA", C642&lt;I642,"EN CAMINO OK", TRUE,"SANO")</f>
        <v>SANO</v>
      </c>
    </row>
    <row r="643" spans="1:12" x14ac:dyDescent="0.45">
      <c r="A643" t="s">
        <v>1125</v>
      </c>
      <c r="B643" t="s">
        <v>1136</v>
      </c>
      <c r="D643">
        <v>720.8</v>
      </c>
      <c r="E643">
        <v>486.5</v>
      </c>
      <c r="F643">
        <v>1.8</v>
      </c>
      <c r="G643">
        <v>1.2</v>
      </c>
      <c r="H643">
        <f t="shared" ref="H643:H706" si="30">IFERROR(1.65*SQRT(F643*E643^2 + D643^2*G643^2), "")</f>
        <v>1787.9361107100556</v>
      </c>
      <c r="I643">
        <f t="shared" ref="I643:I706" si="31">IFERROR(D643*F643 + H643, "")</f>
        <v>3085.3761107100554</v>
      </c>
      <c r="J643">
        <f>SUMIFS(Transit_Clean[Quantity], Transit_Clean[Destination], A643, Transit_Clean[Item_Code], B643, Transit_Clean[SAP_Status], "In Transit")</f>
        <v>0</v>
      </c>
      <c r="K643">
        <f t="shared" ref="K643:K706" si="32">IFERROR(C643/D643, "")</f>
        <v>0</v>
      </c>
      <c r="L643" t="str" cm="1">
        <f t="array" ref="L643">_xlfn.IFS(C643&lt;0,"DATO INVALIDO", C643+J643&lt;I643,"PEDIR YA", C643&lt;I643,"EN CAMINO OK", TRUE,"SANO")</f>
        <v>PEDIR YA</v>
      </c>
    </row>
    <row r="644" spans="1:12" x14ac:dyDescent="0.45">
      <c r="A644" t="s">
        <v>1121</v>
      </c>
      <c r="B644" t="s">
        <v>20</v>
      </c>
      <c r="D644">
        <v>424.1</v>
      </c>
      <c r="E644">
        <v>71.8</v>
      </c>
      <c r="F644">
        <v>2.2000000000000002</v>
      </c>
      <c r="G644">
        <v>0.4</v>
      </c>
      <c r="H644">
        <f t="shared" si="30"/>
        <v>330.49157147497732</v>
      </c>
      <c r="I644">
        <f t="shared" si="31"/>
        <v>1263.5115714749775</v>
      </c>
      <c r="J644">
        <f>SUMIFS(Transit_Clean[Quantity], Transit_Clean[Destination], A644, Transit_Clean[Item_Code], B644, Transit_Clean[SAP_Status], "In Transit")</f>
        <v>0</v>
      </c>
      <c r="K644">
        <f t="shared" si="32"/>
        <v>0</v>
      </c>
      <c r="L644" t="str" cm="1">
        <f t="array" ref="L644">_xlfn.IFS(C644&lt;0,"DATO INVALIDO", C644+J644&lt;I644,"PEDIR YA", C644&lt;I644,"EN CAMINO OK", TRUE,"SANO")</f>
        <v>PEDIR YA</v>
      </c>
    </row>
    <row r="645" spans="1:12" x14ac:dyDescent="0.45">
      <c r="A645" t="s">
        <v>1114</v>
      </c>
      <c r="B645" t="s">
        <v>33</v>
      </c>
      <c r="C645">
        <v>3657</v>
      </c>
      <c r="D645">
        <v>293.10000000000002</v>
      </c>
      <c r="E645">
        <v>30.5</v>
      </c>
      <c r="F645">
        <v>4.3</v>
      </c>
      <c r="G645">
        <v>1.3</v>
      </c>
      <c r="H645">
        <f t="shared" si="30"/>
        <v>637.30154988651179</v>
      </c>
      <c r="I645">
        <f t="shared" si="31"/>
        <v>1897.6315498865119</v>
      </c>
      <c r="J645">
        <f>SUMIFS(Transit_Clean[Quantity], Transit_Clean[Destination], A645, Transit_Clean[Item_Code], B645, Transit_Clean[SAP_Status], "In Transit")</f>
        <v>1288</v>
      </c>
      <c r="K645">
        <f t="shared" si="32"/>
        <v>12.47697031729785</v>
      </c>
      <c r="L645" t="str" cm="1">
        <f t="array" ref="L645">_xlfn.IFS(C645&lt;0,"DATO INVALIDO", C645+J645&lt;I645,"PEDIR YA", C645&lt;I645,"EN CAMINO OK", TRUE,"SANO")</f>
        <v>SANO</v>
      </c>
    </row>
    <row r="646" spans="1:12" x14ac:dyDescent="0.45">
      <c r="A646" t="s">
        <v>1128</v>
      </c>
      <c r="B646" t="s">
        <v>91</v>
      </c>
      <c r="C646">
        <v>5890</v>
      </c>
      <c r="D646">
        <v>361</v>
      </c>
      <c r="E646">
        <v>153.1</v>
      </c>
      <c r="F646">
        <v>2.2999999999999998</v>
      </c>
      <c r="G646">
        <v>0.5</v>
      </c>
      <c r="H646">
        <f t="shared" si="30"/>
        <v>485.2553024362536</v>
      </c>
      <c r="I646">
        <f t="shared" si="31"/>
        <v>1315.5553024362534</v>
      </c>
      <c r="J646">
        <f>SUMIFS(Transit_Clean[Quantity], Transit_Clean[Destination], A646, Transit_Clean[Item_Code], B646, Transit_Clean[SAP_Status], "In Transit")</f>
        <v>2959</v>
      </c>
      <c r="K646">
        <f t="shared" si="32"/>
        <v>16.315789473684209</v>
      </c>
      <c r="L646" t="str" cm="1">
        <f t="array" ref="L646">_xlfn.IFS(C646&lt;0,"DATO INVALIDO", C646+J646&lt;I646,"PEDIR YA", C646&lt;I646,"EN CAMINO OK", TRUE,"SANO")</f>
        <v>SANO</v>
      </c>
    </row>
    <row r="647" spans="1:12" x14ac:dyDescent="0.45">
      <c r="A647" t="s">
        <v>1127</v>
      </c>
      <c r="B647" t="s">
        <v>92</v>
      </c>
      <c r="C647">
        <v>5355</v>
      </c>
      <c r="D647">
        <v>337.4</v>
      </c>
      <c r="E647">
        <v>90.6</v>
      </c>
      <c r="F647">
        <v>1</v>
      </c>
      <c r="G647">
        <v>0.9</v>
      </c>
      <c r="H647">
        <f t="shared" si="30"/>
        <v>522.86455188796253</v>
      </c>
      <c r="I647">
        <f t="shared" si="31"/>
        <v>860.26455188796251</v>
      </c>
      <c r="J647">
        <f>SUMIFS(Transit_Clean[Quantity], Transit_Clean[Destination], A647, Transit_Clean[Item_Code], B647, Transit_Clean[SAP_Status], "In Transit")</f>
        <v>1757</v>
      </c>
      <c r="K647">
        <f t="shared" si="32"/>
        <v>15.87136929460581</v>
      </c>
      <c r="L647" t="str" cm="1">
        <f t="array" ref="L647">_xlfn.IFS(C647&lt;0,"DATO INVALIDO", C647+J647&lt;I647,"PEDIR YA", C647&lt;I647,"EN CAMINO OK", TRUE,"SANO")</f>
        <v>SANO</v>
      </c>
    </row>
    <row r="648" spans="1:12" x14ac:dyDescent="0.45">
      <c r="A648" t="s">
        <v>1126</v>
      </c>
      <c r="B648" t="s">
        <v>13</v>
      </c>
      <c r="C648">
        <v>3502</v>
      </c>
      <c r="D648">
        <v>346.9</v>
      </c>
      <c r="E648">
        <v>101.4</v>
      </c>
      <c r="F648">
        <v>0.8</v>
      </c>
      <c r="G648">
        <v>0.2</v>
      </c>
      <c r="H648">
        <f t="shared" si="30"/>
        <v>188.4120283023353</v>
      </c>
      <c r="I648">
        <f t="shared" si="31"/>
        <v>465.93202830233531</v>
      </c>
      <c r="J648">
        <f>SUMIFS(Transit_Clean[Quantity], Transit_Clean[Destination], A648, Transit_Clean[Item_Code], B648, Transit_Clean[SAP_Status], "In Transit")</f>
        <v>0</v>
      </c>
      <c r="K648">
        <f t="shared" si="32"/>
        <v>10.095128279042953</v>
      </c>
      <c r="L648" t="str" cm="1">
        <f t="array" ref="L648">_xlfn.IFS(C648&lt;0,"DATO INVALIDO", C648+J648&lt;I648,"PEDIR YA", C648&lt;I648,"EN CAMINO OK", TRUE,"SANO")</f>
        <v>SANO</v>
      </c>
    </row>
    <row r="649" spans="1:12" x14ac:dyDescent="0.45">
      <c r="A649" t="s">
        <v>1125</v>
      </c>
      <c r="B649" t="s">
        <v>20</v>
      </c>
      <c r="C649">
        <v>1091</v>
      </c>
      <c r="D649">
        <v>451.3</v>
      </c>
      <c r="E649">
        <v>53.5</v>
      </c>
      <c r="F649">
        <v>2.2999999999999998</v>
      </c>
      <c r="G649">
        <v>1.2</v>
      </c>
      <c r="H649">
        <f t="shared" si="30"/>
        <v>903.54700343341301</v>
      </c>
      <c r="I649">
        <f t="shared" si="31"/>
        <v>1941.537003433413</v>
      </c>
      <c r="J649">
        <f>SUMIFS(Transit_Clean[Quantity], Transit_Clean[Destination], A649, Transit_Clean[Item_Code], B649, Transit_Clean[SAP_Status], "In Transit")</f>
        <v>1481</v>
      </c>
      <c r="K649">
        <f t="shared" si="32"/>
        <v>2.4174606691779306</v>
      </c>
      <c r="L649" t="str" cm="1">
        <f t="array" ref="L649">_xlfn.IFS(C649&lt;0,"DATO INVALIDO", C649+J649&lt;I649,"PEDIR YA", C649&lt;I649,"EN CAMINO OK", TRUE,"SANO")</f>
        <v>EN CAMINO OK</v>
      </c>
    </row>
    <row r="650" spans="1:12" x14ac:dyDescent="0.45">
      <c r="A650" t="s">
        <v>1127</v>
      </c>
      <c r="B650" t="s">
        <v>93</v>
      </c>
      <c r="C650">
        <v>9189</v>
      </c>
      <c r="D650">
        <v>651.6</v>
      </c>
      <c r="E650">
        <v>109.2</v>
      </c>
      <c r="F650">
        <v>2.2000000000000002</v>
      </c>
      <c r="G650">
        <v>0.9</v>
      </c>
      <c r="H650">
        <f t="shared" si="30"/>
        <v>1003.8539272005664</v>
      </c>
      <c r="I650">
        <f t="shared" si="31"/>
        <v>2437.3739272005669</v>
      </c>
      <c r="J650">
        <f>SUMIFS(Transit_Clean[Quantity], Transit_Clean[Destination], A650, Transit_Clean[Item_Code], B650, Transit_Clean[SAP_Status], "In Transit")</f>
        <v>0</v>
      </c>
      <c r="K650">
        <f t="shared" si="32"/>
        <v>14.102209944751381</v>
      </c>
      <c r="L650" t="str" cm="1">
        <f t="array" ref="L650">_xlfn.IFS(C650&lt;0,"DATO INVALIDO", C650+J650&lt;I650,"PEDIR YA", C650&lt;I650,"EN CAMINO OK", TRUE,"SANO")</f>
        <v>SANO</v>
      </c>
    </row>
    <row r="651" spans="1:12" x14ac:dyDescent="0.45">
      <c r="A651" t="s">
        <v>1125</v>
      </c>
      <c r="B651" t="s">
        <v>91</v>
      </c>
      <c r="C651">
        <v>2028</v>
      </c>
      <c r="D651">
        <v>474.6</v>
      </c>
      <c r="E651">
        <v>265.89999999999998</v>
      </c>
      <c r="F651">
        <v>4.8</v>
      </c>
      <c r="G651">
        <v>1.2</v>
      </c>
      <c r="H651">
        <f t="shared" si="30"/>
        <v>1344.2453073542788</v>
      </c>
      <c r="I651">
        <f t="shared" si="31"/>
        <v>3622.3253073542787</v>
      </c>
      <c r="J651">
        <f>SUMIFS(Transit_Clean[Quantity], Transit_Clean[Destination], A651, Transit_Clean[Item_Code], B651, Transit_Clean[SAP_Status], "In Transit")</f>
        <v>1397</v>
      </c>
      <c r="K651">
        <f t="shared" si="32"/>
        <v>4.2730720606826802</v>
      </c>
      <c r="L651" t="str" cm="1">
        <f t="array" ref="L651">_xlfn.IFS(C651&lt;0,"DATO INVALIDO", C651+J651&lt;I651,"PEDIR YA", C651&lt;I651,"EN CAMINO OK", TRUE,"SANO")</f>
        <v>PEDIR YA</v>
      </c>
    </row>
    <row r="652" spans="1:12" x14ac:dyDescent="0.45">
      <c r="A652" t="s">
        <v>1119</v>
      </c>
      <c r="B652" t="s">
        <v>50</v>
      </c>
      <c r="C652">
        <v>8703</v>
      </c>
      <c r="D652">
        <v>562.5</v>
      </c>
      <c r="E652">
        <v>201.4</v>
      </c>
      <c r="F652">
        <v>1.6</v>
      </c>
      <c r="G652">
        <v>1</v>
      </c>
      <c r="H652">
        <f t="shared" si="30"/>
        <v>1018.8738456673623</v>
      </c>
      <c r="I652">
        <f t="shared" si="31"/>
        <v>1918.8738456673623</v>
      </c>
      <c r="J652">
        <f>SUMIFS(Transit_Clean[Quantity], Transit_Clean[Destination], A652, Transit_Clean[Item_Code], B652, Transit_Clean[SAP_Status], "In Transit")</f>
        <v>3074</v>
      </c>
      <c r="K652">
        <f t="shared" si="32"/>
        <v>15.472</v>
      </c>
      <c r="L652" t="str" cm="1">
        <f t="array" ref="L652">_xlfn.IFS(C652&lt;0,"DATO INVALIDO", C652+J652&lt;I652,"PEDIR YA", C652&lt;I652,"EN CAMINO OK", TRUE,"SANO")</f>
        <v>SANO</v>
      </c>
    </row>
    <row r="653" spans="1:12" x14ac:dyDescent="0.45">
      <c r="A653" t="s">
        <v>1127</v>
      </c>
      <c r="B653" t="s">
        <v>57</v>
      </c>
      <c r="C653">
        <v>1693</v>
      </c>
      <c r="D653">
        <v>264.8</v>
      </c>
      <c r="E653">
        <v>31.7</v>
      </c>
      <c r="F653">
        <v>4.4000000000000004</v>
      </c>
      <c r="G653">
        <v>0.9</v>
      </c>
      <c r="H653">
        <f t="shared" si="30"/>
        <v>408.24727469267935</v>
      </c>
      <c r="I653">
        <f t="shared" si="31"/>
        <v>1573.3672746926795</v>
      </c>
      <c r="J653">
        <f>SUMIFS(Transit_Clean[Quantity], Transit_Clean[Destination], A653, Transit_Clean[Item_Code], B653, Transit_Clean[SAP_Status], "In Transit")</f>
        <v>3715</v>
      </c>
      <c r="K653">
        <f t="shared" si="32"/>
        <v>6.393504531722054</v>
      </c>
      <c r="L653" t="str" cm="1">
        <f t="array" ref="L653">_xlfn.IFS(C653&lt;0,"DATO INVALIDO", C653+J653&lt;I653,"PEDIR YA", C653&lt;I653,"EN CAMINO OK", TRUE,"SANO")</f>
        <v>SANO</v>
      </c>
    </row>
    <row r="654" spans="1:12" x14ac:dyDescent="0.45">
      <c r="A654" t="s">
        <v>1126</v>
      </c>
      <c r="B654" t="s">
        <v>32</v>
      </c>
      <c r="D654">
        <v>310.39999999999998</v>
      </c>
      <c r="E654">
        <v>128.1</v>
      </c>
      <c r="F654">
        <v>0.7</v>
      </c>
      <c r="G654">
        <v>0.2</v>
      </c>
      <c r="H654">
        <f t="shared" si="30"/>
        <v>204.36469578060687</v>
      </c>
      <c r="I654">
        <f t="shared" si="31"/>
        <v>421.64469578060687</v>
      </c>
      <c r="J654">
        <f>SUMIFS(Transit_Clean[Quantity], Transit_Clean[Destination], A654, Transit_Clean[Item_Code], B654, Transit_Clean[SAP_Status], "In Transit")</f>
        <v>0</v>
      </c>
      <c r="K654">
        <f t="shared" si="32"/>
        <v>0</v>
      </c>
      <c r="L654" t="str" cm="1">
        <f t="array" ref="L654">_xlfn.IFS(C654&lt;0,"DATO INVALIDO", C654+J654&lt;I654,"PEDIR YA", C654&lt;I654,"EN CAMINO OK", TRUE,"SANO")</f>
        <v>PEDIR YA</v>
      </c>
    </row>
    <row r="655" spans="1:12" x14ac:dyDescent="0.45">
      <c r="A655" t="s">
        <v>1116</v>
      </c>
      <c r="B655" t="s">
        <v>108</v>
      </c>
      <c r="C655">
        <v>4218</v>
      </c>
      <c r="D655">
        <v>381.1</v>
      </c>
      <c r="E655">
        <v>72.599999999999994</v>
      </c>
      <c r="F655">
        <v>4.4000000000000004</v>
      </c>
      <c r="G655">
        <v>1.6</v>
      </c>
      <c r="H655">
        <f t="shared" si="30"/>
        <v>1037.0070842843845</v>
      </c>
      <c r="I655">
        <f t="shared" si="31"/>
        <v>2713.8470842843844</v>
      </c>
      <c r="J655">
        <f>SUMIFS(Transit_Clean[Quantity], Transit_Clean[Destination], A655, Transit_Clean[Item_Code], B655, Transit_Clean[SAP_Status], "In Transit")</f>
        <v>0</v>
      </c>
      <c r="K655">
        <f t="shared" si="32"/>
        <v>11.067961165048542</v>
      </c>
      <c r="L655" t="str" cm="1">
        <f t="array" ref="L655">_xlfn.IFS(C655&lt;0,"DATO INVALIDO", C655+J655&lt;I655,"PEDIR YA", C655&lt;I655,"EN CAMINO OK", TRUE,"SANO")</f>
        <v>SANO</v>
      </c>
    </row>
    <row r="656" spans="1:12" x14ac:dyDescent="0.45">
      <c r="A656" t="s">
        <v>1117</v>
      </c>
      <c r="B656" t="s">
        <v>39</v>
      </c>
      <c r="C656">
        <v>3332</v>
      </c>
      <c r="D656">
        <v>552</v>
      </c>
      <c r="E656">
        <v>92.6</v>
      </c>
      <c r="F656">
        <v>1.8</v>
      </c>
      <c r="G656">
        <v>0.5</v>
      </c>
      <c r="H656">
        <f t="shared" si="30"/>
        <v>499.40942259833258</v>
      </c>
      <c r="I656">
        <f t="shared" si="31"/>
        <v>1493.0094225983325</v>
      </c>
      <c r="J656">
        <f>SUMIFS(Transit_Clean[Quantity], Transit_Clean[Destination], A656, Transit_Clean[Item_Code], B656, Transit_Clean[SAP_Status], "In Transit")</f>
        <v>0</v>
      </c>
      <c r="K656">
        <f t="shared" si="32"/>
        <v>6.0362318840579707</v>
      </c>
      <c r="L656" t="str" cm="1">
        <f t="array" ref="L656">_xlfn.IFS(C656&lt;0,"DATO INVALIDO", C656+J656&lt;I656,"PEDIR YA", C656&lt;I656,"EN CAMINO OK", TRUE,"SANO")</f>
        <v>SANO</v>
      </c>
    </row>
    <row r="657" spans="1:12" x14ac:dyDescent="0.45">
      <c r="A657" t="s">
        <v>1117</v>
      </c>
      <c r="B657" t="s">
        <v>76</v>
      </c>
      <c r="C657">
        <v>3834</v>
      </c>
      <c r="D657">
        <v>537.5</v>
      </c>
      <c r="E657">
        <v>101.3</v>
      </c>
      <c r="F657">
        <v>2</v>
      </c>
      <c r="G657">
        <v>0.5</v>
      </c>
      <c r="H657">
        <f t="shared" si="30"/>
        <v>502.50544122054038</v>
      </c>
      <c r="I657">
        <f t="shared" si="31"/>
        <v>1577.5054412205404</v>
      </c>
      <c r="J657">
        <f>SUMIFS(Transit_Clean[Quantity], Transit_Clean[Destination], A657, Transit_Clean[Item_Code], B657, Transit_Clean[SAP_Status], "In Transit")</f>
        <v>0</v>
      </c>
      <c r="K657">
        <f t="shared" si="32"/>
        <v>7.1330232558139537</v>
      </c>
      <c r="L657" t="str" cm="1">
        <f t="array" ref="L657">_xlfn.IFS(C657&lt;0,"DATO INVALIDO", C657+J657&lt;I657,"PEDIR YA", C657&lt;I657,"EN CAMINO OK", TRUE,"SANO")</f>
        <v>SANO</v>
      </c>
    </row>
    <row r="658" spans="1:12" x14ac:dyDescent="0.45">
      <c r="A658" t="s">
        <v>1121</v>
      </c>
      <c r="B658" t="s">
        <v>32</v>
      </c>
      <c r="C658">
        <v>3357</v>
      </c>
      <c r="D658">
        <v>244.2</v>
      </c>
      <c r="E658">
        <v>67.2</v>
      </c>
      <c r="F658">
        <v>1.6</v>
      </c>
      <c r="G658">
        <v>0.4</v>
      </c>
      <c r="H658">
        <f t="shared" si="30"/>
        <v>213.65255117596885</v>
      </c>
      <c r="I658">
        <f t="shared" si="31"/>
        <v>604.37255117596885</v>
      </c>
      <c r="J658">
        <f>SUMIFS(Transit_Clean[Quantity], Transit_Clean[Destination], A658, Transit_Clean[Item_Code], B658, Transit_Clean[SAP_Status], "In Transit")</f>
        <v>0</v>
      </c>
      <c r="K658">
        <f t="shared" si="32"/>
        <v>13.746928746928747</v>
      </c>
      <c r="L658" t="str" cm="1">
        <f t="array" ref="L658">_xlfn.IFS(C658&lt;0,"DATO INVALIDO", C658+J658&lt;I658,"PEDIR YA", C658&lt;I658,"EN CAMINO OK", TRUE,"SANO")</f>
        <v>SANO</v>
      </c>
    </row>
    <row r="659" spans="1:12" x14ac:dyDescent="0.45">
      <c r="A659" t="s">
        <v>1119</v>
      </c>
      <c r="B659" t="s">
        <v>65</v>
      </c>
      <c r="C659">
        <v>7178</v>
      </c>
      <c r="D659">
        <v>425</v>
      </c>
      <c r="E659">
        <v>190.6</v>
      </c>
      <c r="F659">
        <v>2.6</v>
      </c>
      <c r="G659">
        <v>1</v>
      </c>
      <c r="H659">
        <f t="shared" si="30"/>
        <v>865.39115939556484</v>
      </c>
      <c r="I659">
        <f t="shared" si="31"/>
        <v>1970.391159395565</v>
      </c>
      <c r="J659">
        <f>SUMIFS(Transit_Clean[Quantity], Transit_Clean[Destination], A659, Transit_Clean[Item_Code], B659, Transit_Clean[SAP_Status], "In Transit")</f>
        <v>0</v>
      </c>
      <c r="K659">
        <f t="shared" si="32"/>
        <v>16.889411764705883</v>
      </c>
      <c r="L659" t="str" cm="1">
        <f t="array" ref="L659">_xlfn.IFS(C659&lt;0,"DATO INVALIDO", C659+J659&lt;I659,"PEDIR YA", C659&lt;I659,"EN CAMINO OK", TRUE,"SANO")</f>
        <v>SANO</v>
      </c>
    </row>
    <row r="660" spans="1:12" x14ac:dyDescent="0.45">
      <c r="A660" t="s">
        <v>1120</v>
      </c>
      <c r="B660" t="s">
        <v>30</v>
      </c>
      <c r="C660">
        <v>2147</v>
      </c>
      <c r="D660">
        <v>326.39999999999998</v>
      </c>
      <c r="E660">
        <v>71.5</v>
      </c>
      <c r="F660">
        <v>2</v>
      </c>
      <c r="G660">
        <v>0.5</v>
      </c>
      <c r="H660">
        <f t="shared" si="30"/>
        <v>316.77739763120724</v>
      </c>
      <c r="I660">
        <f t="shared" si="31"/>
        <v>969.57739763120719</v>
      </c>
      <c r="J660">
        <f>SUMIFS(Transit_Clean[Quantity], Transit_Clean[Destination], A660, Transit_Clean[Item_Code], B660, Transit_Clean[SAP_Status], "In Transit")</f>
        <v>0</v>
      </c>
      <c r="K660">
        <f t="shared" si="32"/>
        <v>6.5778186274509807</v>
      </c>
      <c r="L660" t="str" cm="1">
        <f t="array" ref="L660">_xlfn.IFS(C660&lt;0,"DATO INVALIDO", C660+J660&lt;I660,"PEDIR YA", C660&lt;I660,"EN CAMINO OK", TRUE,"SANO")</f>
        <v>SANO</v>
      </c>
    </row>
    <row r="661" spans="1:12" x14ac:dyDescent="0.45">
      <c r="A661" t="s">
        <v>1120</v>
      </c>
      <c r="B661" t="s">
        <v>64</v>
      </c>
      <c r="C661">
        <v>2672</v>
      </c>
      <c r="D661">
        <v>382.6</v>
      </c>
      <c r="E661">
        <v>99</v>
      </c>
      <c r="F661">
        <v>1.8</v>
      </c>
      <c r="G661">
        <v>0.5</v>
      </c>
      <c r="H661">
        <f t="shared" si="30"/>
        <v>384.26757152406191</v>
      </c>
      <c r="I661">
        <f t="shared" si="31"/>
        <v>1072.9475715240619</v>
      </c>
      <c r="J661">
        <f>SUMIFS(Transit_Clean[Quantity], Transit_Clean[Destination], A661, Transit_Clean[Item_Code], B661, Transit_Clean[SAP_Status], "In Transit")</f>
        <v>0</v>
      </c>
      <c r="K661">
        <f t="shared" si="32"/>
        <v>6.98379508625196</v>
      </c>
      <c r="L661" t="str" cm="1">
        <f t="array" ref="L661">_xlfn.IFS(C661&lt;0,"DATO INVALIDO", C661+J661&lt;I661,"PEDIR YA", C661&lt;I661,"EN CAMINO OK", TRUE,"SANO")</f>
        <v>SANO</v>
      </c>
    </row>
    <row r="662" spans="1:12" x14ac:dyDescent="0.45">
      <c r="A662" t="s">
        <v>1118</v>
      </c>
      <c r="B662" t="s">
        <v>1134</v>
      </c>
      <c r="C662">
        <v>2882</v>
      </c>
      <c r="D662">
        <v>372.4</v>
      </c>
      <c r="E662">
        <v>48.4</v>
      </c>
      <c r="F662">
        <v>4.5999999999999996</v>
      </c>
      <c r="G662">
        <v>1.5</v>
      </c>
      <c r="H662">
        <f t="shared" si="30"/>
        <v>937.46973618352058</v>
      </c>
      <c r="I662">
        <f t="shared" si="31"/>
        <v>2650.5097361835205</v>
      </c>
      <c r="J662">
        <f>SUMIFS(Transit_Clean[Quantity], Transit_Clean[Destination], A662, Transit_Clean[Item_Code], B662, Transit_Clean[SAP_Status], "In Transit")</f>
        <v>0</v>
      </c>
      <c r="K662">
        <f t="shared" si="32"/>
        <v>7.7389903329752956</v>
      </c>
      <c r="L662" t="str" cm="1">
        <f t="array" ref="L662">_xlfn.IFS(C662&lt;0,"DATO INVALIDO", C662+J662&lt;I662,"PEDIR YA", C662&lt;I662,"EN CAMINO OK", TRUE,"SANO")</f>
        <v>SANO</v>
      </c>
    </row>
    <row r="663" spans="1:12" x14ac:dyDescent="0.45">
      <c r="A663" t="s">
        <v>1114</v>
      </c>
      <c r="B663" t="s">
        <v>64</v>
      </c>
      <c r="C663">
        <v>18075</v>
      </c>
      <c r="D663">
        <v>1129.3</v>
      </c>
      <c r="E663">
        <v>202.8</v>
      </c>
      <c r="F663">
        <v>4.2</v>
      </c>
      <c r="G663">
        <v>1.3</v>
      </c>
      <c r="H663">
        <f t="shared" si="30"/>
        <v>2517.5481210757916</v>
      </c>
      <c r="I663">
        <f t="shared" si="31"/>
        <v>7260.608121075792</v>
      </c>
      <c r="J663">
        <f>SUMIFS(Transit_Clean[Quantity], Transit_Clean[Destination], A663, Transit_Clean[Item_Code], B663, Transit_Clean[SAP_Status], "In Transit")</f>
        <v>3245</v>
      </c>
      <c r="K663">
        <f t="shared" si="32"/>
        <v>16.005490126627116</v>
      </c>
      <c r="L663" t="str" cm="1">
        <f t="array" ref="L663">_xlfn.IFS(C663&lt;0,"DATO INVALIDO", C663+J663&lt;I663,"PEDIR YA", C663&lt;I663,"EN CAMINO OK", TRUE,"SANO")</f>
        <v>SANO</v>
      </c>
    </row>
    <row r="664" spans="1:12" x14ac:dyDescent="0.45">
      <c r="A664" t="s">
        <v>1115</v>
      </c>
      <c r="B664" t="s">
        <v>1129</v>
      </c>
      <c r="C664">
        <v>8282</v>
      </c>
      <c r="D664">
        <v>490</v>
      </c>
      <c r="E664">
        <v>90.2</v>
      </c>
      <c r="F664">
        <v>1.2</v>
      </c>
      <c r="G664">
        <v>0.6</v>
      </c>
      <c r="H664">
        <f t="shared" si="30"/>
        <v>511.76405958214764</v>
      </c>
      <c r="I664">
        <f t="shared" si="31"/>
        <v>1099.7640595821476</v>
      </c>
      <c r="J664">
        <f>SUMIFS(Transit_Clean[Quantity], Transit_Clean[Destination], A664, Transit_Clean[Item_Code], B664, Transit_Clean[SAP_Status], "In Transit")</f>
        <v>2639</v>
      </c>
      <c r="K664">
        <f t="shared" si="32"/>
        <v>16.902040816326529</v>
      </c>
      <c r="L664" t="str" cm="1">
        <f t="array" ref="L664">_xlfn.IFS(C664&lt;0,"DATO INVALIDO", C664+J664&lt;I664,"PEDIR YA", C664&lt;I664,"EN CAMINO OK", TRUE,"SANO")</f>
        <v>SANO</v>
      </c>
    </row>
    <row r="665" spans="1:12" x14ac:dyDescent="0.45">
      <c r="A665" t="s">
        <v>1126</v>
      </c>
      <c r="B665" t="s">
        <v>29</v>
      </c>
      <c r="C665">
        <v>9377</v>
      </c>
      <c r="D665">
        <v>743.9</v>
      </c>
      <c r="E665">
        <v>141.19999999999999</v>
      </c>
      <c r="F665">
        <v>1.1000000000000001</v>
      </c>
      <c r="G665">
        <v>0.2</v>
      </c>
      <c r="H665">
        <f t="shared" si="30"/>
        <v>346.36904539666932</v>
      </c>
      <c r="I665">
        <f t="shared" si="31"/>
        <v>1164.6590453966694</v>
      </c>
      <c r="J665">
        <f>SUMIFS(Transit_Clean[Quantity], Transit_Clean[Destination], A665, Transit_Clean[Item_Code], B665, Transit_Clean[SAP_Status], "In Transit")</f>
        <v>0</v>
      </c>
      <c r="K665">
        <f t="shared" si="32"/>
        <v>12.605188869471704</v>
      </c>
      <c r="L665" t="str" cm="1">
        <f t="array" ref="L665">_xlfn.IFS(C665&lt;0,"DATO INVALIDO", C665+J665&lt;I665,"PEDIR YA", C665&lt;I665,"EN CAMINO OK", TRUE,"SANO")</f>
        <v>SANO</v>
      </c>
    </row>
    <row r="666" spans="1:12" x14ac:dyDescent="0.45">
      <c r="A666" t="s">
        <v>1127</v>
      </c>
      <c r="B666" t="s">
        <v>44</v>
      </c>
      <c r="C666">
        <v>7699</v>
      </c>
      <c r="D666">
        <v>935.8</v>
      </c>
      <c r="E666">
        <v>201.1</v>
      </c>
      <c r="F666">
        <v>1.5</v>
      </c>
      <c r="G666">
        <v>0.9</v>
      </c>
      <c r="H666">
        <f t="shared" si="30"/>
        <v>1447.8656860726064</v>
      </c>
      <c r="I666">
        <f t="shared" si="31"/>
        <v>2851.5656860726062</v>
      </c>
      <c r="J666">
        <f>SUMIFS(Transit_Clean[Quantity], Transit_Clean[Destination], A666, Transit_Clean[Item_Code], B666, Transit_Clean[SAP_Status], "In Transit")</f>
        <v>0</v>
      </c>
      <c r="K666">
        <f t="shared" si="32"/>
        <v>8.2271852960034195</v>
      </c>
      <c r="L666" t="str" cm="1">
        <f t="array" ref="L666">_xlfn.IFS(C666&lt;0,"DATO INVALIDO", C666+J666&lt;I666,"PEDIR YA", C666&lt;I666,"EN CAMINO OK", TRUE,"SANO")</f>
        <v>SANO</v>
      </c>
    </row>
    <row r="667" spans="1:12" x14ac:dyDescent="0.45">
      <c r="A667" t="s">
        <v>1123</v>
      </c>
      <c r="B667" t="s">
        <v>1131</v>
      </c>
      <c r="C667">
        <v>3161</v>
      </c>
      <c r="D667">
        <v>829.3</v>
      </c>
      <c r="E667">
        <v>443.9</v>
      </c>
      <c r="F667">
        <v>1.6</v>
      </c>
      <c r="G667">
        <v>0.3</v>
      </c>
      <c r="H667">
        <f t="shared" si="30"/>
        <v>1013.3364546251408</v>
      </c>
      <c r="I667">
        <f t="shared" si="31"/>
        <v>2340.2164546251411</v>
      </c>
      <c r="J667">
        <f>SUMIFS(Transit_Clean[Quantity], Transit_Clean[Destination], A667, Transit_Clean[Item_Code], B667, Transit_Clean[SAP_Status], "In Transit")</f>
        <v>831</v>
      </c>
      <c r="K667">
        <f t="shared" si="32"/>
        <v>3.8116483781502475</v>
      </c>
      <c r="L667" t="str" cm="1">
        <f t="array" ref="L667">_xlfn.IFS(C667&lt;0,"DATO INVALIDO", C667+J667&lt;I667,"PEDIR YA", C667&lt;I667,"EN CAMINO OK", TRUE,"SANO")</f>
        <v>SANO</v>
      </c>
    </row>
    <row r="668" spans="1:12" x14ac:dyDescent="0.45">
      <c r="A668" t="s">
        <v>1115</v>
      </c>
      <c r="B668" t="s">
        <v>74</v>
      </c>
      <c r="C668">
        <v>7034</v>
      </c>
      <c r="D668">
        <v>520.29999999999995</v>
      </c>
      <c r="E668">
        <v>329</v>
      </c>
      <c r="F668">
        <v>2.1</v>
      </c>
      <c r="G668">
        <v>0.6</v>
      </c>
      <c r="H668">
        <f t="shared" si="30"/>
        <v>940.30089687237887</v>
      </c>
      <c r="I668">
        <f t="shared" si="31"/>
        <v>2032.9308968723788</v>
      </c>
      <c r="J668">
        <f>SUMIFS(Transit_Clean[Quantity], Transit_Clean[Destination], A668, Transit_Clean[Item_Code], B668, Transit_Clean[SAP_Status], "In Transit")</f>
        <v>575</v>
      </c>
      <c r="K668">
        <f t="shared" si="32"/>
        <v>13.519123582548531</v>
      </c>
      <c r="L668" t="str" cm="1">
        <f t="array" ref="L668">_xlfn.IFS(C668&lt;0,"DATO INVALIDO", C668+J668&lt;I668,"PEDIR YA", C668&lt;I668,"EN CAMINO OK", TRUE,"SANO")</f>
        <v>SANO</v>
      </c>
    </row>
    <row r="669" spans="1:12" x14ac:dyDescent="0.45">
      <c r="A669" t="s">
        <v>1126</v>
      </c>
      <c r="B669" t="s">
        <v>28</v>
      </c>
      <c r="C669">
        <v>2486</v>
      </c>
      <c r="D669">
        <v>405.4</v>
      </c>
      <c r="E669">
        <v>135</v>
      </c>
      <c r="F669">
        <v>1.1000000000000001</v>
      </c>
      <c r="G669">
        <v>0.2</v>
      </c>
      <c r="H669">
        <f t="shared" si="30"/>
        <v>269.21541982954841</v>
      </c>
      <c r="I669">
        <f t="shared" si="31"/>
        <v>715.15541982954846</v>
      </c>
      <c r="J669">
        <f>SUMIFS(Transit_Clean[Quantity], Transit_Clean[Destination], A669, Transit_Clean[Item_Code], B669, Transit_Clean[SAP_Status], "In Transit")</f>
        <v>1002</v>
      </c>
      <c r="K669">
        <f t="shared" si="32"/>
        <v>6.1322150962012829</v>
      </c>
      <c r="L669" t="str" cm="1">
        <f t="array" ref="L669">_xlfn.IFS(C669&lt;0,"DATO INVALIDO", C669+J669&lt;I669,"PEDIR YA", C669&lt;I669,"EN CAMINO OK", TRUE,"SANO")</f>
        <v>SANO</v>
      </c>
    </row>
    <row r="670" spans="1:12" x14ac:dyDescent="0.45">
      <c r="A670" t="s">
        <v>1121</v>
      </c>
      <c r="B670" t="s">
        <v>100</v>
      </c>
      <c r="C670">
        <v>744</v>
      </c>
      <c r="D670">
        <v>477</v>
      </c>
      <c r="E670">
        <v>70.2</v>
      </c>
      <c r="F670">
        <v>1.7</v>
      </c>
      <c r="G670">
        <v>0.4</v>
      </c>
      <c r="H670">
        <f t="shared" si="30"/>
        <v>349.17020710536002</v>
      </c>
      <c r="I670">
        <f t="shared" si="31"/>
        <v>1160.0702071053599</v>
      </c>
      <c r="J670">
        <f>SUMIFS(Transit_Clean[Quantity], Transit_Clean[Destination], A670, Transit_Clean[Item_Code], B670, Transit_Clean[SAP_Status], "In Transit")</f>
        <v>2220</v>
      </c>
      <c r="K670">
        <f t="shared" si="32"/>
        <v>1.5597484276729561</v>
      </c>
      <c r="L670" t="str" cm="1">
        <f t="array" ref="L670">_xlfn.IFS(C670&lt;0,"DATO INVALIDO", C670+J670&lt;I670,"PEDIR YA", C670&lt;I670,"EN CAMINO OK", TRUE,"SANO")</f>
        <v>EN CAMINO OK</v>
      </c>
    </row>
    <row r="671" spans="1:12" x14ac:dyDescent="0.45">
      <c r="A671" t="s">
        <v>1120</v>
      </c>
      <c r="B671" t="s">
        <v>43</v>
      </c>
      <c r="C671">
        <v>2624</v>
      </c>
      <c r="D671">
        <v>378.5</v>
      </c>
      <c r="E671">
        <v>210.8</v>
      </c>
      <c r="F671">
        <v>2.4</v>
      </c>
      <c r="G671">
        <v>0.5</v>
      </c>
      <c r="H671">
        <f t="shared" si="30"/>
        <v>622.78156256126431</v>
      </c>
      <c r="I671">
        <f t="shared" si="31"/>
        <v>1531.1815625612644</v>
      </c>
      <c r="J671">
        <f>SUMIFS(Transit_Clean[Quantity], Transit_Clean[Destination], A671, Transit_Clean[Item_Code], B671, Transit_Clean[SAP_Status], "In Transit")</f>
        <v>2129</v>
      </c>
      <c r="K671">
        <f t="shared" si="32"/>
        <v>6.9326287978863936</v>
      </c>
      <c r="L671" t="str" cm="1">
        <f t="array" ref="L671">_xlfn.IFS(C671&lt;0,"DATO INVALIDO", C671+J671&lt;I671,"PEDIR YA", C671&lt;I671,"EN CAMINO OK", TRUE,"SANO")</f>
        <v>SANO</v>
      </c>
    </row>
    <row r="672" spans="1:12" x14ac:dyDescent="0.45">
      <c r="A672" t="s">
        <v>1117</v>
      </c>
      <c r="B672" t="s">
        <v>19</v>
      </c>
      <c r="C672">
        <v>6379</v>
      </c>
      <c r="D672">
        <v>524.20000000000005</v>
      </c>
      <c r="E672">
        <v>196.6</v>
      </c>
      <c r="F672">
        <v>1.4</v>
      </c>
      <c r="G672">
        <v>0.5</v>
      </c>
      <c r="H672">
        <f t="shared" si="30"/>
        <v>578.22694261422998</v>
      </c>
      <c r="I672">
        <f t="shared" si="31"/>
        <v>1312.1069426142299</v>
      </c>
      <c r="J672">
        <f>SUMIFS(Transit_Clean[Quantity], Transit_Clean[Destination], A672, Transit_Clean[Item_Code], B672, Transit_Clean[SAP_Status], "In Transit")</f>
        <v>1419</v>
      </c>
      <c r="K672">
        <f t="shared" si="32"/>
        <v>12.169019458222051</v>
      </c>
      <c r="L672" t="str" cm="1">
        <f t="array" ref="L672">_xlfn.IFS(C672&lt;0,"DATO INVALIDO", C672+J672&lt;I672,"PEDIR YA", C672&lt;I672,"EN CAMINO OK", TRUE,"SANO")</f>
        <v>SANO</v>
      </c>
    </row>
    <row r="673" spans="1:12" x14ac:dyDescent="0.45">
      <c r="A673" t="s">
        <v>1118</v>
      </c>
      <c r="B673" t="s">
        <v>70</v>
      </c>
      <c r="C673">
        <v>3196</v>
      </c>
      <c r="D673">
        <v>475.3</v>
      </c>
      <c r="E673">
        <v>114.6</v>
      </c>
      <c r="F673">
        <v>8.1999999999999993</v>
      </c>
      <c r="G673">
        <v>1.5</v>
      </c>
      <c r="H673">
        <f t="shared" si="30"/>
        <v>1295.0025967063734</v>
      </c>
      <c r="I673">
        <f t="shared" si="31"/>
        <v>5192.462596706373</v>
      </c>
      <c r="J673">
        <f>SUMIFS(Transit_Clean[Quantity], Transit_Clean[Destination], A673, Transit_Clean[Item_Code], B673, Transit_Clean[SAP_Status], "In Transit")</f>
        <v>709</v>
      </c>
      <c r="K673">
        <f t="shared" si="32"/>
        <v>6.72417420576478</v>
      </c>
      <c r="L673" t="str" cm="1">
        <f t="array" ref="L673">_xlfn.IFS(C673&lt;0,"DATO INVALIDO", C673+J673&lt;I673,"PEDIR YA", C673&lt;I673,"EN CAMINO OK", TRUE,"SANO")</f>
        <v>PEDIR YA</v>
      </c>
    </row>
    <row r="674" spans="1:12" x14ac:dyDescent="0.45">
      <c r="A674" t="s">
        <v>1128</v>
      </c>
      <c r="B674" t="s">
        <v>107</v>
      </c>
      <c r="C674">
        <v>5646</v>
      </c>
      <c r="E674">
        <v>331</v>
      </c>
      <c r="F674">
        <v>1.5</v>
      </c>
      <c r="G674">
        <v>0.5</v>
      </c>
      <c r="H674">
        <f t="shared" si="30"/>
        <v>668.89441151051631</v>
      </c>
      <c r="I674">
        <f t="shared" si="31"/>
        <v>668.89441151051631</v>
      </c>
      <c r="J674">
        <f>SUMIFS(Transit_Clean[Quantity], Transit_Clean[Destination], A674, Transit_Clean[Item_Code], B674, Transit_Clean[SAP_Status], "In Transit")</f>
        <v>7312</v>
      </c>
      <c r="K674" t="str">
        <f t="shared" si="32"/>
        <v/>
      </c>
      <c r="L674" t="str" cm="1">
        <f t="array" ref="L674">_xlfn.IFS(C674&lt;0,"DATO INVALIDO", C674+J674&lt;I674,"PEDIR YA", C674&lt;I674,"EN CAMINO OK", TRUE,"SANO")</f>
        <v>SANO</v>
      </c>
    </row>
    <row r="675" spans="1:12" x14ac:dyDescent="0.45">
      <c r="A675" t="s">
        <v>1121</v>
      </c>
      <c r="B675" t="s">
        <v>31</v>
      </c>
      <c r="C675">
        <v>2519</v>
      </c>
      <c r="D675">
        <v>277.8</v>
      </c>
      <c r="E675">
        <v>23.8</v>
      </c>
      <c r="F675">
        <v>2.2000000000000002</v>
      </c>
      <c r="G675">
        <v>0.4</v>
      </c>
      <c r="H675">
        <f t="shared" si="30"/>
        <v>192.37770526752834</v>
      </c>
      <c r="I675">
        <f t="shared" si="31"/>
        <v>803.53770526752839</v>
      </c>
      <c r="J675">
        <f>SUMIFS(Transit_Clean[Quantity], Transit_Clean[Destination], A675, Transit_Clean[Item_Code], B675, Transit_Clean[SAP_Status], "In Transit")</f>
        <v>0</v>
      </c>
      <c r="K675">
        <f t="shared" si="32"/>
        <v>9.0676745860331174</v>
      </c>
      <c r="L675" t="str" cm="1">
        <f t="array" ref="L675">_xlfn.IFS(C675&lt;0,"DATO INVALIDO", C675+J675&lt;I675,"PEDIR YA", C675&lt;I675,"EN CAMINO OK", TRUE,"SANO")</f>
        <v>SANO</v>
      </c>
    </row>
    <row r="676" spans="1:12" x14ac:dyDescent="0.45">
      <c r="A676" t="s">
        <v>1123</v>
      </c>
      <c r="B676" t="s">
        <v>53</v>
      </c>
      <c r="C676">
        <v>2161</v>
      </c>
      <c r="D676">
        <v>287</v>
      </c>
      <c r="E676">
        <v>76.099999999999994</v>
      </c>
      <c r="F676">
        <v>0.7</v>
      </c>
      <c r="G676">
        <v>0.3</v>
      </c>
      <c r="H676">
        <f t="shared" si="30"/>
        <v>176.68916968082678</v>
      </c>
      <c r="I676">
        <f t="shared" si="31"/>
        <v>377.58916968082679</v>
      </c>
      <c r="J676">
        <f>SUMIFS(Transit_Clean[Quantity], Transit_Clean[Destination], A676, Transit_Clean[Item_Code], B676, Transit_Clean[SAP_Status], "In Transit")</f>
        <v>0</v>
      </c>
      <c r="K676">
        <f t="shared" si="32"/>
        <v>7.529616724738676</v>
      </c>
      <c r="L676" t="str" cm="1">
        <f t="array" ref="L676">_xlfn.IFS(C676&lt;0,"DATO INVALIDO", C676+J676&lt;I676,"PEDIR YA", C676&lt;I676,"EN CAMINO OK", TRUE,"SANO")</f>
        <v>SANO</v>
      </c>
    </row>
    <row r="677" spans="1:12" x14ac:dyDescent="0.45">
      <c r="A677" t="s">
        <v>1115</v>
      </c>
      <c r="B677" t="s">
        <v>35</v>
      </c>
      <c r="C677">
        <v>2697</v>
      </c>
      <c r="D677">
        <v>388.2</v>
      </c>
      <c r="E677">
        <v>72.400000000000006</v>
      </c>
      <c r="F677">
        <v>1</v>
      </c>
      <c r="G677">
        <v>0.6</v>
      </c>
      <c r="H677">
        <f t="shared" si="30"/>
        <v>402.45622957534152</v>
      </c>
      <c r="I677">
        <f t="shared" si="31"/>
        <v>790.65622957534151</v>
      </c>
      <c r="J677">
        <f>SUMIFS(Transit_Clean[Quantity], Transit_Clean[Destination], A677, Transit_Clean[Item_Code], B677, Transit_Clean[SAP_Status], "In Transit")</f>
        <v>0</v>
      </c>
      <c r="K677">
        <f t="shared" si="32"/>
        <v>6.9474497681607419</v>
      </c>
      <c r="L677" t="str" cm="1">
        <f t="array" ref="L677">_xlfn.IFS(C677&lt;0,"DATO INVALIDO", C677+J677&lt;I677,"PEDIR YA", C677&lt;I677,"EN CAMINO OK", TRUE,"SANO")</f>
        <v>SANO</v>
      </c>
    </row>
    <row r="678" spans="1:12" x14ac:dyDescent="0.45">
      <c r="A678" t="s">
        <v>1117</v>
      </c>
      <c r="B678" t="s">
        <v>23</v>
      </c>
      <c r="C678">
        <v>2597</v>
      </c>
      <c r="D678">
        <v>213.6</v>
      </c>
      <c r="E678">
        <v>60.4</v>
      </c>
      <c r="F678">
        <v>1.8</v>
      </c>
      <c r="G678">
        <v>0.5</v>
      </c>
      <c r="H678">
        <f t="shared" si="30"/>
        <v>221.20419634355943</v>
      </c>
      <c r="I678">
        <f t="shared" si="31"/>
        <v>605.68419634355951</v>
      </c>
      <c r="J678">
        <f>SUMIFS(Transit_Clean[Quantity], Transit_Clean[Destination], A678, Transit_Clean[Item_Code], B678, Transit_Clean[SAP_Status], "In Transit")</f>
        <v>3973</v>
      </c>
      <c r="K678">
        <f t="shared" si="32"/>
        <v>12.158239700374532</v>
      </c>
      <c r="L678" t="str" cm="1">
        <f t="array" ref="L678">_xlfn.IFS(C678&lt;0,"DATO INVALIDO", C678+J678&lt;I678,"PEDIR YA", C678&lt;I678,"EN CAMINO OK", TRUE,"SANO")</f>
        <v>SANO</v>
      </c>
    </row>
    <row r="679" spans="1:12" x14ac:dyDescent="0.45">
      <c r="A679" t="s">
        <v>1126</v>
      </c>
      <c r="B679" t="s">
        <v>103</v>
      </c>
      <c r="C679">
        <v>7289</v>
      </c>
      <c r="D679">
        <v>425.5</v>
      </c>
      <c r="E679">
        <v>70.5</v>
      </c>
      <c r="F679">
        <v>1</v>
      </c>
      <c r="G679">
        <v>0.2</v>
      </c>
      <c r="H679">
        <f t="shared" si="30"/>
        <v>182.34000616979259</v>
      </c>
      <c r="I679">
        <f t="shared" si="31"/>
        <v>607.84000616979256</v>
      </c>
      <c r="J679">
        <f>SUMIFS(Transit_Clean[Quantity], Transit_Clean[Destination], A679, Transit_Clean[Item_Code], B679, Transit_Clean[SAP_Status], "In Transit")</f>
        <v>0</v>
      </c>
      <c r="K679">
        <f t="shared" si="32"/>
        <v>17.130434782608695</v>
      </c>
      <c r="L679" t="str" cm="1">
        <f t="array" ref="L679">_xlfn.IFS(C679&lt;0,"DATO INVALIDO", C679+J679&lt;I679,"PEDIR YA", C679&lt;I679,"EN CAMINO OK", TRUE,"SANO")</f>
        <v>SANO</v>
      </c>
    </row>
    <row r="680" spans="1:12" x14ac:dyDescent="0.45">
      <c r="A680" t="s">
        <v>1115</v>
      </c>
      <c r="B680" t="s">
        <v>15</v>
      </c>
      <c r="C680">
        <v>3073</v>
      </c>
      <c r="D680">
        <v>607.6</v>
      </c>
      <c r="E680">
        <v>169.1</v>
      </c>
      <c r="F680">
        <v>1.2</v>
      </c>
      <c r="G680">
        <v>0.6</v>
      </c>
      <c r="H680">
        <f t="shared" si="30"/>
        <v>674.7224368923861</v>
      </c>
      <c r="I680">
        <f t="shared" si="31"/>
        <v>1403.8424368923861</v>
      </c>
      <c r="J680">
        <f>SUMIFS(Transit_Clean[Quantity], Transit_Clean[Destination], A680, Transit_Clean[Item_Code], B680, Transit_Clean[SAP_Status], "In Transit")</f>
        <v>0</v>
      </c>
      <c r="K680">
        <f t="shared" si="32"/>
        <v>5.0576036866359448</v>
      </c>
      <c r="L680" t="str" cm="1">
        <f t="array" ref="L680">_xlfn.IFS(C680&lt;0,"DATO INVALIDO", C680+J680&lt;I680,"PEDIR YA", C680&lt;I680,"EN CAMINO OK", TRUE,"SANO")</f>
        <v>SANO</v>
      </c>
    </row>
    <row r="681" spans="1:12" x14ac:dyDescent="0.45">
      <c r="A681" t="s">
        <v>1117</v>
      </c>
      <c r="B681" t="s">
        <v>81</v>
      </c>
      <c r="C681">
        <v>9248</v>
      </c>
      <c r="D681">
        <v>515.20000000000005</v>
      </c>
      <c r="E681">
        <v>99.5</v>
      </c>
      <c r="F681">
        <v>2.5</v>
      </c>
      <c r="G681">
        <v>0.5</v>
      </c>
      <c r="H681">
        <f t="shared" si="30"/>
        <v>498.03873158871886</v>
      </c>
      <c r="I681">
        <f t="shared" si="31"/>
        <v>1786.0387315887187</v>
      </c>
      <c r="J681">
        <f>SUMIFS(Transit_Clean[Quantity], Transit_Clean[Destination], A681, Transit_Clean[Item_Code], B681, Transit_Clean[SAP_Status], "In Transit")</f>
        <v>0</v>
      </c>
      <c r="K681">
        <f t="shared" si="32"/>
        <v>17.950310559006208</v>
      </c>
      <c r="L681" t="str" cm="1">
        <f t="array" ref="L681">_xlfn.IFS(C681&lt;0,"DATO INVALIDO", C681+J681&lt;I681,"PEDIR YA", C681&lt;I681,"EN CAMINO OK", TRUE,"SANO")</f>
        <v>SANO</v>
      </c>
    </row>
    <row r="682" spans="1:12" x14ac:dyDescent="0.45">
      <c r="A682" t="s">
        <v>1123</v>
      </c>
      <c r="B682" t="s">
        <v>36</v>
      </c>
      <c r="C682">
        <v>1626</v>
      </c>
      <c r="D682">
        <v>136.4</v>
      </c>
      <c r="E682">
        <v>54.7</v>
      </c>
      <c r="F682">
        <v>1</v>
      </c>
      <c r="G682">
        <v>0.3</v>
      </c>
      <c r="H682">
        <f t="shared" si="30"/>
        <v>112.71488521486415</v>
      </c>
      <c r="I682">
        <f t="shared" si="31"/>
        <v>249.11488521486416</v>
      </c>
      <c r="J682">
        <f>SUMIFS(Transit_Clean[Quantity], Transit_Clean[Destination], A682, Transit_Clean[Item_Code], B682, Transit_Clean[SAP_Status], "In Transit")</f>
        <v>0</v>
      </c>
      <c r="K682">
        <f t="shared" si="32"/>
        <v>11.920821114369501</v>
      </c>
      <c r="L682" t="str" cm="1">
        <f t="array" ref="L682">_xlfn.IFS(C682&lt;0,"DATO INVALIDO", C682+J682&lt;I682,"PEDIR YA", C682&lt;I682,"EN CAMINO OK", TRUE,"SANO")</f>
        <v>SANO</v>
      </c>
    </row>
    <row r="683" spans="1:12" x14ac:dyDescent="0.45">
      <c r="A683" t="s">
        <v>1117</v>
      </c>
      <c r="B683" t="s">
        <v>29</v>
      </c>
      <c r="D683">
        <v>1024.2</v>
      </c>
      <c r="E683">
        <v>267.7</v>
      </c>
      <c r="F683">
        <v>1.8</v>
      </c>
      <c r="G683">
        <v>0.5</v>
      </c>
      <c r="H683">
        <f t="shared" si="30"/>
        <v>1032.0619186221338</v>
      </c>
      <c r="I683">
        <f t="shared" si="31"/>
        <v>2875.6219186221342</v>
      </c>
      <c r="J683">
        <f>SUMIFS(Transit_Clean[Quantity], Transit_Clean[Destination], A683, Transit_Clean[Item_Code], B683, Transit_Clean[SAP_Status], "In Transit")</f>
        <v>0</v>
      </c>
      <c r="K683">
        <f t="shared" si="32"/>
        <v>0</v>
      </c>
      <c r="L683" t="str" cm="1">
        <f t="array" ref="L683">_xlfn.IFS(C683&lt;0,"DATO INVALIDO", C683+J683&lt;I683,"PEDIR YA", C683&lt;I683,"EN CAMINO OK", TRUE,"SANO")</f>
        <v>PEDIR YA</v>
      </c>
    </row>
    <row r="684" spans="1:12" x14ac:dyDescent="0.45">
      <c r="A684" t="s">
        <v>1123</v>
      </c>
      <c r="B684" t="s">
        <v>96</v>
      </c>
      <c r="C684">
        <v>1613</v>
      </c>
      <c r="D684">
        <v>483.8</v>
      </c>
      <c r="E684">
        <v>131.6</v>
      </c>
      <c r="F684">
        <v>0.8</v>
      </c>
      <c r="G684">
        <v>0.3</v>
      </c>
      <c r="H684">
        <f t="shared" si="30"/>
        <v>308.33581212859463</v>
      </c>
      <c r="I684">
        <f t="shared" si="31"/>
        <v>695.37581212859459</v>
      </c>
      <c r="J684">
        <f>SUMIFS(Transit_Clean[Quantity], Transit_Clean[Destination], A684, Transit_Clean[Item_Code], B684, Transit_Clean[SAP_Status], "In Transit")</f>
        <v>3899</v>
      </c>
      <c r="K684">
        <f t="shared" si="32"/>
        <v>3.33402232327408</v>
      </c>
      <c r="L684" t="str" cm="1">
        <f t="array" ref="L684">_xlfn.IFS(C684&lt;0,"DATO INVALIDO", C684+J684&lt;I684,"PEDIR YA", C684&lt;I684,"EN CAMINO OK", TRUE,"SANO")</f>
        <v>SANO</v>
      </c>
    </row>
    <row r="685" spans="1:12" x14ac:dyDescent="0.45">
      <c r="A685" t="s">
        <v>1115</v>
      </c>
      <c r="B685" t="s">
        <v>42</v>
      </c>
      <c r="D685">
        <v>236.3</v>
      </c>
      <c r="E685">
        <v>84.3</v>
      </c>
      <c r="F685">
        <v>1.7</v>
      </c>
      <c r="G685">
        <v>0.6</v>
      </c>
      <c r="H685">
        <f t="shared" si="30"/>
        <v>296.00191268216491</v>
      </c>
      <c r="I685">
        <f t="shared" si="31"/>
        <v>697.71191268216489</v>
      </c>
      <c r="J685">
        <f>SUMIFS(Transit_Clean[Quantity], Transit_Clean[Destination], A685, Transit_Clean[Item_Code], B685, Transit_Clean[SAP_Status], "In Transit")</f>
        <v>0</v>
      </c>
      <c r="K685">
        <f t="shared" si="32"/>
        <v>0</v>
      </c>
      <c r="L685" t="str" cm="1">
        <f t="array" ref="L685">_xlfn.IFS(C685&lt;0,"DATO INVALIDO", C685+J685&lt;I685,"PEDIR YA", C685&lt;I685,"EN CAMINO OK", TRUE,"SANO")</f>
        <v>PEDIR YA</v>
      </c>
    </row>
    <row r="686" spans="1:12" x14ac:dyDescent="0.45">
      <c r="A686" t="s">
        <v>1114</v>
      </c>
      <c r="B686" t="s">
        <v>5</v>
      </c>
      <c r="C686">
        <v>5824</v>
      </c>
      <c r="D686">
        <v>357</v>
      </c>
      <c r="E686">
        <v>41.6</v>
      </c>
      <c r="F686">
        <v>4.5999999999999996</v>
      </c>
      <c r="G686">
        <v>1.3</v>
      </c>
      <c r="H686">
        <f t="shared" si="30"/>
        <v>779.78760145631963</v>
      </c>
      <c r="I686">
        <f t="shared" si="31"/>
        <v>2421.9876014563197</v>
      </c>
      <c r="J686">
        <f>SUMIFS(Transit_Clean[Quantity], Transit_Clean[Destination], A686, Transit_Clean[Item_Code], B686, Transit_Clean[SAP_Status], "In Transit")</f>
        <v>2119</v>
      </c>
      <c r="K686">
        <f t="shared" si="32"/>
        <v>16.313725490196077</v>
      </c>
      <c r="L686" t="str" cm="1">
        <f t="array" ref="L686">_xlfn.IFS(C686&lt;0,"DATO INVALIDO", C686+J686&lt;I686,"PEDIR YA", C686&lt;I686,"EN CAMINO OK", TRUE,"SANO")</f>
        <v>SANO</v>
      </c>
    </row>
    <row r="687" spans="1:12" x14ac:dyDescent="0.45">
      <c r="A687" t="s">
        <v>1119</v>
      </c>
      <c r="B687" t="s">
        <v>78</v>
      </c>
      <c r="C687">
        <v>901</v>
      </c>
      <c r="D687">
        <v>244.4</v>
      </c>
      <c r="E687">
        <v>82.6</v>
      </c>
      <c r="F687">
        <v>3.1</v>
      </c>
      <c r="G687">
        <v>1</v>
      </c>
      <c r="H687">
        <f t="shared" si="30"/>
        <v>469.25581116273872</v>
      </c>
      <c r="I687">
        <f t="shared" si="31"/>
        <v>1226.8958111627387</v>
      </c>
      <c r="J687">
        <f>SUMIFS(Transit_Clean[Quantity], Transit_Clean[Destination], A687, Transit_Clean[Item_Code], B687, Transit_Clean[SAP_Status], "In Transit")</f>
        <v>0</v>
      </c>
      <c r="K687">
        <f t="shared" si="32"/>
        <v>3.6865793780687395</v>
      </c>
      <c r="L687" t="str" cm="1">
        <f t="array" ref="L687">_xlfn.IFS(C687&lt;0,"DATO INVALIDO", C687+J687&lt;I687,"PEDIR YA", C687&lt;I687,"EN CAMINO OK", TRUE,"SANO")</f>
        <v>PEDIR YA</v>
      </c>
    </row>
    <row r="688" spans="1:12" x14ac:dyDescent="0.45">
      <c r="A688" t="s">
        <v>1120</v>
      </c>
      <c r="B688" t="s">
        <v>80</v>
      </c>
      <c r="C688">
        <v>2033</v>
      </c>
      <c r="D688">
        <v>173.6</v>
      </c>
      <c r="E688">
        <v>22</v>
      </c>
      <c r="F688">
        <v>1.9</v>
      </c>
      <c r="G688">
        <v>0.5</v>
      </c>
      <c r="H688">
        <f t="shared" si="30"/>
        <v>151.70886394670549</v>
      </c>
      <c r="I688">
        <f t="shared" si="31"/>
        <v>481.54886394670547</v>
      </c>
      <c r="J688">
        <f>SUMIFS(Transit_Clean[Quantity], Transit_Clean[Destination], A688, Transit_Clean[Item_Code], B688, Transit_Clean[SAP_Status], "In Transit")</f>
        <v>0</v>
      </c>
      <c r="K688">
        <f t="shared" si="32"/>
        <v>11.710829493087559</v>
      </c>
      <c r="L688" t="str" cm="1">
        <f t="array" ref="L688">_xlfn.IFS(C688&lt;0,"DATO INVALIDO", C688+J688&lt;I688,"PEDIR YA", C688&lt;I688,"EN CAMINO OK", TRUE,"SANO")</f>
        <v>SANO</v>
      </c>
    </row>
    <row r="689" spans="1:12" x14ac:dyDescent="0.45">
      <c r="A689" t="s">
        <v>1123</v>
      </c>
      <c r="B689" t="s">
        <v>8</v>
      </c>
      <c r="C689">
        <v>6404</v>
      </c>
      <c r="D689">
        <v>393.9</v>
      </c>
      <c r="E689">
        <v>61.6</v>
      </c>
      <c r="F689">
        <v>1.1000000000000001</v>
      </c>
      <c r="G689">
        <v>0.3</v>
      </c>
      <c r="H689">
        <f t="shared" si="30"/>
        <v>222.21870744887792</v>
      </c>
      <c r="I689">
        <f t="shared" si="31"/>
        <v>655.50870744887789</v>
      </c>
      <c r="J689">
        <f>SUMIFS(Transit_Clean[Quantity], Transit_Clean[Destination], A689, Transit_Clean[Item_Code], B689, Transit_Clean[SAP_Status], "In Transit")</f>
        <v>688</v>
      </c>
      <c r="K689">
        <f t="shared" si="32"/>
        <v>16.25793348565626</v>
      </c>
      <c r="L689" t="str" cm="1">
        <f t="array" ref="L689">_xlfn.IFS(C689&lt;0,"DATO INVALIDO", C689+J689&lt;I689,"PEDIR YA", C689&lt;I689,"EN CAMINO OK", TRUE,"SANO")</f>
        <v>SANO</v>
      </c>
    </row>
    <row r="690" spans="1:12" x14ac:dyDescent="0.45">
      <c r="A690" t="s">
        <v>1114</v>
      </c>
      <c r="B690" t="s">
        <v>109</v>
      </c>
      <c r="C690">
        <v>3242</v>
      </c>
      <c r="D690">
        <v>464</v>
      </c>
      <c r="E690">
        <v>198.6</v>
      </c>
      <c r="F690">
        <v>5</v>
      </c>
      <c r="G690">
        <v>1.3</v>
      </c>
      <c r="H690">
        <f t="shared" si="30"/>
        <v>1235.9150289967349</v>
      </c>
      <c r="I690">
        <f t="shared" si="31"/>
        <v>3555.9150289967347</v>
      </c>
      <c r="J690">
        <f>SUMIFS(Transit_Clean[Quantity], Transit_Clean[Destination], A690, Transit_Clean[Item_Code], B690, Transit_Clean[SAP_Status], "In Transit")</f>
        <v>0</v>
      </c>
      <c r="K690">
        <f t="shared" si="32"/>
        <v>6.9870689655172411</v>
      </c>
      <c r="L690" t="str" cm="1">
        <f t="array" ref="L690">_xlfn.IFS(C690&lt;0,"DATO INVALIDO", C690+J690&lt;I690,"PEDIR YA", C690&lt;I690,"EN CAMINO OK", TRUE,"SANO")</f>
        <v>PEDIR YA</v>
      </c>
    </row>
    <row r="691" spans="1:12" x14ac:dyDescent="0.45">
      <c r="A691" t="s">
        <v>1116</v>
      </c>
      <c r="B691" t="s">
        <v>87</v>
      </c>
      <c r="C691">
        <v>1381</v>
      </c>
      <c r="D691">
        <v>591.6</v>
      </c>
      <c r="E691">
        <v>74.400000000000006</v>
      </c>
      <c r="F691">
        <v>4.4000000000000004</v>
      </c>
      <c r="G691">
        <v>1.6</v>
      </c>
      <c r="H691">
        <f t="shared" si="30"/>
        <v>1582.9094365806277</v>
      </c>
      <c r="I691">
        <f t="shared" si="31"/>
        <v>4185.9494365806277</v>
      </c>
      <c r="J691">
        <f>SUMIFS(Transit_Clean[Quantity], Transit_Clean[Destination], A691, Transit_Clean[Item_Code], B691, Transit_Clean[SAP_Status], "In Transit")</f>
        <v>2427</v>
      </c>
      <c r="K691">
        <f t="shared" si="32"/>
        <v>2.3343475321162948</v>
      </c>
      <c r="L691" t="str" cm="1">
        <f t="array" ref="L691">_xlfn.IFS(C691&lt;0,"DATO INVALIDO", C691+J691&lt;I691,"PEDIR YA", C691&lt;I691,"EN CAMINO OK", TRUE,"SANO")</f>
        <v>PEDIR YA</v>
      </c>
    </row>
    <row r="692" spans="1:12" x14ac:dyDescent="0.45">
      <c r="A692" t="s">
        <v>1125</v>
      </c>
      <c r="B692" t="s">
        <v>15</v>
      </c>
      <c r="C692">
        <v>6120</v>
      </c>
      <c r="D692">
        <v>865.9</v>
      </c>
      <c r="E692">
        <v>150.4</v>
      </c>
      <c r="F692">
        <v>5.2</v>
      </c>
      <c r="G692">
        <v>1.2</v>
      </c>
      <c r="H692">
        <f t="shared" si="30"/>
        <v>1805.4589813795271</v>
      </c>
      <c r="I692">
        <f t="shared" si="31"/>
        <v>6308.1389813795276</v>
      </c>
      <c r="J692">
        <f>SUMIFS(Transit_Clean[Quantity], Transit_Clean[Destination], A692, Transit_Clean[Item_Code], B692, Transit_Clean[SAP_Status], "In Transit")</f>
        <v>0</v>
      </c>
      <c r="K692">
        <f t="shared" si="32"/>
        <v>7.0677907379605038</v>
      </c>
      <c r="L692" t="str" cm="1">
        <f t="array" ref="L692">_xlfn.IFS(C692&lt;0,"DATO INVALIDO", C692+J692&lt;I692,"PEDIR YA", C692&lt;I692,"EN CAMINO OK", TRUE,"SANO")</f>
        <v>PEDIR YA</v>
      </c>
    </row>
    <row r="693" spans="1:12" x14ac:dyDescent="0.45">
      <c r="A693" t="s">
        <v>1118</v>
      </c>
      <c r="B693" t="s">
        <v>23</v>
      </c>
      <c r="C693">
        <v>2046</v>
      </c>
      <c r="D693">
        <v>177.6</v>
      </c>
      <c r="E693">
        <v>61.9</v>
      </c>
      <c r="F693">
        <v>6.2</v>
      </c>
      <c r="G693">
        <v>1.5</v>
      </c>
      <c r="H693">
        <f t="shared" si="30"/>
        <v>507.82738661379813</v>
      </c>
      <c r="I693">
        <f t="shared" si="31"/>
        <v>1608.947386613798</v>
      </c>
      <c r="J693">
        <f>SUMIFS(Transit_Clean[Quantity], Transit_Clean[Destination], A693, Transit_Clean[Item_Code], B693, Transit_Clean[SAP_Status], "In Transit")</f>
        <v>5610</v>
      </c>
      <c r="K693">
        <f t="shared" si="32"/>
        <v>11.52027027027027</v>
      </c>
      <c r="L693" t="str" cm="1">
        <f t="array" ref="L693">_xlfn.IFS(C693&lt;0,"DATO INVALIDO", C693+J693&lt;I693,"PEDIR YA", C693&lt;I693,"EN CAMINO OK", TRUE,"SANO")</f>
        <v>SANO</v>
      </c>
    </row>
    <row r="694" spans="1:12" x14ac:dyDescent="0.45">
      <c r="A694" t="s">
        <v>1127</v>
      </c>
      <c r="B694" t="s">
        <v>74</v>
      </c>
      <c r="C694">
        <v>1430</v>
      </c>
      <c r="D694">
        <v>151</v>
      </c>
      <c r="E694">
        <v>67</v>
      </c>
      <c r="F694">
        <v>3.1</v>
      </c>
      <c r="G694">
        <v>0.9</v>
      </c>
      <c r="H694">
        <f t="shared" si="30"/>
        <v>296.9299125635543</v>
      </c>
      <c r="I694">
        <f t="shared" si="31"/>
        <v>765.02991256355426</v>
      </c>
      <c r="J694">
        <f>SUMIFS(Transit_Clean[Quantity], Transit_Clean[Destination], A694, Transit_Clean[Item_Code], B694, Transit_Clean[SAP_Status], "In Transit")</f>
        <v>1498</v>
      </c>
      <c r="K694">
        <f t="shared" si="32"/>
        <v>9.4701986754966896</v>
      </c>
      <c r="L694" t="str" cm="1">
        <f t="array" ref="L694">_xlfn.IFS(C694&lt;0,"DATO INVALIDO", C694+J694&lt;I694,"PEDIR YA", C694&lt;I694,"EN CAMINO OK", TRUE,"SANO")</f>
        <v>SANO</v>
      </c>
    </row>
    <row r="695" spans="1:12" x14ac:dyDescent="0.45">
      <c r="A695" t="s">
        <v>1128</v>
      </c>
      <c r="B695" t="s">
        <v>29</v>
      </c>
      <c r="C695">
        <v>5260</v>
      </c>
      <c r="D695">
        <v>386.9</v>
      </c>
      <c r="E695">
        <v>77.8</v>
      </c>
      <c r="F695">
        <v>2.2999999999999998</v>
      </c>
      <c r="G695">
        <v>0.5</v>
      </c>
      <c r="H695">
        <f t="shared" si="30"/>
        <v>373.87862057925963</v>
      </c>
      <c r="I695">
        <f t="shared" si="31"/>
        <v>1263.7486205792595</v>
      </c>
      <c r="J695">
        <f>SUMIFS(Transit_Clean[Quantity], Transit_Clean[Destination], A695, Transit_Clean[Item_Code], B695, Transit_Clean[SAP_Status], "In Transit")</f>
        <v>0</v>
      </c>
      <c r="K695">
        <f t="shared" si="32"/>
        <v>13.59524424915999</v>
      </c>
      <c r="L695" t="str" cm="1">
        <f t="array" ref="L695">_xlfn.IFS(C695&lt;0,"DATO INVALIDO", C695+J695&lt;I695,"PEDIR YA", C695&lt;I695,"EN CAMINO OK", TRUE,"SANO")</f>
        <v>SANO</v>
      </c>
    </row>
    <row r="696" spans="1:12" x14ac:dyDescent="0.45">
      <c r="A696" t="s">
        <v>1127</v>
      </c>
      <c r="B696" t="s">
        <v>69</v>
      </c>
      <c r="C696">
        <v>9488</v>
      </c>
      <c r="D696">
        <v>709.9</v>
      </c>
      <c r="E696">
        <v>461.8</v>
      </c>
      <c r="F696">
        <v>2.4</v>
      </c>
      <c r="G696">
        <v>0.9</v>
      </c>
      <c r="H696">
        <f t="shared" si="30"/>
        <v>1582.6486270686394</v>
      </c>
      <c r="I696">
        <f t="shared" si="31"/>
        <v>3286.4086270686394</v>
      </c>
      <c r="J696">
        <f>SUMIFS(Transit_Clean[Quantity], Transit_Clean[Destination], A696, Transit_Clean[Item_Code], B696, Transit_Clean[SAP_Status], "In Transit")</f>
        <v>0</v>
      </c>
      <c r="K696">
        <f t="shared" si="32"/>
        <v>13.365262713058177</v>
      </c>
      <c r="L696" t="str" cm="1">
        <f t="array" ref="L696">_xlfn.IFS(C696&lt;0,"DATO INVALIDO", C696+J696&lt;I696,"PEDIR YA", C696&lt;I696,"EN CAMINO OK", TRUE,"SANO")</f>
        <v>SANO</v>
      </c>
    </row>
    <row r="697" spans="1:12" x14ac:dyDescent="0.45">
      <c r="A697" t="s">
        <v>1121</v>
      </c>
      <c r="B697" t="s">
        <v>105</v>
      </c>
      <c r="C697">
        <v>7350</v>
      </c>
      <c r="D697">
        <v>416.1</v>
      </c>
      <c r="E697">
        <v>46.9</v>
      </c>
      <c r="F697">
        <v>1.7</v>
      </c>
      <c r="G697">
        <v>0.4</v>
      </c>
      <c r="H697">
        <f t="shared" si="30"/>
        <v>292.5744090970706</v>
      </c>
      <c r="I697">
        <f t="shared" si="31"/>
        <v>999.94440909707055</v>
      </c>
      <c r="J697">
        <f>SUMIFS(Transit_Clean[Quantity], Transit_Clean[Destination], A697, Transit_Clean[Item_Code], B697, Transit_Clean[SAP_Status], "In Transit")</f>
        <v>2383</v>
      </c>
      <c r="K697">
        <f t="shared" si="32"/>
        <v>17.664023071377073</v>
      </c>
      <c r="L697" t="str" cm="1">
        <f t="array" ref="L697">_xlfn.IFS(C697&lt;0,"DATO INVALIDO", C697+J697&lt;I697,"PEDIR YA", C697&lt;I697,"EN CAMINO OK", TRUE,"SANO")</f>
        <v>SANO</v>
      </c>
    </row>
    <row r="698" spans="1:12" x14ac:dyDescent="0.45">
      <c r="A698" t="s">
        <v>1122</v>
      </c>
      <c r="B698" t="s">
        <v>22</v>
      </c>
      <c r="C698">
        <v>4397</v>
      </c>
      <c r="D698">
        <v>521.6</v>
      </c>
      <c r="E698">
        <v>339.8</v>
      </c>
      <c r="F698">
        <v>0.8</v>
      </c>
      <c r="G698">
        <v>0.2</v>
      </c>
      <c r="H698">
        <f t="shared" si="30"/>
        <v>530.19687617337013</v>
      </c>
      <c r="I698">
        <f t="shared" si="31"/>
        <v>947.4768761733701</v>
      </c>
      <c r="J698">
        <f>SUMIFS(Transit_Clean[Quantity], Transit_Clean[Destination], A698, Transit_Clean[Item_Code], B698, Transit_Clean[SAP_Status], "In Transit")</f>
        <v>1891</v>
      </c>
      <c r="K698">
        <f t="shared" si="32"/>
        <v>8.4298312883435571</v>
      </c>
      <c r="L698" t="str" cm="1">
        <f t="array" ref="L698">_xlfn.IFS(C698&lt;0,"DATO INVALIDO", C698+J698&lt;I698,"PEDIR YA", C698&lt;I698,"EN CAMINO OK", TRUE,"SANO")</f>
        <v>SANO</v>
      </c>
    </row>
    <row r="699" spans="1:12" x14ac:dyDescent="0.45">
      <c r="A699" t="s">
        <v>1115</v>
      </c>
      <c r="B699" t="s">
        <v>100</v>
      </c>
      <c r="C699">
        <v>2544</v>
      </c>
      <c r="D699">
        <v>243.8</v>
      </c>
      <c r="E699">
        <v>34.5</v>
      </c>
      <c r="F699">
        <v>1.6</v>
      </c>
      <c r="G699">
        <v>0.6</v>
      </c>
      <c r="H699">
        <f t="shared" si="30"/>
        <v>251.87366683319635</v>
      </c>
      <c r="I699">
        <f t="shared" si="31"/>
        <v>641.95366683319639</v>
      </c>
      <c r="J699">
        <f>SUMIFS(Transit_Clean[Quantity], Transit_Clean[Destination], A699, Transit_Clean[Item_Code], B699, Transit_Clean[SAP_Status], "In Transit")</f>
        <v>4177</v>
      </c>
      <c r="K699">
        <f t="shared" si="32"/>
        <v>10.434782608695652</v>
      </c>
      <c r="L699" t="str" cm="1">
        <f t="array" ref="L699">_xlfn.IFS(C699&lt;0,"DATO INVALIDO", C699+J699&lt;I699,"PEDIR YA", C699&lt;I699,"EN CAMINO OK", TRUE,"SANO")</f>
        <v>SANO</v>
      </c>
    </row>
    <row r="700" spans="1:12" x14ac:dyDescent="0.45">
      <c r="A700" t="s">
        <v>1116</v>
      </c>
      <c r="B700" t="s">
        <v>80</v>
      </c>
      <c r="C700">
        <v>2224</v>
      </c>
      <c r="D700">
        <v>189.5</v>
      </c>
      <c r="E700">
        <v>16.8</v>
      </c>
      <c r="F700">
        <v>6.2</v>
      </c>
      <c r="G700">
        <v>1.6</v>
      </c>
      <c r="H700">
        <f t="shared" si="30"/>
        <v>505.01895853522183</v>
      </c>
      <c r="I700">
        <f t="shared" si="31"/>
        <v>1679.9189585352219</v>
      </c>
      <c r="J700">
        <f>SUMIFS(Transit_Clean[Quantity], Transit_Clean[Destination], A700, Transit_Clean[Item_Code], B700, Transit_Clean[SAP_Status], "In Transit")</f>
        <v>2269</v>
      </c>
      <c r="K700">
        <f t="shared" si="32"/>
        <v>11.736147757255937</v>
      </c>
      <c r="L700" t="str" cm="1">
        <f t="array" ref="L700">_xlfn.IFS(C700&lt;0,"DATO INVALIDO", C700+J700&lt;I700,"PEDIR YA", C700&lt;I700,"EN CAMINO OK", TRUE,"SANO")</f>
        <v>SANO</v>
      </c>
    </row>
    <row r="701" spans="1:12" x14ac:dyDescent="0.45">
      <c r="A701" t="s">
        <v>1126</v>
      </c>
      <c r="B701" t="s">
        <v>67</v>
      </c>
      <c r="C701">
        <v>1156</v>
      </c>
      <c r="D701">
        <v>345.5</v>
      </c>
      <c r="E701">
        <v>122.1</v>
      </c>
      <c r="F701">
        <v>0.8</v>
      </c>
      <c r="G701">
        <v>0.2</v>
      </c>
      <c r="H701">
        <f t="shared" si="30"/>
        <v>213.23681015481355</v>
      </c>
      <c r="I701">
        <f t="shared" si="31"/>
        <v>489.63681015481359</v>
      </c>
      <c r="J701">
        <f>SUMIFS(Transit_Clean[Quantity], Transit_Clean[Destination], A701, Transit_Clean[Item_Code], B701, Transit_Clean[SAP_Status], "In Transit")</f>
        <v>582</v>
      </c>
      <c r="K701">
        <f t="shared" si="32"/>
        <v>3.345875542691751</v>
      </c>
      <c r="L701" t="str" cm="1">
        <f t="array" ref="L701">_xlfn.IFS(C701&lt;0,"DATO INVALIDO", C701+J701&lt;I701,"PEDIR YA", C701&lt;I701,"EN CAMINO OK", TRUE,"SANO")</f>
        <v>SANO</v>
      </c>
    </row>
    <row r="702" spans="1:12" x14ac:dyDescent="0.45">
      <c r="A702" t="s">
        <v>1115</v>
      </c>
      <c r="B702" t="s">
        <v>23</v>
      </c>
      <c r="C702">
        <v>1032</v>
      </c>
      <c r="D702">
        <v>295.2</v>
      </c>
      <c r="E702">
        <v>115</v>
      </c>
      <c r="F702">
        <v>1.2</v>
      </c>
      <c r="G702">
        <v>0.6</v>
      </c>
      <c r="H702">
        <f t="shared" si="30"/>
        <v>358.62929119635498</v>
      </c>
      <c r="I702">
        <f t="shared" si="31"/>
        <v>712.86929119635488</v>
      </c>
      <c r="J702">
        <f>SUMIFS(Transit_Clean[Quantity], Transit_Clean[Destination], A702, Transit_Clean[Item_Code], B702, Transit_Clean[SAP_Status], "In Transit")</f>
        <v>0</v>
      </c>
      <c r="K702">
        <f t="shared" si="32"/>
        <v>3.4959349593495936</v>
      </c>
      <c r="L702" t="str" cm="1">
        <f t="array" ref="L702">_xlfn.IFS(C702&lt;0,"DATO INVALIDO", C702+J702&lt;I702,"PEDIR YA", C702&lt;I702,"EN CAMINO OK", TRUE,"SANO")</f>
        <v>SANO</v>
      </c>
    </row>
    <row r="703" spans="1:12" x14ac:dyDescent="0.45">
      <c r="A703" t="s">
        <v>1116</v>
      </c>
      <c r="B703" t="s">
        <v>89</v>
      </c>
      <c r="C703">
        <v>646</v>
      </c>
      <c r="D703">
        <v>268</v>
      </c>
      <c r="E703">
        <v>35.799999999999997</v>
      </c>
      <c r="F703">
        <v>7.9</v>
      </c>
      <c r="G703">
        <v>1.6</v>
      </c>
      <c r="H703">
        <f t="shared" si="30"/>
        <v>726.73911626525239</v>
      </c>
      <c r="I703">
        <f t="shared" si="31"/>
        <v>2843.9391162652528</v>
      </c>
      <c r="J703">
        <f>SUMIFS(Transit_Clean[Quantity], Transit_Clean[Destination], A703, Transit_Clean[Item_Code], B703, Transit_Clean[SAP_Status], "In Transit")</f>
        <v>1515</v>
      </c>
      <c r="K703">
        <f t="shared" si="32"/>
        <v>2.41044776119403</v>
      </c>
      <c r="L703" t="str" cm="1">
        <f t="array" ref="L703">_xlfn.IFS(C703&lt;0,"DATO INVALIDO", C703+J703&lt;I703,"PEDIR YA", C703&lt;I703,"EN CAMINO OK", TRUE,"SANO")</f>
        <v>PEDIR YA</v>
      </c>
    </row>
    <row r="704" spans="1:12" x14ac:dyDescent="0.45">
      <c r="A704" t="s">
        <v>1117</v>
      </c>
      <c r="B704" t="s">
        <v>1133</v>
      </c>
      <c r="C704">
        <v>4947</v>
      </c>
      <c r="D704">
        <v>487.8</v>
      </c>
      <c r="E704">
        <v>122.6</v>
      </c>
      <c r="F704">
        <v>1.8</v>
      </c>
      <c r="G704">
        <v>0.5</v>
      </c>
      <c r="H704">
        <f t="shared" si="30"/>
        <v>485.39897878446345</v>
      </c>
      <c r="I704">
        <f t="shared" si="31"/>
        <v>1363.4389787844634</v>
      </c>
      <c r="J704">
        <f>SUMIFS(Transit_Clean[Quantity], Transit_Clean[Destination], A704, Transit_Clean[Item_Code], B704, Transit_Clean[SAP_Status], "In Transit")</f>
        <v>448</v>
      </c>
      <c r="K704">
        <f t="shared" si="32"/>
        <v>10.141451414514146</v>
      </c>
      <c r="L704" t="str" cm="1">
        <f t="array" ref="L704">_xlfn.IFS(C704&lt;0,"DATO INVALIDO", C704+J704&lt;I704,"PEDIR YA", C704&lt;I704,"EN CAMINO OK", TRUE,"SANO")</f>
        <v>SANO</v>
      </c>
    </row>
    <row r="705" spans="1:12" x14ac:dyDescent="0.45">
      <c r="A705" t="s">
        <v>1127</v>
      </c>
      <c r="B705" t="s">
        <v>1137</v>
      </c>
      <c r="C705">
        <v>2495</v>
      </c>
      <c r="D705">
        <v>252.8</v>
      </c>
      <c r="E705">
        <v>24.3</v>
      </c>
      <c r="F705">
        <v>3.9</v>
      </c>
      <c r="G705">
        <v>0.9</v>
      </c>
      <c r="H705">
        <f t="shared" si="30"/>
        <v>383.66761872941527</v>
      </c>
      <c r="I705">
        <f t="shared" si="31"/>
        <v>1369.5876187294152</v>
      </c>
      <c r="J705">
        <f>SUMIFS(Transit_Clean[Quantity], Transit_Clean[Destination], A705, Transit_Clean[Item_Code], B705, Transit_Clean[SAP_Status], "In Transit")</f>
        <v>2045</v>
      </c>
      <c r="K705">
        <f t="shared" si="32"/>
        <v>9.8694620253164551</v>
      </c>
      <c r="L705" t="str" cm="1">
        <f t="array" ref="L705">_xlfn.IFS(C705&lt;0,"DATO INVALIDO", C705+J705&lt;I705,"PEDIR YA", C705&lt;I705,"EN CAMINO OK", TRUE,"SANO")</f>
        <v>SANO</v>
      </c>
    </row>
    <row r="706" spans="1:12" x14ac:dyDescent="0.45">
      <c r="A706" t="s">
        <v>1126</v>
      </c>
      <c r="B706" t="s">
        <v>65</v>
      </c>
      <c r="C706">
        <v>4548</v>
      </c>
      <c r="D706">
        <v>399.7</v>
      </c>
      <c r="E706">
        <v>163.9</v>
      </c>
      <c r="F706">
        <v>1.3</v>
      </c>
      <c r="G706">
        <v>0.2</v>
      </c>
      <c r="H706">
        <f t="shared" si="30"/>
        <v>335.37067521400849</v>
      </c>
      <c r="I706">
        <f t="shared" si="31"/>
        <v>854.98067521400844</v>
      </c>
      <c r="J706">
        <f>SUMIFS(Transit_Clean[Quantity], Transit_Clean[Destination], A706, Transit_Clean[Item_Code], B706, Transit_Clean[SAP_Status], "In Transit")</f>
        <v>1917</v>
      </c>
      <c r="K706">
        <f t="shared" si="32"/>
        <v>11.378533900425319</v>
      </c>
      <c r="L706" t="str" cm="1">
        <f t="array" ref="L706">_xlfn.IFS(C706&lt;0,"DATO INVALIDO", C706+J706&lt;I706,"PEDIR YA", C706&lt;I706,"EN CAMINO OK", TRUE,"SANO")</f>
        <v>SANO</v>
      </c>
    </row>
    <row r="707" spans="1:12" x14ac:dyDescent="0.45">
      <c r="A707" t="s">
        <v>1123</v>
      </c>
      <c r="B707" t="s">
        <v>68</v>
      </c>
      <c r="C707">
        <v>564</v>
      </c>
      <c r="D707">
        <v>158.4</v>
      </c>
      <c r="E707">
        <v>16.600000000000001</v>
      </c>
      <c r="F707">
        <v>0.9</v>
      </c>
      <c r="G707">
        <v>0.3</v>
      </c>
      <c r="H707">
        <f t="shared" ref="H707:H770" si="33">IFERROR(1.65*SQRT(F707*E707^2 + D707^2*G707^2), "")</f>
        <v>82.60148518035254</v>
      </c>
      <c r="I707">
        <f t="shared" ref="I707:I770" si="34">IFERROR(D707*F707 + H707, "")</f>
        <v>225.16148518035254</v>
      </c>
      <c r="J707">
        <f>SUMIFS(Transit_Clean[Quantity], Transit_Clean[Destination], A707, Transit_Clean[Item_Code], B707, Transit_Clean[SAP_Status], "In Transit")</f>
        <v>1007</v>
      </c>
      <c r="K707">
        <f t="shared" ref="K707:K770" si="35">IFERROR(C707/D707, "")</f>
        <v>3.5606060606060606</v>
      </c>
      <c r="L707" t="str" cm="1">
        <f t="array" ref="L707">_xlfn.IFS(C707&lt;0,"DATO INVALIDO", C707+J707&lt;I707,"PEDIR YA", C707&lt;I707,"EN CAMINO OK", TRUE,"SANO")</f>
        <v>SANO</v>
      </c>
    </row>
    <row r="708" spans="1:12" x14ac:dyDescent="0.45">
      <c r="A708" t="s">
        <v>1123</v>
      </c>
      <c r="B708" t="s">
        <v>71</v>
      </c>
      <c r="C708">
        <v>118</v>
      </c>
      <c r="D708">
        <v>230.4</v>
      </c>
      <c r="E708">
        <v>27.7</v>
      </c>
      <c r="F708">
        <v>1</v>
      </c>
      <c r="G708">
        <v>0.3</v>
      </c>
      <c r="H708">
        <f t="shared" si="33"/>
        <v>122.86534633085115</v>
      </c>
      <c r="I708">
        <f t="shared" si="34"/>
        <v>353.26534633085117</v>
      </c>
      <c r="J708">
        <f>SUMIFS(Transit_Clean[Quantity], Transit_Clean[Destination], A708, Transit_Clean[Item_Code], B708, Transit_Clean[SAP_Status], "In Transit")</f>
        <v>3487</v>
      </c>
      <c r="K708">
        <f t="shared" si="35"/>
        <v>0.51215277777777779</v>
      </c>
      <c r="L708" t="str" cm="1">
        <f t="array" ref="L708">_xlfn.IFS(C708&lt;0,"DATO INVALIDO", C708+J708&lt;I708,"PEDIR YA", C708&lt;I708,"EN CAMINO OK", TRUE,"SANO")</f>
        <v>EN CAMINO OK</v>
      </c>
    </row>
    <row r="709" spans="1:12" x14ac:dyDescent="0.45">
      <c r="A709" t="s">
        <v>1127</v>
      </c>
      <c r="B709" t="s">
        <v>63</v>
      </c>
      <c r="C709">
        <v>1064</v>
      </c>
      <c r="D709">
        <v>1029.2</v>
      </c>
      <c r="E709">
        <v>206.2</v>
      </c>
      <c r="F709">
        <v>5.4</v>
      </c>
      <c r="G709">
        <v>0.9</v>
      </c>
      <c r="H709">
        <f t="shared" si="33"/>
        <v>1720.748455964439</v>
      </c>
      <c r="I709">
        <f t="shared" si="34"/>
        <v>7278.4284559644393</v>
      </c>
      <c r="J709">
        <f>SUMIFS(Transit_Clean[Quantity], Transit_Clean[Destination], A709, Transit_Clean[Item_Code], B709, Transit_Clean[SAP_Status], "In Transit")</f>
        <v>1441</v>
      </c>
      <c r="K709">
        <f t="shared" si="35"/>
        <v>1.0338126700349786</v>
      </c>
      <c r="L709" t="str" cm="1">
        <f t="array" ref="L709">_xlfn.IFS(C709&lt;0,"DATO INVALIDO", C709+J709&lt;I709,"PEDIR YA", C709&lt;I709,"EN CAMINO OK", TRUE,"SANO")</f>
        <v>PEDIR YA</v>
      </c>
    </row>
    <row r="710" spans="1:12" x14ac:dyDescent="0.45">
      <c r="A710" t="s">
        <v>1118</v>
      </c>
      <c r="B710" t="s">
        <v>10</v>
      </c>
      <c r="C710">
        <v>1624</v>
      </c>
      <c r="D710">
        <v>384.3</v>
      </c>
      <c r="E710">
        <v>60.7</v>
      </c>
      <c r="F710">
        <v>3.7</v>
      </c>
      <c r="G710">
        <v>1.5</v>
      </c>
      <c r="H710">
        <f t="shared" si="33"/>
        <v>970.45702851736303</v>
      </c>
      <c r="I710">
        <f t="shared" si="34"/>
        <v>2392.367028517363</v>
      </c>
      <c r="J710">
        <f>SUMIFS(Transit_Clean[Quantity], Transit_Clean[Destination], A710, Transit_Clean[Item_Code], B710, Transit_Clean[SAP_Status], "In Transit")</f>
        <v>1514</v>
      </c>
      <c r="K710">
        <f t="shared" si="35"/>
        <v>4.2258652094717668</v>
      </c>
      <c r="L710" t="str" cm="1">
        <f t="array" ref="L710">_xlfn.IFS(C710&lt;0,"DATO INVALIDO", C710+J710&lt;I710,"PEDIR YA", C710&lt;I710,"EN CAMINO OK", TRUE,"SANO")</f>
        <v>EN CAMINO OK</v>
      </c>
    </row>
    <row r="711" spans="1:12" x14ac:dyDescent="0.45">
      <c r="A711" t="s">
        <v>1121</v>
      </c>
      <c r="B711" t="s">
        <v>107</v>
      </c>
      <c r="C711">
        <v>1206</v>
      </c>
      <c r="D711">
        <v>511.1</v>
      </c>
      <c r="E711">
        <v>234.5</v>
      </c>
      <c r="F711">
        <v>2.8</v>
      </c>
      <c r="G711">
        <v>0.4</v>
      </c>
      <c r="H711">
        <f t="shared" si="33"/>
        <v>730.05445415119539</v>
      </c>
      <c r="I711">
        <f t="shared" si="34"/>
        <v>2161.1344541511953</v>
      </c>
      <c r="J711">
        <f>SUMIFS(Transit_Clean[Quantity], Transit_Clean[Destination], A711, Transit_Clean[Item_Code], B711, Transit_Clean[SAP_Status], "In Transit")</f>
        <v>2718</v>
      </c>
      <c r="K711">
        <f t="shared" si="35"/>
        <v>2.3596165134024654</v>
      </c>
      <c r="L711" t="str" cm="1">
        <f t="array" ref="L711">_xlfn.IFS(C711&lt;0,"DATO INVALIDO", C711+J711&lt;I711,"PEDIR YA", C711&lt;I711,"EN CAMINO OK", TRUE,"SANO")</f>
        <v>EN CAMINO OK</v>
      </c>
    </row>
    <row r="712" spans="1:12" x14ac:dyDescent="0.45">
      <c r="A712" t="s">
        <v>1126</v>
      </c>
      <c r="B712" t="s">
        <v>18</v>
      </c>
      <c r="C712">
        <v>3160</v>
      </c>
      <c r="E712">
        <v>30.8</v>
      </c>
      <c r="F712">
        <v>0.9</v>
      </c>
      <c r="G712">
        <v>0.2</v>
      </c>
      <c r="H712">
        <f t="shared" si="33"/>
        <v>48.212085206927114</v>
      </c>
      <c r="I712">
        <f t="shared" si="34"/>
        <v>48.212085206927114</v>
      </c>
      <c r="J712">
        <f>SUMIFS(Transit_Clean[Quantity], Transit_Clean[Destination], A712, Transit_Clean[Item_Code], B712, Transit_Clean[SAP_Status], "In Transit")</f>
        <v>0</v>
      </c>
      <c r="K712" t="str">
        <f t="shared" si="35"/>
        <v/>
      </c>
      <c r="L712" t="str" cm="1">
        <f t="array" ref="L712">_xlfn.IFS(C712&lt;0,"DATO INVALIDO", C712+J712&lt;I712,"PEDIR YA", C712&lt;I712,"EN CAMINO OK", TRUE,"SANO")</f>
        <v>SANO</v>
      </c>
    </row>
    <row r="713" spans="1:12" x14ac:dyDescent="0.45">
      <c r="A713" t="s">
        <v>1117</v>
      </c>
      <c r="B713" t="s">
        <v>109</v>
      </c>
      <c r="C713">
        <v>7151</v>
      </c>
      <c r="D713">
        <v>529.4</v>
      </c>
      <c r="E713">
        <v>317.7</v>
      </c>
      <c r="F713">
        <v>2.2999999999999998</v>
      </c>
      <c r="G713">
        <v>0.5</v>
      </c>
      <c r="H713">
        <f t="shared" si="33"/>
        <v>907.06888309681312</v>
      </c>
      <c r="I713">
        <f t="shared" si="34"/>
        <v>2124.6888830968128</v>
      </c>
      <c r="J713">
        <f>SUMIFS(Transit_Clean[Quantity], Transit_Clean[Destination], A713, Transit_Clean[Item_Code], B713, Transit_Clean[SAP_Status], "In Transit")</f>
        <v>2617</v>
      </c>
      <c r="K713">
        <f t="shared" si="35"/>
        <v>13.507744616547035</v>
      </c>
      <c r="L713" t="str" cm="1">
        <f t="array" ref="L713">_xlfn.IFS(C713&lt;0,"DATO INVALIDO", C713+J713&lt;I713,"PEDIR YA", C713&lt;I713,"EN CAMINO OK", TRUE,"SANO")</f>
        <v>SANO</v>
      </c>
    </row>
    <row r="714" spans="1:12" x14ac:dyDescent="0.45">
      <c r="A714" t="s">
        <v>1126</v>
      </c>
      <c r="B714" t="s">
        <v>22</v>
      </c>
      <c r="C714">
        <v>5356</v>
      </c>
      <c r="D714">
        <v>316.39999999999998</v>
      </c>
      <c r="E714">
        <v>128.30000000000001</v>
      </c>
      <c r="F714">
        <v>1</v>
      </c>
      <c r="G714">
        <v>0.2</v>
      </c>
      <c r="H714">
        <f t="shared" si="33"/>
        <v>236.04372215545155</v>
      </c>
      <c r="I714">
        <f t="shared" si="34"/>
        <v>552.4437221554515</v>
      </c>
      <c r="J714">
        <f>SUMIFS(Transit_Clean[Quantity], Transit_Clean[Destination], A714, Transit_Clean[Item_Code], B714, Transit_Clean[SAP_Status], "In Transit")</f>
        <v>1705</v>
      </c>
      <c r="K714">
        <f t="shared" si="35"/>
        <v>16.927939317319851</v>
      </c>
      <c r="L714" t="str" cm="1">
        <f t="array" ref="L714">_xlfn.IFS(C714&lt;0,"DATO INVALIDO", C714+J714&lt;I714,"PEDIR YA", C714&lt;I714,"EN CAMINO OK", TRUE,"SANO")</f>
        <v>SANO</v>
      </c>
    </row>
    <row r="715" spans="1:12" x14ac:dyDescent="0.45">
      <c r="A715" t="s">
        <v>1125</v>
      </c>
      <c r="B715" t="s">
        <v>37</v>
      </c>
      <c r="C715">
        <v>625</v>
      </c>
      <c r="D715">
        <v>259.8</v>
      </c>
      <c r="E715">
        <v>137.5</v>
      </c>
      <c r="F715">
        <v>2.8</v>
      </c>
      <c r="G715">
        <v>1.2</v>
      </c>
      <c r="H715">
        <f t="shared" si="33"/>
        <v>639.32293793199688</v>
      </c>
      <c r="I715">
        <f t="shared" si="34"/>
        <v>1366.7629379319969</v>
      </c>
      <c r="J715">
        <f>SUMIFS(Transit_Clean[Quantity], Transit_Clean[Destination], A715, Transit_Clean[Item_Code], B715, Transit_Clean[SAP_Status], "In Transit")</f>
        <v>2592</v>
      </c>
      <c r="K715">
        <f t="shared" si="35"/>
        <v>2.405696689761355</v>
      </c>
      <c r="L715" t="str" cm="1">
        <f t="array" ref="L715">_xlfn.IFS(C715&lt;0,"DATO INVALIDO", C715+J715&lt;I715,"PEDIR YA", C715&lt;I715,"EN CAMINO OK", TRUE,"SANO")</f>
        <v>EN CAMINO OK</v>
      </c>
    </row>
    <row r="716" spans="1:12" x14ac:dyDescent="0.45">
      <c r="A716" t="s">
        <v>1125</v>
      </c>
      <c r="B716" t="s">
        <v>93</v>
      </c>
      <c r="C716">
        <v>2592</v>
      </c>
      <c r="D716">
        <v>189.6</v>
      </c>
      <c r="E716">
        <v>32.799999999999997</v>
      </c>
      <c r="F716">
        <v>0.6</v>
      </c>
      <c r="G716">
        <v>1.2</v>
      </c>
      <c r="H716">
        <f t="shared" si="33"/>
        <v>377.74138124383455</v>
      </c>
      <c r="I716">
        <f t="shared" si="34"/>
        <v>491.50138124383454</v>
      </c>
      <c r="J716">
        <f>SUMIFS(Transit_Clean[Quantity], Transit_Clean[Destination], A716, Transit_Clean[Item_Code], B716, Transit_Clean[SAP_Status], "In Transit")</f>
        <v>1990</v>
      </c>
      <c r="K716">
        <f t="shared" si="35"/>
        <v>13.670886075949367</v>
      </c>
      <c r="L716" t="str" cm="1">
        <f t="array" ref="L716">_xlfn.IFS(C716&lt;0,"DATO INVALIDO", C716+J716&lt;I716,"PEDIR YA", C716&lt;I716,"EN CAMINO OK", TRUE,"SANO")</f>
        <v>SANO</v>
      </c>
    </row>
    <row r="717" spans="1:12" x14ac:dyDescent="0.45">
      <c r="A717" t="s">
        <v>1119</v>
      </c>
      <c r="B717" t="s">
        <v>1141</v>
      </c>
      <c r="C717">
        <v>631</v>
      </c>
      <c r="D717">
        <v>210.7</v>
      </c>
      <c r="E717">
        <v>27.1</v>
      </c>
      <c r="F717">
        <v>2.6</v>
      </c>
      <c r="G717">
        <v>1</v>
      </c>
      <c r="H717">
        <f t="shared" si="33"/>
        <v>355.05284143349701</v>
      </c>
      <c r="I717">
        <f t="shared" si="34"/>
        <v>902.87284143349689</v>
      </c>
      <c r="J717">
        <f>SUMIFS(Transit_Clean[Quantity], Transit_Clean[Destination], A717, Transit_Clean[Item_Code], B717, Transit_Clean[SAP_Status], "In Transit")</f>
        <v>0</v>
      </c>
      <c r="K717">
        <f t="shared" si="35"/>
        <v>2.9947793070716662</v>
      </c>
      <c r="L717" t="str" cm="1">
        <f t="array" ref="L717">_xlfn.IFS(C717&lt;0,"DATO INVALIDO", C717+J717&lt;I717,"PEDIR YA", C717&lt;I717,"EN CAMINO OK", TRUE,"SANO")</f>
        <v>PEDIR YA</v>
      </c>
    </row>
    <row r="718" spans="1:12" x14ac:dyDescent="0.45">
      <c r="A718" t="s">
        <v>1115</v>
      </c>
      <c r="B718" t="s">
        <v>61</v>
      </c>
      <c r="C718">
        <v>1908</v>
      </c>
      <c r="D718">
        <v>564.1</v>
      </c>
      <c r="E718">
        <v>72.599999999999994</v>
      </c>
      <c r="F718">
        <v>0.9</v>
      </c>
      <c r="G718">
        <v>0.6</v>
      </c>
      <c r="H718">
        <f t="shared" si="33"/>
        <v>569.90449583329303</v>
      </c>
      <c r="I718">
        <f t="shared" si="34"/>
        <v>1077.594495833293</v>
      </c>
      <c r="J718">
        <f>SUMIFS(Transit_Clean[Quantity], Transit_Clean[Destination], A718, Transit_Clean[Item_Code], B718, Transit_Clean[SAP_Status], "In Transit")</f>
        <v>1720</v>
      </c>
      <c r="K718">
        <f t="shared" si="35"/>
        <v>3.3823790108136853</v>
      </c>
      <c r="L718" t="str" cm="1">
        <f t="array" ref="L718">_xlfn.IFS(C718&lt;0,"DATO INVALIDO", C718+J718&lt;I718,"PEDIR YA", C718&lt;I718,"EN CAMINO OK", TRUE,"SANO")</f>
        <v>SANO</v>
      </c>
    </row>
    <row r="719" spans="1:12" x14ac:dyDescent="0.45">
      <c r="A719" t="s">
        <v>1128</v>
      </c>
      <c r="B719" t="s">
        <v>88</v>
      </c>
      <c r="C719">
        <v>499</v>
      </c>
      <c r="D719">
        <v>109.7</v>
      </c>
      <c r="E719">
        <v>52</v>
      </c>
      <c r="F719">
        <v>3.1</v>
      </c>
      <c r="G719">
        <v>0.5</v>
      </c>
      <c r="H719">
        <f t="shared" si="33"/>
        <v>176.10163686419841</v>
      </c>
      <c r="I719">
        <f t="shared" si="34"/>
        <v>516.17163686419838</v>
      </c>
      <c r="J719">
        <f>SUMIFS(Transit_Clean[Quantity], Transit_Clean[Destination], A719, Transit_Clean[Item_Code], B719, Transit_Clean[SAP_Status], "In Transit")</f>
        <v>1859</v>
      </c>
      <c r="K719">
        <f t="shared" si="35"/>
        <v>4.5487693710118506</v>
      </c>
      <c r="L719" t="str" cm="1">
        <f t="array" ref="L719">_xlfn.IFS(C719&lt;0,"DATO INVALIDO", C719+J719&lt;I719,"PEDIR YA", C719&lt;I719,"EN CAMINO OK", TRUE,"SANO")</f>
        <v>EN CAMINO OK</v>
      </c>
    </row>
    <row r="720" spans="1:12" x14ac:dyDescent="0.45">
      <c r="A720" t="s">
        <v>1125</v>
      </c>
      <c r="B720" t="s">
        <v>45</v>
      </c>
      <c r="D720">
        <v>520.79999999999995</v>
      </c>
      <c r="E720">
        <v>75</v>
      </c>
      <c r="F720">
        <v>3.5</v>
      </c>
      <c r="G720">
        <v>1.2</v>
      </c>
      <c r="H720">
        <f t="shared" si="33"/>
        <v>1056.8536609228354</v>
      </c>
      <c r="I720">
        <f t="shared" si="34"/>
        <v>2879.6536609228351</v>
      </c>
      <c r="J720">
        <f>SUMIFS(Transit_Clean[Quantity], Transit_Clean[Destination], A720, Transit_Clean[Item_Code], B720, Transit_Clean[SAP_Status], "In Transit")</f>
        <v>1692</v>
      </c>
      <c r="K720">
        <f t="shared" si="35"/>
        <v>0</v>
      </c>
      <c r="L720" t="str" cm="1">
        <f t="array" ref="L720">_xlfn.IFS(C720&lt;0,"DATO INVALIDO", C720+J720&lt;I720,"PEDIR YA", C720&lt;I720,"EN CAMINO OK", TRUE,"SANO")</f>
        <v>PEDIR YA</v>
      </c>
    </row>
    <row r="721" spans="1:12" x14ac:dyDescent="0.45">
      <c r="A721" t="s">
        <v>1120</v>
      </c>
      <c r="B721" t="s">
        <v>1132</v>
      </c>
      <c r="C721">
        <v>1830</v>
      </c>
      <c r="D721">
        <v>289.10000000000002</v>
      </c>
      <c r="E721">
        <v>34.5</v>
      </c>
      <c r="F721">
        <v>2.2000000000000002</v>
      </c>
      <c r="G721">
        <v>0.5</v>
      </c>
      <c r="H721">
        <f t="shared" si="33"/>
        <v>253.01152134092632</v>
      </c>
      <c r="I721">
        <f t="shared" si="34"/>
        <v>889.03152134092647</v>
      </c>
      <c r="J721">
        <f>SUMIFS(Transit_Clean[Quantity], Transit_Clean[Destination], A721, Transit_Clean[Item_Code], B721, Transit_Clean[SAP_Status], "In Transit")</f>
        <v>1294</v>
      </c>
      <c r="K721">
        <f t="shared" si="35"/>
        <v>6.3299896229678305</v>
      </c>
      <c r="L721" t="str" cm="1">
        <f t="array" ref="L721">_xlfn.IFS(C721&lt;0,"DATO INVALIDO", C721+J721&lt;I721,"PEDIR YA", C721&lt;I721,"EN CAMINO OK", TRUE,"SANO")</f>
        <v>SANO</v>
      </c>
    </row>
    <row r="722" spans="1:12" x14ac:dyDescent="0.45">
      <c r="A722" t="s">
        <v>1127</v>
      </c>
      <c r="B722" t="s">
        <v>56</v>
      </c>
      <c r="C722">
        <v>4740</v>
      </c>
      <c r="D722">
        <v>405.4</v>
      </c>
      <c r="E722">
        <v>77.900000000000006</v>
      </c>
      <c r="F722">
        <v>2.9</v>
      </c>
      <c r="G722">
        <v>0.9</v>
      </c>
      <c r="H722">
        <f t="shared" si="33"/>
        <v>640.57668581794314</v>
      </c>
      <c r="I722">
        <f t="shared" si="34"/>
        <v>1816.236685817943</v>
      </c>
      <c r="J722">
        <f>SUMIFS(Transit_Clean[Quantity], Transit_Clean[Destination], A722, Transit_Clean[Item_Code], B722, Transit_Clean[SAP_Status], "In Transit")</f>
        <v>0</v>
      </c>
      <c r="K722">
        <f t="shared" si="35"/>
        <v>11.69215589541194</v>
      </c>
      <c r="L722" t="str" cm="1">
        <f t="array" ref="L722">_xlfn.IFS(C722&lt;0,"DATO INVALIDO", C722+J722&lt;I722,"PEDIR YA", C722&lt;I722,"EN CAMINO OK", TRUE,"SANO")</f>
        <v>SANO</v>
      </c>
    </row>
    <row r="723" spans="1:12" x14ac:dyDescent="0.45">
      <c r="A723" t="s">
        <v>1126</v>
      </c>
      <c r="B723" t="s">
        <v>70</v>
      </c>
      <c r="C723">
        <v>7879</v>
      </c>
      <c r="D723">
        <v>884</v>
      </c>
      <c r="E723">
        <v>240.8</v>
      </c>
      <c r="F723">
        <v>0.9</v>
      </c>
      <c r="G723">
        <v>0.2</v>
      </c>
      <c r="H723">
        <f t="shared" si="33"/>
        <v>476.63132771566745</v>
      </c>
      <c r="I723">
        <f t="shared" si="34"/>
        <v>1272.2313277156675</v>
      </c>
      <c r="J723">
        <f>SUMIFS(Transit_Clean[Quantity], Transit_Clean[Destination], A723, Transit_Clean[Item_Code], B723, Transit_Clean[SAP_Status], "In Transit")</f>
        <v>0</v>
      </c>
      <c r="K723">
        <f t="shared" si="35"/>
        <v>8.9128959276018094</v>
      </c>
      <c r="L723" t="str" cm="1">
        <f t="array" ref="L723">_xlfn.IFS(C723&lt;0,"DATO INVALIDO", C723+J723&lt;I723,"PEDIR YA", C723&lt;I723,"EN CAMINO OK", TRUE,"SANO")</f>
        <v>SANO</v>
      </c>
    </row>
    <row r="724" spans="1:12" x14ac:dyDescent="0.45">
      <c r="A724" t="s">
        <v>1118</v>
      </c>
      <c r="B724" t="s">
        <v>32</v>
      </c>
      <c r="C724">
        <v>5520</v>
      </c>
      <c r="D724">
        <v>313.39999999999998</v>
      </c>
      <c r="E724">
        <v>126.9</v>
      </c>
      <c r="F724">
        <v>5.2</v>
      </c>
      <c r="G724">
        <v>1.5</v>
      </c>
      <c r="H724">
        <f t="shared" si="33"/>
        <v>910.84301556031039</v>
      </c>
      <c r="I724">
        <f t="shared" si="34"/>
        <v>2540.5230155603103</v>
      </c>
      <c r="J724">
        <f>SUMIFS(Transit_Clean[Quantity], Transit_Clean[Destination], A724, Transit_Clean[Item_Code], B724, Transit_Clean[SAP_Status], "In Transit")</f>
        <v>0</v>
      </c>
      <c r="K724">
        <f t="shared" si="35"/>
        <v>17.613273771537973</v>
      </c>
      <c r="L724" t="str" cm="1">
        <f t="array" ref="L724">_xlfn.IFS(C724&lt;0,"DATO INVALIDO", C724+J724&lt;I724,"PEDIR YA", C724&lt;I724,"EN CAMINO OK", TRUE,"SANO")</f>
        <v>SANO</v>
      </c>
    </row>
    <row r="725" spans="1:12" x14ac:dyDescent="0.45">
      <c r="A725" t="s">
        <v>1119</v>
      </c>
      <c r="B725" t="s">
        <v>19</v>
      </c>
      <c r="C725">
        <v>1719</v>
      </c>
      <c r="D725">
        <v>192.8</v>
      </c>
      <c r="E725">
        <v>49.2</v>
      </c>
      <c r="F725">
        <v>3.5</v>
      </c>
      <c r="G725">
        <v>1</v>
      </c>
      <c r="H725">
        <f t="shared" si="33"/>
        <v>352.51384057934519</v>
      </c>
      <c r="I725">
        <f t="shared" si="34"/>
        <v>1027.3138405793452</v>
      </c>
      <c r="J725">
        <f>SUMIFS(Transit_Clean[Quantity], Transit_Clean[Destination], A725, Transit_Clean[Item_Code], B725, Transit_Clean[SAP_Status], "In Transit")</f>
        <v>647</v>
      </c>
      <c r="K725">
        <f t="shared" si="35"/>
        <v>8.9159751037344392</v>
      </c>
      <c r="L725" t="str" cm="1">
        <f t="array" ref="L725">_xlfn.IFS(C725&lt;0,"DATO INVALIDO", C725+J725&lt;I725,"PEDIR YA", C725&lt;I725,"EN CAMINO OK", TRUE,"SANO")</f>
        <v>SANO</v>
      </c>
    </row>
    <row r="726" spans="1:12" x14ac:dyDescent="0.45">
      <c r="A726" t="s">
        <v>1123</v>
      </c>
      <c r="B726" t="s">
        <v>103</v>
      </c>
      <c r="C726">
        <v>3818</v>
      </c>
      <c r="D726">
        <v>416.2</v>
      </c>
      <c r="E726">
        <v>81.2</v>
      </c>
      <c r="F726">
        <v>1.6</v>
      </c>
      <c r="G726">
        <v>0.3</v>
      </c>
      <c r="H726">
        <f t="shared" si="33"/>
        <v>266.76741367903242</v>
      </c>
      <c r="I726">
        <f t="shared" si="34"/>
        <v>932.68741367903249</v>
      </c>
      <c r="J726">
        <f>SUMIFS(Transit_Clean[Quantity], Transit_Clean[Destination], A726, Transit_Clean[Item_Code], B726, Transit_Clean[SAP_Status], "In Transit")</f>
        <v>0</v>
      </c>
      <c r="K726">
        <f t="shared" si="35"/>
        <v>9.1734742912061513</v>
      </c>
      <c r="L726" t="str" cm="1">
        <f t="array" ref="L726">_xlfn.IFS(C726&lt;0,"DATO INVALIDO", C726+J726&lt;I726,"PEDIR YA", C726&lt;I726,"EN CAMINO OK", TRUE,"SANO")</f>
        <v>SANO</v>
      </c>
    </row>
    <row r="727" spans="1:12" x14ac:dyDescent="0.45">
      <c r="A727" t="s">
        <v>1128</v>
      </c>
      <c r="B727" t="s">
        <v>48</v>
      </c>
      <c r="C727">
        <v>6998</v>
      </c>
      <c r="D727">
        <v>533.6</v>
      </c>
      <c r="E727">
        <v>144</v>
      </c>
      <c r="F727">
        <v>2</v>
      </c>
      <c r="G727">
        <v>0.5</v>
      </c>
      <c r="H727">
        <f t="shared" si="33"/>
        <v>553.80607472291229</v>
      </c>
      <c r="I727">
        <f t="shared" si="34"/>
        <v>1621.0060747229122</v>
      </c>
      <c r="J727">
        <f>SUMIFS(Transit_Clean[Quantity], Transit_Clean[Destination], A727, Transit_Clean[Item_Code], B727, Transit_Clean[SAP_Status], "In Transit")</f>
        <v>0</v>
      </c>
      <c r="K727">
        <f t="shared" si="35"/>
        <v>13.114692653673163</v>
      </c>
      <c r="L727" t="str" cm="1">
        <f t="array" ref="L727">_xlfn.IFS(C727&lt;0,"DATO INVALIDO", C727+J727&lt;I727,"PEDIR YA", C727&lt;I727,"EN CAMINO OK", TRUE,"SANO")</f>
        <v>SANO</v>
      </c>
    </row>
    <row r="728" spans="1:12" x14ac:dyDescent="0.45">
      <c r="A728" t="s">
        <v>1116</v>
      </c>
      <c r="B728" t="s">
        <v>43</v>
      </c>
      <c r="C728">
        <v>1645</v>
      </c>
      <c r="D728">
        <v>248.1</v>
      </c>
      <c r="E728">
        <v>127.4</v>
      </c>
      <c r="F728">
        <v>6.8</v>
      </c>
      <c r="G728">
        <v>1.6</v>
      </c>
      <c r="H728">
        <f t="shared" si="33"/>
        <v>854.09841361285748</v>
      </c>
      <c r="I728">
        <f t="shared" si="34"/>
        <v>2541.1784136128572</v>
      </c>
      <c r="J728">
        <f>SUMIFS(Transit_Clean[Quantity], Transit_Clean[Destination], A728, Transit_Clean[Item_Code], B728, Transit_Clean[SAP_Status], "In Transit")</f>
        <v>0</v>
      </c>
      <c r="K728">
        <f t="shared" si="35"/>
        <v>6.6303909713825071</v>
      </c>
      <c r="L728" t="str" cm="1">
        <f t="array" ref="L728">_xlfn.IFS(C728&lt;0,"DATO INVALIDO", C728+J728&lt;I728,"PEDIR YA", C728&lt;I728,"EN CAMINO OK", TRUE,"SANO")</f>
        <v>PEDIR YA</v>
      </c>
    </row>
    <row r="729" spans="1:12" x14ac:dyDescent="0.45">
      <c r="A729" t="s">
        <v>1127</v>
      </c>
      <c r="B729" t="s">
        <v>65</v>
      </c>
      <c r="C729">
        <v>4263</v>
      </c>
      <c r="D729">
        <v>241.7</v>
      </c>
      <c r="E729">
        <v>86.2</v>
      </c>
      <c r="F729">
        <v>1.9</v>
      </c>
      <c r="G729">
        <v>0.9</v>
      </c>
      <c r="H729">
        <f t="shared" si="33"/>
        <v>408.97751186373313</v>
      </c>
      <c r="I729">
        <f t="shared" si="34"/>
        <v>868.20751186373309</v>
      </c>
      <c r="J729">
        <f>SUMIFS(Transit_Clean[Quantity], Transit_Clean[Destination], A729, Transit_Clean[Item_Code], B729, Transit_Clean[SAP_Status], "In Transit")</f>
        <v>1408</v>
      </c>
      <c r="K729">
        <f t="shared" si="35"/>
        <v>17.637567232105916</v>
      </c>
      <c r="L729" t="str" cm="1">
        <f t="array" ref="L729">_xlfn.IFS(C729&lt;0,"DATO INVALIDO", C729+J729&lt;I729,"PEDIR YA", C729&lt;I729,"EN CAMINO OK", TRUE,"SANO")</f>
        <v>SANO</v>
      </c>
    </row>
    <row r="730" spans="1:12" x14ac:dyDescent="0.45">
      <c r="A730" t="s">
        <v>1124</v>
      </c>
      <c r="B730" t="s">
        <v>96</v>
      </c>
      <c r="C730">
        <v>6350</v>
      </c>
      <c r="D730">
        <v>527.6</v>
      </c>
      <c r="E730">
        <v>98.9</v>
      </c>
      <c r="F730">
        <v>1.1000000000000001</v>
      </c>
      <c r="G730">
        <v>0.3</v>
      </c>
      <c r="H730">
        <f t="shared" si="33"/>
        <v>312.24648739657584</v>
      </c>
      <c r="I730">
        <f t="shared" si="34"/>
        <v>892.60648739657597</v>
      </c>
      <c r="J730">
        <f>SUMIFS(Transit_Clean[Quantity], Transit_Clean[Destination], A730, Transit_Clean[Item_Code], B730, Transit_Clean[SAP_Status], "In Transit")</f>
        <v>0</v>
      </c>
      <c r="K730">
        <f t="shared" si="35"/>
        <v>12.035633055344958</v>
      </c>
      <c r="L730" t="str" cm="1">
        <f t="array" ref="L730">_xlfn.IFS(C730&lt;0,"DATO INVALIDO", C730+J730&lt;I730,"PEDIR YA", C730&lt;I730,"EN CAMINO OK", TRUE,"SANO")</f>
        <v>SANO</v>
      </c>
    </row>
    <row r="731" spans="1:12" x14ac:dyDescent="0.45">
      <c r="A731" t="s">
        <v>1121</v>
      </c>
      <c r="B731" t="s">
        <v>40</v>
      </c>
      <c r="C731">
        <v>2794</v>
      </c>
      <c r="D731">
        <v>269.39999999999998</v>
      </c>
      <c r="E731">
        <v>32.299999999999997</v>
      </c>
      <c r="F731">
        <v>2.6</v>
      </c>
      <c r="G731">
        <v>0.4</v>
      </c>
      <c r="H731">
        <f t="shared" si="33"/>
        <v>197.48212749765483</v>
      </c>
      <c r="I731">
        <f t="shared" si="34"/>
        <v>897.92212749765474</v>
      </c>
      <c r="J731">
        <f>SUMIFS(Transit_Clean[Quantity], Transit_Clean[Destination], A731, Transit_Clean[Item_Code], B731, Transit_Clean[SAP_Status], "In Transit")</f>
        <v>1250</v>
      </c>
      <c r="K731">
        <f t="shared" si="35"/>
        <v>10.371195248700818</v>
      </c>
      <c r="L731" t="str" cm="1">
        <f t="array" ref="L731">_xlfn.IFS(C731&lt;0,"DATO INVALIDO", C731+J731&lt;I731,"PEDIR YA", C731&lt;I731,"EN CAMINO OK", TRUE,"SANO")</f>
        <v>SANO</v>
      </c>
    </row>
    <row r="732" spans="1:12" x14ac:dyDescent="0.45">
      <c r="A732" t="s">
        <v>1125</v>
      </c>
      <c r="B732" t="s">
        <v>106</v>
      </c>
      <c r="C732">
        <v>3737</v>
      </c>
      <c r="D732">
        <v>383.1</v>
      </c>
      <c r="E732">
        <v>88.7</v>
      </c>
      <c r="F732">
        <v>3.9</v>
      </c>
      <c r="G732">
        <v>1.2</v>
      </c>
      <c r="H732">
        <f t="shared" si="33"/>
        <v>811.73706515194931</v>
      </c>
      <c r="I732">
        <f t="shared" si="34"/>
        <v>2305.8270651519497</v>
      </c>
      <c r="J732">
        <f>SUMIFS(Transit_Clean[Quantity], Transit_Clean[Destination], A732, Transit_Clean[Item_Code], B732, Transit_Clean[SAP_Status], "In Transit")</f>
        <v>1200</v>
      </c>
      <c r="K732">
        <f t="shared" si="35"/>
        <v>9.7546332550247978</v>
      </c>
      <c r="L732" t="str" cm="1">
        <f t="array" ref="L732">_xlfn.IFS(C732&lt;0,"DATO INVALIDO", C732+J732&lt;I732,"PEDIR YA", C732&lt;I732,"EN CAMINO OK", TRUE,"SANO")</f>
        <v>SANO</v>
      </c>
    </row>
    <row r="733" spans="1:12" x14ac:dyDescent="0.45">
      <c r="A733" t="s">
        <v>1127</v>
      </c>
      <c r="B733" t="s">
        <v>43</v>
      </c>
      <c r="C733">
        <v>2009</v>
      </c>
      <c r="D733">
        <v>300.7</v>
      </c>
      <c r="E733">
        <v>177.9</v>
      </c>
      <c r="F733">
        <v>2.9</v>
      </c>
      <c r="G733">
        <v>0.9</v>
      </c>
      <c r="H733">
        <f t="shared" si="33"/>
        <v>670.27578959167988</v>
      </c>
      <c r="I733">
        <f t="shared" si="34"/>
        <v>1542.30578959168</v>
      </c>
      <c r="J733">
        <f>SUMIFS(Transit_Clean[Quantity], Transit_Clean[Destination], A733, Transit_Clean[Item_Code], B733, Transit_Clean[SAP_Status], "In Transit")</f>
        <v>3602</v>
      </c>
      <c r="K733">
        <f t="shared" si="35"/>
        <v>6.6810774858663118</v>
      </c>
      <c r="L733" t="str" cm="1">
        <f t="array" ref="L733">_xlfn.IFS(C733&lt;0,"DATO INVALIDO", C733+J733&lt;I733,"PEDIR YA", C733&lt;I733,"EN CAMINO OK", TRUE,"SANO")</f>
        <v>SANO</v>
      </c>
    </row>
    <row r="734" spans="1:12" x14ac:dyDescent="0.45">
      <c r="A734" t="s">
        <v>1119</v>
      </c>
      <c r="B734" t="s">
        <v>52</v>
      </c>
      <c r="C734">
        <v>3532</v>
      </c>
      <c r="D734">
        <v>220.1</v>
      </c>
      <c r="E734">
        <v>71.8</v>
      </c>
      <c r="F734">
        <v>3.5</v>
      </c>
      <c r="G734">
        <v>1</v>
      </c>
      <c r="H734">
        <f t="shared" si="33"/>
        <v>425.4548276550637</v>
      </c>
      <c r="I734">
        <f t="shared" si="34"/>
        <v>1195.8048276550637</v>
      </c>
      <c r="J734">
        <f>SUMIFS(Transit_Clean[Quantity], Transit_Clean[Destination], A734, Transit_Clean[Item_Code], B734, Transit_Clean[SAP_Status], "In Transit")</f>
        <v>0</v>
      </c>
      <c r="K734">
        <f t="shared" si="35"/>
        <v>16.047251249432076</v>
      </c>
      <c r="L734" t="str" cm="1">
        <f t="array" ref="L734">_xlfn.IFS(C734&lt;0,"DATO INVALIDO", C734+J734&lt;I734,"PEDIR YA", C734&lt;I734,"EN CAMINO OK", TRUE,"SANO")</f>
        <v>SANO</v>
      </c>
    </row>
    <row r="735" spans="1:12" x14ac:dyDescent="0.45">
      <c r="A735" t="s">
        <v>1117</v>
      </c>
      <c r="B735" t="s">
        <v>20</v>
      </c>
      <c r="C735">
        <v>1558</v>
      </c>
      <c r="D735">
        <v>519.79999999999995</v>
      </c>
      <c r="E735">
        <v>91</v>
      </c>
      <c r="F735">
        <v>1.2</v>
      </c>
      <c r="G735">
        <v>0.5</v>
      </c>
      <c r="H735">
        <f t="shared" si="33"/>
        <v>459.29672786228286</v>
      </c>
      <c r="I735">
        <f t="shared" si="34"/>
        <v>1083.0567278622827</v>
      </c>
      <c r="J735">
        <f>SUMIFS(Transit_Clean[Quantity], Transit_Clean[Destination], A735, Transit_Clean[Item_Code], B735, Transit_Clean[SAP_Status], "In Transit")</f>
        <v>0</v>
      </c>
      <c r="K735">
        <f t="shared" si="35"/>
        <v>2.9973066564063102</v>
      </c>
      <c r="L735" t="str" cm="1">
        <f t="array" ref="L735">_xlfn.IFS(C735&lt;0,"DATO INVALIDO", C735+J735&lt;I735,"PEDIR YA", C735&lt;I735,"EN CAMINO OK", TRUE,"SANO")</f>
        <v>SANO</v>
      </c>
    </row>
    <row r="736" spans="1:12" x14ac:dyDescent="0.45">
      <c r="A736" t="s">
        <v>1114</v>
      </c>
      <c r="B736" t="s">
        <v>81</v>
      </c>
      <c r="C736">
        <v>4243</v>
      </c>
      <c r="D736">
        <v>717.3</v>
      </c>
      <c r="E736">
        <v>139.6</v>
      </c>
      <c r="F736">
        <v>6.6</v>
      </c>
      <c r="G736">
        <v>1.3</v>
      </c>
      <c r="H736">
        <f t="shared" si="33"/>
        <v>1648.4808519458907</v>
      </c>
      <c r="I736">
        <f t="shared" si="34"/>
        <v>6382.6608519458896</v>
      </c>
      <c r="J736">
        <f>SUMIFS(Transit_Clean[Quantity], Transit_Clean[Destination], A736, Transit_Clean[Item_Code], B736, Transit_Clean[SAP_Status], "In Transit")</f>
        <v>401</v>
      </c>
      <c r="K736">
        <f t="shared" si="35"/>
        <v>5.9152376969190019</v>
      </c>
      <c r="L736" t="str" cm="1">
        <f t="array" ref="L736">_xlfn.IFS(C736&lt;0,"DATO INVALIDO", C736+J736&lt;I736,"PEDIR YA", C736&lt;I736,"EN CAMINO OK", TRUE,"SANO")</f>
        <v>PEDIR YA</v>
      </c>
    </row>
    <row r="737" spans="1:12" x14ac:dyDescent="0.45">
      <c r="A737" t="s">
        <v>1128</v>
      </c>
      <c r="B737" t="s">
        <v>45</v>
      </c>
      <c r="C737">
        <v>2472</v>
      </c>
      <c r="D737">
        <v>419.7</v>
      </c>
      <c r="E737">
        <v>69.400000000000006</v>
      </c>
      <c r="F737">
        <v>1.8</v>
      </c>
      <c r="G737">
        <v>0.5</v>
      </c>
      <c r="H737">
        <f t="shared" si="33"/>
        <v>378.80518203457825</v>
      </c>
      <c r="I737">
        <f t="shared" si="34"/>
        <v>1134.2651820345782</v>
      </c>
      <c r="J737">
        <f>SUMIFS(Transit_Clean[Quantity], Transit_Clean[Destination], A737, Transit_Clean[Item_Code], B737, Transit_Clean[SAP_Status], "In Transit")</f>
        <v>1331</v>
      </c>
      <c r="K737">
        <f t="shared" si="35"/>
        <v>5.8899213724088639</v>
      </c>
      <c r="L737" t="str" cm="1">
        <f t="array" ref="L737">_xlfn.IFS(C737&lt;0,"DATO INVALIDO", C737+J737&lt;I737,"PEDIR YA", C737&lt;I737,"EN CAMINO OK", TRUE,"SANO")</f>
        <v>SANO</v>
      </c>
    </row>
    <row r="738" spans="1:12" x14ac:dyDescent="0.45">
      <c r="A738" t="s">
        <v>1128</v>
      </c>
      <c r="B738" t="s">
        <v>99</v>
      </c>
      <c r="C738">
        <v>2311</v>
      </c>
      <c r="D738">
        <v>588.4</v>
      </c>
      <c r="E738">
        <v>91.5</v>
      </c>
      <c r="F738">
        <v>1.3</v>
      </c>
      <c r="G738">
        <v>0.5</v>
      </c>
      <c r="H738">
        <f t="shared" si="33"/>
        <v>515.04734802977089</v>
      </c>
      <c r="I738">
        <f t="shared" si="34"/>
        <v>1279.9673480297708</v>
      </c>
      <c r="J738">
        <f>SUMIFS(Transit_Clean[Quantity], Transit_Clean[Destination], A738, Transit_Clean[Item_Code], B738, Transit_Clean[SAP_Status], "In Transit")</f>
        <v>1036</v>
      </c>
      <c r="K738">
        <f t="shared" si="35"/>
        <v>3.9276002719238616</v>
      </c>
      <c r="L738" t="str" cm="1">
        <f t="array" ref="L738">_xlfn.IFS(C738&lt;0,"DATO INVALIDO", C738+J738&lt;I738,"PEDIR YA", C738&lt;I738,"EN CAMINO OK", TRUE,"SANO")</f>
        <v>SANO</v>
      </c>
    </row>
    <row r="739" spans="1:12" x14ac:dyDescent="0.45">
      <c r="A739" t="s">
        <v>1126</v>
      </c>
      <c r="B739" t="s">
        <v>69</v>
      </c>
      <c r="C739">
        <v>5399</v>
      </c>
      <c r="D739">
        <v>374.6</v>
      </c>
      <c r="E739">
        <v>196.9</v>
      </c>
      <c r="F739">
        <v>0.9</v>
      </c>
      <c r="G739">
        <v>0.2</v>
      </c>
      <c r="H739">
        <f t="shared" si="33"/>
        <v>332.07927792396197</v>
      </c>
      <c r="I739">
        <f t="shared" si="34"/>
        <v>669.21927792396195</v>
      </c>
      <c r="J739">
        <f>SUMIFS(Transit_Clean[Quantity], Transit_Clean[Destination], A739, Transit_Clean[Item_Code], B739, Transit_Clean[SAP_Status], "In Transit")</f>
        <v>3614</v>
      </c>
      <c r="K739">
        <f t="shared" si="35"/>
        <v>14.412706887346502</v>
      </c>
      <c r="L739" t="str" cm="1">
        <f t="array" ref="L739">_xlfn.IFS(C739&lt;0,"DATO INVALIDO", C739+J739&lt;I739,"PEDIR YA", C739&lt;I739,"EN CAMINO OK", TRUE,"SANO")</f>
        <v>SANO</v>
      </c>
    </row>
    <row r="740" spans="1:12" x14ac:dyDescent="0.45">
      <c r="A740" t="s">
        <v>1119</v>
      </c>
      <c r="B740" t="s">
        <v>22</v>
      </c>
      <c r="C740">
        <v>3653</v>
      </c>
      <c r="D740">
        <v>694</v>
      </c>
      <c r="E740">
        <v>298.2</v>
      </c>
      <c r="F740">
        <v>4.3</v>
      </c>
      <c r="G740">
        <v>1</v>
      </c>
      <c r="H740">
        <f t="shared" si="33"/>
        <v>1533.7066700872106</v>
      </c>
      <c r="I740">
        <f t="shared" si="34"/>
        <v>4517.9066700872099</v>
      </c>
      <c r="J740">
        <f>SUMIFS(Transit_Clean[Quantity], Transit_Clean[Destination], A740, Transit_Clean[Item_Code], B740, Transit_Clean[SAP_Status], "In Transit")</f>
        <v>1828</v>
      </c>
      <c r="K740">
        <f t="shared" si="35"/>
        <v>5.2636887608069163</v>
      </c>
      <c r="L740" t="str" cm="1">
        <f t="array" ref="L740">_xlfn.IFS(C740&lt;0,"DATO INVALIDO", C740+J740&lt;I740,"PEDIR YA", C740&lt;I740,"EN CAMINO OK", TRUE,"SANO")</f>
        <v>EN CAMINO OK</v>
      </c>
    </row>
    <row r="741" spans="1:12" x14ac:dyDescent="0.45">
      <c r="A741" t="s">
        <v>1128</v>
      </c>
      <c r="B741" t="s">
        <v>109</v>
      </c>
      <c r="C741">
        <v>7582</v>
      </c>
      <c r="D741">
        <v>518.1</v>
      </c>
      <c r="E741">
        <v>358.9</v>
      </c>
      <c r="F741">
        <v>1.5</v>
      </c>
      <c r="G741">
        <v>0.5</v>
      </c>
      <c r="H741">
        <f t="shared" si="33"/>
        <v>841.85696730130462</v>
      </c>
      <c r="I741">
        <f t="shared" si="34"/>
        <v>1619.0069673013047</v>
      </c>
      <c r="J741">
        <f>SUMIFS(Transit_Clean[Quantity], Transit_Clean[Destination], A741, Transit_Clean[Item_Code], B741, Transit_Clean[SAP_Status], "In Transit")</f>
        <v>0</v>
      </c>
      <c r="K741">
        <f t="shared" si="35"/>
        <v>14.634240494113104</v>
      </c>
      <c r="L741" t="str" cm="1">
        <f t="array" ref="L741">_xlfn.IFS(C741&lt;0,"DATO INVALIDO", C741+J741&lt;I741,"PEDIR YA", C741&lt;I741,"EN CAMINO OK", TRUE,"SANO")</f>
        <v>SANO</v>
      </c>
    </row>
    <row r="742" spans="1:12" x14ac:dyDescent="0.45">
      <c r="A742" t="s">
        <v>1127</v>
      </c>
      <c r="B742" t="s">
        <v>1131</v>
      </c>
      <c r="C742">
        <v>536</v>
      </c>
      <c r="D742">
        <v>223.9</v>
      </c>
      <c r="E742">
        <v>152.1</v>
      </c>
      <c r="F742">
        <v>4.0999999999999996</v>
      </c>
      <c r="G742">
        <v>0.9</v>
      </c>
      <c r="H742">
        <f t="shared" si="33"/>
        <v>607.27478590400074</v>
      </c>
      <c r="I742">
        <f t="shared" si="34"/>
        <v>1525.2647859040007</v>
      </c>
      <c r="J742">
        <f>SUMIFS(Transit_Clean[Quantity], Transit_Clean[Destination], A742, Transit_Clean[Item_Code], B742, Transit_Clean[SAP_Status], "In Transit")</f>
        <v>0</v>
      </c>
      <c r="K742">
        <f t="shared" si="35"/>
        <v>2.3939258597588209</v>
      </c>
      <c r="L742" t="str" cm="1">
        <f t="array" ref="L742">_xlfn.IFS(C742&lt;0,"DATO INVALIDO", C742+J742&lt;I742,"PEDIR YA", C742&lt;I742,"EN CAMINO OK", TRUE,"SANO")</f>
        <v>PEDIR YA</v>
      </c>
    </row>
    <row r="743" spans="1:12" x14ac:dyDescent="0.45">
      <c r="A743" t="s">
        <v>1126</v>
      </c>
      <c r="B743" t="s">
        <v>24</v>
      </c>
      <c r="C743">
        <v>1462</v>
      </c>
      <c r="D743">
        <v>410.7</v>
      </c>
      <c r="E743">
        <v>73.8</v>
      </c>
      <c r="F743">
        <v>0.9</v>
      </c>
      <c r="G743">
        <v>0.2</v>
      </c>
      <c r="H743">
        <f t="shared" si="33"/>
        <v>178.08366452597497</v>
      </c>
      <c r="I743">
        <f t="shared" si="34"/>
        <v>547.71366452597499</v>
      </c>
      <c r="J743">
        <f>SUMIFS(Transit_Clean[Quantity], Transit_Clean[Destination], A743, Transit_Clean[Item_Code], B743, Transit_Clean[SAP_Status], "In Transit")</f>
        <v>929</v>
      </c>
      <c r="K743">
        <f t="shared" si="35"/>
        <v>3.5597759922084249</v>
      </c>
      <c r="L743" t="str" cm="1">
        <f t="array" ref="L743">_xlfn.IFS(C743&lt;0,"DATO INVALIDO", C743+J743&lt;I743,"PEDIR YA", C743&lt;I743,"EN CAMINO OK", TRUE,"SANO")</f>
        <v>SANO</v>
      </c>
    </row>
    <row r="744" spans="1:12" x14ac:dyDescent="0.45">
      <c r="A744" t="s">
        <v>1117</v>
      </c>
      <c r="B744" t="s">
        <v>67</v>
      </c>
      <c r="C744">
        <v>4691</v>
      </c>
      <c r="D744">
        <v>275.8</v>
      </c>
      <c r="E744">
        <v>77</v>
      </c>
      <c r="F744">
        <v>1.7</v>
      </c>
      <c r="G744">
        <v>0.5</v>
      </c>
      <c r="H744">
        <f t="shared" si="33"/>
        <v>281.44816658667361</v>
      </c>
      <c r="I744">
        <f t="shared" si="34"/>
        <v>750.30816658667368</v>
      </c>
      <c r="J744">
        <f>SUMIFS(Transit_Clean[Quantity], Transit_Clean[Destination], A744, Transit_Clean[Item_Code], B744, Transit_Clean[SAP_Status], "In Transit")</f>
        <v>3134</v>
      </c>
      <c r="K744">
        <f t="shared" si="35"/>
        <v>17.008701957940534</v>
      </c>
      <c r="L744" t="str" cm="1">
        <f t="array" ref="L744">_xlfn.IFS(C744&lt;0,"DATO INVALIDO", C744+J744&lt;I744,"PEDIR YA", C744&lt;I744,"EN CAMINO OK", TRUE,"SANO")</f>
        <v>SANO</v>
      </c>
    </row>
    <row r="745" spans="1:12" x14ac:dyDescent="0.45">
      <c r="A745" t="s">
        <v>1120</v>
      </c>
      <c r="B745" t="s">
        <v>85</v>
      </c>
      <c r="C745">
        <v>1560</v>
      </c>
      <c r="D745">
        <v>231.6</v>
      </c>
      <c r="E745">
        <v>110.1</v>
      </c>
      <c r="F745">
        <v>1.6</v>
      </c>
      <c r="G745">
        <v>0.5</v>
      </c>
      <c r="H745">
        <f t="shared" si="33"/>
        <v>298.84982927885363</v>
      </c>
      <c r="I745">
        <f t="shared" si="34"/>
        <v>669.40982927885364</v>
      </c>
      <c r="J745">
        <f>SUMIFS(Transit_Clean[Quantity], Transit_Clean[Destination], A745, Transit_Clean[Item_Code], B745, Transit_Clean[SAP_Status], "In Transit")</f>
        <v>3076</v>
      </c>
      <c r="K745">
        <f t="shared" si="35"/>
        <v>6.7357512953367875</v>
      </c>
      <c r="L745" t="str" cm="1">
        <f t="array" ref="L745">_xlfn.IFS(C745&lt;0,"DATO INVALIDO", C745+J745&lt;I745,"PEDIR YA", C745&lt;I745,"EN CAMINO OK", TRUE,"SANO")</f>
        <v>SANO</v>
      </c>
    </row>
    <row r="746" spans="1:12" x14ac:dyDescent="0.45">
      <c r="A746" t="s">
        <v>1123</v>
      </c>
      <c r="B746" t="s">
        <v>92</v>
      </c>
      <c r="C746">
        <v>1547</v>
      </c>
      <c r="D746">
        <v>213.8</v>
      </c>
      <c r="E746">
        <v>54.3</v>
      </c>
      <c r="F746">
        <v>0.7</v>
      </c>
      <c r="G746">
        <v>0.3</v>
      </c>
      <c r="H746">
        <f t="shared" si="33"/>
        <v>129.68918759287527</v>
      </c>
      <c r="I746">
        <f t="shared" si="34"/>
        <v>279.3491875928753</v>
      </c>
      <c r="J746">
        <f>SUMIFS(Transit_Clean[Quantity], Transit_Clean[Destination], A746, Transit_Clean[Item_Code], B746, Transit_Clean[SAP_Status], "In Transit")</f>
        <v>0</v>
      </c>
      <c r="K746">
        <f t="shared" si="35"/>
        <v>7.2357343311506073</v>
      </c>
      <c r="L746" t="str" cm="1">
        <f t="array" ref="L746">_xlfn.IFS(C746&lt;0,"DATO INVALIDO", C746+J746&lt;I746,"PEDIR YA", C746&lt;I746,"EN CAMINO OK", TRUE,"SANO")</f>
        <v>SANO</v>
      </c>
    </row>
    <row r="747" spans="1:12" x14ac:dyDescent="0.45">
      <c r="A747" t="s">
        <v>1118</v>
      </c>
      <c r="B747" t="s">
        <v>33</v>
      </c>
      <c r="C747">
        <v>1991</v>
      </c>
      <c r="D747">
        <v>233.7</v>
      </c>
      <c r="E747">
        <v>25.2</v>
      </c>
      <c r="F747">
        <v>5.7</v>
      </c>
      <c r="G747">
        <v>1.5</v>
      </c>
      <c r="H747">
        <f t="shared" si="33"/>
        <v>586.86450355789111</v>
      </c>
      <c r="I747">
        <f t="shared" si="34"/>
        <v>1918.954503557891</v>
      </c>
      <c r="J747">
        <f>SUMIFS(Transit_Clean[Quantity], Transit_Clean[Destination], A747, Transit_Clean[Item_Code], B747, Transit_Clean[SAP_Status], "In Transit")</f>
        <v>0</v>
      </c>
      <c r="K747">
        <f t="shared" si="35"/>
        <v>8.5194694052203683</v>
      </c>
      <c r="L747" t="str" cm="1">
        <f t="array" ref="L747">_xlfn.IFS(C747&lt;0,"DATO INVALIDO", C747+J747&lt;I747,"PEDIR YA", C747&lt;I747,"EN CAMINO OK", TRUE,"SANO")</f>
        <v>SANO</v>
      </c>
    </row>
    <row r="748" spans="1:12" x14ac:dyDescent="0.45">
      <c r="A748" t="s">
        <v>1123</v>
      </c>
      <c r="B748" t="s">
        <v>47</v>
      </c>
      <c r="C748">
        <v>1797</v>
      </c>
      <c r="D748">
        <v>366.8</v>
      </c>
      <c r="E748">
        <v>50.7</v>
      </c>
      <c r="F748">
        <v>1.1000000000000001</v>
      </c>
      <c r="G748">
        <v>0.3</v>
      </c>
      <c r="H748">
        <f t="shared" si="33"/>
        <v>201.65363196208494</v>
      </c>
      <c r="I748">
        <f t="shared" si="34"/>
        <v>605.13363196208502</v>
      </c>
      <c r="J748">
        <f>SUMIFS(Transit_Clean[Quantity], Transit_Clean[Destination], A748, Transit_Clean[Item_Code], B748, Transit_Clean[SAP_Status], "In Transit")</f>
        <v>0</v>
      </c>
      <c r="K748">
        <f t="shared" si="35"/>
        <v>4.8991275899672848</v>
      </c>
      <c r="L748" t="str" cm="1">
        <f t="array" ref="L748">_xlfn.IFS(C748&lt;0,"DATO INVALIDO", C748+J748&lt;I748,"PEDIR YA", C748&lt;I748,"EN CAMINO OK", TRUE,"SANO")</f>
        <v>SANO</v>
      </c>
    </row>
    <row r="749" spans="1:12" x14ac:dyDescent="0.45">
      <c r="A749" t="s">
        <v>1120</v>
      </c>
      <c r="B749" t="s">
        <v>35</v>
      </c>
      <c r="C749">
        <v>6072</v>
      </c>
      <c r="D749">
        <v>570.5</v>
      </c>
      <c r="E749">
        <v>90.1</v>
      </c>
      <c r="F749">
        <v>1.4</v>
      </c>
      <c r="G749">
        <v>0.5</v>
      </c>
      <c r="H749">
        <f t="shared" si="33"/>
        <v>502.45893764689862</v>
      </c>
      <c r="I749">
        <f t="shared" si="34"/>
        <v>1301.1589376468985</v>
      </c>
      <c r="J749">
        <f>SUMIFS(Transit_Clean[Quantity], Transit_Clean[Destination], A749, Transit_Clean[Item_Code], B749, Transit_Clean[SAP_Status], "In Transit")</f>
        <v>0</v>
      </c>
      <c r="K749">
        <f t="shared" si="35"/>
        <v>10.643295354951796</v>
      </c>
      <c r="L749" t="str" cm="1">
        <f t="array" ref="L749">_xlfn.IFS(C749&lt;0,"DATO INVALIDO", C749+J749&lt;I749,"PEDIR YA", C749&lt;I749,"EN CAMINO OK", TRUE,"SANO")</f>
        <v>SANO</v>
      </c>
    </row>
    <row r="750" spans="1:12" x14ac:dyDescent="0.45">
      <c r="A750" t="s">
        <v>1120</v>
      </c>
      <c r="B750" t="s">
        <v>29</v>
      </c>
      <c r="C750">
        <v>2339</v>
      </c>
      <c r="E750">
        <v>181</v>
      </c>
      <c r="F750">
        <v>1.9</v>
      </c>
      <c r="G750">
        <v>0.5</v>
      </c>
      <c r="H750">
        <f t="shared" si="33"/>
        <v>411.66061598117443</v>
      </c>
      <c r="I750">
        <f t="shared" si="34"/>
        <v>411.66061598117443</v>
      </c>
      <c r="J750">
        <f>SUMIFS(Transit_Clean[Quantity], Transit_Clean[Destination], A750, Transit_Clean[Item_Code], B750, Transit_Clean[SAP_Status], "In Transit")</f>
        <v>1771</v>
      </c>
      <c r="K750" t="str">
        <f t="shared" si="35"/>
        <v/>
      </c>
      <c r="L750" t="str" cm="1">
        <f t="array" ref="L750">_xlfn.IFS(C750&lt;0,"DATO INVALIDO", C750+J750&lt;I750,"PEDIR YA", C750&lt;I750,"EN CAMINO OK", TRUE,"SANO")</f>
        <v>SANO</v>
      </c>
    </row>
    <row r="751" spans="1:12" x14ac:dyDescent="0.45">
      <c r="A751" t="s">
        <v>1128</v>
      </c>
      <c r="B751" t="s">
        <v>53</v>
      </c>
      <c r="C751">
        <v>4135</v>
      </c>
      <c r="D751">
        <v>484.5</v>
      </c>
      <c r="E751">
        <v>184.6</v>
      </c>
      <c r="F751">
        <v>1.6</v>
      </c>
      <c r="G751">
        <v>0.5</v>
      </c>
      <c r="H751">
        <f t="shared" si="33"/>
        <v>555.16681422456259</v>
      </c>
      <c r="I751">
        <f t="shared" si="34"/>
        <v>1330.3668142245626</v>
      </c>
      <c r="J751">
        <f>SUMIFS(Transit_Clean[Quantity], Transit_Clean[Destination], A751, Transit_Clean[Item_Code], B751, Transit_Clean[SAP_Status], "In Transit")</f>
        <v>0</v>
      </c>
      <c r="K751">
        <f t="shared" si="35"/>
        <v>8.5345717234262128</v>
      </c>
      <c r="L751" t="str" cm="1">
        <f t="array" ref="L751">_xlfn.IFS(C751&lt;0,"DATO INVALIDO", C751+J751&lt;I751,"PEDIR YA", C751&lt;I751,"EN CAMINO OK", TRUE,"SANO")</f>
        <v>SANO</v>
      </c>
    </row>
    <row r="752" spans="1:12" x14ac:dyDescent="0.45">
      <c r="A752" t="s">
        <v>1126</v>
      </c>
      <c r="B752" t="s">
        <v>40</v>
      </c>
      <c r="C752">
        <v>3657</v>
      </c>
      <c r="D752">
        <v>463</v>
      </c>
      <c r="E752">
        <v>38.5</v>
      </c>
      <c r="F752">
        <v>0.7</v>
      </c>
      <c r="G752">
        <v>0.2</v>
      </c>
      <c r="H752">
        <f t="shared" si="33"/>
        <v>161.77015187450374</v>
      </c>
      <c r="I752">
        <f t="shared" si="34"/>
        <v>485.87015187450368</v>
      </c>
      <c r="J752">
        <f>SUMIFS(Transit_Clean[Quantity], Transit_Clean[Destination], A752, Transit_Clean[Item_Code], B752, Transit_Clean[SAP_Status], "In Transit")</f>
        <v>0</v>
      </c>
      <c r="K752">
        <f t="shared" si="35"/>
        <v>7.8984881209503239</v>
      </c>
      <c r="L752" t="str" cm="1">
        <f t="array" ref="L752">_xlfn.IFS(C752&lt;0,"DATO INVALIDO", C752+J752&lt;I752,"PEDIR YA", C752&lt;I752,"EN CAMINO OK", TRUE,"SANO")</f>
        <v>SANO</v>
      </c>
    </row>
    <row r="753" spans="1:12" x14ac:dyDescent="0.45">
      <c r="A753" t="s">
        <v>1118</v>
      </c>
      <c r="B753" t="s">
        <v>75</v>
      </c>
      <c r="C753">
        <v>6733</v>
      </c>
      <c r="D753">
        <v>380.5</v>
      </c>
      <c r="E753">
        <v>74</v>
      </c>
      <c r="F753">
        <v>4.8</v>
      </c>
      <c r="G753">
        <v>1.5</v>
      </c>
      <c r="H753">
        <f t="shared" si="33"/>
        <v>978.99432424618772</v>
      </c>
      <c r="I753">
        <f t="shared" si="34"/>
        <v>2805.3943242461874</v>
      </c>
      <c r="J753">
        <f>SUMIFS(Transit_Clean[Quantity], Transit_Clean[Destination], A753, Transit_Clean[Item_Code], B753, Transit_Clean[SAP_Status], "In Transit")</f>
        <v>1701</v>
      </c>
      <c r="K753">
        <f t="shared" si="35"/>
        <v>17.695137976346913</v>
      </c>
      <c r="L753" t="str" cm="1">
        <f t="array" ref="L753">_xlfn.IFS(C753&lt;0,"DATO INVALIDO", C753+J753&lt;I753,"PEDIR YA", C753&lt;I753,"EN CAMINO OK", TRUE,"SANO")</f>
        <v>SANO</v>
      </c>
    </row>
    <row r="754" spans="1:12" x14ac:dyDescent="0.45">
      <c r="A754" t="s">
        <v>1117</v>
      </c>
      <c r="B754" t="s">
        <v>85</v>
      </c>
      <c r="C754">
        <v>212</v>
      </c>
      <c r="D754">
        <v>304.10000000000002</v>
      </c>
      <c r="E754">
        <v>139.69999999999999</v>
      </c>
      <c r="F754">
        <v>1.7</v>
      </c>
      <c r="G754">
        <v>0.5</v>
      </c>
      <c r="H754">
        <f t="shared" si="33"/>
        <v>391.49377051078346</v>
      </c>
      <c r="I754">
        <f t="shared" si="34"/>
        <v>908.46377051078343</v>
      </c>
      <c r="J754">
        <f>SUMIFS(Transit_Clean[Quantity], Transit_Clean[Destination], A754, Transit_Clean[Item_Code], B754, Transit_Clean[SAP_Status], "In Transit")</f>
        <v>0</v>
      </c>
      <c r="K754">
        <f t="shared" si="35"/>
        <v>0.69713909898059845</v>
      </c>
      <c r="L754" t="str" cm="1">
        <f t="array" ref="L754">_xlfn.IFS(C754&lt;0,"DATO INVALIDO", C754+J754&lt;I754,"PEDIR YA", C754&lt;I754,"EN CAMINO OK", TRUE,"SANO")</f>
        <v>PEDIR YA</v>
      </c>
    </row>
    <row r="755" spans="1:12" x14ac:dyDescent="0.45">
      <c r="A755" t="s">
        <v>1114</v>
      </c>
      <c r="B755" t="s">
        <v>80</v>
      </c>
      <c r="C755">
        <v>7139</v>
      </c>
      <c r="D755">
        <v>433.6</v>
      </c>
      <c r="E755">
        <v>55</v>
      </c>
      <c r="F755">
        <v>4.4000000000000004</v>
      </c>
      <c r="G755">
        <v>1.3</v>
      </c>
      <c r="H755">
        <f t="shared" si="33"/>
        <v>949.35262162380957</v>
      </c>
      <c r="I755">
        <f t="shared" si="34"/>
        <v>2857.1926216238098</v>
      </c>
      <c r="J755">
        <f>SUMIFS(Transit_Clean[Quantity], Transit_Clean[Destination], A755, Transit_Clean[Item_Code], B755, Transit_Clean[SAP_Status], "In Transit")</f>
        <v>0</v>
      </c>
      <c r="K755">
        <f t="shared" si="35"/>
        <v>16.464483394833948</v>
      </c>
      <c r="L755" t="str" cm="1">
        <f t="array" ref="L755">_xlfn.IFS(C755&lt;0,"DATO INVALIDO", C755+J755&lt;I755,"PEDIR YA", C755&lt;I755,"EN CAMINO OK", TRUE,"SANO")</f>
        <v>SANO</v>
      </c>
    </row>
    <row r="756" spans="1:12" x14ac:dyDescent="0.45">
      <c r="A756" t="s">
        <v>1125</v>
      </c>
      <c r="B756" t="s">
        <v>36</v>
      </c>
      <c r="C756">
        <v>4014</v>
      </c>
      <c r="D756">
        <v>263.2</v>
      </c>
      <c r="E756">
        <v>91.8</v>
      </c>
      <c r="F756">
        <v>1.7</v>
      </c>
      <c r="G756">
        <v>1.2</v>
      </c>
      <c r="H756">
        <f t="shared" si="33"/>
        <v>557.30252469013624</v>
      </c>
      <c r="I756">
        <f t="shared" si="34"/>
        <v>1004.7425246901362</v>
      </c>
      <c r="J756">
        <f>SUMIFS(Transit_Clean[Quantity], Transit_Clean[Destination], A756, Transit_Clean[Item_Code], B756, Transit_Clean[SAP_Status], "In Transit")</f>
        <v>0</v>
      </c>
      <c r="K756">
        <f t="shared" si="35"/>
        <v>15.250759878419453</v>
      </c>
      <c r="L756" t="str" cm="1">
        <f t="array" ref="L756">_xlfn.IFS(C756&lt;0,"DATO INVALIDO", C756+J756&lt;I756,"PEDIR YA", C756&lt;I756,"EN CAMINO OK", TRUE,"SANO")</f>
        <v>SANO</v>
      </c>
    </row>
    <row r="757" spans="1:12" x14ac:dyDescent="0.45">
      <c r="A757" t="s">
        <v>1119</v>
      </c>
      <c r="B757" t="s">
        <v>1134</v>
      </c>
      <c r="C757">
        <v>6590</v>
      </c>
      <c r="D757">
        <v>519.70000000000005</v>
      </c>
      <c r="E757">
        <v>69</v>
      </c>
      <c r="F757">
        <v>4.4000000000000004</v>
      </c>
      <c r="G757">
        <v>1</v>
      </c>
      <c r="H757">
        <f t="shared" si="33"/>
        <v>890.13866561620614</v>
      </c>
      <c r="I757">
        <f t="shared" si="34"/>
        <v>3176.8186656162065</v>
      </c>
      <c r="J757">
        <f>SUMIFS(Transit_Clean[Quantity], Transit_Clean[Destination], A757, Transit_Clean[Item_Code], B757, Transit_Clean[SAP_Status], "In Transit")</f>
        <v>0</v>
      </c>
      <c r="K757">
        <f t="shared" si="35"/>
        <v>12.680392534154318</v>
      </c>
      <c r="L757" t="str" cm="1">
        <f t="array" ref="L757">_xlfn.IFS(C757&lt;0,"DATO INVALIDO", C757+J757&lt;I757,"PEDIR YA", C757&lt;I757,"EN CAMINO OK", TRUE,"SANO")</f>
        <v>SANO</v>
      </c>
    </row>
    <row r="758" spans="1:12" x14ac:dyDescent="0.45">
      <c r="A758" t="s">
        <v>1127</v>
      </c>
      <c r="B758" t="s">
        <v>108</v>
      </c>
      <c r="C758">
        <v>1830</v>
      </c>
      <c r="D758">
        <v>350</v>
      </c>
      <c r="E758">
        <v>45.8</v>
      </c>
      <c r="F758">
        <v>3.8</v>
      </c>
      <c r="G758">
        <v>0.9</v>
      </c>
      <c r="H758">
        <f t="shared" si="33"/>
        <v>540.22328450373186</v>
      </c>
      <c r="I758">
        <f t="shared" si="34"/>
        <v>1870.223284503732</v>
      </c>
      <c r="J758">
        <f>SUMIFS(Transit_Clean[Quantity], Transit_Clean[Destination], A758, Transit_Clean[Item_Code], B758, Transit_Clean[SAP_Status], "In Transit")</f>
        <v>661</v>
      </c>
      <c r="K758">
        <f t="shared" si="35"/>
        <v>5.2285714285714286</v>
      </c>
      <c r="L758" t="str" cm="1">
        <f t="array" ref="L758">_xlfn.IFS(C758&lt;0,"DATO INVALIDO", C758+J758&lt;I758,"PEDIR YA", C758&lt;I758,"EN CAMINO OK", TRUE,"SANO")</f>
        <v>EN CAMINO OK</v>
      </c>
    </row>
    <row r="759" spans="1:12" x14ac:dyDescent="0.45">
      <c r="A759" t="s">
        <v>1125</v>
      </c>
      <c r="B759" t="s">
        <v>53</v>
      </c>
      <c r="C759">
        <v>3018</v>
      </c>
      <c r="D759">
        <v>245.7</v>
      </c>
      <c r="E759">
        <v>72.599999999999994</v>
      </c>
      <c r="F759">
        <v>3.4</v>
      </c>
      <c r="G759">
        <v>1.2</v>
      </c>
      <c r="H759">
        <f t="shared" si="33"/>
        <v>534.28215217804154</v>
      </c>
      <c r="I759">
        <f t="shared" si="34"/>
        <v>1369.6621521780417</v>
      </c>
      <c r="J759">
        <f>SUMIFS(Transit_Clean[Quantity], Transit_Clean[Destination], A759, Transit_Clean[Item_Code], B759, Transit_Clean[SAP_Status], "In Transit")</f>
        <v>0</v>
      </c>
      <c r="K759">
        <f t="shared" si="35"/>
        <v>12.283272283272284</v>
      </c>
      <c r="L759" t="str" cm="1">
        <f t="array" ref="L759">_xlfn.IFS(C759&lt;0,"DATO INVALIDO", C759+J759&lt;I759,"PEDIR YA", C759&lt;I759,"EN CAMINO OK", TRUE,"SANO")</f>
        <v>SANO</v>
      </c>
    </row>
    <row r="760" spans="1:12" x14ac:dyDescent="0.45">
      <c r="A760" t="s">
        <v>1126</v>
      </c>
      <c r="B760" t="s">
        <v>100</v>
      </c>
      <c r="D760">
        <v>354.2</v>
      </c>
      <c r="E760">
        <v>31.9</v>
      </c>
      <c r="F760">
        <v>1.2</v>
      </c>
      <c r="G760">
        <v>0.2</v>
      </c>
      <c r="H760">
        <f t="shared" si="33"/>
        <v>130.33368277617262</v>
      </c>
      <c r="I760">
        <f t="shared" si="34"/>
        <v>555.37368277617259</v>
      </c>
      <c r="J760">
        <f>SUMIFS(Transit_Clean[Quantity], Transit_Clean[Destination], A760, Transit_Clean[Item_Code], B760, Transit_Clean[SAP_Status], "In Transit")</f>
        <v>771</v>
      </c>
      <c r="K760">
        <f t="shared" si="35"/>
        <v>0</v>
      </c>
      <c r="L760" t="str" cm="1">
        <f t="array" ref="L760">_xlfn.IFS(C760&lt;0,"DATO INVALIDO", C760+J760&lt;I760,"PEDIR YA", C760&lt;I760,"EN CAMINO OK", TRUE,"SANO")</f>
        <v>EN CAMINO OK</v>
      </c>
    </row>
    <row r="761" spans="1:12" x14ac:dyDescent="0.45">
      <c r="A761" t="s">
        <v>1125</v>
      </c>
      <c r="B761" t="s">
        <v>100</v>
      </c>
      <c r="C761">
        <v>5185</v>
      </c>
      <c r="D761">
        <v>513.4</v>
      </c>
      <c r="E761">
        <v>67.8</v>
      </c>
      <c r="F761">
        <v>1.1000000000000001</v>
      </c>
      <c r="G761">
        <v>1.2</v>
      </c>
      <c r="H761">
        <f t="shared" si="33"/>
        <v>1023.2808478682673</v>
      </c>
      <c r="I761">
        <f t="shared" si="34"/>
        <v>1588.0208478682673</v>
      </c>
      <c r="J761">
        <f>SUMIFS(Transit_Clean[Quantity], Transit_Clean[Destination], A761, Transit_Clean[Item_Code], B761, Transit_Clean[SAP_Status], "In Transit")</f>
        <v>0</v>
      </c>
      <c r="K761">
        <f t="shared" si="35"/>
        <v>10.099337748344372</v>
      </c>
      <c r="L761" t="str" cm="1">
        <f t="array" ref="L761">_xlfn.IFS(C761&lt;0,"DATO INVALIDO", C761+J761&lt;I761,"PEDIR YA", C761&lt;I761,"EN CAMINO OK", TRUE,"SANO")</f>
        <v>SANO</v>
      </c>
    </row>
    <row r="762" spans="1:12" x14ac:dyDescent="0.45">
      <c r="A762" t="s">
        <v>1125</v>
      </c>
      <c r="B762" t="s">
        <v>42</v>
      </c>
      <c r="C762">
        <v>4249</v>
      </c>
      <c r="E762">
        <v>117</v>
      </c>
      <c r="F762">
        <v>4.9000000000000004</v>
      </c>
      <c r="G762">
        <v>1.2</v>
      </c>
      <c r="H762">
        <f t="shared" si="33"/>
        <v>427.33439160685396</v>
      </c>
      <c r="I762">
        <f t="shared" si="34"/>
        <v>427.33439160685396</v>
      </c>
      <c r="J762">
        <f>SUMIFS(Transit_Clean[Quantity], Transit_Clean[Destination], A762, Transit_Clean[Item_Code], B762, Transit_Clean[SAP_Status], "In Transit")</f>
        <v>3066</v>
      </c>
      <c r="K762" t="str">
        <f t="shared" si="35"/>
        <v/>
      </c>
      <c r="L762" t="str" cm="1">
        <f t="array" ref="L762">_xlfn.IFS(C762&lt;0,"DATO INVALIDO", C762+J762&lt;I762,"PEDIR YA", C762&lt;I762,"EN CAMINO OK", TRUE,"SANO")</f>
        <v>SANO</v>
      </c>
    </row>
    <row r="763" spans="1:12" x14ac:dyDescent="0.45">
      <c r="A763" t="s">
        <v>1121</v>
      </c>
      <c r="B763" t="s">
        <v>1133</v>
      </c>
      <c r="C763">
        <v>7744</v>
      </c>
      <c r="D763">
        <v>517.70000000000005</v>
      </c>
      <c r="E763">
        <v>147.4</v>
      </c>
      <c r="F763">
        <v>2</v>
      </c>
      <c r="G763">
        <v>0.4</v>
      </c>
      <c r="H763">
        <f t="shared" si="33"/>
        <v>484.81831372587408</v>
      </c>
      <c r="I763">
        <f t="shared" si="34"/>
        <v>1520.2183137258742</v>
      </c>
      <c r="J763">
        <f>SUMIFS(Transit_Clean[Quantity], Transit_Clean[Destination], A763, Transit_Clean[Item_Code], B763, Transit_Clean[SAP_Status], "In Transit")</f>
        <v>0</v>
      </c>
      <c r="K763">
        <f t="shared" si="35"/>
        <v>14.958470156461269</v>
      </c>
      <c r="L763" t="str" cm="1">
        <f t="array" ref="L763">_xlfn.IFS(C763&lt;0,"DATO INVALIDO", C763+J763&lt;I763,"PEDIR YA", C763&lt;I763,"EN CAMINO OK", TRUE,"SANO")</f>
        <v>SANO</v>
      </c>
    </row>
    <row r="764" spans="1:12" x14ac:dyDescent="0.45">
      <c r="A764" t="s">
        <v>1120</v>
      </c>
      <c r="B764" t="s">
        <v>37</v>
      </c>
      <c r="C764">
        <v>3882</v>
      </c>
      <c r="D764">
        <v>246.6</v>
      </c>
      <c r="E764">
        <v>165.1</v>
      </c>
      <c r="F764">
        <v>2.2000000000000002</v>
      </c>
      <c r="G764">
        <v>0.5</v>
      </c>
      <c r="H764">
        <f t="shared" si="33"/>
        <v>452.38448129881732</v>
      </c>
      <c r="I764">
        <f t="shared" si="34"/>
        <v>994.90448129881725</v>
      </c>
      <c r="J764">
        <f>SUMIFS(Transit_Clean[Quantity], Transit_Clean[Destination], A764, Transit_Clean[Item_Code], B764, Transit_Clean[SAP_Status], "In Transit")</f>
        <v>2719</v>
      </c>
      <c r="K764">
        <f t="shared" si="35"/>
        <v>15.742092457420926</v>
      </c>
      <c r="L764" t="str" cm="1">
        <f t="array" ref="L764">_xlfn.IFS(C764&lt;0,"DATO INVALIDO", C764+J764&lt;I764,"PEDIR YA", C764&lt;I764,"EN CAMINO OK", TRUE,"SANO")</f>
        <v>SANO</v>
      </c>
    </row>
    <row r="765" spans="1:12" x14ac:dyDescent="0.45">
      <c r="A765" t="s">
        <v>1115</v>
      </c>
      <c r="B765" t="s">
        <v>1133</v>
      </c>
      <c r="C765">
        <v>3463</v>
      </c>
      <c r="D765">
        <v>654.20000000000005</v>
      </c>
      <c r="E765">
        <v>173.4</v>
      </c>
      <c r="F765">
        <v>1.8</v>
      </c>
      <c r="G765">
        <v>0.6</v>
      </c>
      <c r="H765">
        <f t="shared" si="33"/>
        <v>752.8658331628551</v>
      </c>
      <c r="I765">
        <f t="shared" si="34"/>
        <v>1930.4258331628553</v>
      </c>
      <c r="J765">
        <f>SUMIFS(Transit_Clean[Quantity], Transit_Clean[Destination], A765, Transit_Clean[Item_Code], B765, Transit_Clean[SAP_Status], "In Transit")</f>
        <v>0</v>
      </c>
      <c r="K765">
        <f t="shared" si="35"/>
        <v>5.2934882298991131</v>
      </c>
      <c r="L765" t="str" cm="1">
        <f t="array" ref="L765">_xlfn.IFS(C765&lt;0,"DATO INVALIDO", C765+J765&lt;I765,"PEDIR YA", C765&lt;I765,"EN CAMINO OK", TRUE,"SANO")</f>
        <v>SANO</v>
      </c>
    </row>
    <row r="766" spans="1:12" x14ac:dyDescent="0.45">
      <c r="A766" t="s">
        <v>1124</v>
      </c>
      <c r="B766" t="s">
        <v>48</v>
      </c>
      <c r="C766">
        <v>4522</v>
      </c>
      <c r="D766">
        <v>593.5</v>
      </c>
      <c r="E766">
        <v>129.80000000000001</v>
      </c>
      <c r="F766">
        <v>1.1000000000000001</v>
      </c>
      <c r="G766">
        <v>0.3</v>
      </c>
      <c r="H766">
        <f t="shared" si="33"/>
        <v>369.81593407565606</v>
      </c>
      <c r="I766">
        <f t="shared" si="34"/>
        <v>1022.6659340756561</v>
      </c>
      <c r="J766">
        <f>SUMIFS(Transit_Clean[Quantity], Transit_Clean[Destination], A766, Transit_Clean[Item_Code], B766, Transit_Clean[SAP_Status], "In Transit")</f>
        <v>565</v>
      </c>
      <c r="K766">
        <f t="shared" si="35"/>
        <v>7.6192080876158386</v>
      </c>
      <c r="L766" t="str" cm="1">
        <f t="array" ref="L766">_xlfn.IFS(C766&lt;0,"DATO INVALIDO", C766+J766&lt;I766,"PEDIR YA", C766&lt;I766,"EN CAMINO OK", TRUE,"SANO")</f>
        <v>SANO</v>
      </c>
    </row>
    <row r="767" spans="1:12" x14ac:dyDescent="0.45">
      <c r="A767" t="s">
        <v>1127</v>
      </c>
      <c r="B767" t="s">
        <v>62</v>
      </c>
      <c r="C767">
        <v>2324</v>
      </c>
      <c r="D767">
        <v>424.1</v>
      </c>
      <c r="E767">
        <v>40.200000000000003</v>
      </c>
      <c r="F767">
        <v>2.9</v>
      </c>
      <c r="G767">
        <v>0.9</v>
      </c>
      <c r="H767">
        <f t="shared" si="33"/>
        <v>639.83794396882251</v>
      </c>
      <c r="I767">
        <f t="shared" si="34"/>
        <v>1869.7279439688227</v>
      </c>
      <c r="J767">
        <f>SUMIFS(Transit_Clean[Quantity], Transit_Clean[Destination], A767, Transit_Clean[Item_Code], B767, Transit_Clean[SAP_Status], "In Transit")</f>
        <v>1764</v>
      </c>
      <c r="K767">
        <f t="shared" si="35"/>
        <v>5.4798396604574391</v>
      </c>
      <c r="L767" t="str" cm="1">
        <f t="array" ref="L767">_xlfn.IFS(C767&lt;0,"DATO INVALIDO", C767+J767&lt;I767,"PEDIR YA", C767&lt;I767,"EN CAMINO OK", TRUE,"SANO")</f>
        <v>SANO</v>
      </c>
    </row>
    <row r="768" spans="1:12" x14ac:dyDescent="0.45">
      <c r="A768" t="s">
        <v>1122</v>
      </c>
      <c r="B768" t="s">
        <v>12</v>
      </c>
      <c r="C768">
        <v>7941</v>
      </c>
      <c r="D768">
        <v>577.5</v>
      </c>
      <c r="E768">
        <v>79.7</v>
      </c>
      <c r="F768">
        <v>1.1000000000000001</v>
      </c>
      <c r="G768">
        <v>0.2</v>
      </c>
      <c r="H768">
        <f t="shared" si="33"/>
        <v>235.24827768232439</v>
      </c>
      <c r="I768">
        <f t="shared" si="34"/>
        <v>870.49827768232444</v>
      </c>
      <c r="J768">
        <f>SUMIFS(Transit_Clean[Quantity], Transit_Clean[Destination], A768, Transit_Clean[Item_Code], B768, Transit_Clean[SAP_Status], "In Transit")</f>
        <v>0</v>
      </c>
      <c r="K768">
        <f t="shared" si="35"/>
        <v>13.750649350649351</v>
      </c>
      <c r="L768" t="str" cm="1">
        <f t="array" ref="L768">_xlfn.IFS(C768&lt;0,"DATO INVALIDO", C768+J768&lt;I768,"PEDIR YA", C768&lt;I768,"EN CAMINO OK", TRUE,"SANO")</f>
        <v>SANO</v>
      </c>
    </row>
    <row r="769" spans="1:12" x14ac:dyDescent="0.45">
      <c r="A769" t="s">
        <v>1127</v>
      </c>
      <c r="B769" t="s">
        <v>68</v>
      </c>
      <c r="C769">
        <v>1383</v>
      </c>
      <c r="D769">
        <v>385.3</v>
      </c>
      <c r="E769">
        <v>50.7</v>
      </c>
      <c r="F769">
        <v>2.8</v>
      </c>
      <c r="G769">
        <v>0.9</v>
      </c>
      <c r="H769">
        <f t="shared" si="33"/>
        <v>589.04492726807348</v>
      </c>
      <c r="I769">
        <f t="shared" si="34"/>
        <v>1667.8849272680734</v>
      </c>
      <c r="J769">
        <f>SUMIFS(Transit_Clean[Quantity], Transit_Clean[Destination], A769, Transit_Clean[Item_Code], B769, Transit_Clean[SAP_Status], "In Transit")</f>
        <v>0</v>
      </c>
      <c r="K769">
        <f t="shared" si="35"/>
        <v>3.589410848689333</v>
      </c>
      <c r="L769" t="str" cm="1">
        <f t="array" ref="L769">_xlfn.IFS(C769&lt;0,"DATO INVALIDO", C769+J769&lt;I769,"PEDIR YA", C769&lt;I769,"EN CAMINO OK", TRUE,"SANO")</f>
        <v>PEDIR YA</v>
      </c>
    </row>
    <row r="770" spans="1:12" x14ac:dyDescent="0.45">
      <c r="A770" t="s">
        <v>1128</v>
      </c>
      <c r="B770" t="s">
        <v>100</v>
      </c>
      <c r="C770">
        <v>2270</v>
      </c>
      <c r="D770">
        <v>265.60000000000002</v>
      </c>
      <c r="E770">
        <v>39.5</v>
      </c>
      <c r="F770">
        <v>2.2999999999999998</v>
      </c>
      <c r="G770">
        <v>0.5</v>
      </c>
      <c r="H770">
        <f t="shared" si="33"/>
        <v>240.38192493925163</v>
      </c>
      <c r="I770">
        <f t="shared" si="34"/>
        <v>851.26192493925168</v>
      </c>
      <c r="J770">
        <f>SUMIFS(Transit_Clean[Quantity], Transit_Clean[Destination], A770, Transit_Clean[Item_Code], B770, Transit_Clean[SAP_Status], "In Transit")</f>
        <v>0</v>
      </c>
      <c r="K770">
        <f t="shared" si="35"/>
        <v>8.5466867469879517</v>
      </c>
      <c r="L770" t="str" cm="1">
        <f t="array" ref="L770">_xlfn.IFS(C770&lt;0,"DATO INVALIDO", C770+J770&lt;I770,"PEDIR YA", C770&lt;I770,"EN CAMINO OK", TRUE,"SANO")</f>
        <v>SANO</v>
      </c>
    </row>
    <row r="771" spans="1:12" x14ac:dyDescent="0.45">
      <c r="A771" t="s">
        <v>1115</v>
      </c>
      <c r="B771" t="s">
        <v>98</v>
      </c>
      <c r="C771">
        <v>4905</v>
      </c>
      <c r="D771">
        <v>482.8</v>
      </c>
      <c r="E771">
        <v>140.69999999999999</v>
      </c>
      <c r="F771">
        <v>1.4</v>
      </c>
      <c r="G771">
        <v>0.6</v>
      </c>
      <c r="H771">
        <f t="shared" ref="H771:H834" si="36">IFERROR(1.65*SQRT(F771*E771^2 + D771^2*G771^2), "")</f>
        <v>551.28173778840153</v>
      </c>
      <c r="I771">
        <f t="shared" ref="I771:I834" si="37">IFERROR(D771*F771 + H771, "")</f>
        <v>1227.2017377884015</v>
      </c>
      <c r="J771">
        <f>SUMIFS(Transit_Clean[Quantity], Transit_Clean[Destination], A771, Transit_Clean[Item_Code], B771, Transit_Clean[SAP_Status], "In Transit")</f>
        <v>0</v>
      </c>
      <c r="K771">
        <f t="shared" ref="K771:K834" si="38">IFERROR(C771/D771, "")</f>
        <v>10.159486329743165</v>
      </c>
      <c r="L771" t="str" cm="1">
        <f t="array" ref="L771">_xlfn.IFS(C771&lt;0,"DATO INVALIDO", C771+J771&lt;I771,"PEDIR YA", C771&lt;I771,"EN CAMINO OK", TRUE,"SANO")</f>
        <v>SANO</v>
      </c>
    </row>
    <row r="772" spans="1:12" x14ac:dyDescent="0.45">
      <c r="A772" t="s">
        <v>1123</v>
      </c>
      <c r="B772" t="s">
        <v>74</v>
      </c>
      <c r="C772">
        <v>8757</v>
      </c>
      <c r="D772">
        <v>529.6</v>
      </c>
      <c r="E772">
        <v>251.8</v>
      </c>
      <c r="F772">
        <v>0.7</v>
      </c>
      <c r="G772">
        <v>0.3</v>
      </c>
      <c r="H772">
        <f t="shared" si="36"/>
        <v>435.37845115944822</v>
      </c>
      <c r="I772">
        <f t="shared" si="37"/>
        <v>806.09845115944813</v>
      </c>
      <c r="J772">
        <f>SUMIFS(Transit_Clean[Quantity], Transit_Clean[Destination], A772, Transit_Clean[Item_Code], B772, Transit_Clean[SAP_Status], "In Transit")</f>
        <v>0</v>
      </c>
      <c r="K772">
        <f t="shared" si="38"/>
        <v>16.535120845921451</v>
      </c>
      <c r="L772" t="str" cm="1">
        <f t="array" ref="L772">_xlfn.IFS(C772&lt;0,"DATO INVALIDO", C772+J772&lt;I772,"PEDIR YA", C772&lt;I772,"EN CAMINO OK", TRUE,"SANO")</f>
        <v>SANO</v>
      </c>
    </row>
    <row r="773" spans="1:12" x14ac:dyDescent="0.45">
      <c r="A773" t="s">
        <v>1126</v>
      </c>
      <c r="B773" t="s">
        <v>1132</v>
      </c>
      <c r="C773">
        <v>5806</v>
      </c>
      <c r="D773">
        <v>363.4</v>
      </c>
      <c r="E773">
        <v>45.3</v>
      </c>
      <c r="F773">
        <v>1.2</v>
      </c>
      <c r="G773">
        <v>0.2</v>
      </c>
      <c r="H773">
        <f t="shared" si="36"/>
        <v>145.20834726006629</v>
      </c>
      <c r="I773">
        <f t="shared" si="37"/>
        <v>581.2883472600663</v>
      </c>
      <c r="J773">
        <f>SUMIFS(Transit_Clean[Quantity], Transit_Clean[Destination], A773, Transit_Clean[Item_Code], B773, Transit_Clean[SAP_Status], "In Transit")</f>
        <v>0</v>
      </c>
      <c r="K773">
        <f t="shared" si="38"/>
        <v>15.976884975233903</v>
      </c>
      <c r="L773" t="str" cm="1">
        <f t="array" ref="L773">_xlfn.IFS(C773&lt;0,"DATO INVALIDO", C773+J773&lt;I773,"PEDIR YA", C773&lt;I773,"EN CAMINO OK", TRUE,"SANO")</f>
        <v>SANO</v>
      </c>
    </row>
    <row r="774" spans="1:12" x14ac:dyDescent="0.45">
      <c r="A774" t="s">
        <v>1128</v>
      </c>
      <c r="B774" t="s">
        <v>1130</v>
      </c>
      <c r="C774">
        <v>1802</v>
      </c>
      <c r="D774">
        <v>490.6</v>
      </c>
      <c r="E774">
        <v>314.10000000000002</v>
      </c>
      <c r="F774">
        <v>1.8</v>
      </c>
      <c r="G774">
        <v>0.5</v>
      </c>
      <c r="H774">
        <f t="shared" si="36"/>
        <v>804.54708589988695</v>
      </c>
      <c r="I774">
        <f t="shared" si="37"/>
        <v>1687.6270858998869</v>
      </c>
      <c r="J774">
        <f>SUMIFS(Transit_Clean[Quantity], Transit_Clean[Destination], A774, Transit_Clean[Item_Code], B774, Transit_Clean[SAP_Status], "In Transit")</f>
        <v>5182</v>
      </c>
      <c r="K774">
        <f t="shared" si="38"/>
        <v>3.6730534039951079</v>
      </c>
      <c r="L774" t="str" cm="1">
        <f t="array" ref="L774">_xlfn.IFS(C774&lt;0,"DATO INVALIDO", C774+J774&lt;I774,"PEDIR YA", C774&lt;I774,"EN CAMINO OK", TRUE,"SANO")</f>
        <v>SANO</v>
      </c>
    </row>
    <row r="775" spans="1:12" x14ac:dyDescent="0.45">
      <c r="A775" t="s">
        <v>1120</v>
      </c>
      <c r="B775" t="s">
        <v>74</v>
      </c>
      <c r="C775">
        <v>2492</v>
      </c>
      <c r="D775">
        <v>183.2</v>
      </c>
      <c r="E775">
        <v>84.3</v>
      </c>
      <c r="F775">
        <v>2</v>
      </c>
      <c r="G775">
        <v>0.5</v>
      </c>
      <c r="H775">
        <f t="shared" si="36"/>
        <v>248.0688163594933</v>
      </c>
      <c r="I775">
        <f t="shared" si="37"/>
        <v>614.4688163594933</v>
      </c>
      <c r="J775">
        <f>SUMIFS(Transit_Clean[Quantity], Transit_Clean[Destination], A775, Transit_Clean[Item_Code], B775, Transit_Clean[SAP_Status], "In Transit")</f>
        <v>0</v>
      </c>
      <c r="K775">
        <f t="shared" si="38"/>
        <v>13.602620087336245</v>
      </c>
      <c r="L775" t="str" cm="1">
        <f t="array" ref="L775">_xlfn.IFS(C775&lt;0,"DATO INVALIDO", C775+J775&lt;I775,"PEDIR YA", C775&lt;I775,"EN CAMINO OK", TRUE,"SANO")</f>
        <v>SANO</v>
      </c>
    </row>
    <row r="776" spans="1:12" x14ac:dyDescent="0.45">
      <c r="A776" t="s">
        <v>1124</v>
      </c>
      <c r="B776" t="s">
        <v>25</v>
      </c>
      <c r="C776">
        <v>4842</v>
      </c>
      <c r="D776">
        <v>437.6</v>
      </c>
      <c r="E776">
        <v>181.3</v>
      </c>
      <c r="F776">
        <v>1.2</v>
      </c>
      <c r="G776">
        <v>0.3</v>
      </c>
      <c r="H776">
        <f t="shared" si="36"/>
        <v>392.81806956147017</v>
      </c>
      <c r="I776">
        <f t="shared" si="37"/>
        <v>917.93806956147023</v>
      </c>
      <c r="J776">
        <f>SUMIFS(Transit_Clean[Quantity], Transit_Clean[Destination], A776, Transit_Clean[Item_Code], B776, Transit_Clean[SAP_Status], "In Transit")</f>
        <v>3883</v>
      </c>
      <c r="K776">
        <f t="shared" si="38"/>
        <v>11.064899451553931</v>
      </c>
      <c r="L776" t="str" cm="1">
        <f t="array" ref="L776">_xlfn.IFS(C776&lt;0,"DATO INVALIDO", C776+J776&lt;I776,"PEDIR YA", C776&lt;I776,"EN CAMINO OK", TRUE,"SANO")</f>
        <v>SANO</v>
      </c>
    </row>
    <row r="777" spans="1:12" x14ac:dyDescent="0.45">
      <c r="A777" t="s">
        <v>1128</v>
      </c>
      <c r="B777" t="s">
        <v>49</v>
      </c>
      <c r="C777">
        <v>6395</v>
      </c>
      <c r="D777">
        <v>373.2</v>
      </c>
      <c r="E777">
        <v>43.1</v>
      </c>
      <c r="F777">
        <v>2.1</v>
      </c>
      <c r="G777">
        <v>0.5</v>
      </c>
      <c r="H777">
        <f t="shared" si="36"/>
        <v>324.67933853650123</v>
      </c>
      <c r="I777">
        <f t="shared" si="37"/>
        <v>1108.3993385365013</v>
      </c>
      <c r="J777">
        <f>SUMIFS(Transit_Clean[Quantity], Transit_Clean[Destination], A777, Transit_Clean[Item_Code], B777, Transit_Clean[SAP_Status], "In Transit")</f>
        <v>0</v>
      </c>
      <c r="K777">
        <f t="shared" si="38"/>
        <v>17.135584137191856</v>
      </c>
      <c r="L777" t="str" cm="1">
        <f t="array" ref="L777">_xlfn.IFS(C777&lt;0,"DATO INVALIDO", C777+J777&lt;I777,"PEDIR YA", C777&lt;I777,"EN CAMINO OK", TRUE,"SANO")</f>
        <v>SANO</v>
      </c>
    </row>
    <row r="778" spans="1:12" x14ac:dyDescent="0.45">
      <c r="A778" t="s">
        <v>1126</v>
      </c>
      <c r="B778" t="s">
        <v>71</v>
      </c>
      <c r="C778">
        <v>784</v>
      </c>
      <c r="D778">
        <v>228.7</v>
      </c>
      <c r="E778">
        <v>27</v>
      </c>
      <c r="F778">
        <v>1</v>
      </c>
      <c r="G778">
        <v>0.2</v>
      </c>
      <c r="H778">
        <f t="shared" si="36"/>
        <v>87.638886009579096</v>
      </c>
      <c r="I778">
        <f t="shared" si="37"/>
        <v>316.33888600957908</v>
      </c>
      <c r="J778">
        <f>SUMIFS(Transit_Clean[Quantity], Transit_Clean[Destination], A778, Transit_Clean[Item_Code], B778, Transit_Clean[SAP_Status], "In Transit")</f>
        <v>635</v>
      </c>
      <c r="K778">
        <f t="shared" si="38"/>
        <v>3.4280717096633144</v>
      </c>
      <c r="L778" t="str" cm="1">
        <f t="array" ref="L778">_xlfn.IFS(C778&lt;0,"DATO INVALIDO", C778+J778&lt;I778,"PEDIR YA", C778&lt;I778,"EN CAMINO OK", TRUE,"SANO")</f>
        <v>SANO</v>
      </c>
    </row>
    <row r="779" spans="1:12" x14ac:dyDescent="0.45">
      <c r="A779" t="s">
        <v>1120</v>
      </c>
      <c r="B779" t="s">
        <v>41</v>
      </c>
      <c r="C779">
        <v>1747</v>
      </c>
      <c r="D779">
        <v>164.4</v>
      </c>
      <c r="E779">
        <v>64.900000000000006</v>
      </c>
      <c r="F779">
        <v>2</v>
      </c>
      <c r="G779">
        <v>0.5</v>
      </c>
      <c r="H779">
        <f t="shared" si="36"/>
        <v>203.29754388580301</v>
      </c>
      <c r="I779">
        <f t="shared" si="37"/>
        <v>532.09754388580302</v>
      </c>
      <c r="J779">
        <f>SUMIFS(Transit_Clean[Quantity], Transit_Clean[Destination], A779, Transit_Clean[Item_Code], B779, Transit_Clean[SAP_Status], "In Transit")</f>
        <v>4917</v>
      </c>
      <c r="K779">
        <f t="shared" si="38"/>
        <v>10.626520681265207</v>
      </c>
      <c r="L779" t="str" cm="1">
        <f t="array" ref="L779">_xlfn.IFS(C779&lt;0,"DATO INVALIDO", C779+J779&lt;I779,"PEDIR YA", C779&lt;I779,"EN CAMINO OK", TRUE,"SANO")</f>
        <v>SANO</v>
      </c>
    </row>
    <row r="780" spans="1:12" x14ac:dyDescent="0.45">
      <c r="A780" t="s">
        <v>1121</v>
      </c>
      <c r="B780" t="s">
        <v>57</v>
      </c>
      <c r="C780">
        <v>2863</v>
      </c>
      <c r="D780">
        <v>194</v>
      </c>
      <c r="E780">
        <v>18</v>
      </c>
      <c r="F780">
        <v>2.5</v>
      </c>
      <c r="G780">
        <v>0.4</v>
      </c>
      <c r="H780">
        <f t="shared" si="36"/>
        <v>136.37986141655958</v>
      </c>
      <c r="I780">
        <f t="shared" si="37"/>
        <v>621.37986141655961</v>
      </c>
      <c r="J780">
        <f>SUMIFS(Transit_Clean[Quantity], Transit_Clean[Destination], A780, Transit_Clean[Item_Code], B780, Transit_Clean[SAP_Status], "In Transit")</f>
        <v>0</v>
      </c>
      <c r="K780">
        <f t="shared" si="38"/>
        <v>14.757731958762887</v>
      </c>
      <c r="L780" t="str" cm="1">
        <f t="array" ref="L780">_xlfn.IFS(C780&lt;0,"DATO INVALIDO", C780+J780&lt;I780,"PEDIR YA", C780&lt;I780,"EN CAMINO OK", TRUE,"SANO")</f>
        <v>SANO</v>
      </c>
    </row>
    <row r="781" spans="1:12" x14ac:dyDescent="0.45">
      <c r="A781" t="s">
        <v>1122</v>
      </c>
      <c r="B781" t="s">
        <v>68</v>
      </c>
      <c r="C781">
        <v>4951</v>
      </c>
      <c r="D781">
        <v>593.4</v>
      </c>
      <c r="E781">
        <v>70</v>
      </c>
      <c r="F781">
        <v>1</v>
      </c>
      <c r="G781">
        <v>0.2</v>
      </c>
      <c r="H781">
        <f t="shared" si="36"/>
        <v>227.3466641145192</v>
      </c>
      <c r="I781">
        <f t="shared" si="37"/>
        <v>820.74666411451915</v>
      </c>
      <c r="J781">
        <f>SUMIFS(Transit_Clean[Quantity], Transit_Clean[Destination], A781, Transit_Clean[Item_Code], B781, Transit_Clean[SAP_Status], "In Transit")</f>
        <v>0</v>
      </c>
      <c r="K781">
        <f t="shared" si="38"/>
        <v>8.343444556791372</v>
      </c>
      <c r="L781" t="str" cm="1">
        <f t="array" ref="L781">_xlfn.IFS(C781&lt;0,"DATO INVALIDO", C781+J781&lt;I781,"PEDIR YA", C781&lt;I781,"EN CAMINO OK", TRUE,"SANO")</f>
        <v>SANO</v>
      </c>
    </row>
    <row r="782" spans="1:12" x14ac:dyDescent="0.45">
      <c r="A782" t="s">
        <v>1115</v>
      </c>
      <c r="B782" t="s">
        <v>68</v>
      </c>
      <c r="D782">
        <v>456.9</v>
      </c>
      <c r="E782">
        <v>88.2</v>
      </c>
      <c r="F782">
        <v>3.2</v>
      </c>
      <c r="G782">
        <v>0.6</v>
      </c>
      <c r="H782">
        <f t="shared" si="36"/>
        <v>521.89661087326476</v>
      </c>
      <c r="I782">
        <f t="shared" si="37"/>
        <v>1983.9766108732647</v>
      </c>
      <c r="J782">
        <f>SUMIFS(Transit_Clean[Quantity], Transit_Clean[Destination], A782, Transit_Clean[Item_Code], B782, Transit_Clean[SAP_Status], "In Transit")</f>
        <v>0</v>
      </c>
      <c r="K782">
        <f t="shared" si="38"/>
        <v>0</v>
      </c>
      <c r="L782" t="str" cm="1">
        <f t="array" ref="L782">_xlfn.IFS(C782&lt;0,"DATO INVALIDO", C782+J782&lt;I782,"PEDIR YA", C782&lt;I782,"EN CAMINO OK", TRUE,"SANO")</f>
        <v>PEDIR YA</v>
      </c>
    </row>
    <row r="783" spans="1:12" x14ac:dyDescent="0.45">
      <c r="A783" t="s">
        <v>1114</v>
      </c>
      <c r="B783" t="s">
        <v>44</v>
      </c>
      <c r="C783">
        <v>2596</v>
      </c>
      <c r="E783">
        <v>82.4</v>
      </c>
      <c r="F783">
        <v>3.8</v>
      </c>
      <c r="G783">
        <v>1.3</v>
      </c>
      <c r="H783">
        <f t="shared" si="36"/>
        <v>265.03483182404534</v>
      </c>
      <c r="I783">
        <f t="shared" si="37"/>
        <v>265.03483182404534</v>
      </c>
      <c r="J783">
        <f>SUMIFS(Transit_Clean[Quantity], Transit_Clean[Destination], A783, Transit_Clean[Item_Code], B783, Transit_Clean[SAP_Status], "In Transit")</f>
        <v>0</v>
      </c>
      <c r="K783" t="str">
        <f t="shared" si="38"/>
        <v/>
      </c>
      <c r="L783" t="str" cm="1">
        <f t="array" ref="L783">_xlfn.IFS(C783&lt;0,"DATO INVALIDO", C783+J783&lt;I783,"PEDIR YA", C783&lt;I783,"EN CAMINO OK", TRUE,"SANO")</f>
        <v>SANO</v>
      </c>
    </row>
    <row r="784" spans="1:12" x14ac:dyDescent="0.45">
      <c r="A784" t="s">
        <v>1116</v>
      </c>
      <c r="B784" t="s">
        <v>1135</v>
      </c>
      <c r="C784">
        <v>1573</v>
      </c>
      <c r="D784">
        <v>570.4</v>
      </c>
      <c r="E784">
        <v>61.2</v>
      </c>
      <c r="F784">
        <v>2.9</v>
      </c>
      <c r="G784">
        <v>1.6</v>
      </c>
      <c r="H784">
        <f t="shared" si="36"/>
        <v>1515.6429255916448</v>
      </c>
      <c r="I784">
        <f t="shared" si="37"/>
        <v>3169.8029255916445</v>
      </c>
      <c r="J784">
        <f>SUMIFS(Transit_Clean[Quantity], Transit_Clean[Destination], A784, Transit_Clean[Item_Code], B784, Transit_Clean[SAP_Status], "In Transit")</f>
        <v>1552</v>
      </c>
      <c r="K784">
        <f t="shared" si="38"/>
        <v>2.7577138849929876</v>
      </c>
      <c r="L784" t="str" cm="1">
        <f t="array" ref="L784">_xlfn.IFS(C784&lt;0,"DATO INVALIDO", C784+J784&lt;I784,"PEDIR YA", C784&lt;I784,"EN CAMINO OK", TRUE,"SANO")</f>
        <v>PEDIR YA</v>
      </c>
    </row>
    <row r="785" spans="1:12" x14ac:dyDescent="0.45">
      <c r="A785" t="s">
        <v>1127</v>
      </c>
      <c r="B785" t="s">
        <v>106</v>
      </c>
      <c r="C785">
        <v>1676</v>
      </c>
      <c r="D785">
        <v>571.1</v>
      </c>
      <c r="E785">
        <v>123.7</v>
      </c>
      <c r="F785">
        <v>2.2000000000000002</v>
      </c>
      <c r="G785">
        <v>0.9</v>
      </c>
      <c r="H785">
        <f t="shared" si="36"/>
        <v>900.49713782290826</v>
      </c>
      <c r="I785">
        <f t="shared" si="37"/>
        <v>2156.9171378229084</v>
      </c>
      <c r="J785">
        <f>SUMIFS(Transit_Clean[Quantity], Transit_Clean[Destination], A785, Transit_Clean[Item_Code], B785, Transit_Clean[SAP_Status], "In Transit")</f>
        <v>1297</v>
      </c>
      <c r="K785">
        <f t="shared" si="38"/>
        <v>2.9346874452810363</v>
      </c>
      <c r="L785" t="str" cm="1">
        <f t="array" ref="L785">_xlfn.IFS(C785&lt;0,"DATO INVALIDO", C785+J785&lt;I785,"PEDIR YA", C785&lt;I785,"EN CAMINO OK", TRUE,"SANO")</f>
        <v>EN CAMINO OK</v>
      </c>
    </row>
    <row r="786" spans="1:12" x14ac:dyDescent="0.45">
      <c r="A786" t="s">
        <v>1121</v>
      </c>
      <c r="B786" t="s">
        <v>63</v>
      </c>
      <c r="C786">
        <v>3919</v>
      </c>
      <c r="D786">
        <v>388.3</v>
      </c>
      <c r="E786">
        <v>78</v>
      </c>
      <c r="F786">
        <v>1.6</v>
      </c>
      <c r="G786">
        <v>0.4</v>
      </c>
      <c r="H786">
        <f t="shared" si="36"/>
        <v>303.61211649734935</v>
      </c>
      <c r="I786">
        <f t="shared" si="37"/>
        <v>924.89211649734943</v>
      </c>
      <c r="J786">
        <f>SUMIFS(Transit_Clean[Quantity], Transit_Clean[Destination], A786, Transit_Clean[Item_Code], B786, Transit_Clean[SAP_Status], "In Transit")</f>
        <v>0</v>
      </c>
      <c r="K786">
        <f t="shared" si="38"/>
        <v>10.092711820757147</v>
      </c>
      <c r="L786" t="str" cm="1">
        <f t="array" ref="L786">_xlfn.IFS(C786&lt;0,"DATO INVALIDO", C786+J786&lt;I786,"PEDIR YA", C786&lt;I786,"EN CAMINO OK", TRUE,"SANO")</f>
        <v>SANO</v>
      </c>
    </row>
    <row r="787" spans="1:12" x14ac:dyDescent="0.45">
      <c r="A787" t="s">
        <v>1118</v>
      </c>
      <c r="B787" t="s">
        <v>44</v>
      </c>
      <c r="C787">
        <v>3467</v>
      </c>
      <c r="D787">
        <v>416.7</v>
      </c>
      <c r="E787">
        <v>108.7</v>
      </c>
      <c r="F787">
        <v>6.6</v>
      </c>
      <c r="G787">
        <v>1.5</v>
      </c>
      <c r="H787">
        <f t="shared" si="36"/>
        <v>1129.5826447503741</v>
      </c>
      <c r="I787">
        <f t="shared" si="37"/>
        <v>3879.8026447503739</v>
      </c>
      <c r="J787">
        <f>SUMIFS(Transit_Clean[Quantity], Transit_Clean[Destination], A787, Transit_Clean[Item_Code], B787, Transit_Clean[SAP_Status], "In Transit")</f>
        <v>0</v>
      </c>
      <c r="K787">
        <f t="shared" si="38"/>
        <v>8.3201343892488602</v>
      </c>
      <c r="L787" t="str" cm="1">
        <f t="array" ref="L787">_xlfn.IFS(C787&lt;0,"DATO INVALIDO", C787+J787&lt;I787,"PEDIR YA", C787&lt;I787,"EN CAMINO OK", TRUE,"SANO")</f>
        <v>PEDIR YA</v>
      </c>
    </row>
    <row r="788" spans="1:12" x14ac:dyDescent="0.45">
      <c r="A788" t="s">
        <v>1116</v>
      </c>
      <c r="B788" t="s">
        <v>71</v>
      </c>
      <c r="C788">
        <v>841</v>
      </c>
      <c r="E788">
        <v>52.3</v>
      </c>
      <c r="F788">
        <v>4.4000000000000004</v>
      </c>
      <c r="G788">
        <v>1.6</v>
      </c>
      <c r="H788">
        <f t="shared" si="36"/>
        <v>181.01391910568643</v>
      </c>
      <c r="I788">
        <f t="shared" si="37"/>
        <v>181.01391910568643</v>
      </c>
      <c r="J788">
        <f>SUMIFS(Transit_Clean[Quantity], Transit_Clean[Destination], A788, Transit_Clean[Item_Code], B788, Transit_Clean[SAP_Status], "In Transit")</f>
        <v>1895</v>
      </c>
      <c r="K788" t="str">
        <f t="shared" si="38"/>
        <v/>
      </c>
      <c r="L788" t="str" cm="1">
        <f t="array" ref="L788">_xlfn.IFS(C788&lt;0,"DATO INVALIDO", C788+J788&lt;I788,"PEDIR YA", C788&lt;I788,"EN CAMINO OK", TRUE,"SANO")</f>
        <v>SANO</v>
      </c>
    </row>
    <row r="789" spans="1:12" x14ac:dyDescent="0.45">
      <c r="A789" t="s">
        <v>1120</v>
      </c>
      <c r="B789" t="s">
        <v>1140</v>
      </c>
      <c r="C789">
        <v>872</v>
      </c>
      <c r="D789">
        <v>313.3</v>
      </c>
      <c r="E789">
        <v>39.700000000000003</v>
      </c>
      <c r="F789">
        <v>1.6</v>
      </c>
      <c r="G789">
        <v>0.5</v>
      </c>
      <c r="H789">
        <f t="shared" si="36"/>
        <v>271.42859336527164</v>
      </c>
      <c r="I789">
        <f t="shared" si="37"/>
        <v>772.70859336527167</v>
      </c>
      <c r="J789">
        <f>SUMIFS(Transit_Clean[Quantity], Transit_Clean[Destination], A789, Transit_Clean[Item_Code], B789, Transit_Clean[SAP_Status], "In Transit")</f>
        <v>1771</v>
      </c>
      <c r="K789">
        <f t="shared" si="38"/>
        <v>2.7832748164698371</v>
      </c>
      <c r="L789" t="str" cm="1">
        <f t="array" ref="L789">_xlfn.IFS(C789&lt;0,"DATO INVALIDO", C789+J789&lt;I789,"PEDIR YA", C789&lt;I789,"EN CAMINO OK", TRUE,"SANO")</f>
        <v>SANO</v>
      </c>
    </row>
    <row r="790" spans="1:12" x14ac:dyDescent="0.45">
      <c r="A790" t="s">
        <v>1120</v>
      </c>
      <c r="B790" t="s">
        <v>57</v>
      </c>
      <c r="C790">
        <v>2298</v>
      </c>
      <c r="D790">
        <v>209.7</v>
      </c>
      <c r="E790">
        <v>27</v>
      </c>
      <c r="F790">
        <v>1.7</v>
      </c>
      <c r="G790">
        <v>0.5</v>
      </c>
      <c r="H790">
        <f t="shared" si="36"/>
        <v>182.49344989957856</v>
      </c>
      <c r="I790">
        <f t="shared" si="37"/>
        <v>538.98344989957855</v>
      </c>
      <c r="J790">
        <f>SUMIFS(Transit_Clean[Quantity], Transit_Clean[Destination], A790, Transit_Clean[Item_Code], B790, Transit_Clean[SAP_Status], "In Transit")</f>
        <v>0</v>
      </c>
      <c r="K790">
        <f t="shared" si="38"/>
        <v>10.958512160228899</v>
      </c>
      <c r="L790" t="str" cm="1">
        <f t="array" ref="L790">_xlfn.IFS(C790&lt;0,"DATO INVALIDO", C790+J790&lt;I790,"PEDIR YA", C790&lt;I790,"EN CAMINO OK", TRUE,"SANO")</f>
        <v>SANO</v>
      </c>
    </row>
    <row r="791" spans="1:12" x14ac:dyDescent="0.45">
      <c r="A791" t="s">
        <v>1116</v>
      </c>
      <c r="B791" t="s">
        <v>40</v>
      </c>
      <c r="C791">
        <v>2592</v>
      </c>
      <c r="D791">
        <v>189.6</v>
      </c>
      <c r="E791">
        <v>24.2</v>
      </c>
      <c r="F791">
        <v>5.6</v>
      </c>
      <c r="G791">
        <v>1.6</v>
      </c>
      <c r="H791">
        <f t="shared" si="36"/>
        <v>509.38488726698597</v>
      </c>
      <c r="I791">
        <f t="shared" si="37"/>
        <v>1571.144887266986</v>
      </c>
      <c r="J791">
        <f>SUMIFS(Transit_Clean[Quantity], Transit_Clean[Destination], A791, Transit_Clean[Item_Code], B791, Transit_Clean[SAP_Status], "In Transit")</f>
        <v>0</v>
      </c>
      <c r="K791">
        <f t="shared" si="38"/>
        <v>13.670886075949367</v>
      </c>
      <c r="L791" t="str" cm="1">
        <f t="array" ref="L791">_xlfn.IFS(C791&lt;0,"DATO INVALIDO", C791+J791&lt;I791,"PEDIR YA", C791&lt;I791,"EN CAMINO OK", TRUE,"SANO")</f>
        <v>SANO</v>
      </c>
    </row>
    <row r="792" spans="1:12" x14ac:dyDescent="0.45">
      <c r="A792" t="s">
        <v>1117</v>
      </c>
      <c r="B792" t="s">
        <v>5</v>
      </c>
      <c r="D792">
        <v>167.3</v>
      </c>
      <c r="E792">
        <v>18.8</v>
      </c>
      <c r="F792">
        <v>2.4</v>
      </c>
      <c r="G792">
        <v>0.5</v>
      </c>
      <c r="H792">
        <f t="shared" si="36"/>
        <v>146.14919591379899</v>
      </c>
      <c r="I792">
        <f t="shared" si="37"/>
        <v>547.66919591379906</v>
      </c>
      <c r="J792">
        <f>SUMIFS(Transit_Clean[Quantity], Transit_Clean[Destination], A792, Transit_Clean[Item_Code], B792, Transit_Clean[SAP_Status], "In Transit")</f>
        <v>0</v>
      </c>
      <c r="K792">
        <f t="shared" si="38"/>
        <v>0</v>
      </c>
      <c r="L792" t="str" cm="1">
        <f t="array" ref="L792">_xlfn.IFS(C792&lt;0,"DATO INVALIDO", C792+J792&lt;I792,"PEDIR YA", C792&lt;I792,"EN CAMINO OK", TRUE,"SANO")</f>
        <v>PEDIR YA</v>
      </c>
    </row>
    <row r="793" spans="1:12" x14ac:dyDescent="0.45">
      <c r="A793" t="s">
        <v>1114</v>
      </c>
      <c r="B793" t="s">
        <v>102</v>
      </c>
      <c r="C793">
        <v>3734</v>
      </c>
      <c r="D793">
        <v>311.3</v>
      </c>
      <c r="E793">
        <v>29</v>
      </c>
      <c r="F793">
        <v>2.4</v>
      </c>
      <c r="G793">
        <v>1.3</v>
      </c>
      <c r="H793">
        <f t="shared" si="36"/>
        <v>671.84060489244769</v>
      </c>
      <c r="I793">
        <f t="shared" si="37"/>
        <v>1418.9606048924477</v>
      </c>
      <c r="J793">
        <f>SUMIFS(Transit_Clean[Quantity], Transit_Clean[Destination], A793, Transit_Clean[Item_Code], B793, Transit_Clean[SAP_Status], "In Transit")</f>
        <v>0</v>
      </c>
      <c r="K793">
        <f t="shared" si="38"/>
        <v>11.9948602634115</v>
      </c>
      <c r="L793" t="str" cm="1">
        <f t="array" ref="L793">_xlfn.IFS(C793&lt;0,"DATO INVALIDO", C793+J793&lt;I793,"PEDIR YA", C793&lt;I793,"EN CAMINO OK", TRUE,"SANO")</f>
        <v>SANO</v>
      </c>
    </row>
    <row r="794" spans="1:12" x14ac:dyDescent="0.45">
      <c r="A794" t="s">
        <v>1115</v>
      </c>
      <c r="B794" t="s">
        <v>22</v>
      </c>
      <c r="C794">
        <v>4612</v>
      </c>
      <c r="D794">
        <v>432.4</v>
      </c>
      <c r="E794">
        <v>238.5</v>
      </c>
      <c r="F794">
        <v>2.2999999999999998</v>
      </c>
      <c r="G794">
        <v>0.6</v>
      </c>
      <c r="H794">
        <f t="shared" si="36"/>
        <v>734.45999939649528</v>
      </c>
      <c r="I794">
        <f t="shared" si="37"/>
        <v>1728.9799993964953</v>
      </c>
      <c r="J794">
        <f>SUMIFS(Transit_Clean[Quantity], Transit_Clean[Destination], A794, Transit_Clean[Item_Code], B794, Transit_Clean[SAP_Status], "In Transit")</f>
        <v>0</v>
      </c>
      <c r="K794">
        <f t="shared" si="38"/>
        <v>10.666049953746532</v>
      </c>
      <c r="L794" t="str" cm="1">
        <f t="array" ref="L794">_xlfn.IFS(C794&lt;0,"DATO INVALIDO", C794+J794&lt;I794,"PEDIR YA", C794&lt;I794,"EN CAMINO OK", TRUE,"SANO")</f>
        <v>SANO</v>
      </c>
    </row>
    <row r="795" spans="1:12" x14ac:dyDescent="0.45">
      <c r="A795" t="s">
        <v>1117</v>
      </c>
      <c r="B795" t="s">
        <v>63</v>
      </c>
      <c r="C795">
        <v>1844</v>
      </c>
      <c r="D795">
        <v>276.89999999999998</v>
      </c>
      <c r="E795">
        <v>64.599999999999994</v>
      </c>
      <c r="F795">
        <v>1.6</v>
      </c>
      <c r="G795">
        <v>0.5</v>
      </c>
      <c r="H795">
        <f t="shared" si="36"/>
        <v>265.26262602607625</v>
      </c>
      <c r="I795">
        <f t="shared" si="37"/>
        <v>708.30262602607627</v>
      </c>
      <c r="J795">
        <f>SUMIFS(Transit_Clean[Quantity], Transit_Clean[Destination], A795, Transit_Clean[Item_Code], B795, Transit_Clean[SAP_Status], "In Transit")</f>
        <v>0</v>
      </c>
      <c r="K795">
        <f t="shared" si="38"/>
        <v>6.6594438425424345</v>
      </c>
      <c r="L795" t="str" cm="1">
        <f t="array" ref="L795">_xlfn.IFS(C795&lt;0,"DATO INVALIDO", C795+J795&lt;I795,"PEDIR YA", C795&lt;I795,"EN CAMINO OK", TRUE,"SANO")</f>
        <v>SANO</v>
      </c>
    </row>
    <row r="796" spans="1:12" x14ac:dyDescent="0.45">
      <c r="A796" t="s">
        <v>1117</v>
      </c>
      <c r="B796" t="s">
        <v>35</v>
      </c>
      <c r="C796">
        <v>3310</v>
      </c>
      <c r="D796">
        <v>224</v>
      </c>
      <c r="E796">
        <v>37.4</v>
      </c>
      <c r="F796">
        <v>1.2</v>
      </c>
      <c r="G796">
        <v>0.5</v>
      </c>
      <c r="H796">
        <f t="shared" si="36"/>
        <v>196.7759866447123</v>
      </c>
      <c r="I796">
        <f t="shared" si="37"/>
        <v>465.57598664471232</v>
      </c>
      <c r="J796">
        <f>SUMIFS(Transit_Clean[Quantity], Transit_Clean[Destination], A796, Transit_Clean[Item_Code], B796, Transit_Clean[SAP_Status], "In Transit")</f>
        <v>2379</v>
      </c>
      <c r="K796">
        <f t="shared" si="38"/>
        <v>14.776785714285714</v>
      </c>
      <c r="L796" t="str" cm="1">
        <f t="array" ref="L796">_xlfn.IFS(C796&lt;0,"DATO INVALIDO", C796+J796&lt;I796,"PEDIR YA", C796&lt;I796,"EN CAMINO OK", TRUE,"SANO")</f>
        <v>SANO</v>
      </c>
    </row>
    <row r="797" spans="1:12" x14ac:dyDescent="0.45">
      <c r="A797" t="s">
        <v>1120</v>
      </c>
      <c r="B797" t="s">
        <v>84</v>
      </c>
      <c r="D797">
        <v>522.29999999999995</v>
      </c>
      <c r="E797">
        <v>175.5</v>
      </c>
      <c r="F797">
        <v>2.2999999999999998</v>
      </c>
      <c r="G797">
        <v>0.5</v>
      </c>
      <c r="H797">
        <f t="shared" si="36"/>
        <v>615.25289186134671</v>
      </c>
      <c r="I797">
        <f t="shared" si="37"/>
        <v>1816.5428918613466</v>
      </c>
      <c r="J797">
        <f>SUMIFS(Transit_Clean[Quantity], Transit_Clean[Destination], A797, Transit_Clean[Item_Code], B797, Transit_Clean[SAP_Status], "In Transit")</f>
        <v>0</v>
      </c>
      <c r="K797">
        <f t="shared" si="38"/>
        <v>0</v>
      </c>
      <c r="L797" t="str" cm="1">
        <f t="array" ref="L797">_xlfn.IFS(C797&lt;0,"DATO INVALIDO", C797+J797&lt;I797,"PEDIR YA", C797&lt;I797,"EN CAMINO OK", TRUE,"SANO")</f>
        <v>PEDIR YA</v>
      </c>
    </row>
    <row r="798" spans="1:12" x14ac:dyDescent="0.45">
      <c r="A798" t="s">
        <v>1124</v>
      </c>
      <c r="B798" t="s">
        <v>31</v>
      </c>
      <c r="C798">
        <v>1169</v>
      </c>
      <c r="D798">
        <v>302.89999999999998</v>
      </c>
      <c r="E798">
        <v>33.1</v>
      </c>
      <c r="F798">
        <v>1</v>
      </c>
      <c r="G798">
        <v>0.3</v>
      </c>
      <c r="H798">
        <f t="shared" si="36"/>
        <v>159.5727181734083</v>
      </c>
      <c r="I798">
        <f t="shared" si="37"/>
        <v>462.47271817340828</v>
      </c>
      <c r="J798">
        <f>SUMIFS(Transit_Clean[Quantity], Transit_Clean[Destination], A798, Transit_Clean[Item_Code], B798, Transit_Clean[SAP_Status], "In Transit")</f>
        <v>943</v>
      </c>
      <c r="K798">
        <f t="shared" si="38"/>
        <v>3.8593595245955763</v>
      </c>
      <c r="L798" t="str" cm="1">
        <f t="array" ref="L798">_xlfn.IFS(C798&lt;0,"DATO INVALIDO", C798+J798&lt;I798,"PEDIR YA", C798&lt;I798,"EN CAMINO OK", TRUE,"SANO")</f>
        <v>SANO</v>
      </c>
    </row>
    <row r="799" spans="1:12" x14ac:dyDescent="0.45">
      <c r="A799" t="s">
        <v>1120</v>
      </c>
      <c r="B799" t="s">
        <v>98</v>
      </c>
      <c r="C799">
        <v>5383</v>
      </c>
      <c r="D799">
        <v>307.7</v>
      </c>
      <c r="E799">
        <v>47.9</v>
      </c>
      <c r="F799">
        <v>2.4</v>
      </c>
      <c r="G799">
        <v>0.5</v>
      </c>
      <c r="H799">
        <f t="shared" si="36"/>
        <v>281.83819240168634</v>
      </c>
      <c r="I799">
        <f t="shared" si="37"/>
        <v>1020.3181924016862</v>
      </c>
      <c r="J799">
        <f>SUMIFS(Transit_Clean[Quantity], Transit_Clean[Destination], A799, Transit_Clean[Item_Code], B799, Transit_Clean[SAP_Status], "In Transit")</f>
        <v>4143</v>
      </c>
      <c r="K799">
        <f t="shared" si="38"/>
        <v>17.494312642183946</v>
      </c>
      <c r="L799" t="str" cm="1">
        <f t="array" ref="L799">_xlfn.IFS(C799&lt;0,"DATO INVALIDO", C799+J799&lt;I799,"PEDIR YA", C799&lt;I799,"EN CAMINO OK", TRUE,"SANO")</f>
        <v>SANO</v>
      </c>
    </row>
    <row r="800" spans="1:12" x14ac:dyDescent="0.45">
      <c r="A800" t="s">
        <v>1124</v>
      </c>
      <c r="B800" t="s">
        <v>83</v>
      </c>
      <c r="C800">
        <v>3460</v>
      </c>
      <c r="D800">
        <v>626</v>
      </c>
      <c r="E800">
        <v>157.1</v>
      </c>
      <c r="F800">
        <v>0.7</v>
      </c>
      <c r="G800">
        <v>0.3</v>
      </c>
      <c r="H800">
        <f t="shared" si="36"/>
        <v>378.22494399166743</v>
      </c>
      <c r="I800">
        <f t="shared" si="37"/>
        <v>816.42494399166742</v>
      </c>
      <c r="J800">
        <f>SUMIFS(Transit_Clean[Quantity], Transit_Clean[Destination], A800, Transit_Clean[Item_Code], B800, Transit_Clean[SAP_Status], "In Transit")</f>
        <v>0</v>
      </c>
      <c r="K800">
        <f t="shared" si="38"/>
        <v>5.5271565495207664</v>
      </c>
      <c r="L800" t="str" cm="1">
        <f t="array" ref="L800">_xlfn.IFS(C800&lt;0,"DATO INVALIDO", C800+J800&lt;I800,"PEDIR YA", C800&lt;I800,"EN CAMINO OK", TRUE,"SANO")</f>
        <v>SANO</v>
      </c>
    </row>
    <row r="801" spans="1:12" x14ac:dyDescent="0.45">
      <c r="A801" t="s">
        <v>1128</v>
      </c>
      <c r="B801" t="s">
        <v>37</v>
      </c>
      <c r="C801">
        <v>5600</v>
      </c>
      <c r="D801">
        <v>705.6</v>
      </c>
      <c r="E801">
        <v>439.5</v>
      </c>
      <c r="F801">
        <v>1.1000000000000001</v>
      </c>
      <c r="G801">
        <v>0.5</v>
      </c>
      <c r="H801">
        <f t="shared" si="36"/>
        <v>957.77364397205042</v>
      </c>
      <c r="I801">
        <f t="shared" si="37"/>
        <v>1733.9336439720505</v>
      </c>
      <c r="J801">
        <f>SUMIFS(Transit_Clean[Quantity], Transit_Clean[Destination], A801, Transit_Clean[Item_Code], B801, Transit_Clean[SAP_Status], "In Transit")</f>
        <v>0</v>
      </c>
      <c r="K801">
        <f t="shared" si="38"/>
        <v>7.9365079365079358</v>
      </c>
      <c r="L801" t="str" cm="1">
        <f t="array" ref="L801">_xlfn.IFS(C801&lt;0,"DATO INVALIDO", C801+J801&lt;I801,"PEDIR YA", C801&lt;I801,"EN CAMINO OK", TRUE,"SANO")</f>
        <v>SANO</v>
      </c>
    </row>
    <row r="802" spans="1:12" x14ac:dyDescent="0.45">
      <c r="A802" t="s">
        <v>1126</v>
      </c>
      <c r="B802" t="s">
        <v>78</v>
      </c>
      <c r="C802">
        <v>2971</v>
      </c>
      <c r="D802">
        <v>220.4</v>
      </c>
      <c r="E802">
        <v>65.900000000000006</v>
      </c>
      <c r="F802">
        <v>1</v>
      </c>
      <c r="G802">
        <v>0.2</v>
      </c>
      <c r="H802">
        <f t="shared" si="36"/>
        <v>130.8175983918066</v>
      </c>
      <c r="I802">
        <f t="shared" si="37"/>
        <v>351.21759839180663</v>
      </c>
      <c r="J802">
        <f>SUMIFS(Transit_Clean[Quantity], Transit_Clean[Destination], A802, Transit_Clean[Item_Code], B802, Transit_Clean[SAP_Status], "In Transit")</f>
        <v>1904</v>
      </c>
      <c r="K802">
        <f t="shared" si="38"/>
        <v>13.480036297640654</v>
      </c>
      <c r="L802" t="str" cm="1">
        <f t="array" ref="L802">_xlfn.IFS(C802&lt;0,"DATO INVALIDO", C802+J802&lt;I802,"PEDIR YA", C802&lt;I802,"EN CAMINO OK", TRUE,"SANO")</f>
        <v>SANO</v>
      </c>
    </row>
    <row r="803" spans="1:12" x14ac:dyDescent="0.45">
      <c r="A803" t="s">
        <v>1123</v>
      </c>
      <c r="B803" t="s">
        <v>49</v>
      </c>
      <c r="C803">
        <v>4748</v>
      </c>
      <c r="D803">
        <v>402.8</v>
      </c>
      <c r="E803">
        <v>78.7</v>
      </c>
      <c r="F803">
        <v>1.1000000000000001</v>
      </c>
      <c r="G803">
        <v>0.3</v>
      </c>
      <c r="H803">
        <f t="shared" si="36"/>
        <v>241.46082523568907</v>
      </c>
      <c r="I803">
        <f t="shared" si="37"/>
        <v>684.54082523568911</v>
      </c>
      <c r="J803">
        <f>SUMIFS(Transit_Clean[Quantity], Transit_Clean[Destination], A803, Transit_Clean[Item_Code], B803, Transit_Clean[SAP_Status], "In Transit")</f>
        <v>0</v>
      </c>
      <c r="K803">
        <f t="shared" si="38"/>
        <v>11.787487586891757</v>
      </c>
      <c r="L803" t="str" cm="1">
        <f t="array" ref="L803">_xlfn.IFS(C803&lt;0,"DATO INVALIDO", C803+J803&lt;I803,"PEDIR YA", C803&lt;I803,"EN CAMINO OK", TRUE,"SANO")</f>
        <v>SANO</v>
      </c>
    </row>
    <row r="804" spans="1:12" x14ac:dyDescent="0.45">
      <c r="A804" t="s">
        <v>1128</v>
      </c>
      <c r="B804" t="s">
        <v>7</v>
      </c>
      <c r="C804">
        <v>990</v>
      </c>
      <c r="D804">
        <v>313.60000000000002</v>
      </c>
      <c r="E804">
        <v>31.9</v>
      </c>
      <c r="F804">
        <v>1.9</v>
      </c>
      <c r="G804">
        <v>0.5</v>
      </c>
      <c r="H804">
        <f t="shared" si="36"/>
        <v>268.70035453549372</v>
      </c>
      <c r="I804">
        <f t="shared" si="37"/>
        <v>864.54035453549375</v>
      </c>
      <c r="J804">
        <f>SUMIFS(Transit_Clean[Quantity], Transit_Clean[Destination], A804, Transit_Clean[Item_Code], B804, Transit_Clean[SAP_Status], "In Transit")</f>
        <v>645</v>
      </c>
      <c r="K804">
        <f t="shared" si="38"/>
        <v>3.1568877551020407</v>
      </c>
      <c r="L804" t="str" cm="1">
        <f t="array" ref="L804">_xlfn.IFS(C804&lt;0,"DATO INVALIDO", C804+J804&lt;I804,"PEDIR YA", C804&lt;I804,"EN CAMINO OK", TRUE,"SANO")</f>
        <v>SANO</v>
      </c>
    </row>
    <row r="805" spans="1:12" x14ac:dyDescent="0.45">
      <c r="A805" t="s">
        <v>1123</v>
      </c>
      <c r="B805" t="s">
        <v>78</v>
      </c>
      <c r="C805">
        <v>1037</v>
      </c>
      <c r="D805">
        <v>176.4</v>
      </c>
      <c r="E805">
        <v>62.9</v>
      </c>
      <c r="F805">
        <v>1.3</v>
      </c>
      <c r="G805">
        <v>0.3</v>
      </c>
      <c r="H805">
        <f t="shared" si="36"/>
        <v>147.06174627176165</v>
      </c>
      <c r="I805">
        <f t="shared" si="37"/>
        <v>376.3817462717617</v>
      </c>
      <c r="J805">
        <f>SUMIFS(Transit_Clean[Quantity], Transit_Clean[Destination], A805, Transit_Clean[Item_Code], B805, Transit_Clean[SAP_Status], "In Transit")</f>
        <v>0</v>
      </c>
      <c r="K805">
        <f t="shared" si="38"/>
        <v>5.8786848072562359</v>
      </c>
      <c r="L805" t="str" cm="1">
        <f t="array" ref="L805">_xlfn.IFS(C805&lt;0,"DATO INVALIDO", C805+J805&lt;I805,"PEDIR YA", C805&lt;I805,"EN CAMINO OK", TRUE,"SANO")</f>
        <v>SANO</v>
      </c>
    </row>
    <row r="806" spans="1:12" x14ac:dyDescent="0.45">
      <c r="A806" t="s">
        <v>1124</v>
      </c>
      <c r="B806" t="s">
        <v>7</v>
      </c>
      <c r="C806">
        <v>3211</v>
      </c>
      <c r="D806">
        <v>445.8</v>
      </c>
      <c r="E806">
        <v>51.7</v>
      </c>
      <c r="F806">
        <v>1.2</v>
      </c>
      <c r="G806">
        <v>0.3</v>
      </c>
      <c r="H806">
        <f t="shared" si="36"/>
        <v>239.64144439349383</v>
      </c>
      <c r="I806">
        <f t="shared" si="37"/>
        <v>774.60144439349392</v>
      </c>
      <c r="J806">
        <f>SUMIFS(Transit_Clean[Quantity], Transit_Clean[Destination], A806, Transit_Clean[Item_Code], B806, Transit_Clean[SAP_Status], "In Transit")</f>
        <v>0</v>
      </c>
      <c r="K806">
        <f t="shared" si="38"/>
        <v>7.2027815163750555</v>
      </c>
      <c r="L806" t="str" cm="1">
        <f t="array" ref="L806">_xlfn.IFS(C806&lt;0,"DATO INVALIDO", C806+J806&lt;I806,"PEDIR YA", C806&lt;I806,"EN CAMINO OK", TRUE,"SANO")</f>
        <v>SANO</v>
      </c>
    </row>
    <row r="807" spans="1:12" x14ac:dyDescent="0.45">
      <c r="A807" t="s">
        <v>1119</v>
      </c>
      <c r="B807" t="s">
        <v>1133</v>
      </c>
      <c r="C807">
        <v>5910</v>
      </c>
      <c r="D807">
        <v>697.9</v>
      </c>
      <c r="E807">
        <v>177.5</v>
      </c>
      <c r="F807">
        <v>1.3</v>
      </c>
      <c r="G807">
        <v>1</v>
      </c>
      <c r="H807">
        <f t="shared" si="36"/>
        <v>1198.9751254873888</v>
      </c>
      <c r="I807">
        <f t="shared" si="37"/>
        <v>2106.2451254873886</v>
      </c>
      <c r="J807">
        <f>SUMIFS(Transit_Clean[Quantity], Transit_Clean[Destination], A807, Transit_Clean[Item_Code], B807, Transit_Clean[SAP_Status], "In Transit")</f>
        <v>0</v>
      </c>
      <c r="K807">
        <f t="shared" si="38"/>
        <v>8.4682619286430718</v>
      </c>
      <c r="L807" t="str" cm="1">
        <f t="array" ref="L807">_xlfn.IFS(C807&lt;0,"DATO INVALIDO", C807+J807&lt;I807,"PEDIR YA", C807&lt;I807,"EN CAMINO OK", TRUE,"SANO")</f>
        <v>SANO</v>
      </c>
    </row>
    <row r="808" spans="1:12" x14ac:dyDescent="0.45">
      <c r="A808" t="s">
        <v>1117</v>
      </c>
      <c r="B808" t="s">
        <v>42</v>
      </c>
      <c r="C808">
        <v>5604</v>
      </c>
      <c r="D808">
        <v>369.1</v>
      </c>
      <c r="E808">
        <v>119</v>
      </c>
      <c r="F808">
        <v>1.5</v>
      </c>
      <c r="G808">
        <v>0.5</v>
      </c>
      <c r="H808">
        <f t="shared" si="36"/>
        <v>388.01391895942339</v>
      </c>
      <c r="I808">
        <f t="shared" si="37"/>
        <v>941.66391895942343</v>
      </c>
      <c r="J808">
        <f>SUMIFS(Transit_Clean[Quantity], Transit_Clean[Destination], A808, Transit_Clean[Item_Code], B808, Transit_Clean[SAP_Status], "In Transit")</f>
        <v>0</v>
      </c>
      <c r="K808">
        <f t="shared" si="38"/>
        <v>15.182877269032781</v>
      </c>
      <c r="L808" t="str" cm="1">
        <f t="array" ref="L808">_xlfn.IFS(C808&lt;0,"DATO INVALIDO", C808+J808&lt;I808,"PEDIR YA", C808&lt;I808,"EN CAMINO OK", TRUE,"SANO")</f>
        <v>SANO</v>
      </c>
    </row>
    <row r="809" spans="1:12" x14ac:dyDescent="0.45">
      <c r="A809" t="s">
        <v>1115</v>
      </c>
      <c r="B809" t="s">
        <v>1141</v>
      </c>
      <c r="C809">
        <v>799</v>
      </c>
      <c r="D809">
        <v>416.3</v>
      </c>
      <c r="E809">
        <v>40.299999999999997</v>
      </c>
      <c r="F809">
        <v>2.5</v>
      </c>
      <c r="G809">
        <v>0.6</v>
      </c>
      <c r="H809">
        <f t="shared" si="36"/>
        <v>425.3361838963387</v>
      </c>
      <c r="I809">
        <f t="shared" si="37"/>
        <v>1466.0861838963388</v>
      </c>
      <c r="J809">
        <f>SUMIFS(Transit_Clean[Quantity], Transit_Clean[Destination], A809, Transit_Clean[Item_Code], B809, Transit_Clean[SAP_Status], "In Transit")</f>
        <v>0</v>
      </c>
      <c r="K809">
        <f t="shared" si="38"/>
        <v>1.9192889742973815</v>
      </c>
      <c r="L809" t="str" cm="1">
        <f t="array" ref="L809">_xlfn.IFS(C809&lt;0,"DATO INVALIDO", C809+J809&lt;I809,"PEDIR YA", C809&lt;I809,"EN CAMINO OK", TRUE,"SANO")</f>
        <v>PEDIR YA</v>
      </c>
    </row>
    <row r="810" spans="1:12" x14ac:dyDescent="0.45">
      <c r="A810" t="s">
        <v>1119</v>
      </c>
      <c r="B810" t="s">
        <v>57</v>
      </c>
      <c r="C810">
        <v>457</v>
      </c>
      <c r="D810">
        <v>145.19999999999999</v>
      </c>
      <c r="E810">
        <v>18.899999999999999</v>
      </c>
      <c r="F810">
        <v>4.7</v>
      </c>
      <c r="G810">
        <v>1</v>
      </c>
      <c r="H810">
        <f t="shared" si="36"/>
        <v>248.93643015336261</v>
      </c>
      <c r="I810">
        <f t="shared" si="37"/>
        <v>931.37643015336255</v>
      </c>
      <c r="J810">
        <f>SUMIFS(Transit_Clean[Quantity], Transit_Clean[Destination], A810, Transit_Clean[Item_Code], B810, Transit_Clean[SAP_Status], "In Transit")</f>
        <v>0</v>
      </c>
      <c r="K810">
        <f t="shared" si="38"/>
        <v>3.1473829201101933</v>
      </c>
      <c r="L810" t="str" cm="1">
        <f t="array" ref="L810">_xlfn.IFS(C810&lt;0,"DATO INVALIDO", C810+J810&lt;I810,"PEDIR YA", C810&lt;I810,"EN CAMINO OK", TRUE,"SANO")</f>
        <v>PEDIR YA</v>
      </c>
    </row>
    <row r="811" spans="1:12" x14ac:dyDescent="0.45">
      <c r="A811" t="s">
        <v>1123</v>
      </c>
      <c r="B811" t="s">
        <v>27</v>
      </c>
      <c r="C811">
        <v>4868</v>
      </c>
      <c r="D811">
        <v>526.9</v>
      </c>
      <c r="E811">
        <v>246.3</v>
      </c>
      <c r="F811">
        <v>1.2</v>
      </c>
      <c r="G811">
        <v>0.3</v>
      </c>
      <c r="H811">
        <f t="shared" si="36"/>
        <v>515.95833191281054</v>
      </c>
      <c r="I811">
        <f t="shared" si="37"/>
        <v>1148.2383319128105</v>
      </c>
      <c r="J811">
        <f>SUMIFS(Transit_Clean[Quantity], Transit_Clean[Destination], A811, Transit_Clean[Item_Code], B811, Transit_Clean[SAP_Status], "In Transit")</f>
        <v>780</v>
      </c>
      <c r="K811">
        <f t="shared" si="38"/>
        <v>9.2389447713038528</v>
      </c>
      <c r="L811" t="str" cm="1">
        <f t="array" ref="L811">_xlfn.IFS(C811&lt;0,"DATO INVALIDO", C811+J811&lt;I811,"PEDIR YA", C811&lt;I811,"EN CAMINO OK", TRUE,"SANO")</f>
        <v>SANO</v>
      </c>
    </row>
    <row r="812" spans="1:12" x14ac:dyDescent="0.45">
      <c r="A812" t="s">
        <v>1122</v>
      </c>
      <c r="B812" t="s">
        <v>33</v>
      </c>
      <c r="C812">
        <v>3377</v>
      </c>
      <c r="D812">
        <v>263.5</v>
      </c>
      <c r="E812">
        <v>33</v>
      </c>
      <c r="F812">
        <v>1.2</v>
      </c>
      <c r="G812">
        <v>0.2</v>
      </c>
      <c r="H812">
        <f t="shared" si="36"/>
        <v>105.44636089026496</v>
      </c>
      <c r="I812">
        <f t="shared" si="37"/>
        <v>421.64636089026493</v>
      </c>
      <c r="J812">
        <f>SUMIFS(Transit_Clean[Quantity], Transit_Clean[Destination], A812, Transit_Clean[Item_Code], B812, Transit_Clean[SAP_Status], "In Transit")</f>
        <v>0</v>
      </c>
      <c r="K812">
        <f t="shared" si="38"/>
        <v>12.815939278937382</v>
      </c>
      <c r="L812" t="str" cm="1">
        <f t="array" ref="L812">_xlfn.IFS(C812&lt;0,"DATO INVALIDO", C812+J812&lt;I812,"PEDIR YA", C812&lt;I812,"EN CAMINO OK", TRUE,"SANO")</f>
        <v>SANO</v>
      </c>
    </row>
    <row r="813" spans="1:12" x14ac:dyDescent="0.45">
      <c r="A813" t="s">
        <v>1128</v>
      </c>
      <c r="B813" t="s">
        <v>77</v>
      </c>
      <c r="C813">
        <v>-10</v>
      </c>
      <c r="D813">
        <v>435.8</v>
      </c>
      <c r="E813">
        <v>169.7</v>
      </c>
      <c r="F813">
        <v>2.2000000000000002</v>
      </c>
      <c r="G813">
        <v>0.5</v>
      </c>
      <c r="H813">
        <f t="shared" si="36"/>
        <v>549.31919343856896</v>
      </c>
      <c r="I813">
        <f t="shared" si="37"/>
        <v>1508.0791934385691</v>
      </c>
      <c r="J813">
        <f>SUMIFS(Transit_Clean[Quantity], Transit_Clean[Destination], A813, Transit_Clean[Item_Code], B813, Transit_Clean[SAP_Status], "In Transit")</f>
        <v>0</v>
      </c>
      <c r="K813">
        <f t="shared" si="38"/>
        <v>-2.2946305644791189E-2</v>
      </c>
      <c r="L813" t="str" cm="1">
        <f t="array" ref="L813">_xlfn.IFS(C813&lt;0,"DATO INVALIDO", C813+J813&lt;I813,"PEDIR YA", C813&lt;I813,"EN CAMINO OK", TRUE,"SANO")</f>
        <v>DATO INVALIDO</v>
      </c>
    </row>
    <row r="814" spans="1:12" x14ac:dyDescent="0.45">
      <c r="A814" t="s">
        <v>1114</v>
      </c>
      <c r="B814" t="s">
        <v>67</v>
      </c>
      <c r="C814">
        <v>576</v>
      </c>
      <c r="D814">
        <v>198.7</v>
      </c>
      <c r="E814">
        <v>80.900000000000006</v>
      </c>
      <c r="F814">
        <v>2.8</v>
      </c>
      <c r="G814">
        <v>1.3</v>
      </c>
      <c r="H814">
        <f t="shared" si="36"/>
        <v>481.19365058388917</v>
      </c>
      <c r="I814">
        <f t="shared" si="37"/>
        <v>1037.5536505838891</v>
      </c>
      <c r="J814">
        <f>SUMIFS(Transit_Clean[Quantity], Transit_Clean[Destination], A814, Transit_Clean[Item_Code], B814, Transit_Clean[SAP_Status], "In Transit")</f>
        <v>5936</v>
      </c>
      <c r="K814">
        <f t="shared" si="38"/>
        <v>2.898842476094615</v>
      </c>
      <c r="L814" t="str" cm="1">
        <f t="array" ref="L814">_xlfn.IFS(C814&lt;0,"DATO INVALIDO", C814+J814&lt;I814,"PEDIR YA", C814&lt;I814,"EN CAMINO OK", TRUE,"SANO")</f>
        <v>EN CAMINO OK</v>
      </c>
    </row>
    <row r="815" spans="1:12" x14ac:dyDescent="0.45">
      <c r="A815" t="s">
        <v>1120</v>
      </c>
      <c r="B815" t="s">
        <v>42</v>
      </c>
      <c r="C815">
        <v>2326</v>
      </c>
      <c r="E815">
        <v>88.2</v>
      </c>
      <c r="F815">
        <v>2.4</v>
      </c>
      <c r="G815">
        <v>0.5</v>
      </c>
      <c r="H815">
        <f t="shared" si="36"/>
        <v>225.45410654942611</v>
      </c>
      <c r="I815">
        <f t="shared" si="37"/>
        <v>225.45410654942611</v>
      </c>
      <c r="J815">
        <f>SUMIFS(Transit_Clean[Quantity], Transit_Clean[Destination], A815, Transit_Clean[Item_Code], B815, Transit_Clean[SAP_Status], "In Transit")</f>
        <v>6212</v>
      </c>
      <c r="K815" t="str">
        <f t="shared" si="38"/>
        <v/>
      </c>
      <c r="L815" t="str" cm="1">
        <f t="array" ref="L815">_xlfn.IFS(C815&lt;0,"DATO INVALIDO", C815+J815&lt;I815,"PEDIR YA", C815&lt;I815,"EN CAMINO OK", TRUE,"SANO")</f>
        <v>SANO</v>
      </c>
    </row>
    <row r="816" spans="1:12" x14ac:dyDescent="0.45">
      <c r="A816" t="s">
        <v>1118</v>
      </c>
      <c r="B816" t="s">
        <v>1130</v>
      </c>
      <c r="C816">
        <v>3190</v>
      </c>
      <c r="D816">
        <v>604.79999999999995</v>
      </c>
      <c r="E816">
        <v>383.5</v>
      </c>
      <c r="F816">
        <v>4.5</v>
      </c>
      <c r="G816">
        <v>1.5</v>
      </c>
      <c r="H816">
        <f t="shared" si="36"/>
        <v>2010.5891269009933</v>
      </c>
      <c r="I816">
        <f t="shared" si="37"/>
        <v>4732.189126900993</v>
      </c>
      <c r="J816">
        <f>SUMIFS(Transit_Clean[Quantity], Transit_Clean[Destination], A816, Transit_Clean[Item_Code], B816, Transit_Clean[SAP_Status], "In Transit")</f>
        <v>3990</v>
      </c>
      <c r="K816">
        <f t="shared" si="38"/>
        <v>5.2744708994708995</v>
      </c>
      <c r="L816" t="str" cm="1">
        <f t="array" ref="L816">_xlfn.IFS(C816&lt;0,"DATO INVALIDO", C816+J816&lt;I816,"PEDIR YA", C816&lt;I816,"EN CAMINO OK", TRUE,"SANO")</f>
        <v>EN CAMINO OK</v>
      </c>
    </row>
    <row r="817" spans="1:12" x14ac:dyDescent="0.45">
      <c r="A817" t="s">
        <v>1117</v>
      </c>
      <c r="B817" t="s">
        <v>57</v>
      </c>
      <c r="C817">
        <v>4077</v>
      </c>
      <c r="D817">
        <v>291.7</v>
      </c>
      <c r="E817">
        <v>29.3</v>
      </c>
      <c r="F817">
        <v>2.2000000000000002</v>
      </c>
      <c r="G817">
        <v>0.5</v>
      </c>
      <c r="H817">
        <f t="shared" si="36"/>
        <v>251.10864503487329</v>
      </c>
      <c r="I817">
        <f t="shared" si="37"/>
        <v>892.84864503487324</v>
      </c>
      <c r="J817">
        <f>SUMIFS(Transit_Clean[Quantity], Transit_Clean[Destination], A817, Transit_Clean[Item_Code], B817, Transit_Clean[SAP_Status], "In Transit")</f>
        <v>0</v>
      </c>
      <c r="K817">
        <f t="shared" si="38"/>
        <v>13.976688378471032</v>
      </c>
      <c r="L817" t="str" cm="1">
        <f t="array" ref="L817">_xlfn.IFS(C817&lt;0,"DATO INVALIDO", C817+J817&lt;I817,"PEDIR YA", C817&lt;I817,"EN CAMINO OK", TRUE,"SANO")</f>
        <v>SANO</v>
      </c>
    </row>
    <row r="818" spans="1:12" x14ac:dyDescent="0.45">
      <c r="A818" t="s">
        <v>1118</v>
      </c>
      <c r="B818" t="s">
        <v>84</v>
      </c>
      <c r="C818">
        <v>1391</v>
      </c>
      <c r="D818">
        <v>327.10000000000002</v>
      </c>
      <c r="E818">
        <v>105.7</v>
      </c>
      <c r="F818">
        <v>4</v>
      </c>
      <c r="G818">
        <v>1.5</v>
      </c>
      <c r="H818">
        <f t="shared" si="36"/>
        <v>881.51917100891808</v>
      </c>
      <c r="I818">
        <f t="shared" si="37"/>
        <v>2189.9191710089181</v>
      </c>
      <c r="J818">
        <f>SUMIFS(Transit_Clean[Quantity], Transit_Clean[Destination], A818, Transit_Clean[Item_Code], B818, Transit_Clean[SAP_Status], "In Transit")</f>
        <v>4871</v>
      </c>
      <c r="K818">
        <f t="shared" si="38"/>
        <v>4.2525221644756952</v>
      </c>
      <c r="L818" t="str" cm="1">
        <f t="array" ref="L818">_xlfn.IFS(C818&lt;0,"DATO INVALIDO", C818+J818&lt;I818,"PEDIR YA", C818&lt;I818,"EN CAMINO OK", TRUE,"SANO")</f>
        <v>EN CAMINO OK</v>
      </c>
    </row>
    <row r="819" spans="1:12" x14ac:dyDescent="0.45">
      <c r="A819" t="s">
        <v>1118</v>
      </c>
      <c r="B819" t="s">
        <v>18</v>
      </c>
      <c r="C819">
        <v>7945</v>
      </c>
      <c r="D819">
        <v>490</v>
      </c>
      <c r="E819">
        <v>63.2</v>
      </c>
      <c r="F819">
        <v>4.9000000000000004</v>
      </c>
      <c r="G819">
        <v>1.5</v>
      </c>
      <c r="H819">
        <f t="shared" si="36"/>
        <v>1234.5228724734102</v>
      </c>
      <c r="I819">
        <f t="shared" si="37"/>
        <v>3635.5228724734102</v>
      </c>
      <c r="J819">
        <f>SUMIFS(Transit_Clean[Quantity], Transit_Clean[Destination], A819, Transit_Clean[Item_Code], B819, Transit_Clean[SAP_Status], "In Transit")</f>
        <v>1252</v>
      </c>
      <c r="K819">
        <f t="shared" si="38"/>
        <v>16.214285714285715</v>
      </c>
      <c r="L819" t="str" cm="1">
        <f t="array" ref="L819">_xlfn.IFS(C819&lt;0,"DATO INVALIDO", C819+J819&lt;I819,"PEDIR YA", C819&lt;I819,"EN CAMINO OK", TRUE,"SANO")</f>
        <v>SANO</v>
      </c>
    </row>
    <row r="820" spans="1:12" x14ac:dyDescent="0.45">
      <c r="A820" t="s">
        <v>1124</v>
      </c>
      <c r="B820" t="s">
        <v>32</v>
      </c>
      <c r="C820">
        <v>2209</v>
      </c>
      <c r="D820">
        <v>334.4</v>
      </c>
      <c r="E820">
        <v>91.6</v>
      </c>
      <c r="F820">
        <v>1.1000000000000001</v>
      </c>
      <c r="G820">
        <v>0.3</v>
      </c>
      <c r="H820">
        <f t="shared" si="36"/>
        <v>229.18801963453498</v>
      </c>
      <c r="I820">
        <f t="shared" si="37"/>
        <v>597.02801963453499</v>
      </c>
      <c r="J820">
        <f>SUMIFS(Transit_Clean[Quantity], Transit_Clean[Destination], A820, Transit_Clean[Item_Code], B820, Transit_Clean[SAP_Status], "In Transit")</f>
        <v>0</v>
      </c>
      <c r="K820">
        <f t="shared" si="38"/>
        <v>6.6058612440191391</v>
      </c>
      <c r="L820" t="str" cm="1">
        <f t="array" ref="L820">_xlfn.IFS(C820&lt;0,"DATO INVALIDO", C820+J820&lt;I820,"PEDIR YA", C820&lt;I820,"EN CAMINO OK", TRUE,"SANO")</f>
        <v>SANO</v>
      </c>
    </row>
    <row r="821" spans="1:12" x14ac:dyDescent="0.45">
      <c r="A821" t="s">
        <v>1114</v>
      </c>
      <c r="B821" t="s">
        <v>83</v>
      </c>
      <c r="C821">
        <v>2992</v>
      </c>
      <c r="D821">
        <v>284</v>
      </c>
      <c r="E821">
        <v>70.5</v>
      </c>
      <c r="F821">
        <v>4.4000000000000004</v>
      </c>
      <c r="G821">
        <v>1.3</v>
      </c>
      <c r="H821">
        <f t="shared" si="36"/>
        <v>656.23082611989503</v>
      </c>
      <c r="I821">
        <f t="shared" si="37"/>
        <v>1905.8308261198952</v>
      </c>
      <c r="J821">
        <f>SUMIFS(Transit_Clean[Quantity], Transit_Clean[Destination], A821, Transit_Clean[Item_Code], B821, Transit_Clean[SAP_Status], "In Transit")</f>
        <v>0</v>
      </c>
      <c r="K821">
        <f t="shared" si="38"/>
        <v>10.535211267605634</v>
      </c>
      <c r="L821" t="str" cm="1">
        <f t="array" ref="L821">_xlfn.IFS(C821&lt;0,"DATO INVALIDO", C821+J821&lt;I821,"PEDIR YA", C821&lt;I821,"EN CAMINO OK", TRUE,"SANO")</f>
        <v>SANO</v>
      </c>
    </row>
    <row r="822" spans="1:12" x14ac:dyDescent="0.45">
      <c r="A822" t="s">
        <v>1119</v>
      </c>
      <c r="B822" t="s">
        <v>1132</v>
      </c>
      <c r="C822">
        <v>967</v>
      </c>
      <c r="D822">
        <v>143.4</v>
      </c>
      <c r="E822">
        <v>21.1</v>
      </c>
      <c r="F822">
        <v>2.2000000000000002</v>
      </c>
      <c r="G822">
        <v>1</v>
      </c>
      <c r="H822">
        <f t="shared" si="36"/>
        <v>242.17943222949384</v>
      </c>
      <c r="I822">
        <f t="shared" si="37"/>
        <v>557.65943222949386</v>
      </c>
      <c r="J822">
        <f>SUMIFS(Transit_Clean[Quantity], Transit_Clean[Destination], A822, Transit_Clean[Item_Code], B822, Transit_Clean[SAP_Status], "In Transit")</f>
        <v>0</v>
      </c>
      <c r="K822">
        <f t="shared" si="38"/>
        <v>6.7433751743375172</v>
      </c>
      <c r="L822" t="str" cm="1">
        <f t="array" ref="L822">_xlfn.IFS(C822&lt;0,"DATO INVALIDO", C822+J822&lt;I822,"PEDIR YA", C822&lt;I822,"EN CAMINO OK", TRUE,"SANO")</f>
        <v>SANO</v>
      </c>
    </row>
    <row r="823" spans="1:12" x14ac:dyDescent="0.45">
      <c r="A823" t="s">
        <v>1119</v>
      </c>
      <c r="B823" t="s">
        <v>36</v>
      </c>
      <c r="C823">
        <v>1313</v>
      </c>
      <c r="D823">
        <v>173.7</v>
      </c>
      <c r="E823">
        <v>69.7</v>
      </c>
      <c r="F823">
        <v>3.6</v>
      </c>
      <c r="G823">
        <v>1</v>
      </c>
      <c r="H823">
        <f t="shared" si="36"/>
        <v>360.21738730244545</v>
      </c>
      <c r="I823">
        <f t="shared" si="37"/>
        <v>985.53738730244538</v>
      </c>
      <c r="J823">
        <f>SUMIFS(Transit_Clean[Quantity], Transit_Clean[Destination], A823, Transit_Clean[Item_Code], B823, Transit_Clean[SAP_Status], "In Transit")</f>
        <v>5010</v>
      </c>
      <c r="K823">
        <f t="shared" si="38"/>
        <v>7.559009786989062</v>
      </c>
      <c r="L823" t="str" cm="1">
        <f t="array" ref="L823">_xlfn.IFS(C823&lt;0,"DATO INVALIDO", C823+J823&lt;I823,"PEDIR YA", C823&lt;I823,"EN CAMINO OK", TRUE,"SANO")</f>
        <v>SANO</v>
      </c>
    </row>
    <row r="824" spans="1:12" x14ac:dyDescent="0.45">
      <c r="A824" t="s">
        <v>1116</v>
      </c>
      <c r="B824" t="s">
        <v>28</v>
      </c>
      <c r="C824">
        <v>1800</v>
      </c>
      <c r="D824">
        <v>294.3</v>
      </c>
      <c r="E824">
        <v>118.1</v>
      </c>
      <c r="F824">
        <v>5.5</v>
      </c>
      <c r="G824">
        <v>1.6</v>
      </c>
      <c r="H824">
        <f t="shared" si="36"/>
        <v>901.38916986033291</v>
      </c>
      <c r="I824">
        <f t="shared" si="37"/>
        <v>2520.039169860333</v>
      </c>
      <c r="J824">
        <f>SUMIFS(Transit_Clean[Quantity], Transit_Clean[Destination], A824, Transit_Clean[Item_Code], B824, Transit_Clean[SAP_Status], "In Transit")</f>
        <v>0</v>
      </c>
      <c r="K824">
        <f t="shared" si="38"/>
        <v>6.1162079510703364</v>
      </c>
      <c r="L824" t="str" cm="1">
        <f t="array" ref="L824">_xlfn.IFS(C824&lt;0,"DATO INVALIDO", C824+J824&lt;I824,"PEDIR YA", C824&lt;I824,"EN CAMINO OK", TRUE,"SANO")</f>
        <v>PEDIR YA</v>
      </c>
    </row>
    <row r="825" spans="1:12" x14ac:dyDescent="0.45">
      <c r="A825" t="s">
        <v>1118</v>
      </c>
      <c r="B825" t="s">
        <v>77</v>
      </c>
      <c r="C825">
        <v>5429</v>
      </c>
      <c r="D825">
        <v>506.9</v>
      </c>
      <c r="E825">
        <v>227.2</v>
      </c>
      <c r="F825">
        <v>4.9000000000000004</v>
      </c>
      <c r="G825">
        <v>1.5</v>
      </c>
      <c r="H825">
        <f t="shared" si="36"/>
        <v>1504.189573845747</v>
      </c>
      <c r="I825">
        <f t="shared" si="37"/>
        <v>3987.9995738457469</v>
      </c>
      <c r="J825">
        <f>SUMIFS(Transit_Clean[Quantity], Transit_Clean[Destination], A825, Transit_Clean[Item_Code], B825, Transit_Clean[SAP_Status], "In Transit")</f>
        <v>3094</v>
      </c>
      <c r="K825">
        <f t="shared" si="38"/>
        <v>10.710199250345235</v>
      </c>
      <c r="L825" t="str" cm="1">
        <f t="array" ref="L825">_xlfn.IFS(C825&lt;0,"DATO INVALIDO", C825+J825&lt;I825,"PEDIR YA", C825&lt;I825,"EN CAMINO OK", TRUE,"SANO")</f>
        <v>SANO</v>
      </c>
    </row>
    <row r="826" spans="1:12" x14ac:dyDescent="0.45">
      <c r="A826" t="s">
        <v>1127</v>
      </c>
      <c r="B826" t="s">
        <v>49</v>
      </c>
      <c r="C826">
        <v>973</v>
      </c>
      <c r="E826">
        <v>28.8</v>
      </c>
      <c r="F826">
        <v>4.0999999999999996</v>
      </c>
      <c r="G826">
        <v>0.9</v>
      </c>
      <c r="H826">
        <f t="shared" si="36"/>
        <v>96.220666387216411</v>
      </c>
      <c r="I826">
        <f t="shared" si="37"/>
        <v>96.220666387216411</v>
      </c>
      <c r="J826">
        <f>SUMIFS(Transit_Clean[Quantity], Transit_Clean[Destination], A826, Transit_Clean[Item_Code], B826, Transit_Clean[SAP_Status], "In Transit")</f>
        <v>0</v>
      </c>
      <c r="K826" t="str">
        <f t="shared" si="38"/>
        <v/>
      </c>
      <c r="L826" t="str" cm="1">
        <f t="array" ref="L826">_xlfn.IFS(C826&lt;0,"DATO INVALIDO", C826+J826&lt;I826,"PEDIR YA", C826&lt;I826,"EN CAMINO OK", TRUE,"SANO")</f>
        <v>SANO</v>
      </c>
    </row>
    <row r="827" spans="1:12" x14ac:dyDescent="0.45">
      <c r="A827" t="s">
        <v>1118</v>
      </c>
      <c r="B827" t="s">
        <v>76</v>
      </c>
      <c r="C827">
        <v>2356</v>
      </c>
      <c r="D827">
        <v>367.2</v>
      </c>
      <c r="E827">
        <v>89.8</v>
      </c>
      <c r="F827">
        <v>4.0999999999999996</v>
      </c>
      <c r="G827">
        <v>1.5</v>
      </c>
      <c r="H827">
        <f t="shared" si="36"/>
        <v>957.06145199250398</v>
      </c>
      <c r="I827">
        <f t="shared" si="37"/>
        <v>2462.5814519925038</v>
      </c>
      <c r="J827">
        <f>SUMIFS(Transit_Clean[Quantity], Transit_Clean[Destination], A827, Transit_Clean[Item_Code], B827, Transit_Clean[SAP_Status], "In Transit")</f>
        <v>1644</v>
      </c>
      <c r="K827">
        <f t="shared" si="38"/>
        <v>6.4161220043572991</v>
      </c>
      <c r="L827" t="str" cm="1">
        <f t="array" ref="L827">_xlfn.IFS(C827&lt;0,"DATO INVALIDO", C827+J827&lt;I827,"PEDIR YA", C827&lt;I827,"EN CAMINO OK", TRUE,"SANO")</f>
        <v>EN CAMINO OK</v>
      </c>
    </row>
    <row r="828" spans="1:12" x14ac:dyDescent="0.45">
      <c r="A828" t="s">
        <v>1118</v>
      </c>
      <c r="B828" t="s">
        <v>13</v>
      </c>
      <c r="C828">
        <v>2939</v>
      </c>
      <c r="D828">
        <v>191.3</v>
      </c>
      <c r="E828">
        <v>52.1</v>
      </c>
      <c r="F828">
        <v>2.4</v>
      </c>
      <c r="G828">
        <v>1.5</v>
      </c>
      <c r="H828">
        <f t="shared" si="36"/>
        <v>491.84085687979405</v>
      </c>
      <c r="I828">
        <f t="shared" si="37"/>
        <v>950.96085687979405</v>
      </c>
      <c r="J828">
        <f>SUMIFS(Transit_Clean[Quantity], Transit_Clean[Destination], A828, Transit_Clean[Item_Code], B828, Transit_Clean[SAP_Status], "In Transit")</f>
        <v>1342</v>
      </c>
      <c r="K828">
        <f t="shared" si="38"/>
        <v>15.363303711447987</v>
      </c>
      <c r="L828" t="str" cm="1">
        <f t="array" ref="L828">_xlfn.IFS(C828&lt;0,"DATO INVALIDO", C828+J828&lt;I828,"PEDIR YA", C828&lt;I828,"EN CAMINO OK", TRUE,"SANO")</f>
        <v>SANO</v>
      </c>
    </row>
    <row r="829" spans="1:12" x14ac:dyDescent="0.45">
      <c r="A829" t="s">
        <v>1114</v>
      </c>
      <c r="B829" t="s">
        <v>1140</v>
      </c>
      <c r="C829">
        <v>1429</v>
      </c>
      <c r="D829">
        <v>274.7</v>
      </c>
      <c r="E829">
        <v>25.1</v>
      </c>
      <c r="F829">
        <v>4.2</v>
      </c>
      <c r="G829">
        <v>1.3</v>
      </c>
      <c r="H829">
        <f t="shared" si="36"/>
        <v>595.31303524889324</v>
      </c>
      <c r="I829">
        <f t="shared" si="37"/>
        <v>1749.0530352488931</v>
      </c>
      <c r="J829">
        <f>SUMIFS(Transit_Clean[Quantity], Transit_Clean[Destination], A829, Transit_Clean[Item_Code], B829, Transit_Clean[SAP_Status], "In Transit")</f>
        <v>1786</v>
      </c>
      <c r="K829">
        <f t="shared" si="38"/>
        <v>5.2020385875500548</v>
      </c>
      <c r="L829" t="str" cm="1">
        <f t="array" ref="L829">_xlfn.IFS(C829&lt;0,"DATO INVALIDO", C829+J829&lt;I829,"PEDIR YA", C829&lt;I829,"EN CAMINO OK", TRUE,"SANO")</f>
        <v>EN CAMINO OK</v>
      </c>
    </row>
    <row r="830" spans="1:12" x14ac:dyDescent="0.45">
      <c r="A830" t="s">
        <v>1114</v>
      </c>
      <c r="B830" t="s">
        <v>62</v>
      </c>
      <c r="C830">
        <v>3430</v>
      </c>
      <c r="D830">
        <v>412.9</v>
      </c>
      <c r="E830">
        <v>59.5</v>
      </c>
      <c r="F830">
        <v>5.3</v>
      </c>
      <c r="G830">
        <v>1.3</v>
      </c>
      <c r="H830">
        <f t="shared" si="36"/>
        <v>914.05436757489963</v>
      </c>
      <c r="I830">
        <f t="shared" si="37"/>
        <v>3102.4243675748994</v>
      </c>
      <c r="J830">
        <f>SUMIFS(Transit_Clean[Quantity], Transit_Clean[Destination], A830, Transit_Clean[Item_Code], B830, Transit_Clean[SAP_Status], "In Transit")</f>
        <v>0</v>
      </c>
      <c r="K830">
        <f t="shared" si="38"/>
        <v>8.3070961491886663</v>
      </c>
      <c r="L830" t="str" cm="1">
        <f t="array" ref="L830">_xlfn.IFS(C830&lt;0,"DATO INVALIDO", C830+J830&lt;I830,"PEDIR YA", C830&lt;I830,"EN CAMINO OK", TRUE,"SANO")</f>
        <v>SANO</v>
      </c>
    </row>
    <row r="831" spans="1:12" x14ac:dyDescent="0.45">
      <c r="A831" t="s">
        <v>1115</v>
      </c>
      <c r="B831" t="s">
        <v>110</v>
      </c>
      <c r="C831">
        <v>3554</v>
      </c>
      <c r="D831">
        <v>207.2</v>
      </c>
      <c r="E831">
        <v>140.80000000000001</v>
      </c>
      <c r="F831">
        <v>1.7</v>
      </c>
      <c r="G831">
        <v>0.6</v>
      </c>
      <c r="H831">
        <f t="shared" si="36"/>
        <v>365.82903994078981</v>
      </c>
      <c r="I831">
        <f t="shared" si="37"/>
        <v>718.06903994078971</v>
      </c>
      <c r="J831">
        <f>SUMIFS(Transit_Clean[Quantity], Transit_Clean[Destination], A831, Transit_Clean[Item_Code], B831, Transit_Clean[SAP_Status], "In Transit")</f>
        <v>0</v>
      </c>
      <c r="K831">
        <f t="shared" si="38"/>
        <v>17.152509652509654</v>
      </c>
      <c r="L831" t="str" cm="1">
        <f t="array" ref="L831">_xlfn.IFS(C831&lt;0,"DATO INVALIDO", C831+J831&lt;I831,"PEDIR YA", C831&lt;I831,"EN CAMINO OK", TRUE,"SANO")</f>
        <v>SANO</v>
      </c>
    </row>
    <row r="832" spans="1:12" x14ac:dyDescent="0.45">
      <c r="A832" t="s">
        <v>1119</v>
      </c>
      <c r="B832" t="s">
        <v>84</v>
      </c>
      <c r="C832">
        <v>5815</v>
      </c>
      <c r="D832">
        <v>408.5</v>
      </c>
      <c r="E832">
        <v>113</v>
      </c>
      <c r="F832">
        <v>5.5</v>
      </c>
      <c r="G832">
        <v>1</v>
      </c>
      <c r="H832">
        <f t="shared" si="36"/>
        <v>803.43606738495373</v>
      </c>
      <c r="I832">
        <f t="shared" si="37"/>
        <v>3050.1860673849537</v>
      </c>
      <c r="J832">
        <f>SUMIFS(Transit_Clean[Quantity], Transit_Clean[Destination], A832, Transit_Clean[Item_Code], B832, Transit_Clean[SAP_Status], "In Transit")</f>
        <v>0</v>
      </c>
      <c r="K832">
        <f t="shared" si="38"/>
        <v>14.23500611995104</v>
      </c>
      <c r="L832" t="str" cm="1">
        <f t="array" ref="L832">_xlfn.IFS(C832&lt;0,"DATO INVALIDO", C832+J832&lt;I832,"PEDIR YA", C832&lt;I832,"EN CAMINO OK", TRUE,"SANO")</f>
        <v>SANO</v>
      </c>
    </row>
    <row r="833" spans="1:12" x14ac:dyDescent="0.45">
      <c r="A833" t="s">
        <v>1116</v>
      </c>
      <c r="B833" t="s">
        <v>91</v>
      </c>
      <c r="C833">
        <v>2811</v>
      </c>
      <c r="D833">
        <v>330.1</v>
      </c>
      <c r="E833">
        <v>151</v>
      </c>
      <c r="F833">
        <v>3.1</v>
      </c>
      <c r="G833">
        <v>1.6</v>
      </c>
      <c r="H833">
        <f t="shared" si="36"/>
        <v>975.64555195316723</v>
      </c>
      <c r="I833">
        <f t="shared" si="37"/>
        <v>1998.9555519531673</v>
      </c>
      <c r="J833">
        <f>SUMIFS(Transit_Clean[Quantity], Transit_Clean[Destination], A833, Transit_Clean[Item_Code], B833, Transit_Clean[SAP_Status], "In Transit")</f>
        <v>0</v>
      </c>
      <c r="K833">
        <f t="shared" si="38"/>
        <v>8.515601332929414</v>
      </c>
      <c r="L833" t="str" cm="1">
        <f t="array" ref="L833">_xlfn.IFS(C833&lt;0,"DATO INVALIDO", C833+J833&lt;I833,"PEDIR YA", C833&lt;I833,"EN CAMINO OK", TRUE,"SANO")</f>
        <v>SANO</v>
      </c>
    </row>
    <row r="834" spans="1:12" x14ac:dyDescent="0.45">
      <c r="A834" t="s">
        <v>1120</v>
      </c>
      <c r="B834" t="s">
        <v>67</v>
      </c>
      <c r="C834">
        <v>2385</v>
      </c>
      <c r="D834">
        <v>315.7</v>
      </c>
      <c r="E834">
        <v>81.5</v>
      </c>
      <c r="F834">
        <v>1.9</v>
      </c>
      <c r="G834">
        <v>0.5</v>
      </c>
      <c r="H834">
        <f t="shared" si="36"/>
        <v>319.67828115740048</v>
      </c>
      <c r="I834">
        <f t="shared" si="37"/>
        <v>919.50828115740046</v>
      </c>
      <c r="J834">
        <f>SUMIFS(Transit_Clean[Quantity], Transit_Clean[Destination], A834, Transit_Clean[Item_Code], B834, Transit_Clean[SAP_Status], "In Transit")</f>
        <v>0</v>
      </c>
      <c r="K834">
        <f t="shared" si="38"/>
        <v>7.5546404814697503</v>
      </c>
      <c r="L834" t="str" cm="1">
        <f t="array" ref="L834">_xlfn.IFS(C834&lt;0,"DATO INVALIDO", C834+J834&lt;I834,"PEDIR YA", C834&lt;I834,"EN CAMINO OK", TRUE,"SANO")</f>
        <v>SANO</v>
      </c>
    </row>
    <row r="835" spans="1:12" x14ac:dyDescent="0.45">
      <c r="A835" t="s">
        <v>1128</v>
      </c>
      <c r="B835" t="s">
        <v>41</v>
      </c>
      <c r="C835">
        <v>4483</v>
      </c>
      <c r="D835">
        <v>282.39999999999998</v>
      </c>
      <c r="E835">
        <v>115.6</v>
      </c>
      <c r="F835">
        <v>2.5</v>
      </c>
      <c r="G835">
        <v>0.5</v>
      </c>
      <c r="H835">
        <f t="shared" ref="H835:H898" si="39">IFERROR(1.65*SQRT(F835*E835^2 + D835^2*G835^2), "")</f>
        <v>381.09585329677884</v>
      </c>
      <c r="I835">
        <f t="shared" ref="I835:I898" si="40">IFERROR(D835*F835 + H835, "")</f>
        <v>1087.0958532967788</v>
      </c>
      <c r="J835">
        <f>SUMIFS(Transit_Clean[Quantity], Transit_Clean[Destination], A835, Transit_Clean[Item_Code], B835, Transit_Clean[SAP_Status], "In Transit")</f>
        <v>0</v>
      </c>
      <c r="K835">
        <f t="shared" ref="K835:K898" si="41">IFERROR(C835/D835, "")</f>
        <v>15.874645892351277</v>
      </c>
      <c r="L835" t="str" cm="1">
        <f t="array" ref="L835">_xlfn.IFS(C835&lt;0,"DATO INVALIDO", C835+J835&lt;I835,"PEDIR YA", C835&lt;I835,"EN CAMINO OK", TRUE,"SANO")</f>
        <v>SANO</v>
      </c>
    </row>
    <row r="836" spans="1:12" x14ac:dyDescent="0.45">
      <c r="A836" t="s">
        <v>1126</v>
      </c>
      <c r="B836" t="s">
        <v>1133</v>
      </c>
      <c r="C836">
        <v>575</v>
      </c>
      <c r="D836">
        <v>643.70000000000005</v>
      </c>
      <c r="E836">
        <v>112.6</v>
      </c>
      <c r="F836">
        <v>0.9</v>
      </c>
      <c r="G836">
        <v>0.2</v>
      </c>
      <c r="H836">
        <f t="shared" si="39"/>
        <v>276.02321085553655</v>
      </c>
      <c r="I836">
        <f t="shared" si="40"/>
        <v>855.35321085553664</v>
      </c>
      <c r="J836">
        <f>SUMIFS(Transit_Clean[Quantity], Transit_Clean[Destination], A836, Transit_Clean[Item_Code], B836, Transit_Clean[SAP_Status], "In Transit")</f>
        <v>0</v>
      </c>
      <c r="K836">
        <f t="shared" si="41"/>
        <v>0.89327326394283046</v>
      </c>
      <c r="L836" t="str" cm="1">
        <f t="array" ref="L836">_xlfn.IFS(C836&lt;0,"DATO INVALIDO", C836+J836&lt;I836,"PEDIR YA", C836&lt;I836,"EN CAMINO OK", TRUE,"SANO")</f>
        <v>PEDIR YA</v>
      </c>
    </row>
    <row r="837" spans="1:12" x14ac:dyDescent="0.45">
      <c r="A837" t="s">
        <v>1118</v>
      </c>
      <c r="B837" t="s">
        <v>54</v>
      </c>
      <c r="C837">
        <v>6041</v>
      </c>
      <c r="D837">
        <v>525.5</v>
      </c>
      <c r="E837">
        <v>63</v>
      </c>
      <c r="F837">
        <v>4.4000000000000004</v>
      </c>
      <c r="G837">
        <v>1.5</v>
      </c>
      <c r="H837">
        <f t="shared" si="39"/>
        <v>1318.7636354389856</v>
      </c>
      <c r="I837">
        <f t="shared" si="40"/>
        <v>3630.9636354389859</v>
      </c>
      <c r="J837">
        <f>SUMIFS(Transit_Clean[Quantity], Transit_Clean[Destination], A837, Transit_Clean[Item_Code], B837, Transit_Clean[SAP_Status], "In Transit")</f>
        <v>0</v>
      </c>
      <c r="K837">
        <f t="shared" si="41"/>
        <v>11.495718363463368</v>
      </c>
      <c r="L837" t="str" cm="1">
        <f t="array" ref="L837">_xlfn.IFS(C837&lt;0,"DATO INVALIDO", C837+J837&lt;I837,"PEDIR YA", C837&lt;I837,"EN CAMINO OK", TRUE,"SANO")</f>
        <v>SANO</v>
      </c>
    </row>
    <row r="838" spans="1:12" x14ac:dyDescent="0.45">
      <c r="A838" t="s">
        <v>1127</v>
      </c>
      <c r="B838" t="s">
        <v>13</v>
      </c>
      <c r="C838">
        <v>999999</v>
      </c>
      <c r="D838">
        <v>546.70000000000005</v>
      </c>
      <c r="E838">
        <v>192.3</v>
      </c>
      <c r="F838">
        <v>1.4</v>
      </c>
      <c r="G838">
        <v>0.9</v>
      </c>
      <c r="H838">
        <f t="shared" si="39"/>
        <v>894.45300294942842</v>
      </c>
      <c r="I838">
        <f t="shared" si="40"/>
        <v>1659.8330029494284</v>
      </c>
      <c r="J838">
        <f>SUMIFS(Transit_Clean[Quantity], Transit_Clean[Destination], A838, Transit_Clean[Item_Code], B838, Transit_Clean[SAP_Status], "In Transit")</f>
        <v>0</v>
      </c>
      <c r="K838">
        <f t="shared" si="41"/>
        <v>1829.1549295774646</v>
      </c>
      <c r="L838" t="str" cm="1">
        <f t="array" ref="L838">_xlfn.IFS(C838&lt;0,"DATO INVALIDO", C838+J838&lt;I838,"PEDIR YA", C838&lt;I838,"EN CAMINO OK", TRUE,"SANO")</f>
        <v>SANO</v>
      </c>
    </row>
    <row r="839" spans="1:12" x14ac:dyDescent="0.45">
      <c r="A839" t="s">
        <v>1119</v>
      </c>
      <c r="B839" t="s">
        <v>70</v>
      </c>
      <c r="C839">
        <v>4276</v>
      </c>
      <c r="D839">
        <v>401.9</v>
      </c>
      <c r="E839">
        <v>74.400000000000006</v>
      </c>
      <c r="F839">
        <v>2.8</v>
      </c>
      <c r="G839">
        <v>1</v>
      </c>
      <c r="H839">
        <f t="shared" si="39"/>
        <v>694.22192237425043</v>
      </c>
      <c r="I839">
        <f t="shared" si="40"/>
        <v>1819.5419223742504</v>
      </c>
      <c r="J839">
        <f>SUMIFS(Transit_Clean[Quantity], Transit_Clean[Destination], A839, Transit_Clean[Item_Code], B839, Transit_Clean[SAP_Status], "In Transit")</f>
        <v>0</v>
      </c>
      <c r="K839">
        <f t="shared" si="41"/>
        <v>10.63946255287385</v>
      </c>
      <c r="L839" t="str" cm="1">
        <f t="array" ref="L839">_xlfn.IFS(C839&lt;0,"DATO INVALIDO", C839+J839&lt;I839,"PEDIR YA", C839&lt;I839,"EN CAMINO OK", TRUE,"SANO")</f>
        <v>SANO</v>
      </c>
    </row>
    <row r="840" spans="1:12" x14ac:dyDescent="0.45">
      <c r="A840" t="s">
        <v>1126</v>
      </c>
      <c r="B840" t="s">
        <v>62</v>
      </c>
      <c r="C840">
        <v>351</v>
      </c>
      <c r="D840">
        <v>154.80000000000001</v>
      </c>
      <c r="E840">
        <v>18.2</v>
      </c>
      <c r="F840">
        <v>1.4</v>
      </c>
      <c r="G840">
        <v>0.2</v>
      </c>
      <c r="H840">
        <f t="shared" si="39"/>
        <v>62.226170667975389</v>
      </c>
      <c r="I840">
        <f t="shared" si="40"/>
        <v>278.94617066797537</v>
      </c>
      <c r="J840">
        <f>SUMIFS(Transit_Clean[Quantity], Transit_Clean[Destination], A840, Transit_Clean[Item_Code], B840, Transit_Clean[SAP_Status], "In Transit")</f>
        <v>574</v>
      </c>
      <c r="K840">
        <f t="shared" si="41"/>
        <v>2.2674418604651163</v>
      </c>
      <c r="L840" t="str" cm="1">
        <f t="array" ref="L840">_xlfn.IFS(C840&lt;0,"DATO INVALIDO", C840+J840&lt;I840,"PEDIR YA", C840&lt;I840,"EN CAMINO OK", TRUE,"SANO")</f>
        <v>SANO</v>
      </c>
    </row>
    <row r="841" spans="1:12" x14ac:dyDescent="0.45">
      <c r="A841" t="s">
        <v>1127</v>
      </c>
      <c r="B841" t="s">
        <v>1136</v>
      </c>
      <c r="C841">
        <v>3434</v>
      </c>
      <c r="D841">
        <v>191.2</v>
      </c>
      <c r="E841">
        <v>92.3</v>
      </c>
      <c r="F841">
        <v>1.7</v>
      </c>
      <c r="G841">
        <v>0.9</v>
      </c>
      <c r="H841">
        <f t="shared" si="39"/>
        <v>346.47768263843483</v>
      </c>
      <c r="I841">
        <f t="shared" si="40"/>
        <v>671.51768263843474</v>
      </c>
      <c r="J841">
        <f>SUMIFS(Transit_Clean[Quantity], Transit_Clean[Destination], A841, Transit_Clean[Item_Code], B841, Transit_Clean[SAP_Status], "In Transit")</f>
        <v>1121</v>
      </c>
      <c r="K841">
        <f t="shared" si="41"/>
        <v>17.960251046025107</v>
      </c>
      <c r="L841" t="str" cm="1">
        <f t="array" ref="L841">_xlfn.IFS(C841&lt;0,"DATO INVALIDO", C841+J841&lt;I841,"PEDIR YA", C841&lt;I841,"EN CAMINO OK", TRUE,"SANO")</f>
        <v>SANO</v>
      </c>
    </row>
    <row r="842" spans="1:12" x14ac:dyDescent="0.45">
      <c r="A842" t="s">
        <v>1121</v>
      </c>
      <c r="B842" t="s">
        <v>44</v>
      </c>
      <c r="C842">
        <v>12083</v>
      </c>
      <c r="D842">
        <v>690.1</v>
      </c>
      <c r="E842">
        <v>129.5</v>
      </c>
      <c r="F842">
        <v>2.1</v>
      </c>
      <c r="G842">
        <v>0.4</v>
      </c>
      <c r="H842">
        <f t="shared" si="39"/>
        <v>550.75311072067495</v>
      </c>
      <c r="I842">
        <f t="shared" si="40"/>
        <v>1999.9631107206751</v>
      </c>
      <c r="J842">
        <f>SUMIFS(Transit_Clean[Quantity], Transit_Clean[Destination], A842, Transit_Clean[Item_Code], B842, Transit_Clean[SAP_Status], "In Transit")</f>
        <v>1465</v>
      </c>
      <c r="K842">
        <f t="shared" si="41"/>
        <v>17.509056658455297</v>
      </c>
      <c r="L842" t="str" cm="1">
        <f t="array" ref="L842">_xlfn.IFS(C842&lt;0,"DATO INVALIDO", C842+J842&lt;I842,"PEDIR YA", C842&lt;I842,"EN CAMINO OK", TRUE,"SANO")</f>
        <v>SANO</v>
      </c>
    </row>
    <row r="843" spans="1:12" x14ac:dyDescent="0.45">
      <c r="A843" t="s">
        <v>1118</v>
      </c>
      <c r="B843" t="s">
        <v>110</v>
      </c>
      <c r="C843">
        <v>11505</v>
      </c>
      <c r="D843">
        <v>728.8</v>
      </c>
      <c r="E843">
        <v>450.9</v>
      </c>
      <c r="F843">
        <v>6.5</v>
      </c>
      <c r="G843">
        <v>1.5</v>
      </c>
      <c r="H843">
        <f t="shared" si="39"/>
        <v>2617.5296005704499</v>
      </c>
      <c r="I843">
        <f t="shared" si="40"/>
        <v>7354.7296005704502</v>
      </c>
      <c r="J843">
        <f>SUMIFS(Transit_Clean[Quantity], Transit_Clean[Destination], A843, Transit_Clean[Item_Code], B843, Transit_Clean[SAP_Status], "In Transit")</f>
        <v>0</v>
      </c>
      <c r="K843">
        <f t="shared" si="41"/>
        <v>15.786223929747532</v>
      </c>
      <c r="L843" t="str" cm="1">
        <f t="array" ref="L843">_xlfn.IFS(C843&lt;0,"DATO INVALIDO", C843+J843&lt;I843,"PEDIR YA", C843&lt;I843,"EN CAMINO OK", TRUE,"SANO")</f>
        <v>SANO</v>
      </c>
    </row>
    <row r="844" spans="1:12" x14ac:dyDescent="0.45">
      <c r="A844" t="s">
        <v>1123</v>
      </c>
      <c r="B844" t="s">
        <v>106</v>
      </c>
      <c r="C844">
        <v>1424</v>
      </c>
      <c r="D844">
        <v>365.1</v>
      </c>
      <c r="E844">
        <v>55.4</v>
      </c>
      <c r="F844">
        <v>0.8</v>
      </c>
      <c r="G844">
        <v>0.3</v>
      </c>
      <c r="H844">
        <f t="shared" si="39"/>
        <v>198.35819967989727</v>
      </c>
      <c r="I844">
        <f t="shared" si="40"/>
        <v>490.43819967989731</v>
      </c>
      <c r="J844">
        <f>SUMIFS(Transit_Clean[Quantity], Transit_Clean[Destination], A844, Transit_Clean[Item_Code], B844, Transit_Clean[SAP_Status], "In Transit")</f>
        <v>0</v>
      </c>
      <c r="K844">
        <f t="shared" si="41"/>
        <v>3.9003012873185425</v>
      </c>
      <c r="L844" t="str" cm="1">
        <f t="array" ref="L844">_xlfn.IFS(C844&lt;0,"DATO INVALIDO", C844+J844&lt;I844,"PEDIR YA", C844&lt;I844,"EN CAMINO OK", TRUE,"SANO")</f>
        <v>SANO</v>
      </c>
    </row>
    <row r="845" spans="1:12" x14ac:dyDescent="0.45">
      <c r="A845" t="s">
        <v>1119</v>
      </c>
      <c r="B845" t="s">
        <v>59</v>
      </c>
      <c r="C845">
        <v>873</v>
      </c>
      <c r="D845">
        <v>221.7</v>
      </c>
      <c r="E845">
        <v>33</v>
      </c>
      <c r="F845">
        <v>2.4</v>
      </c>
      <c r="G845">
        <v>1</v>
      </c>
      <c r="H845">
        <f t="shared" si="39"/>
        <v>375.40488012944098</v>
      </c>
      <c r="I845">
        <f t="shared" si="40"/>
        <v>907.48488012944085</v>
      </c>
      <c r="J845">
        <f>SUMIFS(Transit_Clean[Quantity], Transit_Clean[Destination], A845, Transit_Clean[Item_Code], B845, Transit_Clean[SAP_Status], "In Transit")</f>
        <v>0</v>
      </c>
      <c r="K845">
        <f t="shared" si="41"/>
        <v>3.9377537212449258</v>
      </c>
      <c r="L845" t="str" cm="1">
        <f t="array" ref="L845">_xlfn.IFS(C845&lt;0,"DATO INVALIDO", C845+J845&lt;I845,"PEDIR YA", C845&lt;I845,"EN CAMINO OK", TRUE,"SANO")</f>
        <v>PEDIR YA</v>
      </c>
    </row>
    <row r="846" spans="1:12" x14ac:dyDescent="0.45">
      <c r="A846" t="s">
        <v>1115</v>
      </c>
      <c r="B846" t="s">
        <v>60</v>
      </c>
      <c r="C846">
        <v>3438</v>
      </c>
      <c r="D846">
        <v>364.6</v>
      </c>
      <c r="E846">
        <v>57.8</v>
      </c>
      <c r="F846">
        <v>1.9</v>
      </c>
      <c r="G846">
        <v>0.6</v>
      </c>
      <c r="H846">
        <f t="shared" si="39"/>
        <v>384.14726372317165</v>
      </c>
      <c r="I846">
        <f t="shared" si="40"/>
        <v>1076.8872637231716</v>
      </c>
      <c r="J846">
        <f>SUMIFS(Transit_Clean[Quantity], Transit_Clean[Destination], A846, Transit_Clean[Item_Code], B846, Transit_Clean[SAP_Status], "In Transit")</f>
        <v>0</v>
      </c>
      <c r="K846">
        <f t="shared" si="41"/>
        <v>9.4295117937465704</v>
      </c>
      <c r="L846" t="str" cm="1">
        <f t="array" ref="L846">_xlfn.IFS(C846&lt;0,"DATO INVALIDO", C846+J846&lt;I846,"PEDIR YA", C846&lt;I846,"EN CAMINO OK", TRUE,"SANO")</f>
        <v>SANO</v>
      </c>
    </row>
    <row r="847" spans="1:12" x14ac:dyDescent="0.45">
      <c r="A847" t="s">
        <v>1128</v>
      </c>
      <c r="B847" t="s">
        <v>15</v>
      </c>
      <c r="C847">
        <v>8659</v>
      </c>
      <c r="D847">
        <v>585.9</v>
      </c>
      <c r="E847">
        <v>164.8</v>
      </c>
      <c r="F847">
        <v>2.4</v>
      </c>
      <c r="G847">
        <v>0.5</v>
      </c>
      <c r="H847">
        <f t="shared" si="39"/>
        <v>641.17182362939968</v>
      </c>
      <c r="I847">
        <f t="shared" si="40"/>
        <v>2047.3318236293994</v>
      </c>
      <c r="J847">
        <f>SUMIFS(Transit_Clean[Quantity], Transit_Clean[Destination], A847, Transit_Clean[Item_Code], B847, Transit_Clean[SAP_Status], "In Transit")</f>
        <v>0</v>
      </c>
      <c r="K847">
        <f t="shared" si="41"/>
        <v>14.778972520908006</v>
      </c>
      <c r="L847" t="str" cm="1">
        <f t="array" ref="L847">_xlfn.IFS(C847&lt;0,"DATO INVALIDO", C847+J847&lt;I847,"PEDIR YA", C847&lt;I847,"EN CAMINO OK", TRUE,"SANO")</f>
        <v>SANO</v>
      </c>
    </row>
    <row r="848" spans="1:12" x14ac:dyDescent="0.45">
      <c r="A848" t="s">
        <v>1127</v>
      </c>
      <c r="B848" t="s">
        <v>28</v>
      </c>
      <c r="C848">
        <v>5110</v>
      </c>
      <c r="D848">
        <v>297.60000000000002</v>
      </c>
      <c r="E848">
        <v>122.7</v>
      </c>
      <c r="F848">
        <v>3.4</v>
      </c>
      <c r="G848">
        <v>0.9</v>
      </c>
      <c r="H848">
        <f t="shared" si="39"/>
        <v>578.50386341060857</v>
      </c>
      <c r="I848">
        <f t="shared" si="40"/>
        <v>1590.3438634106087</v>
      </c>
      <c r="J848">
        <f>SUMIFS(Transit_Clean[Quantity], Transit_Clean[Destination], A848, Transit_Clean[Item_Code], B848, Transit_Clean[SAP_Status], "In Transit")</f>
        <v>4678</v>
      </c>
      <c r="K848">
        <f t="shared" si="41"/>
        <v>17.17069892473118</v>
      </c>
      <c r="L848" t="str" cm="1">
        <f t="array" ref="L848">_xlfn.IFS(C848&lt;0,"DATO INVALIDO", C848+J848&lt;I848,"PEDIR YA", C848&lt;I848,"EN CAMINO OK", TRUE,"SANO")</f>
        <v>SANO</v>
      </c>
    </row>
    <row r="849" spans="1:12" x14ac:dyDescent="0.45">
      <c r="A849" t="s">
        <v>1114</v>
      </c>
      <c r="B849" t="s">
        <v>42</v>
      </c>
      <c r="C849">
        <v>2922</v>
      </c>
      <c r="D849">
        <v>352.1</v>
      </c>
      <c r="E849">
        <v>116.5</v>
      </c>
      <c r="F849">
        <v>4</v>
      </c>
      <c r="G849">
        <v>1.3</v>
      </c>
      <c r="H849">
        <f t="shared" si="39"/>
        <v>847.47339915200291</v>
      </c>
      <c r="I849">
        <f t="shared" si="40"/>
        <v>2255.873399152003</v>
      </c>
      <c r="J849">
        <f>SUMIFS(Transit_Clean[Quantity], Transit_Clean[Destination], A849, Transit_Clean[Item_Code], B849, Transit_Clean[SAP_Status], "In Transit")</f>
        <v>0</v>
      </c>
      <c r="K849">
        <f t="shared" si="41"/>
        <v>8.2987787560352171</v>
      </c>
      <c r="L849" t="str" cm="1">
        <f t="array" ref="L849">_xlfn.IFS(C849&lt;0,"DATO INVALIDO", C849+J849&lt;I849,"PEDIR YA", C849&lt;I849,"EN CAMINO OK", TRUE,"SANO")</f>
        <v>SANO</v>
      </c>
    </row>
    <row r="850" spans="1:12" x14ac:dyDescent="0.45">
      <c r="A850" t="s">
        <v>1119</v>
      </c>
      <c r="B850" t="s">
        <v>68</v>
      </c>
      <c r="C850">
        <v>3679</v>
      </c>
      <c r="D850">
        <v>216.6</v>
      </c>
      <c r="E850">
        <v>27.5</v>
      </c>
      <c r="F850">
        <v>3</v>
      </c>
      <c r="G850">
        <v>1</v>
      </c>
      <c r="H850">
        <f t="shared" si="39"/>
        <v>365.92934287236375</v>
      </c>
      <c r="I850">
        <f t="shared" si="40"/>
        <v>1015.7293428723638</v>
      </c>
      <c r="J850">
        <f>SUMIFS(Transit_Clean[Quantity], Transit_Clean[Destination], A850, Transit_Clean[Item_Code], B850, Transit_Clean[SAP_Status], "In Transit")</f>
        <v>2691</v>
      </c>
      <c r="K850">
        <f t="shared" si="41"/>
        <v>16.98522622345337</v>
      </c>
      <c r="L850" t="str" cm="1">
        <f t="array" ref="L850">_xlfn.IFS(C850&lt;0,"DATO INVALIDO", C850+J850&lt;I850,"PEDIR YA", C850&lt;I850,"EN CAMINO OK", TRUE,"SANO")</f>
        <v>SANO</v>
      </c>
    </row>
    <row r="851" spans="1:12" x14ac:dyDescent="0.45">
      <c r="A851" t="s">
        <v>1117</v>
      </c>
      <c r="B851" t="s">
        <v>107</v>
      </c>
      <c r="C851">
        <v>5262</v>
      </c>
      <c r="D851">
        <v>503.2</v>
      </c>
      <c r="E851">
        <v>275.2</v>
      </c>
      <c r="F851">
        <v>2.2000000000000002</v>
      </c>
      <c r="G851">
        <v>0.5</v>
      </c>
      <c r="H851">
        <f t="shared" si="39"/>
        <v>791.17396423289858</v>
      </c>
      <c r="I851">
        <f t="shared" si="40"/>
        <v>1898.2139642328984</v>
      </c>
      <c r="J851">
        <f>SUMIFS(Transit_Clean[Quantity], Transit_Clean[Destination], A851, Transit_Clean[Item_Code], B851, Transit_Clean[SAP_Status], "In Transit")</f>
        <v>4595</v>
      </c>
      <c r="K851">
        <f t="shared" si="41"/>
        <v>10.457074721780604</v>
      </c>
      <c r="L851" t="str" cm="1">
        <f t="array" ref="L851">_xlfn.IFS(C851&lt;0,"DATO INVALIDO", C851+J851&lt;I851,"PEDIR YA", C851&lt;I851,"EN CAMINO OK", TRUE,"SANO")</f>
        <v>SANO</v>
      </c>
    </row>
    <row r="852" spans="1:12" x14ac:dyDescent="0.45">
      <c r="A852" t="s">
        <v>1118</v>
      </c>
      <c r="B852" t="s">
        <v>1137</v>
      </c>
      <c r="C852">
        <v>1005</v>
      </c>
      <c r="D852">
        <v>154.19999999999999</v>
      </c>
      <c r="E852">
        <v>21.7</v>
      </c>
      <c r="F852">
        <v>5</v>
      </c>
      <c r="G852">
        <v>1.5</v>
      </c>
      <c r="H852">
        <f t="shared" si="39"/>
        <v>389.95242806014164</v>
      </c>
      <c r="I852">
        <f t="shared" si="40"/>
        <v>1160.9524280601418</v>
      </c>
      <c r="J852">
        <f>SUMIFS(Transit_Clean[Quantity], Transit_Clean[Destination], A852, Transit_Clean[Item_Code], B852, Transit_Clean[SAP_Status], "In Transit")</f>
        <v>0</v>
      </c>
      <c r="K852">
        <f t="shared" si="41"/>
        <v>6.51750972762646</v>
      </c>
      <c r="L852" t="str" cm="1">
        <f t="array" ref="L852">_xlfn.IFS(C852&lt;0,"DATO INVALIDO", C852+J852&lt;I852,"PEDIR YA", C852&lt;I852,"EN CAMINO OK", TRUE,"SANO")</f>
        <v>PEDIR YA</v>
      </c>
    </row>
    <row r="853" spans="1:12" x14ac:dyDescent="0.45">
      <c r="A853" t="s">
        <v>1120</v>
      </c>
      <c r="B853" t="s">
        <v>8</v>
      </c>
      <c r="C853">
        <v>7229</v>
      </c>
      <c r="D853">
        <v>483.9</v>
      </c>
      <c r="E853">
        <v>110.8</v>
      </c>
      <c r="F853">
        <v>2.7</v>
      </c>
      <c r="G853">
        <v>0.5</v>
      </c>
      <c r="H853">
        <f t="shared" si="39"/>
        <v>499.61697707969256</v>
      </c>
      <c r="I853">
        <f t="shared" si="40"/>
        <v>1806.1469770796925</v>
      </c>
      <c r="J853">
        <f>SUMIFS(Transit_Clean[Quantity], Transit_Clean[Destination], A853, Transit_Clean[Item_Code], B853, Transit_Clean[SAP_Status], "In Transit")</f>
        <v>2421</v>
      </c>
      <c r="K853">
        <f t="shared" si="41"/>
        <v>14.939036991113868</v>
      </c>
      <c r="L853" t="str" cm="1">
        <f t="array" ref="L853">_xlfn.IFS(C853&lt;0,"DATO INVALIDO", C853+J853&lt;I853,"PEDIR YA", C853&lt;I853,"EN CAMINO OK", TRUE,"SANO")</f>
        <v>SANO</v>
      </c>
    </row>
    <row r="854" spans="1:12" x14ac:dyDescent="0.45">
      <c r="A854" t="s">
        <v>1121</v>
      </c>
      <c r="B854" t="s">
        <v>93</v>
      </c>
      <c r="C854">
        <v>1042</v>
      </c>
      <c r="D854">
        <v>217.5</v>
      </c>
      <c r="E854">
        <v>35.5</v>
      </c>
      <c r="F854">
        <v>2.6</v>
      </c>
      <c r="G854">
        <v>0.4</v>
      </c>
      <c r="H854">
        <f t="shared" si="39"/>
        <v>171.83504335553911</v>
      </c>
      <c r="I854">
        <f t="shared" si="40"/>
        <v>737.33504335553914</v>
      </c>
      <c r="J854">
        <f>SUMIFS(Transit_Clean[Quantity], Transit_Clean[Destination], A854, Transit_Clean[Item_Code], B854, Transit_Clean[SAP_Status], "In Transit")</f>
        <v>0</v>
      </c>
      <c r="K854">
        <f t="shared" si="41"/>
        <v>4.7908045977011495</v>
      </c>
      <c r="L854" t="str" cm="1">
        <f t="array" ref="L854">_xlfn.IFS(C854&lt;0,"DATO INVALIDO", C854+J854&lt;I854,"PEDIR YA", C854&lt;I854,"EN CAMINO OK", TRUE,"SANO")</f>
        <v>SANO</v>
      </c>
    </row>
    <row r="855" spans="1:12" x14ac:dyDescent="0.45">
      <c r="A855" t="s">
        <v>1126</v>
      </c>
      <c r="B855" t="s">
        <v>55</v>
      </c>
      <c r="C855">
        <v>6880</v>
      </c>
      <c r="E855">
        <v>131.80000000000001</v>
      </c>
      <c r="F855">
        <v>1</v>
      </c>
      <c r="G855">
        <v>0.2</v>
      </c>
      <c r="H855">
        <f t="shared" si="39"/>
        <v>217.47</v>
      </c>
      <c r="I855">
        <f t="shared" si="40"/>
        <v>217.47</v>
      </c>
      <c r="J855">
        <f>SUMIFS(Transit_Clean[Quantity], Transit_Clean[Destination], A855, Transit_Clean[Item_Code], B855, Transit_Clean[SAP_Status], "In Transit")</f>
        <v>0</v>
      </c>
      <c r="K855" t="str">
        <f t="shared" si="41"/>
        <v/>
      </c>
      <c r="L855" t="str" cm="1">
        <f t="array" ref="L855">_xlfn.IFS(C855&lt;0,"DATO INVALIDO", C855+J855&lt;I855,"PEDIR YA", C855&lt;I855,"EN CAMINO OK", TRUE,"SANO")</f>
        <v>SANO</v>
      </c>
    </row>
    <row r="856" spans="1:12" x14ac:dyDescent="0.45">
      <c r="A856" t="s">
        <v>1127</v>
      </c>
      <c r="B856" t="s">
        <v>42</v>
      </c>
      <c r="C856">
        <v>1703</v>
      </c>
      <c r="D856">
        <v>285.7</v>
      </c>
      <c r="E856">
        <v>126.2</v>
      </c>
      <c r="F856">
        <v>2.2000000000000002</v>
      </c>
      <c r="G856">
        <v>0.9</v>
      </c>
      <c r="H856">
        <f t="shared" si="39"/>
        <v>524.77783712753148</v>
      </c>
      <c r="I856">
        <f t="shared" si="40"/>
        <v>1153.3178371275317</v>
      </c>
      <c r="J856">
        <f>SUMIFS(Transit_Clean[Quantity], Transit_Clean[Destination], A856, Transit_Clean[Item_Code], B856, Transit_Clean[SAP_Status], "In Transit")</f>
        <v>0</v>
      </c>
      <c r="K856">
        <f t="shared" si="41"/>
        <v>5.9607980399019951</v>
      </c>
      <c r="L856" t="str" cm="1">
        <f t="array" ref="L856">_xlfn.IFS(C856&lt;0,"DATO INVALIDO", C856+J856&lt;I856,"PEDIR YA", C856&lt;I856,"EN CAMINO OK", TRUE,"SANO")</f>
        <v>SANO</v>
      </c>
    </row>
    <row r="857" spans="1:12" x14ac:dyDescent="0.45">
      <c r="A857" t="s">
        <v>1128</v>
      </c>
      <c r="B857" t="s">
        <v>18</v>
      </c>
      <c r="C857">
        <v>6214</v>
      </c>
      <c r="D857">
        <v>346.2</v>
      </c>
      <c r="E857">
        <v>39.799999999999997</v>
      </c>
      <c r="F857">
        <v>1.6</v>
      </c>
      <c r="G857">
        <v>0.5</v>
      </c>
      <c r="H857">
        <f t="shared" si="39"/>
        <v>297.44916618642583</v>
      </c>
      <c r="I857">
        <f t="shared" si="40"/>
        <v>851.36916618642579</v>
      </c>
      <c r="J857">
        <f>SUMIFS(Transit_Clean[Quantity], Transit_Clean[Destination], A857, Transit_Clean[Item_Code], B857, Transit_Clean[SAP_Status], "In Transit")</f>
        <v>1170</v>
      </c>
      <c r="K857">
        <f t="shared" si="41"/>
        <v>17.949162333911033</v>
      </c>
      <c r="L857" t="str" cm="1">
        <f t="array" ref="L857">_xlfn.IFS(C857&lt;0,"DATO INVALIDO", C857+J857&lt;I857,"PEDIR YA", C857&lt;I857,"EN CAMINO OK", TRUE,"SANO")</f>
        <v>SANO</v>
      </c>
    </row>
    <row r="858" spans="1:12" x14ac:dyDescent="0.45">
      <c r="A858" t="s">
        <v>1127</v>
      </c>
      <c r="B858" t="s">
        <v>55</v>
      </c>
      <c r="C858">
        <v>3454</v>
      </c>
      <c r="D858">
        <v>396.6</v>
      </c>
      <c r="E858">
        <v>94.2</v>
      </c>
      <c r="F858">
        <v>4.5</v>
      </c>
      <c r="G858">
        <v>0.9</v>
      </c>
      <c r="H858">
        <f t="shared" si="39"/>
        <v>674.96404530241466</v>
      </c>
      <c r="I858">
        <f t="shared" si="40"/>
        <v>2459.6640453024147</v>
      </c>
      <c r="J858">
        <f>SUMIFS(Transit_Clean[Quantity], Transit_Clean[Destination], A858, Transit_Clean[Item_Code], B858, Transit_Clean[SAP_Status], "In Transit")</f>
        <v>662</v>
      </c>
      <c r="K858">
        <f t="shared" si="41"/>
        <v>8.7090267271810387</v>
      </c>
      <c r="L858" t="str" cm="1">
        <f t="array" ref="L858">_xlfn.IFS(C858&lt;0,"DATO INVALIDO", C858+J858&lt;I858,"PEDIR YA", C858&lt;I858,"EN CAMINO OK", TRUE,"SANO")</f>
        <v>SANO</v>
      </c>
    </row>
    <row r="859" spans="1:12" x14ac:dyDescent="0.45">
      <c r="A859" t="s">
        <v>1128</v>
      </c>
      <c r="B859" t="s">
        <v>35</v>
      </c>
      <c r="C859">
        <v>5932</v>
      </c>
      <c r="D859">
        <v>423.8</v>
      </c>
      <c r="E859">
        <v>45.2</v>
      </c>
      <c r="F859">
        <v>1.9</v>
      </c>
      <c r="G859">
        <v>0.5</v>
      </c>
      <c r="H859">
        <f t="shared" si="39"/>
        <v>364.43486164882739</v>
      </c>
      <c r="I859">
        <f t="shared" si="40"/>
        <v>1169.6548616488274</v>
      </c>
      <c r="J859">
        <f>SUMIFS(Transit_Clean[Quantity], Transit_Clean[Destination], A859, Transit_Clean[Item_Code], B859, Transit_Clean[SAP_Status], "In Transit")</f>
        <v>0</v>
      </c>
      <c r="K859">
        <f t="shared" si="41"/>
        <v>13.997168475696082</v>
      </c>
      <c r="L859" t="str" cm="1">
        <f t="array" ref="L859">_xlfn.IFS(C859&lt;0,"DATO INVALIDO", C859+J859&lt;I859,"PEDIR YA", C859&lt;I859,"EN CAMINO OK", TRUE,"SANO")</f>
        <v>SANO</v>
      </c>
    </row>
    <row r="860" spans="1:12" x14ac:dyDescent="0.45">
      <c r="A860" t="s">
        <v>1128</v>
      </c>
      <c r="B860" t="s">
        <v>28</v>
      </c>
      <c r="C860">
        <v>3088</v>
      </c>
      <c r="D860">
        <v>178.6</v>
      </c>
      <c r="E860">
        <v>76.400000000000006</v>
      </c>
      <c r="F860">
        <v>2.1</v>
      </c>
      <c r="G860">
        <v>0.5</v>
      </c>
      <c r="H860">
        <f t="shared" si="39"/>
        <v>234.6953527128307</v>
      </c>
      <c r="I860">
        <f t="shared" si="40"/>
        <v>609.7553527128307</v>
      </c>
      <c r="J860">
        <f>SUMIFS(Transit_Clean[Quantity], Transit_Clean[Destination], A860, Transit_Clean[Item_Code], B860, Transit_Clean[SAP_Status], "In Transit")</f>
        <v>2500</v>
      </c>
      <c r="K860">
        <f t="shared" si="41"/>
        <v>17.290033594624859</v>
      </c>
      <c r="L860" t="str" cm="1">
        <f t="array" ref="L860">_xlfn.IFS(C860&lt;0,"DATO INVALIDO", C860+J860&lt;I860,"PEDIR YA", C860&lt;I860,"EN CAMINO OK", TRUE,"SANO")</f>
        <v>SANO</v>
      </c>
    </row>
    <row r="861" spans="1:12" x14ac:dyDescent="0.45">
      <c r="A861" t="s">
        <v>1122</v>
      </c>
      <c r="B861" t="s">
        <v>1135</v>
      </c>
      <c r="C861">
        <v>1559</v>
      </c>
      <c r="D861">
        <v>509</v>
      </c>
      <c r="E861">
        <v>60.3</v>
      </c>
      <c r="F861">
        <v>1.4</v>
      </c>
      <c r="G861">
        <v>0.2</v>
      </c>
      <c r="H861">
        <f t="shared" si="39"/>
        <v>205.11674221038126</v>
      </c>
      <c r="I861">
        <f t="shared" si="40"/>
        <v>917.7167422103812</v>
      </c>
      <c r="J861">
        <f>SUMIFS(Transit_Clean[Quantity], Transit_Clean[Destination], A861, Transit_Clean[Item_Code], B861, Transit_Clean[SAP_Status], "In Transit")</f>
        <v>3502</v>
      </c>
      <c r="K861">
        <f t="shared" si="41"/>
        <v>3.0628683693516701</v>
      </c>
      <c r="L861" t="str" cm="1">
        <f t="array" ref="L861">_xlfn.IFS(C861&lt;0,"DATO INVALIDO", C861+J861&lt;I861,"PEDIR YA", C861&lt;I861,"EN CAMINO OK", TRUE,"SANO")</f>
        <v>SANO</v>
      </c>
    </row>
    <row r="862" spans="1:12" x14ac:dyDescent="0.45">
      <c r="A862" t="s">
        <v>1114</v>
      </c>
      <c r="B862" t="s">
        <v>68</v>
      </c>
      <c r="C862">
        <v>8966</v>
      </c>
      <c r="D862">
        <v>543.79999999999995</v>
      </c>
      <c r="E862">
        <v>90.4</v>
      </c>
      <c r="F862">
        <v>5.7</v>
      </c>
      <c r="G862">
        <v>1.3</v>
      </c>
      <c r="H862">
        <f t="shared" si="39"/>
        <v>1219.6005728602295</v>
      </c>
      <c r="I862">
        <f t="shared" si="40"/>
        <v>4319.2605728602293</v>
      </c>
      <c r="J862">
        <f>SUMIFS(Transit_Clean[Quantity], Transit_Clean[Destination], A862, Transit_Clean[Item_Code], B862, Transit_Clean[SAP_Status], "In Transit")</f>
        <v>0</v>
      </c>
      <c r="K862">
        <f t="shared" si="41"/>
        <v>16.487679293858037</v>
      </c>
      <c r="L862" t="str" cm="1">
        <f t="array" ref="L862">_xlfn.IFS(C862&lt;0,"DATO INVALIDO", C862+J862&lt;I862,"PEDIR YA", C862&lt;I862,"EN CAMINO OK", TRUE,"SANO")</f>
        <v>SANO</v>
      </c>
    </row>
    <row r="863" spans="1:12" x14ac:dyDescent="0.45">
      <c r="A863" t="s">
        <v>1114</v>
      </c>
      <c r="B863" t="s">
        <v>85</v>
      </c>
      <c r="C863">
        <v>4168</v>
      </c>
      <c r="D863">
        <v>234.6</v>
      </c>
      <c r="E863">
        <v>98.9</v>
      </c>
      <c r="F863">
        <v>3.8</v>
      </c>
      <c r="G863">
        <v>1.3</v>
      </c>
      <c r="H863">
        <f t="shared" si="39"/>
        <v>595.33088038837695</v>
      </c>
      <c r="I863">
        <f t="shared" si="40"/>
        <v>1486.810880388377</v>
      </c>
      <c r="J863">
        <f>SUMIFS(Transit_Clean[Quantity], Transit_Clean[Destination], A863, Transit_Clean[Item_Code], B863, Transit_Clean[SAP_Status], "In Transit")</f>
        <v>3135</v>
      </c>
      <c r="K863">
        <f t="shared" si="41"/>
        <v>17.766410912190963</v>
      </c>
      <c r="L863" t="str" cm="1">
        <f t="array" ref="L863">_xlfn.IFS(C863&lt;0,"DATO INVALIDO", C863+J863&lt;I863,"PEDIR YA", C863&lt;I863,"EN CAMINO OK", TRUE,"SANO")</f>
        <v>SANO</v>
      </c>
    </row>
    <row r="864" spans="1:12" x14ac:dyDescent="0.45">
      <c r="A864" t="s">
        <v>1115</v>
      </c>
      <c r="B864" t="s">
        <v>24</v>
      </c>
      <c r="C864">
        <v>586</v>
      </c>
      <c r="D864">
        <v>505.8</v>
      </c>
      <c r="E864">
        <v>148.80000000000001</v>
      </c>
      <c r="F864">
        <v>1</v>
      </c>
      <c r="G864">
        <v>0.6</v>
      </c>
      <c r="H864">
        <f t="shared" si="39"/>
        <v>557.69402091469476</v>
      </c>
      <c r="I864">
        <f t="shared" si="40"/>
        <v>1063.4940209146948</v>
      </c>
      <c r="J864">
        <f>SUMIFS(Transit_Clean[Quantity], Transit_Clean[Destination], A864, Transit_Clean[Item_Code], B864, Transit_Clean[SAP_Status], "In Transit")</f>
        <v>0</v>
      </c>
      <c r="K864">
        <f t="shared" si="41"/>
        <v>1.1585606959272439</v>
      </c>
      <c r="L864" t="str" cm="1">
        <f t="array" ref="L864">_xlfn.IFS(C864&lt;0,"DATO INVALIDO", C864+J864&lt;I864,"PEDIR YA", C864&lt;I864,"EN CAMINO OK", TRUE,"SANO")</f>
        <v>PEDIR YA</v>
      </c>
    </row>
    <row r="865" spans="1:12" x14ac:dyDescent="0.45">
      <c r="A865" t="s">
        <v>1126</v>
      </c>
      <c r="B865" t="s">
        <v>45</v>
      </c>
      <c r="C865">
        <v>3397</v>
      </c>
      <c r="D865">
        <v>300.89999999999998</v>
      </c>
      <c r="E865">
        <v>48</v>
      </c>
      <c r="F865">
        <v>1.1000000000000001</v>
      </c>
      <c r="G865">
        <v>0.2</v>
      </c>
      <c r="H865">
        <f t="shared" si="39"/>
        <v>129.45963930507452</v>
      </c>
      <c r="I865">
        <f t="shared" si="40"/>
        <v>460.44963930507453</v>
      </c>
      <c r="J865">
        <f>SUMIFS(Transit_Clean[Quantity], Transit_Clean[Destination], A865, Transit_Clean[Item_Code], B865, Transit_Clean[SAP_Status], "In Transit")</f>
        <v>0</v>
      </c>
      <c r="K865">
        <f t="shared" si="41"/>
        <v>11.289464938517781</v>
      </c>
      <c r="L865" t="str" cm="1">
        <f t="array" ref="L865">_xlfn.IFS(C865&lt;0,"DATO INVALIDO", C865+J865&lt;I865,"PEDIR YA", C865&lt;I865,"EN CAMINO OK", TRUE,"SANO")</f>
        <v>SANO</v>
      </c>
    </row>
    <row r="866" spans="1:12" x14ac:dyDescent="0.45">
      <c r="A866" t="s">
        <v>1122</v>
      </c>
      <c r="B866" t="s">
        <v>100</v>
      </c>
      <c r="C866">
        <v>3441</v>
      </c>
      <c r="D866">
        <v>248</v>
      </c>
      <c r="E866">
        <v>30.6</v>
      </c>
      <c r="F866">
        <v>1.1000000000000001</v>
      </c>
      <c r="G866">
        <v>0.2</v>
      </c>
      <c r="H866">
        <f t="shared" si="39"/>
        <v>97.477944736232516</v>
      </c>
      <c r="I866">
        <f t="shared" si="40"/>
        <v>370.27794473623254</v>
      </c>
      <c r="J866">
        <f>SUMIFS(Transit_Clean[Quantity], Transit_Clean[Destination], A866, Transit_Clean[Item_Code], B866, Transit_Clean[SAP_Status], "In Transit")</f>
        <v>2046</v>
      </c>
      <c r="K866">
        <f t="shared" si="41"/>
        <v>13.875</v>
      </c>
      <c r="L866" t="str" cm="1">
        <f t="array" ref="L866">_xlfn.IFS(C866&lt;0,"DATO INVALIDO", C866+J866&lt;I866,"PEDIR YA", C866&lt;I866,"EN CAMINO OK", TRUE,"SANO")</f>
        <v>SANO</v>
      </c>
    </row>
    <row r="867" spans="1:12" x14ac:dyDescent="0.45">
      <c r="A867" t="s">
        <v>1116</v>
      </c>
      <c r="B867" t="s">
        <v>45</v>
      </c>
      <c r="C867">
        <v>991</v>
      </c>
      <c r="E867">
        <v>75.400000000000006</v>
      </c>
      <c r="F867">
        <v>0.5</v>
      </c>
      <c r="G867">
        <v>1.6</v>
      </c>
      <c r="H867">
        <f t="shared" si="39"/>
        <v>87.971154647418373</v>
      </c>
      <c r="I867">
        <f t="shared" si="40"/>
        <v>87.971154647418373</v>
      </c>
      <c r="J867">
        <f>SUMIFS(Transit_Clean[Quantity], Transit_Clean[Destination], A867, Transit_Clean[Item_Code], B867, Transit_Clean[SAP_Status], "In Transit")</f>
        <v>1270</v>
      </c>
      <c r="K867" t="str">
        <f t="shared" si="41"/>
        <v/>
      </c>
      <c r="L867" t="str" cm="1">
        <f t="array" ref="L867">_xlfn.IFS(C867&lt;0,"DATO INVALIDO", C867+J867&lt;I867,"PEDIR YA", C867&lt;I867,"EN CAMINO OK", TRUE,"SANO")</f>
        <v>SANO</v>
      </c>
    </row>
    <row r="868" spans="1:12" x14ac:dyDescent="0.45">
      <c r="A868" t="s">
        <v>1125</v>
      </c>
      <c r="B868" t="s">
        <v>43</v>
      </c>
      <c r="C868">
        <v>2361</v>
      </c>
      <c r="D868">
        <v>601.1</v>
      </c>
      <c r="E868">
        <v>350.9</v>
      </c>
      <c r="F868">
        <v>4.5</v>
      </c>
      <c r="G868">
        <v>1.2</v>
      </c>
      <c r="H868">
        <f t="shared" si="39"/>
        <v>1710.2719104564922</v>
      </c>
      <c r="I868">
        <f t="shared" si="40"/>
        <v>4415.221910456492</v>
      </c>
      <c r="J868">
        <f>SUMIFS(Transit_Clean[Quantity], Transit_Clean[Destination], A868, Transit_Clean[Item_Code], B868, Transit_Clean[SAP_Status], "In Transit")</f>
        <v>6317</v>
      </c>
      <c r="K868">
        <f t="shared" si="41"/>
        <v>3.9277990351023124</v>
      </c>
      <c r="L868" t="str" cm="1">
        <f t="array" ref="L868">_xlfn.IFS(C868&lt;0,"DATO INVALIDO", C868+J868&lt;I868,"PEDIR YA", C868&lt;I868,"EN CAMINO OK", TRUE,"SANO")</f>
        <v>EN CAMINO OK</v>
      </c>
    </row>
    <row r="869" spans="1:12" x14ac:dyDescent="0.45">
      <c r="A869" t="s">
        <v>1123</v>
      </c>
      <c r="B869" t="s">
        <v>75</v>
      </c>
      <c r="C869">
        <v>2776</v>
      </c>
      <c r="D869">
        <v>247.7</v>
      </c>
      <c r="E869">
        <v>25.4</v>
      </c>
      <c r="F869">
        <v>1.2</v>
      </c>
      <c r="G869">
        <v>0.3</v>
      </c>
      <c r="H869">
        <f t="shared" si="39"/>
        <v>130.92485498273425</v>
      </c>
      <c r="I869">
        <f t="shared" si="40"/>
        <v>428.1648549827342</v>
      </c>
      <c r="J869">
        <f>SUMIFS(Transit_Clean[Quantity], Transit_Clean[Destination], A869, Transit_Clean[Item_Code], B869, Transit_Clean[SAP_Status], "In Transit")</f>
        <v>0</v>
      </c>
      <c r="K869">
        <f t="shared" si="41"/>
        <v>11.207105369398466</v>
      </c>
      <c r="L869" t="str" cm="1">
        <f t="array" ref="L869">_xlfn.IFS(C869&lt;0,"DATO INVALIDO", C869+J869&lt;I869,"PEDIR YA", C869&lt;I869,"EN CAMINO OK", TRUE,"SANO")</f>
        <v>SANO</v>
      </c>
    </row>
    <row r="870" spans="1:12" x14ac:dyDescent="0.45">
      <c r="A870" t="s">
        <v>1126</v>
      </c>
      <c r="B870" t="s">
        <v>68</v>
      </c>
      <c r="C870">
        <v>3448</v>
      </c>
      <c r="D870">
        <v>223.3</v>
      </c>
      <c r="E870">
        <v>26.4</v>
      </c>
      <c r="F870">
        <v>1</v>
      </c>
      <c r="G870">
        <v>0.2</v>
      </c>
      <c r="H870">
        <f t="shared" si="39"/>
        <v>85.60106495248759</v>
      </c>
      <c r="I870">
        <f t="shared" si="40"/>
        <v>308.90106495248762</v>
      </c>
      <c r="J870">
        <f>SUMIFS(Transit_Clean[Quantity], Transit_Clean[Destination], A870, Transit_Clean[Item_Code], B870, Transit_Clean[SAP_Status], "In Transit")</f>
        <v>0</v>
      </c>
      <c r="K870">
        <f t="shared" si="41"/>
        <v>15.441110613524407</v>
      </c>
      <c r="L870" t="str" cm="1">
        <f t="array" ref="L870">_xlfn.IFS(C870&lt;0,"DATO INVALIDO", C870+J870&lt;I870,"PEDIR YA", C870&lt;I870,"EN CAMINO OK", TRUE,"SANO")</f>
        <v>SANO</v>
      </c>
    </row>
    <row r="871" spans="1:12" x14ac:dyDescent="0.45">
      <c r="A871" t="s">
        <v>1126</v>
      </c>
      <c r="B871" t="s">
        <v>87</v>
      </c>
      <c r="C871">
        <v>1027</v>
      </c>
      <c r="D871">
        <v>405.3</v>
      </c>
      <c r="E871">
        <v>79.400000000000006</v>
      </c>
      <c r="F871">
        <v>1.1000000000000001</v>
      </c>
      <c r="G871">
        <v>0.2</v>
      </c>
      <c r="H871">
        <f t="shared" si="39"/>
        <v>191.75186338338412</v>
      </c>
      <c r="I871">
        <f t="shared" si="40"/>
        <v>637.58186338338419</v>
      </c>
      <c r="J871">
        <f>SUMIFS(Transit_Clean[Quantity], Transit_Clean[Destination], A871, Transit_Clean[Item_Code], B871, Transit_Clean[SAP_Status], "In Transit")</f>
        <v>2316</v>
      </c>
      <c r="K871">
        <f t="shared" si="41"/>
        <v>2.533925487293363</v>
      </c>
      <c r="L871" t="str" cm="1">
        <f t="array" ref="L871">_xlfn.IFS(C871&lt;0,"DATO INVALIDO", C871+J871&lt;I871,"PEDIR YA", C871&lt;I871,"EN CAMINO OK", TRUE,"SANO")</f>
        <v>SANO</v>
      </c>
    </row>
    <row r="872" spans="1:12" x14ac:dyDescent="0.45">
      <c r="A872" t="s">
        <v>1117</v>
      </c>
      <c r="B872" t="s">
        <v>65</v>
      </c>
      <c r="C872">
        <v>3957</v>
      </c>
      <c r="D872">
        <v>286.10000000000002</v>
      </c>
      <c r="E872">
        <v>89.3</v>
      </c>
      <c r="F872">
        <v>2.7</v>
      </c>
      <c r="G872">
        <v>0.5</v>
      </c>
      <c r="H872">
        <f t="shared" si="39"/>
        <v>338.12693389280599</v>
      </c>
      <c r="I872">
        <f t="shared" si="40"/>
        <v>1110.5969338928062</v>
      </c>
      <c r="J872">
        <f>SUMIFS(Transit_Clean[Quantity], Transit_Clean[Destination], A872, Transit_Clean[Item_Code], B872, Transit_Clean[SAP_Status], "In Transit")</f>
        <v>0</v>
      </c>
      <c r="K872">
        <f t="shared" si="41"/>
        <v>13.830828381684725</v>
      </c>
      <c r="L872" t="str" cm="1">
        <f t="array" ref="L872">_xlfn.IFS(C872&lt;0,"DATO INVALIDO", C872+J872&lt;I872,"PEDIR YA", C872&lt;I872,"EN CAMINO OK", TRUE,"SANO")</f>
        <v>SANO</v>
      </c>
    </row>
    <row r="873" spans="1:12" x14ac:dyDescent="0.45">
      <c r="A873" t="s">
        <v>1118</v>
      </c>
      <c r="B873" t="s">
        <v>66</v>
      </c>
      <c r="C873">
        <v>3836</v>
      </c>
      <c r="D873">
        <v>479.2</v>
      </c>
      <c r="E873">
        <v>76.099999999999994</v>
      </c>
      <c r="F873">
        <v>3.2</v>
      </c>
      <c r="G873">
        <v>1.5</v>
      </c>
      <c r="H873">
        <f t="shared" si="39"/>
        <v>1207.1025067988217</v>
      </c>
      <c r="I873">
        <f t="shared" si="40"/>
        <v>2740.5425067988217</v>
      </c>
      <c r="J873">
        <f>SUMIFS(Transit_Clean[Quantity], Transit_Clean[Destination], A873, Transit_Clean[Item_Code], B873, Transit_Clean[SAP_Status], "In Transit")</f>
        <v>0</v>
      </c>
      <c r="K873">
        <f t="shared" si="41"/>
        <v>8.0050083472454094</v>
      </c>
      <c r="L873" t="str" cm="1">
        <f t="array" ref="L873">_xlfn.IFS(C873&lt;0,"DATO INVALIDO", C873+J873&lt;I873,"PEDIR YA", C873&lt;I873,"EN CAMINO OK", TRUE,"SANO")</f>
        <v>SANO</v>
      </c>
    </row>
    <row r="874" spans="1:12" x14ac:dyDescent="0.45">
      <c r="A874" t="s">
        <v>1117</v>
      </c>
      <c r="B874" t="s">
        <v>68</v>
      </c>
      <c r="C874">
        <v>1828</v>
      </c>
      <c r="D874">
        <v>341.4</v>
      </c>
      <c r="E874">
        <v>60.1</v>
      </c>
      <c r="F874">
        <v>1.6</v>
      </c>
      <c r="G874">
        <v>0.5</v>
      </c>
      <c r="H874">
        <f t="shared" si="39"/>
        <v>308.32361989474623</v>
      </c>
      <c r="I874">
        <f t="shared" si="40"/>
        <v>854.56361989474624</v>
      </c>
      <c r="J874">
        <f>SUMIFS(Transit_Clean[Quantity], Transit_Clean[Destination], A874, Transit_Clean[Item_Code], B874, Transit_Clean[SAP_Status], "In Transit")</f>
        <v>0</v>
      </c>
      <c r="K874">
        <f t="shared" si="41"/>
        <v>5.354422964264792</v>
      </c>
      <c r="L874" t="str" cm="1">
        <f t="array" ref="L874">_xlfn.IFS(C874&lt;0,"DATO INVALIDO", C874+J874&lt;I874,"PEDIR YA", C874&lt;I874,"EN CAMINO OK", TRUE,"SANO")</f>
        <v>SANO</v>
      </c>
    </row>
    <row r="875" spans="1:12" x14ac:dyDescent="0.45">
      <c r="A875" t="s">
        <v>1118</v>
      </c>
      <c r="B875" t="s">
        <v>49</v>
      </c>
      <c r="C875">
        <v>5790</v>
      </c>
      <c r="D875">
        <v>331.6</v>
      </c>
      <c r="E875">
        <v>41.8</v>
      </c>
      <c r="F875">
        <v>3.1</v>
      </c>
      <c r="G875">
        <v>1.5</v>
      </c>
      <c r="H875">
        <f t="shared" si="39"/>
        <v>829.6452090442034</v>
      </c>
      <c r="I875">
        <f t="shared" si="40"/>
        <v>1857.6052090442035</v>
      </c>
      <c r="J875">
        <f>SUMIFS(Transit_Clean[Quantity], Transit_Clean[Destination], A875, Transit_Clean[Item_Code], B875, Transit_Clean[SAP_Status], "In Transit")</f>
        <v>1830</v>
      </c>
      <c r="K875">
        <f t="shared" si="41"/>
        <v>17.460796139927623</v>
      </c>
      <c r="L875" t="str" cm="1">
        <f t="array" ref="L875">_xlfn.IFS(C875&lt;0,"DATO INVALIDO", C875+J875&lt;I875,"PEDIR YA", C875&lt;I875,"EN CAMINO OK", TRUE,"SANO")</f>
        <v>SANO</v>
      </c>
    </row>
    <row r="876" spans="1:12" x14ac:dyDescent="0.45">
      <c r="A876" t="s">
        <v>1122</v>
      </c>
      <c r="B876" t="s">
        <v>37</v>
      </c>
      <c r="C876">
        <v>6109</v>
      </c>
      <c r="D876">
        <v>468</v>
      </c>
      <c r="E876">
        <v>319.39999999999998</v>
      </c>
      <c r="F876">
        <v>1</v>
      </c>
      <c r="G876">
        <v>0.2</v>
      </c>
      <c r="H876">
        <f t="shared" si="39"/>
        <v>549.17324561562532</v>
      </c>
      <c r="I876">
        <f t="shared" si="40"/>
        <v>1017.1732456156253</v>
      </c>
      <c r="J876">
        <f>SUMIFS(Transit_Clean[Quantity], Transit_Clean[Destination], A876, Transit_Clean[Item_Code], B876, Transit_Clean[SAP_Status], "In Transit")</f>
        <v>0</v>
      </c>
      <c r="K876">
        <f t="shared" si="41"/>
        <v>13.053418803418804</v>
      </c>
      <c r="L876" t="str" cm="1">
        <f t="array" ref="L876">_xlfn.IFS(C876&lt;0,"DATO INVALIDO", C876+J876&lt;I876,"PEDIR YA", C876&lt;I876,"EN CAMINO OK", TRUE,"SANO")</f>
        <v>SANO</v>
      </c>
    </row>
    <row r="877" spans="1:12" x14ac:dyDescent="0.45">
      <c r="A877" t="s">
        <v>1116</v>
      </c>
      <c r="B877" t="s">
        <v>30</v>
      </c>
      <c r="C877">
        <v>2345</v>
      </c>
      <c r="D877">
        <v>593.79999999999995</v>
      </c>
      <c r="E877">
        <v>112.5</v>
      </c>
      <c r="F877">
        <v>4.4000000000000004</v>
      </c>
      <c r="G877">
        <v>1.6</v>
      </c>
      <c r="H877">
        <f t="shared" si="39"/>
        <v>1615.2644694210294</v>
      </c>
      <c r="I877">
        <f t="shared" si="40"/>
        <v>4227.9844694210296</v>
      </c>
      <c r="J877">
        <f>SUMIFS(Transit_Clean[Quantity], Transit_Clean[Destination], A877, Transit_Clean[Item_Code], B877, Transit_Clean[SAP_Status], "In Transit")</f>
        <v>920</v>
      </c>
      <c r="K877">
        <f t="shared" si="41"/>
        <v>3.9491411249578987</v>
      </c>
      <c r="L877" t="str" cm="1">
        <f t="array" ref="L877">_xlfn.IFS(C877&lt;0,"DATO INVALIDO", C877+J877&lt;I877,"PEDIR YA", C877&lt;I877,"EN CAMINO OK", TRUE,"SANO")</f>
        <v>PEDIR YA</v>
      </c>
    </row>
    <row r="878" spans="1:12" x14ac:dyDescent="0.45">
      <c r="A878" t="s">
        <v>1127</v>
      </c>
      <c r="B878" t="s">
        <v>15</v>
      </c>
      <c r="C878">
        <v>1893</v>
      </c>
      <c r="D878">
        <v>465.8</v>
      </c>
      <c r="E878">
        <v>129.80000000000001</v>
      </c>
      <c r="F878">
        <v>2.1</v>
      </c>
      <c r="G878">
        <v>0.9</v>
      </c>
      <c r="H878">
        <f t="shared" si="39"/>
        <v>758.14993969464911</v>
      </c>
      <c r="I878">
        <f t="shared" si="40"/>
        <v>1736.3299396946491</v>
      </c>
      <c r="J878">
        <f>SUMIFS(Transit_Clean[Quantity], Transit_Clean[Destination], A878, Transit_Clean[Item_Code], B878, Transit_Clean[SAP_Status], "In Transit")</f>
        <v>0</v>
      </c>
      <c r="K878">
        <f t="shared" si="41"/>
        <v>4.0639759553456418</v>
      </c>
      <c r="L878" t="str" cm="1">
        <f t="array" ref="L878">_xlfn.IFS(C878&lt;0,"DATO INVALIDO", C878+J878&lt;I878,"PEDIR YA", C878&lt;I878,"EN CAMINO OK", TRUE,"SANO")</f>
        <v>SANO</v>
      </c>
    </row>
    <row r="879" spans="1:12" x14ac:dyDescent="0.45">
      <c r="A879" t="s">
        <v>1122</v>
      </c>
      <c r="B879" t="s">
        <v>59</v>
      </c>
      <c r="C879">
        <v>3835</v>
      </c>
      <c r="D879">
        <v>359.5</v>
      </c>
      <c r="E879">
        <v>51.5</v>
      </c>
      <c r="F879">
        <v>0.9</v>
      </c>
      <c r="G879">
        <v>0.2</v>
      </c>
      <c r="H879">
        <f t="shared" si="39"/>
        <v>143.43269776274866</v>
      </c>
      <c r="I879">
        <f t="shared" si="40"/>
        <v>466.98269776274867</v>
      </c>
      <c r="J879">
        <f>SUMIFS(Transit_Clean[Quantity], Transit_Clean[Destination], A879, Transit_Clean[Item_Code], B879, Transit_Clean[SAP_Status], "In Transit")</f>
        <v>1331</v>
      </c>
      <c r="K879">
        <f t="shared" si="41"/>
        <v>10.667593880389429</v>
      </c>
      <c r="L879" t="str" cm="1">
        <f t="array" ref="L879">_xlfn.IFS(C879&lt;0,"DATO INVALIDO", C879+J879&lt;I879,"PEDIR YA", C879&lt;I879,"EN CAMINO OK", TRUE,"SANO")</f>
        <v>SANO</v>
      </c>
    </row>
    <row r="880" spans="1:12" x14ac:dyDescent="0.45">
      <c r="A880" t="s">
        <v>1117</v>
      </c>
      <c r="B880" t="s">
        <v>37</v>
      </c>
      <c r="C880">
        <v>8519</v>
      </c>
      <c r="D880">
        <v>672.6</v>
      </c>
      <c r="E880">
        <v>422.8</v>
      </c>
      <c r="F880">
        <v>1.4</v>
      </c>
      <c r="G880">
        <v>0.5</v>
      </c>
      <c r="H880">
        <f t="shared" si="39"/>
        <v>994.61127642159772</v>
      </c>
      <c r="I880">
        <f t="shared" si="40"/>
        <v>1936.2512764215976</v>
      </c>
      <c r="J880">
        <f>SUMIFS(Transit_Clean[Quantity], Transit_Clean[Destination], A880, Transit_Clean[Item_Code], B880, Transit_Clean[SAP_Status], "In Transit")</f>
        <v>1080</v>
      </c>
      <c r="K880">
        <f t="shared" si="41"/>
        <v>12.665774606006542</v>
      </c>
      <c r="L880" t="str" cm="1">
        <f t="array" ref="L880">_xlfn.IFS(C880&lt;0,"DATO INVALIDO", C880+J880&lt;I880,"PEDIR YA", C880&lt;I880,"EN CAMINO OK", TRUE,"SANO")</f>
        <v>SANO</v>
      </c>
    </row>
    <row r="881" spans="1:12" x14ac:dyDescent="0.45">
      <c r="A881" t="s">
        <v>1117</v>
      </c>
      <c r="B881" t="s">
        <v>53</v>
      </c>
      <c r="C881">
        <v>3336</v>
      </c>
      <c r="D881">
        <v>503.8</v>
      </c>
      <c r="E881">
        <v>215.4</v>
      </c>
      <c r="F881">
        <v>1.7</v>
      </c>
      <c r="G881">
        <v>0.5</v>
      </c>
      <c r="H881">
        <f t="shared" si="39"/>
        <v>622.48703520234051</v>
      </c>
      <c r="I881">
        <f t="shared" si="40"/>
        <v>1478.9470352023404</v>
      </c>
      <c r="J881">
        <f>SUMIFS(Transit_Clean[Quantity], Transit_Clean[Destination], A881, Transit_Clean[Item_Code], B881, Transit_Clean[SAP_Status], "In Transit")</f>
        <v>0</v>
      </c>
      <c r="K881">
        <f t="shared" si="41"/>
        <v>6.6216752679634778</v>
      </c>
      <c r="L881" t="str" cm="1">
        <f t="array" ref="L881">_xlfn.IFS(C881&lt;0,"DATO INVALIDO", C881+J881&lt;I881,"PEDIR YA", C881&lt;I881,"EN CAMINO OK", TRUE,"SANO")</f>
        <v>SANO</v>
      </c>
    </row>
    <row r="882" spans="1:12" x14ac:dyDescent="0.45">
      <c r="A882" t="s">
        <v>1118</v>
      </c>
      <c r="B882" t="s">
        <v>51</v>
      </c>
      <c r="C882">
        <v>3307</v>
      </c>
      <c r="D882">
        <v>381.7</v>
      </c>
      <c r="E882">
        <v>101.2</v>
      </c>
      <c r="F882">
        <v>4.7</v>
      </c>
      <c r="G882">
        <v>1.5</v>
      </c>
      <c r="H882">
        <f t="shared" si="39"/>
        <v>1011.6912406639931</v>
      </c>
      <c r="I882">
        <f t="shared" si="40"/>
        <v>2805.6812406639929</v>
      </c>
      <c r="J882">
        <f>SUMIFS(Transit_Clean[Quantity], Transit_Clean[Destination], A882, Transit_Clean[Item_Code], B882, Transit_Clean[SAP_Status], "In Transit")</f>
        <v>2198</v>
      </c>
      <c r="K882">
        <f t="shared" si="41"/>
        <v>8.6638721509038508</v>
      </c>
      <c r="L882" t="str" cm="1">
        <f t="array" ref="L882">_xlfn.IFS(C882&lt;0,"DATO INVALIDO", C882+J882&lt;I882,"PEDIR YA", C882&lt;I882,"EN CAMINO OK", TRUE,"SANO")</f>
        <v>SANO</v>
      </c>
    </row>
    <row r="883" spans="1:12" x14ac:dyDescent="0.45">
      <c r="A883" t="s">
        <v>1116</v>
      </c>
      <c r="B883" t="s">
        <v>32</v>
      </c>
      <c r="C883">
        <v>5402</v>
      </c>
      <c r="D883">
        <v>322.3</v>
      </c>
      <c r="E883">
        <v>127</v>
      </c>
      <c r="F883">
        <v>4</v>
      </c>
      <c r="G883">
        <v>1.6</v>
      </c>
      <c r="H883">
        <f t="shared" si="39"/>
        <v>948.48720095950694</v>
      </c>
      <c r="I883">
        <f t="shared" si="40"/>
        <v>2237.6872009595072</v>
      </c>
      <c r="J883">
        <f>SUMIFS(Transit_Clean[Quantity], Transit_Clean[Destination], A883, Transit_Clean[Item_Code], B883, Transit_Clean[SAP_Status], "In Transit")</f>
        <v>0</v>
      </c>
      <c r="K883">
        <f t="shared" si="41"/>
        <v>16.760781880235804</v>
      </c>
      <c r="L883" t="str" cm="1">
        <f t="array" ref="L883">_xlfn.IFS(C883&lt;0,"DATO INVALIDO", C883+J883&lt;I883,"PEDIR YA", C883&lt;I883,"EN CAMINO OK", TRUE,"SANO")</f>
        <v>SANO</v>
      </c>
    </row>
    <row r="884" spans="1:12" x14ac:dyDescent="0.45">
      <c r="A884" t="s">
        <v>1128</v>
      </c>
      <c r="B884" t="s">
        <v>20</v>
      </c>
      <c r="C884">
        <v>3370</v>
      </c>
      <c r="D884">
        <v>375.4</v>
      </c>
      <c r="E884">
        <v>61</v>
      </c>
      <c r="F884">
        <v>2.6</v>
      </c>
      <c r="G884">
        <v>0.5</v>
      </c>
      <c r="H884">
        <f t="shared" si="39"/>
        <v>349.65166312345769</v>
      </c>
      <c r="I884">
        <f t="shared" si="40"/>
        <v>1325.6916631234576</v>
      </c>
      <c r="J884">
        <f>SUMIFS(Transit_Clean[Quantity], Transit_Clean[Destination], A884, Transit_Clean[Item_Code], B884, Transit_Clean[SAP_Status], "In Transit")</f>
        <v>0</v>
      </c>
      <c r="K884">
        <f t="shared" si="41"/>
        <v>8.9770911028236551</v>
      </c>
      <c r="L884" t="str" cm="1">
        <f t="array" ref="L884">_xlfn.IFS(C884&lt;0,"DATO INVALIDO", C884+J884&lt;I884,"PEDIR YA", C884&lt;I884,"EN CAMINO OK", TRUE,"SANO")</f>
        <v>SANO</v>
      </c>
    </row>
    <row r="885" spans="1:12" x14ac:dyDescent="0.45">
      <c r="A885" t="s">
        <v>1120</v>
      </c>
      <c r="B885" t="s">
        <v>106</v>
      </c>
      <c r="C885">
        <v>5797</v>
      </c>
      <c r="D885">
        <v>360.1</v>
      </c>
      <c r="E885">
        <v>105.4</v>
      </c>
      <c r="F885">
        <v>2.4</v>
      </c>
      <c r="G885">
        <v>0.5</v>
      </c>
      <c r="H885">
        <f t="shared" si="39"/>
        <v>401.05518728256089</v>
      </c>
      <c r="I885">
        <f t="shared" si="40"/>
        <v>1265.2951872825608</v>
      </c>
      <c r="J885">
        <f>SUMIFS(Transit_Clean[Quantity], Transit_Clean[Destination], A885, Transit_Clean[Item_Code], B885, Transit_Clean[SAP_Status], "In Transit")</f>
        <v>0</v>
      </c>
      <c r="K885">
        <f t="shared" si="41"/>
        <v>16.09830602610386</v>
      </c>
      <c r="L885" t="str" cm="1">
        <f t="array" ref="L885">_xlfn.IFS(C885&lt;0,"DATO INVALIDO", C885+J885&lt;I885,"PEDIR YA", C885&lt;I885,"EN CAMINO OK", TRUE,"SANO")</f>
        <v>SANO</v>
      </c>
    </row>
    <row r="886" spans="1:12" x14ac:dyDescent="0.45">
      <c r="A886" t="s">
        <v>1128</v>
      </c>
      <c r="B886" t="s">
        <v>58</v>
      </c>
      <c r="C886">
        <v>2232</v>
      </c>
      <c r="D886">
        <v>449.3</v>
      </c>
      <c r="E886">
        <v>66.400000000000006</v>
      </c>
      <c r="F886">
        <v>1.9</v>
      </c>
      <c r="G886">
        <v>0.5</v>
      </c>
      <c r="H886">
        <f t="shared" si="39"/>
        <v>400.25560595230888</v>
      </c>
      <c r="I886">
        <f t="shared" si="40"/>
        <v>1253.9256059523088</v>
      </c>
      <c r="J886">
        <f>SUMIFS(Transit_Clean[Quantity], Transit_Clean[Destination], A886, Transit_Clean[Item_Code], B886, Transit_Clean[SAP_Status], "In Transit")</f>
        <v>1300</v>
      </c>
      <c r="K886">
        <f t="shared" si="41"/>
        <v>4.9677275762296906</v>
      </c>
      <c r="L886" t="str" cm="1">
        <f t="array" ref="L886">_xlfn.IFS(C886&lt;0,"DATO INVALIDO", C886+J886&lt;I886,"PEDIR YA", C886&lt;I886,"EN CAMINO OK", TRUE,"SANO")</f>
        <v>SANO</v>
      </c>
    </row>
    <row r="887" spans="1:12" x14ac:dyDescent="0.45">
      <c r="A887" t="s">
        <v>1124</v>
      </c>
      <c r="B887" t="s">
        <v>65</v>
      </c>
      <c r="C887">
        <v>1579</v>
      </c>
      <c r="D887">
        <v>430.1</v>
      </c>
      <c r="E887">
        <v>141.9</v>
      </c>
      <c r="F887">
        <v>1.1000000000000001</v>
      </c>
      <c r="G887">
        <v>0.3</v>
      </c>
      <c r="H887">
        <f t="shared" si="39"/>
        <v>325.00356174625227</v>
      </c>
      <c r="I887">
        <f t="shared" si="40"/>
        <v>798.11356174625234</v>
      </c>
      <c r="J887">
        <f>SUMIFS(Transit_Clean[Quantity], Transit_Clean[Destination], A887, Transit_Clean[Item_Code], B887, Transit_Clean[SAP_Status], "In Transit")</f>
        <v>0</v>
      </c>
      <c r="K887">
        <f t="shared" si="41"/>
        <v>3.6712392466868167</v>
      </c>
      <c r="L887" t="str" cm="1">
        <f t="array" ref="L887">_xlfn.IFS(C887&lt;0,"DATO INVALIDO", C887+J887&lt;I887,"PEDIR YA", C887&lt;I887,"EN CAMINO OK", TRUE,"SANO")</f>
        <v>SANO</v>
      </c>
    </row>
    <row r="888" spans="1:12" x14ac:dyDescent="0.45">
      <c r="A888" t="s">
        <v>1119</v>
      </c>
      <c r="B888" t="s">
        <v>18</v>
      </c>
      <c r="C888">
        <v>2224</v>
      </c>
      <c r="D888">
        <v>362.9</v>
      </c>
      <c r="E888">
        <v>42.2</v>
      </c>
      <c r="F888">
        <v>3.4</v>
      </c>
      <c r="G888">
        <v>1</v>
      </c>
      <c r="H888">
        <f t="shared" si="39"/>
        <v>612.39515158515087</v>
      </c>
      <c r="I888">
        <f t="shared" si="40"/>
        <v>1846.2551515851508</v>
      </c>
      <c r="J888">
        <f>SUMIFS(Transit_Clean[Quantity], Transit_Clean[Destination], A888, Transit_Clean[Item_Code], B888, Transit_Clean[SAP_Status], "In Transit")</f>
        <v>436</v>
      </c>
      <c r="K888">
        <f t="shared" si="41"/>
        <v>6.1284100303113807</v>
      </c>
      <c r="L888" t="str" cm="1">
        <f t="array" ref="L888">_xlfn.IFS(C888&lt;0,"DATO INVALIDO", C888+J888&lt;I888,"PEDIR YA", C888&lt;I888,"EN CAMINO OK", TRUE,"SANO")</f>
        <v>SANO</v>
      </c>
    </row>
    <row r="889" spans="1:12" x14ac:dyDescent="0.45">
      <c r="A889" t="s">
        <v>1123</v>
      </c>
      <c r="B889" t="s">
        <v>20</v>
      </c>
      <c r="C889">
        <v>3816</v>
      </c>
      <c r="D889">
        <v>537.20000000000005</v>
      </c>
      <c r="E889">
        <v>105.4</v>
      </c>
      <c r="F889">
        <v>0.9</v>
      </c>
      <c r="G889">
        <v>0.3</v>
      </c>
      <c r="H889">
        <f t="shared" si="39"/>
        <v>312.93845191347134</v>
      </c>
      <c r="I889">
        <f t="shared" si="40"/>
        <v>796.41845191347147</v>
      </c>
      <c r="J889">
        <f>SUMIFS(Transit_Clean[Quantity], Transit_Clean[Destination], A889, Transit_Clean[Item_Code], B889, Transit_Clean[SAP_Status], "In Transit")</f>
        <v>0</v>
      </c>
      <c r="K889">
        <f t="shared" si="41"/>
        <v>7.10349962769918</v>
      </c>
      <c r="L889" t="str" cm="1">
        <f t="array" ref="L889">_xlfn.IFS(C889&lt;0,"DATO INVALIDO", C889+J889&lt;I889,"PEDIR YA", C889&lt;I889,"EN CAMINO OK", TRUE,"SANO")</f>
        <v>SANO</v>
      </c>
    </row>
    <row r="890" spans="1:12" x14ac:dyDescent="0.45">
      <c r="A890" t="s">
        <v>1114</v>
      </c>
      <c r="B890" t="s">
        <v>84</v>
      </c>
      <c r="C890">
        <v>3721</v>
      </c>
      <c r="D890">
        <v>246</v>
      </c>
      <c r="E890">
        <v>91.3</v>
      </c>
      <c r="F890">
        <v>4.3</v>
      </c>
      <c r="G890">
        <v>1.3</v>
      </c>
      <c r="H890">
        <f t="shared" si="39"/>
        <v>613.20426271145561</v>
      </c>
      <c r="I890">
        <f t="shared" si="40"/>
        <v>1671.0042627114556</v>
      </c>
      <c r="J890">
        <f>SUMIFS(Transit_Clean[Quantity], Transit_Clean[Destination], A890, Transit_Clean[Item_Code], B890, Transit_Clean[SAP_Status], "In Transit")</f>
        <v>5435</v>
      </c>
      <c r="K890">
        <f t="shared" si="41"/>
        <v>15.126016260162602</v>
      </c>
      <c r="L890" t="str" cm="1">
        <f t="array" ref="L890">_xlfn.IFS(C890&lt;0,"DATO INVALIDO", C890+J890&lt;I890,"PEDIR YA", C890&lt;I890,"EN CAMINO OK", TRUE,"SANO")</f>
        <v>SANO</v>
      </c>
    </row>
    <row r="891" spans="1:12" x14ac:dyDescent="0.45">
      <c r="A891" t="s">
        <v>1128</v>
      </c>
      <c r="B891" t="s">
        <v>62</v>
      </c>
      <c r="C891">
        <v>4677</v>
      </c>
      <c r="D891">
        <v>382.9</v>
      </c>
      <c r="E891">
        <v>42.2</v>
      </c>
      <c r="F891">
        <v>1.9</v>
      </c>
      <c r="G891">
        <v>0.5</v>
      </c>
      <c r="H891">
        <f t="shared" si="39"/>
        <v>330.15134660674937</v>
      </c>
      <c r="I891">
        <f t="shared" si="40"/>
        <v>1057.6613466067492</v>
      </c>
      <c r="J891">
        <f>SUMIFS(Transit_Clean[Quantity], Transit_Clean[Destination], A891, Transit_Clean[Item_Code], B891, Transit_Clean[SAP_Status], "In Transit")</f>
        <v>0</v>
      </c>
      <c r="K891">
        <f t="shared" si="41"/>
        <v>12.214677461478194</v>
      </c>
      <c r="L891" t="str" cm="1">
        <f t="array" ref="L891">_xlfn.IFS(C891&lt;0,"DATO INVALIDO", C891+J891&lt;I891,"PEDIR YA", C891&lt;I891,"EN CAMINO OK", TRUE,"SANO")</f>
        <v>SANO</v>
      </c>
    </row>
    <row r="892" spans="1:12" x14ac:dyDescent="0.45">
      <c r="A892" t="s">
        <v>1118</v>
      </c>
      <c r="B892" t="s">
        <v>63</v>
      </c>
      <c r="C892">
        <v>3936</v>
      </c>
      <c r="D892">
        <v>596.6</v>
      </c>
      <c r="E892">
        <v>169.2</v>
      </c>
      <c r="F892">
        <v>2.9</v>
      </c>
      <c r="G892">
        <v>1.5</v>
      </c>
      <c r="H892">
        <f t="shared" si="39"/>
        <v>1551.2361303763525</v>
      </c>
      <c r="I892">
        <f t="shared" si="40"/>
        <v>3281.3761303763526</v>
      </c>
      <c r="J892">
        <f>SUMIFS(Transit_Clean[Quantity], Transit_Clean[Destination], A892, Transit_Clean[Item_Code], B892, Transit_Clean[SAP_Status], "In Transit")</f>
        <v>1315</v>
      </c>
      <c r="K892">
        <f t="shared" si="41"/>
        <v>6.597385182701978</v>
      </c>
      <c r="L892" t="str" cm="1">
        <f t="array" ref="L892">_xlfn.IFS(C892&lt;0,"DATO INVALIDO", C892+J892&lt;I892,"PEDIR YA", C892&lt;I892,"EN CAMINO OK", TRUE,"SANO")</f>
        <v>SANO</v>
      </c>
    </row>
    <row r="893" spans="1:12" x14ac:dyDescent="0.45">
      <c r="A893" t="s">
        <v>1128</v>
      </c>
      <c r="B893" t="s">
        <v>72</v>
      </c>
      <c r="C893">
        <v>695</v>
      </c>
      <c r="D893">
        <v>319.7</v>
      </c>
      <c r="E893">
        <v>52.8</v>
      </c>
      <c r="F893">
        <v>1.8</v>
      </c>
      <c r="G893">
        <v>0.5</v>
      </c>
      <c r="H893">
        <f t="shared" si="39"/>
        <v>288.49123240793642</v>
      </c>
      <c r="I893">
        <f t="shared" si="40"/>
        <v>863.95123240793646</v>
      </c>
      <c r="J893">
        <f>SUMIFS(Transit_Clean[Quantity], Transit_Clean[Destination], A893, Transit_Clean[Item_Code], B893, Transit_Clean[SAP_Status], "In Transit")</f>
        <v>0</v>
      </c>
      <c r="K893">
        <f t="shared" si="41"/>
        <v>2.1739130434782608</v>
      </c>
      <c r="L893" t="str" cm="1">
        <f t="array" ref="L893">_xlfn.IFS(C893&lt;0,"DATO INVALIDO", C893+J893&lt;I893,"PEDIR YA", C893&lt;I893,"EN CAMINO OK", TRUE,"SANO")</f>
        <v>PEDIR YA</v>
      </c>
    </row>
    <row r="894" spans="1:12" x14ac:dyDescent="0.45">
      <c r="A894" t="s">
        <v>1116</v>
      </c>
      <c r="B894" t="s">
        <v>13</v>
      </c>
      <c r="C894">
        <v>2293</v>
      </c>
      <c r="D894">
        <v>415.9</v>
      </c>
      <c r="E894">
        <v>120.6</v>
      </c>
      <c r="F894">
        <v>6.1</v>
      </c>
      <c r="G894">
        <v>1.6</v>
      </c>
      <c r="H894">
        <f t="shared" si="39"/>
        <v>1202.9518357714908</v>
      </c>
      <c r="I894">
        <f t="shared" si="40"/>
        <v>3739.9418357714903</v>
      </c>
      <c r="J894">
        <f>SUMIFS(Transit_Clean[Quantity], Transit_Clean[Destination], A894, Transit_Clean[Item_Code], B894, Transit_Clean[SAP_Status], "In Transit")</f>
        <v>5850</v>
      </c>
      <c r="K894">
        <f t="shared" si="41"/>
        <v>5.513344553979322</v>
      </c>
      <c r="L894" t="str" cm="1">
        <f t="array" ref="L894">_xlfn.IFS(C894&lt;0,"DATO INVALIDO", C894+J894&lt;I894,"PEDIR YA", C894&lt;I894,"EN CAMINO OK", TRUE,"SANO")</f>
        <v>EN CAMINO OK</v>
      </c>
    </row>
    <row r="895" spans="1:12" x14ac:dyDescent="0.45">
      <c r="A895" t="s">
        <v>1123</v>
      </c>
      <c r="B895" t="s">
        <v>85</v>
      </c>
      <c r="C895">
        <v>2127</v>
      </c>
      <c r="D895">
        <v>281.8</v>
      </c>
      <c r="E895">
        <v>158.19999999999999</v>
      </c>
      <c r="F895">
        <v>0.9</v>
      </c>
      <c r="G895">
        <v>0.3</v>
      </c>
      <c r="H895">
        <f t="shared" si="39"/>
        <v>284.21951708318693</v>
      </c>
      <c r="I895">
        <f t="shared" si="40"/>
        <v>537.83951708318693</v>
      </c>
      <c r="J895">
        <f>SUMIFS(Transit_Clean[Quantity], Transit_Clean[Destination], A895, Transit_Clean[Item_Code], B895, Transit_Clean[SAP_Status], "In Transit")</f>
        <v>2813</v>
      </c>
      <c r="K895">
        <f t="shared" si="41"/>
        <v>7.5479063165365501</v>
      </c>
      <c r="L895" t="str" cm="1">
        <f t="array" ref="L895">_xlfn.IFS(C895&lt;0,"DATO INVALIDO", C895+J895&lt;I895,"PEDIR YA", C895&lt;I895,"EN CAMINO OK", TRUE,"SANO")</f>
        <v>SANO</v>
      </c>
    </row>
    <row r="896" spans="1:12" x14ac:dyDescent="0.45">
      <c r="A896" t="s">
        <v>1114</v>
      </c>
      <c r="B896" t="s">
        <v>92</v>
      </c>
      <c r="C896">
        <v>1788</v>
      </c>
      <c r="D896">
        <v>135.30000000000001</v>
      </c>
      <c r="E896">
        <v>39.9</v>
      </c>
      <c r="F896">
        <v>5.6</v>
      </c>
      <c r="G896">
        <v>1.3</v>
      </c>
      <c r="H896">
        <f t="shared" si="39"/>
        <v>329.39119933940253</v>
      </c>
      <c r="I896">
        <f t="shared" si="40"/>
        <v>1087.0711993394025</v>
      </c>
      <c r="J896">
        <f>SUMIFS(Transit_Clean[Quantity], Transit_Clean[Destination], A896, Transit_Clean[Item_Code], B896, Transit_Clean[SAP_Status], "In Transit")</f>
        <v>2059</v>
      </c>
      <c r="K896">
        <f t="shared" si="41"/>
        <v>13.215077605321506</v>
      </c>
      <c r="L896" t="str" cm="1">
        <f t="array" ref="L896">_xlfn.IFS(C896&lt;0,"DATO INVALIDO", C896+J896&lt;I896,"PEDIR YA", C896&lt;I896,"EN CAMINO OK", TRUE,"SANO")</f>
        <v>SANO</v>
      </c>
    </row>
    <row r="897" spans="1:12" x14ac:dyDescent="0.45">
      <c r="A897" t="s">
        <v>1124</v>
      </c>
      <c r="B897" t="s">
        <v>109</v>
      </c>
      <c r="C897">
        <v>1047</v>
      </c>
      <c r="D897">
        <v>125.2</v>
      </c>
      <c r="E897">
        <v>61.6</v>
      </c>
      <c r="F897">
        <v>1</v>
      </c>
      <c r="G897">
        <v>0.3</v>
      </c>
      <c r="H897">
        <f t="shared" si="39"/>
        <v>119.0439678270176</v>
      </c>
      <c r="I897">
        <f t="shared" si="40"/>
        <v>244.2439678270176</v>
      </c>
      <c r="J897">
        <f>SUMIFS(Transit_Clean[Quantity], Transit_Clean[Destination], A897, Transit_Clean[Item_Code], B897, Transit_Clean[SAP_Status], "In Transit")</f>
        <v>0</v>
      </c>
      <c r="K897">
        <f t="shared" si="41"/>
        <v>8.3626198083067091</v>
      </c>
      <c r="L897" t="str" cm="1">
        <f t="array" ref="L897">_xlfn.IFS(C897&lt;0,"DATO INVALIDO", C897+J897&lt;I897,"PEDIR YA", C897&lt;I897,"EN CAMINO OK", TRUE,"SANO")</f>
        <v>SANO</v>
      </c>
    </row>
    <row r="898" spans="1:12" x14ac:dyDescent="0.45">
      <c r="A898" t="s">
        <v>1119</v>
      </c>
      <c r="B898" t="s">
        <v>83</v>
      </c>
      <c r="C898">
        <v>1316</v>
      </c>
      <c r="D898">
        <v>620.9</v>
      </c>
      <c r="E898">
        <v>111.4</v>
      </c>
      <c r="F898">
        <v>3.6</v>
      </c>
      <c r="G898">
        <v>1</v>
      </c>
      <c r="H898">
        <f t="shared" si="39"/>
        <v>1082.2197250027371</v>
      </c>
      <c r="I898">
        <f t="shared" si="40"/>
        <v>3317.4597250027368</v>
      </c>
      <c r="J898">
        <f>SUMIFS(Transit_Clean[Quantity], Transit_Clean[Destination], A898, Transit_Clean[Item_Code], B898, Transit_Clean[SAP_Status], "In Transit")</f>
        <v>0</v>
      </c>
      <c r="K898">
        <f t="shared" si="41"/>
        <v>2.1195039458850058</v>
      </c>
      <c r="L898" t="str" cm="1">
        <f t="array" ref="L898">_xlfn.IFS(C898&lt;0,"DATO INVALIDO", C898+J898&lt;I898,"PEDIR YA", C898&lt;I898,"EN CAMINO OK", TRUE,"SANO")</f>
        <v>PEDIR YA</v>
      </c>
    </row>
    <row r="899" spans="1:12" x14ac:dyDescent="0.45">
      <c r="A899" t="s">
        <v>1116</v>
      </c>
      <c r="B899" t="s">
        <v>25</v>
      </c>
      <c r="C899">
        <v>4881</v>
      </c>
      <c r="E899">
        <v>141.6</v>
      </c>
      <c r="F899">
        <v>3.7</v>
      </c>
      <c r="G899">
        <v>1.6</v>
      </c>
      <c r="H899">
        <f t="shared" ref="H899:H962" si="42">IFERROR(1.65*SQRT(F899*E899^2 + D899^2*G899^2), "")</f>
        <v>449.41551321688928</v>
      </c>
      <c r="I899">
        <f t="shared" ref="I899:I962" si="43">IFERROR(D899*F899 + H899, "")</f>
        <v>449.41551321688928</v>
      </c>
      <c r="J899">
        <f>SUMIFS(Transit_Clean[Quantity], Transit_Clean[Destination], A899, Transit_Clean[Item_Code], B899, Transit_Clean[SAP_Status], "In Transit")</f>
        <v>0</v>
      </c>
      <c r="K899" t="str">
        <f t="shared" ref="K899:K962" si="44">IFERROR(C899/D899, "")</f>
        <v/>
      </c>
      <c r="L899" t="str" cm="1">
        <f t="array" ref="L899">_xlfn.IFS(C899&lt;0,"DATO INVALIDO", C899+J899&lt;I899,"PEDIR YA", C899&lt;I899,"EN CAMINO OK", TRUE,"SANO")</f>
        <v>SANO</v>
      </c>
    </row>
    <row r="900" spans="1:12" x14ac:dyDescent="0.45">
      <c r="A900" t="s">
        <v>1122</v>
      </c>
      <c r="B900" t="s">
        <v>103</v>
      </c>
      <c r="C900">
        <v>1512</v>
      </c>
      <c r="D900">
        <v>240.9</v>
      </c>
      <c r="E900">
        <v>38.5</v>
      </c>
      <c r="F900">
        <v>1.3</v>
      </c>
      <c r="G900">
        <v>0.2</v>
      </c>
      <c r="H900">
        <f t="shared" si="42"/>
        <v>107.5445318065963</v>
      </c>
      <c r="I900">
        <f t="shared" si="43"/>
        <v>420.71453180659631</v>
      </c>
      <c r="J900">
        <f>SUMIFS(Transit_Clean[Quantity], Transit_Clean[Destination], A900, Transit_Clean[Item_Code], B900, Transit_Clean[SAP_Status], "In Transit")</f>
        <v>0</v>
      </c>
      <c r="K900">
        <f t="shared" si="44"/>
        <v>6.2764632627646328</v>
      </c>
      <c r="L900" t="str" cm="1">
        <f t="array" ref="L900">_xlfn.IFS(C900&lt;0,"DATO INVALIDO", C900+J900&lt;I900,"PEDIR YA", C900&lt;I900,"EN CAMINO OK", TRUE,"SANO")</f>
        <v>SANO</v>
      </c>
    </row>
    <row r="901" spans="1:12" x14ac:dyDescent="0.45">
      <c r="A901" t="s">
        <v>1123</v>
      </c>
      <c r="B901" t="s">
        <v>12</v>
      </c>
      <c r="C901">
        <v>1339</v>
      </c>
      <c r="D901">
        <v>280.60000000000002</v>
      </c>
      <c r="E901">
        <v>28.8</v>
      </c>
      <c r="F901">
        <v>0.8</v>
      </c>
      <c r="G901">
        <v>0.3</v>
      </c>
      <c r="H901">
        <f t="shared" si="42"/>
        <v>145.25459348674659</v>
      </c>
      <c r="I901">
        <f t="shared" si="43"/>
        <v>369.73459348674658</v>
      </c>
      <c r="J901">
        <f>SUMIFS(Transit_Clean[Quantity], Transit_Clean[Destination], A901, Transit_Clean[Item_Code], B901, Transit_Clean[SAP_Status], "In Transit")</f>
        <v>0</v>
      </c>
      <c r="K901">
        <f t="shared" si="44"/>
        <v>4.7719173200285097</v>
      </c>
      <c r="L901" t="str" cm="1">
        <f t="array" ref="L901">_xlfn.IFS(C901&lt;0,"DATO INVALIDO", C901+J901&lt;I901,"PEDIR YA", C901&lt;I901,"EN CAMINO OK", TRUE,"SANO")</f>
        <v>SANO</v>
      </c>
    </row>
    <row r="902" spans="1:12" x14ac:dyDescent="0.45">
      <c r="A902" t="s">
        <v>1122</v>
      </c>
      <c r="B902" t="s">
        <v>83</v>
      </c>
      <c r="C902">
        <v>2338</v>
      </c>
      <c r="D902">
        <v>386.5</v>
      </c>
      <c r="E902">
        <v>91.8</v>
      </c>
      <c r="F902">
        <v>1.1000000000000001</v>
      </c>
      <c r="G902">
        <v>0.2</v>
      </c>
      <c r="H902">
        <f t="shared" si="42"/>
        <v>203.72826022670492</v>
      </c>
      <c r="I902">
        <f t="shared" si="43"/>
        <v>628.87826022670492</v>
      </c>
      <c r="J902">
        <f>SUMIFS(Transit_Clean[Quantity], Transit_Clean[Destination], A902, Transit_Clean[Item_Code], B902, Transit_Clean[SAP_Status], "In Transit")</f>
        <v>0</v>
      </c>
      <c r="K902">
        <f t="shared" si="44"/>
        <v>6.0491591203104784</v>
      </c>
      <c r="L902" t="str" cm="1">
        <f t="array" ref="L902">_xlfn.IFS(C902&lt;0,"DATO INVALIDO", C902+J902&lt;I902,"PEDIR YA", C902&lt;I902,"EN CAMINO OK", TRUE,"SANO")</f>
        <v>SANO</v>
      </c>
    </row>
    <row r="903" spans="1:12" x14ac:dyDescent="0.45">
      <c r="A903" t="s">
        <v>1125</v>
      </c>
      <c r="B903" t="s">
        <v>109</v>
      </c>
      <c r="C903">
        <v>3800</v>
      </c>
      <c r="D903">
        <v>593.29999999999995</v>
      </c>
      <c r="E903">
        <v>360.6</v>
      </c>
      <c r="F903">
        <v>6.2</v>
      </c>
      <c r="G903">
        <v>1.2</v>
      </c>
      <c r="H903">
        <f t="shared" si="42"/>
        <v>1890.7356217557228</v>
      </c>
      <c r="I903">
        <f t="shared" si="43"/>
        <v>5569.1956217557226</v>
      </c>
      <c r="J903">
        <f>SUMIFS(Transit_Clean[Quantity], Transit_Clean[Destination], A903, Transit_Clean[Item_Code], B903, Transit_Clean[SAP_Status], "In Transit")</f>
        <v>1859</v>
      </c>
      <c r="K903">
        <f t="shared" si="44"/>
        <v>6.4048542052924322</v>
      </c>
      <c r="L903" t="str" cm="1">
        <f t="array" ref="L903">_xlfn.IFS(C903&lt;0,"DATO INVALIDO", C903+J903&lt;I903,"PEDIR YA", C903&lt;I903,"EN CAMINO OK", TRUE,"SANO")</f>
        <v>EN CAMINO OK</v>
      </c>
    </row>
    <row r="904" spans="1:12" x14ac:dyDescent="0.45">
      <c r="A904" t="s">
        <v>1125</v>
      </c>
      <c r="B904" t="s">
        <v>1134</v>
      </c>
      <c r="C904">
        <v>371</v>
      </c>
      <c r="D904">
        <v>402.6</v>
      </c>
      <c r="E904">
        <v>64.8</v>
      </c>
      <c r="F904">
        <v>3.8</v>
      </c>
      <c r="G904">
        <v>1.2</v>
      </c>
      <c r="H904">
        <f t="shared" si="42"/>
        <v>823.94544857290157</v>
      </c>
      <c r="I904">
        <f t="shared" si="43"/>
        <v>2353.8254485729017</v>
      </c>
      <c r="J904">
        <f>SUMIFS(Transit_Clean[Quantity], Transit_Clean[Destination], A904, Transit_Clean[Item_Code], B904, Transit_Clean[SAP_Status], "In Transit")</f>
        <v>0</v>
      </c>
      <c r="K904">
        <f t="shared" si="44"/>
        <v>0.92151018380526573</v>
      </c>
      <c r="L904" t="str" cm="1">
        <f t="array" ref="L904">_xlfn.IFS(C904&lt;0,"DATO INVALIDO", C904+J904&lt;I904,"PEDIR YA", C904&lt;I904,"EN CAMINO OK", TRUE,"SANO")</f>
        <v>PEDIR YA</v>
      </c>
    </row>
    <row r="905" spans="1:12" x14ac:dyDescent="0.45">
      <c r="A905" t="s">
        <v>1125</v>
      </c>
      <c r="B905" t="s">
        <v>1137</v>
      </c>
      <c r="C905">
        <v>1143</v>
      </c>
      <c r="D905">
        <v>564.70000000000005</v>
      </c>
      <c r="E905">
        <v>77.599999999999994</v>
      </c>
      <c r="F905">
        <v>5.8</v>
      </c>
      <c r="G905">
        <v>1.2</v>
      </c>
      <c r="H905">
        <f t="shared" si="42"/>
        <v>1159.8481057948925</v>
      </c>
      <c r="I905">
        <f t="shared" si="43"/>
        <v>4435.1081057948923</v>
      </c>
      <c r="J905">
        <f>SUMIFS(Transit_Clean[Quantity], Transit_Clean[Destination], A905, Transit_Clean[Item_Code], B905, Transit_Clean[SAP_Status], "In Transit")</f>
        <v>1846</v>
      </c>
      <c r="K905">
        <f t="shared" si="44"/>
        <v>2.0240835842040021</v>
      </c>
      <c r="L905" t="str" cm="1">
        <f t="array" ref="L905">_xlfn.IFS(C905&lt;0,"DATO INVALIDO", C905+J905&lt;I905,"PEDIR YA", C905&lt;I905,"EN CAMINO OK", TRUE,"SANO")</f>
        <v>PEDIR YA</v>
      </c>
    </row>
    <row r="906" spans="1:12" x14ac:dyDescent="0.45">
      <c r="A906" t="s">
        <v>1118</v>
      </c>
      <c r="B906" t="s">
        <v>24</v>
      </c>
      <c r="C906">
        <v>2969</v>
      </c>
      <c r="D906">
        <v>437.2</v>
      </c>
      <c r="E906">
        <v>99.9</v>
      </c>
      <c r="F906">
        <v>4.8</v>
      </c>
      <c r="G906">
        <v>1.5</v>
      </c>
      <c r="H906">
        <f t="shared" si="42"/>
        <v>1140.7428525219871</v>
      </c>
      <c r="I906">
        <f t="shared" si="43"/>
        <v>3239.302852521987</v>
      </c>
      <c r="J906">
        <f>SUMIFS(Transit_Clean[Quantity], Transit_Clean[Destination], A906, Transit_Clean[Item_Code], B906, Transit_Clean[SAP_Status], "In Transit")</f>
        <v>0</v>
      </c>
      <c r="K906">
        <f t="shared" si="44"/>
        <v>6.7909423604757553</v>
      </c>
      <c r="L906" t="str" cm="1">
        <f t="array" ref="L906">_xlfn.IFS(C906&lt;0,"DATO INVALIDO", C906+J906&lt;I906,"PEDIR YA", C906&lt;I906,"EN CAMINO OK", TRUE,"SANO")</f>
        <v>PEDIR YA</v>
      </c>
    </row>
    <row r="907" spans="1:12" x14ac:dyDescent="0.45">
      <c r="A907" t="s">
        <v>1122</v>
      </c>
      <c r="B907" t="s">
        <v>60</v>
      </c>
      <c r="C907">
        <v>11753</v>
      </c>
      <c r="D907">
        <v>912.4</v>
      </c>
      <c r="E907">
        <v>164.6</v>
      </c>
      <c r="F907">
        <v>1.3</v>
      </c>
      <c r="G907">
        <v>0.2</v>
      </c>
      <c r="H907">
        <f t="shared" si="42"/>
        <v>431.90954955175511</v>
      </c>
      <c r="I907">
        <f t="shared" si="43"/>
        <v>1618.0295495517553</v>
      </c>
      <c r="J907">
        <f>SUMIFS(Transit_Clean[Quantity], Transit_Clean[Destination], A907, Transit_Clean[Item_Code], B907, Transit_Clean[SAP_Status], "In Transit")</f>
        <v>0</v>
      </c>
      <c r="K907">
        <f t="shared" si="44"/>
        <v>12.881411661551951</v>
      </c>
      <c r="L907" t="str" cm="1">
        <f t="array" ref="L907">_xlfn.IFS(C907&lt;0,"DATO INVALIDO", C907+J907&lt;I907,"PEDIR YA", C907&lt;I907,"EN CAMINO OK", TRUE,"SANO")</f>
        <v>SANO</v>
      </c>
    </row>
    <row r="908" spans="1:12" x14ac:dyDescent="0.45">
      <c r="A908" t="s">
        <v>1124</v>
      </c>
      <c r="B908" t="s">
        <v>81</v>
      </c>
      <c r="C908">
        <v>5143</v>
      </c>
      <c r="E908">
        <v>81.599999999999994</v>
      </c>
      <c r="F908">
        <v>1.3</v>
      </c>
      <c r="G908">
        <v>0.3</v>
      </c>
      <c r="H908">
        <f t="shared" si="42"/>
        <v>153.51321923534792</v>
      </c>
      <c r="I908">
        <f t="shared" si="43"/>
        <v>153.51321923534792</v>
      </c>
      <c r="J908">
        <f>SUMIFS(Transit_Clean[Quantity], Transit_Clean[Destination], A908, Transit_Clean[Item_Code], B908, Transit_Clean[SAP_Status], "In Transit")</f>
        <v>0</v>
      </c>
      <c r="K908" t="str">
        <f t="shared" si="44"/>
        <v/>
      </c>
      <c r="L908" t="str" cm="1">
        <f t="array" ref="L908">_xlfn.IFS(C908&lt;0,"DATO INVALIDO", C908+J908&lt;I908,"PEDIR YA", C908&lt;I908,"EN CAMINO OK", TRUE,"SANO")</f>
        <v>SANO</v>
      </c>
    </row>
    <row r="909" spans="1:12" x14ac:dyDescent="0.45">
      <c r="A909" t="s">
        <v>1119</v>
      </c>
      <c r="B909" t="s">
        <v>51</v>
      </c>
      <c r="D909">
        <v>347.3</v>
      </c>
      <c r="E909">
        <v>56.6</v>
      </c>
      <c r="F909">
        <v>2.5</v>
      </c>
      <c r="G909">
        <v>1</v>
      </c>
      <c r="H909">
        <f t="shared" si="42"/>
        <v>591.76414412754002</v>
      </c>
      <c r="I909">
        <f t="shared" si="43"/>
        <v>1460.01414412754</v>
      </c>
      <c r="J909">
        <f>SUMIFS(Transit_Clean[Quantity], Transit_Clean[Destination], A909, Transit_Clean[Item_Code], B909, Transit_Clean[SAP_Status], "In Transit")</f>
        <v>0</v>
      </c>
      <c r="K909">
        <f t="shared" si="44"/>
        <v>0</v>
      </c>
      <c r="L909" t="str" cm="1">
        <f t="array" ref="L909">_xlfn.IFS(C909&lt;0,"DATO INVALIDO", C909+J909&lt;I909,"PEDIR YA", C909&lt;I909,"EN CAMINO OK", TRUE,"SANO")</f>
        <v>PEDIR YA</v>
      </c>
    </row>
    <row r="910" spans="1:12" x14ac:dyDescent="0.45">
      <c r="A910" t="s">
        <v>1124</v>
      </c>
      <c r="B910" t="s">
        <v>41</v>
      </c>
      <c r="C910">
        <v>579</v>
      </c>
      <c r="D910">
        <v>158.69999999999999</v>
      </c>
      <c r="E910">
        <v>58.6</v>
      </c>
      <c r="F910">
        <v>1.1000000000000001</v>
      </c>
      <c r="G910">
        <v>0.3</v>
      </c>
      <c r="H910">
        <f t="shared" si="42"/>
        <v>128.27694805478495</v>
      </c>
      <c r="I910">
        <f t="shared" si="43"/>
        <v>302.84694805478495</v>
      </c>
      <c r="J910">
        <f>SUMIFS(Transit_Clean[Quantity], Transit_Clean[Destination], A910, Transit_Clean[Item_Code], B910, Transit_Clean[SAP_Status], "In Transit")</f>
        <v>0</v>
      </c>
      <c r="K910">
        <f t="shared" si="44"/>
        <v>3.6483931947069945</v>
      </c>
      <c r="L910" t="str" cm="1">
        <f t="array" ref="L910">_xlfn.IFS(C910&lt;0,"DATO INVALIDO", C910+J910&lt;I910,"PEDIR YA", C910&lt;I910,"EN CAMINO OK", TRUE,"SANO")</f>
        <v>SANO</v>
      </c>
    </row>
    <row r="911" spans="1:12" x14ac:dyDescent="0.45">
      <c r="A911" t="s">
        <v>1121</v>
      </c>
      <c r="B911" t="s">
        <v>95</v>
      </c>
      <c r="C911">
        <v>4894</v>
      </c>
      <c r="D911">
        <v>329.2</v>
      </c>
      <c r="E911">
        <v>45.5</v>
      </c>
      <c r="F911">
        <v>2.4</v>
      </c>
      <c r="G911">
        <v>0.4</v>
      </c>
      <c r="H911">
        <f t="shared" si="42"/>
        <v>246.44296598604717</v>
      </c>
      <c r="I911">
        <f t="shared" si="43"/>
        <v>1036.522965986047</v>
      </c>
      <c r="J911">
        <f>SUMIFS(Transit_Clean[Quantity], Transit_Clean[Destination], A911, Transit_Clean[Item_Code], B911, Transit_Clean[SAP_Status], "In Transit")</f>
        <v>0</v>
      </c>
      <c r="K911">
        <f t="shared" si="44"/>
        <v>14.866342648845688</v>
      </c>
      <c r="L911" t="str" cm="1">
        <f t="array" ref="L911">_xlfn.IFS(C911&lt;0,"DATO INVALIDO", C911+J911&lt;I911,"PEDIR YA", C911&lt;I911,"EN CAMINO OK", TRUE,"SANO")</f>
        <v>SANO</v>
      </c>
    </row>
    <row r="912" spans="1:12" x14ac:dyDescent="0.45">
      <c r="A912" t="s">
        <v>1128</v>
      </c>
      <c r="B912" t="s">
        <v>102</v>
      </c>
      <c r="C912">
        <v>1895</v>
      </c>
      <c r="D912">
        <v>159.69999999999999</v>
      </c>
      <c r="E912">
        <v>23.1</v>
      </c>
      <c r="F912">
        <v>2.2999999999999998</v>
      </c>
      <c r="G912">
        <v>0.5</v>
      </c>
      <c r="H912">
        <f t="shared" si="42"/>
        <v>143.87513222843617</v>
      </c>
      <c r="I912">
        <f t="shared" si="43"/>
        <v>511.18513222843615</v>
      </c>
      <c r="J912">
        <f>SUMIFS(Transit_Clean[Quantity], Transit_Clean[Destination], A912, Transit_Clean[Item_Code], B912, Transit_Clean[SAP_Status], "In Transit")</f>
        <v>0</v>
      </c>
      <c r="K912">
        <f t="shared" si="44"/>
        <v>11.865998747651847</v>
      </c>
      <c r="L912" t="str" cm="1">
        <f t="array" ref="L912">_xlfn.IFS(C912&lt;0,"DATO INVALIDO", C912+J912&lt;I912,"PEDIR YA", C912&lt;I912,"EN CAMINO OK", TRUE,"SANO")</f>
        <v>SANO</v>
      </c>
    </row>
    <row r="913" spans="1:12" x14ac:dyDescent="0.45">
      <c r="A913" t="s">
        <v>1120</v>
      </c>
      <c r="B913" t="s">
        <v>50</v>
      </c>
      <c r="D913">
        <v>258.3</v>
      </c>
      <c r="E913">
        <v>67.7</v>
      </c>
      <c r="F913">
        <v>2.4</v>
      </c>
      <c r="G913">
        <v>0.5</v>
      </c>
      <c r="H913">
        <f t="shared" si="42"/>
        <v>274.513681564781</v>
      </c>
      <c r="I913">
        <f t="shared" si="43"/>
        <v>894.43368156478095</v>
      </c>
      <c r="J913">
        <f>SUMIFS(Transit_Clean[Quantity], Transit_Clean[Destination], A913, Transit_Clean[Item_Code], B913, Transit_Clean[SAP_Status], "In Transit")</f>
        <v>1451</v>
      </c>
      <c r="K913">
        <f t="shared" si="44"/>
        <v>0</v>
      </c>
      <c r="L913" t="str" cm="1">
        <f t="array" ref="L913">_xlfn.IFS(C913&lt;0,"DATO INVALIDO", C913+J913&lt;I913,"PEDIR YA", C913&lt;I913,"EN CAMINO OK", TRUE,"SANO")</f>
        <v>EN CAMINO OK</v>
      </c>
    </row>
    <row r="914" spans="1:12" x14ac:dyDescent="0.45">
      <c r="A914" t="s">
        <v>1114</v>
      </c>
      <c r="B914" t="s">
        <v>98</v>
      </c>
      <c r="C914">
        <v>5740</v>
      </c>
      <c r="E914">
        <v>101</v>
      </c>
      <c r="F914">
        <v>3.9</v>
      </c>
      <c r="G914">
        <v>1.3</v>
      </c>
      <c r="H914">
        <f t="shared" si="42"/>
        <v>329.10738027276142</v>
      </c>
      <c r="I914">
        <f t="shared" si="43"/>
        <v>329.10738027276142</v>
      </c>
      <c r="J914">
        <f>SUMIFS(Transit_Clean[Quantity], Transit_Clean[Destination], A914, Transit_Clean[Item_Code], B914, Transit_Clean[SAP_Status], "In Transit")</f>
        <v>829</v>
      </c>
      <c r="K914" t="str">
        <f t="shared" si="44"/>
        <v/>
      </c>
      <c r="L914" t="str" cm="1">
        <f t="array" ref="L914">_xlfn.IFS(C914&lt;0,"DATO INVALIDO", C914+J914&lt;I914,"PEDIR YA", C914&lt;I914,"EN CAMINO OK", TRUE,"SANO")</f>
        <v>SANO</v>
      </c>
    </row>
    <row r="915" spans="1:12" x14ac:dyDescent="0.45">
      <c r="A915" t="s">
        <v>1125</v>
      </c>
      <c r="B915" t="s">
        <v>27</v>
      </c>
      <c r="C915">
        <v>1298</v>
      </c>
      <c r="D915">
        <v>673.7</v>
      </c>
      <c r="E915">
        <v>408.6</v>
      </c>
      <c r="F915">
        <v>5.5</v>
      </c>
      <c r="G915">
        <v>1.2</v>
      </c>
      <c r="H915">
        <f t="shared" si="42"/>
        <v>2068.6433796152496</v>
      </c>
      <c r="I915">
        <f t="shared" si="43"/>
        <v>5773.99337961525</v>
      </c>
      <c r="J915">
        <f>SUMIFS(Transit_Clean[Quantity], Transit_Clean[Destination], A915, Transit_Clean[Item_Code], B915, Transit_Clean[SAP_Status], "In Transit")</f>
        <v>0</v>
      </c>
      <c r="K915">
        <f t="shared" si="44"/>
        <v>1.9266735935876502</v>
      </c>
      <c r="L915" t="str" cm="1">
        <f t="array" ref="L915">_xlfn.IFS(C915&lt;0,"DATO INVALIDO", C915+J915&lt;I915,"PEDIR YA", C915&lt;I915,"EN CAMINO OK", TRUE,"SANO")</f>
        <v>PEDIR YA</v>
      </c>
    </row>
    <row r="916" spans="1:12" x14ac:dyDescent="0.45">
      <c r="A916" t="s">
        <v>1125</v>
      </c>
      <c r="B916" t="s">
        <v>85</v>
      </c>
      <c r="C916">
        <v>1682</v>
      </c>
      <c r="D916">
        <v>306.60000000000002</v>
      </c>
      <c r="E916">
        <v>184.9</v>
      </c>
      <c r="F916">
        <v>2</v>
      </c>
      <c r="G916">
        <v>1.2</v>
      </c>
      <c r="H916">
        <f t="shared" si="42"/>
        <v>744.77195910828971</v>
      </c>
      <c r="I916">
        <f t="shared" si="43"/>
        <v>1357.9719591082899</v>
      </c>
      <c r="J916">
        <f>SUMIFS(Transit_Clean[Quantity], Transit_Clean[Destination], A916, Transit_Clean[Item_Code], B916, Transit_Clean[SAP_Status], "In Transit")</f>
        <v>2830</v>
      </c>
      <c r="K916">
        <f t="shared" si="44"/>
        <v>5.4859752120026091</v>
      </c>
      <c r="L916" t="str" cm="1">
        <f t="array" ref="L916">_xlfn.IFS(C916&lt;0,"DATO INVALIDO", C916+J916&lt;I916,"PEDIR YA", C916&lt;I916,"EN CAMINO OK", TRUE,"SANO")</f>
        <v>SANO</v>
      </c>
    </row>
    <row r="917" spans="1:12" x14ac:dyDescent="0.45">
      <c r="A917" t="s">
        <v>1116</v>
      </c>
      <c r="B917" t="s">
        <v>55</v>
      </c>
      <c r="C917">
        <v>11613</v>
      </c>
      <c r="D917">
        <v>718.7</v>
      </c>
      <c r="E917">
        <v>183.9</v>
      </c>
      <c r="F917">
        <v>2.2999999999999998</v>
      </c>
      <c r="G917">
        <v>1.6</v>
      </c>
      <c r="H917">
        <f t="shared" si="42"/>
        <v>1952.3761844586968</v>
      </c>
      <c r="I917">
        <f t="shared" si="43"/>
        <v>3605.3861844586968</v>
      </c>
      <c r="J917">
        <f>SUMIFS(Transit_Clean[Quantity], Transit_Clean[Destination], A917, Transit_Clean[Item_Code], B917, Transit_Clean[SAP_Status], "In Transit")</f>
        <v>0</v>
      </c>
      <c r="K917">
        <f t="shared" si="44"/>
        <v>16.158341449839988</v>
      </c>
      <c r="L917" t="str" cm="1">
        <f t="array" ref="L917">_xlfn.IFS(C917&lt;0,"DATO INVALIDO", C917+J917&lt;I917,"PEDIR YA", C917&lt;I917,"EN CAMINO OK", TRUE,"SANO")</f>
        <v>SANO</v>
      </c>
    </row>
    <row r="918" spans="1:12" x14ac:dyDescent="0.45">
      <c r="A918" t="s">
        <v>1118</v>
      </c>
      <c r="B918" t="s">
        <v>47</v>
      </c>
      <c r="C918">
        <v>6123</v>
      </c>
      <c r="D918">
        <v>366.4</v>
      </c>
      <c r="E918">
        <v>32.4</v>
      </c>
      <c r="F918">
        <v>3.9</v>
      </c>
      <c r="G918">
        <v>1.5</v>
      </c>
      <c r="H918">
        <f t="shared" si="42"/>
        <v>912.96488149325864</v>
      </c>
      <c r="I918">
        <f t="shared" si="43"/>
        <v>2341.9248814932585</v>
      </c>
      <c r="J918">
        <f>SUMIFS(Transit_Clean[Quantity], Transit_Clean[Destination], A918, Transit_Clean[Item_Code], B918, Transit_Clean[SAP_Status], "In Transit")</f>
        <v>0</v>
      </c>
      <c r="K918">
        <f t="shared" si="44"/>
        <v>16.711244541484717</v>
      </c>
      <c r="L918" t="str" cm="1">
        <f t="array" ref="L918">_xlfn.IFS(C918&lt;0,"DATO INVALIDO", C918+J918&lt;I918,"PEDIR YA", C918&lt;I918,"EN CAMINO OK", TRUE,"SANO")</f>
        <v>SANO</v>
      </c>
    </row>
    <row r="919" spans="1:12" x14ac:dyDescent="0.45">
      <c r="A919" t="s">
        <v>1121</v>
      </c>
      <c r="B919" t="s">
        <v>76</v>
      </c>
      <c r="C919">
        <v>5417</v>
      </c>
      <c r="D919">
        <v>410.1</v>
      </c>
      <c r="E919">
        <v>69.400000000000006</v>
      </c>
      <c r="F919">
        <v>2.7</v>
      </c>
      <c r="G919">
        <v>0.4</v>
      </c>
      <c r="H919">
        <f t="shared" si="42"/>
        <v>329.64214206621091</v>
      </c>
      <c r="I919">
        <f t="shared" si="43"/>
        <v>1436.9121420662111</v>
      </c>
      <c r="J919">
        <f>SUMIFS(Transit_Clean[Quantity], Transit_Clean[Destination], A919, Transit_Clean[Item_Code], B919, Transit_Clean[SAP_Status], "In Transit")</f>
        <v>1064</v>
      </c>
      <c r="K919">
        <f t="shared" si="44"/>
        <v>13.2089734211168</v>
      </c>
      <c r="L919" t="str" cm="1">
        <f t="array" ref="L919">_xlfn.IFS(C919&lt;0,"DATO INVALIDO", C919+J919&lt;I919,"PEDIR YA", C919&lt;I919,"EN CAMINO OK", TRUE,"SANO")</f>
        <v>SANO</v>
      </c>
    </row>
    <row r="920" spans="1:12" x14ac:dyDescent="0.45">
      <c r="A920" t="s">
        <v>1128</v>
      </c>
      <c r="B920" t="s">
        <v>92</v>
      </c>
      <c r="C920">
        <v>6556</v>
      </c>
      <c r="D920">
        <v>387.7</v>
      </c>
      <c r="E920">
        <v>171.6</v>
      </c>
      <c r="F920">
        <v>2.6</v>
      </c>
      <c r="G920">
        <v>0.5</v>
      </c>
      <c r="H920">
        <f t="shared" si="42"/>
        <v>557.44335740615827</v>
      </c>
      <c r="I920">
        <f t="shared" si="43"/>
        <v>1565.4633574061581</v>
      </c>
      <c r="J920">
        <f>SUMIFS(Transit_Clean[Quantity], Transit_Clean[Destination], A920, Transit_Clean[Item_Code], B920, Transit_Clean[SAP_Status], "In Transit")</f>
        <v>1976</v>
      </c>
      <c r="K920">
        <f t="shared" si="44"/>
        <v>16.909981944802684</v>
      </c>
      <c r="L920" t="str" cm="1">
        <f t="array" ref="L920">_xlfn.IFS(C920&lt;0,"DATO INVALIDO", C920+J920&lt;I920,"PEDIR YA", C920&lt;I920,"EN CAMINO OK", TRUE,"SANO")</f>
        <v>SANO</v>
      </c>
    </row>
    <row r="921" spans="1:12" x14ac:dyDescent="0.45">
      <c r="A921" t="s">
        <v>1122</v>
      </c>
      <c r="B921" t="s">
        <v>84</v>
      </c>
      <c r="C921">
        <v>2982</v>
      </c>
      <c r="D921">
        <v>294.60000000000002</v>
      </c>
      <c r="E921">
        <v>96.7</v>
      </c>
      <c r="F921">
        <v>1</v>
      </c>
      <c r="G921">
        <v>0.2</v>
      </c>
      <c r="H921">
        <f t="shared" si="42"/>
        <v>186.83987141132377</v>
      </c>
      <c r="I921">
        <f t="shared" si="43"/>
        <v>481.43987141132379</v>
      </c>
      <c r="J921">
        <f>SUMIFS(Transit_Clean[Quantity], Transit_Clean[Destination], A921, Transit_Clean[Item_Code], B921, Transit_Clean[SAP_Status], "In Transit")</f>
        <v>0</v>
      </c>
      <c r="K921">
        <f t="shared" si="44"/>
        <v>10.122199592668023</v>
      </c>
      <c r="L921" t="str" cm="1">
        <f t="array" ref="L921">_xlfn.IFS(C921&lt;0,"DATO INVALIDO", C921+J921&lt;I921,"PEDIR YA", C921&lt;I921,"EN CAMINO OK", TRUE,"SANO")</f>
        <v>SANO</v>
      </c>
    </row>
    <row r="922" spans="1:12" x14ac:dyDescent="0.45">
      <c r="A922" t="s">
        <v>1119</v>
      </c>
      <c r="B922" t="s">
        <v>91</v>
      </c>
      <c r="C922">
        <v>4760</v>
      </c>
      <c r="D922">
        <v>642.20000000000005</v>
      </c>
      <c r="E922">
        <v>281.60000000000002</v>
      </c>
      <c r="F922">
        <v>4.8</v>
      </c>
      <c r="G922">
        <v>1</v>
      </c>
      <c r="H922">
        <f t="shared" si="42"/>
        <v>1469.3839930324546</v>
      </c>
      <c r="I922">
        <f t="shared" si="43"/>
        <v>4551.9439930324543</v>
      </c>
      <c r="J922">
        <f>SUMIFS(Transit_Clean[Quantity], Transit_Clean[Destination], A922, Transit_Clean[Item_Code], B922, Transit_Clean[SAP_Status], "In Transit")</f>
        <v>1639</v>
      </c>
      <c r="K922">
        <f t="shared" si="44"/>
        <v>7.4120211772033633</v>
      </c>
      <c r="L922" t="str" cm="1">
        <f t="array" ref="L922">_xlfn.IFS(C922&lt;0,"DATO INVALIDO", C922+J922&lt;I922,"PEDIR YA", C922&lt;I922,"EN CAMINO OK", TRUE,"SANO")</f>
        <v>SANO</v>
      </c>
    </row>
    <row r="923" spans="1:12" x14ac:dyDescent="0.45">
      <c r="A923" t="s">
        <v>1118</v>
      </c>
      <c r="B923" t="s">
        <v>99</v>
      </c>
      <c r="C923">
        <v>3244</v>
      </c>
      <c r="D923">
        <v>512.9</v>
      </c>
      <c r="E923">
        <v>101.3</v>
      </c>
      <c r="F923">
        <v>4.5999999999999996</v>
      </c>
      <c r="G923">
        <v>1.5</v>
      </c>
      <c r="H923">
        <f t="shared" si="42"/>
        <v>1319.0748471831496</v>
      </c>
      <c r="I923">
        <f t="shared" si="43"/>
        <v>3678.4148471831495</v>
      </c>
      <c r="J923">
        <f>SUMIFS(Transit_Clean[Quantity], Transit_Clean[Destination], A923, Transit_Clean[Item_Code], B923, Transit_Clean[SAP_Status], "In Transit")</f>
        <v>0</v>
      </c>
      <c r="K923">
        <f t="shared" si="44"/>
        <v>6.3248196529537921</v>
      </c>
      <c r="L923" t="str" cm="1">
        <f t="array" ref="L923">_xlfn.IFS(C923&lt;0,"DATO INVALIDO", C923+J923&lt;I923,"PEDIR YA", C923&lt;I923,"EN CAMINO OK", TRUE,"SANO")</f>
        <v>PEDIR YA</v>
      </c>
    </row>
    <row r="924" spans="1:12" x14ac:dyDescent="0.45">
      <c r="A924" t="s">
        <v>1126</v>
      </c>
      <c r="B924" t="s">
        <v>1129</v>
      </c>
      <c r="C924">
        <v>5663</v>
      </c>
      <c r="D924">
        <v>667.6</v>
      </c>
      <c r="E924">
        <v>165.5</v>
      </c>
      <c r="F924">
        <v>0.7</v>
      </c>
      <c r="G924">
        <v>0.2</v>
      </c>
      <c r="H924">
        <f t="shared" si="42"/>
        <v>317.38711977882781</v>
      </c>
      <c r="I924">
        <f t="shared" si="43"/>
        <v>784.70711977882775</v>
      </c>
      <c r="J924">
        <f>SUMIFS(Transit_Clean[Quantity], Transit_Clean[Destination], A924, Transit_Clean[Item_Code], B924, Transit_Clean[SAP_Status], "In Transit")</f>
        <v>2653</v>
      </c>
      <c r="K924">
        <f t="shared" si="44"/>
        <v>8.4826243259436787</v>
      </c>
      <c r="L924" t="str" cm="1">
        <f t="array" ref="L924">_xlfn.IFS(C924&lt;0,"DATO INVALIDO", C924+J924&lt;I924,"PEDIR YA", C924&lt;I924,"EN CAMINO OK", TRUE,"SANO")</f>
        <v>SANO</v>
      </c>
    </row>
    <row r="925" spans="1:12" x14ac:dyDescent="0.45">
      <c r="A925" t="s">
        <v>1114</v>
      </c>
      <c r="B925" t="s">
        <v>1141</v>
      </c>
      <c r="C925">
        <v>4305</v>
      </c>
      <c r="D925">
        <v>456.2</v>
      </c>
      <c r="E925">
        <v>57.6</v>
      </c>
      <c r="F925">
        <v>3.3</v>
      </c>
      <c r="G925">
        <v>1.3</v>
      </c>
      <c r="H925">
        <f t="shared" si="42"/>
        <v>993.662785194756</v>
      </c>
      <c r="I925">
        <f t="shared" si="43"/>
        <v>2499.122785194756</v>
      </c>
      <c r="J925">
        <f>SUMIFS(Transit_Clean[Quantity], Transit_Clean[Destination], A925, Transit_Clean[Item_Code], B925, Transit_Clean[SAP_Status], "In Transit")</f>
        <v>2259</v>
      </c>
      <c r="K925">
        <f t="shared" si="44"/>
        <v>9.436650591845682</v>
      </c>
      <c r="L925" t="str" cm="1">
        <f t="array" ref="L925">_xlfn.IFS(C925&lt;0,"DATO INVALIDO", C925+J925&lt;I925,"PEDIR YA", C925&lt;I925,"EN CAMINO OK", TRUE,"SANO")</f>
        <v>SANO</v>
      </c>
    </row>
    <row r="926" spans="1:12" x14ac:dyDescent="0.45">
      <c r="A926" t="s">
        <v>1121</v>
      </c>
      <c r="B926" t="s">
        <v>62</v>
      </c>
      <c r="C926">
        <v>2513</v>
      </c>
      <c r="D926">
        <v>227.3</v>
      </c>
      <c r="E926">
        <v>19.2</v>
      </c>
      <c r="F926">
        <v>2.1</v>
      </c>
      <c r="G926">
        <v>0.4</v>
      </c>
      <c r="H926">
        <f t="shared" si="42"/>
        <v>156.88533189562369</v>
      </c>
      <c r="I926">
        <f t="shared" si="43"/>
        <v>634.21533189562376</v>
      </c>
      <c r="J926">
        <f>SUMIFS(Transit_Clean[Quantity], Transit_Clean[Destination], A926, Transit_Clean[Item_Code], B926, Transit_Clean[SAP_Status], "In Transit")</f>
        <v>4130</v>
      </c>
      <c r="K926">
        <f t="shared" si="44"/>
        <v>11.055873295204576</v>
      </c>
      <c r="L926" t="str" cm="1">
        <f t="array" ref="L926">_xlfn.IFS(C926&lt;0,"DATO INVALIDO", C926+J926&lt;I926,"PEDIR YA", C926&lt;I926,"EN CAMINO OK", TRUE,"SANO")</f>
        <v>SANO</v>
      </c>
    </row>
    <row r="927" spans="1:12" x14ac:dyDescent="0.45">
      <c r="A927" t="s">
        <v>1127</v>
      </c>
      <c r="B927" t="s">
        <v>7</v>
      </c>
      <c r="D927">
        <v>366.8</v>
      </c>
      <c r="E927">
        <v>47.1</v>
      </c>
      <c r="F927">
        <v>4</v>
      </c>
      <c r="G927">
        <v>0.9</v>
      </c>
      <c r="H927">
        <f t="shared" si="42"/>
        <v>566.44010813500847</v>
      </c>
      <c r="I927">
        <f t="shared" si="43"/>
        <v>2033.6401081350086</v>
      </c>
      <c r="J927">
        <f>SUMIFS(Transit_Clean[Quantity], Transit_Clean[Destination], A927, Transit_Clean[Item_Code], B927, Transit_Clean[SAP_Status], "In Transit")</f>
        <v>0</v>
      </c>
      <c r="K927">
        <f t="shared" si="44"/>
        <v>0</v>
      </c>
      <c r="L927" t="str" cm="1">
        <f t="array" ref="L927">_xlfn.IFS(C927&lt;0,"DATO INVALIDO", C927+J927&lt;I927,"PEDIR YA", C927&lt;I927,"EN CAMINO OK", TRUE,"SANO")</f>
        <v>PEDIR YA</v>
      </c>
    </row>
    <row r="928" spans="1:12" x14ac:dyDescent="0.45">
      <c r="A928" t="s">
        <v>1122</v>
      </c>
      <c r="B928" t="s">
        <v>50</v>
      </c>
      <c r="C928">
        <v>3839</v>
      </c>
      <c r="D928">
        <v>300.5</v>
      </c>
      <c r="E928">
        <v>84.8</v>
      </c>
      <c r="F928">
        <v>1</v>
      </c>
      <c r="G928">
        <v>0.2</v>
      </c>
      <c r="H928">
        <f t="shared" si="42"/>
        <v>171.49724086701801</v>
      </c>
      <c r="I928">
        <f t="shared" si="43"/>
        <v>471.99724086701804</v>
      </c>
      <c r="J928">
        <f>SUMIFS(Transit_Clean[Quantity], Transit_Clean[Destination], A928, Transit_Clean[Item_Code], B928, Transit_Clean[SAP_Status], "In Transit")</f>
        <v>0</v>
      </c>
      <c r="K928">
        <f t="shared" si="44"/>
        <v>12.775374376039933</v>
      </c>
      <c r="L928" t="str" cm="1">
        <f t="array" ref="L928">_xlfn.IFS(C928&lt;0,"DATO INVALIDO", C928+J928&lt;I928,"PEDIR YA", C928&lt;I928,"EN CAMINO OK", TRUE,"SANO")</f>
        <v>SANO</v>
      </c>
    </row>
    <row r="929" spans="1:12" x14ac:dyDescent="0.45">
      <c r="A929" t="s">
        <v>1115</v>
      </c>
      <c r="B929" t="s">
        <v>83</v>
      </c>
      <c r="C929">
        <v>5827</v>
      </c>
      <c r="D929">
        <v>660.6</v>
      </c>
      <c r="E929">
        <v>172.4</v>
      </c>
      <c r="F929">
        <v>1.8</v>
      </c>
      <c r="G929">
        <v>0.6</v>
      </c>
      <c r="H929">
        <f t="shared" si="42"/>
        <v>757.20514850072175</v>
      </c>
      <c r="I929">
        <f t="shared" si="43"/>
        <v>1946.2851485007218</v>
      </c>
      <c r="J929">
        <f>SUMIFS(Transit_Clean[Quantity], Transit_Clean[Destination], A929, Transit_Clean[Item_Code], B929, Transit_Clean[SAP_Status], "In Transit")</f>
        <v>5341</v>
      </c>
      <c r="K929">
        <f t="shared" si="44"/>
        <v>8.8207689978807142</v>
      </c>
      <c r="L929" t="str" cm="1">
        <f t="array" ref="L929">_xlfn.IFS(C929&lt;0,"DATO INVALIDO", C929+J929&lt;I929,"PEDIR YA", C929&lt;I929,"EN CAMINO OK", TRUE,"SANO")</f>
        <v>SANO</v>
      </c>
    </row>
    <row r="930" spans="1:12" x14ac:dyDescent="0.45">
      <c r="A930" t="s">
        <v>1121</v>
      </c>
      <c r="B930" t="s">
        <v>50</v>
      </c>
      <c r="C930">
        <v>2180</v>
      </c>
      <c r="D930">
        <v>192.8</v>
      </c>
      <c r="E930">
        <v>71.400000000000006</v>
      </c>
      <c r="F930">
        <v>2.2000000000000002</v>
      </c>
      <c r="G930">
        <v>0.4</v>
      </c>
      <c r="H930">
        <f t="shared" si="42"/>
        <v>216.162635355882</v>
      </c>
      <c r="I930">
        <f t="shared" si="43"/>
        <v>640.32263535588208</v>
      </c>
      <c r="J930">
        <f>SUMIFS(Transit_Clean[Quantity], Transit_Clean[Destination], A930, Transit_Clean[Item_Code], B930, Transit_Clean[SAP_Status], "In Transit")</f>
        <v>0</v>
      </c>
      <c r="K930">
        <f t="shared" si="44"/>
        <v>11.307053941908713</v>
      </c>
      <c r="L930" t="str" cm="1">
        <f t="array" ref="L930">_xlfn.IFS(C930&lt;0,"DATO INVALIDO", C930+J930&lt;I930,"PEDIR YA", C930&lt;I930,"EN CAMINO OK", TRUE,"SANO")</f>
        <v>SANO</v>
      </c>
    </row>
    <row r="931" spans="1:12" x14ac:dyDescent="0.45">
      <c r="A931" t="s">
        <v>1114</v>
      </c>
      <c r="B931" t="s">
        <v>53</v>
      </c>
      <c r="C931">
        <v>1133</v>
      </c>
      <c r="D931">
        <v>269</v>
      </c>
      <c r="E931">
        <v>103.2</v>
      </c>
      <c r="F931">
        <v>1.4</v>
      </c>
      <c r="G931">
        <v>1.3</v>
      </c>
      <c r="H931">
        <f t="shared" si="42"/>
        <v>611.16950168099845</v>
      </c>
      <c r="I931">
        <f t="shared" si="43"/>
        <v>987.76950168099847</v>
      </c>
      <c r="J931">
        <f>SUMIFS(Transit_Clean[Quantity], Transit_Clean[Destination], A931, Transit_Clean[Item_Code], B931, Transit_Clean[SAP_Status], "In Transit")</f>
        <v>0</v>
      </c>
      <c r="K931">
        <f t="shared" si="44"/>
        <v>4.2118959107806688</v>
      </c>
      <c r="L931" t="str" cm="1">
        <f t="array" ref="L931">_xlfn.IFS(C931&lt;0,"DATO INVALIDO", C931+J931&lt;I931,"PEDIR YA", C931&lt;I931,"EN CAMINO OK", TRUE,"SANO")</f>
        <v>SANO</v>
      </c>
    </row>
    <row r="932" spans="1:12" x14ac:dyDescent="0.45">
      <c r="A932" t="s">
        <v>1118</v>
      </c>
      <c r="B932" t="s">
        <v>1136</v>
      </c>
      <c r="C932">
        <v>1763</v>
      </c>
      <c r="D932">
        <v>257.5</v>
      </c>
      <c r="E932">
        <v>160.30000000000001</v>
      </c>
      <c r="F932">
        <v>4.5999999999999996</v>
      </c>
      <c r="G932">
        <v>1.5</v>
      </c>
      <c r="H932">
        <f t="shared" si="42"/>
        <v>853.21287248332703</v>
      </c>
      <c r="I932">
        <f t="shared" si="43"/>
        <v>2037.7128724833269</v>
      </c>
      <c r="J932">
        <f>SUMIFS(Transit_Clean[Quantity], Transit_Clean[Destination], A932, Transit_Clean[Item_Code], B932, Transit_Clean[SAP_Status], "In Transit")</f>
        <v>3416</v>
      </c>
      <c r="K932">
        <f t="shared" si="44"/>
        <v>6.846601941747573</v>
      </c>
      <c r="L932" t="str" cm="1">
        <f t="array" ref="L932">_xlfn.IFS(C932&lt;0,"DATO INVALIDO", C932+J932&lt;I932,"PEDIR YA", C932&lt;I932,"EN CAMINO OK", TRUE,"SANO")</f>
        <v>EN CAMINO OK</v>
      </c>
    </row>
    <row r="933" spans="1:12" x14ac:dyDescent="0.45">
      <c r="A933" t="s">
        <v>1127</v>
      </c>
      <c r="B933" t="s">
        <v>54</v>
      </c>
      <c r="C933">
        <v>4535</v>
      </c>
      <c r="D933">
        <v>337.1</v>
      </c>
      <c r="E933">
        <v>50.2</v>
      </c>
      <c r="F933">
        <v>3.7</v>
      </c>
      <c r="G933">
        <v>0.9</v>
      </c>
      <c r="H933">
        <f t="shared" si="42"/>
        <v>525.33688731351242</v>
      </c>
      <c r="I933">
        <f t="shared" si="43"/>
        <v>1772.6068873135127</v>
      </c>
      <c r="J933">
        <f>SUMIFS(Transit_Clean[Quantity], Transit_Clean[Destination], A933, Transit_Clean[Item_Code], B933, Transit_Clean[SAP_Status], "In Transit")</f>
        <v>4106</v>
      </c>
      <c r="K933">
        <f t="shared" si="44"/>
        <v>13.452981311183624</v>
      </c>
      <c r="L933" t="str" cm="1">
        <f t="array" ref="L933">_xlfn.IFS(C933&lt;0,"DATO INVALIDO", C933+J933&lt;I933,"PEDIR YA", C933&lt;I933,"EN CAMINO OK", TRUE,"SANO")</f>
        <v>SANO</v>
      </c>
    </row>
    <row r="934" spans="1:12" x14ac:dyDescent="0.45">
      <c r="A934" t="s">
        <v>1122</v>
      </c>
      <c r="B934" t="s">
        <v>28</v>
      </c>
      <c r="C934">
        <v>2025</v>
      </c>
      <c r="D934">
        <v>124.6</v>
      </c>
      <c r="E934">
        <v>35.299999999999997</v>
      </c>
      <c r="F934">
        <v>1.3</v>
      </c>
      <c r="G934">
        <v>0.2</v>
      </c>
      <c r="H934">
        <f t="shared" si="42"/>
        <v>78.108347546853139</v>
      </c>
      <c r="I934">
        <f t="shared" si="43"/>
        <v>240.08834754685313</v>
      </c>
      <c r="J934">
        <f>SUMIFS(Transit_Clean[Quantity], Transit_Clean[Destination], A934, Transit_Clean[Item_Code], B934, Transit_Clean[SAP_Status], "In Transit")</f>
        <v>0</v>
      </c>
      <c r="K934">
        <f t="shared" si="44"/>
        <v>16.252006420545747</v>
      </c>
      <c r="L934" t="str" cm="1">
        <f t="array" ref="L934">_xlfn.IFS(C934&lt;0,"DATO INVALIDO", C934+J934&lt;I934,"PEDIR YA", C934&lt;I934,"EN CAMINO OK", TRUE,"SANO")</f>
        <v>SANO</v>
      </c>
    </row>
    <row r="935" spans="1:12" x14ac:dyDescent="0.45">
      <c r="A935" t="s">
        <v>1124</v>
      </c>
      <c r="B935" t="s">
        <v>102</v>
      </c>
      <c r="C935">
        <v>3796</v>
      </c>
      <c r="D935">
        <v>428.7</v>
      </c>
      <c r="E935">
        <v>54.6</v>
      </c>
      <c r="F935">
        <v>1.4</v>
      </c>
      <c r="G935">
        <v>0.3</v>
      </c>
      <c r="H935">
        <f t="shared" si="42"/>
        <v>237.47481968042422</v>
      </c>
      <c r="I935">
        <f t="shared" si="43"/>
        <v>837.65481968042423</v>
      </c>
      <c r="J935">
        <f>SUMIFS(Transit_Clean[Quantity], Transit_Clean[Destination], A935, Transit_Clean[Item_Code], B935, Transit_Clean[SAP_Status], "In Transit")</f>
        <v>1989</v>
      </c>
      <c r="K935">
        <f t="shared" si="44"/>
        <v>8.8546769302542572</v>
      </c>
      <c r="L935" t="str" cm="1">
        <f t="array" ref="L935">_xlfn.IFS(C935&lt;0,"DATO INVALIDO", C935+J935&lt;I935,"PEDIR YA", C935&lt;I935,"EN CAMINO OK", TRUE,"SANO")</f>
        <v>SANO</v>
      </c>
    </row>
    <row r="936" spans="1:12" x14ac:dyDescent="0.45">
      <c r="A936" t="s">
        <v>1119</v>
      </c>
      <c r="B936" t="s">
        <v>63</v>
      </c>
      <c r="C936">
        <v>13464</v>
      </c>
      <c r="D936">
        <v>983.5</v>
      </c>
      <c r="E936">
        <v>229.8</v>
      </c>
      <c r="F936">
        <v>1.8</v>
      </c>
      <c r="G936">
        <v>1</v>
      </c>
      <c r="H936">
        <f t="shared" si="42"/>
        <v>1700.6423788218967</v>
      </c>
      <c r="I936">
        <f t="shared" si="43"/>
        <v>3470.9423788218965</v>
      </c>
      <c r="J936">
        <f>SUMIFS(Transit_Clean[Quantity], Transit_Clean[Destination], A936, Transit_Clean[Item_Code], B936, Transit_Clean[SAP_Status], "In Transit")</f>
        <v>0</v>
      </c>
      <c r="K936">
        <f t="shared" si="44"/>
        <v>13.689883070665989</v>
      </c>
      <c r="L936" t="str" cm="1">
        <f t="array" ref="L936">_xlfn.IFS(C936&lt;0,"DATO INVALIDO", C936+J936&lt;I936,"PEDIR YA", C936&lt;I936,"EN CAMINO OK", TRUE,"SANO")</f>
        <v>SANO</v>
      </c>
    </row>
    <row r="937" spans="1:12" x14ac:dyDescent="0.45">
      <c r="A937" t="s">
        <v>1117</v>
      </c>
      <c r="B937" t="s">
        <v>62</v>
      </c>
      <c r="C937">
        <v>2163</v>
      </c>
      <c r="D937">
        <v>291.5</v>
      </c>
      <c r="E937">
        <v>30</v>
      </c>
      <c r="F937">
        <v>2.7</v>
      </c>
      <c r="G937">
        <v>0.5</v>
      </c>
      <c r="H937">
        <f t="shared" si="42"/>
        <v>253.86987347113478</v>
      </c>
      <c r="I937">
        <f t="shared" si="43"/>
        <v>1040.9198734711349</v>
      </c>
      <c r="J937">
        <f>SUMIFS(Transit_Clean[Quantity], Transit_Clean[Destination], A937, Transit_Clean[Item_Code], B937, Transit_Clean[SAP_Status], "In Transit")</f>
        <v>0</v>
      </c>
      <c r="K937">
        <f t="shared" si="44"/>
        <v>7.4202401372212696</v>
      </c>
      <c r="L937" t="str" cm="1">
        <f t="array" ref="L937">_xlfn.IFS(C937&lt;0,"DATO INVALIDO", C937+J937&lt;I937,"PEDIR YA", C937&lt;I937,"EN CAMINO OK", TRUE,"SANO")</f>
        <v>SANO</v>
      </c>
    </row>
    <row r="938" spans="1:12" x14ac:dyDescent="0.45">
      <c r="A938" t="s">
        <v>1124</v>
      </c>
      <c r="B938" t="s">
        <v>1132</v>
      </c>
      <c r="C938">
        <v>6822</v>
      </c>
      <c r="D938">
        <v>458.3</v>
      </c>
      <c r="E938">
        <v>60</v>
      </c>
      <c r="F938">
        <v>1.4</v>
      </c>
      <c r="G938">
        <v>0.3</v>
      </c>
      <c r="H938">
        <f t="shared" si="42"/>
        <v>255.31584169857143</v>
      </c>
      <c r="I938">
        <f t="shared" si="43"/>
        <v>896.93584169857149</v>
      </c>
      <c r="J938">
        <f>SUMIFS(Transit_Clean[Quantity], Transit_Clean[Destination], A938, Transit_Clean[Item_Code], B938, Transit_Clean[SAP_Status], "In Transit")</f>
        <v>0</v>
      </c>
      <c r="K938">
        <f t="shared" si="44"/>
        <v>14.885446214270129</v>
      </c>
      <c r="L938" t="str" cm="1">
        <f t="array" ref="L938">_xlfn.IFS(C938&lt;0,"DATO INVALIDO", C938+J938&lt;I938,"PEDIR YA", C938&lt;I938,"EN CAMINO OK", TRUE,"SANO")</f>
        <v>SANO</v>
      </c>
    </row>
    <row r="939" spans="1:12" x14ac:dyDescent="0.45">
      <c r="A939" t="s">
        <v>1122</v>
      </c>
      <c r="B939" t="s">
        <v>31</v>
      </c>
      <c r="C939">
        <v>2091</v>
      </c>
      <c r="D939">
        <v>221.8</v>
      </c>
      <c r="E939">
        <v>23.5</v>
      </c>
      <c r="F939">
        <v>0.9</v>
      </c>
      <c r="G939">
        <v>0.2</v>
      </c>
      <c r="H939">
        <f t="shared" si="42"/>
        <v>81.917716023458567</v>
      </c>
      <c r="I939">
        <f t="shared" si="43"/>
        <v>281.53771602345859</v>
      </c>
      <c r="J939">
        <f>SUMIFS(Transit_Clean[Quantity], Transit_Clean[Destination], A939, Transit_Clean[Item_Code], B939, Transit_Clean[SAP_Status], "In Transit")</f>
        <v>0</v>
      </c>
      <c r="K939">
        <f t="shared" si="44"/>
        <v>9.4274120829576198</v>
      </c>
      <c r="L939" t="str" cm="1">
        <f t="array" ref="L939">_xlfn.IFS(C939&lt;0,"DATO INVALIDO", C939+J939&lt;I939,"PEDIR YA", C939&lt;I939,"EN CAMINO OK", TRUE,"SANO")</f>
        <v>SANO</v>
      </c>
    </row>
    <row r="940" spans="1:12" x14ac:dyDescent="0.45">
      <c r="A940" t="s">
        <v>1119</v>
      </c>
      <c r="B940" t="s">
        <v>47</v>
      </c>
      <c r="C940">
        <v>4697</v>
      </c>
      <c r="D940">
        <v>385.2</v>
      </c>
      <c r="E940">
        <v>37.700000000000003</v>
      </c>
      <c r="F940">
        <v>2.9</v>
      </c>
      <c r="G940">
        <v>1</v>
      </c>
      <c r="H940">
        <f t="shared" si="42"/>
        <v>644.34724820743975</v>
      </c>
      <c r="I940">
        <f t="shared" si="43"/>
        <v>1761.4272482074398</v>
      </c>
      <c r="J940">
        <f>SUMIFS(Transit_Clean[Quantity], Transit_Clean[Destination], A940, Transit_Clean[Item_Code], B940, Transit_Clean[SAP_Status], "In Transit")</f>
        <v>1431</v>
      </c>
      <c r="K940">
        <f t="shared" si="44"/>
        <v>12.193665628245068</v>
      </c>
      <c r="L940" t="str" cm="1">
        <f t="array" ref="L940">_xlfn.IFS(C940&lt;0,"DATO INVALIDO", C940+J940&lt;I940,"PEDIR YA", C940&lt;I940,"EN CAMINO OK", TRUE,"SANO")</f>
        <v>SANO</v>
      </c>
    </row>
    <row r="941" spans="1:12" x14ac:dyDescent="0.45">
      <c r="A941" t="s">
        <v>1116</v>
      </c>
      <c r="B941" t="s">
        <v>23</v>
      </c>
      <c r="C941">
        <v>3282</v>
      </c>
      <c r="D941">
        <v>466.4</v>
      </c>
      <c r="E941">
        <v>177.7</v>
      </c>
      <c r="F941">
        <v>3.8</v>
      </c>
      <c r="G941">
        <v>1.6</v>
      </c>
      <c r="H941">
        <f t="shared" si="42"/>
        <v>1357.4876402056116</v>
      </c>
      <c r="I941">
        <f t="shared" si="43"/>
        <v>3129.8076402056113</v>
      </c>
      <c r="J941">
        <f>SUMIFS(Transit_Clean[Quantity], Transit_Clean[Destination], A941, Transit_Clean[Item_Code], B941, Transit_Clean[SAP_Status], "In Transit")</f>
        <v>6769</v>
      </c>
      <c r="K941">
        <f t="shared" si="44"/>
        <v>7.0368782161234993</v>
      </c>
      <c r="L941" t="str" cm="1">
        <f t="array" ref="L941">_xlfn.IFS(C941&lt;0,"DATO INVALIDO", C941+J941&lt;I941,"PEDIR YA", C941&lt;I941,"EN CAMINO OK", TRUE,"SANO")</f>
        <v>SANO</v>
      </c>
    </row>
    <row r="942" spans="1:12" x14ac:dyDescent="0.45">
      <c r="A942" t="s">
        <v>1123</v>
      </c>
      <c r="B942" t="s">
        <v>95</v>
      </c>
      <c r="C942">
        <v>5045</v>
      </c>
      <c r="D942">
        <v>343.1</v>
      </c>
      <c r="E942">
        <v>30.8</v>
      </c>
      <c r="F942">
        <v>1.1000000000000001</v>
      </c>
      <c r="G942">
        <v>0.3</v>
      </c>
      <c r="H942">
        <f t="shared" si="42"/>
        <v>178.00195793937215</v>
      </c>
      <c r="I942">
        <f t="shared" si="43"/>
        <v>555.4119579393722</v>
      </c>
      <c r="J942">
        <f>SUMIFS(Transit_Clean[Quantity], Transit_Clean[Destination], A942, Transit_Clean[Item_Code], B942, Transit_Clean[SAP_Status], "In Transit")</f>
        <v>797</v>
      </c>
      <c r="K942">
        <f t="shared" si="44"/>
        <v>14.704167881084231</v>
      </c>
      <c r="L942" t="str" cm="1">
        <f t="array" ref="L942">_xlfn.IFS(C942&lt;0,"DATO INVALIDO", C942+J942&lt;I942,"PEDIR YA", C942&lt;I942,"EN CAMINO OK", TRUE,"SANO")</f>
        <v>SANO</v>
      </c>
    </row>
    <row r="943" spans="1:12" x14ac:dyDescent="0.45">
      <c r="A943" t="s">
        <v>1128</v>
      </c>
      <c r="B943" t="s">
        <v>76</v>
      </c>
      <c r="C943">
        <v>7453</v>
      </c>
      <c r="E943">
        <v>122.1</v>
      </c>
      <c r="F943">
        <v>2.2000000000000002</v>
      </c>
      <c r="G943">
        <v>0.5</v>
      </c>
      <c r="H943">
        <f t="shared" si="42"/>
        <v>298.82088564054555</v>
      </c>
      <c r="I943">
        <f t="shared" si="43"/>
        <v>298.82088564054555</v>
      </c>
      <c r="J943">
        <f>SUMIFS(Transit_Clean[Quantity], Transit_Clean[Destination], A943, Transit_Clean[Item_Code], B943, Transit_Clean[SAP_Status], "In Transit")</f>
        <v>0</v>
      </c>
      <c r="K943" t="str">
        <f t="shared" si="44"/>
        <v/>
      </c>
      <c r="L943" t="str" cm="1">
        <f t="array" ref="L943">_xlfn.IFS(C943&lt;0,"DATO INVALIDO", C943+J943&lt;I943,"PEDIR YA", C943&lt;I943,"EN CAMINO OK", TRUE,"SANO")</f>
        <v>SANO</v>
      </c>
    </row>
    <row r="944" spans="1:12" x14ac:dyDescent="0.45">
      <c r="A944" t="s">
        <v>1119</v>
      </c>
      <c r="B944" t="s">
        <v>45</v>
      </c>
      <c r="C944">
        <v>5209</v>
      </c>
      <c r="D944">
        <v>327.9</v>
      </c>
      <c r="E944">
        <v>34.200000000000003</v>
      </c>
      <c r="F944">
        <v>3.1</v>
      </c>
      <c r="G944">
        <v>1</v>
      </c>
      <c r="H944">
        <f t="shared" si="42"/>
        <v>550.08212151914188</v>
      </c>
      <c r="I944">
        <f t="shared" si="43"/>
        <v>1566.572121519142</v>
      </c>
      <c r="J944">
        <f>SUMIFS(Transit_Clean[Quantity], Transit_Clean[Destination], A944, Transit_Clean[Item_Code], B944, Transit_Clean[SAP_Status], "In Transit")</f>
        <v>1318</v>
      </c>
      <c r="K944">
        <f t="shared" si="44"/>
        <v>15.885940835620618</v>
      </c>
      <c r="L944" t="str" cm="1">
        <f t="array" ref="L944">_xlfn.IFS(C944&lt;0,"DATO INVALIDO", C944+J944&lt;I944,"PEDIR YA", C944&lt;I944,"EN CAMINO OK", TRUE,"SANO")</f>
        <v>SANO</v>
      </c>
    </row>
    <row r="945" spans="1:12" x14ac:dyDescent="0.45">
      <c r="A945" t="s">
        <v>1115</v>
      </c>
      <c r="B945" t="s">
        <v>77</v>
      </c>
      <c r="C945">
        <v>4603</v>
      </c>
      <c r="D945">
        <v>301.89999999999998</v>
      </c>
      <c r="E945">
        <v>120.7</v>
      </c>
      <c r="F945">
        <v>2.1</v>
      </c>
      <c r="G945">
        <v>0.6</v>
      </c>
      <c r="H945">
        <f t="shared" si="42"/>
        <v>415.47749832391639</v>
      </c>
      <c r="I945">
        <f t="shared" si="43"/>
        <v>1049.4674983239165</v>
      </c>
      <c r="J945">
        <f>SUMIFS(Transit_Clean[Quantity], Transit_Clean[Destination], A945, Transit_Clean[Item_Code], B945, Transit_Clean[SAP_Status], "In Transit")</f>
        <v>0</v>
      </c>
      <c r="K945">
        <f t="shared" si="44"/>
        <v>15.246770453792648</v>
      </c>
      <c r="L945" t="str" cm="1">
        <f t="array" ref="L945">_xlfn.IFS(C945&lt;0,"DATO INVALIDO", C945+J945&lt;I945,"PEDIR YA", C945&lt;I945,"EN CAMINO OK", TRUE,"SANO")</f>
        <v>SANO</v>
      </c>
    </row>
    <row r="946" spans="1:12" x14ac:dyDescent="0.45">
      <c r="A946" t="s">
        <v>1117</v>
      </c>
      <c r="B946" t="s">
        <v>24</v>
      </c>
      <c r="C946">
        <v>13848</v>
      </c>
      <c r="D946">
        <v>898</v>
      </c>
      <c r="E946">
        <v>148.9</v>
      </c>
      <c r="F946">
        <v>3.1</v>
      </c>
      <c r="G946">
        <v>0.5</v>
      </c>
      <c r="H946">
        <f t="shared" si="42"/>
        <v>857.89171350322533</v>
      </c>
      <c r="I946">
        <f t="shared" si="43"/>
        <v>3641.6917135032254</v>
      </c>
      <c r="J946">
        <f>SUMIFS(Transit_Clean[Quantity], Transit_Clean[Destination], A946, Transit_Clean[Item_Code], B946, Transit_Clean[SAP_Status], "In Transit")</f>
        <v>2091</v>
      </c>
      <c r="K946">
        <f t="shared" si="44"/>
        <v>15.420935412026726</v>
      </c>
      <c r="L946" t="str" cm="1">
        <f t="array" ref="L946">_xlfn.IFS(C946&lt;0,"DATO INVALIDO", C946+J946&lt;I946,"PEDIR YA", C946&lt;I946,"EN CAMINO OK", TRUE,"SANO")</f>
        <v>SANO</v>
      </c>
    </row>
    <row r="947" spans="1:12" x14ac:dyDescent="0.45">
      <c r="A947" t="s">
        <v>1120</v>
      </c>
      <c r="B947" t="s">
        <v>47</v>
      </c>
      <c r="C947">
        <v>2307</v>
      </c>
      <c r="D947">
        <v>254.3</v>
      </c>
      <c r="E947">
        <v>30.3</v>
      </c>
      <c r="F947">
        <v>1.4</v>
      </c>
      <c r="G947">
        <v>0.5</v>
      </c>
      <c r="H947">
        <f t="shared" si="42"/>
        <v>217.97773060854178</v>
      </c>
      <c r="I947">
        <f t="shared" si="43"/>
        <v>573.99773060854181</v>
      </c>
      <c r="J947">
        <f>SUMIFS(Transit_Clean[Quantity], Transit_Clean[Destination], A947, Transit_Clean[Item_Code], B947, Transit_Clean[SAP_Status], "In Transit")</f>
        <v>1379</v>
      </c>
      <c r="K947">
        <f t="shared" si="44"/>
        <v>9.0719622493118361</v>
      </c>
      <c r="L947" t="str" cm="1">
        <f t="array" ref="L947">_xlfn.IFS(C947&lt;0,"DATO INVALIDO", C947+J947&lt;I947,"PEDIR YA", C947&lt;I947,"EN CAMINO OK", TRUE,"SANO")</f>
        <v>SANO</v>
      </c>
    </row>
    <row r="948" spans="1:12" x14ac:dyDescent="0.45">
      <c r="A948" t="s">
        <v>1115</v>
      </c>
      <c r="B948" t="s">
        <v>1135</v>
      </c>
      <c r="C948">
        <v>3237</v>
      </c>
      <c r="D948">
        <v>256.60000000000002</v>
      </c>
      <c r="E948">
        <v>30.2</v>
      </c>
      <c r="F948">
        <v>3.3</v>
      </c>
      <c r="G948">
        <v>0.6</v>
      </c>
      <c r="H948">
        <f t="shared" si="42"/>
        <v>269.67993719592863</v>
      </c>
      <c r="I948">
        <f t="shared" si="43"/>
        <v>1116.4599371959287</v>
      </c>
      <c r="J948">
        <f>SUMIFS(Transit_Clean[Quantity], Transit_Clean[Destination], A948, Transit_Clean[Item_Code], B948, Transit_Clean[SAP_Status], "In Transit")</f>
        <v>3088</v>
      </c>
      <c r="K948">
        <f t="shared" si="44"/>
        <v>12.614964925954792</v>
      </c>
      <c r="L948" t="str" cm="1">
        <f t="array" ref="L948">_xlfn.IFS(C948&lt;0,"DATO INVALIDO", C948+J948&lt;I948,"PEDIR YA", C948&lt;I948,"EN CAMINO OK", TRUE,"SANO")</f>
        <v>SANO</v>
      </c>
    </row>
    <row r="949" spans="1:12" x14ac:dyDescent="0.45">
      <c r="A949" t="s">
        <v>1124</v>
      </c>
      <c r="B949" t="s">
        <v>1131</v>
      </c>
      <c r="D949">
        <v>709.3</v>
      </c>
      <c r="E949">
        <v>331.5</v>
      </c>
      <c r="F949">
        <v>1</v>
      </c>
      <c r="G949">
        <v>0.3</v>
      </c>
      <c r="H949">
        <f t="shared" si="42"/>
        <v>649.96562858142738</v>
      </c>
      <c r="I949">
        <f t="shared" si="43"/>
        <v>1359.2656285814273</v>
      </c>
      <c r="J949">
        <f>SUMIFS(Transit_Clean[Quantity], Transit_Clean[Destination], A949, Transit_Clean[Item_Code], B949, Transit_Clean[SAP_Status], "In Transit")</f>
        <v>1580</v>
      </c>
      <c r="K949">
        <f t="shared" si="44"/>
        <v>0</v>
      </c>
      <c r="L949" t="str" cm="1">
        <f t="array" ref="L949">_xlfn.IFS(C949&lt;0,"DATO INVALIDO", C949+J949&lt;I949,"PEDIR YA", C949&lt;I949,"EN CAMINO OK", TRUE,"SANO")</f>
        <v>EN CAMINO OK</v>
      </c>
    </row>
    <row r="950" spans="1:12" x14ac:dyDescent="0.45">
      <c r="A950" t="s">
        <v>1115</v>
      </c>
      <c r="B950" t="s">
        <v>84</v>
      </c>
      <c r="C950">
        <v>4236</v>
      </c>
      <c r="D950">
        <v>275.8</v>
      </c>
      <c r="E950">
        <v>79.7</v>
      </c>
      <c r="F950">
        <v>2.4</v>
      </c>
      <c r="G950">
        <v>0.6</v>
      </c>
      <c r="H950">
        <f t="shared" si="42"/>
        <v>340.67064714178122</v>
      </c>
      <c r="I950">
        <f t="shared" si="43"/>
        <v>1002.5906471417811</v>
      </c>
      <c r="J950">
        <f>SUMIFS(Transit_Clean[Quantity], Transit_Clean[Destination], A950, Transit_Clean[Item_Code], B950, Transit_Clean[SAP_Status], "In Transit")</f>
        <v>1931</v>
      </c>
      <c r="K950">
        <f t="shared" si="44"/>
        <v>15.358955765047135</v>
      </c>
      <c r="L950" t="str" cm="1">
        <f t="array" ref="L950">_xlfn.IFS(C950&lt;0,"DATO INVALIDO", C950+J950&lt;I950,"PEDIR YA", C950&lt;I950,"EN CAMINO OK", TRUE,"SANO")</f>
        <v>SANO</v>
      </c>
    </row>
    <row r="951" spans="1:12" x14ac:dyDescent="0.45">
      <c r="A951" t="s">
        <v>1125</v>
      </c>
      <c r="B951" t="s">
        <v>51</v>
      </c>
      <c r="C951">
        <v>9722</v>
      </c>
      <c r="D951">
        <v>603.20000000000005</v>
      </c>
      <c r="E951">
        <v>98</v>
      </c>
      <c r="F951">
        <v>4.9000000000000004</v>
      </c>
      <c r="G951">
        <v>1.2</v>
      </c>
      <c r="H951">
        <f t="shared" si="42"/>
        <v>1246.819249889895</v>
      </c>
      <c r="I951">
        <f t="shared" si="43"/>
        <v>4202.4992498898955</v>
      </c>
      <c r="J951">
        <f>SUMIFS(Transit_Clean[Quantity], Transit_Clean[Destination], A951, Transit_Clean[Item_Code], B951, Transit_Clean[SAP_Status], "In Transit")</f>
        <v>0</v>
      </c>
      <c r="K951">
        <f t="shared" si="44"/>
        <v>16.117374005305038</v>
      </c>
      <c r="L951" t="str" cm="1">
        <f t="array" ref="L951">_xlfn.IFS(C951&lt;0,"DATO INVALIDO", C951+J951&lt;I951,"PEDIR YA", C951&lt;I951,"EN CAMINO OK", TRUE,"SANO")</f>
        <v>SANO</v>
      </c>
    </row>
    <row r="952" spans="1:12" x14ac:dyDescent="0.45">
      <c r="A952" t="s">
        <v>1128</v>
      </c>
      <c r="B952" t="s">
        <v>54</v>
      </c>
      <c r="C952">
        <v>1698</v>
      </c>
      <c r="D952">
        <v>307.10000000000002</v>
      </c>
      <c r="E952">
        <v>28.1</v>
      </c>
      <c r="F952">
        <v>2.2999999999999998</v>
      </c>
      <c r="G952">
        <v>0.5</v>
      </c>
      <c r="H952">
        <f t="shared" si="42"/>
        <v>262.93414236981477</v>
      </c>
      <c r="I952">
        <f t="shared" si="43"/>
        <v>969.26414236981486</v>
      </c>
      <c r="J952">
        <f>SUMIFS(Transit_Clean[Quantity], Transit_Clean[Destination], A952, Transit_Clean[Item_Code], B952, Transit_Clean[SAP_Status], "In Transit")</f>
        <v>0</v>
      </c>
      <c r="K952">
        <f t="shared" si="44"/>
        <v>5.5291436014327573</v>
      </c>
      <c r="L952" t="str" cm="1">
        <f t="array" ref="L952">_xlfn.IFS(C952&lt;0,"DATO INVALIDO", C952+J952&lt;I952,"PEDIR YA", C952&lt;I952,"EN CAMINO OK", TRUE,"SANO")</f>
        <v>SANO</v>
      </c>
    </row>
    <row r="953" spans="1:12" x14ac:dyDescent="0.45">
      <c r="A953" t="s">
        <v>1114</v>
      </c>
      <c r="B953" t="s">
        <v>101</v>
      </c>
      <c r="C953">
        <v>9510</v>
      </c>
      <c r="E953">
        <v>134.19999999999999</v>
      </c>
      <c r="F953">
        <v>2</v>
      </c>
      <c r="G953">
        <v>1.3</v>
      </c>
      <c r="H953">
        <f t="shared" si="42"/>
        <v>313.14930911627437</v>
      </c>
      <c r="I953">
        <f t="shared" si="43"/>
        <v>313.14930911627437</v>
      </c>
      <c r="J953">
        <f>SUMIFS(Transit_Clean[Quantity], Transit_Clean[Destination], A953, Transit_Clean[Item_Code], B953, Transit_Clean[SAP_Status], "In Transit")</f>
        <v>0</v>
      </c>
      <c r="K953" t="str">
        <f t="shared" si="44"/>
        <v/>
      </c>
      <c r="L953" t="str" cm="1">
        <f t="array" ref="L953">_xlfn.IFS(C953&lt;0,"DATO INVALIDO", C953+J953&lt;I953,"PEDIR YA", C953&lt;I953,"EN CAMINO OK", TRUE,"SANO")</f>
        <v>SANO</v>
      </c>
    </row>
    <row r="954" spans="1:12" x14ac:dyDescent="0.45">
      <c r="A954" t="s">
        <v>1128</v>
      </c>
      <c r="B954" t="s">
        <v>69</v>
      </c>
      <c r="C954">
        <v>6682</v>
      </c>
      <c r="D954">
        <v>494.7</v>
      </c>
      <c r="E954">
        <v>280.3</v>
      </c>
      <c r="F954">
        <v>1.7</v>
      </c>
      <c r="G954">
        <v>0.5</v>
      </c>
      <c r="H954">
        <f t="shared" si="42"/>
        <v>728.14889878290001</v>
      </c>
      <c r="I954">
        <f t="shared" si="43"/>
        <v>1569.1388987829</v>
      </c>
      <c r="J954">
        <f>SUMIFS(Transit_Clean[Quantity], Transit_Clean[Destination], A954, Transit_Clean[Item_Code], B954, Transit_Clean[SAP_Status], "In Transit")</f>
        <v>413</v>
      </c>
      <c r="K954">
        <f t="shared" si="44"/>
        <v>13.50717606630281</v>
      </c>
      <c r="L954" t="str" cm="1">
        <f t="array" ref="L954">_xlfn.IFS(C954&lt;0,"DATO INVALIDO", C954+J954&lt;I954,"PEDIR YA", C954&lt;I954,"EN CAMINO OK", TRUE,"SANO")</f>
        <v>SANO</v>
      </c>
    </row>
    <row r="955" spans="1:12" x14ac:dyDescent="0.45">
      <c r="A955" t="s">
        <v>1120</v>
      </c>
      <c r="B955" t="s">
        <v>1137</v>
      </c>
      <c r="C955">
        <v>5307</v>
      </c>
      <c r="D955">
        <v>310.89999999999998</v>
      </c>
      <c r="E955">
        <v>44.1</v>
      </c>
      <c r="F955">
        <v>2.1</v>
      </c>
      <c r="G955">
        <v>0.5</v>
      </c>
      <c r="H955">
        <f t="shared" si="42"/>
        <v>277.32177615317192</v>
      </c>
      <c r="I955">
        <f t="shared" si="43"/>
        <v>930.21177615317197</v>
      </c>
      <c r="J955">
        <f>SUMIFS(Transit_Clean[Quantity], Transit_Clean[Destination], A955, Transit_Clean[Item_Code], B955, Transit_Clean[SAP_Status], "In Transit")</f>
        <v>1861</v>
      </c>
      <c r="K955">
        <f t="shared" si="44"/>
        <v>17.069797362495979</v>
      </c>
      <c r="L955" t="str" cm="1">
        <f t="array" ref="L955">_xlfn.IFS(C955&lt;0,"DATO INVALIDO", C955+J955&lt;I955,"PEDIR YA", C955&lt;I955,"EN CAMINO OK", TRUE,"SANO")</f>
        <v>SANO</v>
      </c>
    </row>
    <row r="956" spans="1:12" x14ac:dyDescent="0.45">
      <c r="A956" t="s">
        <v>1115</v>
      </c>
      <c r="B956" t="s">
        <v>69</v>
      </c>
      <c r="C956">
        <v>4536</v>
      </c>
      <c r="D956">
        <v>401.6</v>
      </c>
      <c r="E956">
        <v>198.5</v>
      </c>
      <c r="F956">
        <v>2.2999999999999998</v>
      </c>
      <c r="G956">
        <v>0.6</v>
      </c>
      <c r="H956">
        <f t="shared" si="42"/>
        <v>636.23900854435192</v>
      </c>
      <c r="I956">
        <f t="shared" si="43"/>
        <v>1559.919008544352</v>
      </c>
      <c r="J956">
        <f>SUMIFS(Transit_Clean[Quantity], Transit_Clean[Destination], A956, Transit_Clean[Item_Code], B956, Transit_Clean[SAP_Status], "In Transit")</f>
        <v>0</v>
      </c>
      <c r="K956">
        <f t="shared" si="44"/>
        <v>11.294820717131474</v>
      </c>
      <c r="L956" t="str" cm="1">
        <f t="array" ref="L956">_xlfn.IFS(C956&lt;0,"DATO INVALIDO", C956+J956&lt;I956,"PEDIR YA", C956&lt;I956,"EN CAMINO OK", TRUE,"SANO")</f>
        <v>SANO</v>
      </c>
    </row>
    <row r="957" spans="1:12" x14ac:dyDescent="0.45">
      <c r="A957" t="s">
        <v>1119</v>
      </c>
      <c r="B957" t="s">
        <v>10</v>
      </c>
      <c r="C957">
        <v>10112</v>
      </c>
      <c r="D957">
        <v>636.29999999999995</v>
      </c>
      <c r="E957">
        <v>100.9</v>
      </c>
      <c r="F957">
        <v>4.2</v>
      </c>
      <c r="G957">
        <v>1</v>
      </c>
      <c r="H957">
        <f t="shared" si="42"/>
        <v>1103.9438314379947</v>
      </c>
      <c r="I957">
        <f t="shared" si="43"/>
        <v>3776.403831437995</v>
      </c>
      <c r="J957">
        <f>SUMIFS(Transit_Clean[Quantity], Transit_Clean[Destination], A957, Transit_Clean[Item_Code], B957, Transit_Clean[SAP_Status], "In Transit")</f>
        <v>3760</v>
      </c>
      <c r="K957">
        <f t="shared" si="44"/>
        <v>15.891874901775893</v>
      </c>
      <c r="L957" t="str" cm="1">
        <f t="array" ref="L957">_xlfn.IFS(C957&lt;0,"DATO INVALIDO", C957+J957&lt;I957,"PEDIR YA", C957&lt;I957,"EN CAMINO OK", TRUE,"SANO")</f>
        <v>SANO</v>
      </c>
    </row>
    <row r="958" spans="1:12" x14ac:dyDescent="0.45">
      <c r="A958" t="s">
        <v>1127</v>
      </c>
      <c r="B958" t="s">
        <v>1140</v>
      </c>
      <c r="C958">
        <v>2128</v>
      </c>
      <c r="D958">
        <v>225.9</v>
      </c>
      <c r="E958">
        <v>26</v>
      </c>
      <c r="F958">
        <v>2</v>
      </c>
      <c r="G958">
        <v>0.9</v>
      </c>
      <c r="H958">
        <f t="shared" si="42"/>
        <v>340.90356111699685</v>
      </c>
      <c r="I958">
        <f t="shared" si="43"/>
        <v>792.70356111699687</v>
      </c>
      <c r="J958">
        <f>SUMIFS(Transit_Clean[Quantity], Transit_Clean[Destination], A958, Transit_Clean[Item_Code], B958, Transit_Clean[SAP_Status], "In Transit")</f>
        <v>0</v>
      </c>
      <c r="K958">
        <f t="shared" si="44"/>
        <v>9.4200973882248782</v>
      </c>
      <c r="L958" t="str" cm="1">
        <f t="array" ref="L958">_xlfn.IFS(C958&lt;0,"DATO INVALIDO", C958+J958&lt;I958,"PEDIR YA", C958&lt;I958,"EN CAMINO OK", TRUE,"SANO")</f>
        <v>SANO</v>
      </c>
    </row>
    <row r="959" spans="1:12" x14ac:dyDescent="0.45">
      <c r="A959" t="s">
        <v>1125</v>
      </c>
      <c r="B959" t="s">
        <v>97</v>
      </c>
      <c r="C959">
        <v>1005</v>
      </c>
      <c r="D959">
        <v>465.2</v>
      </c>
      <c r="E959">
        <v>268.89999999999998</v>
      </c>
      <c r="F959">
        <v>3.8</v>
      </c>
      <c r="G959">
        <v>1.2</v>
      </c>
      <c r="H959">
        <f t="shared" si="42"/>
        <v>1263.5157625732254</v>
      </c>
      <c r="I959">
        <f t="shared" si="43"/>
        <v>3031.2757625732252</v>
      </c>
      <c r="J959">
        <f>SUMIFS(Transit_Clean[Quantity], Transit_Clean[Destination], A959, Transit_Clean[Item_Code], B959, Transit_Clean[SAP_Status], "In Transit")</f>
        <v>4531</v>
      </c>
      <c r="K959">
        <f t="shared" si="44"/>
        <v>2.1603611349957008</v>
      </c>
      <c r="L959" t="str" cm="1">
        <f t="array" ref="L959">_xlfn.IFS(C959&lt;0,"DATO INVALIDO", C959+J959&lt;I959,"PEDIR YA", C959&lt;I959,"EN CAMINO OK", TRUE,"SANO")</f>
        <v>EN CAMINO OK</v>
      </c>
    </row>
    <row r="960" spans="1:12" x14ac:dyDescent="0.45">
      <c r="A960" t="s">
        <v>1125</v>
      </c>
      <c r="B960" t="s">
        <v>66</v>
      </c>
      <c r="C960">
        <v>1905</v>
      </c>
      <c r="D960">
        <v>234</v>
      </c>
      <c r="E960">
        <v>43.1</v>
      </c>
      <c r="F960">
        <v>2.7</v>
      </c>
      <c r="G960">
        <v>1.2</v>
      </c>
      <c r="H960">
        <f t="shared" si="42"/>
        <v>477.8286817547687</v>
      </c>
      <c r="I960">
        <f t="shared" si="43"/>
        <v>1109.6286817547689</v>
      </c>
      <c r="J960">
        <f>SUMIFS(Transit_Clean[Quantity], Transit_Clean[Destination], A960, Transit_Clean[Item_Code], B960, Transit_Clean[SAP_Status], "In Transit")</f>
        <v>0</v>
      </c>
      <c r="K960">
        <f t="shared" si="44"/>
        <v>8.1410256410256405</v>
      </c>
      <c r="L960" t="str" cm="1">
        <f t="array" ref="L960">_xlfn.IFS(C960&lt;0,"DATO INVALIDO", C960+J960&lt;I960,"PEDIR YA", C960&lt;I960,"EN CAMINO OK", TRUE,"SANO")</f>
        <v>SANO</v>
      </c>
    </row>
    <row r="961" spans="1:12" x14ac:dyDescent="0.45">
      <c r="A961" t="s">
        <v>1120</v>
      </c>
      <c r="B961" t="s">
        <v>100</v>
      </c>
      <c r="C961">
        <v>2111</v>
      </c>
      <c r="D961">
        <v>391.8</v>
      </c>
      <c r="E961">
        <v>37.5</v>
      </c>
      <c r="F961">
        <v>1.8</v>
      </c>
      <c r="G961">
        <v>0.5</v>
      </c>
      <c r="H961">
        <f t="shared" si="42"/>
        <v>333.7247269082709</v>
      </c>
      <c r="I961">
        <f t="shared" si="43"/>
        <v>1038.9647269082709</v>
      </c>
      <c r="J961">
        <f>SUMIFS(Transit_Clean[Quantity], Transit_Clean[Destination], A961, Transit_Clean[Item_Code], B961, Transit_Clean[SAP_Status], "In Transit")</f>
        <v>0</v>
      </c>
      <c r="K961">
        <f t="shared" si="44"/>
        <v>5.3879530372639097</v>
      </c>
      <c r="L961" t="str" cm="1">
        <f t="array" ref="L961">_xlfn.IFS(C961&lt;0,"DATO INVALIDO", C961+J961&lt;I961,"PEDIR YA", C961&lt;I961,"EN CAMINO OK", TRUE,"SANO")</f>
        <v>SANO</v>
      </c>
    </row>
    <row r="962" spans="1:12" x14ac:dyDescent="0.45">
      <c r="A962" t="s">
        <v>1122</v>
      </c>
      <c r="B962" t="s">
        <v>52</v>
      </c>
      <c r="C962">
        <v>1657</v>
      </c>
      <c r="D962">
        <v>349.1</v>
      </c>
      <c r="E962">
        <v>136.30000000000001</v>
      </c>
      <c r="F962">
        <v>1.3</v>
      </c>
      <c r="G962">
        <v>0.2</v>
      </c>
      <c r="H962">
        <f t="shared" si="42"/>
        <v>281.10997944132117</v>
      </c>
      <c r="I962">
        <f t="shared" si="43"/>
        <v>734.93997944132116</v>
      </c>
      <c r="J962">
        <f>SUMIFS(Transit_Clean[Quantity], Transit_Clean[Destination], A962, Transit_Clean[Item_Code], B962, Transit_Clean[SAP_Status], "In Transit")</f>
        <v>3960</v>
      </c>
      <c r="K962">
        <f t="shared" si="44"/>
        <v>4.746490976797479</v>
      </c>
      <c r="L962" t="str" cm="1">
        <f t="array" ref="L962">_xlfn.IFS(C962&lt;0,"DATO INVALIDO", C962+J962&lt;I962,"PEDIR YA", C962&lt;I962,"EN CAMINO OK", TRUE,"SANO")</f>
        <v>SANO</v>
      </c>
    </row>
    <row r="963" spans="1:12" x14ac:dyDescent="0.45">
      <c r="A963" t="s">
        <v>1127</v>
      </c>
      <c r="B963" t="s">
        <v>8</v>
      </c>
      <c r="C963">
        <v>1444</v>
      </c>
      <c r="D963">
        <v>682.1</v>
      </c>
      <c r="E963">
        <v>153.9</v>
      </c>
      <c r="F963">
        <v>3.9</v>
      </c>
      <c r="G963">
        <v>0.9</v>
      </c>
      <c r="H963">
        <f t="shared" ref="H963:H1026" si="45">IFERROR(1.65*SQRT(F963*E963^2 + D963^2*G963^2), "")</f>
        <v>1130.2599374125184</v>
      </c>
      <c r="I963">
        <f t="shared" ref="I963:I1026" si="46">IFERROR(D963*F963 + H963, "")</f>
        <v>3790.4499374125185</v>
      </c>
      <c r="J963">
        <f>SUMIFS(Transit_Clean[Quantity], Transit_Clean[Destination], A963, Transit_Clean[Item_Code], B963, Transit_Clean[SAP_Status], "In Transit")</f>
        <v>0</v>
      </c>
      <c r="K963">
        <f t="shared" ref="K963:K1026" si="47">IFERROR(C963/D963, "")</f>
        <v>2.116991643454039</v>
      </c>
      <c r="L963" t="str" cm="1">
        <f t="array" ref="L963">_xlfn.IFS(C963&lt;0,"DATO INVALIDO", C963+J963&lt;I963,"PEDIR YA", C963&lt;I963,"EN CAMINO OK", TRUE,"SANO")</f>
        <v>PEDIR YA</v>
      </c>
    </row>
    <row r="964" spans="1:12" x14ac:dyDescent="0.45">
      <c r="A964" t="s">
        <v>1120</v>
      </c>
      <c r="B964" t="s">
        <v>1134</v>
      </c>
      <c r="C964">
        <v>5260</v>
      </c>
      <c r="D964">
        <v>423.8</v>
      </c>
      <c r="E964">
        <v>69.7</v>
      </c>
      <c r="F964">
        <v>2.4</v>
      </c>
      <c r="G964">
        <v>0.5</v>
      </c>
      <c r="H964">
        <f t="shared" si="45"/>
        <v>392.41227463600063</v>
      </c>
      <c r="I964">
        <f t="shared" si="46"/>
        <v>1409.5322746360007</v>
      </c>
      <c r="J964">
        <f>SUMIFS(Transit_Clean[Quantity], Transit_Clean[Destination], A964, Transit_Clean[Item_Code], B964, Transit_Clean[SAP_Status], "In Transit")</f>
        <v>0</v>
      </c>
      <c r="K964">
        <f t="shared" si="47"/>
        <v>12.411514865502594</v>
      </c>
      <c r="L964" t="str" cm="1">
        <f t="array" ref="L964">_xlfn.IFS(C964&lt;0,"DATO INVALIDO", C964+J964&lt;I964,"PEDIR YA", C964&lt;I964,"EN CAMINO OK", TRUE,"SANO")</f>
        <v>SANO</v>
      </c>
    </row>
    <row r="965" spans="1:12" x14ac:dyDescent="0.45">
      <c r="A965" t="s">
        <v>1118</v>
      </c>
      <c r="B965" t="s">
        <v>60</v>
      </c>
      <c r="C965">
        <v>1096</v>
      </c>
      <c r="D965">
        <v>346.2</v>
      </c>
      <c r="E965">
        <v>93.2</v>
      </c>
      <c r="F965">
        <v>4.7</v>
      </c>
      <c r="G965">
        <v>1.5</v>
      </c>
      <c r="H965">
        <f t="shared" si="45"/>
        <v>919.41846267355322</v>
      </c>
      <c r="I965">
        <f t="shared" si="46"/>
        <v>2546.5584626735535</v>
      </c>
      <c r="J965">
        <f>SUMIFS(Transit_Clean[Quantity], Transit_Clean[Destination], A965, Transit_Clean[Item_Code], B965, Transit_Clean[SAP_Status], "In Transit")</f>
        <v>0</v>
      </c>
      <c r="K965">
        <f t="shared" si="47"/>
        <v>3.1658001155401503</v>
      </c>
      <c r="L965" t="str" cm="1">
        <f t="array" ref="L965">_xlfn.IFS(C965&lt;0,"DATO INVALIDO", C965+J965&lt;I965,"PEDIR YA", C965&lt;I965,"EN CAMINO OK", TRUE,"SANO")</f>
        <v>PEDIR YA</v>
      </c>
    </row>
    <row r="966" spans="1:12" x14ac:dyDescent="0.45">
      <c r="A966" t="s">
        <v>1124</v>
      </c>
      <c r="B966" t="s">
        <v>92</v>
      </c>
      <c r="C966">
        <v>3412</v>
      </c>
      <c r="D966">
        <v>351.3</v>
      </c>
      <c r="E966">
        <v>102.5</v>
      </c>
      <c r="F966">
        <v>1</v>
      </c>
      <c r="G966">
        <v>0.3</v>
      </c>
      <c r="H966">
        <f t="shared" si="45"/>
        <v>242.574143237176</v>
      </c>
      <c r="I966">
        <f t="shared" si="46"/>
        <v>593.87414323717599</v>
      </c>
      <c r="J966">
        <f>SUMIFS(Transit_Clean[Quantity], Transit_Clean[Destination], A966, Transit_Clean[Item_Code], B966, Transit_Clean[SAP_Status], "In Transit")</f>
        <v>5144</v>
      </c>
      <c r="K966">
        <f t="shared" si="47"/>
        <v>9.7124964417876463</v>
      </c>
      <c r="L966" t="str" cm="1">
        <f t="array" ref="L966">_xlfn.IFS(C966&lt;0,"DATO INVALIDO", C966+J966&lt;I966,"PEDIR YA", C966&lt;I966,"EN CAMINO OK", TRUE,"SANO")</f>
        <v>SANO</v>
      </c>
    </row>
    <row r="967" spans="1:12" x14ac:dyDescent="0.45">
      <c r="A967" t="s">
        <v>1128</v>
      </c>
      <c r="B967" t="s">
        <v>1129</v>
      </c>
      <c r="C967">
        <v>13235</v>
      </c>
      <c r="D967">
        <v>853.2</v>
      </c>
      <c r="E967">
        <v>238.3</v>
      </c>
      <c r="F967">
        <v>1.9</v>
      </c>
      <c r="G967">
        <v>0.5</v>
      </c>
      <c r="H967">
        <f t="shared" si="45"/>
        <v>888.37239789825765</v>
      </c>
      <c r="I967">
        <f t="shared" si="46"/>
        <v>2509.4523978982575</v>
      </c>
      <c r="J967">
        <f>SUMIFS(Transit_Clean[Quantity], Transit_Clean[Destination], A967, Transit_Clean[Item_Code], B967, Transit_Clean[SAP_Status], "In Transit")</f>
        <v>2543</v>
      </c>
      <c r="K967">
        <f t="shared" si="47"/>
        <v>15.512189404594467</v>
      </c>
      <c r="L967" t="str" cm="1">
        <f t="array" ref="L967">_xlfn.IFS(C967&lt;0,"DATO INVALIDO", C967+J967&lt;I967,"PEDIR YA", C967&lt;I967,"EN CAMINO OK", TRUE,"SANO")</f>
        <v>SANO</v>
      </c>
    </row>
    <row r="968" spans="1:12" x14ac:dyDescent="0.45">
      <c r="A968" t="s">
        <v>1123</v>
      </c>
      <c r="B968" t="s">
        <v>42</v>
      </c>
      <c r="D968">
        <v>229.5</v>
      </c>
      <c r="E968">
        <v>84.6</v>
      </c>
      <c r="F968">
        <v>0.8</v>
      </c>
      <c r="G968">
        <v>0.3</v>
      </c>
      <c r="H968">
        <f t="shared" si="45"/>
        <v>168.80113295309957</v>
      </c>
      <c r="I968">
        <f t="shared" si="46"/>
        <v>352.40113295309959</v>
      </c>
      <c r="J968">
        <f>SUMIFS(Transit_Clean[Quantity], Transit_Clean[Destination], A968, Transit_Clean[Item_Code], B968, Transit_Clean[SAP_Status], "In Transit")</f>
        <v>2635</v>
      </c>
      <c r="K968">
        <f t="shared" si="47"/>
        <v>0</v>
      </c>
      <c r="L968" t="str" cm="1">
        <f t="array" ref="L968">_xlfn.IFS(C968&lt;0,"DATO INVALIDO", C968+J968&lt;I968,"PEDIR YA", C968&lt;I968,"EN CAMINO OK", TRUE,"SANO")</f>
        <v>EN CAMINO OK</v>
      </c>
    </row>
    <row r="969" spans="1:12" x14ac:dyDescent="0.45">
      <c r="A969" t="s">
        <v>1128</v>
      </c>
      <c r="B969" t="s">
        <v>43</v>
      </c>
      <c r="C969">
        <v>1992</v>
      </c>
      <c r="D969">
        <v>134.4</v>
      </c>
      <c r="E969">
        <v>82.3</v>
      </c>
      <c r="F969">
        <v>2.2000000000000002</v>
      </c>
      <c r="G969">
        <v>0.5</v>
      </c>
      <c r="H969">
        <f t="shared" si="45"/>
        <v>229.91953995909088</v>
      </c>
      <c r="I969">
        <f t="shared" si="46"/>
        <v>525.59953995909098</v>
      </c>
      <c r="J969">
        <f>SUMIFS(Transit_Clean[Quantity], Transit_Clean[Destination], A969, Transit_Clean[Item_Code], B969, Transit_Clean[SAP_Status], "In Transit")</f>
        <v>682</v>
      </c>
      <c r="K969">
        <f t="shared" si="47"/>
        <v>14.821428571428571</v>
      </c>
      <c r="L969" t="str" cm="1">
        <f t="array" ref="L969">_xlfn.IFS(C969&lt;0,"DATO INVALIDO", C969+J969&lt;I969,"PEDIR YA", C969&lt;I969,"EN CAMINO OK", TRUE,"SANO")</f>
        <v>SANO</v>
      </c>
    </row>
    <row r="970" spans="1:12" x14ac:dyDescent="0.45">
      <c r="A970" t="s">
        <v>1119</v>
      </c>
      <c r="B970" t="s">
        <v>1135</v>
      </c>
      <c r="C970">
        <v>2921</v>
      </c>
      <c r="D970">
        <v>301.10000000000002</v>
      </c>
      <c r="E970">
        <v>32.9</v>
      </c>
      <c r="F970">
        <v>2.7</v>
      </c>
      <c r="G970">
        <v>1</v>
      </c>
      <c r="H970">
        <f t="shared" si="45"/>
        <v>504.75902124924926</v>
      </c>
      <c r="I970">
        <f t="shared" si="46"/>
        <v>1317.7290212492494</v>
      </c>
      <c r="J970">
        <f>SUMIFS(Transit_Clean[Quantity], Transit_Clean[Destination], A970, Transit_Clean[Item_Code], B970, Transit_Clean[SAP_Status], "In Transit")</f>
        <v>1485</v>
      </c>
      <c r="K970">
        <f t="shared" si="47"/>
        <v>9.7010959814015276</v>
      </c>
      <c r="L970" t="str" cm="1">
        <f t="array" ref="L970">_xlfn.IFS(C970&lt;0,"DATO INVALIDO", C970+J970&lt;I970,"PEDIR YA", C970&lt;I970,"EN CAMINO OK", TRUE,"SANO")</f>
        <v>SANO</v>
      </c>
    </row>
    <row r="971" spans="1:12" x14ac:dyDescent="0.45">
      <c r="A971" t="s">
        <v>1114</v>
      </c>
      <c r="B971" t="s">
        <v>27</v>
      </c>
      <c r="C971">
        <v>7603</v>
      </c>
      <c r="D971">
        <v>544.20000000000005</v>
      </c>
      <c r="E971">
        <v>218.6</v>
      </c>
      <c r="F971">
        <v>5</v>
      </c>
      <c r="G971">
        <v>1.3</v>
      </c>
      <c r="H971">
        <f t="shared" si="45"/>
        <v>1418.8363830903832</v>
      </c>
      <c r="I971">
        <f t="shared" si="46"/>
        <v>4139.8363830903836</v>
      </c>
      <c r="J971">
        <f>SUMIFS(Transit_Clean[Quantity], Transit_Clean[Destination], A971, Transit_Clean[Item_Code], B971, Transit_Clean[SAP_Status], "In Transit")</f>
        <v>0</v>
      </c>
      <c r="K971">
        <f t="shared" si="47"/>
        <v>13.970966556413082</v>
      </c>
      <c r="L971" t="str" cm="1">
        <f t="array" ref="L971">_xlfn.IFS(C971&lt;0,"DATO INVALIDO", C971+J971&lt;I971,"PEDIR YA", C971&lt;I971,"EN CAMINO OK", TRUE,"SANO")</f>
        <v>SANO</v>
      </c>
    </row>
    <row r="972" spans="1:12" x14ac:dyDescent="0.45">
      <c r="A972" t="s">
        <v>1127</v>
      </c>
      <c r="B972" t="s">
        <v>100</v>
      </c>
      <c r="C972">
        <v>1469</v>
      </c>
      <c r="D972">
        <v>283.39999999999998</v>
      </c>
      <c r="E972">
        <v>24.1</v>
      </c>
      <c r="F972">
        <v>4.0999999999999996</v>
      </c>
      <c r="G972">
        <v>0.9</v>
      </c>
      <c r="H972">
        <f t="shared" si="45"/>
        <v>428.4822367654229</v>
      </c>
      <c r="I972">
        <f t="shared" si="46"/>
        <v>1590.4222367654227</v>
      </c>
      <c r="J972">
        <f>SUMIFS(Transit_Clean[Quantity], Transit_Clean[Destination], A972, Transit_Clean[Item_Code], B972, Transit_Clean[SAP_Status], "In Transit")</f>
        <v>4293</v>
      </c>
      <c r="K972">
        <f t="shared" si="47"/>
        <v>5.1834862385321108</v>
      </c>
      <c r="L972" t="str" cm="1">
        <f t="array" ref="L972">_xlfn.IFS(C972&lt;0,"DATO INVALIDO", C972+J972&lt;I972,"PEDIR YA", C972&lt;I972,"EN CAMINO OK", TRUE,"SANO")</f>
        <v>EN CAMINO OK</v>
      </c>
    </row>
    <row r="973" spans="1:12" x14ac:dyDescent="0.45">
      <c r="A973" t="s">
        <v>1125</v>
      </c>
      <c r="B973" t="s">
        <v>68</v>
      </c>
      <c r="C973">
        <v>1799</v>
      </c>
      <c r="D973">
        <v>556.70000000000005</v>
      </c>
      <c r="E973">
        <v>70.7</v>
      </c>
      <c r="F973">
        <v>4</v>
      </c>
      <c r="G973">
        <v>1.2</v>
      </c>
      <c r="H973">
        <f t="shared" si="45"/>
        <v>1126.6871308646425</v>
      </c>
      <c r="I973">
        <f t="shared" si="46"/>
        <v>3353.4871308646425</v>
      </c>
      <c r="J973">
        <f>SUMIFS(Transit_Clean[Quantity], Transit_Clean[Destination], A973, Transit_Clean[Item_Code], B973, Transit_Clean[SAP_Status], "In Transit")</f>
        <v>0</v>
      </c>
      <c r="K973">
        <f t="shared" si="47"/>
        <v>3.2315430213759653</v>
      </c>
      <c r="L973" t="str" cm="1">
        <f t="array" ref="L973">_xlfn.IFS(C973&lt;0,"DATO INVALIDO", C973+J973&lt;I973,"PEDIR YA", C973&lt;I973,"EN CAMINO OK", TRUE,"SANO")</f>
        <v>PEDIR YA</v>
      </c>
    </row>
    <row r="974" spans="1:12" x14ac:dyDescent="0.45">
      <c r="A974" t="s">
        <v>1123</v>
      </c>
      <c r="B974" t="s">
        <v>88</v>
      </c>
      <c r="C974">
        <v>633</v>
      </c>
      <c r="D974">
        <v>423.3</v>
      </c>
      <c r="E974">
        <v>228</v>
      </c>
      <c r="F974">
        <v>0.8</v>
      </c>
      <c r="G974">
        <v>0.3</v>
      </c>
      <c r="H974">
        <f t="shared" si="45"/>
        <v>396.39051404170863</v>
      </c>
      <c r="I974">
        <f t="shared" si="46"/>
        <v>735.03051404170867</v>
      </c>
      <c r="J974">
        <f>SUMIFS(Transit_Clean[Quantity], Transit_Clean[Destination], A974, Transit_Clean[Item_Code], B974, Transit_Clean[SAP_Status], "In Transit")</f>
        <v>0</v>
      </c>
      <c r="K974">
        <f t="shared" si="47"/>
        <v>1.4953933380581148</v>
      </c>
      <c r="L974" t="str" cm="1">
        <f t="array" ref="L974">_xlfn.IFS(C974&lt;0,"DATO INVALIDO", C974+J974&lt;I974,"PEDIR YA", C974&lt;I974,"EN CAMINO OK", TRUE,"SANO")</f>
        <v>PEDIR YA</v>
      </c>
    </row>
    <row r="975" spans="1:12" x14ac:dyDescent="0.45">
      <c r="A975" t="s">
        <v>1127</v>
      </c>
      <c r="B975" t="s">
        <v>36</v>
      </c>
      <c r="C975">
        <v>1306</v>
      </c>
      <c r="D975">
        <v>202.1</v>
      </c>
      <c r="E975">
        <v>61.9</v>
      </c>
      <c r="F975">
        <v>2.7</v>
      </c>
      <c r="G975">
        <v>0.9</v>
      </c>
      <c r="H975">
        <f t="shared" si="45"/>
        <v>343.85508757287562</v>
      </c>
      <c r="I975">
        <f t="shared" si="46"/>
        <v>889.52508757287569</v>
      </c>
      <c r="J975">
        <f>SUMIFS(Transit_Clean[Quantity], Transit_Clean[Destination], A975, Transit_Clean[Item_Code], B975, Transit_Clean[SAP_Status], "In Transit")</f>
        <v>927</v>
      </c>
      <c r="K975">
        <f t="shared" si="47"/>
        <v>6.4621474517565565</v>
      </c>
      <c r="L975" t="str" cm="1">
        <f t="array" ref="L975">_xlfn.IFS(C975&lt;0,"DATO INVALIDO", C975+J975&lt;I975,"PEDIR YA", C975&lt;I975,"EN CAMINO OK", TRUE,"SANO")</f>
        <v>SANO</v>
      </c>
    </row>
    <row r="976" spans="1:12" x14ac:dyDescent="0.45">
      <c r="A976" t="s">
        <v>1114</v>
      </c>
      <c r="B976" t="s">
        <v>20</v>
      </c>
      <c r="C976">
        <v>4489</v>
      </c>
      <c r="D976">
        <v>257.7</v>
      </c>
      <c r="E976">
        <v>38.299999999999997</v>
      </c>
      <c r="F976">
        <v>2.2000000000000002</v>
      </c>
      <c r="G976">
        <v>1.3</v>
      </c>
      <c r="H976">
        <f t="shared" si="45"/>
        <v>560.65741873023489</v>
      </c>
      <c r="I976">
        <f t="shared" si="46"/>
        <v>1127.5974187302349</v>
      </c>
      <c r="J976">
        <f>SUMIFS(Transit_Clean[Quantity], Transit_Clean[Destination], A976, Transit_Clean[Item_Code], B976, Transit_Clean[SAP_Status], "In Transit")</f>
        <v>0</v>
      </c>
      <c r="K976">
        <f t="shared" si="47"/>
        <v>17.419480015521927</v>
      </c>
      <c r="L976" t="str" cm="1">
        <f t="array" ref="L976">_xlfn.IFS(C976&lt;0,"DATO INVALIDO", C976+J976&lt;I976,"PEDIR YA", C976&lt;I976,"EN CAMINO OK", TRUE,"SANO")</f>
        <v>SANO</v>
      </c>
    </row>
    <row r="977" spans="1:12" x14ac:dyDescent="0.45">
      <c r="A977" t="s">
        <v>1126</v>
      </c>
      <c r="B977" t="s">
        <v>88</v>
      </c>
      <c r="C977">
        <v>6872</v>
      </c>
      <c r="D977">
        <v>393.9</v>
      </c>
      <c r="E977">
        <v>210.4</v>
      </c>
      <c r="F977">
        <v>1</v>
      </c>
      <c r="G977">
        <v>0.2</v>
      </c>
      <c r="H977">
        <f t="shared" si="45"/>
        <v>370.69756644601813</v>
      </c>
      <c r="I977">
        <f t="shared" si="46"/>
        <v>764.59756644601816</v>
      </c>
      <c r="J977">
        <f>SUMIFS(Transit_Clean[Quantity], Transit_Clean[Destination], A977, Transit_Clean[Item_Code], B977, Transit_Clean[SAP_Status], "In Transit")</f>
        <v>1297</v>
      </c>
      <c r="K977">
        <f t="shared" si="47"/>
        <v>17.446052297537449</v>
      </c>
      <c r="L977" t="str" cm="1">
        <f t="array" ref="L977">_xlfn.IFS(C977&lt;0,"DATO INVALIDO", C977+J977&lt;I977,"PEDIR YA", C977&lt;I977,"EN CAMINO OK", TRUE,"SANO")</f>
        <v>SANO</v>
      </c>
    </row>
    <row r="978" spans="1:12" x14ac:dyDescent="0.45">
      <c r="A978" t="s">
        <v>1120</v>
      </c>
      <c r="B978" t="s">
        <v>88</v>
      </c>
      <c r="C978">
        <v>1688</v>
      </c>
      <c r="D978">
        <v>158.5</v>
      </c>
      <c r="E978">
        <v>86.5</v>
      </c>
      <c r="F978">
        <v>0.8</v>
      </c>
      <c r="G978">
        <v>0.5</v>
      </c>
      <c r="H978">
        <f t="shared" si="45"/>
        <v>182.74345927077664</v>
      </c>
      <c r="I978">
        <f t="shared" si="46"/>
        <v>309.54345927077668</v>
      </c>
      <c r="J978">
        <f>SUMIFS(Transit_Clean[Quantity], Transit_Clean[Destination], A978, Transit_Clean[Item_Code], B978, Transit_Clean[SAP_Status], "In Transit")</f>
        <v>980</v>
      </c>
      <c r="K978">
        <f t="shared" si="47"/>
        <v>10.649842271293375</v>
      </c>
      <c r="L978" t="str" cm="1">
        <f t="array" ref="L978">_xlfn.IFS(C978&lt;0,"DATO INVALIDO", C978+J978&lt;I978,"PEDIR YA", C978&lt;I978,"EN CAMINO OK", TRUE,"SANO")</f>
        <v>SANO</v>
      </c>
    </row>
    <row r="979" spans="1:12" x14ac:dyDescent="0.45">
      <c r="A979" t="s">
        <v>1123</v>
      </c>
      <c r="B979" t="s">
        <v>1140</v>
      </c>
      <c r="C979">
        <v>5295</v>
      </c>
      <c r="D979">
        <v>310.8</v>
      </c>
      <c r="E979">
        <v>44.6</v>
      </c>
      <c r="F979">
        <v>0.7</v>
      </c>
      <c r="G979">
        <v>0.3</v>
      </c>
      <c r="H979">
        <f t="shared" si="45"/>
        <v>165.70888143367574</v>
      </c>
      <c r="I979">
        <f t="shared" si="46"/>
        <v>383.26888143367574</v>
      </c>
      <c r="J979">
        <f>SUMIFS(Transit_Clean[Quantity], Transit_Clean[Destination], A979, Transit_Clean[Item_Code], B979, Transit_Clean[SAP_Status], "In Transit")</f>
        <v>0</v>
      </c>
      <c r="K979">
        <f t="shared" si="47"/>
        <v>17.036679536679536</v>
      </c>
      <c r="L979" t="str" cm="1">
        <f t="array" ref="L979">_xlfn.IFS(C979&lt;0,"DATO INVALIDO", C979+J979&lt;I979,"PEDIR YA", C979&lt;I979,"EN CAMINO OK", TRUE,"SANO")</f>
        <v>SANO</v>
      </c>
    </row>
    <row r="980" spans="1:12" x14ac:dyDescent="0.45">
      <c r="A980" t="s">
        <v>1116</v>
      </c>
      <c r="B980" t="s">
        <v>39</v>
      </c>
      <c r="C980">
        <v>3897</v>
      </c>
      <c r="D980">
        <v>431.5</v>
      </c>
      <c r="E980">
        <v>67.7</v>
      </c>
      <c r="F980">
        <v>3.5</v>
      </c>
      <c r="G980">
        <v>1.6</v>
      </c>
      <c r="H980">
        <f t="shared" si="45"/>
        <v>1158.1703372939148</v>
      </c>
      <c r="I980">
        <f t="shared" si="46"/>
        <v>2668.4203372939146</v>
      </c>
      <c r="J980">
        <f>SUMIFS(Transit_Clean[Quantity], Transit_Clean[Destination], A980, Transit_Clean[Item_Code], B980, Transit_Clean[SAP_Status], "In Transit")</f>
        <v>1333</v>
      </c>
      <c r="K980">
        <f t="shared" si="47"/>
        <v>9.0312862108922367</v>
      </c>
      <c r="L980" t="str" cm="1">
        <f t="array" ref="L980">_xlfn.IFS(C980&lt;0,"DATO INVALIDO", C980+J980&lt;I980,"PEDIR YA", C980&lt;I980,"EN CAMINO OK", TRUE,"SANO")</f>
        <v>SANO</v>
      </c>
    </row>
    <row r="981" spans="1:12" x14ac:dyDescent="0.45">
      <c r="A981" t="s">
        <v>1128</v>
      </c>
      <c r="B981" t="s">
        <v>67</v>
      </c>
      <c r="C981">
        <v>2388</v>
      </c>
      <c r="D981">
        <v>236</v>
      </c>
      <c r="E981">
        <v>98.3</v>
      </c>
      <c r="F981">
        <v>1.6</v>
      </c>
      <c r="G981">
        <v>0.5</v>
      </c>
      <c r="H981">
        <f t="shared" si="45"/>
        <v>282.84207402718567</v>
      </c>
      <c r="I981">
        <f t="shared" si="46"/>
        <v>660.44207402718575</v>
      </c>
      <c r="J981">
        <f>SUMIFS(Transit_Clean[Quantity], Transit_Clean[Destination], A981, Transit_Clean[Item_Code], B981, Transit_Clean[SAP_Status], "In Transit")</f>
        <v>0</v>
      </c>
      <c r="K981">
        <f t="shared" si="47"/>
        <v>10.118644067796611</v>
      </c>
      <c r="L981" t="str" cm="1">
        <f t="array" ref="L981">_xlfn.IFS(C981&lt;0,"DATO INVALIDO", C981+J981&lt;I981,"PEDIR YA", C981&lt;I981,"EN CAMINO OK", TRUE,"SANO")</f>
        <v>SANO</v>
      </c>
    </row>
    <row r="982" spans="1:12" x14ac:dyDescent="0.45">
      <c r="A982" t="s">
        <v>1127</v>
      </c>
      <c r="B982" t="s">
        <v>30</v>
      </c>
      <c r="C982">
        <v>4743</v>
      </c>
      <c r="E982">
        <v>137.5</v>
      </c>
      <c r="F982">
        <v>3.3</v>
      </c>
      <c r="G982">
        <v>0.9</v>
      </c>
      <c r="H982">
        <f t="shared" si="45"/>
        <v>412.13890445152106</v>
      </c>
      <c r="I982">
        <f t="shared" si="46"/>
        <v>412.13890445152106</v>
      </c>
      <c r="J982">
        <f>SUMIFS(Transit_Clean[Quantity], Transit_Clean[Destination], A982, Transit_Clean[Item_Code], B982, Transit_Clean[SAP_Status], "In Transit")</f>
        <v>0</v>
      </c>
      <c r="K982" t="str">
        <f t="shared" si="47"/>
        <v/>
      </c>
      <c r="L982" t="str" cm="1">
        <f t="array" ref="L982">_xlfn.IFS(C982&lt;0,"DATO INVALIDO", C982+J982&lt;I982,"PEDIR YA", C982&lt;I982,"EN CAMINO OK", TRUE,"SANO")</f>
        <v>SANO</v>
      </c>
    </row>
    <row r="983" spans="1:12" x14ac:dyDescent="0.45">
      <c r="A983" t="s">
        <v>1124</v>
      </c>
      <c r="B983" t="s">
        <v>28</v>
      </c>
      <c r="C983">
        <v>2343</v>
      </c>
      <c r="D983">
        <v>262.10000000000002</v>
      </c>
      <c r="E983">
        <v>96.8</v>
      </c>
      <c r="F983">
        <v>1.5</v>
      </c>
      <c r="G983">
        <v>0.3</v>
      </c>
      <c r="H983">
        <f t="shared" si="45"/>
        <v>234.72974984064123</v>
      </c>
      <c r="I983">
        <f t="shared" si="46"/>
        <v>627.87974984064124</v>
      </c>
      <c r="J983">
        <f>SUMIFS(Transit_Clean[Quantity], Transit_Clean[Destination], A983, Transit_Clean[Item_Code], B983, Transit_Clean[SAP_Status], "In Transit")</f>
        <v>0</v>
      </c>
      <c r="K983">
        <f t="shared" si="47"/>
        <v>8.9393361312476145</v>
      </c>
      <c r="L983" t="str" cm="1">
        <f t="array" ref="L983">_xlfn.IFS(C983&lt;0,"DATO INVALIDO", C983+J983&lt;I983,"PEDIR YA", C983&lt;I983,"EN CAMINO OK", TRUE,"SANO")</f>
        <v>SANO</v>
      </c>
    </row>
    <row r="984" spans="1:12" x14ac:dyDescent="0.45">
      <c r="A984" t="s">
        <v>1120</v>
      </c>
      <c r="B984" t="s">
        <v>107</v>
      </c>
      <c r="C984">
        <v>906</v>
      </c>
      <c r="E984">
        <v>92.7</v>
      </c>
      <c r="F984">
        <v>2.2999999999999998</v>
      </c>
      <c r="G984">
        <v>0.5</v>
      </c>
      <c r="H984">
        <f t="shared" si="45"/>
        <v>231.96774270898095</v>
      </c>
      <c r="I984">
        <f t="shared" si="46"/>
        <v>231.96774270898095</v>
      </c>
      <c r="J984">
        <f>SUMIFS(Transit_Clean[Quantity], Transit_Clean[Destination], A984, Transit_Clean[Item_Code], B984, Transit_Clean[SAP_Status], "In Transit")</f>
        <v>0</v>
      </c>
      <c r="K984" t="str">
        <f t="shared" si="47"/>
        <v/>
      </c>
      <c r="L984" t="str" cm="1">
        <f t="array" ref="L984">_xlfn.IFS(C984&lt;0,"DATO INVALIDO", C984+J984&lt;I984,"PEDIR YA", C984&lt;I984,"EN CAMINO OK", TRUE,"SANO")</f>
        <v>SANO</v>
      </c>
    </row>
    <row r="985" spans="1:12" x14ac:dyDescent="0.45">
      <c r="A985" t="s">
        <v>1122</v>
      </c>
      <c r="B985" t="s">
        <v>7</v>
      </c>
      <c r="C985">
        <v>2175</v>
      </c>
      <c r="E985">
        <v>50.2</v>
      </c>
      <c r="F985">
        <v>0.7</v>
      </c>
      <c r="G985">
        <v>0.2</v>
      </c>
      <c r="H985">
        <f t="shared" si="45"/>
        <v>69.300549997817484</v>
      </c>
      <c r="I985">
        <f t="shared" si="46"/>
        <v>69.300549997817484</v>
      </c>
      <c r="J985">
        <f>SUMIFS(Transit_Clean[Quantity], Transit_Clean[Destination], A985, Transit_Clean[Item_Code], B985, Transit_Clean[SAP_Status], "In Transit")</f>
        <v>705</v>
      </c>
      <c r="K985" t="str">
        <f t="shared" si="47"/>
        <v/>
      </c>
      <c r="L985" t="str" cm="1">
        <f t="array" ref="L985">_xlfn.IFS(C985&lt;0,"DATO INVALIDO", C985+J985&lt;I985,"PEDIR YA", C985&lt;I985,"EN CAMINO OK", TRUE,"SANO")</f>
        <v>SANO</v>
      </c>
    </row>
    <row r="986" spans="1:12" x14ac:dyDescent="0.45">
      <c r="A986" t="s">
        <v>1124</v>
      </c>
      <c r="B986" t="s">
        <v>45</v>
      </c>
      <c r="C986">
        <v>10058</v>
      </c>
      <c r="D986">
        <v>680.9</v>
      </c>
      <c r="E986">
        <v>134</v>
      </c>
      <c r="F986">
        <v>0.5</v>
      </c>
      <c r="G986">
        <v>0.3</v>
      </c>
      <c r="H986">
        <f t="shared" si="45"/>
        <v>371.54040704915252</v>
      </c>
      <c r="I986">
        <f t="shared" si="46"/>
        <v>711.99040704915251</v>
      </c>
      <c r="J986">
        <f>SUMIFS(Transit_Clean[Quantity], Transit_Clean[Destination], A986, Transit_Clean[Item_Code], B986, Transit_Clean[SAP_Status], "In Transit")</f>
        <v>1265</v>
      </c>
      <c r="K986">
        <f t="shared" si="47"/>
        <v>14.771625789396388</v>
      </c>
      <c r="L986" t="str" cm="1">
        <f t="array" ref="L986">_xlfn.IFS(C986&lt;0,"DATO INVALIDO", C986+J986&lt;I986,"PEDIR YA", C986&lt;I986,"EN CAMINO OK", TRUE,"SANO")</f>
        <v>SANO</v>
      </c>
    </row>
    <row r="987" spans="1:12" x14ac:dyDescent="0.45">
      <c r="A987" t="s">
        <v>1120</v>
      </c>
      <c r="B987" t="s">
        <v>55</v>
      </c>
      <c r="C987">
        <v>6756</v>
      </c>
      <c r="D987">
        <v>743.3</v>
      </c>
      <c r="E987">
        <v>165.6</v>
      </c>
      <c r="F987">
        <v>1.7</v>
      </c>
      <c r="G987">
        <v>0.5</v>
      </c>
      <c r="H987">
        <f t="shared" si="45"/>
        <v>709.1995490877373</v>
      </c>
      <c r="I987">
        <f t="shared" si="46"/>
        <v>1972.8095490877372</v>
      </c>
      <c r="J987">
        <f>SUMIFS(Transit_Clean[Quantity], Transit_Clean[Destination], A987, Transit_Clean[Item_Code], B987, Transit_Clean[SAP_Status], "In Transit")</f>
        <v>2089</v>
      </c>
      <c r="K987">
        <f t="shared" si="47"/>
        <v>9.089196824969731</v>
      </c>
      <c r="L987" t="str" cm="1">
        <f t="array" ref="L987">_xlfn.IFS(C987&lt;0,"DATO INVALIDO", C987+J987&lt;I987,"PEDIR YA", C987&lt;I987,"EN CAMINO OK", TRUE,"SANO")</f>
        <v>SANO</v>
      </c>
    </row>
    <row r="988" spans="1:12" x14ac:dyDescent="0.45">
      <c r="A988" t="s">
        <v>1122</v>
      </c>
      <c r="B988" t="s">
        <v>39</v>
      </c>
      <c r="C988">
        <v>5673</v>
      </c>
      <c r="D988">
        <v>329.4</v>
      </c>
      <c r="E988">
        <v>35.4</v>
      </c>
      <c r="F988">
        <v>0.7</v>
      </c>
      <c r="G988">
        <v>0.2</v>
      </c>
      <c r="H988">
        <f t="shared" si="45"/>
        <v>119.18193853936089</v>
      </c>
      <c r="I988">
        <f t="shared" si="46"/>
        <v>349.76193853936081</v>
      </c>
      <c r="J988">
        <f>SUMIFS(Transit_Clean[Quantity], Transit_Clean[Destination], A988, Transit_Clean[Item_Code], B988, Transit_Clean[SAP_Status], "In Transit")</f>
        <v>1331</v>
      </c>
      <c r="K988">
        <f t="shared" si="47"/>
        <v>17.222222222222225</v>
      </c>
      <c r="L988" t="str" cm="1">
        <f t="array" ref="L988">_xlfn.IFS(C988&lt;0,"DATO INVALIDO", C988+J988&lt;I988,"PEDIR YA", C988&lt;I988,"EN CAMINO OK", TRUE,"SANO")</f>
        <v>SANO</v>
      </c>
    </row>
    <row r="989" spans="1:12" x14ac:dyDescent="0.45">
      <c r="A989" t="s">
        <v>1126</v>
      </c>
      <c r="B989" t="s">
        <v>42</v>
      </c>
      <c r="C989">
        <v>1640</v>
      </c>
      <c r="D989">
        <v>304.10000000000002</v>
      </c>
      <c r="E989">
        <v>117.7</v>
      </c>
      <c r="F989">
        <v>0.8</v>
      </c>
      <c r="G989">
        <v>0.2</v>
      </c>
      <c r="H989">
        <f t="shared" si="45"/>
        <v>200.60705428523693</v>
      </c>
      <c r="I989">
        <f t="shared" si="46"/>
        <v>443.88705428523696</v>
      </c>
      <c r="J989">
        <f>SUMIFS(Transit_Clean[Quantity], Transit_Clean[Destination], A989, Transit_Clean[Item_Code], B989, Transit_Clean[SAP_Status], "In Transit")</f>
        <v>2616</v>
      </c>
      <c r="K989">
        <f t="shared" si="47"/>
        <v>5.3929628411706672</v>
      </c>
      <c r="L989" t="str" cm="1">
        <f t="array" ref="L989">_xlfn.IFS(C989&lt;0,"DATO INVALIDO", C989+J989&lt;I989,"PEDIR YA", C989&lt;I989,"EN CAMINO OK", TRUE,"SANO")</f>
        <v>SANO</v>
      </c>
    </row>
    <row r="990" spans="1:12" x14ac:dyDescent="0.45">
      <c r="A990" t="s">
        <v>1122</v>
      </c>
      <c r="B990" t="s">
        <v>53</v>
      </c>
      <c r="C990">
        <v>2379</v>
      </c>
      <c r="D990">
        <v>203</v>
      </c>
      <c r="E990">
        <v>55</v>
      </c>
      <c r="F990">
        <v>1</v>
      </c>
      <c r="G990">
        <v>0.2</v>
      </c>
      <c r="H990">
        <f t="shared" si="45"/>
        <v>112.79726326467323</v>
      </c>
      <c r="I990">
        <f t="shared" si="46"/>
        <v>315.79726326467323</v>
      </c>
      <c r="J990">
        <f>SUMIFS(Transit_Clean[Quantity], Transit_Clean[Destination], A990, Transit_Clean[Item_Code], B990, Transit_Clean[SAP_Status], "In Transit")</f>
        <v>3621</v>
      </c>
      <c r="K990">
        <f t="shared" si="47"/>
        <v>11.719211822660098</v>
      </c>
      <c r="L990" t="str" cm="1">
        <f t="array" ref="L990">_xlfn.IFS(C990&lt;0,"DATO INVALIDO", C990+J990&lt;I990,"PEDIR YA", C990&lt;I990,"EN CAMINO OK", TRUE,"SANO")</f>
        <v>SANO</v>
      </c>
    </row>
    <row r="991" spans="1:12" x14ac:dyDescent="0.45">
      <c r="A991" t="s">
        <v>1116</v>
      </c>
      <c r="B991" t="s">
        <v>51</v>
      </c>
      <c r="C991">
        <v>13027</v>
      </c>
      <c r="D991">
        <v>851.2</v>
      </c>
      <c r="E991">
        <v>213.1</v>
      </c>
      <c r="F991">
        <v>4</v>
      </c>
      <c r="G991">
        <v>1.6</v>
      </c>
      <c r="H991">
        <f t="shared" si="45"/>
        <v>2354.6329763094714</v>
      </c>
      <c r="I991">
        <f t="shared" si="46"/>
        <v>5759.432976309472</v>
      </c>
      <c r="J991">
        <f>SUMIFS(Transit_Clean[Quantity], Transit_Clean[Destination], A991, Transit_Clean[Item_Code], B991, Transit_Clean[SAP_Status], "In Transit")</f>
        <v>0</v>
      </c>
      <c r="K991">
        <f t="shared" si="47"/>
        <v>15.304276315789473</v>
      </c>
      <c r="L991" t="str" cm="1">
        <f t="array" ref="L991">_xlfn.IFS(C991&lt;0,"DATO INVALIDO", C991+J991&lt;I991,"PEDIR YA", C991&lt;I991,"EN CAMINO OK", TRUE,"SANO")</f>
        <v>SANO</v>
      </c>
    </row>
    <row r="992" spans="1:12" x14ac:dyDescent="0.45">
      <c r="A992" t="s">
        <v>1128</v>
      </c>
      <c r="B992" t="s">
        <v>87</v>
      </c>
      <c r="C992">
        <v>1710</v>
      </c>
      <c r="D992">
        <v>403.3</v>
      </c>
      <c r="E992">
        <v>71.099999999999994</v>
      </c>
      <c r="F992">
        <v>0.9</v>
      </c>
      <c r="G992">
        <v>0.5</v>
      </c>
      <c r="H992">
        <f t="shared" si="45"/>
        <v>350.84297101231766</v>
      </c>
      <c r="I992">
        <f t="shared" si="46"/>
        <v>713.81297101231769</v>
      </c>
      <c r="J992">
        <f>SUMIFS(Transit_Clean[Quantity], Transit_Clean[Destination], A992, Transit_Clean[Item_Code], B992, Transit_Clean[SAP_Status], "In Transit")</f>
        <v>0</v>
      </c>
      <c r="K992">
        <f t="shared" si="47"/>
        <v>4.2400198363501111</v>
      </c>
      <c r="L992" t="str" cm="1">
        <f t="array" ref="L992">_xlfn.IFS(C992&lt;0,"DATO INVALIDO", C992+J992&lt;I992,"PEDIR YA", C992&lt;I992,"EN CAMINO OK", TRUE,"SANO")</f>
        <v>SANO</v>
      </c>
    </row>
    <row r="993" spans="1:12" x14ac:dyDescent="0.45">
      <c r="A993" t="s">
        <v>1120</v>
      </c>
      <c r="B993" t="s">
        <v>5</v>
      </c>
      <c r="C993">
        <v>5447</v>
      </c>
      <c r="D993">
        <v>352.2</v>
      </c>
      <c r="E993">
        <v>29.8</v>
      </c>
      <c r="F993">
        <v>1.8</v>
      </c>
      <c r="G993">
        <v>0.5</v>
      </c>
      <c r="H993">
        <f t="shared" si="45"/>
        <v>297.95949262441695</v>
      </c>
      <c r="I993">
        <f t="shared" si="46"/>
        <v>931.91949262441699</v>
      </c>
      <c r="J993">
        <f>SUMIFS(Transit_Clean[Quantity], Transit_Clean[Destination], A993, Transit_Clean[Item_Code], B993, Transit_Clean[SAP_Status], "In Transit")</f>
        <v>0</v>
      </c>
      <c r="K993">
        <f t="shared" si="47"/>
        <v>15.465644520159001</v>
      </c>
      <c r="L993" t="str" cm="1">
        <f t="array" ref="L993">_xlfn.IFS(C993&lt;0,"DATO INVALIDO", C993+J993&lt;I993,"PEDIR YA", C993&lt;I993,"EN CAMINO OK", TRUE,"SANO")</f>
        <v>SANO</v>
      </c>
    </row>
    <row r="994" spans="1:12" x14ac:dyDescent="0.45">
      <c r="A994" t="s">
        <v>1124</v>
      </c>
      <c r="B994" t="s">
        <v>106</v>
      </c>
      <c r="C994">
        <v>5841</v>
      </c>
      <c r="D994">
        <v>353.3</v>
      </c>
      <c r="E994">
        <v>101.8</v>
      </c>
      <c r="F994">
        <v>0.8</v>
      </c>
      <c r="G994">
        <v>0.3</v>
      </c>
      <c r="H994">
        <f t="shared" si="45"/>
        <v>230.5544952766048</v>
      </c>
      <c r="I994">
        <f t="shared" si="46"/>
        <v>513.19449527660481</v>
      </c>
      <c r="J994">
        <f>SUMIFS(Transit_Clean[Quantity], Transit_Clean[Destination], A994, Transit_Clean[Item_Code], B994, Transit_Clean[SAP_Status], "In Transit")</f>
        <v>0</v>
      </c>
      <c r="K994">
        <f t="shared" si="47"/>
        <v>16.532691763373904</v>
      </c>
      <c r="L994" t="str" cm="1">
        <f t="array" ref="L994">_xlfn.IFS(C994&lt;0,"DATO INVALIDO", C994+J994&lt;I994,"PEDIR YA", C994&lt;I994,"EN CAMINO OK", TRUE,"SANO")</f>
        <v>SANO</v>
      </c>
    </row>
    <row r="995" spans="1:12" x14ac:dyDescent="0.45">
      <c r="A995" t="s">
        <v>1119</v>
      </c>
      <c r="B995" t="s">
        <v>39</v>
      </c>
      <c r="C995">
        <v>2311</v>
      </c>
      <c r="D995">
        <v>293.89999999999998</v>
      </c>
      <c r="E995">
        <v>38.9</v>
      </c>
      <c r="F995">
        <v>2.7</v>
      </c>
      <c r="G995">
        <v>1</v>
      </c>
      <c r="H995">
        <f t="shared" si="45"/>
        <v>496.27127927424931</v>
      </c>
      <c r="I995">
        <f t="shared" si="46"/>
        <v>1289.8012792742493</v>
      </c>
      <c r="J995">
        <f>SUMIFS(Transit_Clean[Quantity], Transit_Clean[Destination], A995, Transit_Clean[Item_Code], B995, Transit_Clean[SAP_Status], "In Transit")</f>
        <v>0</v>
      </c>
      <c r="K995">
        <f t="shared" si="47"/>
        <v>7.8632187818986052</v>
      </c>
      <c r="L995" t="str" cm="1">
        <f t="array" ref="L995">_xlfn.IFS(C995&lt;0,"DATO INVALIDO", C995+J995&lt;I995,"PEDIR YA", C995&lt;I995,"EN CAMINO OK", TRUE,"SANO")</f>
        <v>SANO</v>
      </c>
    </row>
    <row r="996" spans="1:12" x14ac:dyDescent="0.45">
      <c r="A996" t="s">
        <v>1128</v>
      </c>
      <c r="B996" t="s">
        <v>68</v>
      </c>
      <c r="C996">
        <v>925</v>
      </c>
      <c r="D996">
        <v>166.8</v>
      </c>
      <c r="E996">
        <v>28.6</v>
      </c>
      <c r="F996">
        <v>2</v>
      </c>
      <c r="G996">
        <v>0.5</v>
      </c>
      <c r="H996">
        <f t="shared" si="45"/>
        <v>152.93889073744455</v>
      </c>
      <c r="I996">
        <f t="shared" si="46"/>
        <v>486.5388907374446</v>
      </c>
      <c r="J996">
        <f>SUMIFS(Transit_Clean[Quantity], Transit_Clean[Destination], A996, Transit_Clean[Item_Code], B996, Transit_Clean[SAP_Status], "In Transit")</f>
        <v>1404</v>
      </c>
      <c r="K996">
        <f t="shared" si="47"/>
        <v>5.5455635491606712</v>
      </c>
      <c r="L996" t="str" cm="1">
        <f t="array" ref="L996">_xlfn.IFS(C996&lt;0,"DATO INVALIDO", C996+J996&lt;I996,"PEDIR YA", C996&lt;I996,"EN CAMINO OK", TRUE,"SANO")</f>
        <v>SANO</v>
      </c>
    </row>
    <row r="997" spans="1:12" x14ac:dyDescent="0.45">
      <c r="A997" t="s">
        <v>1125</v>
      </c>
      <c r="B997" t="s">
        <v>29</v>
      </c>
      <c r="C997">
        <v>7785</v>
      </c>
      <c r="D997">
        <v>622.4</v>
      </c>
      <c r="E997">
        <v>103.2</v>
      </c>
      <c r="F997">
        <v>3.1</v>
      </c>
      <c r="G997">
        <v>1.2</v>
      </c>
      <c r="H997">
        <f t="shared" si="45"/>
        <v>1268.296816578832</v>
      </c>
      <c r="I997">
        <f t="shared" si="46"/>
        <v>3197.7368165788321</v>
      </c>
      <c r="J997">
        <f>SUMIFS(Transit_Clean[Quantity], Transit_Clean[Destination], A997, Transit_Clean[Item_Code], B997, Transit_Clean[SAP_Status], "In Transit")</f>
        <v>2660</v>
      </c>
      <c r="K997">
        <f t="shared" si="47"/>
        <v>12.508033419023137</v>
      </c>
      <c r="L997" t="str" cm="1">
        <f t="array" ref="L997">_xlfn.IFS(C997&lt;0,"DATO INVALIDO", C997+J997&lt;I997,"PEDIR YA", C997&lt;I997,"EN CAMINO OK", TRUE,"SANO")</f>
        <v>SANO</v>
      </c>
    </row>
    <row r="998" spans="1:12" x14ac:dyDescent="0.45">
      <c r="A998" t="s">
        <v>1124</v>
      </c>
      <c r="B998" t="s">
        <v>72</v>
      </c>
      <c r="C998">
        <v>5948</v>
      </c>
      <c r="D998">
        <v>418.9</v>
      </c>
      <c r="E998">
        <v>58.9</v>
      </c>
      <c r="F998">
        <v>0.8</v>
      </c>
      <c r="G998">
        <v>0.3</v>
      </c>
      <c r="H998">
        <f t="shared" si="45"/>
        <v>224.83825911141099</v>
      </c>
      <c r="I998">
        <f t="shared" si="46"/>
        <v>559.95825911141105</v>
      </c>
      <c r="J998">
        <f>SUMIFS(Transit_Clean[Quantity], Transit_Clean[Destination], A998, Transit_Clean[Item_Code], B998, Transit_Clean[SAP_Status], "In Transit")</f>
        <v>0</v>
      </c>
      <c r="K998">
        <f t="shared" si="47"/>
        <v>14.199092862258297</v>
      </c>
      <c r="L998" t="str" cm="1">
        <f t="array" ref="L998">_xlfn.IFS(C998&lt;0,"DATO INVALIDO", C998+J998&lt;I998,"PEDIR YA", C998&lt;I998,"EN CAMINO OK", TRUE,"SANO")</f>
        <v>SANO</v>
      </c>
    </row>
    <row r="999" spans="1:12" x14ac:dyDescent="0.45">
      <c r="A999" t="s">
        <v>1125</v>
      </c>
      <c r="B999" t="s">
        <v>1131</v>
      </c>
      <c r="C999">
        <v>229</v>
      </c>
      <c r="D999">
        <v>342.3</v>
      </c>
      <c r="E999">
        <v>209.4</v>
      </c>
      <c r="F999">
        <v>3.2</v>
      </c>
      <c r="G999">
        <v>1.2</v>
      </c>
      <c r="H999">
        <f t="shared" si="45"/>
        <v>917.25536075620732</v>
      </c>
      <c r="I999">
        <f t="shared" si="46"/>
        <v>2012.6153607562073</v>
      </c>
      <c r="J999">
        <f>SUMIFS(Transit_Clean[Quantity], Transit_Clean[Destination], A999, Transit_Clean[Item_Code], B999, Transit_Clean[SAP_Status], "In Transit")</f>
        <v>0</v>
      </c>
      <c r="K999">
        <f t="shared" si="47"/>
        <v>0.66900379783815367</v>
      </c>
      <c r="L999" t="str" cm="1">
        <f t="array" ref="L999">_xlfn.IFS(C999&lt;0,"DATO INVALIDO", C999+J999&lt;I999,"PEDIR YA", C999&lt;I999,"EN CAMINO OK", TRUE,"SANO")</f>
        <v>PEDIR YA</v>
      </c>
    </row>
    <row r="1000" spans="1:12" x14ac:dyDescent="0.45">
      <c r="A1000" t="s">
        <v>1125</v>
      </c>
      <c r="B1000" t="s">
        <v>23</v>
      </c>
      <c r="C1000">
        <v>1524</v>
      </c>
      <c r="D1000">
        <v>201.5</v>
      </c>
      <c r="E1000">
        <v>79.099999999999994</v>
      </c>
      <c r="F1000">
        <v>3.3</v>
      </c>
      <c r="G1000">
        <v>1.2</v>
      </c>
      <c r="H1000">
        <f t="shared" si="45"/>
        <v>464.1010731968845</v>
      </c>
      <c r="I1000">
        <f t="shared" si="46"/>
        <v>1129.0510731968843</v>
      </c>
      <c r="J1000">
        <f>SUMIFS(Transit_Clean[Quantity], Transit_Clean[Destination], A1000, Transit_Clean[Item_Code], B1000, Transit_Clean[SAP_Status], "In Transit")</f>
        <v>0</v>
      </c>
      <c r="K1000">
        <f t="shared" si="47"/>
        <v>7.5632754342431765</v>
      </c>
      <c r="L1000" t="str" cm="1">
        <f t="array" ref="L1000">_xlfn.IFS(C1000&lt;0,"DATO INVALIDO", C1000+J1000&lt;I1000,"PEDIR YA", C1000&lt;I1000,"EN CAMINO OK", TRUE,"SANO")</f>
        <v>SANO</v>
      </c>
    </row>
    <row r="1001" spans="1:12" x14ac:dyDescent="0.45">
      <c r="A1001" t="s">
        <v>1126</v>
      </c>
      <c r="B1001" t="s">
        <v>35</v>
      </c>
      <c r="C1001">
        <v>6323</v>
      </c>
      <c r="D1001">
        <v>676.4</v>
      </c>
      <c r="E1001">
        <v>98</v>
      </c>
      <c r="F1001">
        <v>1</v>
      </c>
      <c r="G1001">
        <v>0.2</v>
      </c>
      <c r="H1001">
        <f t="shared" si="45"/>
        <v>275.62744229122029</v>
      </c>
      <c r="I1001">
        <f t="shared" si="46"/>
        <v>952.02744229122027</v>
      </c>
      <c r="J1001">
        <f>SUMIFS(Transit_Clean[Quantity], Transit_Clean[Destination], A1001, Transit_Clean[Item_Code], B1001, Transit_Clean[SAP_Status], "In Transit")</f>
        <v>0</v>
      </c>
      <c r="K1001">
        <f t="shared" si="47"/>
        <v>9.348018923713779</v>
      </c>
      <c r="L1001" t="str" cm="1">
        <f t="array" ref="L1001">_xlfn.IFS(C1001&lt;0,"DATO INVALIDO", C1001+J1001&lt;I1001,"PEDIR YA", C1001&lt;I1001,"EN CAMINO OK", TRUE,"SANO")</f>
        <v>SANO</v>
      </c>
    </row>
    <row r="1002" spans="1:12" x14ac:dyDescent="0.45">
      <c r="A1002" t="s">
        <v>1116</v>
      </c>
      <c r="B1002" t="s">
        <v>68</v>
      </c>
      <c r="C1002">
        <v>3870</v>
      </c>
      <c r="D1002">
        <v>290.10000000000002</v>
      </c>
      <c r="E1002">
        <v>32</v>
      </c>
      <c r="F1002">
        <v>5.0999999999999996</v>
      </c>
      <c r="G1002">
        <v>1.6</v>
      </c>
      <c r="H1002">
        <f t="shared" si="45"/>
        <v>775.09073694374661</v>
      </c>
      <c r="I1002">
        <f t="shared" si="46"/>
        <v>2254.6007369437466</v>
      </c>
      <c r="J1002">
        <f>SUMIFS(Transit_Clean[Quantity], Transit_Clean[Destination], A1002, Transit_Clean[Item_Code], B1002, Transit_Clean[SAP_Status], "In Transit")</f>
        <v>0</v>
      </c>
      <c r="K1002">
        <f t="shared" si="47"/>
        <v>13.340227507755944</v>
      </c>
      <c r="L1002" t="str" cm="1">
        <f t="array" ref="L1002">_xlfn.IFS(C1002&lt;0,"DATO INVALIDO", C1002+J1002&lt;I1002,"PEDIR YA", C1002&lt;I1002,"EN CAMINO OK", TRUE,"SANO")</f>
        <v>SANO</v>
      </c>
    </row>
    <row r="1003" spans="1:12" x14ac:dyDescent="0.45">
      <c r="A1003" t="s">
        <v>1118</v>
      </c>
      <c r="B1003" t="s">
        <v>57</v>
      </c>
      <c r="C1003">
        <v>574</v>
      </c>
      <c r="D1003">
        <v>367.5</v>
      </c>
      <c r="E1003">
        <v>43.9</v>
      </c>
      <c r="F1003">
        <v>5.9</v>
      </c>
      <c r="G1003">
        <v>1.5</v>
      </c>
      <c r="H1003">
        <f t="shared" si="45"/>
        <v>926.42335561758694</v>
      </c>
      <c r="I1003">
        <f t="shared" si="46"/>
        <v>3094.6733556175868</v>
      </c>
      <c r="J1003">
        <f>SUMIFS(Transit_Clean[Quantity], Transit_Clean[Destination], A1003, Transit_Clean[Item_Code], B1003, Transit_Clean[SAP_Status], "In Transit")</f>
        <v>0</v>
      </c>
      <c r="K1003">
        <f t="shared" si="47"/>
        <v>1.5619047619047619</v>
      </c>
      <c r="L1003" t="str" cm="1">
        <f t="array" ref="L1003">_xlfn.IFS(C1003&lt;0,"DATO INVALIDO", C1003+J1003&lt;I1003,"PEDIR YA", C1003&lt;I1003,"EN CAMINO OK", TRUE,"SANO")</f>
        <v>PEDIR YA</v>
      </c>
    </row>
    <row r="1004" spans="1:12" x14ac:dyDescent="0.45">
      <c r="A1004" t="s">
        <v>1123</v>
      </c>
      <c r="B1004" t="s">
        <v>77</v>
      </c>
      <c r="C1004">
        <v>3318</v>
      </c>
      <c r="D1004">
        <v>516.1</v>
      </c>
      <c r="E1004">
        <v>135.30000000000001</v>
      </c>
      <c r="F1004">
        <v>1.4</v>
      </c>
      <c r="G1004">
        <v>0.3</v>
      </c>
      <c r="H1004">
        <f t="shared" si="45"/>
        <v>367.47561478994766</v>
      </c>
      <c r="I1004">
        <f t="shared" si="46"/>
        <v>1090.0156147899477</v>
      </c>
      <c r="J1004">
        <f>SUMIFS(Transit_Clean[Quantity], Transit_Clean[Destination], A1004, Transit_Clean[Item_Code], B1004, Transit_Clean[SAP_Status], "In Transit")</f>
        <v>0</v>
      </c>
      <c r="K1004">
        <f t="shared" si="47"/>
        <v>6.428986630497965</v>
      </c>
      <c r="L1004" t="str" cm="1">
        <f t="array" ref="L1004">_xlfn.IFS(C1004&lt;0,"DATO INVALIDO", C1004+J1004&lt;I1004,"PEDIR YA", C1004&lt;I1004,"EN CAMINO OK", TRUE,"SANO")</f>
        <v>SANO</v>
      </c>
    </row>
    <row r="1005" spans="1:12" x14ac:dyDescent="0.45">
      <c r="A1005" t="s">
        <v>1124</v>
      </c>
      <c r="B1005" t="s">
        <v>33</v>
      </c>
      <c r="C1005">
        <v>4260</v>
      </c>
      <c r="D1005">
        <v>382.7</v>
      </c>
      <c r="E1005">
        <v>43.7</v>
      </c>
      <c r="F1005">
        <v>1.2</v>
      </c>
      <c r="G1005">
        <v>0.3</v>
      </c>
      <c r="H1005">
        <f t="shared" si="45"/>
        <v>205.24411017675999</v>
      </c>
      <c r="I1005">
        <f t="shared" si="46"/>
        <v>664.48411017675994</v>
      </c>
      <c r="J1005">
        <f>SUMIFS(Transit_Clean[Quantity], Transit_Clean[Destination], A1005, Transit_Clean[Item_Code], B1005, Transit_Clean[SAP_Status], "In Transit")</f>
        <v>0</v>
      </c>
      <c r="K1005">
        <f t="shared" si="47"/>
        <v>11.131434544029267</v>
      </c>
      <c r="L1005" t="str" cm="1">
        <f t="array" ref="L1005">_xlfn.IFS(C1005&lt;0,"DATO INVALIDO", C1005+J1005&lt;I1005,"PEDIR YA", C1005&lt;I1005,"EN CAMINO OK", TRUE,"SANO")</f>
        <v>SANO</v>
      </c>
    </row>
    <row r="1006" spans="1:12" x14ac:dyDescent="0.45">
      <c r="A1006" t="s">
        <v>1114</v>
      </c>
      <c r="B1006" t="s">
        <v>1131</v>
      </c>
      <c r="C1006">
        <v>3718</v>
      </c>
      <c r="D1006">
        <v>265.39999999999998</v>
      </c>
      <c r="E1006">
        <v>185.5</v>
      </c>
      <c r="F1006">
        <v>6.3</v>
      </c>
      <c r="G1006">
        <v>1.3</v>
      </c>
      <c r="H1006">
        <f t="shared" si="45"/>
        <v>956.17944943744737</v>
      </c>
      <c r="I1006">
        <f t="shared" si="46"/>
        <v>2628.1994494374471</v>
      </c>
      <c r="J1006">
        <f>SUMIFS(Transit_Clean[Quantity], Transit_Clean[Destination], A1006, Transit_Clean[Item_Code], B1006, Transit_Clean[SAP_Status], "In Transit")</f>
        <v>1017</v>
      </c>
      <c r="K1006">
        <f t="shared" si="47"/>
        <v>14.009042954031651</v>
      </c>
      <c r="L1006" t="str" cm="1">
        <f t="array" ref="L1006">_xlfn.IFS(C1006&lt;0,"DATO INVALIDO", C1006+J1006&lt;I1006,"PEDIR YA", C1006&lt;I1006,"EN CAMINO OK", TRUE,"SANO")</f>
        <v>SANO</v>
      </c>
    </row>
    <row r="1007" spans="1:12" x14ac:dyDescent="0.45">
      <c r="A1007" t="s">
        <v>1115</v>
      </c>
      <c r="B1007" t="s">
        <v>1132</v>
      </c>
      <c r="C1007">
        <v>953</v>
      </c>
      <c r="D1007">
        <v>310.5</v>
      </c>
      <c r="E1007">
        <v>43</v>
      </c>
      <c r="F1007">
        <v>1.1000000000000001</v>
      </c>
      <c r="G1007">
        <v>0.6</v>
      </c>
      <c r="H1007">
        <f t="shared" si="45"/>
        <v>316.2735821642396</v>
      </c>
      <c r="I1007">
        <f t="shared" si="46"/>
        <v>657.82358216423961</v>
      </c>
      <c r="J1007">
        <f>SUMIFS(Transit_Clean[Quantity], Transit_Clean[Destination], A1007, Transit_Clean[Item_Code], B1007, Transit_Clean[SAP_Status], "In Transit")</f>
        <v>380</v>
      </c>
      <c r="K1007">
        <f t="shared" si="47"/>
        <v>3.0692431561996778</v>
      </c>
      <c r="L1007" t="str" cm="1">
        <f t="array" ref="L1007">_xlfn.IFS(C1007&lt;0,"DATO INVALIDO", C1007+J1007&lt;I1007,"PEDIR YA", C1007&lt;I1007,"EN CAMINO OK", TRUE,"SANO")</f>
        <v>SANO</v>
      </c>
    </row>
    <row r="1008" spans="1:12" x14ac:dyDescent="0.45">
      <c r="A1008" t="s">
        <v>1117</v>
      </c>
      <c r="B1008" t="s">
        <v>88</v>
      </c>
      <c r="C1008">
        <v>1288</v>
      </c>
      <c r="D1008">
        <v>180.2</v>
      </c>
      <c r="E1008">
        <v>74.3</v>
      </c>
      <c r="F1008">
        <v>2.9</v>
      </c>
      <c r="G1008">
        <v>0.5</v>
      </c>
      <c r="H1008">
        <f t="shared" si="45"/>
        <v>256.2946173791014</v>
      </c>
      <c r="I1008">
        <f t="shared" si="46"/>
        <v>778.87461737910132</v>
      </c>
      <c r="J1008">
        <f>SUMIFS(Transit_Clean[Quantity], Transit_Clean[Destination], A1008, Transit_Clean[Item_Code], B1008, Transit_Clean[SAP_Status], "In Transit")</f>
        <v>0</v>
      </c>
      <c r="K1008">
        <f t="shared" si="47"/>
        <v>7.1476137624861273</v>
      </c>
      <c r="L1008" t="str" cm="1">
        <f t="array" ref="L1008">_xlfn.IFS(C1008&lt;0,"DATO INVALIDO", C1008+J1008&lt;I1008,"PEDIR YA", C1008&lt;I1008,"EN CAMINO OK", TRUE,"SANO")</f>
        <v>SANO</v>
      </c>
    </row>
    <row r="1009" spans="1:12" x14ac:dyDescent="0.45">
      <c r="A1009" t="s">
        <v>1123</v>
      </c>
      <c r="B1009" t="s">
        <v>48</v>
      </c>
      <c r="C1009">
        <v>13087</v>
      </c>
      <c r="D1009">
        <v>793.1</v>
      </c>
      <c r="E1009">
        <v>169.4</v>
      </c>
      <c r="F1009">
        <v>1.4</v>
      </c>
      <c r="G1009">
        <v>0.3</v>
      </c>
      <c r="H1009">
        <f t="shared" si="45"/>
        <v>513.32130851957618</v>
      </c>
      <c r="I1009">
        <f t="shared" si="46"/>
        <v>1623.6613085195761</v>
      </c>
      <c r="J1009">
        <f>SUMIFS(Transit_Clean[Quantity], Transit_Clean[Destination], A1009, Transit_Clean[Item_Code], B1009, Transit_Clean[SAP_Status], "In Transit")</f>
        <v>0</v>
      </c>
      <c r="K1009">
        <f t="shared" si="47"/>
        <v>16.501071743790188</v>
      </c>
      <c r="L1009" t="str" cm="1">
        <f t="array" ref="L1009">_xlfn.IFS(C1009&lt;0,"DATO INVALIDO", C1009+J1009&lt;I1009,"PEDIR YA", C1009&lt;I1009,"EN CAMINO OK", TRUE,"SANO")</f>
        <v>SANO</v>
      </c>
    </row>
    <row r="1010" spans="1:12" x14ac:dyDescent="0.45">
      <c r="A1010" t="s">
        <v>1116</v>
      </c>
      <c r="B1010" t="s">
        <v>1138</v>
      </c>
      <c r="C1010">
        <v>14152</v>
      </c>
      <c r="D1010">
        <v>989.1</v>
      </c>
      <c r="E1010">
        <v>263</v>
      </c>
      <c r="F1010">
        <v>5.6</v>
      </c>
      <c r="G1010">
        <v>1.6</v>
      </c>
      <c r="H1010">
        <f t="shared" si="45"/>
        <v>2805.8940379451255</v>
      </c>
      <c r="I1010">
        <f t="shared" si="46"/>
        <v>8344.854037945126</v>
      </c>
      <c r="J1010">
        <f>SUMIFS(Transit_Clean[Quantity], Transit_Clean[Destination], A1010, Transit_Clean[Item_Code], B1010, Transit_Clean[SAP_Status], "In Transit")</f>
        <v>5483</v>
      </c>
      <c r="K1010">
        <f t="shared" si="47"/>
        <v>14.307956728338894</v>
      </c>
      <c r="L1010" t="str" cm="1">
        <f t="array" ref="L1010">_xlfn.IFS(C1010&lt;0,"DATO INVALIDO", C1010+J1010&lt;I1010,"PEDIR YA", C1010&lt;I1010,"EN CAMINO OK", TRUE,"SANO")</f>
        <v>SANO</v>
      </c>
    </row>
    <row r="1011" spans="1:12" x14ac:dyDescent="0.45">
      <c r="A1011" t="s">
        <v>1115</v>
      </c>
      <c r="B1011" t="s">
        <v>72</v>
      </c>
      <c r="C1011">
        <v>2297</v>
      </c>
      <c r="D1011">
        <v>495.6</v>
      </c>
      <c r="E1011">
        <v>55.2</v>
      </c>
      <c r="F1011">
        <v>2.2000000000000002</v>
      </c>
      <c r="G1011">
        <v>0.6</v>
      </c>
      <c r="H1011">
        <f t="shared" si="45"/>
        <v>508.902525849499</v>
      </c>
      <c r="I1011">
        <f t="shared" si="46"/>
        <v>1599.2225258494991</v>
      </c>
      <c r="J1011">
        <f>SUMIFS(Transit_Clean[Quantity], Transit_Clean[Destination], A1011, Transit_Clean[Item_Code], B1011, Transit_Clean[SAP_Status], "In Transit")</f>
        <v>0</v>
      </c>
      <c r="K1011">
        <f t="shared" si="47"/>
        <v>4.6347861178369651</v>
      </c>
      <c r="L1011" t="str" cm="1">
        <f t="array" ref="L1011">_xlfn.IFS(C1011&lt;0,"DATO INVALIDO", C1011+J1011&lt;I1011,"PEDIR YA", C1011&lt;I1011,"EN CAMINO OK", TRUE,"SANO")</f>
        <v>SANO</v>
      </c>
    </row>
    <row r="1012" spans="1:12" x14ac:dyDescent="0.45">
      <c r="A1012" t="s">
        <v>1120</v>
      </c>
      <c r="B1012" t="s">
        <v>58</v>
      </c>
      <c r="C1012">
        <v>951</v>
      </c>
      <c r="D1012">
        <v>443.6</v>
      </c>
      <c r="E1012">
        <v>64.2</v>
      </c>
      <c r="F1012">
        <v>2.5</v>
      </c>
      <c r="G1012">
        <v>0.5</v>
      </c>
      <c r="H1012">
        <f t="shared" si="45"/>
        <v>402.47602804390721</v>
      </c>
      <c r="I1012">
        <f t="shared" si="46"/>
        <v>1511.4760280439073</v>
      </c>
      <c r="J1012">
        <f>SUMIFS(Transit_Clean[Quantity], Transit_Clean[Destination], A1012, Transit_Clean[Item_Code], B1012, Transit_Clean[SAP_Status], "In Transit")</f>
        <v>0</v>
      </c>
      <c r="K1012">
        <f t="shared" si="47"/>
        <v>2.1438232642019837</v>
      </c>
      <c r="L1012" t="str" cm="1">
        <f t="array" ref="L1012">_xlfn.IFS(C1012&lt;0,"DATO INVALIDO", C1012+J1012&lt;I1012,"PEDIR YA", C1012&lt;I1012,"EN CAMINO OK", TRUE,"SANO")</f>
        <v>PEDIR YA</v>
      </c>
    </row>
    <row r="1013" spans="1:12" x14ac:dyDescent="0.45">
      <c r="A1013" t="s">
        <v>1116</v>
      </c>
      <c r="B1013" t="s">
        <v>72</v>
      </c>
      <c r="C1013">
        <v>423</v>
      </c>
      <c r="D1013">
        <v>265.60000000000002</v>
      </c>
      <c r="E1013">
        <v>32</v>
      </c>
      <c r="F1013">
        <v>8.6</v>
      </c>
      <c r="G1013">
        <v>1.6</v>
      </c>
      <c r="H1013">
        <f t="shared" si="45"/>
        <v>718.0768941109302</v>
      </c>
      <c r="I1013">
        <f t="shared" si="46"/>
        <v>3002.2368941109307</v>
      </c>
      <c r="J1013">
        <f>SUMIFS(Transit_Clean[Quantity], Transit_Clean[Destination], A1013, Transit_Clean[Item_Code], B1013, Transit_Clean[SAP_Status], "In Transit")</f>
        <v>0</v>
      </c>
      <c r="K1013">
        <f t="shared" si="47"/>
        <v>1.5926204819277108</v>
      </c>
      <c r="L1013" t="str" cm="1">
        <f t="array" ref="L1013">_xlfn.IFS(C1013&lt;0,"DATO INVALIDO", C1013+J1013&lt;I1013,"PEDIR YA", C1013&lt;I1013,"EN CAMINO OK", TRUE,"SANO")</f>
        <v>PEDIR YA</v>
      </c>
    </row>
    <row r="1014" spans="1:12" x14ac:dyDescent="0.45">
      <c r="A1014" t="s">
        <v>1118</v>
      </c>
      <c r="B1014" t="s">
        <v>108</v>
      </c>
      <c r="C1014">
        <v>2813</v>
      </c>
      <c r="D1014">
        <v>276.7</v>
      </c>
      <c r="E1014">
        <v>40.1</v>
      </c>
      <c r="F1014">
        <v>4.7</v>
      </c>
      <c r="G1014">
        <v>1.5</v>
      </c>
      <c r="H1014">
        <f t="shared" si="45"/>
        <v>699.69368084451776</v>
      </c>
      <c r="I1014">
        <f t="shared" si="46"/>
        <v>2000.1836808445178</v>
      </c>
      <c r="J1014">
        <f>SUMIFS(Transit_Clean[Quantity], Transit_Clean[Destination], A1014, Transit_Clean[Item_Code], B1014, Transit_Clean[SAP_Status], "In Transit")</f>
        <v>0</v>
      </c>
      <c r="K1014">
        <f t="shared" si="47"/>
        <v>10.166245030719191</v>
      </c>
      <c r="L1014" t="str" cm="1">
        <f t="array" ref="L1014">_xlfn.IFS(C1014&lt;0,"DATO INVALIDO", C1014+J1014&lt;I1014,"PEDIR YA", C1014&lt;I1014,"EN CAMINO OK", TRUE,"SANO")</f>
        <v>SANO</v>
      </c>
    </row>
    <row r="1015" spans="1:12" x14ac:dyDescent="0.45">
      <c r="A1015" t="s">
        <v>1123</v>
      </c>
      <c r="B1015" t="s">
        <v>76</v>
      </c>
      <c r="C1015">
        <v>8285</v>
      </c>
      <c r="D1015">
        <v>799</v>
      </c>
      <c r="E1015">
        <v>128.69999999999999</v>
      </c>
      <c r="F1015">
        <v>1.1000000000000001</v>
      </c>
      <c r="G1015">
        <v>0.3</v>
      </c>
      <c r="H1015">
        <f t="shared" si="45"/>
        <v>453.90342106278507</v>
      </c>
      <c r="I1015">
        <f t="shared" si="46"/>
        <v>1332.8034210627852</v>
      </c>
      <c r="J1015">
        <f>SUMIFS(Transit_Clean[Quantity], Transit_Clean[Destination], A1015, Transit_Clean[Item_Code], B1015, Transit_Clean[SAP_Status], "In Transit")</f>
        <v>0</v>
      </c>
      <c r="K1015">
        <f t="shared" si="47"/>
        <v>10.36921151439299</v>
      </c>
      <c r="L1015" t="str" cm="1">
        <f t="array" ref="L1015">_xlfn.IFS(C1015&lt;0,"DATO INVALIDO", C1015+J1015&lt;I1015,"PEDIR YA", C1015&lt;I1015,"EN CAMINO OK", TRUE,"SANO")</f>
        <v>SANO</v>
      </c>
    </row>
    <row r="1016" spans="1:12" x14ac:dyDescent="0.45">
      <c r="A1016" t="s">
        <v>1121</v>
      </c>
      <c r="B1016" t="s">
        <v>78</v>
      </c>
      <c r="C1016">
        <v>880</v>
      </c>
      <c r="D1016">
        <v>306.3</v>
      </c>
      <c r="E1016">
        <v>99.9</v>
      </c>
      <c r="F1016">
        <v>2.2999999999999998</v>
      </c>
      <c r="G1016">
        <v>0.4</v>
      </c>
      <c r="H1016">
        <f t="shared" si="45"/>
        <v>321.49678782454424</v>
      </c>
      <c r="I1016">
        <f t="shared" si="46"/>
        <v>1025.9867878245443</v>
      </c>
      <c r="J1016">
        <f>SUMIFS(Transit_Clean[Quantity], Transit_Clean[Destination], A1016, Transit_Clean[Item_Code], B1016, Transit_Clean[SAP_Status], "In Transit")</f>
        <v>3719</v>
      </c>
      <c r="K1016">
        <f t="shared" si="47"/>
        <v>2.8730003264773099</v>
      </c>
      <c r="L1016" t="str" cm="1">
        <f t="array" ref="L1016">_xlfn.IFS(C1016&lt;0,"DATO INVALIDO", C1016+J1016&lt;I1016,"PEDIR YA", C1016&lt;I1016,"EN CAMINO OK", TRUE,"SANO")</f>
        <v>EN CAMINO OK</v>
      </c>
    </row>
    <row r="1017" spans="1:12" x14ac:dyDescent="0.45">
      <c r="A1017" t="s">
        <v>1117</v>
      </c>
      <c r="B1017" t="s">
        <v>70</v>
      </c>
      <c r="C1017">
        <v>4328</v>
      </c>
      <c r="D1017">
        <v>286.60000000000002</v>
      </c>
      <c r="E1017">
        <v>53.1</v>
      </c>
      <c r="F1017">
        <v>1.7</v>
      </c>
      <c r="G1017">
        <v>0.5</v>
      </c>
      <c r="H1017">
        <f t="shared" si="45"/>
        <v>262.59493142004857</v>
      </c>
      <c r="I1017">
        <f t="shared" si="46"/>
        <v>749.81493142004865</v>
      </c>
      <c r="J1017">
        <f>SUMIFS(Transit_Clean[Quantity], Transit_Clean[Destination], A1017, Transit_Clean[Item_Code], B1017, Transit_Clean[SAP_Status], "In Transit")</f>
        <v>1435</v>
      </c>
      <c r="K1017">
        <f t="shared" si="47"/>
        <v>15.101186322400556</v>
      </c>
      <c r="L1017" t="str" cm="1">
        <f t="array" ref="L1017">_xlfn.IFS(C1017&lt;0,"DATO INVALIDO", C1017+J1017&lt;I1017,"PEDIR YA", C1017&lt;I1017,"EN CAMINO OK", TRUE,"SANO")</f>
        <v>SANO</v>
      </c>
    </row>
    <row r="1018" spans="1:12" x14ac:dyDescent="0.45">
      <c r="A1018" t="s">
        <v>1121</v>
      </c>
      <c r="B1018" t="s">
        <v>29</v>
      </c>
      <c r="C1018">
        <v>11536</v>
      </c>
      <c r="D1018">
        <v>662.4</v>
      </c>
      <c r="E1018">
        <v>111.8</v>
      </c>
      <c r="F1018">
        <v>1.3</v>
      </c>
      <c r="G1018">
        <v>0.4</v>
      </c>
      <c r="H1018">
        <f t="shared" si="45"/>
        <v>485.14717872620884</v>
      </c>
      <c r="I1018">
        <f t="shared" si="46"/>
        <v>1346.2671787262088</v>
      </c>
      <c r="J1018">
        <f>SUMIFS(Transit_Clean[Quantity], Transit_Clean[Destination], A1018, Transit_Clean[Item_Code], B1018, Transit_Clean[SAP_Status], "In Transit")</f>
        <v>3190</v>
      </c>
      <c r="K1018">
        <f t="shared" si="47"/>
        <v>17.415458937198068</v>
      </c>
      <c r="L1018" t="str" cm="1">
        <f t="array" ref="L1018">_xlfn.IFS(C1018&lt;0,"DATO INVALIDO", C1018+J1018&lt;I1018,"PEDIR YA", C1018&lt;I1018,"EN CAMINO OK", TRUE,"SANO")</f>
        <v>SANO</v>
      </c>
    </row>
    <row r="1019" spans="1:12" x14ac:dyDescent="0.45">
      <c r="A1019" t="s">
        <v>1115</v>
      </c>
      <c r="B1019" t="s">
        <v>85</v>
      </c>
      <c r="C1019">
        <v>3805</v>
      </c>
      <c r="D1019">
        <v>227.1</v>
      </c>
      <c r="E1019">
        <v>144</v>
      </c>
      <c r="F1019">
        <v>1.6</v>
      </c>
      <c r="G1019">
        <v>0.6</v>
      </c>
      <c r="H1019">
        <f t="shared" si="45"/>
        <v>375.33198004033704</v>
      </c>
      <c r="I1019">
        <f t="shared" si="46"/>
        <v>738.69198004033706</v>
      </c>
      <c r="J1019">
        <f>SUMIFS(Transit_Clean[Quantity], Transit_Clean[Destination], A1019, Transit_Clean[Item_Code], B1019, Transit_Clean[SAP_Status], "In Transit")</f>
        <v>2716</v>
      </c>
      <c r="K1019">
        <f t="shared" si="47"/>
        <v>16.754733597534127</v>
      </c>
      <c r="L1019" t="str" cm="1">
        <f t="array" ref="L1019">_xlfn.IFS(C1019&lt;0,"DATO INVALIDO", C1019+J1019&lt;I1019,"PEDIR YA", C1019&lt;I1019,"EN CAMINO OK", TRUE,"SANO")</f>
        <v>SANO</v>
      </c>
    </row>
    <row r="1020" spans="1:12" x14ac:dyDescent="0.45">
      <c r="A1020" t="s">
        <v>1121</v>
      </c>
      <c r="B1020" t="s">
        <v>96</v>
      </c>
      <c r="C1020">
        <v>10381</v>
      </c>
      <c r="D1020">
        <v>664.7</v>
      </c>
      <c r="E1020">
        <v>125.1</v>
      </c>
      <c r="F1020">
        <v>2</v>
      </c>
      <c r="G1020">
        <v>0.4</v>
      </c>
      <c r="H1020">
        <f t="shared" si="45"/>
        <v>526.94757733004155</v>
      </c>
      <c r="I1020">
        <f t="shared" si="46"/>
        <v>1856.3475773300415</v>
      </c>
      <c r="J1020">
        <f>SUMIFS(Transit_Clean[Quantity], Transit_Clean[Destination], A1020, Transit_Clean[Item_Code], B1020, Transit_Clean[SAP_Status], "In Transit")</f>
        <v>0</v>
      </c>
      <c r="K1020">
        <f t="shared" si="47"/>
        <v>15.617571836918909</v>
      </c>
      <c r="L1020" t="str" cm="1">
        <f t="array" ref="L1020">_xlfn.IFS(C1020&lt;0,"DATO INVALIDO", C1020+J1020&lt;I1020,"PEDIR YA", C1020&lt;I1020,"EN CAMINO OK", TRUE,"SANO")</f>
        <v>SANO</v>
      </c>
    </row>
    <row r="1021" spans="1:12" x14ac:dyDescent="0.45">
      <c r="A1021" t="s">
        <v>1116</v>
      </c>
      <c r="B1021" t="s">
        <v>97</v>
      </c>
      <c r="C1021">
        <v>3150</v>
      </c>
      <c r="D1021">
        <v>378.7</v>
      </c>
      <c r="E1021">
        <v>250.7</v>
      </c>
      <c r="F1021">
        <v>4</v>
      </c>
      <c r="G1021">
        <v>1.6</v>
      </c>
      <c r="H1021">
        <f t="shared" si="45"/>
        <v>1297.6817367613678</v>
      </c>
      <c r="I1021">
        <f t="shared" si="46"/>
        <v>2812.4817367613678</v>
      </c>
      <c r="J1021">
        <f>SUMIFS(Transit_Clean[Quantity], Transit_Clean[Destination], A1021, Transit_Clean[Item_Code], B1021, Transit_Clean[SAP_Status], "In Transit")</f>
        <v>0</v>
      </c>
      <c r="K1021">
        <f t="shared" si="47"/>
        <v>8.317929759704251</v>
      </c>
      <c r="L1021" t="str" cm="1">
        <f t="array" ref="L1021">_xlfn.IFS(C1021&lt;0,"DATO INVALIDO", C1021+J1021&lt;I1021,"PEDIR YA", C1021&lt;I1021,"EN CAMINO OK", TRUE,"SANO")</f>
        <v>SANO</v>
      </c>
    </row>
    <row r="1022" spans="1:12" x14ac:dyDescent="0.45">
      <c r="A1022" t="s">
        <v>1118</v>
      </c>
      <c r="B1022" t="s">
        <v>8</v>
      </c>
      <c r="C1022">
        <v>4471</v>
      </c>
      <c r="D1022">
        <v>449.5</v>
      </c>
      <c r="E1022">
        <v>85.7</v>
      </c>
      <c r="F1022">
        <v>7.1</v>
      </c>
      <c r="G1022">
        <v>1.5</v>
      </c>
      <c r="H1022">
        <f t="shared" si="45"/>
        <v>1174.5855516878069</v>
      </c>
      <c r="I1022">
        <f t="shared" si="46"/>
        <v>4366.0355516878062</v>
      </c>
      <c r="J1022">
        <f>SUMIFS(Transit_Clean[Quantity], Transit_Clean[Destination], A1022, Transit_Clean[Item_Code], B1022, Transit_Clean[SAP_Status], "In Transit")</f>
        <v>0</v>
      </c>
      <c r="K1022">
        <f t="shared" si="47"/>
        <v>9.9466073414905445</v>
      </c>
      <c r="L1022" t="str" cm="1">
        <f t="array" ref="L1022">_xlfn.IFS(C1022&lt;0,"DATO INVALIDO", C1022+J1022&lt;I1022,"PEDIR YA", C1022&lt;I1022,"EN CAMINO OK", TRUE,"SANO")</f>
        <v>SANO</v>
      </c>
    </row>
    <row r="1023" spans="1:12" x14ac:dyDescent="0.45">
      <c r="A1023" t="s">
        <v>1123</v>
      </c>
      <c r="B1023" t="s">
        <v>29</v>
      </c>
      <c r="C1023">
        <v>2901</v>
      </c>
      <c r="D1023">
        <v>379.1</v>
      </c>
      <c r="E1023">
        <v>83.2</v>
      </c>
      <c r="F1023">
        <v>1.3</v>
      </c>
      <c r="G1023">
        <v>0.3</v>
      </c>
      <c r="H1023">
        <f t="shared" si="45"/>
        <v>244.36396888708859</v>
      </c>
      <c r="I1023">
        <f t="shared" si="46"/>
        <v>737.19396888708866</v>
      </c>
      <c r="J1023">
        <f>SUMIFS(Transit_Clean[Quantity], Transit_Clean[Destination], A1023, Transit_Clean[Item_Code], B1023, Transit_Clean[SAP_Status], "In Transit")</f>
        <v>1625</v>
      </c>
      <c r="K1023">
        <f t="shared" si="47"/>
        <v>7.6523344763914531</v>
      </c>
      <c r="L1023" t="str" cm="1">
        <f t="array" ref="L1023">_xlfn.IFS(C1023&lt;0,"DATO INVALIDO", C1023+J1023&lt;I1023,"PEDIR YA", C1023&lt;I1023,"EN CAMINO OK", TRUE,"SANO")</f>
        <v>SANO</v>
      </c>
    </row>
    <row r="1024" spans="1:12" x14ac:dyDescent="0.45">
      <c r="A1024" t="s">
        <v>1124</v>
      </c>
      <c r="B1024" t="s">
        <v>63</v>
      </c>
      <c r="C1024">
        <v>5420</v>
      </c>
      <c r="D1024">
        <v>568.5</v>
      </c>
      <c r="E1024">
        <v>106.3</v>
      </c>
      <c r="F1024">
        <v>1.1000000000000001</v>
      </c>
      <c r="G1024">
        <v>0.3</v>
      </c>
      <c r="H1024">
        <f t="shared" si="45"/>
        <v>336.19923807728952</v>
      </c>
      <c r="I1024">
        <f t="shared" si="46"/>
        <v>961.5492380772896</v>
      </c>
      <c r="J1024">
        <f>SUMIFS(Transit_Clean[Quantity], Transit_Clean[Destination], A1024, Transit_Clean[Item_Code], B1024, Transit_Clean[SAP_Status], "In Transit")</f>
        <v>2563</v>
      </c>
      <c r="K1024">
        <f t="shared" si="47"/>
        <v>9.5338610378188218</v>
      </c>
      <c r="L1024" t="str" cm="1">
        <f t="array" ref="L1024">_xlfn.IFS(C1024&lt;0,"DATO INVALIDO", C1024+J1024&lt;I1024,"PEDIR YA", C1024&lt;I1024,"EN CAMINO OK", TRUE,"SANO")</f>
        <v>SANO</v>
      </c>
    </row>
    <row r="1025" spans="1:12" x14ac:dyDescent="0.45">
      <c r="A1025" t="s">
        <v>1120</v>
      </c>
      <c r="B1025" t="s">
        <v>1141</v>
      </c>
      <c r="C1025">
        <v>2418</v>
      </c>
      <c r="D1025">
        <v>356.5</v>
      </c>
      <c r="E1025">
        <v>43.6</v>
      </c>
      <c r="F1025">
        <v>2</v>
      </c>
      <c r="G1025">
        <v>0.5</v>
      </c>
      <c r="H1025">
        <f t="shared" si="45"/>
        <v>311.21196933320221</v>
      </c>
      <c r="I1025">
        <f t="shared" si="46"/>
        <v>1024.2119693332022</v>
      </c>
      <c r="J1025">
        <f>SUMIFS(Transit_Clean[Quantity], Transit_Clean[Destination], A1025, Transit_Clean[Item_Code], B1025, Transit_Clean[SAP_Status], "In Transit")</f>
        <v>0</v>
      </c>
      <c r="K1025">
        <f t="shared" si="47"/>
        <v>6.7826086956521738</v>
      </c>
      <c r="L1025" t="str" cm="1">
        <f t="array" ref="L1025">_xlfn.IFS(C1025&lt;0,"DATO INVALIDO", C1025+J1025&lt;I1025,"PEDIR YA", C1025&lt;I1025,"EN CAMINO OK", TRUE,"SANO")</f>
        <v>SANO</v>
      </c>
    </row>
    <row r="1026" spans="1:12" x14ac:dyDescent="0.45">
      <c r="A1026" t="s">
        <v>1117</v>
      </c>
      <c r="B1026" t="s">
        <v>47</v>
      </c>
      <c r="C1026">
        <v>8519</v>
      </c>
      <c r="D1026">
        <v>548.9</v>
      </c>
      <c r="E1026">
        <v>67.900000000000006</v>
      </c>
      <c r="F1026">
        <v>2.4</v>
      </c>
      <c r="G1026">
        <v>0.5</v>
      </c>
      <c r="H1026">
        <f t="shared" si="45"/>
        <v>484.96468814363169</v>
      </c>
      <c r="I1026">
        <f t="shared" si="46"/>
        <v>1802.3246881436316</v>
      </c>
      <c r="J1026">
        <f>SUMIFS(Transit_Clean[Quantity], Transit_Clean[Destination], A1026, Transit_Clean[Item_Code], B1026, Transit_Clean[SAP_Status], "In Transit")</f>
        <v>1446</v>
      </c>
      <c r="K1026">
        <f t="shared" si="47"/>
        <v>15.520131171433777</v>
      </c>
      <c r="L1026" t="str" cm="1">
        <f t="array" ref="L1026">_xlfn.IFS(C1026&lt;0,"DATO INVALIDO", C1026+J1026&lt;I1026,"PEDIR YA", C1026&lt;I1026,"EN CAMINO OK", TRUE,"SANO")</f>
        <v>SANO</v>
      </c>
    </row>
    <row r="1027" spans="1:12" x14ac:dyDescent="0.45">
      <c r="A1027" t="s">
        <v>1125</v>
      </c>
      <c r="B1027" t="s">
        <v>55</v>
      </c>
      <c r="D1027">
        <v>546.79999999999995</v>
      </c>
      <c r="E1027">
        <v>135.4</v>
      </c>
      <c r="F1027">
        <v>3.1</v>
      </c>
      <c r="G1027">
        <v>1.2</v>
      </c>
      <c r="H1027">
        <f t="shared" ref="H1027:H1090" si="48">IFERROR(1.65*SQRT(F1027*E1027^2 + D1027^2*G1027^2), "")</f>
        <v>1151.906517042941</v>
      </c>
      <c r="I1027">
        <f t="shared" ref="I1027:I1090" si="49">IFERROR(D1027*F1027 + H1027, "")</f>
        <v>2846.9865170429412</v>
      </c>
      <c r="J1027">
        <f>SUMIFS(Transit_Clean[Quantity], Transit_Clean[Destination], A1027, Transit_Clean[Item_Code], B1027, Transit_Clean[SAP_Status], "In Transit")</f>
        <v>0</v>
      </c>
      <c r="K1027">
        <f t="shared" ref="K1027:K1090" si="50">IFERROR(C1027/D1027, "")</f>
        <v>0</v>
      </c>
      <c r="L1027" t="str" cm="1">
        <f t="array" ref="L1027">_xlfn.IFS(C1027&lt;0,"DATO INVALIDO", C1027+J1027&lt;I1027,"PEDIR YA", C1027&lt;I1027,"EN CAMINO OK", TRUE,"SANO")</f>
        <v>PEDIR YA</v>
      </c>
    </row>
    <row r="1028" spans="1:12" x14ac:dyDescent="0.45">
      <c r="A1028" t="s">
        <v>1117</v>
      </c>
      <c r="B1028" t="s">
        <v>44</v>
      </c>
      <c r="C1028">
        <v>3448</v>
      </c>
      <c r="D1028">
        <v>601.1</v>
      </c>
      <c r="E1028">
        <v>90.2</v>
      </c>
      <c r="F1028">
        <v>1.5</v>
      </c>
      <c r="G1028">
        <v>0.5</v>
      </c>
      <c r="H1028">
        <f t="shared" si="48"/>
        <v>528.34628976292629</v>
      </c>
      <c r="I1028">
        <f t="shared" si="49"/>
        <v>1429.9962897629264</v>
      </c>
      <c r="J1028">
        <f>SUMIFS(Transit_Clean[Quantity], Transit_Clean[Destination], A1028, Transit_Clean[Item_Code], B1028, Transit_Clean[SAP_Status], "In Transit")</f>
        <v>1527</v>
      </c>
      <c r="K1028">
        <f t="shared" si="50"/>
        <v>5.7361503909499252</v>
      </c>
      <c r="L1028" t="str" cm="1">
        <f t="array" ref="L1028">_xlfn.IFS(C1028&lt;0,"DATO INVALIDO", C1028+J1028&lt;I1028,"PEDIR YA", C1028&lt;I1028,"EN CAMINO OK", TRUE,"SANO")</f>
        <v>SANO</v>
      </c>
    </row>
    <row r="1029" spans="1:12" x14ac:dyDescent="0.45">
      <c r="A1029" t="s">
        <v>1116</v>
      </c>
      <c r="B1029" t="s">
        <v>1136</v>
      </c>
      <c r="C1029">
        <v>788</v>
      </c>
      <c r="D1029">
        <v>196.4</v>
      </c>
      <c r="E1029">
        <v>99.2</v>
      </c>
      <c r="F1029">
        <v>1.7</v>
      </c>
      <c r="G1029">
        <v>1.6</v>
      </c>
      <c r="H1029">
        <f t="shared" si="48"/>
        <v>560.6987106245208</v>
      </c>
      <c r="I1029">
        <f t="shared" si="49"/>
        <v>894.5787106245208</v>
      </c>
      <c r="J1029">
        <f>SUMIFS(Transit_Clean[Quantity], Transit_Clean[Destination], A1029, Transit_Clean[Item_Code], B1029, Transit_Clean[SAP_Status], "In Transit")</f>
        <v>0</v>
      </c>
      <c r="K1029">
        <f t="shared" si="50"/>
        <v>4.012219959266802</v>
      </c>
      <c r="L1029" t="str" cm="1">
        <f t="array" ref="L1029">_xlfn.IFS(C1029&lt;0,"DATO INVALIDO", C1029+J1029&lt;I1029,"PEDIR YA", C1029&lt;I1029,"EN CAMINO OK", TRUE,"SANO")</f>
        <v>PEDIR YA</v>
      </c>
    </row>
    <row r="1030" spans="1:12" x14ac:dyDescent="0.45">
      <c r="A1030" t="s">
        <v>1117</v>
      </c>
      <c r="B1030" t="s">
        <v>48</v>
      </c>
      <c r="C1030">
        <v>4772</v>
      </c>
      <c r="D1030">
        <v>271</v>
      </c>
      <c r="E1030">
        <v>62.8</v>
      </c>
      <c r="F1030">
        <v>1.6</v>
      </c>
      <c r="G1030">
        <v>0.5</v>
      </c>
      <c r="H1030">
        <f t="shared" si="48"/>
        <v>259.16239631744418</v>
      </c>
      <c r="I1030">
        <f t="shared" si="49"/>
        <v>692.7623963174442</v>
      </c>
      <c r="J1030">
        <f>SUMIFS(Transit_Clean[Quantity], Transit_Clean[Destination], A1030, Transit_Clean[Item_Code], B1030, Transit_Clean[SAP_Status], "In Transit")</f>
        <v>3722</v>
      </c>
      <c r="K1030">
        <f t="shared" si="50"/>
        <v>17.608856088560884</v>
      </c>
      <c r="L1030" t="str" cm="1">
        <f t="array" ref="L1030">_xlfn.IFS(C1030&lt;0,"DATO INVALIDO", C1030+J1030&lt;I1030,"PEDIR YA", C1030&lt;I1030,"EN CAMINO OK", TRUE,"SANO")</f>
        <v>SANO</v>
      </c>
    </row>
    <row r="1031" spans="1:12" x14ac:dyDescent="0.45">
      <c r="A1031" t="s">
        <v>1122</v>
      </c>
      <c r="B1031" t="s">
        <v>96</v>
      </c>
      <c r="C1031">
        <v>9272</v>
      </c>
      <c r="D1031">
        <v>726.7</v>
      </c>
      <c r="E1031">
        <v>152.5</v>
      </c>
      <c r="F1031">
        <v>0.9</v>
      </c>
      <c r="G1031">
        <v>0.2</v>
      </c>
      <c r="H1031">
        <f t="shared" si="48"/>
        <v>338.368057421944</v>
      </c>
      <c r="I1031">
        <f t="shared" si="49"/>
        <v>992.39805742194403</v>
      </c>
      <c r="J1031">
        <f>SUMIFS(Transit_Clean[Quantity], Transit_Clean[Destination], A1031, Transit_Clean[Item_Code], B1031, Transit_Clean[SAP_Status], "In Transit")</f>
        <v>1763</v>
      </c>
      <c r="K1031">
        <f t="shared" si="50"/>
        <v>12.759047750103205</v>
      </c>
      <c r="L1031" t="str" cm="1">
        <f t="array" ref="L1031">_xlfn.IFS(C1031&lt;0,"DATO INVALIDO", C1031+J1031&lt;I1031,"PEDIR YA", C1031&lt;I1031,"EN CAMINO OK", TRUE,"SANO")</f>
        <v>SANO</v>
      </c>
    </row>
    <row r="1032" spans="1:12" x14ac:dyDescent="0.45">
      <c r="A1032" t="s">
        <v>1118</v>
      </c>
      <c r="B1032" t="s">
        <v>107</v>
      </c>
      <c r="C1032">
        <v>706</v>
      </c>
      <c r="D1032">
        <v>151</v>
      </c>
      <c r="E1032">
        <v>92.5</v>
      </c>
      <c r="F1032">
        <v>2.4</v>
      </c>
      <c r="G1032">
        <v>1.5</v>
      </c>
      <c r="H1032">
        <f t="shared" si="48"/>
        <v>442.24078636530123</v>
      </c>
      <c r="I1032">
        <f t="shared" si="49"/>
        <v>804.64078636530121</v>
      </c>
      <c r="J1032">
        <f>SUMIFS(Transit_Clean[Quantity], Transit_Clean[Destination], A1032, Transit_Clean[Item_Code], B1032, Transit_Clean[SAP_Status], "In Transit")</f>
        <v>2368</v>
      </c>
      <c r="K1032">
        <f t="shared" si="50"/>
        <v>4.6754966887417222</v>
      </c>
      <c r="L1032" t="str" cm="1">
        <f t="array" ref="L1032">_xlfn.IFS(C1032&lt;0,"DATO INVALIDO", C1032+J1032&lt;I1032,"PEDIR YA", C1032&lt;I1032,"EN CAMINO OK", TRUE,"SANO")</f>
        <v>EN CAMINO OK</v>
      </c>
    </row>
    <row r="1033" spans="1:12" x14ac:dyDescent="0.45">
      <c r="A1033" t="s">
        <v>1121</v>
      </c>
      <c r="B1033" t="s">
        <v>97</v>
      </c>
      <c r="C1033">
        <v>1439</v>
      </c>
      <c r="D1033">
        <v>345.7</v>
      </c>
      <c r="E1033">
        <v>241.6</v>
      </c>
      <c r="F1033">
        <v>1.6</v>
      </c>
      <c r="G1033">
        <v>0.4</v>
      </c>
      <c r="H1033">
        <f t="shared" si="48"/>
        <v>553.46188450877082</v>
      </c>
      <c r="I1033">
        <f t="shared" si="49"/>
        <v>1106.5818845087708</v>
      </c>
      <c r="J1033">
        <f>SUMIFS(Transit_Clean[Quantity], Transit_Clean[Destination], A1033, Transit_Clean[Item_Code], B1033, Transit_Clean[SAP_Status], "In Transit")</f>
        <v>1026</v>
      </c>
      <c r="K1033">
        <f t="shared" si="50"/>
        <v>4.1625687011859993</v>
      </c>
      <c r="L1033" t="str" cm="1">
        <f t="array" ref="L1033">_xlfn.IFS(C1033&lt;0,"DATO INVALIDO", C1033+J1033&lt;I1033,"PEDIR YA", C1033&lt;I1033,"EN CAMINO OK", TRUE,"SANO")</f>
        <v>SANO</v>
      </c>
    </row>
    <row r="1034" spans="1:12" x14ac:dyDescent="0.45">
      <c r="A1034" t="s">
        <v>1118</v>
      </c>
      <c r="B1034" t="s">
        <v>29</v>
      </c>
      <c r="C1034">
        <v>11639</v>
      </c>
      <c r="D1034">
        <v>715.4</v>
      </c>
      <c r="E1034">
        <v>192</v>
      </c>
      <c r="F1034">
        <v>3.8</v>
      </c>
      <c r="G1034">
        <v>1.5</v>
      </c>
      <c r="H1034">
        <f t="shared" si="48"/>
        <v>1875.2210510297177</v>
      </c>
      <c r="I1034">
        <f t="shared" si="49"/>
        <v>4593.7410510297177</v>
      </c>
      <c r="J1034">
        <f>SUMIFS(Transit_Clean[Quantity], Transit_Clean[Destination], A1034, Transit_Clean[Item_Code], B1034, Transit_Clean[SAP_Status], "In Transit")</f>
        <v>0</v>
      </c>
      <c r="K1034">
        <f t="shared" si="50"/>
        <v>16.269220016773833</v>
      </c>
      <c r="L1034" t="str" cm="1">
        <f t="array" ref="L1034">_xlfn.IFS(C1034&lt;0,"DATO INVALIDO", C1034+J1034&lt;I1034,"PEDIR YA", C1034&lt;I1034,"EN CAMINO OK", TRUE,"SANO")</f>
        <v>SANO</v>
      </c>
    </row>
    <row r="1035" spans="1:12" x14ac:dyDescent="0.45">
      <c r="A1035" t="s">
        <v>1114</v>
      </c>
      <c r="B1035" t="s">
        <v>52</v>
      </c>
      <c r="C1035">
        <v>475</v>
      </c>
      <c r="D1035">
        <v>261.5</v>
      </c>
      <c r="E1035">
        <v>110.4</v>
      </c>
      <c r="F1035">
        <v>4.0999999999999996</v>
      </c>
      <c r="G1035">
        <v>1.3</v>
      </c>
      <c r="H1035">
        <f t="shared" si="48"/>
        <v>671.32386429073858</v>
      </c>
      <c r="I1035">
        <f t="shared" si="49"/>
        <v>1743.4738642907384</v>
      </c>
      <c r="J1035">
        <f>SUMIFS(Transit_Clean[Quantity], Transit_Clean[Destination], A1035, Transit_Clean[Item_Code], B1035, Transit_Clean[SAP_Status], "In Transit")</f>
        <v>0</v>
      </c>
      <c r="K1035">
        <f t="shared" si="50"/>
        <v>1.8164435946462716</v>
      </c>
      <c r="L1035" t="str" cm="1">
        <f t="array" ref="L1035">_xlfn.IFS(C1035&lt;0,"DATO INVALIDO", C1035+J1035&lt;I1035,"PEDIR YA", C1035&lt;I1035,"EN CAMINO OK", TRUE,"SANO")</f>
        <v>PEDIR YA</v>
      </c>
    </row>
    <row r="1036" spans="1:12" x14ac:dyDescent="0.45">
      <c r="A1036" t="s">
        <v>1114</v>
      </c>
      <c r="B1036" t="s">
        <v>91</v>
      </c>
      <c r="C1036">
        <v>6190</v>
      </c>
      <c r="D1036">
        <v>563.70000000000005</v>
      </c>
      <c r="E1036">
        <v>355.7</v>
      </c>
      <c r="F1036">
        <v>2.2999999999999998</v>
      </c>
      <c r="G1036">
        <v>1.3</v>
      </c>
      <c r="H1036">
        <f t="shared" si="48"/>
        <v>1501.4204199323219</v>
      </c>
      <c r="I1036">
        <f t="shared" si="49"/>
        <v>2797.9304199323219</v>
      </c>
      <c r="J1036">
        <f>SUMIFS(Transit_Clean[Quantity], Transit_Clean[Destination], A1036, Transit_Clean[Item_Code], B1036, Transit_Clean[SAP_Status], "In Transit")</f>
        <v>1444</v>
      </c>
      <c r="K1036">
        <f t="shared" si="50"/>
        <v>10.981018272130566</v>
      </c>
      <c r="L1036" t="str" cm="1">
        <f t="array" ref="L1036">_xlfn.IFS(C1036&lt;0,"DATO INVALIDO", C1036+J1036&lt;I1036,"PEDIR YA", C1036&lt;I1036,"EN CAMINO OK", TRUE,"SANO")</f>
        <v>SANO</v>
      </c>
    </row>
    <row r="1037" spans="1:12" x14ac:dyDescent="0.45">
      <c r="A1037" t="s">
        <v>1120</v>
      </c>
      <c r="B1037" t="s">
        <v>23</v>
      </c>
      <c r="C1037">
        <v>4332</v>
      </c>
      <c r="D1037">
        <v>268.8</v>
      </c>
      <c r="E1037">
        <v>90.9</v>
      </c>
      <c r="F1037">
        <v>2.2000000000000002</v>
      </c>
      <c r="G1037">
        <v>0.5</v>
      </c>
      <c r="H1037">
        <f t="shared" si="48"/>
        <v>314.11398901513445</v>
      </c>
      <c r="I1037">
        <f t="shared" si="49"/>
        <v>905.47398901513452</v>
      </c>
      <c r="J1037">
        <f>SUMIFS(Transit_Clean[Quantity], Transit_Clean[Destination], A1037, Transit_Clean[Item_Code], B1037, Transit_Clean[SAP_Status], "In Transit")</f>
        <v>0</v>
      </c>
      <c r="K1037">
        <f t="shared" si="50"/>
        <v>16.116071428571427</v>
      </c>
      <c r="L1037" t="str" cm="1">
        <f t="array" ref="L1037">_xlfn.IFS(C1037&lt;0,"DATO INVALIDO", C1037+J1037&lt;I1037,"PEDIR YA", C1037&lt;I1037,"EN CAMINO OK", TRUE,"SANO")</f>
        <v>SANO</v>
      </c>
    </row>
    <row r="1038" spans="1:12" x14ac:dyDescent="0.45">
      <c r="A1038" t="s">
        <v>1127</v>
      </c>
      <c r="B1038" t="s">
        <v>50</v>
      </c>
      <c r="C1038">
        <v>2003</v>
      </c>
      <c r="D1038">
        <v>283.60000000000002</v>
      </c>
      <c r="E1038">
        <v>85.6</v>
      </c>
      <c r="F1038">
        <v>3.1</v>
      </c>
      <c r="G1038">
        <v>0.9</v>
      </c>
      <c r="H1038">
        <f t="shared" si="48"/>
        <v>489.08592279475801</v>
      </c>
      <c r="I1038">
        <f t="shared" si="49"/>
        <v>1368.2459227947581</v>
      </c>
      <c r="J1038">
        <f>SUMIFS(Transit_Clean[Quantity], Transit_Clean[Destination], A1038, Transit_Clean[Item_Code], B1038, Transit_Clean[SAP_Status], "In Transit")</f>
        <v>2171</v>
      </c>
      <c r="K1038">
        <f t="shared" si="50"/>
        <v>7.0627644569816637</v>
      </c>
      <c r="L1038" t="str" cm="1">
        <f t="array" ref="L1038">_xlfn.IFS(C1038&lt;0,"DATO INVALIDO", C1038+J1038&lt;I1038,"PEDIR YA", C1038&lt;I1038,"EN CAMINO OK", TRUE,"SANO")</f>
        <v>SANO</v>
      </c>
    </row>
    <row r="1039" spans="1:12" x14ac:dyDescent="0.45">
      <c r="A1039" t="s">
        <v>1123</v>
      </c>
      <c r="B1039" t="s">
        <v>43</v>
      </c>
      <c r="C1039">
        <v>3006</v>
      </c>
      <c r="D1039">
        <v>683.5</v>
      </c>
      <c r="E1039">
        <v>343.5</v>
      </c>
      <c r="F1039">
        <v>1.4</v>
      </c>
      <c r="G1039">
        <v>0.3</v>
      </c>
      <c r="H1039">
        <f t="shared" si="48"/>
        <v>751.13004295611142</v>
      </c>
      <c r="I1039">
        <f t="shared" si="49"/>
        <v>1708.0300429561114</v>
      </c>
      <c r="J1039">
        <f>SUMIFS(Transit_Clean[Quantity], Transit_Clean[Destination], A1039, Transit_Clean[Item_Code], B1039, Transit_Clean[SAP_Status], "In Transit")</f>
        <v>4735</v>
      </c>
      <c r="K1039">
        <f t="shared" si="50"/>
        <v>4.3979517190929043</v>
      </c>
      <c r="L1039" t="str" cm="1">
        <f t="array" ref="L1039">_xlfn.IFS(C1039&lt;0,"DATO INVALIDO", C1039+J1039&lt;I1039,"PEDIR YA", C1039&lt;I1039,"EN CAMINO OK", TRUE,"SANO")</f>
        <v>SANO</v>
      </c>
    </row>
    <row r="1040" spans="1:12" x14ac:dyDescent="0.45">
      <c r="A1040" t="s">
        <v>1128</v>
      </c>
      <c r="B1040" t="s">
        <v>1134</v>
      </c>
      <c r="C1040">
        <v>2905</v>
      </c>
      <c r="D1040">
        <v>258.89999999999998</v>
      </c>
      <c r="E1040">
        <v>28.9</v>
      </c>
      <c r="F1040">
        <v>2.1</v>
      </c>
      <c r="G1040">
        <v>0.5</v>
      </c>
      <c r="H1040">
        <f t="shared" si="48"/>
        <v>224.49245071661093</v>
      </c>
      <c r="I1040">
        <f t="shared" si="49"/>
        <v>768.1824507166109</v>
      </c>
      <c r="J1040">
        <f>SUMIFS(Transit_Clean[Quantity], Transit_Clean[Destination], A1040, Transit_Clean[Item_Code], B1040, Transit_Clean[SAP_Status], "In Transit")</f>
        <v>1845</v>
      </c>
      <c r="K1040">
        <f t="shared" si="50"/>
        <v>11.220548474314407</v>
      </c>
      <c r="L1040" t="str" cm="1">
        <f t="array" ref="L1040">_xlfn.IFS(C1040&lt;0,"DATO INVALIDO", C1040+J1040&lt;I1040,"PEDIR YA", C1040&lt;I1040,"EN CAMINO OK", TRUE,"SANO")</f>
        <v>SANO</v>
      </c>
    </row>
    <row r="1041" spans="1:12" x14ac:dyDescent="0.45">
      <c r="A1041" t="s">
        <v>1126</v>
      </c>
      <c r="B1041" t="s">
        <v>81</v>
      </c>
      <c r="C1041">
        <v>2367</v>
      </c>
      <c r="D1041">
        <v>466</v>
      </c>
      <c r="E1041">
        <v>72.3</v>
      </c>
      <c r="F1041">
        <v>0.7</v>
      </c>
      <c r="G1041">
        <v>0.2</v>
      </c>
      <c r="H1041">
        <f t="shared" si="48"/>
        <v>183.33083842469057</v>
      </c>
      <c r="I1041">
        <f t="shared" si="49"/>
        <v>509.53083842469056</v>
      </c>
      <c r="J1041">
        <f>SUMIFS(Transit_Clean[Quantity], Transit_Clean[Destination], A1041, Transit_Clean[Item_Code], B1041, Transit_Clean[SAP_Status], "In Transit")</f>
        <v>1854</v>
      </c>
      <c r="K1041">
        <f t="shared" si="50"/>
        <v>5.0793991416309012</v>
      </c>
      <c r="L1041" t="str" cm="1">
        <f t="array" ref="L1041">_xlfn.IFS(C1041&lt;0,"DATO INVALIDO", C1041+J1041&lt;I1041,"PEDIR YA", C1041&lt;I1041,"EN CAMINO OK", TRUE,"SANO")</f>
        <v>SANO</v>
      </c>
    </row>
    <row r="1042" spans="1:12" x14ac:dyDescent="0.45">
      <c r="A1042" t="s">
        <v>1117</v>
      </c>
      <c r="B1042" t="s">
        <v>10</v>
      </c>
      <c r="C1042">
        <v>3970</v>
      </c>
      <c r="D1042">
        <v>310.2</v>
      </c>
      <c r="E1042">
        <v>46.5</v>
      </c>
      <c r="F1042">
        <v>2.2000000000000002</v>
      </c>
      <c r="G1042">
        <v>0.5</v>
      </c>
      <c r="H1042">
        <f t="shared" si="48"/>
        <v>280.07728147780921</v>
      </c>
      <c r="I1042">
        <f t="shared" si="49"/>
        <v>962.51728147780932</v>
      </c>
      <c r="J1042">
        <f>SUMIFS(Transit_Clean[Quantity], Transit_Clean[Destination], A1042, Transit_Clean[Item_Code], B1042, Transit_Clean[SAP_Status], "In Transit")</f>
        <v>0</v>
      </c>
      <c r="K1042">
        <f t="shared" si="50"/>
        <v>12.79819471308833</v>
      </c>
      <c r="L1042" t="str" cm="1">
        <f t="array" ref="L1042">_xlfn.IFS(C1042&lt;0,"DATO INVALIDO", C1042+J1042&lt;I1042,"PEDIR YA", C1042&lt;I1042,"EN CAMINO OK", TRUE,"SANO")</f>
        <v>SANO</v>
      </c>
    </row>
    <row r="1043" spans="1:12" x14ac:dyDescent="0.45">
      <c r="A1043" t="s">
        <v>1114</v>
      </c>
      <c r="B1043" t="s">
        <v>49</v>
      </c>
      <c r="C1043">
        <v>2021</v>
      </c>
      <c r="D1043">
        <v>222.7</v>
      </c>
      <c r="E1043">
        <v>42.2</v>
      </c>
      <c r="F1043">
        <v>3.8</v>
      </c>
      <c r="G1043">
        <v>1.3</v>
      </c>
      <c r="H1043">
        <f t="shared" si="48"/>
        <v>496.60129821845004</v>
      </c>
      <c r="I1043">
        <f t="shared" si="49"/>
        <v>1342.86129821845</v>
      </c>
      <c r="J1043">
        <f>SUMIFS(Transit_Clean[Quantity], Transit_Clean[Destination], A1043, Transit_Clean[Item_Code], B1043, Transit_Clean[SAP_Status], "In Transit")</f>
        <v>399</v>
      </c>
      <c r="K1043">
        <f t="shared" si="50"/>
        <v>9.0749887741356083</v>
      </c>
      <c r="L1043" t="str" cm="1">
        <f t="array" ref="L1043">_xlfn.IFS(C1043&lt;0,"DATO INVALIDO", C1043+J1043&lt;I1043,"PEDIR YA", C1043&lt;I1043,"EN CAMINO OK", TRUE,"SANO")</f>
        <v>SANO</v>
      </c>
    </row>
    <row r="1044" spans="1:12" x14ac:dyDescent="0.45">
      <c r="A1044" t="s">
        <v>1117</v>
      </c>
      <c r="B1044" t="s">
        <v>25</v>
      </c>
      <c r="C1044">
        <v>1122</v>
      </c>
      <c r="D1044">
        <v>246.3</v>
      </c>
      <c r="E1044">
        <v>88.4</v>
      </c>
      <c r="F1044">
        <v>1.6</v>
      </c>
      <c r="G1044">
        <v>0.5</v>
      </c>
      <c r="H1044">
        <f t="shared" si="48"/>
        <v>274.46210551959626</v>
      </c>
      <c r="I1044">
        <f t="shared" si="49"/>
        <v>668.54210551959636</v>
      </c>
      <c r="J1044">
        <f>SUMIFS(Transit_Clean[Quantity], Transit_Clean[Destination], A1044, Transit_Clean[Item_Code], B1044, Transit_Clean[SAP_Status], "In Transit")</f>
        <v>0</v>
      </c>
      <c r="K1044">
        <f t="shared" si="50"/>
        <v>4.555420219244823</v>
      </c>
      <c r="L1044" t="str" cm="1">
        <f t="array" ref="L1044">_xlfn.IFS(C1044&lt;0,"DATO INVALIDO", C1044+J1044&lt;I1044,"PEDIR YA", C1044&lt;I1044,"EN CAMINO OK", TRUE,"SANO")</f>
        <v>SANO</v>
      </c>
    </row>
    <row r="1045" spans="1:12" x14ac:dyDescent="0.45">
      <c r="A1045" t="s">
        <v>1120</v>
      </c>
      <c r="B1045" t="s">
        <v>68</v>
      </c>
      <c r="C1045">
        <v>4357</v>
      </c>
      <c r="D1045">
        <v>248.7</v>
      </c>
      <c r="E1045">
        <v>39.6</v>
      </c>
      <c r="F1045">
        <v>1.8</v>
      </c>
      <c r="G1045">
        <v>0.5</v>
      </c>
      <c r="H1045">
        <f t="shared" si="48"/>
        <v>223.12009005522114</v>
      </c>
      <c r="I1045">
        <f t="shared" si="49"/>
        <v>670.78009005522108</v>
      </c>
      <c r="J1045">
        <f>SUMIFS(Transit_Clean[Quantity], Transit_Clean[Destination], A1045, Transit_Clean[Item_Code], B1045, Transit_Clean[SAP_Status], "In Transit")</f>
        <v>0</v>
      </c>
      <c r="K1045">
        <f t="shared" si="50"/>
        <v>17.519099316445516</v>
      </c>
      <c r="L1045" t="str" cm="1">
        <f t="array" ref="L1045">_xlfn.IFS(C1045&lt;0,"DATO INVALIDO", C1045+J1045&lt;I1045,"PEDIR YA", C1045&lt;I1045,"EN CAMINO OK", TRUE,"SANO")</f>
        <v>SANO</v>
      </c>
    </row>
    <row r="1046" spans="1:12" x14ac:dyDescent="0.45">
      <c r="A1046" t="s">
        <v>1126</v>
      </c>
      <c r="B1046" t="s">
        <v>72</v>
      </c>
      <c r="C1046">
        <v>2744</v>
      </c>
      <c r="D1046">
        <v>357.7</v>
      </c>
      <c r="E1046">
        <v>71</v>
      </c>
      <c r="F1046">
        <v>0.8</v>
      </c>
      <c r="G1046">
        <v>0.2</v>
      </c>
      <c r="H1046">
        <f t="shared" si="48"/>
        <v>157.83844804419485</v>
      </c>
      <c r="I1046">
        <f t="shared" si="49"/>
        <v>443.9984480441949</v>
      </c>
      <c r="J1046">
        <f>SUMIFS(Transit_Clean[Quantity], Transit_Clean[Destination], A1046, Transit_Clean[Item_Code], B1046, Transit_Clean[SAP_Status], "In Transit")</f>
        <v>0</v>
      </c>
      <c r="K1046">
        <f t="shared" si="50"/>
        <v>7.6712328767123292</v>
      </c>
      <c r="L1046" t="str" cm="1">
        <f t="array" ref="L1046">_xlfn.IFS(C1046&lt;0,"DATO INVALIDO", C1046+J1046&lt;I1046,"PEDIR YA", C1046&lt;I1046,"EN CAMINO OK", TRUE,"SANO")</f>
        <v>SANO</v>
      </c>
    </row>
    <row r="1047" spans="1:12" x14ac:dyDescent="0.45">
      <c r="A1047" t="s">
        <v>1118</v>
      </c>
      <c r="B1047" t="s">
        <v>61</v>
      </c>
      <c r="C1047">
        <v>10022</v>
      </c>
      <c r="D1047">
        <v>615.29999999999995</v>
      </c>
      <c r="E1047">
        <v>96.8</v>
      </c>
      <c r="F1047">
        <v>6.7</v>
      </c>
      <c r="G1047">
        <v>1.5</v>
      </c>
      <c r="H1047">
        <f t="shared" si="48"/>
        <v>1577.9878414728832</v>
      </c>
      <c r="I1047">
        <f t="shared" si="49"/>
        <v>5700.497841472883</v>
      </c>
      <c r="J1047">
        <f>SUMIFS(Transit_Clean[Quantity], Transit_Clean[Destination], A1047, Transit_Clean[Item_Code], B1047, Transit_Clean[SAP_Status], "In Transit")</f>
        <v>1833</v>
      </c>
      <c r="K1047">
        <f t="shared" si="50"/>
        <v>16.287989598569805</v>
      </c>
      <c r="L1047" t="str" cm="1">
        <f t="array" ref="L1047">_xlfn.IFS(C1047&lt;0,"DATO INVALIDO", C1047+J1047&lt;I1047,"PEDIR YA", C1047&lt;I1047,"EN CAMINO OK", TRUE,"SANO")</f>
        <v>SANO</v>
      </c>
    </row>
    <row r="1048" spans="1:12" x14ac:dyDescent="0.45">
      <c r="A1048" t="s">
        <v>1127</v>
      </c>
      <c r="B1048" t="s">
        <v>10</v>
      </c>
      <c r="C1048">
        <v>3000</v>
      </c>
      <c r="D1048">
        <v>266.89999999999998</v>
      </c>
      <c r="E1048">
        <v>38.700000000000003</v>
      </c>
      <c r="F1048">
        <v>2.8</v>
      </c>
      <c r="G1048">
        <v>0.9</v>
      </c>
      <c r="H1048">
        <f t="shared" si="48"/>
        <v>410.49657602987384</v>
      </c>
      <c r="I1048">
        <f t="shared" si="49"/>
        <v>1157.8165760298739</v>
      </c>
      <c r="J1048">
        <f>SUMIFS(Transit_Clean[Quantity], Transit_Clean[Destination], A1048, Transit_Clean[Item_Code], B1048, Transit_Clean[SAP_Status], "In Transit")</f>
        <v>2371</v>
      </c>
      <c r="K1048">
        <f t="shared" si="50"/>
        <v>11.240164855751219</v>
      </c>
      <c r="L1048" t="str" cm="1">
        <f t="array" ref="L1048">_xlfn.IFS(C1048&lt;0,"DATO INVALIDO", C1048+J1048&lt;I1048,"PEDIR YA", C1048&lt;I1048,"EN CAMINO OK", TRUE,"SANO")</f>
        <v>SANO</v>
      </c>
    </row>
    <row r="1049" spans="1:12" x14ac:dyDescent="0.45">
      <c r="A1049" t="s">
        <v>1115</v>
      </c>
      <c r="B1049" t="s">
        <v>40</v>
      </c>
      <c r="C1049">
        <v>3341</v>
      </c>
      <c r="D1049">
        <v>337.7</v>
      </c>
      <c r="E1049">
        <v>40</v>
      </c>
      <c r="F1049">
        <v>2.2999999999999998</v>
      </c>
      <c r="G1049">
        <v>0.6</v>
      </c>
      <c r="H1049">
        <f t="shared" si="48"/>
        <v>348.98519786518165</v>
      </c>
      <c r="I1049">
        <f t="shared" si="49"/>
        <v>1125.6951978651816</v>
      </c>
      <c r="J1049">
        <f>SUMIFS(Transit_Clean[Quantity], Transit_Clean[Destination], A1049, Transit_Clean[Item_Code], B1049, Transit_Clean[SAP_Status], "In Transit")</f>
        <v>1249</v>
      </c>
      <c r="K1049">
        <f t="shared" si="50"/>
        <v>9.8933965057743567</v>
      </c>
      <c r="L1049" t="str" cm="1">
        <f t="array" ref="L1049">_xlfn.IFS(C1049&lt;0,"DATO INVALIDO", C1049+J1049&lt;I1049,"PEDIR YA", C1049&lt;I1049,"EN CAMINO OK", TRUE,"SANO")</f>
        <v>SANO</v>
      </c>
    </row>
    <row r="1050" spans="1:12" x14ac:dyDescent="0.45">
      <c r="A1050" t="s">
        <v>1125</v>
      </c>
      <c r="B1050" t="s">
        <v>25</v>
      </c>
      <c r="C1050">
        <v>1950</v>
      </c>
      <c r="D1050">
        <v>361</v>
      </c>
      <c r="E1050">
        <v>112.3</v>
      </c>
      <c r="F1050">
        <v>4.9000000000000004</v>
      </c>
      <c r="G1050">
        <v>1.2</v>
      </c>
      <c r="H1050">
        <f t="shared" si="48"/>
        <v>824.10448962646717</v>
      </c>
      <c r="I1050">
        <f t="shared" si="49"/>
        <v>2593.0044896264671</v>
      </c>
      <c r="J1050">
        <f>SUMIFS(Transit_Clean[Quantity], Transit_Clean[Destination], A1050, Transit_Clean[Item_Code], B1050, Transit_Clean[SAP_Status], "In Transit")</f>
        <v>4385</v>
      </c>
      <c r="K1050">
        <f t="shared" si="50"/>
        <v>5.4016620498614962</v>
      </c>
      <c r="L1050" t="str" cm="1">
        <f t="array" ref="L1050">_xlfn.IFS(C1050&lt;0,"DATO INVALIDO", C1050+J1050&lt;I1050,"PEDIR YA", C1050&lt;I1050,"EN CAMINO OK", TRUE,"SANO")</f>
        <v>EN CAMINO OK</v>
      </c>
    </row>
    <row r="1051" spans="1:12" x14ac:dyDescent="0.45">
      <c r="A1051" t="s">
        <v>1124</v>
      </c>
      <c r="B1051" t="s">
        <v>58</v>
      </c>
      <c r="C1051">
        <v>4117</v>
      </c>
      <c r="D1051">
        <v>300.5</v>
      </c>
      <c r="E1051">
        <v>34.6</v>
      </c>
      <c r="F1051">
        <v>0.9</v>
      </c>
      <c r="G1051">
        <v>0.3</v>
      </c>
      <c r="H1051">
        <f t="shared" si="48"/>
        <v>158.30085295490358</v>
      </c>
      <c r="I1051">
        <f t="shared" si="49"/>
        <v>428.75085295490356</v>
      </c>
      <c r="J1051">
        <f>SUMIFS(Transit_Clean[Quantity], Transit_Clean[Destination], A1051, Transit_Clean[Item_Code], B1051, Transit_Clean[SAP_Status], "In Transit")</f>
        <v>2936</v>
      </c>
      <c r="K1051">
        <f t="shared" si="50"/>
        <v>13.700499168053245</v>
      </c>
      <c r="L1051" t="str" cm="1">
        <f t="array" ref="L1051">_xlfn.IFS(C1051&lt;0,"DATO INVALIDO", C1051+J1051&lt;I1051,"PEDIR YA", C1051&lt;I1051,"EN CAMINO OK", TRUE,"SANO")</f>
        <v>SANO</v>
      </c>
    </row>
    <row r="1052" spans="1:12" x14ac:dyDescent="0.45">
      <c r="A1052" t="s">
        <v>1127</v>
      </c>
      <c r="B1052" t="s">
        <v>1129</v>
      </c>
      <c r="C1052">
        <v>8473</v>
      </c>
      <c r="D1052">
        <v>749</v>
      </c>
      <c r="E1052">
        <v>192.9</v>
      </c>
      <c r="F1052">
        <v>3</v>
      </c>
      <c r="G1052">
        <v>0.9</v>
      </c>
      <c r="H1052">
        <f t="shared" si="48"/>
        <v>1241.390129612766</v>
      </c>
      <c r="I1052">
        <f t="shared" si="49"/>
        <v>3488.390129612766</v>
      </c>
      <c r="J1052">
        <f>SUMIFS(Transit_Clean[Quantity], Transit_Clean[Destination], A1052, Transit_Clean[Item_Code], B1052, Transit_Clean[SAP_Status], "In Transit")</f>
        <v>0</v>
      </c>
      <c r="K1052">
        <f t="shared" si="50"/>
        <v>11.312416555407209</v>
      </c>
      <c r="L1052" t="str" cm="1">
        <f t="array" ref="L1052">_xlfn.IFS(C1052&lt;0,"DATO INVALIDO", C1052+J1052&lt;I1052,"PEDIR YA", C1052&lt;I1052,"EN CAMINO OK", TRUE,"SANO")</f>
        <v>SANO</v>
      </c>
    </row>
    <row r="1053" spans="1:12" x14ac:dyDescent="0.45">
      <c r="A1053" t="s">
        <v>1124</v>
      </c>
      <c r="B1053" t="s">
        <v>61</v>
      </c>
      <c r="C1053">
        <v>3091</v>
      </c>
      <c r="D1053">
        <v>227.3</v>
      </c>
      <c r="E1053">
        <v>29.7</v>
      </c>
      <c r="F1053">
        <v>0.6</v>
      </c>
      <c r="G1053">
        <v>0.3</v>
      </c>
      <c r="H1053">
        <f t="shared" si="48"/>
        <v>118.74418595135509</v>
      </c>
      <c r="I1053">
        <f t="shared" si="49"/>
        <v>255.12418595135509</v>
      </c>
      <c r="J1053">
        <f>SUMIFS(Transit_Clean[Quantity], Transit_Clean[Destination], A1053, Transit_Clean[Item_Code], B1053, Transit_Clean[SAP_Status], "In Transit")</f>
        <v>1949</v>
      </c>
      <c r="K1053">
        <f t="shared" si="50"/>
        <v>13.598768147822261</v>
      </c>
      <c r="L1053" t="str" cm="1">
        <f t="array" ref="L1053">_xlfn.IFS(C1053&lt;0,"DATO INVALIDO", C1053+J1053&lt;I1053,"PEDIR YA", C1053&lt;I1053,"EN CAMINO OK", TRUE,"SANO")</f>
        <v>SANO</v>
      </c>
    </row>
    <row r="1054" spans="1:12" x14ac:dyDescent="0.45">
      <c r="A1054" t="s">
        <v>1126</v>
      </c>
      <c r="B1054" t="s">
        <v>44</v>
      </c>
      <c r="C1054">
        <v>9934</v>
      </c>
      <c r="D1054">
        <v>822.4</v>
      </c>
      <c r="E1054">
        <v>232.7</v>
      </c>
      <c r="F1054">
        <v>1.3</v>
      </c>
      <c r="G1054">
        <v>0.2</v>
      </c>
      <c r="H1054">
        <f t="shared" si="48"/>
        <v>515.07425901174668</v>
      </c>
      <c r="I1054">
        <f t="shared" si="49"/>
        <v>1584.1942590117469</v>
      </c>
      <c r="J1054">
        <f>SUMIFS(Transit_Clean[Quantity], Transit_Clean[Destination], A1054, Transit_Clean[Item_Code], B1054, Transit_Clean[SAP_Status], "In Transit")</f>
        <v>0</v>
      </c>
      <c r="K1054">
        <f t="shared" si="50"/>
        <v>12.079280155642024</v>
      </c>
      <c r="L1054" t="str" cm="1">
        <f t="array" ref="L1054">_xlfn.IFS(C1054&lt;0,"DATO INVALIDO", C1054+J1054&lt;I1054,"PEDIR YA", C1054&lt;I1054,"EN CAMINO OK", TRUE,"SANO")</f>
        <v>SANO</v>
      </c>
    </row>
    <row r="1055" spans="1:12" x14ac:dyDescent="0.45">
      <c r="A1055" t="s">
        <v>1114</v>
      </c>
      <c r="B1055" t="s">
        <v>37</v>
      </c>
      <c r="C1055">
        <v>6309</v>
      </c>
      <c r="D1055">
        <v>444.6</v>
      </c>
      <c r="E1055">
        <v>184.4</v>
      </c>
      <c r="F1055">
        <v>4.0999999999999996</v>
      </c>
      <c r="G1055">
        <v>1.3</v>
      </c>
      <c r="H1055">
        <f t="shared" si="48"/>
        <v>1135.3566629253557</v>
      </c>
      <c r="I1055">
        <f t="shared" si="49"/>
        <v>2958.2166629253556</v>
      </c>
      <c r="J1055">
        <f>SUMIFS(Transit_Clean[Quantity], Transit_Clean[Destination], A1055, Transit_Clean[Item_Code], B1055, Transit_Clean[SAP_Status], "In Transit")</f>
        <v>5590</v>
      </c>
      <c r="K1055">
        <f t="shared" si="50"/>
        <v>14.190283400809715</v>
      </c>
      <c r="L1055" t="str" cm="1">
        <f t="array" ref="L1055">_xlfn.IFS(C1055&lt;0,"DATO INVALIDO", C1055+J1055&lt;I1055,"PEDIR YA", C1055&lt;I1055,"EN CAMINO OK", TRUE,"SANO")</f>
        <v>SANO</v>
      </c>
    </row>
    <row r="1056" spans="1:12" x14ac:dyDescent="0.45">
      <c r="A1056" t="s">
        <v>1121</v>
      </c>
      <c r="B1056" t="s">
        <v>71</v>
      </c>
      <c r="C1056">
        <v>1080</v>
      </c>
      <c r="D1056">
        <v>223.6</v>
      </c>
      <c r="E1056">
        <v>23.1</v>
      </c>
      <c r="F1056">
        <v>2.7</v>
      </c>
      <c r="G1056">
        <v>0.4</v>
      </c>
      <c r="H1056">
        <f t="shared" si="48"/>
        <v>160.31565576543048</v>
      </c>
      <c r="I1056">
        <f t="shared" si="49"/>
        <v>764.03565576543053</v>
      </c>
      <c r="J1056">
        <f>SUMIFS(Transit_Clean[Quantity], Transit_Clean[Destination], A1056, Transit_Clean[Item_Code], B1056, Transit_Clean[SAP_Status], "In Transit")</f>
        <v>0</v>
      </c>
      <c r="K1056">
        <f t="shared" si="50"/>
        <v>4.8300536672629697</v>
      </c>
      <c r="L1056" t="str" cm="1">
        <f t="array" ref="L1056">_xlfn.IFS(C1056&lt;0,"DATO INVALIDO", C1056+J1056&lt;I1056,"PEDIR YA", C1056&lt;I1056,"EN CAMINO OK", TRUE,"SANO")</f>
        <v>SANO</v>
      </c>
    </row>
    <row r="1057" spans="1:12" x14ac:dyDescent="0.45">
      <c r="A1057" t="s">
        <v>1126</v>
      </c>
      <c r="B1057" t="s">
        <v>37</v>
      </c>
      <c r="C1057">
        <v>1521</v>
      </c>
      <c r="D1057">
        <v>142</v>
      </c>
      <c r="E1057">
        <v>77.8</v>
      </c>
      <c r="F1057">
        <v>1.1000000000000001</v>
      </c>
      <c r="G1057">
        <v>0.2</v>
      </c>
      <c r="H1057">
        <f t="shared" si="48"/>
        <v>142.55736455897323</v>
      </c>
      <c r="I1057">
        <f t="shared" si="49"/>
        <v>298.75736455897322</v>
      </c>
      <c r="J1057">
        <f>SUMIFS(Transit_Clean[Quantity], Transit_Clean[Destination], A1057, Transit_Clean[Item_Code], B1057, Transit_Clean[SAP_Status], "In Transit")</f>
        <v>0</v>
      </c>
      <c r="K1057">
        <f t="shared" si="50"/>
        <v>10.711267605633802</v>
      </c>
      <c r="L1057" t="str" cm="1">
        <f t="array" ref="L1057">_xlfn.IFS(C1057&lt;0,"DATO INVALIDO", C1057+J1057&lt;I1057,"PEDIR YA", C1057&lt;I1057,"EN CAMINO OK", TRUE,"SANO")</f>
        <v>SANO</v>
      </c>
    </row>
    <row r="1058" spans="1:12" x14ac:dyDescent="0.45">
      <c r="A1058" t="s">
        <v>1117</v>
      </c>
      <c r="B1058" t="s">
        <v>103</v>
      </c>
      <c r="C1058">
        <v>6859</v>
      </c>
      <c r="D1058">
        <v>440.1</v>
      </c>
      <c r="E1058">
        <v>46.4</v>
      </c>
      <c r="F1058">
        <v>1.9</v>
      </c>
      <c r="G1058">
        <v>0.5</v>
      </c>
      <c r="H1058">
        <f t="shared" si="48"/>
        <v>378.10795501582612</v>
      </c>
      <c r="I1058">
        <f t="shared" si="49"/>
        <v>1214.2979550158261</v>
      </c>
      <c r="J1058">
        <f>SUMIFS(Transit_Clean[Quantity], Transit_Clean[Destination], A1058, Transit_Clean[Item_Code], B1058, Transit_Clean[SAP_Status], "In Transit")</f>
        <v>0</v>
      </c>
      <c r="K1058">
        <f t="shared" si="50"/>
        <v>15.585094296750738</v>
      </c>
      <c r="L1058" t="str" cm="1">
        <f t="array" ref="L1058">_xlfn.IFS(C1058&lt;0,"DATO INVALIDO", C1058+J1058&lt;I1058,"PEDIR YA", C1058&lt;I1058,"EN CAMINO OK", TRUE,"SANO")</f>
        <v>SANO</v>
      </c>
    </row>
    <row r="1059" spans="1:12" x14ac:dyDescent="0.45">
      <c r="A1059" t="s">
        <v>1126</v>
      </c>
      <c r="B1059" t="s">
        <v>76</v>
      </c>
      <c r="C1059">
        <v>3340</v>
      </c>
      <c r="D1059">
        <v>770.1</v>
      </c>
      <c r="E1059">
        <v>145.19999999999999</v>
      </c>
      <c r="F1059">
        <v>1.3</v>
      </c>
      <c r="G1059">
        <v>0.2</v>
      </c>
      <c r="H1059">
        <f t="shared" si="48"/>
        <v>373.09748191189925</v>
      </c>
      <c r="I1059">
        <f t="shared" si="49"/>
        <v>1374.2274819118993</v>
      </c>
      <c r="J1059">
        <f>SUMIFS(Transit_Clean[Quantity], Transit_Clean[Destination], A1059, Transit_Clean[Item_Code], B1059, Transit_Clean[SAP_Status], "In Transit")</f>
        <v>0</v>
      </c>
      <c r="K1059">
        <f t="shared" si="50"/>
        <v>4.3370990780418124</v>
      </c>
      <c r="L1059" t="str" cm="1">
        <f t="array" ref="L1059">_xlfn.IFS(C1059&lt;0,"DATO INVALIDO", C1059+J1059&lt;I1059,"PEDIR YA", C1059&lt;I1059,"EN CAMINO OK", TRUE,"SANO")</f>
        <v>SANO</v>
      </c>
    </row>
    <row r="1060" spans="1:12" x14ac:dyDescent="0.45">
      <c r="A1060" t="s">
        <v>1123</v>
      </c>
      <c r="B1060" t="s">
        <v>69</v>
      </c>
      <c r="C1060">
        <v>11480</v>
      </c>
      <c r="D1060">
        <v>685</v>
      </c>
      <c r="E1060">
        <v>417.2</v>
      </c>
      <c r="F1060">
        <v>1</v>
      </c>
      <c r="G1060">
        <v>0.3</v>
      </c>
      <c r="H1060">
        <f t="shared" si="48"/>
        <v>767.35837782942065</v>
      </c>
      <c r="I1060">
        <f t="shared" si="49"/>
        <v>1452.3583778294205</v>
      </c>
      <c r="J1060">
        <f>SUMIFS(Transit_Clean[Quantity], Transit_Clean[Destination], A1060, Transit_Clean[Item_Code], B1060, Transit_Clean[SAP_Status], "In Transit")</f>
        <v>0</v>
      </c>
      <c r="K1060">
        <f t="shared" si="50"/>
        <v>16.759124087591243</v>
      </c>
      <c r="L1060" t="str" cm="1">
        <f t="array" ref="L1060">_xlfn.IFS(C1060&lt;0,"DATO INVALIDO", C1060+J1060&lt;I1060,"PEDIR YA", C1060&lt;I1060,"EN CAMINO OK", TRUE,"SANO")</f>
        <v>SANO</v>
      </c>
    </row>
    <row r="1061" spans="1:12" x14ac:dyDescent="0.45">
      <c r="A1061" t="s">
        <v>1115</v>
      </c>
      <c r="B1061" t="s">
        <v>43</v>
      </c>
      <c r="C1061">
        <v>3637</v>
      </c>
      <c r="D1061">
        <v>263.3</v>
      </c>
      <c r="E1061">
        <v>158.30000000000001</v>
      </c>
      <c r="F1061">
        <v>2</v>
      </c>
      <c r="G1061">
        <v>0.6</v>
      </c>
      <c r="H1061">
        <f t="shared" si="48"/>
        <v>452.09837528905149</v>
      </c>
      <c r="I1061">
        <f t="shared" si="49"/>
        <v>978.69837528905146</v>
      </c>
      <c r="J1061">
        <f>SUMIFS(Transit_Clean[Quantity], Transit_Clean[Destination], A1061, Transit_Clean[Item_Code], B1061, Transit_Clean[SAP_Status], "In Transit")</f>
        <v>2062</v>
      </c>
      <c r="K1061">
        <f t="shared" si="50"/>
        <v>13.813140903911886</v>
      </c>
      <c r="L1061" t="str" cm="1">
        <f t="array" ref="L1061">_xlfn.IFS(C1061&lt;0,"DATO INVALIDO", C1061+J1061&lt;I1061,"PEDIR YA", C1061&lt;I1061,"EN CAMINO OK", TRUE,"SANO")</f>
        <v>SANO</v>
      </c>
    </row>
    <row r="1062" spans="1:12" x14ac:dyDescent="0.45">
      <c r="A1062" t="s">
        <v>1123</v>
      </c>
      <c r="B1062" t="s">
        <v>25</v>
      </c>
      <c r="C1062">
        <v>1962</v>
      </c>
      <c r="D1062">
        <v>412.5</v>
      </c>
      <c r="E1062">
        <v>158.19999999999999</v>
      </c>
      <c r="F1062">
        <v>1.1000000000000001</v>
      </c>
      <c r="G1062">
        <v>0.3</v>
      </c>
      <c r="H1062">
        <f t="shared" si="48"/>
        <v>341.53017750449226</v>
      </c>
      <c r="I1062">
        <f t="shared" si="49"/>
        <v>795.28017750449226</v>
      </c>
      <c r="J1062">
        <f>SUMIFS(Transit_Clean[Quantity], Transit_Clean[Destination], A1062, Transit_Clean[Item_Code], B1062, Transit_Clean[SAP_Status], "In Transit")</f>
        <v>0</v>
      </c>
      <c r="K1062">
        <f t="shared" si="50"/>
        <v>4.7563636363636368</v>
      </c>
      <c r="L1062" t="str" cm="1">
        <f t="array" ref="L1062">_xlfn.IFS(C1062&lt;0,"DATO INVALIDO", C1062+J1062&lt;I1062,"PEDIR YA", C1062&lt;I1062,"EN CAMINO OK", TRUE,"SANO")</f>
        <v>SANO</v>
      </c>
    </row>
    <row r="1063" spans="1:12" x14ac:dyDescent="0.45">
      <c r="A1063" t="s">
        <v>1124</v>
      </c>
      <c r="B1063" t="s">
        <v>91</v>
      </c>
      <c r="C1063">
        <v>571</v>
      </c>
      <c r="D1063">
        <v>137.19999999999999</v>
      </c>
      <c r="E1063">
        <v>95</v>
      </c>
      <c r="F1063">
        <v>1.1000000000000001</v>
      </c>
      <c r="G1063">
        <v>0.3</v>
      </c>
      <c r="H1063">
        <f t="shared" si="48"/>
        <v>177.87616519927565</v>
      </c>
      <c r="I1063">
        <f t="shared" si="49"/>
        <v>328.79616519927561</v>
      </c>
      <c r="J1063">
        <f>SUMIFS(Transit_Clean[Quantity], Transit_Clean[Destination], A1063, Transit_Clean[Item_Code], B1063, Transit_Clean[SAP_Status], "In Transit")</f>
        <v>882</v>
      </c>
      <c r="K1063">
        <f t="shared" si="50"/>
        <v>4.1618075801749272</v>
      </c>
      <c r="L1063" t="str" cm="1">
        <f t="array" ref="L1063">_xlfn.IFS(C1063&lt;0,"DATO INVALIDO", C1063+J1063&lt;I1063,"PEDIR YA", C1063&lt;I1063,"EN CAMINO OK", TRUE,"SANO")</f>
        <v>SANO</v>
      </c>
    </row>
    <row r="1064" spans="1:12" x14ac:dyDescent="0.45">
      <c r="A1064" t="s">
        <v>1124</v>
      </c>
      <c r="B1064" t="s">
        <v>64</v>
      </c>
      <c r="C1064">
        <v>2544</v>
      </c>
      <c r="E1064">
        <v>150.30000000000001</v>
      </c>
      <c r="F1064">
        <v>0.8</v>
      </c>
      <c r="G1064">
        <v>0.3</v>
      </c>
      <c r="H1064">
        <f t="shared" si="48"/>
        <v>221.81347123202417</v>
      </c>
      <c r="I1064">
        <f t="shared" si="49"/>
        <v>221.81347123202417</v>
      </c>
      <c r="J1064">
        <f>SUMIFS(Transit_Clean[Quantity], Transit_Clean[Destination], A1064, Transit_Clean[Item_Code], B1064, Transit_Clean[SAP_Status], "In Transit")</f>
        <v>0</v>
      </c>
      <c r="K1064" t="str">
        <f t="shared" si="50"/>
        <v/>
      </c>
      <c r="L1064" t="str" cm="1">
        <f t="array" ref="L1064">_xlfn.IFS(C1064&lt;0,"DATO INVALIDO", C1064+J1064&lt;I1064,"PEDIR YA", C1064&lt;I1064,"EN CAMINO OK", TRUE,"SANO")</f>
        <v>SANO</v>
      </c>
    </row>
    <row r="1065" spans="1:12" x14ac:dyDescent="0.45">
      <c r="A1065" t="s">
        <v>1126</v>
      </c>
      <c r="B1065" t="s">
        <v>75</v>
      </c>
      <c r="C1065">
        <v>718</v>
      </c>
      <c r="D1065">
        <v>194.8</v>
      </c>
      <c r="E1065">
        <v>32.700000000000003</v>
      </c>
      <c r="F1065">
        <v>0.8</v>
      </c>
      <c r="G1065">
        <v>0.2</v>
      </c>
      <c r="H1065">
        <f t="shared" si="48"/>
        <v>80.38249981183715</v>
      </c>
      <c r="I1065">
        <f t="shared" si="49"/>
        <v>236.22249981183717</v>
      </c>
      <c r="J1065">
        <f>SUMIFS(Transit_Clean[Quantity], Transit_Clean[Destination], A1065, Transit_Clean[Item_Code], B1065, Transit_Clean[SAP_Status], "In Transit")</f>
        <v>1742</v>
      </c>
      <c r="K1065">
        <f t="shared" si="50"/>
        <v>3.685831622176591</v>
      </c>
      <c r="L1065" t="str" cm="1">
        <f t="array" ref="L1065">_xlfn.IFS(C1065&lt;0,"DATO INVALIDO", C1065+J1065&lt;I1065,"PEDIR YA", C1065&lt;I1065,"EN CAMINO OK", TRUE,"SANO")</f>
        <v>SANO</v>
      </c>
    </row>
    <row r="1066" spans="1:12" x14ac:dyDescent="0.45">
      <c r="A1066" t="s">
        <v>1116</v>
      </c>
      <c r="B1066" t="s">
        <v>101</v>
      </c>
      <c r="C1066">
        <v>3873</v>
      </c>
      <c r="D1066">
        <v>679.3</v>
      </c>
      <c r="E1066">
        <v>152.4</v>
      </c>
      <c r="F1066">
        <v>2.1</v>
      </c>
      <c r="G1066">
        <v>1.6</v>
      </c>
      <c r="H1066">
        <f t="shared" si="48"/>
        <v>1829.9996918753836</v>
      </c>
      <c r="I1066">
        <f t="shared" si="49"/>
        <v>3256.5296918753838</v>
      </c>
      <c r="J1066">
        <f>SUMIFS(Transit_Clean[Quantity], Transit_Clean[Destination], A1066, Transit_Clean[Item_Code], B1066, Transit_Clean[SAP_Status], "In Transit")</f>
        <v>2004</v>
      </c>
      <c r="K1066">
        <f t="shared" si="50"/>
        <v>5.7014573825997354</v>
      </c>
      <c r="L1066" t="str" cm="1">
        <f t="array" ref="L1066">_xlfn.IFS(C1066&lt;0,"DATO INVALIDO", C1066+J1066&lt;I1066,"PEDIR YA", C1066&lt;I1066,"EN CAMINO OK", TRUE,"SANO")</f>
        <v>SANO</v>
      </c>
    </row>
    <row r="1067" spans="1:12" x14ac:dyDescent="0.45">
      <c r="A1067" t="s">
        <v>1127</v>
      </c>
      <c r="B1067" t="s">
        <v>98</v>
      </c>
      <c r="C1067">
        <v>5846</v>
      </c>
      <c r="D1067">
        <v>359.6</v>
      </c>
      <c r="E1067">
        <v>104.6</v>
      </c>
      <c r="F1067">
        <v>1.8</v>
      </c>
      <c r="G1067">
        <v>0.9</v>
      </c>
      <c r="H1067">
        <f t="shared" si="48"/>
        <v>582.04773224882501</v>
      </c>
      <c r="I1067">
        <f t="shared" si="49"/>
        <v>1229.3277322488252</v>
      </c>
      <c r="J1067">
        <f>SUMIFS(Transit_Clean[Quantity], Transit_Clean[Destination], A1067, Transit_Clean[Item_Code], B1067, Transit_Clean[SAP_Status], "In Transit")</f>
        <v>1196</v>
      </c>
      <c r="K1067">
        <f t="shared" si="50"/>
        <v>16.256952169076751</v>
      </c>
      <c r="L1067" t="str" cm="1">
        <f t="array" ref="L1067">_xlfn.IFS(C1067&lt;0,"DATO INVALIDO", C1067+J1067&lt;I1067,"PEDIR YA", C1067&lt;I1067,"EN CAMINO OK", TRUE,"SANO")</f>
        <v>SANO</v>
      </c>
    </row>
    <row r="1068" spans="1:12" x14ac:dyDescent="0.45">
      <c r="A1068" t="s">
        <v>1126</v>
      </c>
      <c r="B1068" t="s">
        <v>84</v>
      </c>
      <c r="C1068">
        <v>5575</v>
      </c>
      <c r="D1068">
        <v>331.4</v>
      </c>
      <c r="E1068">
        <v>97.5</v>
      </c>
      <c r="F1068">
        <v>0.9</v>
      </c>
      <c r="G1068">
        <v>0.2</v>
      </c>
      <c r="H1068">
        <f t="shared" si="48"/>
        <v>187.75711998883025</v>
      </c>
      <c r="I1068">
        <f t="shared" si="49"/>
        <v>486.01711998883025</v>
      </c>
      <c r="J1068">
        <f>SUMIFS(Transit_Clean[Quantity], Transit_Clean[Destination], A1068, Transit_Clean[Item_Code], B1068, Transit_Clean[SAP_Status], "In Transit")</f>
        <v>0</v>
      </c>
      <c r="K1068">
        <f t="shared" si="50"/>
        <v>16.822570911285457</v>
      </c>
      <c r="L1068" t="str" cm="1">
        <f t="array" ref="L1068">_xlfn.IFS(C1068&lt;0,"DATO INVALIDO", C1068+J1068&lt;I1068,"PEDIR YA", C1068&lt;I1068,"EN CAMINO OK", TRUE,"SANO")</f>
        <v>SANO</v>
      </c>
    </row>
    <row r="1069" spans="1:12" x14ac:dyDescent="0.45">
      <c r="A1069" t="s">
        <v>1120</v>
      </c>
      <c r="B1069" t="s">
        <v>40</v>
      </c>
      <c r="C1069">
        <v>624</v>
      </c>
      <c r="D1069">
        <v>258.7</v>
      </c>
      <c r="E1069">
        <v>38.200000000000003</v>
      </c>
      <c r="F1069">
        <v>1.8</v>
      </c>
      <c r="G1069">
        <v>0.5</v>
      </c>
      <c r="H1069">
        <f t="shared" si="48"/>
        <v>229.5698224424325</v>
      </c>
      <c r="I1069">
        <f t="shared" si="49"/>
        <v>695.22982244243246</v>
      </c>
      <c r="J1069">
        <f>SUMIFS(Transit_Clean[Quantity], Transit_Clean[Destination], A1069, Transit_Clean[Item_Code], B1069, Transit_Clean[SAP_Status], "In Transit")</f>
        <v>1410</v>
      </c>
      <c r="K1069">
        <f t="shared" si="50"/>
        <v>2.4120603015075379</v>
      </c>
      <c r="L1069" t="str" cm="1">
        <f t="array" ref="L1069">_xlfn.IFS(C1069&lt;0,"DATO INVALIDO", C1069+J1069&lt;I1069,"PEDIR YA", C1069&lt;I1069,"EN CAMINO OK", TRUE,"SANO")</f>
        <v>EN CAMINO OK</v>
      </c>
    </row>
    <row r="1070" spans="1:12" x14ac:dyDescent="0.45">
      <c r="A1070" t="s">
        <v>1116</v>
      </c>
      <c r="B1070" t="s">
        <v>84</v>
      </c>
      <c r="C1070">
        <v>1177</v>
      </c>
      <c r="D1070">
        <v>326</v>
      </c>
      <c r="E1070">
        <v>145.4</v>
      </c>
      <c r="F1070">
        <v>4.3</v>
      </c>
      <c r="G1070">
        <v>1.6</v>
      </c>
      <c r="H1070">
        <f t="shared" si="48"/>
        <v>994.08022031926578</v>
      </c>
      <c r="I1070">
        <f t="shared" si="49"/>
        <v>2395.8802203192658</v>
      </c>
      <c r="J1070">
        <f>SUMIFS(Transit_Clean[Quantity], Transit_Clean[Destination], A1070, Transit_Clean[Item_Code], B1070, Transit_Clean[SAP_Status], "In Transit")</f>
        <v>2731</v>
      </c>
      <c r="K1070">
        <f t="shared" si="50"/>
        <v>3.6104294478527605</v>
      </c>
      <c r="L1070" t="str" cm="1">
        <f t="array" ref="L1070">_xlfn.IFS(C1070&lt;0,"DATO INVALIDO", C1070+J1070&lt;I1070,"PEDIR YA", C1070&lt;I1070,"EN CAMINO OK", TRUE,"SANO")</f>
        <v>EN CAMINO OK</v>
      </c>
    </row>
    <row r="1071" spans="1:12" x14ac:dyDescent="0.45">
      <c r="A1071" t="s">
        <v>1117</v>
      </c>
      <c r="B1071" t="s">
        <v>61</v>
      </c>
      <c r="C1071">
        <v>8368</v>
      </c>
      <c r="D1071">
        <v>641.5</v>
      </c>
      <c r="E1071">
        <v>83.6</v>
      </c>
      <c r="F1071">
        <v>1.7</v>
      </c>
      <c r="G1071">
        <v>0.5</v>
      </c>
      <c r="H1071">
        <f t="shared" si="48"/>
        <v>558.96241870652625</v>
      </c>
      <c r="I1071">
        <f t="shared" si="49"/>
        <v>1649.5124187065262</v>
      </c>
      <c r="J1071">
        <f>SUMIFS(Transit_Clean[Quantity], Transit_Clean[Destination], A1071, Transit_Clean[Item_Code], B1071, Transit_Clean[SAP_Status], "In Transit")</f>
        <v>1528</v>
      </c>
      <c r="K1071">
        <f t="shared" si="50"/>
        <v>13.044427123928292</v>
      </c>
      <c r="L1071" t="str" cm="1">
        <f t="array" ref="L1071">_xlfn.IFS(C1071&lt;0,"DATO INVALIDO", C1071+J1071&lt;I1071,"PEDIR YA", C1071&lt;I1071,"EN CAMINO OK", TRUE,"SANO")</f>
        <v>SANO</v>
      </c>
    </row>
    <row r="1072" spans="1:12" x14ac:dyDescent="0.45">
      <c r="A1072" t="s">
        <v>1123</v>
      </c>
      <c r="B1072" t="s">
        <v>1135</v>
      </c>
      <c r="C1072">
        <v>3210</v>
      </c>
      <c r="D1072">
        <v>202.6</v>
      </c>
      <c r="E1072">
        <v>30</v>
      </c>
      <c r="F1072">
        <v>1.2</v>
      </c>
      <c r="G1072">
        <v>0.3</v>
      </c>
      <c r="H1072">
        <f t="shared" si="48"/>
        <v>114.0078171398786</v>
      </c>
      <c r="I1072">
        <f t="shared" si="49"/>
        <v>357.12781713987857</v>
      </c>
      <c r="J1072">
        <f>SUMIFS(Transit_Clean[Quantity], Transit_Clean[Destination], A1072, Transit_Clean[Item_Code], B1072, Transit_Clean[SAP_Status], "In Transit")</f>
        <v>0</v>
      </c>
      <c r="K1072">
        <f t="shared" si="50"/>
        <v>15.844027640671273</v>
      </c>
      <c r="L1072" t="str" cm="1">
        <f t="array" ref="L1072">_xlfn.IFS(C1072&lt;0,"DATO INVALIDO", C1072+J1072&lt;I1072,"PEDIR YA", C1072&lt;I1072,"EN CAMINO OK", TRUE,"SANO")</f>
        <v>SANO</v>
      </c>
    </row>
    <row r="1073" spans="1:12" x14ac:dyDescent="0.45">
      <c r="A1073" t="s">
        <v>1126</v>
      </c>
      <c r="B1073" t="s">
        <v>25</v>
      </c>
      <c r="C1073">
        <v>3266</v>
      </c>
      <c r="D1073">
        <v>334.2</v>
      </c>
      <c r="E1073">
        <v>115.6</v>
      </c>
      <c r="F1073">
        <v>1</v>
      </c>
      <c r="G1073">
        <v>0.2</v>
      </c>
      <c r="H1073">
        <f t="shared" si="48"/>
        <v>220.32873030088473</v>
      </c>
      <c r="I1073">
        <f t="shared" si="49"/>
        <v>554.52873030088472</v>
      </c>
      <c r="J1073">
        <f>SUMIFS(Transit_Clean[Quantity], Transit_Clean[Destination], A1073, Transit_Clean[Item_Code], B1073, Transit_Clean[SAP_Status], "In Transit")</f>
        <v>0</v>
      </c>
      <c r="K1073">
        <f t="shared" si="50"/>
        <v>9.7725912627169365</v>
      </c>
      <c r="L1073" t="str" cm="1">
        <f t="array" ref="L1073">_xlfn.IFS(C1073&lt;0,"DATO INVALIDO", C1073+J1073&lt;I1073,"PEDIR YA", C1073&lt;I1073,"EN CAMINO OK", TRUE,"SANO")</f>
        <v>SANO</v>
      </c>
    </row>
    <row r="1074" spans="1:12" x14ac:dyDescent="0.45">
      <c r="A1074" t="s">
        <v>1120</v>
      </c>
      <c r="B1074" t="s">
        <v>92</v>
      </c>
      <c r="C1074">
        <v>1606</v>
      </c>
      <c r="D1074">
        <v>414.9</v>
      </c>
      <c r="E1074">
        <v>157.5</v>
      </c>
      <c r="F1074">
        <v>2</v>
      </c>
      <c r="G1074">
        <v>0.5</v>
      </c>
      <c r="H1074">
        <f t="shared" si="48"/>
        <v>502.22921739605113</v>
      </c>
      <c r="I1074">
        <f t="shared" si="49"/>
        <v>1332.0292173960511</v>
      </c>
      <c r="J1074">
        <f>SUMIFS(Transit_Clean[Quantity], Transit_Clean[Destination], A1074, Transit_Clean[Item_Code], B1074, Transit_Clean[SAP_Status], "In Transit")</f>
        <v>1766</v>
      </c>
      <c r="K1074">
        <f t="shared" si="50"/>
        <v>3.8708122439141963</v>
      </c>
      <c r="L1074" t="str" cm="1">
        <f t="array" ref="L1074">_xlfn.IFS(C1074&lt;0,"DATO INVALIDO", C1074+J1074&lt;I1074,"PEDIR YA", C1074&lt;I1074,"EN CAMINO OK", TRUE,"SANO")</f>
        <v>SANO</v>
      </c>
    </row>
    <row r="1075" spans="1:12" x14ac:dyDescent="0.45">
      <c r="A1075" t="s">
        <v>1117</v>
      </c>
      <c r="B1075" t="s">
        <v>32</v>
      </c>
      <c r="C1075">
        <v>6374</v>
      </c>
      <c r="D1075">
        <v>407</v>
      </c>
      <c r="E1075">
        <v>108.1</v>
      </c>
      <c r="F1075">
        <v>1.9</v>
      </c>
      <c r="G1075">
        <v>0.5</v>
      </c>
      <c r="H1075">
        <f t="shared" si="48"/>
        <v>416.16293654348891</v>
      </c>
      <c r="I1075">
        <f t="shared" si="49"/>
        <v>1189.4629365434889</v>
      </c>
      <c r="J1075">
        <f>SUMIFS(Transit_Clean[Quantity], Transit_Clean[Destination], A1075, Transit_Clean[Item_Code], B1075, Transit_Clean[SAP_Status], "In Transit")</f>
        <v>510</v>
      </c>
      <c r="K1075">
        <f t="shared" si="50"/>
        <v>15.660933660933662</v>
      </c>
      <c r="L1075" t="str" cm="1">
        <f t="array" ref="L1075">_xlfn.IFS(C1075&lt;0,"DATO INVALIDO", C1075+J1075&lt;I1075,"PEDIR YA", C1075&lt;I1075,"EN CAMINO OK", TRUE,"SANO")</f>
        <v>SANO</v>
      </c>
    </row>
    <row r="1076" spans="1:12" x14ac:dyDescent="0.45">
      <c r="A1076" t="s">
        <v>1124</v>
      </c>
      <c r="B1076" t="s">
        <v>18</v>
      </c>
      <c r="C1076">
        <v>5355</v>
      </c>
      <c r="D1076">
        <v>457.4</v>
      </c>
      <c r="E1076">
        <v>62</v>
      </c>
      <c r="F1076">
        <v>0.8</v>
      </c>
      <c r="G1076">
        <v>0.3</v>
      </c>
      <c r="H1076">
        <f t="shared" si="48"/>
        <v>244.2029454552094</v>
      </c>
      <c r="I1076">
        <f t="shared" si="49"/>
        <v>610.12294545520945</v>
      </c>
      <c r="J1076">
        <f>SUMIFS(Transit_Clean[Quantity], Transit_Clean[Destination], A1076, Transit_Clean[Item_Code], B1076, Transit_Clean[SAP_Status], "In Transit")</f>
        <v>427</v>
      </c>
      <c r="K1076">
        <f t="shared" si="50"/>
        <v>11.707477044162658</v>
      </c>
      <c r="L1076" t="str" cm="1">
        <f t="array" ref="L1076">_xlfn.IFS(C1076&lt;0,"DATO INVALIDO", C1076+J1076&lt;I1076,"PEDIR YA", C1076&lt;I1076,"EN CAMINO OK", TRUE,"SANO")</f>
        <v>SANO</v>
      </c>
    </row>
    <row r="1077" spans="1:12" x14ac:dyDescent="0.45">
      <c r="A1077" t="s">
        <v>1119</v>
      </c>
      <c r="B1077" t="s">
        <v>64</v>
      </c>
      <c r="C1077">
        <v>5466</v>
      </c>
      <c r="D1077">
        <v>423.8</v>
      </c>
      <c r="E1077">
        <v>75.099999999999994</v>
      </c>
      <c r="F1077">
        <v>3.8</v>
      </c>
      <c r="G1077">
        <v>1</v>
      </c>
      <c r="H1077">
        <f t="shared" si="48"/>
        <v>739.8156908007561</v>
      </c>
      <c r="I1077">
        <f t="shared" si="49"/>
        <v>2350.2556908007564</v>
      </c>
      <c r="J1077">
        <f>SUMIFS(Transit_Clean[Quantity], Transit_Clean[Destination], A1077, Transit_Clean[Item_Code], B1077, Transit_Clean[SAP_Status], "In Transit")</f>
        <v>5335</v>
      </c>
      <c r="K1077">
        <f t="shared" si="50"/>
        <v>12.897593204341669</v>
      </c>
      <c r="L1077" t="str" cm="1">
        <f t="array" ref="L1077">_xlfn.IFS(C1077&lt;0,"DATO INVALIDO", C1077+J1077&lt;I1077,"PEDIR YA", C1077&lt;I1077,"EN CAMINO OK", TRUE,"SANO")</f>
        <v>SANO</v>
      </c>
    </row>
    <row r="1078" spans="1:12" x14ac:dyDescent="0.45">
      <c r="A1078" t="s">
        <v>1118</v>
      </c>
      <c r="B1078" t="s">
        <v>85</v>
      </c>
      <c r="C1078">
        <v>8016</v>
      </c>
      <c r="D1078">
        <v>596.9</v>
      </c>
      <c r="E1078">
        <v>409.3</v>
      </c>
      <c r="F1078">
        <v>2.6</v>
      </c>
      <c r="G1078">
        <v>1.5</v>
      </c>
      <c r="H1078">
        <f t="shared" si="48"/>
        <v>1835.3018285070305</v>
      </c>
      <c r="I1078">
        <f t="shared" si="49"/>
        <v>3387.2418285070307</v>
      </c>
      <c r="J1078">
        <f>SUMIFS(Transit_Clean[Quantity], Transit_Clean[Destination], A1078, Transit_Clean[Item_Code], B1078, Transit_Clean[SAP_Status], "In Transit")</f>
        <v>0</v>
      </c>
      <c r="K1078">
        <f t="shared" si="50"/>
        <v>13.429385156642654</v>
      </c>
      <c r="L1078" t="str" cm="1">
        <f t="array" ref="L1078">_xlfn.IFS(C1078&lt;0,"DATO INVALIDO", C1078+J1078&lt;I1078,"PEDIR YA", C1078&lt;I1078,"EN CAMINO OK", TRUE,"SANO")</f>
        <v>SANO</v>
      </c>
    </row>
    <row r="1079" spans="1:12" x14ac:dyDescent="0.45">
      <c r="A1079" t="s">
        <v>1119</v>
      </c>
      <c r="B1079" t="s">
        <v>1137</v>
      </c>
      <c r="C1079">
        <v>323</v>
      </c>
      <c r="D1079">
        <v>340</v>
      </c>
      <c r="E1079">
        <v>42.9</v>
      </c>
      <c r="F1079">
        <v>4.3</v>
      </c>
      <c r="G1079">
        <v>1</v>
      </c>
      <c r="H1079">
        <f t="shared" si="48"/>
        <v>579.88466074513474</v>
      </c>
      <c r="I1079">
        <f t="shared" si="49"/>
        <v>2041.8846607451346</v>
      </c>
      <c r="J1079">
        <f>SUMIFS(Transit_Clean[Quantity], Transit_Clean[Destination], A1079, Transit_Clean[Item_Code], B1079, Transit_Clean[SAP_Status], "In Transit")</f>
        <v>2054</v>
      </c>
      <c r="K1079">
        <f t="shared" si="50"/>
        <v>0.95</v>
      </c>
      <c r="L1079" t="str" cm="1">
        <f t="array" ref="L1079">_xlfn.IFS(C1079&lt;0,"DATO INVALIDO", C1079+J1079&lt;I1079,"PEDIR YA", C1079&lt;I1079,"EN CAMINO OK", TRUE,"SANO")</f>
        <v>EN CAMINO OK</v>
      </c>
    </row>
    <row r="1080" spans="1:12" x14ac:dyDescent="0.45">
      <c r="A1080" t="s">
        <v>1125</v>
      </c>
      <c r="B1080" t="s">
        <v>96</v>
      </c>
      <c r="C1080">
        <v>3199</v>
      </c>
      <c r="D1080">
        <v>291.39999999999998</v>
      </c>
      <c r="E1080">
        <v>53.6</v>
      </c>
      <c r="F1080">
        <v>4.8</v>
      </c>
      <c r="G1080">
        <v>1.2</v>
      </c>
      <c r="H1080">
        <f t="shared" si="48"/>
        <v>608.63825879088472</v>
      </c>
      <c r="I1080">
        <f t="shared" si="49"/>
        <v>2007.3582587908845</v>
      </c>
      <c r="J1080">
        <f>SUMIFS(Transit_Clean[Quantity], Transit_Clean[Destination], A1080, Transit_Clean[Item_Code], B1080, Transit_Clean[SAP_Status], "In Transit")</f>
        <v>0</v>
      </c>
      <c r="K1080">
        <f t="shared" si="50"/>
        <v>10.978037062457105</v>
      </c>
      <c r="L1080" t="str" cm="1">
        <f t="array" ref="L1080">_xlfn.IFS(C1080&lt;0,"DATO INVALIDO", C1080+J1080&lt;I1080,"PEDIR YA", C1080&lt;I1080,"EN CAMINO OK", TRUE,"SANO")</f>
        <v>SANO</v>
      </c>
    </row>
    <row r="1081" spans="1:12" x14ac:dyDescent="0.45">
      <c r="A1081" t="s">
        <v>1126</v>
      </c>
      <c r="B1081" t="s">
        <v>1131</v>
      </c>
      <c r="C1081">
        <v>212</v>
      </c>
      <c r="E1081">
        <v>175.1</v>
      </c>
      <c r="F1081">
        <v>1.1000000000000001</v>
      </c>
      <c r="G1081">
        <v>0.2</v>
      </c>
      <c r="H1081">
        <f t="shared" si="48"/>
        <v>303.01660836907928</v>
      </c>
      <c r="I1081">
        <f t="shared" si="49"/>
        <v>303.01660836907928</v>
      </c>
      <c r="J1081">
        <f>SUMIFS(Transit_Clean[Quantity], Transit_Clean[Destination], A1081, Transit_Clean[Item_Code], B1081, Transit_Clean[SAP_Status], "In Transit")</f>
        <v>0</v>
      </c>
      <c r="K1081" t="str">
        <f t="shared" si="50"/>
        <v/>
      </c>
      <c r="L1081" t="str" cm="1">
        <f t="array" ref="L1081">_xlfn.IFS(C1081&lt;0,"DATO INVALIDO", C1081+J1081&lt;I1081,"PEDIR YA", C1081&lt;I1081,"EN CAMINO OK", TRUE,"SANO")</f>
        <v>PEDIR YA</v>
      </c>
    </row>
    <row r="1082" spans="1:12" x14ac:dyDescent="0.45">
      <c r="A1082" t="s">
        <v>1127</v>
      </c>
      <c r="B1082" t="s">
        <v>31</v>
      </c>
      <c r="C1082">
        <v>1834</v>
      </c>
      <c r="D1082">
        <v>213.9</v>
      </c>
      <c r="E1082">
        <v>31.7</v>
      </c>
      <c r="F1082">
        <v>1.2</v>
      </c>
      <c r="G1082">
        <v>0.9</v>
      </c>
      <c r="H1082">
        <f t="shared" si="48"/>
        <v>322.7678703840424</v>
      </c>
      <c r="I1082">
        <f t="shared" si="49"/>
        <v>579.4478703840424</v>
      </c>
      <c r="J1082">
        <f>SUMIFS(Transit_Clean[Quantity], Transit_Clean[Destination], A1082, Transit_Clean[Item_Code], B1082, Transit_Clean[SAP_Status], "In Transit")</f>
        <v>0</v>
      </c>
      <c r="K1082">
        <f t="shared" si="50"/>
        <v>8.5741000467508179</v>
      </c>
      <c r="L1082" t="str" cm="1">
        <f t="array" ref="L1082">_xlfn.IFS(C1082&lt;0,"DATO INVALIDO", C1082+J1082&lt;I1082,"PEDIR YA", C1082&lt;I1082,"EN CAMINO OK", TRUE,"SANO")</f>
        <v>SANO</v>
      </c>
    </row>
    <row r="1083" spans="1:12" x14ac:dyDescent="0.45">
      <c r="A1083" t="s">
        <v>1125</v>
      </c>
      <c r="B1083" t="s">
        <v>12</v>
      </c>
      <c r="C1083">
        <v>3698</v>
      </c>
      <c r="D1083">
        <v>430</v>
      </c>
      <c r="E1083">
        <v>81.099999999999994</v>
      </c>
      <c r="F1083">
        <v>2</v>
      </c>
      <c r="G1083">
        <v>1.2</v>
      </c>
      <c r="H1083">
        <f t="shared" si="48"/>
        <v>872.17823204319882</v>
      </c>
      <c r="I1083">
        <f t="shared" si="49"/>
        <v>1732.1782320431989</v>
      </c>
      <c r="J1083">
        <f>SUMIFS(Transit_Clean[Quantity], Transit_Clean[Destination], A1083, Transit_Clean[Item_Code], B1083, Transit_Clean[SAP_Status], "In Transit")</f>
        <v>0</v>
      </c>
      <c r="K1083">
        <f t="shared" si="50"/>
        <v>8.6</v>
      </c>
      <c r="L1083" t="str" cm="1">
        <f t="array" ref="L1083">_xlfn.IFS(C1083&lt;0,"DATO INVALIDO", C1083+J1083&lt;I1083,"PEDIR YA", C1083&lt;I1083,"EN CAMINO OK", TRUE,"SANO")</f>
        <v>SANO</v>
      </c>
    </row>
    <row r="1084" spans="1:12" x14ac:dyDescent="0.45">
      <c r="A1084" t="s">
        <v>1125</v>
      </c>
      <c r="B1084" t="s">
        <v>81</v>
      </c>
      <c r="C1084">
        <v>2580</v>
      </c>
      <c r="D1084">
        <v>335.7</v>
      </c>
      <c r="E1084">
        <v>54.4</v>
      </c>
      <c r="F1084">
        <v>5.7</v>
      </c>
      <c r="G1084">
        <v>1.2</v>
      </c>
      <c r="H1084">
        <f t="shared" si="48"/>
        <v>698.37781101349435</v>
      </c>
      <c r="I1084">
        <f t="shared" si="49"/>
        <v>2611.8678110134942</v>
      </c>
      <c r="J1084">
        <f>SUMIFS(Transit_Clean[Quantity], Transit_Clean[Destination], A1084, Transit_Clean[Item_Code], B1084, Transit_Clean[SAP_Status], "In Transit")</f>
        <v>1043</v>
      </c>
      <c r="K1084">
        <f t="shared" si="50"/>
        <v>7.6854334226988383</v>
      </c>
      <c r="L1084" t="str" cm="1">
        <f t="array" ref="L1084">_xlfn.IFS(C1084&lt;0,"DATO INVALIDO", C1084+J1084&lt;I1084,"PEDIR YA", C1084&lt;I1084,"EN CAMINO OK", TRUE,"SANO")</f>
        <v>EN CAMINO OK</v>
      </c>
    </row>
    <row r="1085" spans="1:12" x14ac:dyDescent="0.45">
      <c r="A1085" t="s">
        <v>1125</v>
      </c>
      <c r="B1085" t="s">
        <v>8</v>
      </c>
      <c r="C1085">
        <v>11149</v>
      </c>
      <c r="D1085">
        <v>764.7</v>
      </c>
      <c r="E1085">
        <v>120.7</v>
      </c>
      <c r="F1085">
        <v>4.0999999999999996</v>
      </c>
      <c r="G1085">
        <v>1.2</v>
      </c>
      <c r="H1085">
        <f t="shared" si="48"/>
        <v>1566.8867561947482</v>
      </c>
      <c r="I1085">
        <f t="shared" si="49"/>
        <v>4702.1567561947486</v>
      </c>
      <c r="J1085">
        <f>SUMIFS(Transit_Clean[Quantity], Transit_Clean[Destination], A1085, Transit_Clean[Item_Code], B1085, Transit_Clean[SAP_Status], "In Transit")</f>
        <v>0</v>
      </c>
      <c r="K1085">
        <f t="shared" si="50"/>
        <v>14.579573689028376</v>
      </c>
      <c r="L1085" t="str" cm="1">
        <f t="array" ref="L1085">_xlfn.IFS(C1085&lt;0,"DATO INVALIDO", C1085+J1085&lt;I1085,"PEDIR YA", C1085&lt;I1085,"EN CAMINO OK", TRUE,"SANO")</f>
        <v>SANO</v>
      </c>
    </row>
    <row r="1086" spans="1:12" x14ac:dyDescent="0.45">
      <c r="A1086" t="s">
        <v>1115</v>
      </c>
      <c r="B1086" t="s">
        <v>18</v>
      </c>
      <c r="C1086">
        <v>3206</v>
      </c>
      <c r="D1086">
        <v>307.10000000000002</v>
      </c>
      <c r="E1086">
        <v>50.2</v>
      </c>
      <c r="F1086">
        <v>2.2000000000000002</v>
      </c>
      <c r="G1086">
        <v>0.6</v>
      </c>
      <c r="H1086">
        <f t="shared" si="48"/>
        <v>327.91372710058965</v>
      </c>
      <c r="I1086">
        <f t="shared" si="49"/>
        <v>1003.5337271005898</v>
      </c>
      <c r="J1086">
        <f>SUMIFS(Transit_Clean[Quantity], Transit_Clean[Destination], A1086, Transit_Clean[Item_Code], B1086, Transit_Clean[SAP_Status], "In Transit")</f>
        <v>0</v>
      </c>
      <c r="K1086">
        <f t="shared" si="50"/>
        <v>10.439596222728753</v>
      </c>
      <c r="L1086" t="str" cm="1">
        <f t="array" ref="L1086">_xlfn.IFS(C1086&lt;0,"DATO INVALIDO", C1086+J1086&lt;I1086,"PEDIR YA", C1086&lt;I1086,"EN CAMINO OK", TRUE,"SANO")</f>
        <v>SANO</v>
      </c>
    </row>
    <row r="1087" spans="1:12" x14ac:dyDescent="0.45">
      <c r="A1087" t="s">
        <v>1120</v>
      </c>
      <c r="B1087" t="s">
        <v>39</v>
      </c>
      <c r="C1087">
        <v>7895</v>
      </c>
      <c r="D1087">
        <v>535</v>
      </c>
      <c r="E1087">
        <v>62.4</v>
      </c>
      <c r="F1087">
        <v>1.6</v>
      </c>
      <c r="G1087">
        <v>0.5</v>
      </c>
      <c r="H1087">
        <f t="shared" si="48"/>
        <v>460.18812368964927</v>
      </c>
      <c r="I1087">
        <f t="shared" si="49"/>
        <v>1316.1881236896493</v>
      </c>
      <c r="J1087">
        <f>SUMIFS(Transit_Clean[Quantity], Transit_Clean[Destination], A1087, Transit_Clean[Item_Code], B1087, Transit_Clean[SAP_Status], "In Transit")</f>
        <v>1570</v>
      </c>
      <c r="K1087">
        <f t="shared" si="50"/>
        <v>14.757009345794392</v>
      </c>
      <c r="L1087" t="str" cm="1">
        <f t="array" ref="L1087">_xlfn.IFS(C1087&lt;0,"DATO INVALIDO", C1087+J1087&lt;I1087,"PEDIR YA", C1087&lt;I1087,"EN CAMINO OK", TRUE,"SANO")</f>
        <v>SANO</v>
      </c>
    </row>
    <row r="1088" spans="1:12" x14ac:dyDescent="0.45">
      <c r="A1088" t="s">
        <v>1128</v>
      </c>
      <c r="B1088" t="s">
        <v>84</v>
      </c>
      <c r="C1088">
        <v>543</v>
      </c>
      <c r="D1088">
        <v>386.5</v>
      </c>
      <c r="E1088">
        <v>108.9</v>
      </c>
      <c r="F1088">
        <v>1.8</v>
      </c>
      <c r="G1088">
        <v>0.5</v>
      </c>
      <c r="H1088">
        <f t="shared" si="48"/>
        <v>399.73660391719193</v>
      </c>
      <c r="I1088">
        <f t="shared" si="49"/>
        <v>1095.4366039171919</v>
      </c>
      <c r="J1088">
        <f>SUMIFS(Transit_Clean[Quantity], Transit_Clean[Destination], A1088, Transit_Clean[Item_Code], B1088, Transit_Clean[SAP_Status], "In Transit")</f>
        <v>2093</v>
      </c>
      <c r="K1088">
        <f t="shared" si="50"/>
        <v>1.4049159120310479</v>
      </c>
      <c r="L1088" t="str" cm="1">
        <f t="array" ref="L1088">_xlfn.IFS(C1088&lt;0,"DATO INVALIDO", C1088+J1088&lt;I1088,"PEDIR YA", C1088&lt;I1088,"EN CAMINO OK", TRUE,"SANO")</f>
        <v>EN CAMINO OK</v>
      </c>
    </row>
    <row r="1089" spans="1:12" x14ac:dyDescent="0.45">
      <c r="A1089" t="s">
        <v>1126</v>
      </c>
      <c r="B1089" t="s">
        <v>1134</v>
      </c>
      <c r="C1089">
        <v>3475</v>
      </c>
      <c r="D1089">
        <v>500</v>
      </c>
      <c r="E1089">
        <v>87.7</v>
      </c>
      <c r="F1089">
        <v>1.1000000000000001</v>
      </c>
      <c r="G1089">
        <v>0.2</v>
      </c>
      <c r="H1089">
        <f t="shared" si="48"/>
        <v>224.18405547116859</v>
      </c>
      <c r="I1089">
        <f t="shared" si="49"/>
        <v>774.18405547116856</v>
      </c>
      <c r="J1089">
        <f>SUMIFS(Transit_Clean[Quantity], Transit_Clean[Destination], A1089, Transit_Clean[Item_Code], B1089, Transit_Clean[SAP_Status], "In Transit")</f>
        <v>1071</v>
      </c>
      <c r="K1089">
        <f t="shared" si="50"/>
        <v>6.95</v>
      </c>
      <c r="L1089" t="str" cm="1">
        <f t="array" ref="L1089">_xlfn.IFS(C1089&lt;0,"DATO INVALIDO", C1089+J1089&lt;I1089,"PEDIR YA", C1089&lt;I1089,"EN CAMINO OK", TRUE,"SANO")</f>
        <v>SANO</v>
      </c>
    </row>
    <row r="1090" spans="1:12" x14ac:dyDescent="0.45">
      <c r="A1090" t="s">
        <v>1119</v>
      </c>
      <c r="B1090" t="s">
        <v>92</v>
      </c>
      <c r="C1090">
        <v>846</v>
      </c>
      <c r="D1090">
        <v>283.89999999999998</v>
      </c>
      <c r="E1090">
        <v>106.2</v>
      </c>
      <c r="F1090">
        <v>2</v>
      </c>
      <c r="G1090">
        <v>1</v>
      </c>
      <c r="H1090">
        <f t="shared" si="48"/>
        <v>529.94570950711534</v>
      </c>
      <c r="I1090">
        <f t="shared" si="49"/>
        <v>1097.7457095071154</v>
      </c>
      <c r="J1090">
        <f>SUMIFS(Transit_Clean[Quantity], Transit_Clean[Destination], A1090, Transit_Clean[Item_Code], B1090, Transit_Clean[SAP_Status], "In Transit")</f>
        <v>734</v>
      </c>
      <c r="K1090">
        <f t="shared" si="50"/>
        <v>2.979922507925326</v>
      </c>
      <c r="L1090" t="str" cm="1">
        <f t="array" ref="L1090">_xlfn.IFS(C1090&lt;0,"DATO INVALIDO", C1090+J1090&lt;I1090,"PEDIR YA", C1090&lt;I1090,"EN CAMINO OK", TRUE,"SANO")</f>
        <v>EN CAMINO OK</v>
      </c>
    </row>
    <row r="1091" spans="1:12" x14ac:dyDescent="0.45">
      <c r="A1091" t="s">
        <v>1121</v>
      </c>
      <c r="B1091" t="s">
        <v>1131</v>
      </c>
      <c r="C1091">
        <v>6591</v>
      </c>
      <c r="D1091">
        <v>386.3</v>
      </c>
      <c r="E1091">
        <v>222.3</v>
      </c>
      <c r="F1091">
        <v>1.9</v>
      </c>
      <c r="G1091">
        <v>0.4</v>
      </c>
      <c r="H1091">
        <f t="shared" ref="H1091:H1154" si="51">IFERROR(1.65*SQRT(F1091*E1091^2 + D1091^2*G1091^2), "")</f>
        <v>566.2392326671652</v>
      </c>
      <c r="I1091">
        <f t="shared" ref="I1091:I1154" si="52">IFERROR(D1091*F1091 + H1091, "")</f>
        <v>1300.2092326671652</v>
      </c>
      <c r="J1091">
        <f>SUMIFS(Transit_Clean[Quantity], Transit_Clean[Destination], A1091, Transit_Clean[Item_Code], B1091, Transit_Clean[SAP_Status], "In Transit")</f>
        <v>1886</v>
      </c>
      <c r="K1091">
        <f t="shared" ref="K1091:K1154" si="53">IFERROR(C1091/D1091, "")</f>
        <v>17.061869013719907</v>
      </c>
      <c r="L1091" t="str" cm="1">
        <f t="array" ref="L1091">_xlfn.IFS(C1091&lt;0,"DATO INVALIDO", C1091+J1091&lt;I1091,"PEDIR YA", C1091&lt;I1091,"EN CAMINO OK", TRUE,"SANO")</f>
        <v>SANO</v>
      </c>
    </row>
    <row r="1092" spans="1:12" x14ac:dyDescent="0.45">
      <c r="A1092" t="s">
        <v>1123</v>
      </c>
      <c r="B1092" t="s">
        <v>22</v>
      </c>
      <c r="C1092">
        <v>1159</v>
      </c>
      <c r="D1092">
        <v>148.69999999999999</v>
      </c>
      <c r="E1092">
        <v>81.7</v>
      </c>
      <c r="F1092">
        <v>1.2</v>
      </c>
      <c r="G1092">
        <v>0.3</v>
      </c>
      <c r="H1092">
        <f t="shared" si="51"/>
        <v>164.99934082368327</v>
      </c>
      <c r="I1092">
        <f t="shared" si="52"/>
        <v>343.43934082368321</v>
      </c>
      <c r="J1092">
        <f>SUMIFS(Transit_Clean[Quantity], Transit_Clean[Destination], A1092, Transit_Clean[Item_Code], B1092, Transit_Clean[SAP_Status], "In Transit")</f>
        <v>0</v>
      </c>
      <c r="K1092">
        <f t="shared" si="53"/>
        <v>7.7942165433759252</v>
      </c>
      <c r="L1092" t="str" cm="1">
        <f t="array" ref="L1092">_xlfn.IFS(C1092&lt;0,"DATO INVALIDO", C1092+J1092&lt;I1092,"PEDIR YA", C1092&lt;I1092,"EN CAMINO OK", TRUE,"SANO")</f>
        <v>SANO</v>
      </c>
    </row>
    <row r="1093" spans="1:12" x14ac:dyDescent="0.45">
      <c r="A1093" t="s">
        <v>1127</v>
      </c>
      <c r="B1093" t="s">
        <v>18</v>
      </c>
      <c r="C1093">
        <v>1352</v>
      </c>
      <c r="D1093">
        <v>401.8</v>
      </c>
      <c r="E1093">
        <v>62.4</v>
      </c>
      <c r="F1093">
        <v>2.9</v>
      </c>
      <c r="G1093">
        <v>0.9</v>
      </c>
      <c r="H1093">
        <f t="shared" si="51"/>
        <v>621.90101910915052</v>
      </c>
      <c r="I1093">
        <f t="shared" si="52"/>
        <v>1787.1210191091504</v>
      </c>
      <c r="J1093">
        <f>SUMIFS(Transit_Clean[Quantity], Transit_Clean[Destination], A1093, Transit_Clean[Item_Code], B1093, Transit_Clean[SAP_Status], "In Transit")</f>
        <v>0</v>
      </c>
      <c r="K1093">
        <f t="shared" si="53"/>
        <v>3.364858138377302</v>
      </c>
      <c r="L1093" t="str" cm="1">
        <f t="array" ref="L1093">_xlfn.IFS(C1093&lt;0,"DATO INVALIDO", C1093+J1093&lt;I1093,"PEDIR YA", C1093&lt;I1093,"EN CAMINO OK", TRUE,"SANO")</f>
        <v>PEDIR YA</v>
      </c>
    </row>
    <row r="1094" spans="1:12" x14ac:dyDescent="0.45">
      <c r="A1094" t="s">
        <v>1121</v>
      </c>
      <c r="B1094" t="s">
        <v>7</v>
      </c>
      <c r="C1094">
        <v>2234</v>
      </c>
      <c r="D1094">
        <v>269.5</v>
      </c>
      <c r="E1094">
        <v>32.9</v>
      </c>
      <c r="F1094">
        <v>1.6</v>
      </c>
      <c r="G1094">
        <v>0.4</v>
      </c>
      <c r="H1094">
        <f t="shared" si="51"/>
        <v>190.66387927449711</v>
      </c>
      <c r="I1094">
        <f t="shared" si="52"/>
        <v>621.86387927449709</v>
      </c>
      <c r="J1094">
        <f>SUMIFS(Transit_Clean[Quantity], Transit_Clean[Destination], A1094, Transit_Clean[Item_Code], B1094, Transit_Clean[SAP_Status], "In Transit")</f>
        <v>2129</v>
      </c>
      <c r="K1094">
        <f t="shared" si="53"/>
        <v>8.2894248608534316</v>
      </c>
      <c r="L1094" t="str" cm="1">
        <f t="array" ref="L1094">_xlfn.IFS(C1094&lt;0,"DATO INVALIDO", C1094+J1094&lt;I1094,"PEDIR YA", C1094&lt;I1094,"EN CAMINO OK", TRUE,"SANO")</f>
        <v>SANO</v>
      </c>
    </row>
    <row r="1095" spans="1:12" x14ac:dyDescent="0.45">
      <c r="A1095" t="s">
        <v>1119</v>
      </c>
      <c r="B1095" t="s">
        <v>33</v>
      </c>
      <c r="C1095">
        <v>2746</v>
      </c>
      <c r="D1095">
        <v>216.4</v>
      </c>
      <c r="E1095">
        <v>34.700000000000003</v>
      </c>
      <c r="F1095">
        <v>2.7</v>
      </c>
      <c r="G1095">
        <v>1</v>
      </c>
      <c r="H1095">
        <f t="shared" si="51"/>
        <v>369.24627035015527</v>
      </c>
      <c r="I1095">
        <f t="shared" si="52"/>
        <v>953.5262703501553</v>
      </c>
      <c r="J1095">
        <f>SUMIFS(Transit_Clean[Quantity], Transit_Clean[Destination], A1095, Transit_Clean[Item_Code], B1095, Transit_Clean[SAP_Status], "In Transit")</f>
        <v>0</v>
      </c>
      <c r="K1095">
        <f t="shared" si="53"/>
        <v>12.689463955637708</v>
      </c>
      <c r="L1095" t="str" cm="1">
        <f t="array" ref="L1095">_xlfn.IFS(C1095&lt;0,"DATO INVALIDO", C1095+J1095&lt;I1095,"PEDIR YA", C1095&lt;I1095,"EN CAMINO OK", TRUE,"SANO")</f>
        <v>SANO</v>
      </c>
    </row>
    <row r="1096" spans="1:12" x14ac:dyDescent="0.45">
      <c r="A1096" t="s">
        <v>1120</v>
      </c>
      <c r="B1096" t="s">
        <v>53</v>
      </c>
      <c r="C1096">
        <v>2352</v>
      </c>
      <c r="D1096">
        <v>379.7</v>
      </c>
      <c r="E1096">
        <v>170</v>
      </c>
      <c r="F1096">
        <v>1.7</v>
      </c>
      <c r="G1096">
        <v>0.5</v>
      </c>
      <c r="H1096">
        <f t="shared" si="51"/>
        <v>481.54288880249283</v>
      </c>
      <c r="I1096">
        <f t="shared" si="52"/>
        <v>1127.0328888024928</v>
      </c>
      <c r="J1096">
        <f>SUMIFS(Transit_Clean[Quantity], Transit_Clean[Destination], A1096, Transit_Clean[Item_Code], B1096, Transit_Clean[SAP_Status], "In Transit")</f>
        <v>2020</v>
      </c>
      <c r="K1096">
        <f t="shared" si="53"/>
        <v>6.1943639715564922</v>
      </c>
      <c r="L1096" t="str" cm="1">
        <f t="array" ref="L1096">_xlfn.IFS(C1096&lt;0,"DATO INVALIDO", C1096+J1096&lt;I1096,"PEDIR YA", C1096&lt;I1096,"EN CAMINO OK", TRUE,"SANO")</f>
        <v>SANO</v>
      </c>
    </row>
    <row r="1097" spans="1:12" x14ac:dyDescent="0.45">
      <c r="A1097" t="s">
        <v>1121</v>
      </c>
      <c r="B1097" t="s">
        <v>58</v>
      </c>
      <c r="C1097">
        <v>1882</v>
      </c>
      <c r="D1097">
        <v>581.79999999999995</v>
      </c>
      <c r="E1097">
        <v>58.6</v>
      </c>
      <c r="F1097">
        <v>2.2000000000000002</v>
      </c>
      <c r="G1097">
        <v>0.4</v>
      </c>
      <c r="H1097">
        <f t="shared" si="51"/>
        <v>409.89570327584551</v>
      </c>
      <c r="I1097">
        <f t="shared" si="52"/>
        <v>1689.8557032758456</v>
      </c>
      <c r="J1097">
        <f>SUMIFS(Transit_Clean[Quantity], Transit_Clean[Destination], A1097, Transit_Clean[Item_Code], B1097, Transit_Clean[SAP_Status], "In Transit")</f>
        <v>1484</v>
      </c>
      <c r="K1097">
        <f t="shared" si="53"/>
        <v>3.2347885871433486</v>
      </c>
      <c r="L1097" t="str" cm="1">
        <f t="array" ref="L1097">_xlfn.IFS(C1097&lt;0,"DATO INVALIDO", C1097+J1097&lt;I1097,"PEDIR YA", C1097&lt;I1097,"EN CAMINO OK", TRUE,"SANO")</f>
        <v>SANO</v>
      </c>
    </row>
    <row r="1098" spans="1:12" x14ac:dyDescent="0.45">
      <c r="A1098" t="s">
        <v>1123</v>
      </c>
      <c r="B1098" t="s">
        <v>84</v>
      </c>
      <c r="C1098">
        <v>4390</v>
      </c>
      <c r="D1098">
        <v>450.2</v>
      </c>
      <c r="E1098">
        <v>129.19999999999999</v>
      </c>
      <c r="F1098">
        <v>0.8</v>
      </c>
      <c r="G1098">
        <v>0.3</v>
      </c>
      <c r="H1098">
        <f t="shared" si="51"/>
        <v>293.28867472338578</v>
      </c>
      <c r="I1098">
        <f t="shared" si="52"/>
        <v>653.44867472338581</v>
      </c>
      <c r="J1098">
        <f>SUMIFS(Transit_Clean[Quantity], Transit_Clean[Destination], A1098, Transit_Clean[Item_Code], B1098, Transit_Clean[SAP_Status], "In Transit")</f>
        <v>4197</v>
      </c>
      <c r="K1098">
        <f t="shared" si="53"/>
        <v>9.7512216792536659</v>
      </c>
      <c r="L1098" t="str" cm="1">
        <f t="array" ref="L1098">_xlfn.IFS(C1098&lt;0,"DATO INVALIDO", C1098+J1098&lt;I1098,"PEDIR YA", C1098&lt;I1098,"EN CAMINO OK", TRUE,"SANO")</f>
        <v>SANO</v>
      </c>
    </row>
    <row r="1099" spans="1:12" x14ac:dyDescent="0.45">
      <c r="A1099" t="s">
        <v>1124</v>
      </c>
      <c r="B1099" t="s">
        <v>103</v>
      </c>
      <c r="C1099">
        <v>4850</v>
      </c>
      <c r="D1099">
        <v>447.4</v>
      </c>
      <c r="E1099">
        <v>66.599999999999994</v>
      </c>
      <c r="F1099">
        <v>0.6</v>
      </c>
      <c r="G1099">
        <v>0.3</v>
      </c>
      <c r="H1099">
        <f t="shared" si="51"/>
        <v>237.25797695546507</v>
      </c>
      <c r="I1099">
        <f t="shared" si="52"/>
        <v>505.69797695546504</v>
      </c>
      <c r="J1099">
        <f>SUMIFS(Transit_Clean[Quantity], Transit_Clean[Destination], A1099, Transit_Clean[Item_Code], B1099, Transit_Clean[SAP_Status], "In Transit")</f>
        <v>0</v>
      </c>
      <c r="K1099">
        <f t="shared" si="53"/>
        <v>10.840411265087171</v>
      </c>
      <c r="L1099" t="str" cm="1">
        <f t="array" ref="L1099">_xlfn.IFS(C1099&lt;0,"DATO INVALIDO", C1099+J1099&lt;I1099,"PEDIR YA", C1099&lt;I1099,"EN CAMINO OK", TRUE,"SANO")</f>
        <v>SANO</v>
      </c>
    </row>
    <row r="1100" spans="1:12" x14ac:dyDescent="0.45">
      <c r="A1100" t="s">
        <v>1115</v>
      </c>
      <c r="B1100" t="s">
        <v>103</v>
      </c>
      <c r="C1100">
        <v>3080</v>
      </c>
      <c r="D1100">
        <v>436.6</v>
      </c>
      <c r="E1100">
        <v>59.2</v>
      </c>
      <c r="F1100">
        <v>2.4</v>
      </c>
      <c r="G1100">
        <v>0.6</v>
      </c>
      <c r="H1100">
        <f t="shared" si="51"/>
        <v>457.95802047349275</v>
      </c>
      <c r="I1100">
        <f t="shared" si="52"/>
        <v>1505.7980204734927</v>
      </c>
      <c r="J1100">
        <f>SUMIFS(Transit_Clean[Quantity], Transit_Clean[Destination], A1100, Transit_Clean[Item_Code], B1100, Transit_Clean[SAP_Status], "In Transit")</f>
        <v>1306</v>
      </c>
      <c r="K1100">
        <f t="shared" si="53"/>
        <v>7.054512139257902</v>
      </c>
      <c r="L1100" t="str" cm="1">
        <f t="array" ref="L1100">_xlfn.IFS(C1100&lt;0,"DATO INVALIDO", C1100+J1100&lt;I1100,"PEDIR YA", C1100&lt;I1100,"EN CAMINO OK", TRUE,"SANO")</f>
        <v>SANO</v>
      </c>
    </row>
    <row r="1101" spans="1:12" x14ac:dyDescent="0.45">
      <c r="A1101" t="s">
        <v>1116</v>
      </c>
      <c r="B1101" t="s">
        <v>1141</v>
      </c>
      <c r="C1101">
        <v>1262</v>
      </c>
      <c r="D1101">
        <v>295.8</v>
      </c>
      <c r="E1101">
        <v>30.2</v>
      </c>
      <c r="F1101">
        <v>2.7</v>
      </c>
      <c r="G1101">
        <v>1.6</v>
      </c>
      <c r="H1101">
        <f t="shared" si="51"/>
        <v>785.19279783630225</v>
      </c>
      <c r="I1101">
        <f t="shared" si="52"/>
        <v>1583.8527978363022</v>
      </c>
      <c r="J1101">
        <f>SUMIFS(Transit_Clean[Quantity], Transit_Clean[Destination], A1101, Transit_Clean[Item_Code], B1101, Transit_Clean[SAP_Status], "In Transit")</f>
        <v>0</v>
      </c>
      <c r="K1101">
        <f t="shared" si="53"/>
        <v>4.2663962136578766</v>
      </c>
      <c r="L1101" t="str" cm="1">
        <f t="array" ref="L1101">_xlfn.IFS(C1101&lt;0,"DATO INVALIDO", C1101+J1101&lt;I1101,"PEDIR YA", C1101&lt;I1101,"EN CAMINO OK", TRUE,"SANO")</f>
        <v>PEDIR YA</v>
      </c>
    </row>
    <row r="1102" spans="1:12" x14ac:dyDescent="0.45">
      <c r="A1102" t="s">
        <v>1121</v>
      </c>
      <c r="B1102" t="s">
        <v>8</v>
      </c>
      <c r="C1102">
        <v>4210</v>
      </c>
      <c r="D1102">
        <v>597.70000000000005</v>
      </c>
      <c r="E1102">
        <v>150.80000000000001</v>
      </c>
      <c r="F1102">
        <v>2.4</v>
      </c>
      <c r="G1102">
        <v>0.4</v>
      </c>
      <c r="H1102">
        <f t="shared" si="51"/>
        <v>551.54636258795142</v>
      </c>
      <c r="I1102">
        <f t="shared" si="52"/>
        <v>1986.0263625879516</v>
      </c>
      <c r="J1102">
        <f>SUMIFS(Transit_Clean[Quantity], Transit_Clean[Destination], A1102, Transit_Clean[Item_Code], B1102, Transit_Clean[SAP_Status], "In Transit")</f>
        <v>2037</v>
      </c>
      <c r="K1102">
        <f t="shared" si="53"/>
        <v>7.0436673916680608</v>
      </c>
      <c r="L1102" t="str" cm="1">
        <f t="array" ref="L1102">_xlfn.IFS(C1102&lt;0,"DATO INVALIDO", C1102+J1102&lt;I1102,"PEDIR YA", C1102&lt;I1102,"EN CAMINO OK", TRUE,"SANO")</f>
        <v>SANO</v>
      </c>
    </row>
    <row r="1103" spans="1:12" x14ac:dyDescent="0.45">
      <c r="A1103" t="s">
        <v>1116</v>
      </c>
      <c r="B1103" t="s">
        <v>24</v>
      </c>
      <c r="C1103">
        <v>1614</v>
      </c>
      <c r="E1103">
        <v>49.4</v>
      </c>
      <c r="F1103">
        <v>2.5</v>
      </c>
      <c r="G1103">
        <v>1.6</v>
      </c>
      <c r="H1103">
        <f t="shared" si="51"/>
        <v>128.87862604016229</v>
      </c>
      <c r="I1103">
        <f t="shared" si="52"/>
        <v>128.87862604016229</v>
      </c>
      <c r="J1103">
        <f>SUMIFS(Transit_Clean[Quantity], Transit_Clean[Destination], A1103, Transit_Clean[Item_Code], B1103, Transit_Clean[SAP_Status], "In Transit")</f>
        <v>0</v>
      </c>
      <c r="K1103" t="str">
        <f t="shared" si="53"/>
        <v/>
      </c>
      <c r="L1103" t="str" cm="1">
        <f t="array" ref="L1103">_xlfn.IFS(C1103&lt;0,"DATO INVALIDO", C1103+J1103&lt;I1103,"PEDIR YA", C1103&lt;I1103,"EN CAMINO OK", TRUE,"SANO")</f>
        <v>SANO</v>
      </c>
    </row>
    <row r="1104" spans="1:12" x14ac:dyDescent="0.45">
      <c r="A1104" t="s">
        <v>1119</v>
      </c>
      <c r="B1104" t="s">
        <v>28</v>
      </c>
      <c r="C1104">
        <v>2964</v>
      </c>
      <c r="D1104">
        <v>432.8</v>
      </c>
      <c r="E1104">
        <v>111.3</v>
      </c>
      <c r="F1104">
        <v>3.4</v>
      </c>
      <c r="G1104">
        <v>1</v>
      </c>
      <c r="H1104">
        <f t="shared" si="51"/>
        <v>790.33791942750656</v>
      </c>
      <c r="I1104">
        <f t="shared" si="52"/>
        <v>2261.8579194275067</v>
      </c>
      <c r="J1104">
        <f>SUMIFS(Transit_Clean[Quantity], Transit_Clean[Destination], A1104, Transit_Clean[Item_Code], B1104, Transit_Clean[SAP_Status], "In Transit")</f>
        <v>0</v>
      </c>
      <c r="K1104">
        <f t="shared" si="53"/>
        <v>6.8484288354898331</v>
      </c>
      <c r="L1104" t="str" cm="1">
        <f t="array" ref="L1104">_xlfn.IFS(C1104&lt;0,"DATO INVALIDO", C1104+J1104&lt;I1104,"PEDIR YA", C1104&lt;I1104,"EN CAMINO OK", TRUE,"SANO")</f>
        <v>SANO</v>
      </c>
    </row>
    <row r="1105" spans="1:12" x14ac:dyDescent="0.45">
      <c r="A1105" t="s">
        <v>1123</v>
      </c>
      <c r="B1105" t="s">
        <v>98</v>
      </c>
      <c r="C1105">
        <v>10912</v>
      </c>
      <c r="E1105">
        <v>168.6</v>
      </c>
      <c r="F1105">
        <v>1.1000000000000001</v>
      </c>
      <c r="G1105">
        <v>0.3</v>
      </c>
      <c r="H1105">
        <f t="shared" si="51"/>
        <v>291.76813347245445</v>
      </c>
      <c r="I1105">
        <f t="shared" si="52"/>
        <v>291.76813347245445</v>
      </c>
      <c r="J1105">
        <f>SUMIFS(Transit_Clean[Quantity], Transit_Clean[Destination], A1105, Transit_Clean[Item_Code], B1105, Transit_Clean[SAP_Status], "In Transit")</f>
        <v>0</v>
      </c>
      <c r="K1105" t="str">
        <f t="shared" si="53"/>
        <v/>
      </c>
      <c r="L1105" t="str" cm="1">
        <f t="array" ref="L1105">_xlfn.IFS(C1105&lt;0,"DATO INVALIDO", C1105+J1105&lt;I1105,"PEDIR YA", C1105&lt;I1105,"EN CAMINO OK", TRUE,"SANO")</f>
        <v>SANO</v>
      </c>
    </row>
    <row r="1106" spans="1:12" x14ac:dyDescent="0.45">
      <c r="A1106" t="s">
        <v>1128</v>
      </c>
      <c r="B1106" t="s">
        <v>108</v>
      </c>
      <c r="C1106">
        <v>1930</v>
      </c>
      <c r="D1106">
        <v>315.2</v>
      </c>
      <c r="E1106">
        <v>51.5</v>
      </c>
      <c r="F1106">
        <v>2.7</v>
      </c>
      <c r="G1106">
        <v>0.5</v>
      </c>
      <c r="H1106">
        <f t="shared" si="51"/>
        <v>295.15560012898277</v>
      </c>
      <c r="I1106">
        <f t="shared" si="52"/>
        <v>1146.1956001289827</v>
      </c>
      <c r="J1106">
        <f>SUMIFS(Transit_Clean[Quantity], Transit_Clean[Destination], A1106, Transit_Clean[Item_Code], B1106, Transit_Clean[SAP_Status], "In Transit")</f>
        <v>0</v>
      </c>
      <c r="K1106">
        <f t="shared" si="53"/>
        <v>6.123096446700508</v>
      </c>
      <c r="L1106" t="str" cm="1">
        <f t="array" ref="L1106">_xlfn.IFS(C1106&lt;0,"DATO INVALIDO", C1106+J1106&lt;I1106,"PEDIR YA", C1106&lt;I1106,"EN CAMINO OK", TRUE,"SANO")</f>
        <v>SANO</v>
      </c>
    </row>
    <row r="1107" spans="1:12" x14ac:dyDescent="0.45">
      <c r="A1107" t="s">
        <v>1116</v>
      </c>
      <c r="B1107" t="s">
        <v>110</v>
      </c>
      <c r="C1107">
        <v>2717</v>
      </c>
      <c r="E1107">
        <v>234.4</v>
      </c>
      <c r="F1107">
        <v>6</v>
      </c>
      <c r="G1107">
        <v>1.6</v>
      </c>
      <c r="H1107">
        <f t="shared" si="51"/>
        <v>947.364652918822</v>
      </c>
      <c r="I1107">
        <f t="shared" si="52"/>
        <v>947.364652918822</v>
      </c>
      <c r="J1107">
        <f>SUMIFS(Transit_Clean[Quantity], Transit_Clean[Destination], A1107, Transit_Clean[Item_Code], B1107, Transit_Clean[SAP_Status], "In Transit")</f>
        <v>0</v>
      </c>
      <c r="K1107" t="str">
        <f t="shared" si="53"/>
        <v/>
      </c>
      <c r="L1107" t="str" cm="1">
        <f t="array" ref="L1107">_xlfn.IFS(C1107&lt;0,"DATO INVALIDO", C1107+J1107&lt;I1107,"PEDIR YA", C1107&lt;I1107,"EN CAMINO OK", TRUE,"SANO")</f>
        <v>SANO</v>
      </c>
    </row>
    <row r="1108" spans="1:12" x14ac:dyDescent="0.45">
      <c r="A1108" t="s">
        <v>1124</v>
      </c>
      <c r="B1108" t="s">
        <v>1133</v>
      </c>
      <c r="C1108">
        <v>6030</v>
      </c>
      <c r="D1108">
        <v>965.2</v>
      </c>
      <c r="E1108">
        <v>279.89999999999998</v>
      </c>
      <c r="F1108">
        <v>0.6</v>
      </c>
      <c r="G1108">
        <v>0.3</v>
      </c>
      <c r="H1108">
        <f t="shared" si="51"/>
        <v>596.86090122490009</v>
      </c>
      <c r="I1108">
        <f t="shared" si="52"/>
        <v>1175.9809012249002</v>
      </c>
      <c r="J1108">
        <f>SUMIFS(Transit_Clean[Quantity], Transit_Clean[Destination], A1108, Transit_Clean[Item_Code], B1108, Transit_Clean[SAP_Status], "In Transit")</f>
        <v>1070</v>
      </c>
      <c r="K1108">
        <f t="shared" si="53"/>
        <v>6.2474098632407786</v>
      </c>
      <c r="L1108" t="str" cm="1">
        <f t="array" ref="L1108">_xlfn.IFS(C1108&lt;0,"DATO INVALIDO", C1108+J1108&lt;I1108,"PEDIR YA", C1108&lt;I1108,"EN CAMINO OK", TRUE,"SANO")</f>
        <v>SANO</v>
      </c>
    </row>
    <row r="1109" spans="1:12" x14ac:dyDescent="0.45">
      <c r="A1109" t="s">
        <v>1123</v>
      </c>
      <c r="B1109" t="s">
        <v>108</v>
      </c>
      <c r="C1109">
        <v>3761</v>
      </c>
      <c r="D1109">
        <v>252.3</v>
      </c>
      <c r="E1109">
        <v>44.2</v>
      </c>
      <c r="F1109">
        <v>1.2</v>
      </c>
      <c r="G1109">
        <v>0.3</v>
      </c>
      <c r="H1109">
        <f t="shared" si="51"/>
        <v>148.25545289212806</v>
      </c>
      <c r="I1109">
        <f t="shared" si="52"/>
        <v>451.01545289212805</v>
      </c>
      <c r="J1109">
        <f>SUMIFS(Transit_Clean[Quantity], Transit_Clean[Destination], A1109, Transit_Clean[Item_Code], B1109, Transit_Clean[SAP_Status], "In Transit")</f>
        <v>0</v>
      </c>
      <c r="K1109">
        <f t="shared" si="53"/>
        <v>14.906856916369401</v>
      </c>
      <c r="L1109" t="str" cm="1">
        <f t="array" ref="L1109">_xlfn.IFS(C1109&lt;0,"DATO INVALIDO", C1109+J1109&lt;I1109,"PEDIR YA", C1109&lt;I1109,"EN CAMINO OK", TRUE,"SANO")</f>
        <v>SANO</v>
      </c>
    </row>
    <row r="1110" spans="1:12" x14ac:dyDescent="0.45">
      <c r="A1110" t="s">
        <v>1115</v>
      </c>
      <c r="B1110" t="s">
        <v>7</v>
      </c>
      <c r="C1110">
        <v>1064</v>
      </c>
      <c r="D1110">
        <v>315.5</v>
      </c>
      <c r="E1110">
        <v>39.6</v>
      </c>
      <c r="F1110">
        <v>1.1000000000000001</v>
      </c>
      <c r="G1110">
        <v>0.6</v>
      </c>
      <c r="H1110">
        <f t="shared" si="51"/>
        <v>319.77436761723101</v>
      </c>
      <c r="I1110">
        <f t="shared" si="52"/>
        <v>666.82436761723102</v>
      </c>
      <c r="J1110">
        <f>SUMIFS(Transit_Clean[Quantity], Transit_Clean[Destination], A1110, Transit_Clean[Item_Code], B1110, Transit_Clean[SAP_Status], "In Transit")</f>
        <v>0</v>
      </c>
      <c r="K1110">
        <f t="shared" si="53"/>
        <v>3.3724247226624406</v>
      </c>
      <c r="L1110" t="str" cm="1">
        <f t="array" ref="L1110">_xlfn.IFS(C1110&lt;0,"DATO INVALIDO", C1110+J1110&lt;I1110,"PEDIR YA", C1110&lt;I1110,"EN CAMINO OK", TRUE,"SANO")</f>
        <v>SANO</v>
      </c>
    </row>
    <row r="1111" spans="1:12" x14ac:dyDescent="0.45">
      <c r="A1111" t="s">
        <v>1122</v>
      </c>
      <c r="B1111" t="s">
        <v>77</v>
      </c>
      <c r="C1111">
        <v>1094</v>
      </c>
      <c r="D1111">
        <v>255.5</v>
      </c>
      <c r="E1111">
        <v>81.099999999999994</v>
      </c>
      <c r="F1111">
        <v>1.4</v>
      </c>
      <c r="G1111">
        <v>0.2</v>
      </c>
      <c r="H1111">
        <f t="shared" si="51"/>
        <v>179.38242706575244</v>
      </c>
      <c r="I1111">
        <f t="shared" si="52"/>
        <v>537.08242706575243</v>
      </c>
      <c r="J1111">
        <f>SUMIFS(Transit_Clean[Quantity], Transit_Clean[Destination], A1111, Transit_Clean[Item_Code], B1111, Transit_Clean[SAP_Status], "In Transit")</f>
        <v>0</v>
      </c>
      <c r="K1111">
        <f t="shared" si="53"/>
        <v>4.2818003913894325</v>
      </c>
      <c r="L1111" t="str" cm="1">
        <f t="array" ref="L1111">_xlfn.IFS(C1111&lt;0,"DATO INVALIDO", C1111+J1111&lt;I1111,"PEDIR YA", C1111&lt;I1111,"EN CAMINO OK", TRUE,"SANO")</f>
        <v>SANO</v>
      </c>
    </row>
    <row r="1112" spans="1:12" x14ac:dyDescent="0.45">
      <c r="A1112" t="s">
        <v>1122</v>
      </c>
      <c r="B1112" t="s">
        <v>25</v>
      </c>
      <c r="C1112">
        <v>944</v>
      </c>
      <c r="E1112">
        <v>53.9</v>
      </c>
      <c r="F1112">
        <v>0.7</v>
      </c>
      <c r="G1112">
        <v>0.2</v>
      </c>
      <c r="H1112">
        <f t="shared" si="51"/>
        <v>74.408359459807997</v>
      </c>
      <c r="I1112">
        <f t="shared" si="52"/>
        <v>74.408359459807997</v>
      </c>
      <c r="J1112">
        <f>SUMIFS(Transit_Clean[Quantity], Transit_Clean[Destination], A1112, Transit_Clean[Item_Code], B1112, Transit_Clean[SAP_Status], "In Transit")</f>
        <v>3093</v>
      </c>
      <c r="K1112" t="str">
        <f t="shared" si="53"/>
        <v/>
      </c>
      <c r="L1112" t="str" cm="1">
        <f t="array" ref="L1112">_xlfn.IFS(C1112&lt;0,"DATO INVALIDO", C1112+J1112&lt;I1112,"PEDIR YA", C1112&lt;I1112,"EN CAMINO OK", TRUE,"SANO")</f>
        <v>SANO</v>
      </c>
    </row>
    <row r="1113" spans="1:12" x14ac:dyDescent="0.45">
      <c r="A1113" t="s">
        <v>1116</v>
      </c>
      <c r="B1113" t="s">
        <v>95</v>
      </c>
      <c r="C1113">
        <v>4591</v>
      </c>
      <c r="D1113">
        <v>335.4</v>
      </c>
      <c r="E1113">
        <v>32.4</v>
      </c>
      <c r="F1113">
        <v>7.3</v>
      </c>
      <c r="G1113">
        <v>1.6</v>
      </c>
      <c r="H1113">
        <f t="shared" si="51"/>
        <v>897.15969627263132</v>
      </c>
      <c r="I1113">
        <f t="shared" si="52"/>
        <v>3345.5796962726308</v>
      </c>
      <c r="J1113">
        <f>SUMIFS(Transit_Clean[Quantity], Transit_Clean[Destination], A1113, Transit_Clean[Item_Code], B1113, Transit_Clean[SAP_Status], "In Transit")</f>
        <v>0</v>
      </c>
      <c r="K1113">
        <f t="shared" si="53"/>
        <v>13.688133571854504</v>
      </c>
      <c r="L1113" t="str" cm="1">
        <f t="array" ref="L1113">_xlfn.IFS(C1113&lt;0,"DATO INVALIDO", C1113+J1113&lt;I1113,"PEDIR YA", C1113&lt;I1113,"EN CAMINO OK", TRUE,"SANO")</f>
        <v>SANO</v>
      </c>
    </row>
    <row r="1114" spans="1:12" x14ac:dyDescent="0.45">
      <c r="A1114" t="s">
        <v>1114</v>
      </c>
      <c r="B1114" t="s">
        <v>71</v>
      </c>
      <c r="C1114">
        <v>2918</v>
      </c>
      <c r="D1114">
        <v>324</v>
      </c>
      <c r="E1114">
        <v>47.9</v>
      </c>
      <c r="F1114">
        <v>3.2</v>
      </c>
      <c r="G1114">
        <v>1.3</v>
      </c>
      <c r="H1114">
        <f t="shared" si="51"/>
        <v>709.21512978785222</v>
      </c>
      <c r="I1114">
        <f t="shared" si="52"/>
        <v>1746.0151297878522</v>
      </c>
      <c r="J1114">
        <f>SUMIFS(Transit_Clean[Quantity], Transit_Clean[Destination], A1114, Transit_Clean[Item_Code], B1114, Transit_Clean[SAP_Status], "In Transit")</f>
        <v>0</v>
      </c>
      <c r="K1114">
        <f t="shared" si="53"/>
        <v>9.0061728395061724</v>
      </c>
      <c r="L1114" t="str" cm="1">
        <f t="array" ref="L1114">_xlfn.IFS(C1114&lt;0,"DATO INVALIDO", C1114+J1114&lt;I1114,"PEDIR YA", C1114&lt;I1114,"EN CAMINO OK", TRUE,"SANO")</f>
        <v>SANO</v>
      </c>
    </row>
    <row r="1115" spans="1:12" x14ac:dyDescent="0.45">
      <c r="A1115" t="s">
        <v>1124</v>
      </c>
      <c r="B1115" t="s">
        <v>95</v>
      </c>
      <c r="C1115">
        <v>2160</v>
      </c>
      <c r="D1115">
        <v>388.4</v>
      </c>
      <c r="E1115">
        <v>48</v>
      </c>
      <c r="F1115">
        <v>1.3</v>
      </c>
      <c r="G1115">
        <v>0.3</v>
      </c>
      <c r="H1115">
        <f t="shared" si="51"/>
        <v>212.40897006482561</v>
      </c>
      <c r="I1115">
        <f t="shared" si="52"/>
        <v>717.32897006482563</v>
      </c>
      <c r="J1115">
        <f>SUMIFS(Transit_Clean[Quantity], Transit_Clean[Destination], A1115, Transit_Clean[Item_Code], B1115, Transit_Clean[SAP_Status], "In Transit")</f>
        <v>0</v>
      </c>
      <c r="K1115">
        <f t="shared" si="53"/>
        <v>5.5612770339855819</v>
      </c>
      <c r="L1115" t="str" cm="1">
        <f t="array" ref="L1115">_xlfn.IFS(C1115&lt;0,"DATO INVALIDO", C1115+J1115&lt;I1115,"PEDIR YA", C1115&lt;I1115,"EN CAMINO OK", TRUE,"SANO")</f>
        <v>SANO</v>
      </c>
    </row>
    <row r="1116" spans="1:12" x14ac:dyDescent="0.45">
      <c r="A1116" t="s">
        <v>1122</v>
      </c>
      <c r="B1116" t="s">
        <v>42</v>
      </c>
      <c r="C1116">
        <v>1604</v>
      </c>
      <c r="D1116">
        <v>499.8</v>
      </c>
      <c r="E1116">
        <v>171.6</v>
      </c>
      <c r="F1116">
        <v>1.3</v>
      </c>
      <c r="G1116">
        <v>0.2</v>
      </c>
      <c r="H1116">
        <f t="shared" si="51"/>
        <v>362.52167085017135</v>
      </c>
      <c r="I1116">
        <f t="shared" si="52"/>
        <v>1012.2616708501714</v>
      </c>
      <c r="J1116">
        <f>SUMIFS(Transit_Clean[Quantity], Transit_Clean[Destination], A1116, Transit_Clean[Item_Code], B1116, Transit_Clean[SAP_Status], "In Transit")</f>
        <v>0</v>
      </c>
      <c r="K1116">
        <f t="shared" si="53"/>
        <v>3.209283713485394</v>
      </c>
      <c r="L1116" t="str" cm="1">
        <f t="array" ref="L1116">_xlfn.IFS(C1116&lt;0,"DATO INVALIDO", C1116+J1116&lt;I1116,"PEDIR YA", C1116&lt;I1116,"EN CAMINO OK", TRUE,"SANO")</f>
        <v>SANO</v>
      </c>
    </row>
    <row r="1117" spans="1:12" x14ac:dyDescent="0.45">
      <c r="A1117" t="s">
        <v>1122</v>
      </c>
      <c r="B1117" t="s">
        <v>48</v>
      </c>
      <c r="C1117">
        <v>6028</v>
      </c>
      <c r="D1117">
        <v>674.5</v>
      </c>
      <c r="E1117">
        <v>102</v>
      </c>
      <c r="F1117">
        <v>1.1000000000000001</v>
      </c>
      <c r="G1117">
        <v>0.2</v>
      </c>
      <c r="H1117">
        <f t="shared" si="51"/>
        <v>284.08002609300075</v>
      </c>
      <c r="I1117">
        <f t="shared" si="52"/>
        <v>1026.0300260930007</v>
      </c>
      <c r="J1117">
        <f>SUMIFS(Transit_Clean[Quantity], Transit_Clean[Destination], A1117, Transit_Clean[Item_Code], B1117, Transit_Clean[SAP_Status], "In Transit")</f>
        <v>777</v>
      </c>
      <c r="K1117">
        <f t="shared" si="53"/>
        <v>8.9369903632320238</v>
      </c>
      <c r="L1117" t="str" cm="1">
        <f t="array" ref="L1117">_xlfn.IFS(C1117&lt;0,"DATO INVALIDO", C1117+J1117&lt;I1117,"PEDIR YA", C1117&lt;I1117,"EN CAMINO OK", TRUE,"SANO")</f>
        <v>SANO</v>
      </c>
    </row>
    <row r="1118" spans="1:12" x14ac:dyDescent="0.45">
      <c r="A1118" t="s">
        <v>1120</v>
      </c>
      <c r="B1118" t="s">
        <v>45</v>
      </c>
      <c r="C1118">
        <v>3403</v>
      </c>
      <c r="D1118">
        <v>200.2</v>
      </c>
      <c r="E1118">
        <v>34</v>
      </c>
      <c r="F1118">
        <v>2.6</v>
      </c>
      <c r="G1118">
        <v>0.5</v>
      </c>
      <c r="H1118">
        <f t="shared" si="51"/>
        <v>188.31416097840332</v>
      </c>
      <c r="I1118">
        <f t="shared" si="52"/>
        <v>708.83416097840336</v>
      </c>
      <c r="J1118">
        <f>SUMIFS(Transit_Clean[Quantity], Transit_Clean[Destination], A1118, Transit_Clean[Item_Code], B1118, Transit_Clean[SAP_Status], "In Transit")</f>
        <v>0</v>
      </c>
      <c r="K1118">
        <f t="shared" si="53"/>
        <v>16.998001998002</v>
      </c>
      <c r="L1118" t="str" cm="1">
        <f t="array" ref="L1118">_xlfn.IFS(C1118&lt;0,"DATO INVALIDO", C1118+J1118&lt;I1118,"PEDIR YA", C1118&lt;I1118,"EN CAMINO OK", TRUE,"SANO")</f>
        <v>SANO</v>
      </c>
    </row>
    <row r="1119" spans="1:12" x14ac:dyDescent="0.45">
      <c r="A1119" t="s">
        <v>1121</v>
      </c>
      <c r="B1119" t="s">
        <v>72</v>
      </c>
      <c r="C1119">
        <v>2000</v>
      </c>
      <c r="E1119">
        <v>91</v>
      </c>
      <c r="F1119">
        <v>1.7</v>
      </c>
      <c r="G1119">
        <v>0.4</v>
      </c>
      <c r="H1119">
        <f t="shared" si="51"/>
        <v>195.77164822823553</v>
      </c>
      <c r="I1119">
        <f t="shared" si="52"/>
        <v>195.77164822823553</v>
      </c>
      <c r="J1119">
        <f>SUMIFS(Transit_Clean[Quantity], Transit_Clean[Destination], A1119, Transit_Clean[Item_Code], B1119, Transit_Clean[SAP_Status], "In Transit")</f>
        <v>0</v>
      </c>
      <c r="K1119" t="str">
        <f t="shared" si="53"/>
        <v/>
      </c>
      <c r="L1119" t="str" cm="1">
        <f t="array" ref="L1119">_xlfn.IFS(C1119&lt;0,"DATO INVALIDO", C1119+J1119&lt;I1119,"PEDIR YA", C1119&lt;I1119,"EN CAMINO OK", TRUE,"SANO")</f>
        <v>SANO</v>
      </c>
    </row>
    <row r="1120" spans="1:12" x14ac:dyDescent="0.45">
      <c r="A1120" t="s">
        <v>1115</v>
      </c>
      <c r="B1120" t="s">
        <v>12</v>
      </c>
      <c r="C1120">
        <v>1072</v>
      </c>
      <c r="D1120">
        <v>339</v>
      </c>
      <c r="E1120">
        <v>46.5</v>
      </c>
      <c r="F1120">
        <v>2.4</v>
      </c>
      <c r="G1120">
        <v>0.6</v>
      </c>
      <c r="H1120">
        <f t="shared" si="51"/>
        <v>356.03681495036432</v>
      </c>
      <c r="I1120">
        <f t="shared" si="52"/>
        <v>1169.6368149503644</v>
      </c>
      <c r="J1120">
        <f>SUMIFS(Transit_Clean[Quantity], Transit_Clean[Destination], A1120, Transit_Clean[Item_Code], B1120, Transit_Clean[SAP_Status], "In Transit")</f>
        <v>1257</v>
      </c>
      <c r="K1120">
        <f t="shared" si="53"/>
        <v>3.1622418879056049</v>
      </c>
      <c r="L1120" t="str" cm="1">
        <f t="array" ref="L1120">_xlfn.IFS(C1120&lt;0,"DATO INVALIDO", C1120+J1120&lt;I1120,"PEDIR YA", C1120&lt;I1120,"EN CAMINO OK", TRUE,"SANO")</f>
        <v>EN CAMINO OK</v>
      </c>
    </row>
    <row r="1121" spans="1:12" x14ac:dyDescent="0.45">
      <c r="A1121" t="s">
        <v>1128</v>
      </c>
      <c r="B1121" t="s">
        <v>51</v>
      </c>
      <c r="C1121">
        <v>2240</v>
      </c>
      <c r="D1121">
        <v>339.7</v>
      </c>
      <c r="E1121">
        <v>69</v>
      </c>
      <c r="F1121">
        <v>1.1000000000000001</v>
      </c>
      <c r="G1121">
        <v>0.5</v>
      </c>
      <c r="H1121">
        <f t="shared" si="51"/>
        <v>304.63005187645223</v>
      </c>
      <c r="I1121">
        <f t="shared" si="52"/>
        <v>678.30005187645224</v>
      </c>
      <c r="J1121">
        <f>SUMIFS(Transit_Clean[Quantity], Transit_Clean[Destination], A1121, Transit_Clean[Item_Code], B1121, Transit_Clean[SAP_Status], "In Transit")</f>
        <v>0</v>
      </c>
      <c r="K1121">
        <f t="shared" si="53"/>
        <v>6.5940535766853108</v>
      </c>
      <c r="L1121" t="str" cm="1">
        <f t="array" ref="L1121">_xlfn.IFS(C1121&lt;0,"DATO INVALIDO", C1121+J1121&lt;I1121,"PEDIR YA", C1121&lt;I1121,"EN CAMINO OK", TRUE,"SANO")</f>
        <v>SANO</v>
      </c>
    </row>
    <row r="1122" spans="1:12" x14ac:dyDescent="0.45">
      <c r="A1122" t="s">
        <v>1121</v>
      </c>
      <c r="B1122" t="s">
        <v>12</v>
      </c>
      <c r="C1122">
        <v>4354</v>
      </c>
      <c r="D1122">
        <v>560.6</v>
      </c>
      <c r="E1122">
        <v>78.3</v>
      </c>
      <c r="F1122">
        <v>2.2000000000000002</v>
      </c>
      <c r="G1122">
        <v>0.4</v>
      </c>
      <c r="H1122">
        <f t="shared" si="51"/>
        <v>416.67494005639463</v>
      </c>
      <c r="I1122">
        <f t="shared" si="52"/>
        <v>1649.9949400563949</v>
      </c>
      <c r="J1122">
        <f>SUMIFS(Transit_Clean[Quantity], Transit_Clean[Destination], A1122, Transit_Clean[Item_Code], B1122, Transit_Clean[SAP_Status], "In Transit")</f>
        <v>1490</v>
      </c>
      <c r="K1122">
        <f t="shared" si="53"/>
        <v>7.7666785586871203</v>
      </c>
      <c r="L1122" t="str" cm="1">
        <f t="array" ref="L1122">_xlfn.IFS(C1122&lt;0,"DATO INVALIDO", C1122+J1122&lt;I1122,"PEDIR YA", C1122&lt;I1122,"EN CAMINO OK", TRUE,"SANO")</f>
        <v>SANO</v>
      </c>
    </row>
    <row r="1123" spans="1:12" x14ac:dyDescent="0.45">
      <c r="A1123" t="s">
        <v>1124</v>
      </c>
      <c r="B1123" t="s">
        <v>13</v>
      </c>
      <c r="C1123">
        <v>6047</v>
      </c>
      <c r="D1123">
        <v>401.1</v>
      </c>
      <c r="E1123">
        <v>160.80000000000001</v>
      </c>
      <c r="F1123">
        <v>1.3</v>
      </c>
      <c r="G1123">
        <v>0.3</v>
      </c>
      <c r="H1123">
        <f t="shared" si="51"/>
        <v>361.84669626825394</v>
      </c>
      <c r="I1123">
        <f t="shared" si="52"/>
        <v>883.276696268254</v>
      </c>
      <c r="J1123">
        <f>SUMIFS(Transit_Clean[Quantity], Transit_Clean[Destination], A1123, Transit_Clean[Item_Code], B1123, Transit_Clean[SAP_Status], "In Transit")</f>
        <v>0</v>
      </c>
      <c r="K1123">
        <f t="shared" si="53"/>
        <v>15.076040887559211</v>
      </c>
      <c r="L1123" t="str" cm="1">
        <f t="array" ref="L1123">_xlfn.IFS(C1123&lt;0,"DATO INVALIDO", C1123+J1123&lt;I1123,"PEDIR YA", C1123&lt;I1123,"EN CAMINO OK", TRUE,"SANO")</f>
        <v>SANO</v>
      </c>
    </row>
    <row r="1124" spans="1:12" x14ac:dyDescent="0.45">
      <c r="A1124" t="s">
        <v>1123</v>
      </c>
      <c r="B1124" t="s">
        <v>59</v>
      </c>
      <c r="C1124">
        <v>6017</v>
      </c>
      <c r="D1124">
        <v>432.1</v>
      </c>
      <c r="E1124">
        <v>37.200000000000003</v>
      </c>
      <c r="F1124">
        <v>1.7</v>
      </c>
      <c r="G1124">
        <v>0.3</v>
      </c>
      <c r="H1124">
        <f t="shared" si="51"/>
        <v>228.3713547935686</v>
      </c>
      <c r="I1124">
        <f t="shared" si="52"/>
        <v>962.94135479356862</v>
      </c>
      <c r="J1124">
        <f>SUMIFS(Transit_Clean[Quantity], Transit_Clean[Destination], A1124, Transit_Clean[Item_Code], B1124, Transit_Clean[SAP_Status], "In Transit")</f>
        <v>0</v>
      </c>
      <c r="K1124">
        <f t="shared" si="53"/>
        <v>13.925017357093266</v>
      </c>
      <c r="L1124" t="str" cm="1">
        <f t="array" ref="L1124">_xlfn.IFS(C1124&lt;0,"DATO INVALIDO", C1124+J1124&lt;I1124,"PEDIR YA", C1124&lt;I1124,"EN CAMINO OK", TRUE,"SANO")</f>
        <v>SANO</v>
      </c>
    </row>
    <row r="1125" spans="1:12" x14ac:dyDescent="0.45">
      <c r="A1125" t="s">
        <v>1128</v>
      </c>
      <c r="B1125" t="s">
        <v>57</v>
      </c>
      <c r="C1125">
        <v>2012</v>
      </c>
      <c r="E1125">
        <v>36.799999999999997</v>
      </c>
      <c r="F1125">
        <v>2</v>
      </c>
      <c r="G1125">
        <v>0.5</v>
      </c>
      <c r="H1125">
        <f t="shared" si="51"/>
        <v>85.871047507294321</v>
      </c>
      <c r="I1125">
        <f t="shared" si="52"/>
        <v>85.871047507294321</v>
      </c>
      <c r="J1125">
        <f>SUMIFS(Transit_Clean[Quantity], Transit_Clean[Destination], A1125, Transit_Clean[Item_Code], B1125, Transit_Clean[SAP_Status], "In Transit")</f>
        <v>0</v>
      </c>
      <c r="K1125" t="str">
        <f t="shared" si="53"/>
        <v/>
      </c>
      <c r="L1125" t="str" cm="1">
        <f t="array" ref="L1125">_xlfn.IFS(C1125&lt;0,"DATO INVALIDO", C1125+J1125&lt;I1125,"PEDIR YA", C1125&lt;I1125,"EN CAMINO OK", TRUE,"SANO")</f>
        <v>SANO</v>
      </c>
    </row>
    <row r="1126" spans="1:12" x14ac:dyDescent="0.45">
      <c r="A1126" t="s">
        <v>1127</v>
      </c>
      <c r="B1126" t="s">
        <v>96</v>
      </c>
      <c r="C1126">
        <v>4013</v>
      </c>
      <c r="D1126">
        <v>820.7</v>
      </c>
      <c r="E1126">
        <v>221.8</v>
      </c>
      <c r="F1126">
        <v>3.9</v>
      </c>
      <c r="G1126">
        <v>0.9</v>
      </c>
      <c r="H1126">
        <f t="shared" si="51"/>
        <v>1416.9222732282285</v>
      </c>
      <c r="I1126">
        <f t="shared" si="52"/>
        <v>4617.6522732282283</v>
      </c>
      <c r="J1126">
        <f>SUMIFS(Transit_Clean[Quantity], Transit_Clean[Destination], A1126, Transit_Clean[Item_Code], B1126, Transit_Clean[SAP_Status], "In Transit")</f>
        <v>0</v>
      </c>
      <c r="K1126">
        <f t="shared" si="53"/>
        <v>4.889728280735957</v>
      </c>
      <c r="L1126" t="str" cm="1">
        <f t="array" ref="L1126">_xlfn.IFS(C1126&lt;0,"DATO INVALIDO", C1126+J1126&lt;I1126,"PEDIR YA", C1126&lt;I1126,"EN CAMINO OK", TRUE,"SANO")</f>
        <v>PEDIR YA</v>
      </c>
    </row>
    <row r="1127" spans="1:12" x14ac:dyDescent="0.45">
      <c r="A1127" t="s">
        <v>1116</v>
      </c>
      <c r="B1127" t="s">
        <v>103</v>
      </c>
      <c r="C1127">
        <v>2199</v>
      </c>
      <c r="D1127">
        <v>222.1</v>
      </c>
      <c r="E1127">
        <v>40.4</v>
      </c>
      <c r="F1127">
        <v>6.8</v>
      </c>
      <c r="G1127">
        <v>1.6</v>
      </c>
      <c r="H1127">
        <f t="shared" si="51"/>
        <v>611.56803743819046</v>
      </c>
      <c r="I1127">
        <f t="shared" si="52"/>
        <v>2121.8480374381907</v>
      </c>
      <c r="J1127">
        <f>SUMIFS(Transit_Clean[Quantity], Transit_Clean[Destination], A1127, Transit_Clean[Item_Code], B1127, Transit_Clean[SAP_Status], "In Transit")</f>
        <v>0</v>
      </c>
      <c r="K1127">
        <f t="shared" si="53"/>
        <v>9.9009455200360197</v>
      </c>
      <c r="L1127" t="str" cm="1">
        <f t="array" ref="L1127">_xlfn.IFS(C1127&lt;0,"DATO INVALIDO", C1127+J1127&lt;I1127,"PEDIR YA", C1127&lt;I1127,"EN CAMINO OK", TRUE,"SANO")</f>
        <v>SANO</v>
      </c>
    </row>
    <row r="1128" spans="1:12" x14ac:dyDescent="0.45">
      <c r="A1128" t="s">
        <v>1117</v>
      </c>
      <c r="B1128" t="s">
        <v>1138</v>
      </c>
      <c r="C1128">
        <v>1076</v>
      </c>
      <c r="D1128">
        <v>275.7</v>
      </c>
      <c r="E1128">
        <v>71.3</v>
      </c>
      <c r="F1128">
        <v>1.9</v>
      </c>
      <c r="G1128">
        <v>0.5</v>
      </c>
      <c r="H1128">
        <f t="shared" si="51"/>
        <v>279.3408262387544</v>
      </c>
      <c r="I1128">
        <f t="shared" si="52"/>
        <v>803.17082623875433</v>
      </c>
      <c r="J1128">
        <f>SUMIFS(Transit_Clean[Quantity], Transit_Clean[Destination], A1128, Transit_Clean[Item_Code], B1128, Transit_Clean[SAP_Status], "In Transit")</f>
        <v>0</v>
      </c>
      <c r="K1128">
        <f t="shared" si="53"/>
        <v>3.9027928908233589</v>
      </c>
      <c r="L1128" t="str" cm="1">
        <f t="array" ref="L1128">_xlfn.IFS(C1128&lt;0,"DATO INVALIDO", C1128+J1128&lt;I1128,"PEDIR YA", C1128&lt;I1128,"EN CAMINO OK", TRUE,"SANO")</f>
        <v>SANO</v>
      </c>
    </row>
    <row r="1129" spans="1:12" x14ac:dyDescent="0.45">
      <c r="A1129" t="s">
        <v>1126</v>
      </c>
      <c r="B1129" t="s">
        <v>23</v>
      </c>
      <c r="C1129">
        <v>3239</v>
      </c>
      <c r="D1129">
        <v>314.89999999999998</v>
      </c>
      <c r="E1129">
        <v>87.8</v>
      </c>
      <c r="F1129">
        <v>0.8</v>
      </c>
      <c r="G1129">
        <v>0.2</v>
      </c>
      <c r="H1129">
        <f t="shared" si="51"/>
        <v>166.09815293675001</v>
      </c>
      <c r="I1129">
        <f t="shared" si="52"/>
        <v>418.01815293674997</v>
      </c>
      <c r="J1129">
        <f>SUMIFS(Transit_Clean[Quantity], Transit_Clean[Destination], A1129, Transit_Clean[Item_Code], B1129, Transit_Clean[SAP_Status], "In Transit")</f>
        <v>2667</v>
      </c>
      <c r="K1129">
        <f t="shared" si="53"/>
        <v>10.285805017465863</v>
      </c>
      <c r="L1129" t="str" cm="1">
        <f t="array" ref="L1129">_xlfn.IFS(C1129&lt;0,"DATO INVALIDO", C1129+J1129&lt;I1129,"PEDIR YA", C1129&lt;I1129,"EN CAMINO OK", TRUE,"SANO")</f>
        <v>SANO</v>
      </c>
    </row>
    <row r="1130" spans="1:12" x14ac:dyDescent="0.45">
      <c r="A1130" t="s">
        <v>1120</v>
      </c>
      <c r="B1130" t="s">
        <v>66</v>
      </c>
      <c r="C1130">
        <v>2215</v>
      </c>
      <c r="D1130">
        <v>299.60000000000002</v>
      </c>
      <c r="E1130">
        <v>37.700000000000003</v>
      </c>
      <c r="F1130">
        <v>1.9</v>
      </c>
      <c r="G1130">
        <v>0.5</v>
      </c>
      <c r="H1130">
        <f t="shared" si="51"/>
        <v>261.61992803970418</v>
      </c>
      <c r="I1130">
        <f t="shared" si="52"/>
        <v>830.85992803970419</v>
      </c>
      <c r="J1130">
        <f>SUMIFS(Transit_Clean[Quantity], Transit_Clean[Destination], A1130, Transit_Clean[Item_Code], B1130, Transit_Clean[SAP_Status], "In Transit")</f>
        <v>0</v>
      </c>
      <c r="K1130">
        <f t="shared" si="53"/>
        <v>7.393190921228304</v>
      </c>
      <c r="L1130" t="str" cm="1">
        <f t="array" ref="L1130">_xlfn.IFS(C1130&lt;0,"DATO INVALIDO", C1130+J1130&lt;I1130,"PEDIR YA", C1130&lt;I1130,"EN CAMINO OK", TRUE,"SANO")</f>
        <v>SANO</v>
      </c>
    </row>
    <row r="1131" spans="1:12" x14ac:dyDescent="0.45">
      <c r="A1131" t="s">
        <v>1120</v>
      </c>
      <c r="B1131" t="s">
        <v>28</v>
      </c>
      <c r="C1131">
        <v>3334</v>
      </c>
      <c r="D1131">
        <v>200.3</v>
      </c>
      <c r="E1131">
        <v>65.5</v>
      </c>
      <c r="F1131">
        <v>1.8</v>
      </c>
      <c r="G1131">
        <v>0.5</v>
      </c>
      <c r="H1131">
        <f t="shared" si="51"/>
        <v>219.84336783548872</v>
      </c>
      <c r="I1131">
        <f t="shared" si="52"/>
        <v>580.3833678354888</v>
      </c>
      <c r="J1131">
        <f>SUMIFS(Transit_Clean[Quantity], Transit_Clean[Destination], A1131, Transit_Clean[Item_Code], B1131, Transit_Clean[SAP_Status], "In Transit")</f>
        <v>0</v>
      </c>
      <c r="K1131">
        <f t="shared" si="53"/>
        <v>16.645032451323015</v>
      </c>
      <c r="L1131" t="str" cm="1">
        <f t="array" ref="L1131">_xlfn.IFS(C1131&lt;0,"DATO INVALIDO", C1131+J1131&lt;I1131,"PEDIR YA", C1131&lt;I1131,"EN CAMINO OK", TRUE,"SANO")</f>
        <v>SANO</v>
      </c>
    </row>
    <row r="1132" spans="1:12" x14ac:dyDescent="0.45">
      <c r="A1132" t="s">
        <v>1127</v>
      </c>
      <c r="B1132" t="s">
        <v>72</v>
      </c>
      <c r="C1132">
        <v>4637</v>
      </c>
      <c r="D1132">
        <v>324.2</v>
      </c>
      <c r="E1132">
        <v>37.200000000000003</v>
      </c>
      <c r="F1132">
        <v>2.7</v>
      </c>
      <c r="G1132">
        <v>0.9</v>
      </c>
      <c r="H1132">
        <f t="shared" si="51"/>
        <v>491.8880430026735</v>
      </c>
      <c r="I1132">
        <f t="shared" si="52"/>
        <v>1367.2280430026735</v>
      </c>
      <c r="J1132">
        <f>SUMIFS(Transit_Clean[Quantity], Transit_Clean[Destination], A1132, Transit_Clean[Item_Code], B1132, Transit_Clean[SAP_Status], "In Transit")</f>
        <v>0</v>
      </c>
      <c r="K1132">
        <f t="shared" si="53"/>
        <v>14.302899444787169</v>
      </c>
      <c r="L1132" t="str" cm="1">
        <f t="array" ref="L1132">_xlfn.IFS(C1132&lt;0,"DATO INVALIDO", C1132+J1132&lt;I1132,"PEDIR YA", C1132&lt;I1132,"EN CAMINO OK", TRUE,"SANO")</f>
        <v>SANO</v>
      </c>
    </row>
    <row r="1133" spans="1:12" x14ac:dyDescent="0.45">
      <c r="A1133" t="s">
        <v>1118</v>
      </c>
      <c r="B1133" t="s">
        <v>50</v>
      </c>
      <c r="C1133">
        <v>1542</v>
      </c>
      <c r="D1133">
        <v>149.69999999999999</v>
      </c>
      <c r="E1133">
        <v>66.3</v>
      </c>
      <c r="F1133">
        <v>1.4</v>
      </c>
      <c r="G1133">
        <v>1.5</v>
      </c>
      <c r="H1133">
        <f t="shared" si="51"/>
        <v>392.46653359394855</v>
      </c>
      <c r="I1133">
        <f t="shared" si="52"/>
        <v>602.04653359394854</v>
      </c>
      <c r="J1133">
        <f>SUMIFS(Transit_Clean[Quantity], Transit_Clean[Destination], A1133, Transit_Clean[Item_Code], B1133, Transit_Clean[SAP_Status], "In Transit")</f>
        <v>0</v>
      </c>
      <c r="K1133">
        <f t="shared" si="53"/>
        <v>10.30060120240481</v>
      </c>
      <c r="L1133" t="str" cm="1">
        <f t="array" ref="L1133">_xlfn.IFS(C1133&lt;0,"DATO INVALIDO", C1133+J1133&lt;I1133,"PEDIR YA", C1133&lt;I1133,"EN CAMINO OK", TRUE,"SANO")</f>
        <v>SANO</v>
      </c>
    </row>
    <row r="1134" spans="1:12" x14ac:dyDescent="0.45">
      <c r="A1134" t="s">
        <v>1121</v>
      </c>
      <c r="B1134" t="s">
        <v>39</v>
      </c>
      <c r="C1134">
        <v>3387</v>
      </c>
      <c r="D1134">
        <v>398.3</v>
      </c>
      <c r="E1134">
        <v>76.400000000000006</v>
      </c>
      <c r="F1134">
        <v>2</v>
      </c>
      <c r="G1134">
        <v>0.4</v>
      </c>
      <c r="H1134">
        <f t="shared" si="51"/>
        <v>317.62728170609029</v>
      </c>
      <c r="I1134">
        <f t="shared" si="52"/>
        <v>1114.2272817060903</v>
      </c>
      <c r="J1134">
        <f>SUMIFS(Transit_Clean[Quantity], Transit_Clean[Destination], A1134, Transit_Clean[Item_Code], B1134, Transit_Clean[SAP_Status], "In Transit")</f>
        <v>2896</v>
      </c>
      <c r="K1134">
        <f t="shared" si="53"/>
        <v>8.5036404720060261</v>
      </c>
      <c r="L1134" t="str" cm="1">
        <f t="array" ref="L1134">_xlfn.IFS(C1134&lt;0,"DATO INVALIDO", C1134+J1134&lt;I1134,"PEDIR YA", C1134&lt;I1134,"EN CAMINO OK", TRUE,"SANO")</f>
        <v>SANO</v>
      </c>
    </row>
    <row r="1135" spans="1:12" x14ac:dyDescent="0.45">
      <c r="A1135" t="s">
        <v>1125</v>
      </c>
      <c r="B1135" t="s">
        <v>31</v>
      </c>
      <c r="C1135">
        <v>4275</v>
      </c>
      <c r="D1135">
        <v>481.1</v>
      </c>
      <c r="E1135">
        <v>55.9</v>
      </c>
      <c r="F1135">
        <v>4.8</v>
      </c>
      <c r="G1135">
        <v>1.2</v>
      </c>
      <c r="H1135">
        <f t="shared" si="51"/>
        <v>973.77608471557767</v>
      </c>
      <c r="I1135">
        <f t="shared" si="52"/>
        <v>3283.056084715578</v>
      </c>
      <c r="J1135">
        <f>SUMIFS(Transit_Clean[Quantity], Transit_Clean[Destination], A1135, Transit_Clean[Item_Code], B1135, Transit_Clean[SAP_Status], "In Transit")</f>
        <v>0</v>
      </c>
      <c r="K1135">
        <f t="shared" si="53"/>
        <v>8.8858865100810647</v>
      </c>
      <c r="L1135" t="str" cm="1">
        <f t="array" ref="L1135">_xlfn.IFS(C1135&lt;0,"DATO INVALIDO", C1135+J1135&lt;I1135,"PEDIR YA", C1135&lt;I1135,"EN CAMINO OK", TRUE,"SANO")</f>
        <v>SANO</v>
      </c>
    </row>
    <row r="1136" spans="1:12" x14ac:dyDescent="0.45">
      <c r="A1136" t="s">
        <v>1119</v>
      </c>
      <c r="B1136" t="s">
        <v>20</v>
      </c>
      <c r="C1136">
        <v>5243</v>
      </c>
      <c r="D1136">
        <v>441.2</v>
      </c>
      <c r="E1136">
        <v>74.7</v>
      </c>
      <c r="F1136">
        <v>3</v>
      </c>
      <c r="G1136">
        <v>1</v>
      </c>
      <c r="H1136">
        <f t="shared" si="51"/>
        <v>758.63711053111547</v>
      </c>
      <c r="I1136">
        <f t="shared" si="52"/>
        <v>2082.2371105311154</v>
      </c>
      <c r="J1136">
        <f>SUMIFS(Transit_Clean[Quantity], Transit_Clean[Destination], A1136, Transit_Clean[Item_Code], B1136, Transit_Clean[SAP_Status], "In Transit")</f>
        <v>0</v>
      </c>
      <c r="K1136">
        <f t="shared" si="53"/>
        <v>11.883499546690844</v>
      </c>
      <c r="L1136" t="str" cm="1">
        <f t="array" ref="L1136">_xlfn.IFS(C1136&lt;0,"DATO INVALIDO", C1136+J1136&lt;I1136,"PEDIR YA", C1136&lt;I1136,"EN CAMINO OK", TRUE,"SANO")</f>
        <v>SANO</v>
      </c>
    </row>
    <row r="1137" spans="1:12" x14ac:dyDescent="0.45">
      <c r="A1137" t="s">
        <v>1127</v>
      </c>
      <c r="B1137" t="s">
        <v>1132</v>
      </c>
      <c r="C1137">
        <v>3616</v>
      </c>
      <c r="D1137">
        <v>298.7</v>
      </c>
      <c r="E1137">
        <v>36</v>
      </c>
      <c r="F1137">
        <v>3.2</v>
      </c>
      <c r="G1137">
        <v>0.9</v>
      </c>
      <c r="H1137">
        <f t="shared" si="51"/>
        <v>456.11912186428879</v>
      </c>
      <c r="I1137">
        <f t="shared" si="52"/>
        <v>1411.9591218642888</v>
      </c>
      <c r="J1137">
        <f>SUMIFS(Transit_Clean[Quantity], Transit_Clean[Destination], A1137, Transit_Clean[Item_Code], B1137, Transit_Clean[SAP_Status], "In Transit")</f>
        <v>0</v>
      </c>
      <c r="K1137">
        <f t="shared" si="53"/>
        <v>12.10579176431202</v>
      </c>
      <c r="L1137" t="str" cm="1">
        <f t="array" ref="L1137">_xlfn.IFS(C1137&lt;0,"DATO INVALIDO", C1137+J1137&lt;I1137,"PEDIR YA", C1137&lt;I1137,"EN CAMINO OK", TRUE,"SANO")</f>
        <v>SANO</v>
      </c>
    </row>
    <row r="1138" spans="1:12" x14ac:dyDescent="0.45">
      <c r="A1138" t="s">
        <v>1119</v>
      </c>
      <c r="B1138" t="s">
        <v>88</v>
      </c>
      <c r="C1138">
        <v>2901</v>
      </c>
      <c r="D1138">
        <v>562.29999999999995</v>
      </c>
      <c r="E1138">
        <v>245.4</v>
      </c>
      <c r="F1138">
        <v>1.1000000000000001</v>
      </c>
      <c r="G1138">
        <v>1</v>
      </c>
      <c r="H1138">
        <f t="shared" si="51"/>
        <v>1020.3680125008818</v>
      </c>
      <c r="I1138">
        <f t="shared" si="52"/>
        <v>1638.8980125008818</v>
      </c>
      <c r="J1138">
        <f>SUMIFS(Transit_Clean[Quantity], Transit_Clean[Destination], A1138, Transit_Clean[Item_Code], B1138, Transit_Clean[SAP_Status], "In Transit")</f>
        <v>0</v>
      </c>
      <c r="K1138">
        <f t="shared" si="53"/>
        <v>5.1591677040725594</v>
      </c>
      <c r="L1138" t="str" cm="1">
        <f t="array" ref="L1138">_xlfn.IFS(C1138&lt;0,"DATO INVALIDO", C1138+J1138&lt;I1138,"PEDIR YA", C1138&lt;I1138,"EN CAMINO OK", TRUE,"SANO")</f>
        <v>SANO</v>
      </c>
    </row>
    <row r="1139" spans="1:12" x14ac:dyDescent="0.45">
      <c r="A1139" t="s">
        <v>1115</v>
      </c>
      <c r="B1139" t="s">
        <v>1130</v>
      </c>
      <c r="C1139">
        <v>4841</v>
      </c>
      <c r="D1139">
        <v>498.5</v>
      </c>
      <c r="E1139">
        <v>279.3</v>
      </c>
      <c r="F1139">
        <v>1.9</v>
      </c>
      <c r="G1139">
        <v>0.6</v>
      </c>
      <c r="H1139">
        <f t="shared" si="51"/>
        <v>804.41001477635757</v>
      </c>
      <c r="I1139">
        <f t="shared" si="52"/>
        <v>1751.5600147763575</v>
      </c>
      <c r="J1139">
        <f>SUMIFS(Transit_Clean[Quantity], Transit_Clean[Destination], A1139, Transit_Clean[Item_Code], B1139, Transit_Clean[SAP_Status], "In Transit")</f>
        <v>2551</v>
      </c>
      <c r="K1139">
        <f t="shared" si="53"/>
        <v>9.7111334002006018</v>
      </c>
      <c r="L1139" t="str" cm="1">
        <f t="array" ref="L1139">_xlfn.IFS(C1139&lt;0,"DATO INVALIDO", C1139+J1139&lt;I1139,"PEDIR YA", C1139&lt;I1139,"EN CAMINO OK", TRUE,"SANO")</f>
        <v>SANO</v>
      </c>
    </row>
    <row r="1140" spans="1:12" x14ac:dyDescent="0.45">
      <c r="A1140" t="s">
        <v>1122</v>
      </c>
      <c r="B1140" t="s">
        <v>44</v>
      </c>
      <c r="C1140">
        <v>3163</v>
      </c>
      <c r="D1140">
        <v>413</v>
      </c>
      <c r="E1140">
        <v>93.9</v>
      </c>
      <c r="F1140">
        <v>0.6</v>
      </c>
      <c r="G1140">
        <v>0.2</v>
      </c>
      <c r="H1140">
        <f t="shared" si="51"/>
        <v>181.59811847868909</v>
      </c>
      <c r="I1140">
        <f t="shared" si="52"/>
        <v>429.39811847868907</v>
      </c>
      <c r="J1140">
        <f>SUMIFS(Transit_Clean[Quantity], Transit_Clean[Destination], A1140, Transit_Clean[Item_Code], B1140, Transit_Clean[SAP_Status], "In Transit")</f>
        <v>685</v>
      </c>
      <c r="K1140">
        <f t="shared" si="53"/>
        <v>7.6585956416464889</v>
      </c>
      <c r="L1140" t="str" cm="1">
        <f t="array" ref="L1140">_xlfn.IFS(C1140&lt;0,"DATO INVALIDO", C1140+J1140&lt;I1140,"PEDIR YA", C1140&lt;I1140,"EN CAMINO OK", TRUE,"SANO")</f>
        <v>SANO</v>
      </c>
    </row>
    <row r="1141" spans="1:12" x14ac:dyDescent="0.45">
      <c r="A1141" t="s">
        <v>1115</v>
      </c>
      <c r="B1141" t="s">
        <v>1131</v>
      </c>
      <c r="C1141">
        <v>3523</v>
      </c>
      <c r="D1141">
        <v>600.4</v>
      </c>
      <c r="E1141">
        <v>287.39999999999998</v>
      </c>
      <c r="F1141">
        <v>2.6</v>
      </c>
      <c r="G1141">
        <v>0.6</v>
      </c>
      <c r="H1141">
        <f t="shared" si="51"/>
        <v>968.49467085575634</v>
      </c>
      <c r="I1141">
        <f t="shared" si="52"/>
        <v>2529.5346708557563</v>
      </c>
      <c r="J1141">
        <f>SUMIFS(Transit_Clean[Quantity], Transit_Clean[Destination], A1141, Transit_Clean[Item_Code], B1141, Transit_Clean[SAP_Status], "In Transit")</f>
        <v>1089</v>
      </c>
      <c r="K1141">
        <f t="shared" si="53"/>
        <v>5.8677548301132578</v>
      </c>
      <c r="L1141" t="str" cm="1">
        <f t="array" ref="L1141">_xlfn.IFS(C1141&lt;0,"DATO INVALIDO", C1141+J1141&lt;I1141,"PEDIR YA", C1141&lt;I1141,"EN CAMINO OK", TRUE,"SANO")</f>
        <v>SANO</v>
      </c>
    </row>
    <row r="1142" spans="1:12" x14ac:dyDescent="0.45">
      <c r="A1142" t="s">
        <v>1115</v>
      </c>
      <c r="B1142" t="s">
        <v>39</v>
      </c>
      <c r="C1142">
        <v>3003</v>
      </c>
      <c r="D1142">
        <v>324.5</v>
      </c>
      <c r="E1142">
        <v>56.4</v>
      </c>
      <c r="F1142">
        <v>2.5</v>
      </c>
      <c r="G1142">
        <v>0.6</v>
      </c>
      <c r="H1142">
        <f t="shared" si="51"/>
        <v>353.34853052616478</v>
      </c>
      <c r="I1142">
        <f t="shared" si="52"/>
        <v>1164.5985305261647</v>
      </c>
      <c r="J1142">
        <f>SUMIFS(Transit_Clean[Quantity], Transit_Clean[Destination], A1142, Transit_Clean[Item_Code], B1142, Transit_Clean[SAP_Status], "In Transit")</f>
        <v>0</v>
      </c>
      <c r="K1142">
        <f t="shared" si="53"/>
        <v>9.2542372881355934</v>
      </c>
      <c r="L1142" t="str" cm="1">
        <f t="array" ref="L1142">_xlfn.IFS(C1142&lt;0,"DATO INVALIDO", C1142+J1142&lt;I1142,"PEDIR YA", C1142&lt;I1142,"EN CAMINO OK", TRUE,"SANO")</f>
        <v>SANO</v>
      </c>
    </row>
    <row r="1143" spans="1:12" x14ac:dyDescent="0.45">
      <c r="A1143" t="s">
        <v>1114</v>
      </c>
      <c r="B1143" t="s">
        <v>95</v>
      </c>
      <c r="C1143">
        <v>1298</v>
      </c>
      <c r="D1143">
        <v>297.8</v>
      </c>
      <c r="E1143">
        <v>25.3</v>
      </c>
      <c r="F1143">
        <v>6.6</v>
      </c>
      <c r="G1143">
        <v>1.3</v>
      </c>
      <c r="H1143">
        <f t="shared" si="51"/>
        <v>647.72109979990626</v>
      </c>
      <c r="I1143">
        <f t="shared" si="52"/>
        <v>2613.2010997999064</v>
      </c>
      <c r="J1143">
        <f>SUMIFS(Transit_Clean[Quantity], Transit_Clean[Destination], A1143, Transit_Clean[Item_Code], B1143, Transit_Clean[SAP_Status], "In Transit")</f>
        <v>0</v>
      </c>
      <c r="K1143">
        <f t="shared" si="53"/>
        <v>4.3586299529885828</v>
      </c>
      <c r="L1143" t="str" cm="1">
        <f t="array" ref="L1143">_xlfn.IFS(C1143&lt;0,"DATO INVALIDO", C1143+J1143&lt;I1143,"PEDIR YA", C1143&lt;I1143,"EN CAMINO OK", TRUE,"SANO")</f>
        <v>PEDIR YA</v>
      </c>
    </row>
    <row r="1144" spans="1:12" x14ac:dyDescent="0.45">
      <c r="A1144" t="s">
        <v>1123</v>
      </c>
      <c r="B1144" t="s">
        <v>89</v>
      </c>
      <c r="C1144">
        <v>3489</v>
      </c>
      <c r="D1144">
        <v>390.3</v>
      </c>
      <c r="E1144">
        <v>45.8</v>
      </c>
      <c r="F1144">
        <v>1.6</v>
      </c>
      <c r="G1144">
        <v>0.3</v>
      </c>
      <c r="H1144">
        <f t="shared" si="51"/>
        <v>215.55273192945151</v>
      </c>
      <c r="I1144">
        <f t="shared" si="52"/>
        <v>840.03273192945153</v>
      </c>
      <c r="J1144">
        <f>SUMIFS(Transit_Clean[Quantity], Transit_Clean[Destination], A1144, Transit_Clean[Item_Code], B1144, Transit_Clean[SAP_Status], "In Transit")</f>
        <v>3083</v>
      </c>
      <c r="K1144">
        <f t="shared" si="53"/>
        <v>8.9392774788624134</v>
      </c>
      <c r="L1144" t="str" cm="1">
        <f t="array" ref="L1144">_xlfn.IFS(C1144&lt;0,"DATO INVALIDO", C1144+J1144&lt;I1144,"PEDIR YA", C1144&lt;I1144,"EN CAMINO OK", TRUE,"SANO")</f>
        <v>SANO</v>
      </c>
    </row>
    <row r="1145" spans="1:12" x14ac:dyDescent="0.45">
      <c r="A1145" t="s">
        <v>1117</v>
      </c>
      <c r="B1145" t="s">
        <v>97</v>
      </c>
      <c r="C1145">
        <v>1265</v>
      </c>
      <c r="D1145">
        <v>174.7</v>
      </c>
      <c r="E1145">
        <v>76.099999999999994</v>
      </c>
      <c r="F1145">
        <v>2.4</v>
      </c>
      <c r="G1145">
        <v>0.5</v>
      </c>
      <c r="H1145">
        <f t="shared" si="51"/>
        <v>242.10019082241547</v>
      </c>
      <c r="I1145">
        <f t="shared" si="52"/>
        <v>661.38019082241544</v>
      </c>
      <c r="J1145">
        <f>SUMIFS(Transit_Clean[Quantity], Transit_Clean[Destination], A1145, Transit_Clean[Item_Code], B1145, Transit_Clean[SAP_Status], "In Transit")</f>
        <v>850</v>
      </c>
      <c r="K1145">
        <f t="shared" si="53"/>
        <v>7.2409845449341734</v>
      </c>
      <c r="L1145" t="str" cm="1">
        <f t="array" ref="L1145">_xlfn.IFS(C1145&lt;0,"DATO INVALIDO", C1145+J1145&lt;I1145,"PEDIR YA", C1145&lt;I1145,"EN CAMINO OK", TRUE,"SANO")</f>
        <v>SANO</v>
      </c>
    </row>
    <row r="1146" spans="1:12" x14ac:dyDescent="0.45">
      <c r="A1146" t="s">
        <v>1115</v>
      </c>
      <c r="B1146" t="s">
        <v>106</v>
      </c>
      <c r="C1146">
        <v>3231</v>
      </c>
      <c r="D1146">
        <v>596.5</v>
      </c>
      <c r="E1146">
        <v>176.7</v>
      </c>
      <c r="F1146">
        <v>1.7</v>
      </c>
      <c r="G1146">
        <v>0.6</v>
      </c>
      <c r="H1146">
        <f t="shared" si="51"/>
        <v>702.30970865245763</v>
      </c>
      <c r="I1146">
        <f t="shared" si="52"/>
        <v>1716.3597086524576</v>
      </c>
      <c r="J1146">
        <f>SUMIFS(Transit_Clean[Quantity], Transit_Clean[Destination], A1146, Transit_Clean[Item_Code], B1146, Transit_Clean[SAP_Status], "In Transit")</f>
        <v>0</v>
      </c>
      <c r="K1146">
        <f t="shared" si="53"/>
        <v>5.4165968147527241</v>
      </c>
      <c r="L1146" t="str" cm="1">
        <f t="array" ref="L1146">_xlfn.IFS(C1146&lt;0,"DATO INVALIDO", C1146+J1146&lt;I1146,"PEDIR YA", C1146&lt;I1146,"EN CAMINO OK", TRUE,"SANO")</f>
        <v>SANO</v>
      </c>
    </row>
    <row r="1147" spans="1:12" x14ac:dyDescent="0.45">
      <c r="A1147" t="s">
        <v>1121</v>
      </c>
      <c r="B1147" t="s">
        <v>101</v>
      </c>
      <c r="C1147">
        <v>4061</v>
      </c>
      <c r="D1147">
        <v>334.6</v>
      </c>
      <c r="E1147">
        <v>63.8</v>
      </c>
      <c r="F1147">
        <v>2.2999999999999998</v>
      </c>
      <c r="G1147">
        <v>0.4</v>
      </c>
      <c r="H1147">
        <f t="shared" si="51"/>
        <v>272.5006725973351</v>
      </c>
      <c r="I1147">
        <f t="shared" si="52"/>
        <v>1042.0806725973353</v>
      </c>
      <c r="J1147">
        <f>SUMIFS(Transit_Clean[Quantity], Transit_Clean[Destination], A1147, Transit_Clean[Item_Code], B1147, Transit_Clean[SAP_Status], "In Transit")</f>
        <v>0</v>
      </c>
      <c r="K1147">
        <f t="shared" si="53"/>
        <v>12.136879856545129</v>
      </c>
      <c r="L1147" t="str" cm="1">
        <f t="array" ref="L1147">_xlfn.IFS(C1147&lt;0,"DATO INVALIDO", C1147+J1147&lt;I1147,"PEDIR YA", C1147&lt;I1147,"EN CAMINO OK", TRUE,"SANO")</f>
        <v>SANO</v>
      </c>
    </row>
    <row r="1148" spans="1:12" x14ac:dyDescent="0.45">
      <c r="A1148" t="s">
        <v>1122</v>
      </c>
      <c r="B1148" t="s">
        <v>1134</v>
      </c>
      <c r="C1148">
        <v>2087</v>
      </c>
      <c r="D1148">
        <v>335.1</v>
      </c>
      <c r="E1148">
        <v>46.8</v>
      </c>
      <c r="F1148">
        <v>0.9</v>
      </c>
      <c r="G1148">
        <v>0.2</v>
      </c>
      <c r="H1148">
        <f t="shared" si="51"/>
        <v>132.64703332151836</v>
      </c>
      <c r="I1148">
        <f t="shared" si="52"/>
        <v>434.23703332151842</v>
      </c>
      <c r="J1148">
        <f>SUMIFS(Transit_Clean[Quantity], Transit_Clean[Destination], A1148, Transit_Clean[Item_Code], B1148, Transit_Clean[SAP_Status], "In Transit")</f>
        <v>1028</v>
      </c>
      <c r="K1148">
        <f t="shared" si="53"/>
        <v>6.2279916442852876</v>
      </c>
      <c r="L1148" t="str" cm="1">
        <f t="array" ref="L1148">_xlfn.IFS(C1148&lt;0,"DATO INVALIDO", C1148+J1148&lt;I1148,"PEDIR YA", C1148&lt;I1148,"EN CAMINO OK", TRUE,"SANO")</f>
        <v>SANO</v>
      </c>
    </row>
    <row r="1149" spans="1:12" x14ac:dyDescent="0.45">
      <c r="A1149" t="s">
        <v>1118</v>
      </c>
      <c r="B1149" t="s">
        <v>12</v>
      </c>
      <c r="C1149">
        <v>2437</v>
      </c>
      <c r="D1149">
        <v>545.70000000000005</v>
      </c>
      <c r="E1149">
        <v>75.599999999999994</v>
      </c>
      <c r="F1149">
        <v>5.8</v>
      </c>
      <c r="G1149">
        <v>1.5</v>
      </c>
      <c r="H1149">
        <f t="shared" si="51"/>
        <v>1383.614473448529</v>
      </c>
      <c r="I1149">
        <f t="shared" si="52"/>
        <v>4548.6744734485292</v>
      </c>
      <c r="J1149">
        <f>SUMIFS(Transit_Clean[Quantity], Transit_Clean[Destination], A1149, Transit_Clean[Item_Code], B1149, Transit_Clean[SAP_Status], "In Transit")</f>
        <v>1792</v>
      </c>
      <c r="K1149">
        <f t="shared" si="53"/>
        <v>4.465823712662635</v>
      </c>
      <c r="L1149" t="str" cm="1">
        <f t="array" ref="L1149">_xlfn.IFS(C1149&lt;0,"DATO INVALIDO", C1149+J1149&lt;I1149,"PEDIR YA", C1149&lt;I1149,"EN CAMINO OK", TRUE,"SANO")</f>
        <v>PEDIR YA</v>
      </c>
    </row>
    <row r="1150" spans="1:12" x14ac:dyDescent="0.45">
      <c r="A1150" t="s">
        <v>1121</v>
      </c>
      <c r="B1150" t="s">
        <v>1129</v>
      </c>
      <c r="C1150">
        <v>12593</v>
      </c>
      <c r="D1150">
        <v>920.3</v>
      </c>
      <c r="E1150">
        <v>207.1</v>
      </c>
      <c r="F1150">
        <v>2.2999999999999998</v>
      </c>
      <c r="G1150">
        <v>0.4</v>
      </c>
      <c r="H1150">
        <f t="shared" si="51"/>
        <v>798.43681980573763</v>
      </c>
      <c r="I1150">
        <f t="shared" si="52"/>
        <v>2915.1268198057373</v>
      </c>
      <c r="J1150">
        <f>SUMIFS(Transit_Clean[Quantity], Transit_Clean[Destination], A1150, Transit_Clean[Item_Code], B1150, Transit_Clean[SAP_Status], "In Transit")</f>
        <v>3902</v>
      </c>
      <c r="K1150">
        <f t="shared" si="53"/>
        <v>13.68358144083451</v>
      </c>
      <c r="L1150" t="str" cm="1">
        <f t="array" ref="L1150">_xlfn.IFS(C1150&lt;0,"DATO INVALIDO", C1150+J1150&lt;I1150,"PEDIR YA", C1150&lt;I1150,"EN CAMINO OK", TRUE,"SANO")</f>
        <v>SANO</v>
      </c>
    </row>
    <row r="1151" spans="1:12" x14ac:dyDescent="0.45">
      <c r="A1151" t="s">
        <v>1128</v>
      </c>
      <c r="B1151" t="s">
        <v>70</v>
      </c>
      <c r="C1151">
        <v>1877</v>
      </c>
      <c r="D1151">
        <v>547.29999999999995</v>
      </c>
      <c r="E1151">
        <v>146.6</v>
      </c>
      <c r="F1151">
        <v>1.4</v>
      </c>
      <c r="G1151">
        <v>0.5</v>
      </c>
      <c r="H1151">
        <f t="shared" si="51"/>
        <v>534.59110443987925</v>
      </c>
      <c r="I1151">
        <f t="shared" si="52"/>
        <v>1300.8111044398793</v>
      </c>
      <c r="J1151">
        <f>SUMIFS(Transit_Clean[Quantity], Transit_Clean[Destination], A1151, Transit_Clean[Item_Code], B1151, Transit_Clean[SAP_Status], "In Transit")</f>
        <v>491</v>
      </c>
      <c r="K1151">
        <f t="shared" si="53"/>
        <v>3.4295633107984655</v>
      </c>
      <c r="L1151" t="str" cm="1">
        <f t="array" ref="L1151">_xlfn.IFS(C1151&lt;0,"DATO INVALIDO", C1151+J1151&lt;I1151,"PEDIR YA", C1151&lt;I1151,"EN CAMINO OK", TRUE,"SANO")</f>
        <v>SANO</v>
      </c>
    </row>
    <row r="1152" spans="1:12" x14ac:dyDescent="0.45">
      <c r="A1152" t="s">
        <v>1117</v>
      </c>
      <c r="B1152" t="s">
        <v>72</v>
      </c>
      <c r="C1152">
        <v>2441</v>
      </c>
      <c r="D1152">
        <v>594.5</v>
      </c>
      <c r="E1152">
        <v>115.7</v>
      </c>
      <c r="F1152">
        <v>2.4</v>
      </c>
      <c r="G1152">
        <v>0.5</v>
      </c>
      <c r="H1152">
        <f t="shared" si="51"/>
        <v>572.73099232209358</v>
      </c>
      <c r="I1152">
        <f t="shared" si="52"/>
        <v>1999.5309923220934</v>
      </c>
      <c r="J1152">
        <f>SUMIFS(Transit_Clean[Quantity], Transit_Clean[Destination], A1152, Transit_Clean[Item_Code], B1152, Transit_Clean[SAP_Status], "In Transit")</f>
        <v>0</v>
      </c>
      <c r="K1152">
        <f t="shared" si="53"/>
        <v>4.1059714045416316</v>
      </c>
      <c r="L1152" t="str" cm="1">
        <f t="array" ref="L1152">_xlfn.IFS(C1152&lt;0,"DATO INVALIDO", C1152+J1152&lt;I1152,"PEDIR YA", C1152&lt;I1152,"EN CAMINO OK", TRUE,"SANO")</f>
        <v>SANO</v>
      </c>
    </row>
    <row r="1153" spans="1:12" x14ac:dyDescent="0.45">
      <c r="A1153" t="s">
        <v>1122</v>
      </c>
      <c r="B1153" t="s">
        <v>67</v>
      </c>
      <c r="C1153">
        <v>608</v>
      </c>
      <c r="D1153">
        <v>196</v>
      </c>
      <c r="E1153">
        <v>80.099999999999994</v>
      </c>
      <c r="F1153">
        <v>1</v>
      </c>
      <c r="G1153">
        <v>0.2</v>
      </c>
      <c r="H1153">
        <f t="shared" si="51"/>
        <v>147.14309234551243</v>
      </c>
      <c r="I1153">
        <f t="shared" si="52"/>
        <v>343.1430923455124</v>
      </c>
      <c r="J1153">
        <f>SUMIFS(Transit_Clean[Quantity], Transit_Clean[Destination], A1153, Transit_Clean[Item_Code], B1153, Transit_Clean[SAP_Status], "In Transit")</f>
        <v>2701</v>
      </c>
      <c r="K1153">
        <f t="shared" si="53"/>
        <v>3.1020408163265305</v>
      </c>
      <c r="L1153" t="str" cm="1">
        <f t="array" ref="L1153">_xlfn.IFS(C1153&lt;0,"DATO INVALIDO", C1153+J1153&lt;I1153,"PEDIR YA", C1153&lt;I1153,"EN CAMINO OK", TRUE,"SANO")</f>
        <v>SANO</v>
      </c>
    </row>
    <row r="1154" spans="1:12" x14ac:dyDescent="0.45">
      <c r="A1154" t="s">
        <v>1120</v>
      </c>
      <c r="B1154" t="s">
        <v>62</v>
      </c>
      <c r="C1154">
        <v>7245</v>
      </c>
      <c r="D1154">
        <v>531.4</v>
      </c>
      <c r="E1154">
        <v>61.4</v>
      </c>
      <c r="F1154">
        <v>2.2999999999999998</v>
      </c>
      <c r="G1154">
        <v>0.5</v>
      </c>
      <c r="H1154">
        <f t="shared" si="51"/>
        <v>464.54869610730793</v>
      </c>
      <c r="I1154">
        <f t="shared" si="52"/>
        <v>1686.7686961073077</v>
      </c>
      <c r="J1154">
        <f>SUMIFS(Transit_Clean[Quantity], Transit_Clean[Destination], A1154, Transit_Clean[Item_Code], B1154, Transit_Clean[SAP_Status], "In Transit")</f>
        <v>1569</v>
      </c>
      <c r="K1154">
        <f t="shared" si="53"/>
        <v>13.633797515995484</v>
      </c>
      <c r="L1154" t="str" cm="1">
        <f t="array" ref="L1154">_xlfn.IFS(C1154&lt;0,"DATO INVALIDO", C1154+J1154&lt;I1154,"PEDIR YA", C1154&lt;I1154,"EN CAMINO OK", TRUE,"SANO")</f>
        <v>SANO</v>
      </c>
    </row>
    <row r="1155" spans="1:12" x14ac:dyDescent="0.45">
      <c r="A1155" t="s">
        <v>1125</v>
      </c>
      <c r="B1155" t="s">
        <v>67</v>
      </c>
      <c r="C1155">
        <v>7745</v>
      </c>
      <c r="D1155">
        <v>445</v>
      </c>
      <c r="E1155">
        <v>112.9</v>
      </c>
      <c r="F1155">
        <v>4.9000000000000004</v>
      </c>
      <c r="G1155">
        <v>1.2</v>
      </c>
      <c r="H1155">
        <f t="shared" ref="H1155:H1218" si="54">IFERROR(1.65*SQRT(F1155*E1155^2 + D1155^2*G1155^2), "")</f>
        <v>972.81935938924437</v>
      </c>
      <c r="I1155">
        <f t="shared" ref="I1155:I1218" si="55">IFERROR(D1155*F1155 + H1155, "")</f>
        <v>3153.3193593892443</v>
      </c>
      <c r="J1155">
        <f>SUMIFS(Transit_Clean[Quantity], Transit_Clean[Destination], A1155, Transit_Clean[Item_Code], B1155, Transit_Clean[SAP_Status], "In Transit")</f>
        <v>0</v>
      </c>
      <c r="K1155">
        <f t="shared" ref="K1155:K1218" si="56">IFERROR(C1155/D1155, "")</f>
        <v>17.40449438202247</v>
      </c>
      <c r="L1155" t="str" cm="1">
        <f t="array" ref="L1155">_xlfn.IFS(C1155&lt;0,"DATO INVALIDO", C1155+J1155&lt;I1155,"PEDIR YA", C1155&lt;I1155,"EN CAMINO OK", TRUE,"SANO")</f>
        <v>SANO</v>
      </c>
    </row>
    <row r="1156" spans="1:12" x14ac:dyDescent="0.45">
      <c r="A1156" t="s">
        <v>1120</v>
      </c>
      <c r="B1156" t="s">
        <v>24</v>
      </c>
      <c r="D1156">
        <v>805.9</v>
      </c>
      <c r="E1156">
        <v>239.5</v>
      </c>
      <c r="F1156">
        <v>2.1</v>
      </c>
      <c r="G1156">
        <v>0.5</v>
      </c>
      <c r="H1156">
        <f t="shared" si="54"/>
        <v>877.49169903125005</v>
      </c>
      <c r="I1156">
        <f t="shared" si="55"/>
        <v>2569.8816990312503</v>
      </c>
      <c r="J1156">
        <f>SUMIFS(Transit_Clean[Quantity], Transit_Clean[Destination], A1156, Transit_Clean[Item_Code], B1156, Transit_Clean[SAP_Status], "In Transit")</f>
        <v>0</v>
      </c>
      <c r="K1156">
        <f t="shared" si="56"/>
        <v>0</v>
      </c>
      <c r="L1156" t="str" cm="1">
        <f t="array" ref="L1156">_xlfn.IFS(C1156&lt;0,"DATO INVALIDO", C1156+J1156&lt;I1156,"PEDIR YA", C1156&lt;I1156,"EN CAMINO OK", TRUE,"SANO")</f>
        <v>PEDIR YA</v>
      </c>
    </row>
    <row r="1157" spans="1:12" x14ac:dyDescent="0.45">
      <c r="A1157" t="s">
        <v>1121</v>
      </c>
      <c r="B1157" t="s">
        <v>81</v>
      </c>
      <c r="C1157">
        <v>7224</v>
      </c>
      <c r="D1157">
        <v>404</v>
      </c>
      <c r="E1157">
        <v>43.7</v>
      </c>
      <c r="F1157">
        <v>1.7</v>
      </c>
      <c r="G1157">
        <v>0.4</v>
      </c>
      <c r="H1157">
        <f t="shared" si="54"/>
        <v>282.72851349395239</v>
      </c>
      <c r="I1157">
        <f t="shared" si="55"/>
        <v>969.52851349395235</v>
      </c>
      <c r="J1157">
        <f>SUMIFS(Transit_Clean[Quantity], Transit_Clean[Destination], A1157, Transit_Clean[Item_Code], B1157, Transit_Clean[SAP_Status], "In Transit")</f>
        <v>1046</v>
      </c>
      <c r="K1157">
        <f t="shared" si="56"/>
        <v>17.881188118811881</v>
      </c>
      <c r="L1157" t="str" cm="1">
        <f t="array" ref="L1157">_xlfn.IFS(C1157&lt;0,"DATO INVALIDO", C1157+J1157&lt;I1157,"PEDIR YA", C1157&lt;I1157,"EN CAMINO OK", TRUE,"SANO")</f>
        <v>SANO</v>
      </c>
    </row>
    <row r="1158" spans="1:12" x14ac:dyDescent="0.45">
      <c r="A1158" t="s">
        <v>1123</v>
      </c>
      <c r="B1158" t="s">
        <v>67</v>
      </c>
      <c r="C1158">
        <v>4314</v>
      </c>
      <c r="E1158">
        <v>105.9</v>
      </c>
      <c r="F1158">
        <v>0.6</v>
      </c>
      <c r="G1158">
        <v>0.3</v>
      </c>
      <c r="H1158">
        <f t="shared" si="54"/>
        <v>135.3491489999106</v>
      </c>
      <c r="I1158">
        <f t="shared" si="55"/>
        <v>135.3491489999106</v>
      </c>
      <c r="J1158">
        <f>SUMIFS(Transit_Clean[Quantity], Transit_Clean[Destination], A1158, Transit_Clean[Item_Code], B1158, Transit_Clean[SAP_Status], "In Transit")</f>
        <v>763</v>
      </c>
      <c r="K1158" t="str">
        <f t="shared" si="56"/>
        <v/>
      </c>
      <c r="L1158" t="str" cm="1">
        <f t="array" ref="L1158">_xlfn.IFS(C1158&lt;0,"DATO INVALIDO", C1158+J1158&lt;I1158,"PEDIR YA", C1158&lt;I1158,"EN CAMINO OK", TRUE,"SANO")</f>
        <v>SANO</v>
      </c>
    </row>
    <row r="1159" spans="1:12" x14ac:dyDescent="0.45">
      <c r="A1159" t="s">
        <v>1127</v>
      </c>
      <c r="B1159" t="s">
        <v>83</v>
      </c>
      <c r="D1159">
        <v>622.6</v>
      </c>
      <c r="E1159">
        <v>153.4</v>
      </c>
      <c r="F1159">
        <v>2.4</v>
      </c>
      <c r="G1159">
        <v>0.9</v>
      </c>
      <c r="H1159">
        <f t="shared" si="54"/>
        <v>1004.2749901102785</v>
      </c>
      <c r="I1159">
        <f t="shared" si="55"/>
        <v>2498.5149901102786</v>
      </c>
      <c r="J1159">
        <f>SUMIFS(Transit_Clean[Quantity], Transit_Clean[Destination], A1159, Transit_Clean[Item_Code], B1159, Transit_Clean[SAP_Status], "In Transit")</f>
        <v>0</v>
      </c>
      <c r="K1159">
        <f t="shared" si="56"/>
        <v>0</v>
      </c>
      <c r="L1159" t="str" cm="1">
        <f t="array" ref="L1159">_xlfn.IFS(C1159&lt;0,"DATO INVALIDO", C1159+J1159&lt;I1159,"PEDIR YA", C1159&lt;I1159,"EN CAMINO OK", TRUE,"SANO")</f>
        <v>PEDIR YA</v>
      </c>
    </row>
    <row r="1160" spans="1:12" x14ac:dyDescent="0.45">
      <c r="A1160" t="s">
        <v>1117</v>
      </c>
      <c r="B1160" t="s">
        <v>7</v>
      </c>
      <c r="C1160">
        <v>5211</v>
      </c>
      <c r="D1160">
        <v>372.5</v>
      </c>
      <c r="E1160">
        <v>39.1</v>
      </c>
      <c r="F1160">
        <v>1.4</v>
      </c>
      <c r="G1160">
        <v>0.5</v>
      </c>
      <c r="H1160">
        <f t="shared" si="54"/>
        <v>316.65127817719292</v>
      </c>
      <c r="I1160">
        <f t="shared" si="55"/>
        <v>838.15127817719292</v>
      </c>
      <c r="J1160">
        <f>SUMIFS(Transit_Clean[Quantity], Transit_Clean[Destination], A1160, Transit_Clean[Item_Code], B1160, Transit_Clean[SAP_Status], "In Transit")</f>
        <v>0</v>
      </c>
      <c r="K1160">
        <f t="shared" si="56"/>
        <v>13.989261744966443</v>
      </c>
      <c r="L1160" t="str" cm="1">
        <f t="array" ref="L1160">_xlfn.IFS(C1160&lt;0,"DATO INVALIDO", C1160+J1160&lt;I1160,"PEDIR YA", C1160&lt;I1160,"EN CAMINO OK", TRUE,"SANO")</f>
        <v>SANO</v>
      </c>
    </row>
    <row r="1161" spans="1:12" x14ac:dyDescent="0.45">
      <c r="A1161" t="s">
        <v>1123</v>
      </c>
      <c r="B1161" t="s">
        <v>66</v>
      </c>
      <c r="C1161">
        <v>4139</v>
      </c>
      <c r="D1161">
        <v>385.8</v>
      </c>
      <c r="E1161">
        <v>56.3</v>
      </c>
      <c r="F1161">
        <v>1</v>
      </c>
      <c r="G1161">
        <v>0.3</v>
      </c>
      <c r="H1161">
        <f t="shared" si="54"/>
        <v>212.3662022686284</v>
      </c>
      <c r="I1161">
        <f t="shared" si="55"/>
        <v>598.16620226862847</v>
      </c>
      <c r="J1161">
        <f>SUMIFS(Transit_Clean[Quantity], Transit_Clean[Destination], A1161, Transit_Clean[Item_Code], B1161, Transit_Clean[SAP_Status], "In Transit")</f>
        <v>371</v>
      </c>
      <c r="K1161">
        <f t="shared" si="56"/>
        <v>10.728356661482634</v>
      </c>
      <c r="L1161" t="str" cm="1">
        <f t="array" ref="L1161">_xlfn.IFS(C1161&lt;0,"DATO INVALIDO", C1161+J1161&lt;I1161,"PEDIR YA", C1161&lt;I1161,"EN CAMINO OK", TRUE,"SANO")</f>
        <v>SANO</v>
      </c>
    </row>
    <row r="1162" spans="1:12" x14ac:dyDescent="0.45">
      <c r="A1162" t="s">
        <v>1122</v>
      </c>
      <c r="B1162" t="s">
        <v>15</v>
      </c>
      <c r="C1162">
        <v>2092</v>
      </c>
      <c r="D1162">
        <v>691.9</v>
      </c>
      <c r="E1162">
        <v>149.69999999999999</v>
      </c>
      <c r="F1162">
        <v>1.1000000000000001</v>
      </c>
      <c r="G1162">
        <v>0.2</v>
      </c>
      <c r="H1162">
        <f t="shared" si="54"/>
        <v>345.31990379429328</v>
      </c>
      <c r="I1162">
        <f t="shared" si="55"/>
        <v>1106.4099037942933</v>
      </c>
      <c r="J1162">
        <f>SUMIFS(Transit_Clean[Quantity], Transit_Clean[Destination], A1162, Transit_Clean[Item_Code], B1162, Transit_Clean[SAP_Status], "In Transit")</f>
        <v>0</v>
      </c>
      <c r="K1162">
        <f t="shared" si="56"/>
        <v>3.0235583176759646</v>
      </c>
      <c r="L1162" t="str" cm="1">
        <f t="array" ref="L1162">_xlfn.IFS(C1162&lt;0,"DATO INVALIDO", C1162+J1162&lt;I1162,"PEDIR YA", C1162&lt;I1162,"EN CAMINO OK", TRUE,"SANO")</f>
        <v>SANO</v>
      </c>
    </row>
    <row r="1163" spans="1:12" x14ac:dyDescent="0.45">
      <c r="A1163" t="s">
        <v>1118</v>
      </c>
      <c r="B1163" t="s">
        <v>87</v>
      </c>
      <c r="C1163">
        <v>4477</v>
      </c>
      <c r="D1163">
        <v>525.4</v>
      </c>
      <c r="E1163">
        <v>104.1</v>
      </c>
      <c r="F1163">
        <v>1.4</v>
      </c>
      <c r="G1163">
        <v>1.5</v>
      </c>
      <c r="H1163">
        <f t="shared" si="54"/>
        <v>1316.1510682820569</v>
      </c>
      <c r="I1163">
        <f t="shared" si="55"/>
        <v>2051.7110682820567</v>
      </c>
      <c r="J1163">
        <f>SUMIFS(Transit_Clean[Quantity], Transit_Clean[Destination], A1163, Transit_Clean[Item_Code], B1163, Transit_Clean[SAP_Status], "In Transit")</f>
        <v>1141</v>
      </c>
      <c r="K1163">
        <f t="shared" si="56"/>
        <v>8.52112676056338</v>
      </c>
      <c r="L1163" t="str" cm="1">
        <f t="array" ref="L1163">_xlfn.IFS(C1163&lt;0,"DATO INVALIDO", C1163+J1163&lt;I1163,"PEDIR YA", C1163&lt;I1163,"EN CAMINO OK", TRUE,"SANO")</f>
        <v>SANO</v>
      </c>
    </row>
    <row r="1164" spans="1:12" x14ac:dyDescent="0.45">
      <c r="A1164" t="s">
        <v>1120</v>
      </c>
      <c r="B1164" t="s">
        <v>1130</v>
      </c>
      <c r="C1164">
        <v>2417</v>
      </c>
      <c r="D1164">
        <v>400.7</v>
      </c>
      <c r="E1164">
        <v>250.3</v>
      </c>
      <c r="F1164">
        <v>1.7</v>
      </c>
      <c r="G1164">
        <v>0.5</v>
      </c>
      <c r="H1164">
        <f t="shared" si="54"/>
        <v>631.85580835246731</v>
      </c>
      <c r="I1164">
        <f t="shared" si="55"/>
        <v>1313.0458083524672</v>
      </c>
      <c r="J1164">
        <f>SUMIFS(Transit_Clean[Quantity], Transit_Clean[Destination], A1164, Transit_Clean[Item_Code], B1164, Transit_Clean[SAP_Status], "In Transit")</f>
        <v>4371</v>
      </c>
      <c r="K1164">
        <f t="shared" si="56"/>
        <v>6.0319440978287995</v>
      </c>
      <c r="L1164" t="str" cm="1">
        <f t="array" ref="L1164">_xlfn.IFS(C1164&lt;0,"DATO INVALIDO", C1164+J1164&lt;I1164,"PEDIR YA", C1164&lt;I1164,"EN CAMINO OK", TRUE,"SANO")</f>
        <v>SANO</v>
      </c>
    </row>
    <row r="1165" spans="1:12" x14ac:dyDescent="0.45">
      <c r="A1165" t="s">
        <v>1123</v>
      </c>
      <c r="B1165" t="s">
        <v>80</v>
      </c>
      <c r="C1165">
        <v>3306</v>
      </c>
      <c r="D1165">
        <v>256.2</v>
      </c>
      <c r="E1165">
        <v>26.5</v>
      </c>
      <c r="F1165">
        <v>0.8</v>
      </c>
      <c r="G1165">
        <v>0.3</v>
      </c>
      <c r="H1165">
        <f t="shared" si="54"/>
        <v>132.71231766870773</v>
      </c>
      <c r="I1165">
        <f t="shared" si="55"/>
        <v>337.67231766870771</v>
      </c>
      <c r="J1165">
        <f>SUMIFS(Transit_Clean[Quantity], Transit_Clean[Destination], A1165, Transit_Clean[Item_Code], B1165, Transit_Clean[SAP_Status], "In Transit")</f>
        <v>2180</v>
      </c>
      <c r="K1165">
        <f t="shared" si="56"/>
        <v>12.903981264637004</v>
      </c>
      <c r="L1165" t="str" cm="1">
        <f t="array" ref="L1165">_xlfn.IFS(C1165&lt;0,"DATO INVALIDO", C1165+J1165&lt;I1165,"PEDIR YA", C1165&lt;I1165,"EN CAMINO OK", TRUE,"SANO")</f>
        <v>SANO</v>
      </c>
    </row>
    <row r="1166" spans="1:12" x14ac:dyDescent="0.45">
      <c r="A1166" t="s">
        <v>1122</v>
      </c>
      <c r="B1166" t="s">
        <v>1130</v>
      </c>
      <c r="C1166">
        <v>6360</v>
      </c>
      <c r="D1166">
        <v>566.5</v>
      </c>
      <c r="E1166">
        <v>379.7</v>
      </c>
      <c r="F1166">
        <v>0.9</v>
      </c>
      <c r="G1166">
        <v>0.2</v>
      </c>
      <c r="H1166">
        <f t="shared" si="54"/>
        <v>623.06187216640046</v>
      </c>
      <c r="I1166">
        <f t="shared" si="55"/>
        <v>1132.9118721664004</v>
      </c>
      <c r="J1166">
        <f>SUMIFS(Transit_Clean[Quantity], Transit_Clean[Destination], A1166, Transit_Clean[Item_Code], B1166, Transit_Clean[SAP_Status], "In Transit")</f>
        <v>0</v>
      </c>
      <c r="K1166">
        <f t="shared" si="56"/>
        <v>11.226831421006178</v>
      </c>
      <c r="L1166" t="str" cm="1">
        <f t="array" ref="L1166">_xlfn.IFS(C1166&lt;0,"DATO INVALIDO", C1166+J1166&lt;I1166,"PEDIR YA", C1166&lt;I1166,"EN CAMINO OK", TRUE,"SANO")</f>
        <v>SANO</v>
      </c>
    </row>
    <row r="1167" spans="1:12" x14ac:dyDescent="0.45">
      <c r="A1167" t="s">
        <v>1120</v>
      </c>
      <c r="B1167" t="s">
        <v>75</v>
      </c>
      <c r="C1167">
        <v>2617</v>
      </c>
      <c r="D1167">
        <v>211</v>
      </c>
      <c r="E1167">
        <v>35.9</v>
      </c>
      <c r="F1167">
        <v>2.4</v>
      </c>
      <c r="G1167">
        <v>0.5</v>
      </c>
      <c r="H1167">
        <f t="shared" si="54"/>
        <v>196.78208801870153</v>
      </c>
      <c r="I1167">
        <f t="shared" si="55"/>
        <v>703.18208801870151</v>
      </c>
      <c r="J1167">
        <f>SUMIFS(Transit_Clean[Quantity], Transit_Clean[Destination], A1167, Transit_Clean[Item_Code], B1167, Transit_Clean[SAP_Status], "In Transit")</f>
        <v>1193</v>
      </c>
      <c r="K1167">
        <f t="shared" si="56"/>
        <v>12.402843601895734</v>
      </c>
      <c r="L1167" t="str" cm="1">
        <f t="array" ref="L1167">_xlfn.IFS(C1167&lt;0,"DATO INVALIDO", C1167+J1167&lt;I1167,"PEDIR YA", C1167&lt;I1167,"EN CAMINO OK", TRUE,"SANO")</f>
        <v>SANO</v>
      </c>
    </row>
    <row r="1168" spans="1:12" x14ac:dyDescent="0.45">
      <c r="A1168" t="s">
        <v>1128</v>
      </c>
      <c r="B1168" t="s">
        <v>71</v>
      </c>
      <c r="C1168">
        <v>2747</v>
      </c>
      <c r="D1168">
        <v>242.9</v>
      </c>
      <c r="E1168">
        <v>20.5</v>
      </c>
      <c r="F1168">
        <v>1.6</v>
      </c>
      <c r="G1168">
        <v>0.5</v>
      </c>
      <c r="H1168">
        <f t="shared" si="54"/>
        <v>204.90915805851625</v>
      </c>
      <c r="I1168">
        <f t="shared" si="55"/>
        <v>593.54915805851624</v>
      </c>
      <c r="J1168">
        <f>SUMIFS(Transit_Clean[Quantity], Transit_Clean[Destination], A1168, Transit_Clean[Item_Code], B1168, Transit_Clean[SAP_Status], "In Transit")</f>
        <v>0</v>
      </c>
      <c r="K1168">
        <f t="shared" si="56"/>
        <v>11.309180732811857</v>
      </c>
      <c r="L1168" t="str" cm="1">
        <f t="array" ref="L1168">_xlfn.IFS(C1168&lt;0,"DATO INVALIDO", C1168+J1168&lt;I1168,"PEDIR YA", C1168&lt;I1168,"EN CAMINO OK", TRUE,"SANO")</f>
        <v>SANO</v>
      </c>
    </row>
    <row r="1169" spans="1:12" x14ac:dyDescent="0.45">
      <c r="A1169" t="s">
        <v>1120</v>
      </c>
      <c r="B1169" t="s">
        <v>13</v>
      </c>
      <c r="C1169">
        <v>3132</v>
      </c>
      <c r="D1169">
        <v>363.4</v>
      </c>
      <c r="E1169">
        <v>111.2</v>
      </c>
      <c r="F1169">
        <v>1.6</v>
      </c>
      <c r="G1169">
        <v>0.5</v>
      </c>
      <c r="H1169">
        <f t="shared" si="54"/>
        <v>379.13967698593615</v>
      </c>
      <c r="I1169">
        <f t="shared" si="55"/>
        <v>960.57967698593609</v>
      </c>
      <c r="J1169">
        <f>SUMIFS(Transit_Clean[Quantity], Transit_Clean[Destination], A1169, Transit_Clean[Item_Code], B1169, Transit_Clean[SAP_Status], "In Transit")</f>
        <v>0</v>
      </c>
      <c r="K1169">
        <f t="shared" si="56"/>
        <v>8.6186020913593833</v>
      </c>
      <c r="L1169" t="str" cm="1">
        <f t="array" ref="L1169">_xlfn.IFS(C1169&lt;0,"DATO INVALIDO", C1169+J1169&lt;I1169,"PEDIR YA", C1169&lt;I1169,"EN CAMINO OK", TRUE,"SANO")</f>
        <v>SANO</v>
      </c>
    </row>
    <row r="1170" spans="1:12" x14ac:dyDescent="0.45">
      <c r="A1170" t="s">
        <v>1115</v>
      </c>
      <c r="B1170" t="s">
        <v>62</v>
      </c>
      <c r="C1170">
        <v>938</v>
      </c>
      <c r="D1170">
        <v>403.7</v>
      </c>
      <c r="E1170">
        <v>50.6</v>
      </c>
      <c r="F1170">
        <v>2.9</v>
      </c>
      <c r="G1170">
        <v>0.6</v>
      </c>
      <c r="H1170">
        <f t="shared" si="54"/>
        <v>424.1994764954336</v>
      </c>
      <c r="I1170">
        <f t="shared" si="55"/>
        <v>1594.9294764954336</v>
      </c>
      <c r="J1170">
        <f>SUMIFS(Transit_Clean[Quantity], Transit_Clean[Destination], A1170, Transit_Clean[Item_Code], B1170, Transit_Clean[SAP_Status], "In Transit")</f>
        <v>0</v>
      </c>
      <c r="K1170">
        <f t="shared" si="56"/>
        <v>2.3235075551151847</v>
      </c>
      <c r="L1170" t="str" cm="1">
        <f t="array" ref="L1170">_xlfn.IFS(C1170&lt;0,"DATO INVALIDO", C1170+J1170&lt;I1170,"PEDIR YA", C1170&lt;I1170,"EN CAMINO OK", TRUE,"SANO")</f>
        <v>PEDIR YA</v>
      </c>
    </row>
    <row r="1171" spans="1:12" x14ac:dyDescent="0.45">
      <c r="A1171" t="s">
        <v>1124</v>
      </c>
      <c r="B1171" t="s">
        <v>49</v>
      </c>
      <c r="C1171">
        <v>1772</v>
      </c>
      <c r="D1171">
        <v>577</v>
      </c>
      <c r="E1171">
        <v>106.6</v>
      </c>
      <c r="F1171">
        <v>0.9</v>
      </c>
      <c r="G1171">
        <v>0.3</v>
      </c>
      <c r="H1171">
        <f t="shared" si="54"/>
        <v>330.78617128743451</v>
      </c>
      <c r="I1171">
        <f t="shared" si="55"/>
        <v>850.08617128743458</v>
      </c>
      <c r="J1171">
        <f>SUMIFS(Transit_Clean[Quantity], Transit_Clean[Destination], A1171, Transit_Clean[Item_Code], B1171, Transit_Clean[SAP_Status], "In Transit")</f>
        <v>0</v>
      </c>
      <c r="K1171">
        <f t="shared" si="56"/>
        <v>3.0710571923743499</v>
      </c>
      <c r="L1171" t="str" cm="1">
        <f t="array" ref="L1171">_xlfn.IFS(C1171&lt;0,"DATO INVALIDO", C1171+J1171&lt;I1171,"PEDIR YA", C1171&lt;I1171,"EN CAMINO OK", TRUE,"SANO")</f>
        <v>SANO</v>
      </c>
    </row>
    <row r="1172" spans="1:12" x14ac:dyDescent="0.45">
      <c r="A1172" t="s">
        <v>1118</v>
      </c>
      <c r="B1172" t="s">
        <v>88</v>
      </c>
      <c r="C1172">
        <v>169</v>
      </c>
      <c r="D1172">
        <v>256.60000000000002</v>
      </c>
      <c r="E1172">
        <v>112.5</v>
      </c>
      <c r="F1172">
        <v>6.6</v>
      </c>
      <c r="G1172">
        <v>1.5</v>
      </c>
      <c r="H1172">
        <f t="shared" si="54"/>
        <v>794.19568454506225</v>
      </c>
      <c r="I1172">
        <f t="shared" si="55"/>
        <v>2487.7556845450622</v>
      </c>
      <c r="J1172">
        <f>SUMIFS(Transit_Clean[Quantity], Transit_Clean[Destination], A1172, Transit_Clean[Item_Code], B1172, Transit_Clean[SAP_Status], "In Transit")</f>
        <v>2841</v>
      </c>
      <c r="K1172">
        <f t="shared" si="56"/>
        <v>0.65861262665627429</v>
      </c>
      <c r="L1172" t="str" cm="1">
        <f t="array" ref="L1172">_xlfn.IFS(C1172&lt;0,"DATO INVALIDO", C1172+J1172&lt;I1172,"PEDIR YA", C1172&lt;I1172,"EN CAMINO OK", TRUE,"SANO")</f>
        <v>EN CAMINO OK</v>
      </c>
    </row>
    <row r="1173" spans="1:12" x14ac:dyDescent="0.45">
      <c r="A1173" t="s">
        <v>1121</v>
      </c>
      <c r="B1173" t="s">
        <v>59</v>
      </c>
      <c r="C1173">
        <v>5211</v>
      </c>
      <c r="D1173">
        <v>450.2</v>
      </c>
      <c r="E1173">
        <v>62</v>
      </c>
      <c r="F1173">
        <v>2.5</v>
      </c>
      <c r="G1173">
        <v>0.4</v>
      </c>
      <c r="H1173">
        <f t="shared" si="54"/>
        <v>338.30555777876305</v>
      </c>
      <c r="I1173">
        <f t="shared" si="55"/>
        <v>1463.8055577787632</v>
      </c>
      <c r="J1173">
        <f>SUMIFS(Transit_Clean[Quantity], Transit_Clean[Destination], A1173, Transit_Clean[Item_Code], B1173, Transit_Clean[SAP_Status], "In Transit")</f>
        <v>3607</v>
      </c>
      <c r="K1173">
        <f t="shared" si="56"/>
        <v>11.574855619724568</v>
      </c>
      <c r="L1173" t="str" cm="1">
        <f t="array" ref="L1173">_xlfn.IFS(C1173&lt;0,"DATO INVALIDO", C1173+J1173&lt;I1173,"PEDIR YA", C1173&lt;I1173,"EN CAMINO OK", TRUE,"SANO")</f>
        <v>SANO</v>
      </c>
    </row>
    <row r="1174" spans="1:12" x14ac:dyDescent="0.45">
      <c r="A1174" t="s">
        <v>1127</v>
      </c>
      <c r="B1174" t="s">
        <v>52</v>
      </c>
      <c r="C1174">
        <v>2286</v>
      </c>
      <c r="D1174">
        <v>405.6</v>
      </c>
      <c r="E1174">
        <v>150.30000000000001</v>
      </c>
      <c r="F1174">
        <v>2.7</v>
      </c>
      <c r="G1174">
        <v>0.9</v>
      </c>
      <c r="H1174">
        <f t="shared" si="54"/>
        <v>727.21294537673089</v>
      </c>
      <c r="I1174">
        <f t="shared" si="55"/>
        <v>1822.332945376731</v>
      </c>
      <c r="J1174">
        <f>SUMIFS(Transit_Clean[Quantity], Transit_Clean[Destination], A1174, Transit_Clean[Item_Code], B1174, Transit_Clean[SAP_Status], "In Transit")</f>
        <v>553</v>
      </c>
      <c r="K1174">
        <f t="shared" si="56"/>
        <v>5.6360946745562126</v>
      </c>
      <c r="L1174" t="str" cm="1">
        <f t="array" ref="L1174">_xlfn.IFS(C1174&lt;0,"DATO INVALIDO", C1174+J1174&lt;I1174,"PEDIR YA", C1174&lt;I1174,"EN CAMINO OK", TRUE,"SANO")</f>
        <v>SANO</v>
      </c>
    </row>
    <row r="1175" spans="1:12" x14ac:dyDescent="0.45">
      <c r="A1175" t="s">
        <v>1121</v>
      </c>
      <c r="B1175" t="s">
        <v>36</v>
      </c>
      <c r="D1175">
        <v>227</v>
      </c>
      <c r="E1175">
        <v>75.599999999999994</v>
      </c>
      <c r="F1175">
        <v>1.7</v>
      </c>
      <c r="G1175">
        <v>0.4</v>
      </c>
      <c r="H1175">
        <f t="shared" si="54"/>
        <v>221.12925478099905</v>
      </c>
      <c r="I1175">
        <f t="shared" si="55"/>
        <v>607.02925478099905</v>
      </c>
      <c r="J1175">
        <f>SUMIFS(Transit_Clean[Quantity], Transit_Clean[Destination], A1175, Transit_Clean[Item_Code], B1175, Transit_Clean[SAP_Status], "In Transit")</f>
        <v>4328</v>
      </c>
      <c r="K1175">
        <f t="shared" si="56"/>
        <v>0</v>
      </c>
      <c r="L1175" t="str" cm="1">
        <f t="array" ref="L1175">_xlfn.IFS(C1175&lt;0,"DATO INVALIDO", C1175+J1175&lt;I1175,"PEDIR YA", C1175&lt;I1175,"EN CAMINO OK", TRUE,"SANO")</f>
        <v>EN CAMINO OK</v>
      </c>
    </row>
    <row r="1176" spans="1:12" x14ac:dyDescent="0.45">
      <c r="A1176" t="s">
        <v>1116</v>
      </c>
      <c r="B1176" t="s">
        <v>85</v>
      </c>
      <c r="C1176">
        <v>1243</v>
      </c>
      <c r="D1176">
        <v>108.6</v>
      </c>
      <c r="E1176">
        <v>54.3</v>
      </c>
      <c r="F1176">
        <v>3.2</v>
      </c>
      <c r="G1176">
        <v>1.6</v>
      </c>
      <c r="H1176">
        <f t="shared" si="54"/>
        <v>328.46069551165476</v>
      </c>
      <c r="I1176">
        <f t="shared" si="55"/>
        <v>675.98069551165474</v>
      </c>
      <c r="J1176">
        <f>SUMIFS(Transit_Clean[Quantity], Transit_Clean[Destination], A1176, Transit_Clean[Item_Code], B1176, Transit_Clean[SAP_Status], "In Transit")</f>
        <v>3142</v>
      </c>
      <c r="K1176">
        <f t="shared" si="56"/>
        <v>11.445672191528546</v>
      </c>
      <c r="L1176" t="str" cm="1">
        <f t="array" ref="L1176">_xlfn.IFS(C1176&lt;0,"DATO INVALIDO", C1176+J1176&lt;I1176,"PEDIR YA", C1176&lt;I1176,"EN CAMINO OK", TRUE,"SANO")</f>
        <v>SANO</v>
      </c>
    </row>
    <row r="1177" spans="1:12" x14ac:dyDescent="0.45">
      <c r="A1177" t="s">
        <v>1121</v>
      </c>
      <c r="B1177" t="s">
        <v>89</v>
      </c>
      <c r="C1177">
        <v>6963</v>
      </c>
      <c r="D1177">
        <v>638.9</v>
      </c>
      <c r="E1177">
        <v>116.5</v>
      </c>
      <c r="F1177">
        <v>2.1</v>
      </c>
      <c r="G1177">
        <v>0.4</v>
      </c>
      <c r="H1177">
        <f t="shared" si="54"/>
        <v>505.37600713577609</v>
      </c>
      <c r="I1177">
        <f t="shared" si="55"/>
        <v>1847.0660071357761</v>
      </c>
      <c r="J1177">
        <f>SUMIFS(Transit_Clean[Quantity], Transit_Clean[Destination], A1177, Transit_Clean[Item_Code], B1177, Transit_Clean[SAP_Status], "In Transit")</f>
        <v>0</v>
      </c>
      <c r="K1177">
        <f t="shared" si="56"/>
        <v>10.898419157927689</v>
      </c>
      <c r="L1177" t="str" cm="1">
        <f t="array" ref="L1177">_xlfn.IFS(C1177&lt;0,"DATO INVALIDO", C1177+J1177&lt;I1177,"PEDIR YA", C1177&lt;I1177,"EN CAMINO OK", TRUE,"SANO")</f>
        <v>SANO</v>
      </c>
    </row>
    <row r="1178" spans="1:12" x14ac:dyDescent="0.45">
      <c r="A1178" t="s">
        <v>1123</v>
      </c>
      <c r="B1178" t="s">
        <v>1132</v>
      </c>
      <c r="C1178">
        <v>2480</v>
      </c>
      <c r="D1178">
        <v>363.6</v>
      </c>
      <c r="E1178">
        <v>40.299999999999997</v>
      </c>
      <c r="F1178">
        <v>0.8</v>
      </c>
      <c r="G1178">
        <v>0.3</v>
      </c>
      <c r="H1178">
        <f t="shared" si="54"/>
        <v>189.55418313506036</v>
      </c>
      <c r="I1178">
        <f t="shared" si="55"/>
        <v>480.43418313506038</v>
      </c>
      <c r="J1178">
        <f>SUMIFS(Transit_Clean[Quantity], Transit_Clean[Destination], A1178, Transit_Clean[Item_Code], B1178, Transit_Clean[SAP_Status], "In Transit")</f>
        <v>3534</v>
      </c>
      <c r="K1178">
        <f t="shared" si="56"/>
        <v>6.8206820682068203</v>
      </c>
      <c r="L1178" t="str" cm="1">
        <f t="array" ref="L1178">_xlfn.IFS(C1178&lt;0,"DATO INVALIDO", C1178+J1178&lt;I1178,"PEDIR YA", C1178&lt;I1178,"EN CAMINO OK", TRUE,"SANO")</f>
        <v>SANO</v>
      </c>
    </row>
    <row r="1179" spans="1:12" x14ac:dyDescent="0.45">
      <c r="A1179" t="s">
        <v>1118</v>
      </c>
      <c r="B1179" t="s">
        <v>58</v>
      </c>
      <c r="C1179">
        <v>1852</v>
      </c>
      <c r="D1179">
        <v>240.2</v>
      </c>
      <c r="E1179">
        <v>19.399999999999999</v>
      </c>
      <c r="F1179">
        <v>3.2</v>
      </c>
      <c r="G1179">
        <v>1.5</v>
      </c>
      <c r="H1179">
        <f t="shared" si="54"/>
        <v>597.24630877469633</v>
      </c>
      <c r="I1179">
        <f t="shared" si="55"/>
        <v>1365.8863087746963</v>
      </c>
      <c r="J1179">
        <f>SUMIFS(Transit_Clean[Quantity], Transit_Clean[Destination], A1179, Transit_Clean[Item_Code], B1179, Transit_Clean[SAP_Status], "In Transit")</f>
        <v>0</v>
      </c>
      <c r="K1179">
        <f t="shared" si="56"/>
        <v>7.7102414654454625</v>
      </c>
      <c r="L1179" t="str" cm="1">
        <f t="array" ref="L1179">_xlfn.IFS(C1179&lt;0,"DATO INVALIDO", C1179+J1179&lt;I1179,"PEDIR YA", C1179&lt;I1179,"EN CAMINO OK", TRUE,"SANO")</f>
        <v>SANO</v>
      </c>
    </row>
    <row r="1180" spans="1:12" x14ac:dyDescent="0.45">
      <c r="A1180" t="s">
        <v>1118</v>
      </c>
      <c r="B1180" t="s">
        <v>5</v>
      </c>
      <c r="C1180">
        <v>4031</v>
      </c>
      <c r="D1180">
        <v>281</v>
      </c>
      <c r="E1180">
        <v>35.6</v>
      </c>
      <c r="F1180">
        <v>5.3</v>
      </c>
      <c r="G1180">
        <v>1.5</v>
      </c>
      <c r="H1180">
        <f t="shared" si="54"/>
        <v>708.50019753349397</v>
      </c>
      <c r="I1180">
        <f t="shared" si="55"/>
        <v>2197.8001975334937</v>
      </c>
      <c r="J1180">
        <f>SUMIFS(Transit_Clean[Quantity], Transit_Clean[Destination], A1180, Transit_Clean[Item_Code], B1180, Transit_Clean[SAP_Status], "In Transit")</f>
        <v>0</v>
      </c>
      <c r="K1180">
        <f t="shared" si="56"/>
        <v>14.345195729537366</v>
      </c>
      <c r="L1180" t="str" cm="1">
        <f t="array" ref="L1180">_xlfn.IFS(C1180&lt;0,"DATO INVALIDO", C1180+J1180&lt;I1180,"PEDIR YA", C1180&lt;I1180,"EN CAMINO OK", TRUE,"SANO")</f>
        <v>SANO</v>
      </c>
    </row>
    <row r="1181" spans="1:12" x14ac:dyDescent="0.45">
      <c r="A1181" t="s">
        <v>1119</v>
      </c>
      <c r="B1181" t="s">
        <v>106</v>
      </c>
      <c r="C1181">
        <v>5090</v>
      </c>
      <c r="D1181">
        <v>800.2</v>
      </c>
      <c r="E1181">
        <v>157.4</v>
      </c>
      <c r="F1181">
        <v>4.5</v>
      </c>
      <c r="G1181">
        <v>1</v>
      </c>
      <c r="H1181">
        <f t="shared" si="54"/>
        <v>1430.6617655302039</v>
      </c>
      <c r="I1181">
        <f t="shared" si="55"/>
        <v>5031.561765530204</v>
      </c>
      <c r="J1181">
        <f>SUMIFS(Transit_Clean[Quantity], Transit_Clean[Destination], A1181, Transit_Clean[Item_Code], B1181, Transit_Clean[SAP_Status], "In Transit")</f>
        <v>0</v>
      </c>
      <c r="K1181">
        <f t="shared" si="56"/>
        <v>6.3609097725568606</v>
      </c>
      <c r="L1181" t="str" cm="1">
        <f t="array" ref="L1181">_xlfn.IFS(C1181&lt;0,"DATO INVALIDO", C1181+J1181&lt;I1181,"PEDIR YA", C1181&lt;I1181,"EN CAMINO OK", TRUE,"SANO")</f>
        <v>SANO</v>
      </c>
    </row>
    <row r="1182" spans="1:12" x14ac:dyDescent="0.45">
      <c r="A1182" t="s">
        <v>1126</v>
      </c>
      <c r="B1182" t="s">
        <v>20</v>
      </c>
      <c r="C1182">
        <v>3801</v>
      </c>
      <c r="D1182">
        <v>577.9</v>
      </c>
      <c r="E1182">
        <v>61</v>
      </c>
      <c r="F1182">
        <v>1.1000000000000001</v>
      </c>
      <c r="G1182">
        <v>0.2</v>
      </c>
      <c r="H1182">
        <f t="shared" si="54"/>
        <v>217.97390806929161</v>
      </c>
      <c r="I1182">
        <f t="shared" si="55"/>
        <v>853.66390806929167</v>
      </c>
      <c r="J1182">
        <f>SUMIFS(Transit_Clean[Quantity], Transit_Clean[Destination], A1182, Transit_Clean[Item_Code], B1182, Transit_Clean[SAP_Status], "In Transit")</f>
        <v>1429</v>
      </c>
      <c r="K1182">
        <f t="shared" si="56"/>
        <v>6.5772625021630047</v>
      </c>
      <c r="L1182" t="str" cm="1">
        <f t="array" ref="L1182">_xlfn.IFS(C1182&lt;0,"DATO INVALIDO", C1182+J1182&lt;I1182,"PEDIR YA", C1182&lt;I1182,"EN CAMINO OK", TRUE,"SANO")</f>
        <v>SANO</v>
      </c>
    </row>
    <row r="1183" spans="1:12" x14ac:dyDescent="0.45">
      <c r="A1183" t="s">
        <v>1127</v>
      </c>
      <c r="B1183" t="s">
        <v>51</v>
      </c>
      <c r="C1183">
        <v>1818</v>
      </c>
      <c r="D1183">
        <v>648.70000000000005</v>
      </c>
      <c r="E1183">
        <v>193</v>
      </c>
      <c r="F1183">
        <v>2.9</v>
      </c>
      <c r="G1183">
        <v>0.9</v>
      </c>
      <c r="H1183">
        <f t="shared" si="54"/>
        <v>1105.4748420159774</v>
      </c>
      <c r="I1183">
        <f t="shared" si="55"/>
        <v>2986.7048420159772</v>
      </c>
      <c r="J1183">
        <f>SUMIFS(Transit_Clean[Quantity], Transit_Clean[Destination], A1183, Transit_Clean[Item_Code], B1183, Transit_Clean[SAP_Status], "In Transit")</f>
        <v>5376</v>
      </c>
      <c r="K1183">
        <f t="shared" si="56"/>
        <v>2.8025281331894556</v>
      </c>
      <c r="L1183" t="str" cm="1">
        <f t="array" ref="L1183">_xlfn.IFS(C1183&lt;0,"DATO INVALIDO", C1183+J1183&lt;I1183,"PEDIR YA", C1183&lt;I1183,"EN CAMINO OK", TRUE,"SANO")</f>
        <v>EN CAMINO OK</v>
      </c>
    </row>
    <row r="1184" spans="1:12" x14ac:dyDescent="0.45">
      <c r="A1184" t="s">
        <v>1121</v>
      </c>
      <c r="B1184" t="s">
        <v>1140</v>
      </c>
      <c r="C1184">
        <v>332</v>
      </c>
      <c r="D1184">
        <v>236.7</v>
      </c>
      <c r="E1184">
        <v>25.7</v>
      </c>
      <c r="F1184">
        <v>1.8</v>
      </c>
      <c r="G1184">
        <v>0.4</v>
      </c>
      <c r="H1184">
        <f t="shared" si="54"/>
        <v>166.25896826637654</v>
      </c>
      <c r="I1184">
        <f t="shared" si="55"/>
        <v>592.31896826637649</v>
      </c>
      <c r="J1184">
        <f>SUMIFS(Transit_Clean[Quantity], Transit_Clean[Destination], A1184, Transit_Clean[Item_Code], B1184, Transit_Clean[SAP_Status], "In Transit")</f>
        <v>1822</v>
      </c>
      <c r="K1184">
        <f t="shared" si="56"/>
        <v>1.4026193493874104</v>
      </c>
      <c r="L1184" t="str" cm="1">
        <f t="array" ref="L1184">_xlfn.IFS(C1184&lt;0,"DATO INVALIDO", C1184+J1184&lt;I1184,"PEDIR YA", C1184&lt;I1184,"EN CAMINO OK", TRUE,"SANO")</f>
        <v>EN CAMINO OK</v>
      </c>
    </row>
    <row r="1185" spans="1:12" x14ac:dyDescent="0.45">
      <c r="A1185" t="s">
        <v>1117</v>
      </c>
      <c r="B1185" t="s">
        <v>95</v>
      </c>
      <c r="C1185">
        <v>3273</v>
      </c>
      <c r="D1185">
        <v>282.10000000000002</v>
      </c>
      <c r="E1185">
        <v>36.9</v>
      </c>
      <c r="F1185">
        <v>1.4</v>
      </c>
      <c r="G1185">
        <v>0.5</v>
      </c>
      <c r="H1185">
        <f t="shared" si="54"/>
        <v>243.62715996220535</v>
      </c>
      <c r="I1185">
        <f t="shared" si="55"/>
        <v>638.56715996220532</v>
      </c>
      <c r="J1185">
        <f>SUMIFS(Transit_Clean[Quantity], Transit_Clean[Destination], A1185, Transit_Clean[Item_Code], B1185, Transit_Clean[SAP_Status], "In Transit")</f>
        <v>1378</v>
      </c>
      <c r="K1185">
        <f t="shared" si="56"/>
        <v>11.602268699042892</v>
      </c>
      <c r="L1185" t="str" cm="1">
        <f t="array" ref="L1185">_xlfn.IFS(C1185&lt;0,"DATO INVALIDO", C1185+J1185&lt;I1185,"PEDIR YA", C1185&lt;I1185,"EN CAMINO OK", TRUE,"SANO")</f>
        <v>SANO</v>
      </c>
    </row>
    <row r="1186" spans="1:12" x14ac:dyDescent="0.45">
      <c r="A1186" t="s">
        <v>1114</v>
      </c>
      <c r="B1186" t="s">
        <v>70</v>
      </c>
      <c r="C1186">
        <v>4038</v>
      </c>
      <c r="D1186">
        <v>319.2</v>
      </c>
      <c r="E1186">
        <v>79.7</v>
      </c>
      <c r="F1186">
        <v>0.8</v>
      </c>
      <c r="G1186">
        <v>1.3</v>
      </c>
      <c r="H1186">
        <f t="shared" si="54"/>
        <v>694.71363299995778</v>
      </c>
      <c r="I1186">
        <f t="shared" si="55"/>
        <v>950.07363299995779</v>
      </c>
      <c r="J1186">
        <f>SUMIFS(Transit_Clean[Quantity], Transit_Clean[Destination], A1186, Transit_Clean[Item_Code], B1186, Transit_Clean[SAP_Status], "In Transit")</f>
        <v>0</v>
      </c>
      <c r="K1186">
        <f t="shared" si="56"/>
        <v>12.650375939849624</v>
      </c>
      <c r="L1186" t="str" cm="1">
        <f t="array" ref="L1186">_xlfn.IFS(C1186&lt;0,"DATO INVALIDO", C1186+J1186&lt;I1186,"PEDIR YA", C1186&lt;I1186,"EN CAMINO OK", TRUE,"SANO")</f>
        <v>SANO</v>
      </c>
    </row>
    <row r="1187" spans="1:12" x14ac:dyDescent="0.45">
      <c r="A1187" t="s">
        <v>1124</v>
      </c>
      <c r="B1187" t="s">
        <v>36</v>
      </c>
      <c r="C1187">
        <v>1493</v>
      </c>
      <c r="D1187">
        <v>276.60000000000002</v>
      </c>
      <c r="E1187">
        <v>69.5</v>
      </c>
      <c r="F1187">
        <v>1</v>
      </c>
      <c r="G1187">
        <v>0.3</v>
      </c>
      <c r="H1187">
        <f t="shared" si="54"/>
        <v>178.59624999982501</v>
      </c>
      <c r="I1187">
        <f t="shared" si="55"/>
        <v>455.196249999825</v>
      </c>
      <c r="J1187">
        <f>SUMIFS(Transit_Clean[Quantity], Transit_Clean[Destination], A1187, Transit_Clean[Item_Code], B1187, Transit_Clean[SAP_Status], "In Transit")</f>
        <v>4803</v>
      </c>
      <c r="K1187">
        <f t="shared" si="56"/>
        <v>5.3976861894432391</v>
      </c>
      <c r="L1187" t="str" cm="1">
        <f t="array" ref="L1187">_xlfn.IFS(C1187&lt;0,"DATO INVALIDO", C1187+J1187&lt;I1187,"PEDIR YA", C1187&lt;I1187,"EN CAMINO OK", TRUE,"SANO")</f>
        <v>SANO</v>
      </c>
    </row>
    <row r="1188" spans="1:12" x14ac:dyDescent="0.45">
      <c r="A1188" t="s">
        <v>1119</v>
      </c>
      <c r="B1188" t="s">
        <v>25</v>
      </c>
      <c r="C1188">
        <v>2671</v>
      </c>
      <c r="D1188">
        <v>260.60000000000002</v>
      </c>
      <c r="E1188">
        <v>96.5</v>
      </c>
      <c r="F1188">
        <v>3.7</v>
      </c>
      <c r="G1188">
        <v>1</v>
      </c>
      <c r="H1188">
        <f t="shared" si="54"/>
        <v>527.91668131675863</v>
      </c>
      <c r="I1188">
        <f t="shared" si="55"/>
        <v>1492.1366813167588</v>
      </c>
      <c r="J1188">
        <f>SUMIFS(Transit_Clean[Quantity], Transit_Clean[Destination], A1188, Transit_Clean[Item_Code], B1188, Transit_Clean[SAP_Status], "In Transit")</f>
        <v>561</v>
      </c>
      <c r="K1188">
        <f t="shared" si="56"/>
        <v>10.249424405218726</v>
      </c>
      <c r="L1188" t="str" cm="1">
        <f t="array" ref="L1188">_xlfn.IFS(C1188&lt;0,"DATO INVALIDO", C1188+J1188&lt;I1188,"PEDIR YA", C1188&lt;I1188,"EN CAMINO OK", TRUE,"SANO")</f>
        <v>SANO</v>
      </c>
    </row>
    <row r="1189" spans="1:12" x14ac:dyDescent="0.45">
      <c r="A1189" t="s">
        <v>1115</v>
      </c>
      <c r="B1189" t="s">
        <v>97</v>
      </c>
      <c r="C1189">
        <v>2111</v>
      </c>
      <c r="D1189">
        <v>123.3</v>
      </c>
      <c r="E1189">
        <v>61.3</v>
      </c>
      <c r="F1189">
        <v>2.6</v>
      </c>
      <c r="G1189">
        <v>0.6</v>
      </c>
      <c r="H1189">
        <f t="shared" si="54"/>
        <v>203.71342899769763</v>
      </c>
      <c r="I1189">
        <f t="shared" si="55"/>
        <v>524.29342899769767</v>
      </c>
      <c r="J1189">
        <f>SUMIFS(Transit_Clean[Quantity], Transit_Clean[Destination], A1189, Transit_Clean[Item_Code], B1189, Transit_Clean[SAP_Status], "In Transit")</f>
        <v>2057</v>
      </c>
      <c r="K1189">
        <f t="shared" si="56"/>
        <v>17.120843471208435</v>
      </c>
      <c r="L1189" t="str" cm="1">
        <f t="array" ref="L1189">_xlfn.IFS(C1189&lt;0,"DATO INVALIDO", C1189+J1189&lt;I1189,"PEDIR YA", C1189&lt;I1189,"EN CAMINO OK", TRUE,"SANO")</f>
        <v>SANO</v>
      </c>
    </row>
    <row r="1190" spans="1:12" x14ac:dyDescent="0.45">
      <c r="A1190" t="s">
        <v>1121</v>
      </c>
      <c r="B1190" t="s">
        <v>42</v>
      </c>
      <c r="C1190">
        <v>3623</v>
      </c>
      <c r="D1190">
        <v>473.7</v>
      </c>
      <c r="E1190">
        <v>174.1</v>
      </c>
      <c r="F1190">
        <v>1.4</v>
      </c>
      <c r="G1190">
        <v>0.4</v>
      </c>
      <c r="H1190">
        <f t="shared" si="54"/>
        <v>461.81670874817854</v>
      </c>
      <c r="I1190">
        <f t="shared" si="55"/>
        <v>1124.9967087481784</v>
      </c>
      <c r="J1190">
        <f>SUMIFS(Transit_Clean[Quantity], Transit_Clean[Destination], A1190, Transit_Clean[Item_Code], B1190, Transit_Clean[SAP_Status], "In Transit")</f>
        <v>0</v>
      </c>
      <c r="K1190">
        <f t="shared" si="56"/>
        <v>7.6483006122018153</v>
      </c>
      <c r="L1190" t="str" cm="1">
        <f t="array" ref="L1190">_xlfn.IFS(C1190&lt;0,"DATO INVALIDO", C1190+J1190&lt;I1190,"PEDIR YA", C1190&lt;I1190,"EN CAMINO OK", TRUE,"SANO")</f>
        <v>SANO</v>
      </c>
    </row>
    <row r="1191" spans="1:12" x14ac:dyDescent="0.45">
      <c r="A1191" t="s">
        <v>1121</v>
      </c>
      <c r="B1191" t="s">
        <v>1141</v>
      </c>
      <c r="C1191">
        <v>4653</v>
      </c>
      <c r="D1191">
        <v>398.4</v>
      </c>
      <c r="E1191">
        <v>47</v>
      </c>
      <c r="F1191">
        <v>2.2000000000000002</v>
      </c>
      <c r="G1191">
        <v>0.4</v>
      </c>
      <c r="H1191">
        <f t="shared" si="54"/>
        <v>287.00235649903641</v>
      </c>
      <c r="I1191">
        <f t="shared" si="55"/>
        <v>1163.4823564990365</v>
      </c>
      <c r="J1191">
        <f>SUMIFS(Transit_Clean[Quantity], Transit_Clean[Destination], A1191, Transit_Clean[Item_Code], B1191, Transit_Clean[SAP_Status], "In Transit")</f>
        <v>0</v>
      </c>
      <c r="K1191">
        <f t="shared" si="56"/>
        <v>11.679216867469879</v>
      </c>
      <c r="L1191" t="str" cm="1">
        <f t="array" ref="L1191">_xlfn.IFS(C1191&lt;0,"DATO INVALIDO", C1191+J1191&lt;I1191,"PEDIR YA", C1191&lt;I1191,"EN CAMINO OK", TRUE,"SANO")</f>
        <v>SANO</v>
      </c>
    </row>
    <row r="1192" spans="1:12" x14ac:dyDescent="0.45">
      <c r="A1192" t="s">
        <v>1121</v>
      </c>
      <c r="B1192" t="s">
        <v>55</v>
      </c>
      <c r="C1192">
        <v>3978</v>
      </c>
      <c r="D1192">
        <v>577.29999999999995</v>
      </c>
      <c r="E1192">
        <v>162.19999999999999</v>
      </c>
      <c r="F1192">
        <v>1.8</v>
      </c>
      <c r="G1192">
        <v>0.4</v>
      </c>
      <c r="H1192">
        <f t="shared" si="54"/>
        <v>523.54673787924605</v>
      </c>
      <c r="I1192">
        <f t="shared" si="55"/>
        <v>1562.6867378792458</v>
      </c>
      <c r="J1192">
        <f>SUMIFS(Transit_Clean[Quantity], Transit_Clean[Destination], A1192, Transit_Clean[Item_Code], B1192, Transit_Clean[SAP_Status], "In Transit")</f>
        <v>1798</v>
      </c>
      <c r="K1192">
        <f t="shared" si="56"/>
        <v>6.890698077256193</v>
      </c>
      <c r="L1192" t="str" cm="1">
        <f t="array" ref="L1192">_xlfn.IFS(C1192&lt;0,"DATO INVALIDO", C1192+J1192&lt;I1192,"PEDIR YA", C1192&lt;I1192,"EN CAMINO OK", TRUE,"SANO")</f>
        <v>SANO</v>
      </c>
    </row>
    <row r="1193" spans="1:12" x14ac:dyDescent="0.45">
      <c r="A1193" t="s">
        <v>1122</v>
      </c>
      <c r="B1193" t="s">
        <v>1131</v>
      </c>
      <c r="C1193">
        <v>4270</v>
      </c>
      <c r="E1193">
        <v>179</v>
      </c>
      <c r="F1193">
        <v>1.1000000000000001</v>
      </c>
      <c r="G1193">
        <v>0.2</v>
      </c>
      <c r="H1193">
        <f t="shared" si="54"/>
        <v>309.76569330705428</v>
      </c>
      <c r="I1193">
        <f t="shared" si="55"/>
        <v>309.76569330705428</v>
      </c>
      <c r="J1193">
        <f>SUMIFS(Transit_Clean[Quantity], Transit_Clean[Destination], A1193, Transit_Clean[Item_Code], B1193, Transit_Clean[SAP_Status], "In Transit")</f>
        <v>1631</v>
      </c>
      <c r="K1193" t="str">
        <f t="shared" si="56"/>
        <v/>
      </c>
      <c r="L1193" t="str" cm="1">
        <f t="array" ref="L1193">_xlfn.IFS(C1193&lt;0,"DATO INVALIDO", C1193+J1193&lt;I1193,"PEDIR YA", C1193&lt;I1193,"EN CAMINO OK", TRUE,"SANO")</f>
        <v>SANO</v>
      </c>
    </row>
    <row r="1194" spans="1:12" x14ac:dyDescent="0.45">
      <c r="A1194" t="s">
        <v>1116</v>
      </c>
      <c r="B1194" t="s">
        <v>57</v>
      </c>
      <c r="C1194">
        <v>1321</v>
      </c>
      <c r="D1194">
        <v>269.60000000000002</v>
      </c>
      <c r="E1194">
        <v>36.6</v>
      </c>
      <c r="F1194">
        <v>2.4</v>
      </c>
      <c r="G1194">
        <v>1.6</v>
      </c>
      <c r="H1194">
        <f t="shared" si="54"/>
        <v>717.86642669510604</v>
      </c>
      <c r="I1194">
        <f t="shared" si="55"/>
        <v>1364.9064266951061</v>
      </c>
      <c r="J1194">
        <f>SUMIFS(Transit_Clean[Quantity], Transit_Clean[Destination], A1194, Transit_Clean[Item_Code], B1194, Transit_Clean[SAP_Status], "In Transit")</f>
        <v>0</v>
      </c>
      <c r="K1194">
        <f t="shared" si="56"/>
        <v>4.8998516320474774</v>
      </c>
      <c r="L1194" t="str" cm="1">
        <f t="array" ref="L1194">_xlfn.IFS(C1194&lt;0,"DATO INVALIDO", C1194+J1194&lt;I1194,"PEDIR YA", C1194&lt;I1194,"EN CAMINO OK", TRUE,"SANO")</f>
        <v>PEDIR YA</v>
      </c>
    </row>
    <row r="1195" spans="1:12" x14ac:dyDescent="0.45">
      <c r="A1195" t="s">
        <v>1118</v>
      </c>
      <c r="B1195" t="s">
        <v>30</v>
      </c>
      <c r="C1195">
        <v>-10</v>
      </c>
      <c r="D1195">
        <v>762.8</v>
      </c>
      <c r="E1195">
        <v>114.9</v>
      </c>
      <c r="F1195">
        <v>8</v>
      </c>
      <c r="G1195">
        <v>1.5</v>
      </c>
      <c r="H1195">
        <f t="shared" si="54"/>
        <v>1962.6052742974068</v>
      </c>
      <c r="I1195">
        <f t="shared" si="55"/>
        <v>8065.0052742974067</v>
      </c>
      <c r="J1195">
        <f>SUMIFS(Transit_Clean[Quantity], Transit_Clean[Destination], A1195, Transit_Clean[Item_Code], B1195, Transit_Clean[SAP_Status], "In Transit")</f>
        <v>0</v>
      </c>
      <c r="K1195">
        <f t="shared" si="56"/>
        <v>-1.3109596224436288E-2</v>
      </c>
      <c r="L1195" t="str" cm="1">
        <f t="array" ref="L1195">_xlfn.IFS(C1195&lt;0,"DATO INVALIDO", C1195+J1195&lt;I1195,"PEDIR YA", C1195&lt;I1195,"EN CAMINO OK", TRUE,"SANO")</f>
        <v>DATO INVALIDO</v>
      </c>
    </row>
    <row r="1196" spans="1:12" x14ac:dyDescent="0.45">
      <c r="A1196" t="s">
        <v>1128</v>
      </c>
      <c r="B1196" t="s">
        <v>10</v>
      </c>
      <c r="C1196">
        <v>2573</v>
      </c>
      <c r="D1196">
        <v>301.3</v>
      </c>
      <c r="E1196">
        <v>49.5</v>
      </c>
      <c r="F1196">
        <v>1.9</v>
      </c>
      <c r="G1196">
        <v>0.5</v>
      </c>
      <c r="H1196">
        <f t="shared" si="54"/>
        <v>272.87876143765749</v>
      </c>
      <c r="I1196">
        <f t="shared" si="55"/>
        <v>845.34876143765746</v>
      </c>
      <c r="J1196">
        <f>SUMIFS(Transit_Clean[Quantity], Transit_Clean[Destination], A1196, Transit_Clean[Item_Code], B1196, Transit_Clean[SAP_Status], "In Transit")</f>
        <v>0</v>
      </c>
      <c r="K1196">
        <f t="shared" si="56"/>
        <v>8.539661466976435</v>
      </c>
      <c r="L1196" t="str" cm="1">
        <f t="array" ref="L1196">_xlfn.IFS(C1196&lt;0,"DATO INVALIDO", C1196+J1196&lt;I1196,"PEDIR YA", C1196&lt;I1196,"EN CAMINO OK", TRUE,"SANO")</f>
        <v>SANO</v>
      </c>
    </row>
    <row r="1197" spans="1:12" x14ac:dyDescent="0.45">
      <c r="A1197" t="s">
        <v>1121</v>
      </c>
      <c r="B1197" t="s">
        <v>53</v>
      </c>
      <c r="C1197">
        <v>1407</v>
      </c>
      <c r="D1197">
        <v>430.6</v>
      </c>
      <c r="E1197">
        <v>137.4</v>
      </c>
      <c r="F1197">
        <v>2.1</v>
      </c>
      <c r="G1197">
        <v>0.4</v>
      </c>
      <c r="H1197">
        <f t="shared" si="54"/>
        <v>434.3983851558383</v>
      </c>
      <c r="I1197">
        <f t="shared" si="55"/>
        <v>1338.6583851558385</v>
      </c>
      <c r="J1197">
        <f>SUMIFS(Transit_Clean[Quantity], Transit_Clean[Destination], A1197, Transit_Clean[Item_Code], B1197, Transit_Clean[SAP_Status], "In Transit")</f>
        <v>1983</v>
      </c>
      <c r="K1197">
        <f t="shared" si="56"/>
        <v>3.2675336739433347</v>
      </c>
      <c r="L1197" t="str" cm="1">
        <f t="array" ref="L1197">_xlfn.IFS(C1197&lt;0,"DATO INVALIDO", C1197+J1197&lt;I1197,"PEDIR YA", C1197&lt;I1197,"EN CAMINO OK", TRUE,"SANO")</f>
        <v>SANO</v>
      </c>
    </row>
    <row r="1198" spans="1:12" x14ac:dyDescent="0.45">
      <c r="A1198" t="s">
        <v>1121</v>
      </c>
      <c r="B1198" t="s">
        <v>80</v>
      </c>
      <c r="C1198">
        <v>1406</v>
      </c>
      <c r="D1198">
        <v>181.9</v>
      </c>
      <c r="E1198">
        <v>16.100000000000001</v>
      </c>
      <c r="F1198">
        <v>1.3</v>
      </c>
      <c r="G1198">
        <v>0.4</v>
      </c>
      <c r="H1198">
        <f t="shared" si="54"/>
        <v>123.81587906443988</v>
      </c>
      <c r="I1198">
        <f t="shared" si="55"/>
        <v>360.28587906443988</v>
      </c>
      <c r="J1198">
        <f>SUMIFS(Transit_Clean[Quantity], Transit_Clean[Destination], A1198, Transit_Clean[Item_Code], B1198, Transit_Clean[SAP_Status], "In Transit")</f>
        <v>2141</v>
      </c>
      <c r="K1198">
        <f t="shared" si="56"/>
        <v>7.729521715228147</v>
      </c>
      <c r="L1198" t="str" cm="1">
        <f t="array" ref="L1198">_xlfn.IFS(C1198&lt;0,"DATO INVALIDO", C1198+J1198&lt;I1198,"PEDIR YA", C1198&lt;I1198,"EN CAMINO OK", TRUE,"SANO")</f>
        <v>SANO</v>
      </c>
    </row>
    <row r="1199" spans="1:12" x14ac:dyDescent="0.45">
      <c r="A1199" t="s">
        <v>1122</v>
      </c>
      <c r="B1199" t="s">
        <v>54</v>
      </c>
      <c r="C1199">
        <v>938</v>
      </c>
      <c r="D1199">
        <v>450</v>
      </c>
      <c r="E1199">
        <v>58.3</v>
      </c>
      <c r="F1199">
        <v>1</v>
      </c>
      <c r="G1199">
        <v>0.2</v>
      </c>
      <c r="H1199">
        <f t="shared" si="54"/>
        <v>176.9342477447484</v>
      </c>
      <c r="I1199">
        <f t="shared" si="55"/>
        <v>626.9342477447484</v>
      </c>
      <c r="J1199">
        <f>SUMIFS(Transit_Clean[Quantity], Transit_Clean[Destination], A1199, Transit_Clean[Item_Code], B1199, Transit_Clean[SAP_Status], "In Transit")</f>
        <v>1723</v>
      </c>
      <c r="K1199">
        <f t="shared" si="56"/>
        <v>2.0844444444444443</v>
      </c>
      <c r="L1199" t="str" cm="1">
        <f t="array" ref="L1199">_xlfn.IFS(C1199&lt;0,"DATO INVALIDO", C1199+J1199&lt;I1199,"PEDIR YA", C1199&lt;I1199,"EN CAMINO OK", TRUE,"SANO")</f>
        <v>SANO</v>
      </c>
    </row>
    <row r="1200" spans="1:12" x14ac:dyDescent="0.45">
      <c r="A1200" t="s">
        <v>1116</v>
      </c>
      <c r="B1200" t="s">
        <v>29</v>
      </c>
      <c r="C1200">
        <v>1878</v>
      </c>
      <c r="D1200">
        <v>304.39999999999998</v>
      </c>
      <c r="E1200">
        <v>88.6</v>
      </c>
      <c r="F1200">
        <v>3.3</v>
      </c>
      <c r="G1200">
        <v>1.6</v>
      </c>
      <c r="H1200">
        <f t="shared" si="54"/>
        <v>846.35966266475623</v>
      </c>
      <c r="I1200">
        <f t="shared" si="55"/>
        <v>1850.8796626647561</v>
      </c>
      <c r="J1200">
        <f>SUMIFS(Transit_Clean[Quantity], Transit_Clean[Destination], A1200, Transit_Clean[Item_Code], B1200, Transit_Clean[SAP_Status], "In Transit")</f>
        <v>0</v>
      </c>
      <c r="K1200">
        <f t="shared" si="56"/>
        <v>6.1695137976346919</v>
      </c>
      <c r="L1200" t="str" cm="1">
        <f t="array" ref="L1200">_xlfn.IFS(C1200&lt;0,"DATO INVALIDO", C1200+J1200&lt;I1200,"PEDIR YA", C1200&lt;I1200,"EN CAMINO OK", TRUE,"SANO")</f>
        <v>SANO</v>
      </c>
    </row>
    <row r="1201" spans="1:12" x14ac:dyDescent="0.45">
      <c r="A1201" t="s">
        <v>1123</v>
      </c>
      <c r="B1201" t="s">
        <v>60</v>
      </c>
      <c r="C1201">
        <v>6761</v>
      </c>
      <c r="E1201">
        <v>108.3</v>
      </c>
      <c r="F1201">
        <v>0.9</v>
      </c>
      <c r="G1201">
        <v>0.3</v>
      </c>
      <c r="H1201">
        <f t="shared" si="54"/>
        <v>169.52496194513657</v>
      </c>
      <c r="I1201">
        <f t="shared" si="55"/>
        <v>169.52496194513657</v>
      </c>
      <c r="J1201">
        <f>SUMIFS(Transit_Clean[Quantity], Transit_Clean[Destination], A1201, Transit_Clean[Item_Code], B1201, Transit_Clean[SAP_Status], "In Transit")</f>
        <v>2282</v>
      </c>
      <c r="K1201" t="str">
        <f t="shared" si="56"/>
        <v/>
      </c>
      <c r="L1201" t="str" cm="1">
        <f t="array" ref="L1201">_xlfn.IFS(C1201&lt;0,"DATO INVALIDO", C1201+J1201&lt;I1201,"PEDIR YA", C1201&lt;I1201,"EN CAMINO OK", TRUE,"SANO")</f>
        <v>SANO</v>
      </c>
    </row>
    <row r="1202" spans="1:12" x14ac:dyDescent="0.45">
      <c r="A1202" t="s">
        <v>1114</v>
      </c>
      <c r="B1202" t="s">
        <v>1137</v>
      </c>
      <c r="C1202">
        <v>1036</v>
      </c>
      <c r="D1202">
        <v>141.5</v>
      </c>
      <c r="E1202">
        <v>15.8</v>
      </c>
      <c r="F1202">
        <v>3.6</v>
      </c>
      <c r="G1202">
        <v>1.3</v>
      </c>
      <c r="H1202">
        <f t="shared" si="54"/>
        <v>307.52169752108546</v>
      </c>
      <c r="I1202">
        <f t="shared" si="55"/>
        <v>816.92169752108543</v>
      </c>
      <c r="J1202">
        <f>SUMIFS(Transit_Clean[Quantity], Transit_Clean[Destination], A1202, Transit_Clean[Item_Code], B1202, Transit_Clean[SAP_Status], "In Transit")</f>
        <v>1736</v>
      </c>
      <c r="K1202">
        <f t="shared" si="56"/>
        <v>7.3215547703180208</v>
      </c>
      <c r="L1202" t="str" cm="1">
        <f t="array" ref="L1202">_xlfn.IFS(C1202&lt;0,"DATO INVALIDO", C1202+J1202&lt;I1202,"PEDIR YA", C1202&lt;I1202,"EN CAMINO OK", TRUE,"SANO")</f>
        <v>SANO</v>
      </c>
    </row>
    <row r="1203" spans="1:12" x14ac:dyDescent="0.45">
      <c r="A1203" t="s">
        <v>1128</v>
      </c>
      <c r="B1203" t="s">
        <v>42</v>
      </c>
      <c r="C1203">
        <v>704</v>
      </c>
      <c r="D1203">
        <v>228.2</v>
      </c>
      <c r="E1203">
        <v>88.4</v>
      </c>
      <c r="F1203">
        <v>1.3</v>
      </c>
      <c r="G1203">
        <v>0.5</v>
      </c>
      <c r="H1203">
        <f t="shared" si="54"/>
        <v>251.19990387139879</v>
      </c>
      <c r="I1203">
        <f t="shared" si="55"/>
        <v>547.85990387139873</v>
      </c>
      <c r="J1203">
        <f>SUMIFS(Transit_Clean[Quantity], Transit_Clean[Destination], A1203, Transit_Clean[Item_Code], B1203, Transit_Clean[SAP_Status], "In Transit")</f>
        <v>0</v>
      </c>
      <c r="K1203">
        <f t="shared" si="56"/>
        <v>3.0850131463628396</v>
      </c>
      <c r="L1203" t="str" cm="1">
        <f t="array" ref="L1203">_xlfn.IFS(C1203&lt;0,"DATO INVALIDO", C1203+J1203&lt;I1203,"PEDIR YA", C1203&lt;I1203,"EN CAMINO OK", TRUE,"SANO")</f>
        <v>SANO</v>
      </c>
    </row>
    <row r="1204" spans="1:12" x14ac:dyDescent="0.45">
      <c r="A1204" t="s">
        <v>1124</v>
      </c>
      <c r="B1204" t="s">
        <v>99</v>
      </c>
      <c r="C1204">
        <v>1984</v>
      </c>
      <c r="D1204">
        <v>305.39999999999998</v>
      </c>
      <c r="E1204">
        <v>56.7</v>
      </c>
      <c r="F1204">
        <v>1.1000000000000001</v>
      </c>
      <c r="G1204">
        <v>0.3</v>
      </c>
      <c r="H1204">
        <f t="shared" si="54"/>
        <v>180.22504752808362</v>
      </c>
      <c r="I1204">
        <f t="shared" si="55"/>
        <v>516.16504752808362</v>
      </c>
      <c r="J1204">
        <f>SUMIFS(Transit_Clean[Quantity], Transit_Clean[Destination], A1204, Transit_Clean[Item_Code], B1204, Transit_Clean[SAP_Status], "In Transit")</f>
        <v>3886</v>
      </c>
      <c r="K1204">
        <f t="shared" si="56"/>
        <v>6.4963981663392278</v>
      </c>
      <c r="L1204" t="str" cm="1">
        <f t="array" ref="L1204">_xlfn.IFS(C1204&lt;0,"DATO INVALIDO", C1204+J1204&lt;I1204,"PEDIR YA", C1204&lt;I1204,"EN CAMINO OK", TRUE,"SANO")</f>
        <v>SANO</v>
      </c>
    </row>
    <row r="1205" spans="1:12" x14ac:dyDescent="0.45">
      <c r="A1205" t="s">
        <v>1125</v>
      </c>
      <c r="B1205" t="s">
        <v>59</v>
      </c>
      <c r="C1205">
        <v>1061</v>
      </c>
      <c r="D1205">
        <v>415.7</v>
      </c>
      <c r="E1205">
        <v>59.2</v>
      </c>
      <c r="F1205">
        <v>4.9000000000000004</v>
      </c>
      <c r="G1205">
        <v>1.2</v>
      </c>
      <c r="H1205">
        <f t="shared" si="54"/>
        <v>851.01312396225705</v>
      </c>
      <c r="I1205">
        <f t="shared" si="55"/>
        <v>2887.9431239622572</v>
      </c>
      <c r="J1205">
        <f>SUMIFS(Transit_Clean[Quantity], Transit_Clean[Destination], A1205, Transit_Clean[Item_Code], B1205, Transit_Clean[SAP_Status], "In Transit")</f>
        <v>636</v>
      </c>
      <c r="K1205">
        <f t="shared" si="56"/>
        <v>2.5523213856146261</v>
      </c>
      <c r="L1205" t="str" cm="1">
        <f t="array" ref="L1205">_xlfn.IFS(C1205&lt;0,"DATO INVALIDO", C1205+J1205&lt;I1205,"PEDIR YA", C1205&lt;I1205,"EN CAMINO OK", TRUE,"SANO")</f>
        <v>PEDIR YA</v>
      </c>
    </row>
    <row r="1206" spans="1:12" x14ac:dyDescent="0.45">
      <c r="A1206" t="s">
        <v>1124</v>
      </c>
      <c r="B1206" t="s">
        <v>37</v>
      </c>
      <c r="C1206">
        <v>11833</v>
      </c>
      <c r="D1206">
        <v>742.8</v>
      </c>
      <c r="E1206">
        <v>318.39999999999998</v>
      </c>
      <c r="F1206">
        <v>0.5</v>
      </c>
      <c r="G1206">
        <v>0.3</v>
      </c>
      <c r="H1206">
        <f t="shared" si="54"/>
        <v>522.68016931580632</v>
      </c>
      <c r="I1206">
        <f t="shared" si="55"/>
        <v>894.0801693158063</v>
      </c>
      <c r="J1206">
        <f>SUMIFS(Transit_Clean[Quantity], Transit_Clean[Destination], A1206, Transit_Clean[Item_Code], B1206, Transit_Clean[SAP_Status], "In Transit")</f>
        <v>0</v>
      </c>
      <c r="K1206">
        <f t="shared" si="56"/>
        <v>15.930263866451266</v>
      </c>
      <c r="L1206" t="str" cm="1">
        <f t="array" ref="L1206">_xlfn.IFS(C1206&lt;0,"DATO INVALIDO", C1206+J1206&lt;I1206,"PEDIR YA", C1206&lt;I1206,"EN CAMINO OK", TRUE,"SANO")</f>
        <v>SANO</v>
      </c>
    </row>
    <row r="1207" spans="1:12" x14ac:dyDescent="0.45">
      <c r="A1207" t="s">
        <v>1116</v>
      </c>
      <c r="B1207" t="s">
        <v>1131</v>
      </c>
      <c r="C1207">
        <v>4249</v>
      </c>
      <c r="D1207">
        <v>460.4</v>
      </c>
      <c r="E1207">
        <v>212.2</v>
      </c>
      <c r="F1207">
        <v>6.2</v>
      </c>
      <c r="G1207">
        <v>1.6</v>
      </c>
      <c r="H1207">
        <f t="shared" si="54"/>
        <v>1495.7932987936533</v>
      </c>
      <c r="I1207">
        <f t="shared" si="55"/>
        <v>4350.2732987936533</v>
      </c>
      <c r="J1207">
        <f>SUMIFS(Transit_Clean[Quantity], Transit_Clean[Destination], A1207, Transit_Clean[Item_Code], B1207, Transit_Clean[SAP_Status], "In Transit")</f>
        <v>0</v>
      </c>
      <c r="K1207">
        <f t="shared" si="56"/>
        <v>9.2289313640312773</v>
      </c>
      <c r="L1207" t="str" cm="1">
        <f t="array" ref="L1207">_xlfn.IFS(C1207&lt;0,"DATO INVALIDO", C1207+J1207&lt;I1207,"PEDIR YA", C1207&lt;I1207,"EN CAMINO OK", TRUE,"SANO")</f>
        <v>PEDIR YA</v>
      </c>
    </row>
    <row r="1208" spans="1:12" x14ac:dyDescent="0.45">
      <c r="A1208" t="s">
        <v>1125</v>
      </c>
      <c r="B1208" t="s">
        <v>110</v>
      </c>
      <c r="C1208">
        <v>262</v>
      </c>
      <c r="D1208">
        <v>110.6</v>
      </c>
      <c r="E1208">
        <v>49.5</v>
      </c>
      <c r="F1208">
        <v>4.5</v>
      </c>
      <c r="G1208">
        <v>1.2</v>
      </c>
      <c r="H1208">
        <f t="shared" si="54"/>
        <v>279.23891107168424</v>
      </c>
      <c r="I1208">
        <f t="shared" si="55"/>
        <v>776.93891107168429</v>
      </c>
      <c r="J1208">
        <f>SUMIFS(Transit_Clean[Quantity], Transit_Clean[Destination], A1208, Transit_Clean[Item_Code], B1208, Transit_Clean[SAP_Status], "In Transit")</f>
        <v>4223</v>
      </c>
      <c r="K1208">
        <f t="shared" si="56"/>
        <v>2.3688969258589512</v>
      </c>
      <c r="L1208" t="str" cm="1">
        <f t="array" ref="L1208">_xlfn.IFS(C1208&lt;0,"DATO INVALIDO", C1208+J1208&lt;I1208,"PEDIR YA", C1208&lt;I1208,"EN CAMINO OK", TRUE,"SANO")</f>
        <v>EN CAMINO OK</v>
      </c>
    </row>
    <row r="1209" spans="1:12" x14ac:dyDescent="0.45">
      <c r="A1209" t="s">
        <v>1114</v>
      </c>
      <c r="B1209" t="s">
        <v>60</v>
      </c>
      <c r="C1209">
        <v>2480</v>
      </c>
      <c r="D1209">
        <v>431.7</v>
      </c>
      <c r="E1209">
        <v>78.7</v>
      </c>
      <c r="F1209">
        <v>1.2</v>
      </c>
      <c r="G1209">
        <v>1.3</v>
      </c>
      <c r="H1209">
        <f t="shared" si="54"/>
        <v>936.85874241651277</v>
      </c>
      <c r="I1209">
        <f t="shared" si="55"/>
        <v>1454.8987424165127</v>
      </c>
      <c r="J1209">
        <f>SUMIFS(Transit_Clean[Quantity], Transit_Clean[Destination], A1209, Transit_Clean[Item_Code], B1209, Transit_Clean[SAP_Status], "In Transit")</f>
        <v>930</v>
      </c>
      <c r="K1209">
        <f t="shared" si="56"/>
        <v>5.7447301366689834</v>
      </c>
      <c r="L1209" t="str" cm="1">
        <f t="array" ref="L1209">_xlfn.IFS(C1209&lt;0,"DATO INVALIDO", C1209+J1209&lt;I1209,"PEDIR YA", C1209&lt;I1209,"EN CAMINO OK", TRUE,"SANO")</f>
        <v>SANO</v>
      </c>
    </row>
    <row r="1210" spans="1:12" x14ac:dyDescent="0.45">
      <c r="A1210" t="s">
        <v>1116</v>
      </c>
      <c r="B1210" t="s">
        <v>67</v>
      </c>
      <c r="C1210">
        <v>1098</v>
      </c>
      <c r="E1210">
        <v>110.4</v>
      </c>
      <c r="F1210">
        <v>7.9</v>
      </c>
      <c r="G1210">
        <v>1.6</v>
      </c>
      <c r="H1210">
        <f t="shared" si="54"/>
        <v>511.99599435933095</v>
      </c>
      <c r="I1210">
        <f t="shared" si="55"/>
        <v>511.99599435933095</v>
      </c>
      <c r="J1210">
        <f>SUMIFS(Transit_Clean[Quantity], Transit_Clean[Destination], A1210, Transit_Clean[Item_Code], B1210, Transit_Clean[SAP_Status], "In Transit")</f>
        <v>0</v>
      </c>
      <c r="K1210" t="str">
        <f t="shared" si="56"/>
        <v/>
      </c>
      <c r="L1210" t="str" cm="1">
        <f t="array" ref="L1210">_xlfn.IFS(C1210&lt;0,"DATO INVALIDO", C1210+J1210&lt;I1210,"PEDIR YA", C1210&lt;I1210,"EN CAMINO OK", TRUE,"SANO")</f>
        <v>SANO</v>
      </c>
    </row>
    <row r="1211" spans="1:12" x14ac:dyDescent="0.45">
      <c r="A1211" t="s">
        <v>1126</v>
      </c>
      <c r="B1211" t="s">
        <v>41</v>
      </c>
      <c r="C1211">
        <v>4087</v>
      </c>
      <c r="D1211">
        <v>382.5</v>
      </c>
      <c r="E1211">
        <v>168.5</v>
      </c>
      <c r="F1211">
        <v>1.4</v>
      </c>
      <c r="G1211">
        <v>0.2</v>
      </c>
      <c r="H1211">
        <f t="shared" si="54"/>
        <v>352.34899105858096</v>
      </c>
      <c r="I1211">
        <f t="shared" si="55"/>
        <v>887.84899105858096</v>
      </c>
      <c r="J1211">
        <f>SUMIFS(Transit_Clean[Quantity], Transit_Clean[Destination], A1211, Transit_Clean[Item_Code], B1211, Transit_Clean[SAP_Status], "In Transit")</f>
        <v>0</v>
      </c>
      <c r="K1211">
        <f t="shared" si="56"/>
        <v>10.684967320261437</v>
      </c>
      <c r="L1211" t="str" cm="1">
        <f t="array" ref="L1211">_xlfn.IFS(C1211&lt;0,"DATO INVALIDO", C1211+J1211&lt;I1211,"PEDIR YA", C1211&lt;I1211,"EN CAMINO OK", TRUE,"SANO")</f>
        <v>SANO</v>
      </c>
    </row>
    <row r="1212" spans="1:12" x14ac:dyDescent="0.45">
      <c r="A1212" t="s">
        <v>1114</v>
      </c>
      <c r="B1212" t="s">
        <v>88</v>
      </c>
      <c r="C1212">
        <v>176</v>
      </c>
      <c r="D1212">
        <v>105.5</v>
      </c>
      <c r="E1212">
        <v>71.900000000000006</v>
      </c>
      <c r="F1212">
        <v>4.5999999999999996</v>
      </c>
      <c r="G1212">
        <v>1.3</v>
      </c>
      <c r="H1212">
        <f t="shared" si="54"/>
        <v>340.51750225392232</v>
      </c>
      <c r="I1212">
        <f t="shared" si="55"/>
        <v>825.81750225392227</v>
      </c>
      <c r="J1212">
        <f>SUMIFS(Transit_Clean[Quantity], Transit_Clean[Destination], A1212, Transit_Clean[Item_Code], B1212, Transit_Clean[SAP_Status], "In Transit")</f>
        <v>0</v>
      </c>
      <c r="K1212">
        <f t="shared" si="56"/>
        <v>1.6682464454976302</v>
      </c>
      <c r="L1212" t="str" cm="1">
        <f t="array" ref="L1212">_xlfn.IFS(C1212&lt;0,"DATO INVALIDO", C1212+J1212&lt;I1212,"PEDIR YA", C1212&lt;I1212,"EN CAMINO OK", TRUE,"SANO")</f>
        <v>PEDIR YA</v>
      </c>
    </row>
    <row r="1213" spans="1:12" x14ac:dyDescent="0.45">
      <c r="A1213" t="s">
        <v>1125</v>
      </c>
      <c r="B1213" t="s">
        <v>70</v>
      </c>
      <c r="C1213">
        <v>4812</v>
      </c>
      <c r="E1213">
        <v>153.69999999999999</v>
      </c>
      <c r="F1213">
        <v>3.9</v>
      </c>
      <c r="G1213">
        <v>1.2</v>
      </c>
      <c r="H1213">
        <f t="shared" si="54"/>
        <v>500.8297460190438</v>
      </c>
      <c r="I1213">
        <f t="shared" si="55"/>
        <v>500.8297460190438</v>
      </c>
      <c r="J1213">
        <f>SUMIFS(Transit_Clean[Quantity], Transit_Clean[Destination], A1213, Transit_Clean[Item_Code], B1213, Transit_Clean[SAP_Status], "In Transit")</f>
        <v>0</v>
      </c>
      <c r="K1213" t="str">
        <f t="shared" si="56"/>
        <v/>
      </c>
      <c r="L1213" t="str" cm="1">
        <f t="array" ref="L1213">_xlfn.IFS(C1213&lt;0,"DATO INVALIDO", C1213+J1213&lt;I1213,"PEDIR YA", C1213&lt;I1213,"EN CAMINO OK", TRUE,"SANO")</f>
        <v>SANO</v>
      </c>
    </row>
    <row r="1214" spans="1:12" x14ac:dyDescent="0.45">
      <c r="A1214" t="s">
        <v>1115</v>
      </c>
      <c r="B1214" t="s">
        <v>1140</v>
      </c>
      <c r="C1214">
        <v>8487</v>
      </c>
      <c r="D1214">
        <v>513.5</v>
      </c>
      <c r="E1214">
        <v>55.7</v>
      </c>
      <c r="F1214">
        <v>2</v>
      </c>
      <c r="G1214">
        <v>0.6</v>
      </c>
      <c r="H1214">
        <f t="shared" si="54"/>
        <v>524.71709641958489</v>
      </c>
      <c r="I1214">
        <f t="shared" si="55"/>
        <v>1551.7170964195848</v>
      </c>
      <c r="J1214">
        <f>SUMIFS(Transit_Clean[Quantity], Transit_Clean[Destination], A1214, Transit_Clean[Item_Code], B1214, Transit_Clean[SAP_Status], "In Transit")</f>
        <v>0</v>
      </c>
      <c r="K1214">
        <f t="shared" si="56"/>
        <v>16.527750730282374</v>
      </c>
      <c r="L1214" t="str" cm="1">
        <f t="array" ref="L1214">_xlfn.IFS(C1214&lt;0,"DATO INVALIDO", C1214+J1214&lt;I1214,"PEDIR YA", C1214&lt;I1214,"EN CAMINO OK", TRUE,"SANO")</f>
        <v>SANO</v>
      </c>
    </row>
    <row r="1215" spans="1:12" x14ac:dyDescent="0.45">
      <c r="A1215" t="s">
        <v>1122</v>
      </c>
      <c r="B1215" t="s">
        <v>74</v>
      </c>
      <c r="C1215">
        <v>824</v>
      </c>
      <c r="E1215">
        <v>147.6</v>
      </c>
      <c r="F1215">
        <v>1.3</v>
      </c>
      <c r="G1215">
        <v>0.2</v>
      </c>
      <c r="H1215">
        <f t="shared" si="54"/>
        <v>277.67832302864406</v>
      </c>
      <c r="I1215">
        <f t="shared" si="55"/>
        <v>277.67832302864406</v>
      </c>
      <c r="J1215">
        <f>SUMIFS(Transit_Clean[Quantity], Transit_Clean[Destination], A1215, Transit_Clean[Item_Code], B1215, Transit_Clean[SAP_Status], "In Transit")</f>
        <v>0</v>
      </c>
      <c r="K1215" t="str">
        <f t="shared" si="56"/>
        <v/>
      </c>
      <c r="L1215" t="str" cm="1">
        <f t="array" ref="L1215">_xlfn.IFS(C1215&lt;0,"DATO INVALIDO", C1215+J1215&lt;I1215,"PEDIR YA", C1215&lt;I1215,"EN CAMINO OK", TRUE,"SANO")</f>
        <v>SANO</v>
      </c>
    </row>
    <row r="1216" spans="1:12" x14ac:dyDescent="0.45">
      <c r="A1216" t="s">
        <v>1122</v>
      </c>
      <c r="B1216" t="s">
        <v>8</v>
      </c>
      <c r="C1216">
        <v>2218</v>
      </c>
      <c r="D1216">
        <v>372.1</v>
      </c>
      <c r="E1216">
        <v>70.900000000000006</v>
      </c>
      <c r="F1216">
        <v>1.1000000000000001</v>
      </c>
      <c r="G1216">
        <v>0.2</v>
      </c>
      <c r="H1216">
        <f t="shared" si="54"/>
        <v>173.58617484264121</v>
      </c>
      <c r="I1216">
        <f t="shared" si="55"/>
        <v>582.89617484264124</v>
      </c>
      <c r="J1216">
        <f>SUMIFS(Transit_Clean[Quantity], Transit_Clean[Destination], A1216, Transit_Clean[Item_Code], B1216, Transit_Clean[SAP_Status], "In Transit")</f>
        <v>2246</v>
      </c>
      <c r="K1216">
        <f t="shared" si="56"/>
        <v>5.9607632356893303</v>
      </c>
      <c r="L1216" t="str" cm="1">
        <f t="array" ref="L1216">_xlfn.IFS(C1216&lt;0,"DATO INVALIDO", C1216+J1216&lt;I1216,"PEDIR YA", C1216&lt;I1216,"EN CAMINO OK", TRUE,"SANO")</f>
        <v>SANO</v>
      </c>
    </row>
    <row r="1217" spans="1:12" x14ac:dyDescent="0.45">
      <c r="A1217" t="s">
        <v>1123</v>
      </c>
      <c r="B1217" t="s">
        <v>99</v>
      </c>
      <c r="C1217">
        <v>9623</v>
      </c>
      <c r="D1217">
        <v>807.2</v>
      </c>
      <c r="E1217">
        <v>126.6</v>
      </c>
      <c r="F1217">
        <v>1</v>
      </c>
      <c r="G1217">
        <v>0.3</v>
      </c>
      <c r="H1217">
        <f t="shared" si="54"/>
        <v>450.87295571590897</v>
      </c>
      <c r="I1217">
        <f t="shared" si="55"/>
        <v>1258.0729557159091</v>
      </c>
      <c r="J1217">
        <f>SUMIFS(Transit_Clean[Quantity], Transit_Clean[Destination], A1217, Transit_Clean[Item_Code], B1217, Transit_Clean[SAP_Status], "In Transit")</f>
        <v>0</v>
      </c>
      <c r="K1217">
        <f t="shared" si="56"/>
        <v>11.921456888007928</v>
      </c>
      <c r="L1217" t="str" cm="1">
        <f t="array" ref="L1217">_xlfn.IFS(C1217&lt;0,"DATO INVALIDO", C1217+J1217&lt;I1217,"PEDIR YA", C1217&lt;I1217,"EN CAMINO OK", TRUE,"SANO")</f>
        <v>SANO</v>
      </c>
    </row>
    <row r="1218" spans="1:12" x14ac:dyDescent="0.45">
      <c r="A1218" t="s">
        <v>1121</v>
      </c>
      <c r="B1218" t="s">
        <v>67</v>
      </c>
      <c r="C1218">
        <v>5983</v>
      </c>
      <c r="D1218">
        <v>347.7</v>
      </c>
      <c r="E1218">
        <v>143.19999999999999</v>
      </c>
      <c r="F1218">
        <v>2.2000000000000002</v>
      </c>
      <c r="G1218">
        <v>0.4</v>
      </c>
      <c r="H1218">
        <f t="shared" si="54"/>
        <v>418.90823912164819</v>
      </c>
      <c r="I1218">
        <f t="shared" si="55"/>
        <v>1183.8482391216482</v>
      </c>
      <c r="J1218">
        <f>SUMIFS(Transit_Clean[Quantity], Transit_Clean[Destination], A1218, Transit_Clean[Item_Code], B1218, Transit_Clean[SAP_Status], "In Transit")</f>
        <v>0</v>
      </c>
      <c r="K1218">
        <f t="shared" si="56"/>
        <v>17.207362668967502</v>
      </c>
      <c r="L1218" t="str" cm="1">
        <f t="array" ref="L1218">_xlfn.IFS(C1218&lt;0,"DATO INVALIDO", C1218+J1218&lt;I1218,"PEDIR YA", C1218&lt;I1218,"EN CAMINO OK", TRUE,"SANO")</f>
        <v>SANO</v>
      </c>
    </row>
    <row r="1219" spans="1:12" x14ac:dyDescent="0.45">
      <c r="A1219" t="s">
        <v>1114</v>
      </c>
      <c r="B1219" t="s">
        <v>30</v>
      </c>
      <c r="C1219">
        <v>2949</v>
      </c>
      <c r="D1219">
        <v>491.7</v>
      </c>
      <c r="E1219">
        <v>124.4</v>
      </c>
      <c r="F1219">
        <v>4.4000000000000004</v>
      </c>
      <c r="G1219">
        <v>1.3</v>
      </c>
      <c r="H1219">
        <f t="shared" ref="H1219:H1282" si="57">IFERROR(1.65*SQRT(F1219*E1219^2 + D1219^2*G1219^2), "")</f>
        <v>1139.1944717879603</v>
      </c>
      <c r="I1219">
        <f t="shared" ref="I1219:I1282" si="58">IFERROR(D1219*F1219 + H1219, "")</f>
        <v>3302.6744717879601</v>
      </c>
      <c r="J1219">
        <f>SUMIFS(Transit_Clean[Quantity], Transit_Clean[Destination], A1219, Transit_Clean[Item_Code], B1219, Transit_Clean[SAP_Status], "In Transit")</f>
        <v>0</v>
      </c>
      <c r="K1219">
        <f t="shared" ref="K1219:K1282" si="59">IFERROR(C1219/D1219, "")</f>
        <v>5.9975594874923734</v>
      </c>
      <c r="L1219" t="str" cm="1">
        <f t="array" ref="L1219">_xlfn.IFS(C1219&lt;0,"DATO INVALIDO", C1219+J1219&lt;I1219,"PEDIR YA", C1219&lt;I1219,"EN CAMINO OK", TRUE,"SANO")</f>
        <v>PEDIR YA</v>
      </c>
    </row>
    <row r="1220" spans="1:12" x14ac:dyDescent="0.45">
      <c r="A1220" t="s">
        <v>1125</v>
      </c>
      <c r="B1220" t="s">
        <v>61</v>
      </c>
      <c r="C1220">
        <v>6250</v>
      </c>
      <c r="D1220">
        <v>404</v>
      </c>
      <c r="E1220">
        <v>50.9</v>
      </c>
      <c r="F1220">
        <v>5.2</v>
      </c>
      <c r="G1220">
        <v>1.2</v>
      </c>
      <c r="H1220">
        <f t="shared" si="57"/>
        <v>822.52665827315286</v>
      </c>
      <c r="I1220">
        <f t="shared" si="58"/>
        <v>2923.326658273153</v>
      </c>
      <c r="J1220">
        <f>SUMIFS(Transit_Clean[Quantity], Transit_Clean[Destination], A1220, Transit_Clean[Item_Code], B1220, Transit_Clean[SAP_Status], "In Transit")</f>
        <v>1102</v>
      </c>
      <c r="K1220">
        <f t="shared" si="59"/>
        <v>15.470297029702971</v>
      </c>
      <c r="L1220" t="str" cm="1">
        <f t="array" ref="L1220">_xlfn.IFS(C1220&lt;0,"DATO INVALIDO", C1220+J1220&lt;I1220,"PEDIR YA", C1220&lt;I1220,"EN CAMINO OK", TRUE,"SANO")</f>
        <v>SANO</v>
      </c>
    </row>
    <row r="1221" spans="1:12" x14ac:dyDescent="0.45">
      <c r="A1221" t="s">
        <v>1119</v>
      </c>
      <c r="B1221" t="s">
        <v>1138</v>
      </c>
      <c r="C1221">
        <v>10348</v>
      </c>
      <c r="D1221">
        <v>654.79999999999995</v>
      </c>
      <c r="E1221">
        <v>155.80000000000001</v>
      </c>
      <c r="F1221">
        <v>3.5</v>
      </c>
      <c r="G1221">
        <v>1</v>
      </c>
      <c r="H1221">
        <f t="shared" si="57"/>
        <v>1182.6262400056914</v>
      </c>
      <c r="I1221">
        <f t="shared" si="58"/>
        <v>3474.4262400056914</v>
      </c>
      <c r="J1221">
        <f>SUMIFS(Transit_Clean[Quantity], Transit_Clean[Destination], A1221, Transit_Clean[Item_Code], B1221, Transit_Clean[SAP_Status], "In Transit")</f>
        <v>0</v>
      </c>
      <c r="K1221">
        <f t="shared" si="59"/>
        <v>15.803298717165548</v>
      </c>
      <c r="L1221" t="str" cm="1">
        <f t="array" ref="L1221">_xlfn.IFS(C1221&lt;0,"DATO INVALIDO", C1221+J1221&lt;I1221,"PEDIR YA", C1221&lt;I1221,"EN CAMINO OK", TRUE,"SANO")</f>
        <v>SANO</v>
      </c>
    </row>
    <row r="1222" spans="1:12" x14ac:dyDescent="0.45">
      <c r="A1222" t="s">
        <v>1115</v>
      </c>
      <c r="B1222" t="s">
        <v>57</v>
      </c>
      <c r="C1222">
        <v>147</v>
      </c>
      <c r="D1222">
        <v>262.2</v>
      </c>
      <c r="E1222">
        <v>33.6</v>
      </c>
      <c r="F1222">
        <v>2.6</v>
      </c>
      <c r="G1222">
        <v>0.6</v>
      </c>
      <c r="H1222">
        <f t="shared" si="57"/>
        <v>274.53976295611528</v>
      </c>
      <c r="I1222">
        <f t="shared" si="58"/>
        <v>956.25976295611531</v>
      </c>
      <c r="J1222">
        <f>SUMIFS(Transit_Clean[Quantity], Transit_Clean[Destination], A1222, Transit_Clean[Item_Code], B1222, Transit_Clean[SAP_Status], "In Transit")</f>
        <v>3152</v>
      </c>
      <c r="K1222">
        <f t="shared" si="59"/>
        <v>0.5606407322654462</v>
      </c>
      <c r="L1222" t="str" cm="1">
        <f t="array" ref="L1222">_xlfn.IFS(C1222&lt;0,"DATO INVALIDO", C1222+J1222&lt;I1222,"PEDIR YA", C1222&lt;I1222,"EN CAMINO OK", TRUE,"SANO")</f>
        <v>EN CAMINO OK</v>
      </c>
    </row>
    <row r="1223" spans="1:12" x14ac:dyDescent="0.45">
      <c r="A1223" t="s">
        <v>1115</v>
      </c>
      <c r="B1223" t="s">
        <v>59</v>
      </c>
      <c r="C1223">
        <v>1074</v>
      </c>
      <c r="D1223">
        <v>212.2</v>
      </c>
      <c r="E1223">
        <v>20.7</v>
      </c>
      <c r="F1223">
        <v>1.6</v>
      </c>
      <c r="G1223">
        <v>0.6</v>
      </c>
      <c r="H1223">
        <f t="shared" si="57"/>
        <v>214.47440062627518</v>
      </c>
      <c r="I1223">
        <f t="shared" si="58"/>
        <v>553.99440062627514</v>
      </c>
      <c r="J1223">
        <f>SUMIFS(Transit_Clean[Quantity], Transit_Clean[Destination], A1223, Transit_Clean[Item_Code], B1223, Transit_Clean[SAP_Status], "In Transit")</f>
        <v>0</v>
      </c>
      <c r="K1223">
        <f t="shared" si="59"/>
        <v>5.0612629594721961</v>
      </c>
      <c r="L1223" t="str" cm="1">
        <f t="array" ref="L1223">_xlfn.IFS(C1223&lt;0,"DATO INVALIDO", C1223+J1223&lt;I1223,"PEDIR YA", C1223&lt;I1223,"EN CAMINO OK", TRUE,"SANO")</f>
        <v>SANO</v>
      </c>
    </row>
    <row r="1224" spans="1:12" x14ac:dyDescent="0.45">
      <c r="A1224" t="s">
        <v>1123</v>
      </c>
      <c r="B1224" t="s">
        <v>107</v>
      </c>
      <c r="D1224">
        <v>119.7</v>
      </c>
      <c r="E1224">
        <v>76.7</v>
      </c>
      <c r="F1224">
        <v>1.2</v>
      </c>
      <c r="G1224">
        <v>0.3</v>
      </c>
      <c r="H1224">
        <f t="shared" si="57"/>
        <v>150.7651878990969</v>
      </c>
      <c r="I1224">
        <f t="shared" si="58"/>
        <v>294.40518789909686</v>
      </c>
      <c r="J1224">
        <f>SUMIFS(Transit_Clean[Quantity], Transit_Clean[Destination], A1224, Transit_Clean[Item_Code], B1224, Transit_Clean[SAP_Status], "In Transit")</f>
        <v>0</v>
      </c>
      <c r="K1224">
        <f t="shared" si="59"/>
        <v>0</v>
      </c>
      <c r="L1224" t="str" cm="1">
        <f t="array" ref="L1224">_xlfn.IFS(C1224&lt;0,"DATO INVALIDO", C1224+J1224&lt;I1224,"PEDIR YA", C1224&lt;I1224,"EN CAMINO OK", TRUE,"SANO")</f>
        <v>PEDIR YA</v>
      </c>
    </row>
    <row r="1225" spans="1:12" x14ac:dyDescent="0.45">
      <c r="A1225" t="s">
        <v>1128</v>
      </c>
      <c r="B1225" t="s">
        <v>97</v>
      </c>
      <c r="C1225">
        <v>9196</v>
      </c>
      <c r="D1225">
        <v>541.6</v>
      </c>
      <c r="E1225">
        <v>221.8</v>
      </c>
      <c r="F1225">
        <v>1.8</v>
      </c>
      <c r="G1225">
        <v>0.5</v>
      </c>
      <c r="H1225">
        <f t="shared" si="57"/>
        <v>663.87452581041248</v>
      </c>
      <c r="I1225">
        <f t="shared" si="58"/>
        <v>1638.7545258104126</v>
      </c>
      <c r="J1225">
        <f>SUMIFS(Transit_Clean[Quantity], Transit_Clean[Destination], A1225, Transit_Clean[Item_Code], B1225, Transit_Clean[SAP_Status], "In Transit")</f>
        <v>2343</v>
      </c>
      <c r="K1225">
        <f t="shared" si="59"/>
        <v>16.979320531757754</v>
      </c>
      <c r="L1225" t="str" cm="1">
        <f t="array" ref="L1225">_xlfn.IFS(C1225&lt;0,"DATO INVALIDO", C1225+J1225&lt;I1225,"PEDIR YA", C1225&lt;I1225,"EN CAMINO OK", TRUE,"SANO")</f>
        <v>SANO</v>
      </c>
    </row>
    <row r="1226" spans="1:12" x14ac:dyDescent="0.45">
      <c r="A1226" t="s">
        <v>1122</v>
      </c>
      <c r="B1226" t="s">
        <v>5</v>
      </c>
      <c r="C1226">
        <v>2707</v>
      </c>
      <c r="D1226">
        <v>191.5</v>
      </c>
      <c r="E1226">
        <v>27.3</v>
      </c>
      <c r="F1226">
        <v>1.1000000000000001</v>
      </c>
      <c r="G1226">
        <v>0.2</v>
      </c>
      <c r="H1226">
        <f t="shared" si="57"/>
        <v>78.902251251152535</v>
      </c>
      <c r="I1226">
        <f t="shared" si="58"/>
        <v>289.55225125115254</v>
      </c>
      <c r="J1226">
        <f>SUMIFS(Transit_Clean[Quantity], Transit_Clean[Destination], A1226, Transit_Clean[Item_Code], B1226, Transit_Clean[SAP_Status], "In Transit")</f>
        <v>0</v>
      </c>
      <c r="K1226">
        <f t="shared" si="59"/>
        <v>14.135770234986945</v>
      </c>
      <c r="L1226" t="str" cm="1">
        <f t="array" ref="L1226">_xlfn.IFS(C1226&lt;0,"DATO INVALIDO", C1226+J1226&lt;I1226,"PEDIR YA", C1226&lt;I1226,"EN CAMINO OK", TRUE,"SANO")</f>
        <v>SANO</v>
      </c>
    </row>
    <row r="1227" spans="1:12" x14ac:dyDescent="0.45">
      <c r="A1227" t="s">
        <v>1122</v>
      </c>
      <c r="B1227" t="s">
        <v>55</v>
      </c>
      <c r="C1227">
        <v>1280</v>
      </c>
      <c r="D1227">
        <v>577</v>
      </c>
      <c r="E1227">
        <v>148.4</v>
      </c>
      <c r="F1227">
        <v>1.1000000000000001</v>
      </c>
      <c r="G1227">
        <v>0.2</v>
      </c>
      <c r="H1227">
        <f t="shared" si="57"/>
        <v>319.69990563026448</v>
      </c>
      <c r="I1227">
        <f t="shared" si="58"/>
        <v>954.39990563026458</v>
      </c>
      <c r="J1227">
        <f>SUMIFS(Transit_Clean[Quantity], Transit_Clean[Destination], A1227, Transit_Clean[Item_Code], B1227, Transit_Clean[SAP_Status], "In Transit")</f>
        <v>3233</v>
      </c>
      <c r="K1227">
        <f t="shared" si="59"/>
        <v>2.218370883882149</v>
      </c>
      <c r="L1227" t="str" cm="1">
        <f t="array" ref="L1227">_xlfn.IFS(C1227&lt;0,"DATO INVALIDO", C1227+J1227&lt;I1227,"PEDIR YA", C1227&lt;I1227,"EN CAMINO OK", TRUE,"SANO")</f>
        <v>SANO</v>
      </c>
    </row>
    <row r="1228" spans="1:12" x14ac:dyDescent="0.45">
      <c r="A1228" t="s">
        <v>1117</v>
      </c>
      <c r="B1228" t="s">
        <v>1134</v>
      </c>
      <c r="C1228">
        <v>4082</v>
      </c>
      <c r="D1228">
        <v>324.10000000000002</v>
      </c>
      <c r="E1228">
        <v>43.1</v>
      </c>
      <c r="F1228">
        <v>1.7</v>
      </c>
      <c r="G1228">
        <v>0.5</v>
      </c>
      <c r="H1228">
        <f t="shared" si="57"/>
        <v>283.00332999586777</v>
      </c>
      <c r="I1228">
        <f t="shared" si="58"/>
        <v>833.97332999586774</v>
      </c>
      <c r="J1228">
        <f>SUMIFS(Transit_Clean[Quantity], Transit_Clean[Destination], A1228, Transit_Clean[Item_Code], B1228, Transit_Clean[SAP_Status], "In Transit")</f>
        <v>0</v>
      </c>
      <c r="K1228">
        <f t="shared" si="59"/>
        <v>12.594878124035791</v>
      </c>
      <c r="L1228" t="str" cm="1">
        <f t="array" ref="L1228">_xlfn.IFS(C1228&lt;0,"DATO INVALIDO", C1228+J1228&lt;I1228,"PEDIR YA", C1228&lt;I1228,"EN CAMINO OK", TRUE,"SANO")</f>
        <v>SANO</v>
      </c>
    </row>
    <row r="1229" spans="1:12" x14ac:dyDescent="0.45">
      <c r="A1229" t="s">
        <v>1124</v>
      </c>
      <c r="B1229" t="s">
        <v>105</v>
      </c>
      <c r="C1229">
        <v>1184</v>
      </c>
      <c r="D1229">
        <v>290.7</v>
      </c>
      <c r="E1229">
        <v>35.799999999999997</v>
      </c>
      <c r="F1229">
        <v>0.9</v>
      </c>
      <c r="G1229">
        <v>0.3</v>
      </c>
      <c r="H1229">
        <f t="shared" si="57"/>
        <v>154.42325317856114</v>
      </c>
      <c r="I1229">
        <f t="shared" si="58"/>
        <v>416.05325317856114</v>
      </c>
      <c r="J1229">
        <f>SUMIFS(Transit_Clean[Quantity], Transit_Clean[Destination], A1229, Transit_Clean[Item_Code], B1229, Transit_Clean[SAP_Status], "In Transit")</f>
        <v>0</v>
      </c>
      <c r="K1229">
        <f t="shared" si="59"/>
        <v>4.0729274165806677</v>
      </c>
      <c r="L1229" t="str" cm="1">
        <f t="array" ref="L1229">_xlfn.IFS(C1229&lt;0,"DATO INVALIDO", C1229+J1229&lt;I1229,"PEDIR YA", C1229&lt;I1229,"EN CAMINO OK", TRUE,"SANO")</f>
        <v>SANO</v>
      </c>
    </row>
    <row r="1230" spans="1:12" x14ac:dyDescent="0.45">
      <c r="A1230" t="s">
        <v>1125</v>
      </c>
      <c r="B1230" t="s">
        <v>1133</v>
      </c>
      <c r="C1230">
        <v>523</v>
      </c>
      <c r="D1230">
        <v>1012.7</v>
      </c>
      <c r="E1230">
        <v>194</v>
      </c>
      <c r="F1230">
        <v>4.8</v>
      </c>
      <c r="G1230">
        <v>1.2</v>
      </c>
      <c r="H1230">
        <f t="shared" si="57"/>
        <v>2124.249921576084</v>
      </c>
      <c r="I1230">
        <f t="shared" si="58"/>
        <v>6985.2099215760845</v>
      </c>
      <c r="J1230">
        <f>SUMIFS(Transit_Clean[Quantity], Transit_Clean[Destination], A1230, Transit_Clean[Item_Code], B1230, Transit_Clean[SAP_Status], "In Transit")</f>
        <v>0</v>
      </c>
      <c r="K1230">
        <f t="shared" si="59"/>
        <v>0.51644119680063194</v>
      </c>
      <c r="L1230" t="str" cm="1">
        <f t="array" ref="L1230">_xlfn.IFS(C1230&lt;0,"DATO INVALIDO", C1230+J1230&lt;I1230,"PEDIR YA", C1230&lt;I1230,"EN CAMINO OK", TRUE,"SANO")</f>
        <v>PEDIR YA</v>
      </c>
    </row>
    <row r="1231" spans="1:12" x14ac:dyDescent="0.45">
      <c r="A1231" t="s">
        <v>1119</v>
      </c>
      <c r="B1231" t="s">
        <v>37</v>
      </c>
      <c r="C1231">
        <v>3141</v>
      </c>
      <c r="D1231">
        <v>203.3</v>
      </c>
      <c r="E1231">
        <v>131.19999999999999</v>
      </c>
      <c r="F1231">
        <v>3</v>
      </c>
      <c r="G1231">
        <v>1</v>
      </c>
      <c r="H1231">
        <f t="shared" si="57"/>
        <v>503.10448142011217</v>
      </c>
      <c r="I1231">
        <f t="shared" si="58"/>
        <v>1113.0044814201124</v>
      </c>
      <c r="J1231">
        <f>SUMIFS(Transit_Clean[Quantity], Transit_Clean[Destination], A1231, Transit_Clean[Item_Code], B1231, Transit_Clean[SAP_Status], "In Transit")</f>
        <v>3879</v>
      </c>
      <c r="K1231">
        <f t="shared" si="59"/>
        <v>15.450073782587308</v>
      </c>
      <c r="L1231" t="str" cm="1">
        <f t="array" ref="L1231">_xlfn.IFS(C1231&lt;0,"DATO INVALIDO", C1231+J1231&lt;I1231,"PEDIR YA", C1231&lt;I1231,"EN CAMINO OK", TRUE,"SANO")</f>
        <v>SANO</v>
      </c>
    </row>
    <row r="1232" spans="1:12" x14ac:dyDescent="0.45">
      <c r="A1232" t="s">
        <v>1123</v>
      </c>
      <c r="B1232" t="s">
        <v>55</v>
      </c>
      <c r="C1232">
        <v>14127</v>
      </c>
      <c r="D1232">
        <v>811.4</v>
      </c>
      <c r="E1232">
        <v>156.5</v>
      </c>
      <c r="F1232">
        <v>0.9</v>
      </c>
      <c r="G1232">
        <v>0.3</v>
      </c>
      <c r="H1232">
        <f t="shared" si="57"/>
        <v>470.45641138313755</v>
      </c>
      <c r="I1232">
        <f t="shared" si="58"/>
        <v>1200.7164113831375</v>
      </c>
      <c r="J1232">
        <f>SUMIFS(Transit_Clean[Quantity], Transit_Clean[Destination], A1232, Transit_Clean[Item_Code], B1232, Transit_Clean[SAP_Status], "In Transit")</f>
        <v>0</v>
      </c>
      <c r="K1232">
        <f t="shared" si="59"/>
        <v>17.410648262262757</v>
      </c>
      <c r="L1232" t="str" cm="1">
        <f t="array" ref="L1232">_xlfn.IFS(C1232&lt;0,"DATO INVALIDO", C1232+J1232&lt;I1232,"PEDIR YA", C1232&lt;I1232,"EN CAMINO OK", TRUE,"SANO")</f>
        <v>SANO</v>
      </c>
    </row>
    <row r="1233" spans="1:12" x14ac:dyDescent="0.45">
      <c r="A1233" t="s">
        <v>1114</v>
      </c>
      <c r="B1233" t="s">
        <v>76</v>
      </c>
      <c r="C1233">
        <v>2479</v>
      </c>
      <c r="D1233">
        <v>760.8</v>
      </c>
      <c r="E1233">
        <v>125.5</v>
      </c>
      <c r="F1233">
        <v>2.8</v>
      </c>
      <c r="G1233">
        <v>1.3</v>
      </c>
      <c r="H1233">
        <f t="shared" si="57"/>
        <v>1668.2967322410002</v>
      </c>
      <c r="I1233">
        <f t="shared" si="58"/>
        <v>3798.5367322410002</v>
      </c>
      <c r="J1233">
        <f>SUMIFS(Transit_Clean[Quantity], Transit_Clean[Destination], A1233, Transit_Clean[Item_Code], B1233, Transit_Clean[SAP_Status], "In Transit")</f>
        <v>0</v>
      </c>
      <c r="K1233">
        <f t="shared" si="59"/>
        <v>3.258412197686646</v>
      </c>
      <c r="L1233" t="str" cm="1">
        <f t="array" ref="L1233">_xlfn.IFS(C1233&lt;0,"DATO INVALIDO", C1233+J1233&lt;I1233,"PEDIR YA", C1233&lt;I1233,"EN CAMINO OK", TRUE,"SANO")</f>
        <v>PEDIR YA</v>
      </c>
    </row>
    <row r="1234" spans="1:12" x14ac:dyDescent="0.45">
      <c r="A1234" t="s">
        <v>1121</v>
      </c>
      <c r="B1234" t="s">
        <v>70</v>
      </c>
      <c r="C1234">
        <v>6129</v>
      </c>
      <c r="D1234">
        <v>661.4</v>
      </c>
      <c r="E1234">
        <v>174.2</v>
      </c>
      <c r="F1234">
        <v>2.4</v>
      </c>
      <c r="G1234">
        <v>0.4</v>
      </c>
      <c r="H1234">
        <f t="shared" si="57"/>
        <v>623.56364096698258</v>
      </c>
      <c r="I1234">
        <f t="shared" si="58"/>
        <v>2210.9236409669825</v>
      </c>
      <c r="J1234">
        <f>SUMIFS(Transit_Clean[Quantity], Transit_Clean[Destination], A1234, Transit_Clean[Item_Code], B1234, Transit_Clean[SAP_Status], "In Transit")</f>
        <v>2121</v>
      </c>
      <c r="K1234">
        <f t="shared" si="59"/>
        <v>9.266706985182946</v>
      </c>
      <c r="L1234" t="str" cm="1">
        <f t="array" ref="L1234">_xlfn.IFS(C1234&lt;0,"DATO INVALIDO", C1234+J1234&lt;I1234,"PEDIR YA", C1234&lt;I1234,"EN CAMINO OK", TRUE,"SANO")</f>
        <v>SANO</v>
      </c>
    </row>
    <row r="1235" spans="1:12" x14ac:dyDescent="0.45">
      <c r="A1235" t="s">
        <v>1119</v>
      </c>
      <c r="B1235" t="s">
        <v>77</v>
      </c>
      <c r="C1235">
        <v>3974</v>
      </c>
      <c r="D1235">
        <v>225.7</v>
      </c>
      <c r="E1235">
        <v>72</v>
      </c>
      <c r="F1235">
        <v>2.8</v>
      </c>
      <c r="G1235">
        <v>1</v>
      </c>
      <c r="H1235">
        <f t="shared" si="57"/>
        <v>422.14110913887549</v>
      </c>
      <c r="I1235">
        <f t="shared" si="58"/>
        <v>1054.1011091388755</v>
      </c>
      <c r="J1235">
        <f>SUMIFS(Transit_Clean[Quantity], Transit_Clean[Destination], A1235, Transit_Clean[Item_Code], B1235, Transit_Clean[SAP_Status], "In Transit")</f>
        <v>0</v>
      </c>
      <c r="K1235">
        <f t="shared" si="59"/>
        <v>17.607443509082856</v>
      </c>
      <c r="L1235" t="str" cm="1">
        <f t="array" ref="L1235">_xlfn.IFS(C1235&lt;0,"DATO INVALIDO", C1235+J1235&lt;I1235,"PEDIR YA", C1235&lt;I1235,"EN CAMINO OK", TRUE,"SANO")</f>
        <v>SANO</v>
      </c>
    </row>
    <row r="1236" spans="1:12" x14ac:dyDescent="0.45">
      <c r="A1236" t="s">
        <v>1115</v>
      </c>
      <c r="B1236" t="s">
        <v>101</v>
      </c>
      <c r="C1236">
        <v>5903</v>
      </c>
      <c r="D1236">
        <v>834.9</v>
      </c>
      <c r="E1236">
        <v>228.7</v>
      </c>
      <c r="F1236">
        <v>1.5</v>
      </c>
      <c r="G1236">
        <v>0.6</v>
      </c>
      <c r="H1236">
        <f t="shared" si="57"/>
        <v>946.98561216023757</v>
      </c>
      <c r="I1236">
        <f t="shared" si="58"/>
        <v>2199.3356121602374</v>
      </c>
      <c r="J1236">
        <f>SUMIFS(Transit_Clean[Quantity], Transit_Clean[Destination], A1236, Transit_Clean[Item_Code], B1236, Transit_Clean[SAP_Status], "In Transit")</f>
        <v>870</v>
      </c>
      <c r="K1236">
        <f t="shared" si="59"/>
        <v>7.0703078212959634</v>
      </c>
      <c r="L1236" t="str" cm="1">
        <f t="array" ref="L1236">_xlfn.IFS(C1236&lt;0,"DATO INVALIDO", C1236+J1236&lt;I1236,"PEDIR YA", C1236&lt;I1236,"EN CAMINO OK", TRUE,"SANO")</f>
        <v>SANO</v>
      </c>
    </row>
    <row r="1237" spans="1:12" x14ac:dyDescent="0.45">
      <c r="A1237" t="s">
        <v>1120</v>
      </c>
      <c r="B1237" t="s">
        <v>1135</v>
      </c>
      <c r="C1237">
        <v>7310</v>
      </c>
      <c r="D1237">
        <v>503.3</v>
      </c>
      <c r="E1237">
        <v>42.1</v>
      </c>
      <c r="F1237">
        <v>2.2999999999999998</v>
      </c>
      <c r="G1237">
        <v>0.5</v>
      </c>
      <c r="H1237">
        <f t="shared" si="57"/>
        <v>428.37846914119064</v>
      </c>
      <c r="I1237">
        <f t="shared" si="58"/>
        <v>1585.9684691411906</v>
      </c>
      <c r="J1237">
        <f>SUMIFS(Transit_Clean[Quantity], Transit_Clean[Destination], A1237, Transit_Clean[Item_Code], B1237, Transit_Clean[SAP_Status], "In Transit")</f>
        <v>2910</v>
      </c>
      <c r="K1237">
        <f t="shared" si="59"/>
        <v>14.524140671567654</v>
      </c>
      <c r="L1237" t="str" cm="1">
        <f t="array" ref="L1237">_xlfn.IFS(C1237&lt;0,"DATO INVALIDO", C1237+J1237&lt;I1237,"PEDIR YA", C1237&lt;I1237,"EN CAMINO OK", TRUE,"SANO")</f>
        <v>SANO</v>
      </c>
    </row>
    <row r="1238" spans="1:12" x14ac:dyDescent="0.45">
      <c r="A1238" t="s">
        <v>1115</v>
      </c>
      <c r="B1238" t="s">
        <v>5</v>
      </c>
      <c r="C1238">
        <v>2814</v>
      </c>
      <c r="D1238">
        <v>472.9</v>
      </c>
      <c r="E1238">
        <v>54.1</v>
      </c>
      <c r="F1238">
        <v>2.1</v>
      </c>
      <c r="G1238">
        <v>0.6</v>
      </c>
      <c r="H1238">
        <f t="shared" si="57"/>
        <v>485.71327932587957</v>
      </c>
      <c r="I1238">
        <f t="shared" si="58"/>
        <v>1478.8032793258797</v>
      </c>
      <c r="J1238">
        <f>SUMIFS(Transit_Clean[Quantity], Transit_Clean[Destination], A1238, Transit_Clean[Item_Code], B1238, Transit_Clean[SAP_Status], "In Transit")</f>
        <v>3988</v>
      </c>
      <c r="K1238">
        <f t="shared" si="59"/>
        <v>5.9505180799323325</v>
      </c>
      <c r="L1238" t="str" cm="1">
        <f t="array" ref="L1238">_xlfn.IFS(C1238&lt;0,"DATO INVALIDO", C1238+J1238&lt;I1238,"PEDIR YA", C1238&lt;I1238,"EN CAMINO OK", TRUE,"SANO")</f>
        <v>SANO</v>
      </c>
    </row>
    <row r="1239" spans="1:12" x14ac:dyDescent="0.45">
      <c r="A1239" t="s">
        <v>1127</v>
      </c>
      <c r="B1239" t="s">
        <v>60</v>
      </c>
      <c r="C1239">
        <v>3252</v>
      </c>
      <c r="D1239">
        <v>498.5</v>
      </c>
      <c r="E1239">
        <v>130</v>
      </c>
      <c r="F1239">
        <v>2.9</v>
      </c>
      <c r="G1239">
        <v>0.9</v>
      </c>
      <c r="H1239">
        <f t="shared" si="57"/>
        <v>825.48961184030054</v>
      </c>
      <c r="I1239">
        <f t="shared" si="58"/>
        <v>2271.1396118403004</v>
      </c>
      <c r="J1239">
        <f>SUMIFS(Transit_Clean[Quantity], Transit_Clean[Destination], A1239, Transit_Clean[Item_Code], B1239, Transit_Clean[SAP_Status], "In Transit")</f>
        <v>675</v>
      </c>
      <c r="K1239">
        <f t="shared" si="59"/>
        <v>6.5235707121364088</v>
      </c>
      <c r="L1239" t="str" cm="1">
        <f t="array" ref="L1239">_xlfn.IFS(C1239&lt;0,"DATO INVALIDO", C1239+J1239&lt;I1239,"PEDIR YA", C1239&lt;I1239,"EN CAMINO OK", TRUE,"SANO")</f>
        <v>SANO</v>
      </c>
    </row>
    <row r="1240" spans="1:12" x14ac:dyDescent="0.45">
      <c r="A1240" t="s">
        <v>1116</v>
      </c>
      <c r="B1240" t="s">
        <v>64</v>
      </c>
      <c r="C1240">
        <v>3545</v>
      </c>
      <c r="D1240">
        <v>391.1</v>
      </c>
      <c r="E1240">
        <v>105.7</v>
      </c>
      <c r="F1240">
        <v>3.5</v>
      </c>
      <c r="G1240">
        <v>1.6</v>
      </c>
      <c r="H1240">
        <f t="shared" si="57"/>
        <v>1082.8316462421571</v>
      </c>
      <c r="I1240">
        <f t="shared" si="58"/>
        <v>2451.6816462421575</v>
      </c>
      <c r="J1240">
        <f>SUMIFS(Transit_Clean[Quantity], Transit_Clean[Destination], A1240, Transit_Clean[Item_Code], B1240, Transit_Clean[SAP_Status], "In Transit")</f>
        <v>2303</v>
      </c>
      <c r="K1240">
        <f t="shared" si="59"/>
        <v>9.0641779596011247</v>
      </c>
      <c r="L1240" t="str" cm="1">
        <f t="array" ref="L1240">_xlfn.IFS(C1240&lt;0,"DATO INVALIDO", C1240+J1240&lt;I1240,"PEDIR YA", C1240&lt;I1240,"EN CAMINO OK", TRUE,"SANO")</f>
        <v>SANO</v>
      </c>
    </row>
    <row r="1241" spans="1:12" x14ac:dyDescent="0.45">
      <c r="A1241" t="s">
        <v>1117</v>
      </c>
      <c r="B1241" t="s">
        <v>110</v>
      </c>
      <c r="C1241">
        <v>2889</v>
      </c>
      <c r="D1241">
        <v>391.5</v>
      </c>
      <c r="E1241">
        <v>212.4</v>
      </c>
      <c r="F1241">
        <v>2.4</v>
      </c>
      <c r="G1241">
        <v>0.5</v>
      </c>
      <c r="H1241">
        <f t="shared" si="57"/>
        <v>631.73905451242285</v>
      </c>
      <c r="I1241">
        <f t="shared" si="58"/>
        <v>1571.3390545124228</v>
      </c>
      <c r="J1241">
        <f>SUMIFS(Transit_Clean[Quantity], Transit_Clean[Destination], A1241, Transit_Clean[Item_Code], B1241, Transit_Clean[SAP_Status], "In Transit")</f>
        <v>3257</v>
      </c>
      <c r="K1241">
        <f t="shared" si="59"/>
        <v>7.3793103448275863</v>
      </c>
      <c r="L1241" t="str" cm="1">
        <f t="array" ref="L1241">_xlfn.IFS(C1241&lt;0,"DATO INVALIDO", C1241+J1241&lt;I1241,"PEDIR YA", C1241&lt;I1241,"EN CAMINO OK", TRUE,"SANO")</f>
        <v>SANO</v>
      </c>
    </row>
    <row r="1242" spans="1:12" x14ac:dyDescent="0.45">
      <c r="A1242" t="s">
        <v>1126</v>
      </c>
      <c r="B1242" t="s">
        <v>7</v>
      </c>
      <c r="C1242">
        <v>741</v>
      </c>
      <c r="D1242">
        <v>380.3</v>
      </c>
      <c r="E1242">
        <v>53.2</v>
      </c>
      <c r="F1242">
        <v>1.1000000000000001</v>
      </c>
      <c r="G1242">
        <v>0.2</v>
      </c>
      <c r="H1242">
        <f t="shared" si="57"/>
        <v>155.64658763043926</v>
      </c>
      <c r="I1242">
        <f t="shared" si="58"/>
        <v>573.97658763043933</v>
      </c>
      <c r="J1242">
        <f>SUMIFS(Transit_Clean[Quantity], Transit_Clean[Destination], A1242, Transit_Clean[Item_Code], B1242, Transit_Clean[SAP_Status], "In Transit")</f>
        <v>0</v>
      </c>
      <c r="K1242">
        <f t="shared" si="59"/>
        <v>1.9484617407310019</v>
      </c>
      <c r="L1242" t="str" cm="1">
        <f t="array" ref="L1242">_xlfn.IFS(C1242&lt;0,"DATO INVALIDO", C1242+J1242&lt;I1242,"PEDIR YA", C1242&lt;I1242,"EN CAMINO OK", TRUE,"SANO")</f>
        <v>SANO</v>
      </c>
    </row>
    <row r="1243" spans="1:12" x14ac:dyDescent="0.45">
      <c r="A1243" t="s">
        <v>1115</v>
      </c>
      <c r="B1243" t="s">
        <v>56</v>
      </c>
      <c r="C1243">
        <v>3824</v>
      </c>
      <c r="D1243">
        <v>736.5</v>
      </c>
      <c r="E1243">
        <v>199.6</v>
      </c>
      <c r="F1243">
        <v>1.1000000000000001</v>
      </c>
      <c r="G1243">
        <v>0.6</v>
      </c>
      <c r="H1243">
        <f t="shared" si="57"/>
        <v>806.81420871536466</v>
      </c>
      <c r="I1243">
        <f t="shared" si="58"/>
        <v>1616.9642087153647</v>
      </c>
      <c r="J1243">
        <f>SUMIFS(Transit_Clean[Quantity], Transit_Clean[Destination], A1243, Transit_Clean[Item_Code], B1243, Transit_Clean[SAP_Status], "In Transit")</f>
        <v>1801</v>
      </c>
      <c r="K1243">
        <f t="shared" si="59"/>
        <v>5.1921249151391722</v>
      </c>
      <c r="L1243" t="str" cm="1">
        <f t="array" ref="L1243">_xlfn.IFS(C1243&lt;0,"DATO INVALIDO", C1243+J1243&lt;I1243,"PEDIR YA", C1243&lt;I1243,"EN CAMINO OK", TRUE,"SANO")</f>
        <v>SANO</v>
      </c>
    </row>
    <row r="1244" spans="1:12" x14ac:dyDescent="0.45">
      <c r="A1244" t="s">
        <v>1124</v>
      </c>
      <c r="B1244" t="s">
        <v>1138</v>
      </c>
      <c r="C1244">
        <v>6430</v>
      </c>
      <c r="D1244">
        <v>581.79999999999995</v>
      </c>
      <c r="E1244">
        <v>154.69999999999999</v>
      </c>
      <c r="F1244">
        <v>1.2</v>
      </c>
      <c r="G1244">
        <v>0.3</v>
      </c>
      <c r="H1244">
        <f t="shared" si="57"/>
        <v>401.4037295678753</v>
      </c>
      <c r="I1244">
        <f t="shared" si="58"/>
        <v>1099.5637295678753</v>
      </c>
      <c r="J1244">
        <f>SUMIFS(Transit_Clean[Quantity], Transit_Clean[Destination], A1244, Transit_Clean[Item_Code], B1244, Transit_Clean[SAP_Status], "In Transit")</f>
        <v>1513</v>
      </c>
      <c r="K1244">
        <f t="shared" si="59"/>
        <v>11.051907872121005</v>
      </c>
      <c r="L1244" t="str" cm="1">
        <f t="array" ref="L1244">_xlfn.IFS(C1244&lt;0,"DATO INVALIDO", C1244+J1244&lt;I1244,"PEDIR YA", C1244&lt;I1244,"EN CAMINO OK", TRUE,"SANO")</f>
        <v>SANO</v>
      </c>
    </row>
    <row r="1245" spans="1:12" x14ac:dyDescent="0.45">
      <c r="A1245" t="s">
        <v>1116</v>
      </c>
      <c r="B1245" t="s">
        <v>88</v>
      </c>
      <c r="C1245">
        <v>3190</v>
      </c>
      <c r="D1245">
        <v>225.1</v>
      </c>
      <c r="E1245">
        <v>101.8</v>
      </c>
      <c r="F1245">
        <v>4.4000000000000004</v>
      </c>
      <c r="G1245">
        <v>1.6</v>
      </c>
      <c r="H1245">
        <f t="shared" si="57"/>
        <v>690.86247086956462</v>
      </c>
      <c r="I1245">
        <f t="shared" si="58"/>
        <v>1681.3024708695648</v>
      </c>
      <c r="J1245">
        <f>SUMIFS(Transit_Clean[Quantity], Transit_Clean[Destination], A1245, Transit_Clean[Item_Code], B1245, Transit_Clean[SAP_Status], "In Transit")</f>
        <v>1978</v>
      </c>
      <c r="K1245">
        <f t="shared" si="59"/>
        <v>14.171479342514438</v>
      </c>
      <c r="L1245" t="str" cm="1">
        <f t="array" ref="L1245">_xlfn.IFS(C1245&lt;0,"DATO INVALIDO", C1245+J1245&lt;I1245,"PEDIR YA", C1245&lt;I1245,"EN CAMINO OK", TRUE,"SANO")</f>
        <v>SANO</v>
      </c>
    </row>
    <row r="1246" spans="1:12" x14ac:dyDescent="0.45">
      <c r="A1246" t="s">
        <v>1121</v>
      </c>
      <c r="B1246" t="s">
        <v>49</v>
      </c>
      <c r="D1246">
        <v>339.4</v>
      </c>
      <c r="E1246">
        <v>67.099999999999994</v>
      </c>
      <c r="F1246">
        <v>2.2000000000000002</v>
      </c>
      <c r="G1246">
        <v>0.4</v>
      </c>
      <c r="H1246">
        <f t="shared" si="57"/>
        <v>277.74984556431343</v>
      </c>
      <c r="I1246">
        <f t="shared" si="58"/>
        <v>1024.4298455643134</v>
      </c>
      <c r="J1246">
        <f>SUMIFS(Transit_Clean[Quantity], Transit_Clean[Destination], A1246, Transit_Clean[Item_Code], B1246, Transit_Clean[SAP_Status], "In Transit")</f>
        <v>0</v>
      </c>
      <c r="K1246">
        <f t="shared" si="59"/>
        <v>0</v>
      </c>
      <c r="L1246" t="str" cm="1">
        <f t="array" ref="L1246">_xlfn.IFS(C1246&lt;0,"DATO INVALIDO", C1246+J1246&lt;I1246,"PEDIR YA", C1246&lt;I1246,"EN CAMINO OK", TRUE,"SANO")</f>
        <v>PEDIR YA</v>
      </c>
    </row>
    <row r="1247" spans="1:12" x14ac:dyDescent="0.45">
      <c r="A1247" t="s">
        <v>1127</v>
      </c>
      <c r="B1247" t="s">
        <v>1138</v>
      </c>
      <c r="C1247">
        <v>5349</v>
      </c>
      <c r="D1247">
        <v>351.4</v>
      </c>
      <c r="E1247">
        <v>74.7</v>
      </c>
      <c r="F1247">
        <v>2.8</v>
      </c>
      <c r="G1247">
        <v>0.9</v>
      </c>
      <c r="H1247">
        <f t="shared" si="57"/>
        <v>561.10830622171329</v>
      </c>
      <c r="I1247">
        <f t="shared" si="58"/>
        <v>1545.0283062217131</v>
      </c>
      <c r="J1247">
        <f>SUMIFS(Transit_Clean[Quantity], Transit_Clean[Destination], A1247, Transit_Clean[Item_Code], B1247, Transit_Clean[SAP_Status], "In Transit")</f>
        <v>2061</v>
      </c>
      <c r="K1247">
        <f t="shared" si="59"/>
        <v>15.221969265793968</v>
      </c>
      <c r="L1247" t="str" cm="1">
        <f t="array" ref="L1247">_xlfn.IFS(C1247&lt;0,"DATO INVALIDO", C1247+J1247&lt;I1247,"PEDIR YA", C1247&lt;I1247,"EN CAMINO OK", TRUE,"SANO")</f>
        <v>SANO</v>
      </c>
    </row>
    <row r="1248" spans="1:12" x14ac:dyDescent="0.45">
      <c r="A1248" t="s">
        <v>1118</v>
      </c>
      <c r="B1248" t="s">
        <v>98</v>
      </c>
      <c r="C1248">
        <v>6906</v>
      </c>
      <c r="D1248">
        <v>874.3</v>
      </c>
      <c r="E1248">
        <v>187.9</v>
      </c>
      <c r="F1248">
        <v>2.8</v>
      </c>
      <c r="G1248">
        <v>1.5</v>
      </c>
      <c r="H1248">
        <f t="shared" si="57"/>
        <v>2225.2126898312999</v>
      </c>
      <c r="I1248">
        <f t="shared" si="58"/>
        <v>4673.252689831299</v>
      </c>
      <c r="J1248">
        <f>SUMIFS(Transit_Clean[Quantity], Transit_Clean[Destination], A1248, Transit_Clean[Item_Code], B1248, Transit_Clean[SAP_Status], "In Transit")</f>
        <v>0</v>
      </c>
      <c r="K1248">
        <f t="shared" si="59"/>
        <v>7.8988905410042323</v>
      </c>
      <c r="L1248" t="str" cm="1">
        <f t="array" ref="L1248">_xlfn.IFS(C1248&lt;0,"DATO INVALIDO", C1248+J1248&lt;I1248,"PEDIR YA", C1248&lt;I1248,"EN CAMINO OK", TRUE,"SANO")</f>
        <v>SANO</v>
      </c>
    </row>
    <row r="1249" spans="1:12" x14ac:dyDescent="0.45">
      <c r="A1249" t="s">
        <v>1126</v>
      </c>
      <c r="B1249" t="s">
        <v>48</v>
      </c>
      <c r="C1249">
        <v>7849</v>
      </c>
      <c r="D1249">
        <v>444</v>
      </c>
      <c r="E1249">
        <v>111.5</v>
      </c>
      <c r="F1249">
        <v>1.1000000000000001</v>
      </c>
      <c r="G1249">
        <v>0.2</v>
      </c>
      <c r="H1249">
        <f t="shared" si="57"/>
        <v>242.27998490898915</v>
      </c>
      <c r="I1249">
        <f t="shared" si="58"/>
        <v>730.67998490898913</v>
      </c>
      <c r="J1249">
        <f>SUMIFS(Transit_Clean[Quantity], Transit_Clean[Destination], A1249, Transit_Clean[Item_Code], B1249, Transit_Clean[SAP_Status], "In Transit")</f>
        <v>1772</v>
      </c>
      <c r="K1249">
        <f t="shared" si="59"/>
        <v>17.677927927927929</v>
      </c>
      <c r="L1249" t="str" cm="1">
        <f t="array" ref="L1249">_xlfn.IFS(C1249&lt;0,"DATO INVALIDO", C1249+J1249&lt;I1249,"PEDIR YA", C1249&lt;I1249,"EN CAMINO OK", TRUE,"SANO")</f>
        <v>SANO</v>
      </c>
    </row>
    <row r="1250" spans="1:12" x14ac:dyDescent="0.45">
      <c r="A1250" t="s">
        <v>1119</v>
      </c>
      <c r="B1250" t="s">
        <v>103</v>
      </c>
      <c r="C1250">
        <v>3192</v>
      </c>
      <c r="D1250">
        <v>400.5</v>
      </c>
      <c r="E1250">
        <v>55.6</v>
      </c>
      <c r="F1250">
        <v>1.4</v>
      </c>
      <c r="G1250">
        <v>1</v>
      </c>
      <c r="H1250">
        <f t="shared" si="57"/>
        <v>669.68081894660827</v>
      </c>
      <c r="I1250">
        <f t="shared" si="58"/>
        <v>1230.3808189466081</v>
      </c>
      <c r="J1250">
        <f>SUMIFS(Transit_Clean[Quantity], Transit_Clean[Destination], A1250, Transit_Clean[Item_Code], B1250, Transit_Clean[SAP_Status], "In Transit")</f>
        <v>1211</v>
      </c>
      <c r="K1250">
        <f t="shared" si="59"/>
        <v>7.9700374531835205</v>
      </c>
      <c r="L1250" t="str" cm="1">
        <f t="array" ref="L1250">_xlfn.IFS(C1250&lt;0,"DATO INVALIDO", C1250+J1250&lt;I1250,"PEDIR YA", C1250&lt;I1250,"EN CAMINO OK", TRUE,"SANO")</f>
        <v>SANO</v>
      </c>
    </row>
    <row r="1251" spans="1:12" x14ac:dyDescent="0.45">
      <c r="A1251" t="s">
        <v>1127</v>
      </c>
      <c r="B1251" t="s">
        <v>58</v>
      </c>
      <c r="C1251">
        <v>1288</v>
      </c>
      <c r="D1251">
        <v>235.1</v>
      </c>
      <c r="E1251">
        <v>30.4</v>
      </c>
      <c r="F1251">
        <v>2.4</v>
      </c>
      <c r="G1251">
        <v>0.9</v>
      </c>
      <c r="H1251">
        <f t="shared" si="57"/>
        <v>357.66699553110851</v>
      </c>
      <c r="I1251">
        <f t="shared" si="58"/>
        <v>921.90699553110858</v>
      </c>
      <c r="J1251">
        <f>SUMIFS(Transit_Clean[Quantity], Transit_Clean[Destination], A1251, Transit_Clean[Item_Code], B1251, Transit_Clean[SAP_Status], "In Transit")</f>
        <v>0</v>
      </c>
      <c r="K1251">
        <f t="shared" si="59"/>
        <v>5.4785197788175246</v>
      </c>
      <c r="L1251" t="str" cm="1">
        <f t="array" ref="L1251">_xlfn.IFS(C1251&lt;0,"DATO INVALIDO", C1251+J1251&lt;I1251,"PEDIR YA", C1251&lt;I1251,"EN CAMINO OK", TRUE,"SANO")</f>
        <v>SANO</v>
      </c>
    </row>
    <row r="1252" spans="1:12" x14ac:dyDescent="0.45">
      <c r="A1252" t="s">
        <v>1127</v>
      </c>
      <c r="B1252" t="s">
        <v>110</v>
      </c>
      <c r="C1252">
        <v>4672</v>
      </c>
      <c r="D1252">
        <v>347.5</v>
      </c>
      <c r="E1252">
        <v>208</v>
      </c>
      <c r="F1252">
        <v>3.2</v>
      </c>
      <c r="G1252">
        <v>0.9</v>
      </c>
      <c r="H1252">
        <f t="shared" si="57"/>
        <v>802.00415797316782</v>
      </c>
      <c r="I1252">
        <f t="shared" si="58"/>
        <v>1914.0041579731678</v>
      </c>
      <c r="J1252">
        <f>SUMIFS(Transit_Clean[Quantity], Transit_Clean[Destination], A1252, Transit_Clean[Item_Code], B1252, Transit_Clean[SAP_Status], "In Transit")</f>
        <v>0</v>
      </c>
      <c r="K1252">
        <f t="shared" si="59"/>
        <v>13.444604316546762</v>
      </c>
      <c r="L1252" t="str" cm="1">
        <f t="array" ref="L1252">_xlfn.IFS(C1252&lt;0,"DATO INVALIDO", C1252+J1252&lt;I1252,"PEDIR YA", C1252&lt;I1252,"EN CAMINO OK", TRUE,"SANO")</f>
        <v>SANO</v>
      </c>
    </row>
    <row r="1253" spans="1:12" x14ac:dyDescent="0.45">
      <c r="A1253" t="s">
        <v>1115</v>
      </c>
      <c r="B1253" t="s">
        <v>32</v>
      </c>
      <c r="C1253">
        <v>164</v>
      </c>
      <c r="D1253">
        <v>284.39999999999998</v>
      </c>
      <c r="E1253">
        <v>99.4</v>
      </c>
      <c r="F1253">
        <v>2.6</v>
      </c>
      <c r="G1253">
        <v>0.6</v>
      </c>
      <c r="H1253">
        <f t="shared" si="57"/>
        <v>386.27957413769622</v>
      </c>
      <c r="I1253">
        <f t="shared" si="58"/>
        <v>1125.7195741376961</v>
      </c>
      <c r="J1253">
        <f>SUMIFS(Transit_Clean[Quantity], Transit_Clean[Destination], A1253, Transit_Clean[Item_Code], B1253, Transit_Clean[SAP_Status], "In Transit")</f>
        <v>5848</v>
      </c>
      <c r="K1253">
        <f t="shared" si="59"/>
        <v>0.57665260196905777</v>
      </c>
      <c r="L1253" t="str" cm="1">
        <f t="array" ref="L1253">_xlfn.IFS(C1253&lt;0,"DATO INVALIDO", C1253+J1253&lt;I1253,"PEDIR YA", C1253&lt;I1253,"EN CAMINO OK", TRUE,"SANO")</f>
        <v>EN CAMINO OK</v>
      </c>
    </row>
    <row r="1254" spans="1:12" x14ac:dyDescent="0.45">
      <c r="A1254" t="s">
        <v>1125</v>
      </c>
      <c r="B1254" t="s">
        <v>48</v>
      </c>
      <c r="C1254">
        <v>6404</v>
      </c>
      <c r="D1254">
        <v>472.1</v>
      </c>
      <c r="E1254">
        <v>131.69999999999999</v>
      </c>
      <c r="F1254">
        <v>3.5</v>
      </c>
      <c r="G1254">
        <v>1.2</v>
      </c>
      <c r="H1254">
        <f t="shared" si="57"/>
        <v>1019.336862451025</v>
      </c>
      <c r="I1254">
        <f t="shared" si="58"/>
        <v>2671.6868624510253</v>
      </c>
      <c r="J1254">
        <f>SUMIFS(Transit_Clean[Quantity], Transit_Clean[Destination], A1254, Transit_Clean[Item_Code], B1254, Transit_Clean[SAP_Status], "In Transit")</f>
        <v>0</v>
      </c>
      <c r="K1254">
        <f t="shared" si="59"/>
        <v>13.564922685871636</v>
      </c>
      <c r="L1254" t="str" cm="1">
        <f t="array" ref="L1254">_xlfn.IFS(C1254&lt;0,"DATO INVALIDO", C1254+J1254&lt;I1254,"PEDIR YA", C1254&lt;I1254,"EN CAMINO OK", TRUE,"SANO")</f>
        <v>SANO</v>
      </c>
    </row>
    <row r="1255" spans="1:12" x14ac:dyDescent="0.45">
      <c r="A1255" t="s">
        <v>1124</v>
      </c>
      <c r="B1255" t="s">
        <v>85</v>
      </c>
      <c r="C1255">
        <v>1749</v>
      </c>
      <c r="D1255">
        <v>381.8</v>
      </c>
      <c r="E1255">
        <v>191</v>
      </c>
      <c r="F1255">
        <v>1.2</v>
      </c>
      <c r="G1255">
        <v>0.3</v>
      </c>
      <c r="H1255">
        <f t="shared" si="57"/>
        <v>393.57467535526212</v>
      </c>
      <c r="I1255">
        <f t="shared" si="58"/>
        <v>851.7346753552622</v>
      </c>
      <c r="J1255">
        <f>SUMIFS(Transit_Clean[Quantity], Transit_Clean[Destination], A1255, Transit_Clean[Item_Code], B1255, Transit_Clean[SAP_Status], "In Transit")</f>
        <v>0</v>
      </c>
      <c r="K1255">
        <f t="shared" si="59"/>
        <v>4.5809324253535877</v>
      </c>
      <c r="L1255" t="str" cm="1">
        <f t="array" ref="L1255">_xlfn.IFS(C1255&lt;0,"DATO INVALIDO", C1255+J1255&lt;I1255,"PEDIR YA", C1255&lt;I1255,"EN CAMINO OK", TRUE,"SANO")</f>
        <v>SANO</v>
      </c>
    </row>
    <row r="1256" spans="1:12" x14ac:dyDescent="0.45">
      <c r="A1256" t="s">
        <v>1120</v>
      </c>
      <c r="B1256" t="s">
        <v>25</v>
      </c>
      <c r="C1256">
        <v>3182</v>
      </c>
      <c r="D1256">
        <v>223</v>
      </c>
      <c r="E1256">
        <v>98</v>
      </c>
      <c r="F1256">
        <v>2</v>
      </c>
      <c r="G1256">
        <v>0.5</v>
      </c>
      <c r="H1256">
        <f t="shared" si="57"/>
        <v>293.4971560765112</v>
      </c>
      <c r="I1256">
        <f t="shared" si="58"/>
        <v>739.49715607651115</v>
      </c>
      <c r="J1256">
        <f>SUMIFS(Transit_Clean[Quantity], Transit_Clean[Destination], A1256, Transit_Clean[Item_Code], B1256, Transit_Clean[SAP_Status], "In Transit")</f>
        <v>0</v>
      </c>
      <c r="K1256">
        <f t="shared" si="59"/>
        <v>14.269058295964125</v>
      </c>
      <c r="L1256" t="str" cm="1">
        <f t="array" ref="L1256">_xlfn.IFS(C1256&lt;0,"DATO INVALIDO", C1256+J1256&lt;I1256,"PEDIR YA", C1256&lt;I1256,"EN CAMINO OK", TRUE,"SANO")</f>
        <v>SANO</v>
      </c>
    </row>
    <row r="1257" spans="1:12" x14ac:dyDescent="0.45">
      <c r="A1257" t="s">
        <v>1125</v>
      </c>
      <c r="B1257" t="s">
        <v>88</v>
      </c>
      <c r="C1257">
        <v>2458</v>
      </c>
      <c r="D1257">
        <v>179.9</v>
      </c>
      <c r="E1257">
        <v>90.5</v>
      </c>
      <c r="F1257">
        <v>3.4</v>
      </c>
      <c r="G1257">
        <v>1.2</v>
      </c>
      <c r="H1257">
        <f t="shared" si="57"/>
        <v>450.21429778384424</v>
      </c>
      <c r="I1257">
        <f t="shared" si="58"/>
        <v>1061.8742977838442</v>
      </c>
      <c r="J1257">
        <f>SUMIFS(Transit_Clean[Quantity], Transit_Clean[Destination], A1257, Transit_Clean[Item_Code], B1257, Transit_Clean[SAP_Status], "In Transit")</f>
        <v>0</v>
      </c>
      <c r="K1257">
        <f t="shared" si="59"/>
        <v>13.663146192329071</v>
      </c>
      <c r="L1257" t="str" cm="1">
        <f t="array" ref="L1257">_xlfn.IFS(C1257&lt;0,"DATO INVALIDO", C1257+J1257&lt;I1257,"PEDIR YA", C1257&lt;I1257,"EN CAMINO OK", TRUE,"SANO")</f>
        <v>SANO</v>
      </c>
    </row>
    <row r="1258" spans="1:12" x14ac:dyDescent="0.45">
      <c r="A1258" t="s">
        <v>1126</v>
      </c>
      <c r="B1258" t="s">
        <v>110</v>
      </c>
      <c r="C1258">
        <v>4436</v>
      </c>
      <c r="D1258">
        <v>569.79999999999995</v>
      </c>
      <c r="E1258">
        <v>307.60000000000002</v>
      </c>
      <c r="F1258">
        <v>0.8</v>
      </c>
      <c r="G1258">
        <v>0.2</v>
      </c>
      <c r="H1258">
        <f t="shared" si="57"/>
        <v>491.35961009834739</v>
      </c>
      <c r="I1258">
        <f t="shared" si="58"/>
        <v>947.19961009834742</v>
      </c>
      <c r="J1258">
        <f>SUMIFS(Transit_Clean[Quantity], Transit_Clean[Destination], A1258, Transit_Clean[Item_Code], B1258, Transit_Clean[SAP_Status], "In Transit")</f>
        <v>0</v>
      </c>
      <c r="K1258">
        <f t="shared" si="59"/>
        <v>7.7851877851877855</v>
      </c>
      <c r="L1258" t="str" cm="1">
        <f t="array" ref="L1258">_xlfn.IFS(C1258&lt;0,"DATO INVALIDO", C1258+J1258&lt;I1258,"PEDIR YA", C1258&lt;I1258,"EN CAMINO OK", TRUE,"SANO")</f>
        <v>SANO</v>
      </c>
    </row>
    <row r="1259" spans="1:12" x14ac:dyDescent="0.45">
      <c r="A1259" t="s">
        <v>1114</v>
      </c>
      <c r="B1259" t="s">
        <v>8</v>
      </c>
      <c r="C1259">
        <v>10245</v>
      </c>
      <c r="D1259">
        <v>624.20000000000005</v>
      </c>
      <c r="E1259">
        <v>111.3</v>
      </c>
      <c r="F1259">
        <v>5.5</v>
      </c>
      <c r="G1259">
        <v>1.3</v>
      </c>
      <c r="H1259">
        <f t="shared" si="57"/>
        <v>1406.4734208005852</v>
      </c>
      <c r="I1259">
        <f t="shared" si="58"/>
        <v>4839.5734208005852</v>
      </c>
      <c r="J1259">
        <f>SUMIFS(Transit_Clean[Quantity], Transit_Clean[Destination], A1259, Transit_Clean[Item_Code], B1259, Transit_Clean[SAP_Status], "In Transit")</f>
        <v>0</v>
      </c>
      <c r="K1259">
        <f t="shared" si="59"/>
        <v>16.413008651073373</v>
      </c>
      <c r="L1259" t="str" cm="1">
        <f t="array" ref="L1259">_xlfn.IFS(C1259&lt;0,"DATO INVALIDO", C1259+J1259&lt;I1259,"PEDIR YA", C1259&lt;I1259,"EN CAMINO OK", TRUE,"SANO")</f>
        <v>SANO</v>
      </c>
    </row>
    <row r="1260" spans="1:12" x14ac:dyDescent="0.45">
      <c r="A1260" t="s">
        <v>1121</v>
      </c>
      <c r="B1260" t="s">
        <v>19</v>
      </c>
      <c r="C1260">
        <v>831</v>
      </c>
      <c r="D1260">
        <v>202</v>
      </c>
      <c r="E1260">
        <v>54</v>
      </c>
      <c r="F1260">
        <v>1.8</v>
      </c>
      <c r="G1260">
        <v>0.4</v>
      </c>
      <c r="H1260">
        <f t="shared" si="57"/>
        <v>179.06445878509783</v>
      </c>
      <c r="I1260">
        <f t="shared" si="58"/>
        <v>542.66445878509785</v>
      </c>
      <c r="J1260">
        <f>SUMIFS(Transit_Clean[Quantity], Transit_Clean[Destination], A1260, Transit_Clean[Item_Code], B1260, Transit_Clean[SAP_Status], "In Transit")</f>
        <v>0</v>
      </c>
      <c r="K1260">
        <f t="shared" si="59"/>
        <v>4.1138613861386135</v>
      </c>
      <c r="L1260" t="str" cm="1">
        <f t="array" ref="L1260">_xlfn.IFS(C1260&lt;0,"DATO INVALIDO", C1260+J1260&lt;I1260,"PEDIR YA", C1260&lt;I1260,"EN CAMINO OK", TRUE,"SANO")</f>
        <v>SANO</v>
      </c>
    </row>
    <row r="1261" spans="1:12" x14ac:dyDescent="0.45">
      <c r="A1261" t="s">
        <v>1115</v>
      </c>
      <c r="B1261" t="s">
        <v>88</v>
      </c>
      <c r="C1261">
        <v>5457</v>
      </c>
      <c r="D1261">
        <v>459.2</v>
      </c>
      <c r="E1261">
        <v>244.7</v>
      </c>
      <c r="F1261">
        <v>1.9</v>
      </c>
      <c r="G1261">
        <v>0.6</v>
      </c>
      <c r="H1261">
        <f t="shared" si="57"/>
        <v>718.61173363054672</v>
      </c>
      <c r="I1261">
        <f t="shared" si="58"/>
        <v>1591.0917336305465</v>
      </c>
      <c r="J1261">
        <f>SUMIFS(Transit_Clean[Quantity], Transit_Clean[Destination], A1261, Transit_Clean[Item_Code], B1261, Transit_Clean[SAP_Status], "In Transit")</f>
        <v>3841</v>
      </c>
      <c r="K1261">
        <f t="shared" si="59"/>
        <v>11.883710801393729</v>
      </c>
      <c r="L1261" t="str" cm="1">
        <f t="array" ref="L1261">_xlfn.IFS(C1261&lt;0,"DATO INVALIDO", C1261+J1261&lt;I1261,"PEDIR YA", C1261&lt;I1261,"EN CAMINO OK", TRUE,"SANO")</f>
        <v>SANO</v>
      </c>
    </row>
    <row r="1262" spans="1:12" x14ac:dyDescent="0.45">
      <c r="A1262" t="s">
        <v>1120</v>
      </c>
      <c r="B1262" t="s">
        <v>105</v>
      </c>
      <c r="C1262">
        <v>5854</v>
      </c>
      <c r="D1262">
        <v>378.3</v>
      </c>
      <c r="E1262">
        <v>47</v>
      </c>
      <c r="F1262">
        <v>2.2999999999999998</v>
      </c>
      <c r="G1262">
        <v>0.5</v>
      </c>
      <c r="H1262">
        <f t="shared" si="57"/>
        <v>333.52219604735456</v>
      </c>
      <c r="I1262">
        <f t="shared" si="58"/>
        <v>1203.6121960473545</v>
      </c>
      <c r="J1262">
        <f>SUMIFS(Transit_Clean[Quantity], Transit_Clean[Destination], A1262, Transit_Clean[Item_Code], B1262, Transit_Clean[SAP_Status], "In Transit")</f>
        <v>0</v>
      </c>
      <c r="K1262">
        <f t="shared" si="59"/>
        <v>15.474491144594237</v>
      </c>
      <c r="L1262" t="str" cm="1">
        <f t="array" ref="L1262">_xlfn.IFS(C1262&lt;0,"DATO INVALIDO", C1262+J1262&lt;I1262,"PEDIR YA", C1262&lt;I1262,"EN CAMINO OK", TRUE,"SANO")</f>
        <v>SANO</v>
      </c>
    </row>
    <row r="1263" spans="1:12" x14ac:dyDescent="0.45">
      <c r="A1263" t="s">
        <v>1119</v>
      </c>
      <c r="B1263" t="s">
        <v>81</v>
      </c>
      <c r="C1263">
        <v>4208</v>
      </c>
      <c r="D1263">
        <v>316.2</v>
      </c>
      <c r="E1263">
        <v>51.1</v>
      </c>
      <c r="F1263">
        <v>3.3</v>
      </c>
      <c r="G1263">
        <v>1</v>
      </c>
      <c r="H1263">
        <f t="shared" si="57"/>
        <v>543.74806329999922</v>
      </c>
      <c r="I1263">
        <f t="shared" si="58"/>
        <v>1587.2080632999991</v>
      </c>
      <c r="J1263">
        <f>SUMIFS(Transit_Clean[Quantity], Transit_Clean[Destination], A1263, Transit_Clean[Item_Code], B1263, Transit_Clean[SAP_Status], "In Transit")</f>
        <v>1039</v>
      </c>
      <c r="K1263">
        <f t="shared" si="59"/>
        <v>13.308032890575586</v>
      </c>
      <c r="L1263" t="str" cm="1">
        <f t="array" ref="L1263">_xlfn.IFS(C1263&lt;0,"DATO INVALIDO", C1263+J1263&lt;I1263,"PEDIR YA", C1263&lt;I1263,"EN CAMINO OK", TRUE,"SANO")</f>
        <v>SANO</v>
      </c>
    </row>
    <row r="1264" spans="1:12" x14ac:dyDescent="0.45">
      <c r="A1264" t="s">
        <v>1117</v>
      </c>
      <c r="B1264" t="s">
        <v>41</v>
      </c>
      <c r="C1264">
        <v>671</v>
      </c>
      <c r="D1264">
        <v>249.6</v>
      </c>
      <c r="E1264">
        <v>64.400000000000006</v>
      </c>
      <c r="F1264">
        <v>1.9</v>
      </c>
      <c r="G1264">
        <v>0.5</v>
      </c>
      <c r="H1264">
        <f t="shared" si="57"/>
        <v>252.6980467672831</v>
      </c>
      <c r="I1264">
        <f t="shared" si="58"/>
        <v>726.93804676728303</v>
      </c>
      <c r="J1264">
        <f>SUMIFS(Transit_Clean[Quantity], Transit_Clean[Destination], A1264, Transit_Clean[Item_Code], B1264, Transit_Clean[SAP_Status], "In Transit")</f>
        <v>0</v>
      </c>
      <c r="K1264">
        <f t="shared" si="59"/>
        <v>2.6883012820512819</v>
      </c>
      <c r="L1264" t="str" cm="1">
        <f t="array" ref="L1264">_xlfn.IFS(C1264&lt;0,"DATO INVALIDO", C1264+J1264&lt;I1264,"PEDIR YA", C1264&lt;I1264,"EN CAMINO OK", TRUE,"SANO")</f>
        <v>PEDIR YA</v>
      </c>
    </row>
    <row r="1265" spans="1:12" x14ac:dyDescent="0.45">
      <c r="A1265" t="s">
        <v>1117</v>
      </c>
      <c r="B1265" t="s">
        <v>27</v>
      </c>
      <c r="C1265">
        <v>2546</v>
      </c>
      <c r="D1265">
        <v>396.1</v>
      </c>
      <c r="E1265">
        <v>210.5</v>
      </c>
      <c r="F1265">
        <v>2.2999999999999998</v>
      </c>
      <c r="G1265">
        <v>0.5</v>
      </c>
      <c r="H1265">
        <f t="shared" si="57"/>
        <v>619.87620557958985</v>
      </c>
      <c r="I1265">
        <f t="shared" si="58"/>
        <v>1530.9062055795898</v>
      </c>
      <c r="J1265">
        <f>SUMIFS(Transit_Clean[Quantity], Transit_Clean[Destination], A1265, Transit_Clean[Item_Code], B1265, Transit_Clean[SAP_Status], "In Transit")</f>
        <v>1621</v>
      </c>
      <c r="K1265">
        <f t="shared" si="59"/>
        <v>6.427669780358495</v>
      </c>
      <c r="L1265" t="str" cm="1">
        <f t="array" ref="L1265">_xlfn.IFS(C1265&lt;0,"DATO INVALIDO", C1265+J1265&lt;I1265,"PEDIR YA", C1265&lt;I1265,"EN CAMINO OK", TRUE,"SANO")</f>
        <v>SANO</v>
      </c>
    </row>
    <row r="1266" spans="1:12" x14ac:dyDescent="0.45">
      <c r="A1266" t="s">
        <v>1127</v>
      </c>
      <c r="B1266" t="s">
        <v>101</v>
      </c>
      <c r="C1266">
        <v>6086</v>
      </c>
      <c r="D1266">
        <v>949.7</v>
      </c>
      <c r="E1266">
        <v>238.8</v>
      </c>
      <c r="F1266">
        <v>3.5</v>
      </c>
      <c r="G1266">
        <v>0.9</v>
      </c>
      <c r="H1266">
        <f t="shared" si="57"/>
        <v>1591.3327571945001</v>
      </c>
      <c r="I1266">
        <f t="shared" si="58"/>
        <v>4915.2827571944999</v>
      </c>
      <c r="J1266">
        <f>SUMIFS(Transit_Clean[Quantity], Transit_Clean[Destination], A1266, Transit_Clean[Item_Code], B1266, Transit_Clean[SAP_Status], "In Transit")</f>
        <v>0</v>
      </c>
      <c r="K1266">
        <f t="shared" si="59"/>
        <v>6.4083394756238805</v>
      </c>
      <c r="L1266" t="str" cm="1">
        <f t="array" ref="L1266">_xlfn.IFS(C1266&lt;0,"DATO INVALIDO", C1266+J1266&lt;I1266,"PEDIR YA", C1266&lt;I1266,"EN CAMINO OK", TRUE,"SANO")</f>
        <v>SANO</v>
      </c>
    </row>
    <row r="1267" spans="1:12" x14ac:dyDescent="0.45">
      <c r="A1267" t="s">
        <v>1124</v>
      </c>
      <c r="B1267" t="s">
        <v>87</v>
      </c>
      <c r="C1267">
        <v>2714</v>
      </c>
      <c r="D1267">
        <v>276.8</v>
      </c>
      <c r="E1267">
        <v>35.299999999999997</v>
      </c>
      <c r="F1267">
        <v>0.7</v>
      </c>
      <c r="G1267">
        <v>0.3</v>
      </c>
      <c r="H1267">
        <f t="shared" si="57"/>
        <v>145.42393294605947</v>
      </c>
      <c r="I1267">
        <f t="shared" si="58"/>
        <v>339.18393294605949</v>
      </c>
      <c r="J1267">
        <f>SUMIFS(Transit_Clean[Quantity], Transit_Clean[Destination], A1267, Transit_Clean[Item_Code], B1267, Transit_Clean[SAP_Status], "In Transit")</f>
        <v>0</v>
      </c>
      <c r="K1267">
        <f t="shared" si="59"/>
        <v>9.8049132947976876</v>
      </c>
      <c r="L1267" t="str" cm="1">
        <f t="array" ref="L1267">_xlfn.IFS(C1267&lt;0,"DATO INVALIDO", C1267+J1267&lt;I1267,"PEDIR YA", C1267&lt;I1267,"EN CAMINO OK", TRUE,"SANO")</f>
        <v>SANO</v>
      </c>
    </row>
    <row r="1268" spans="1:12" x14ac:dyDescent="0.45">
      <c r="A1268" t="s">
        <v>1120</v>
      </c>
      <c r="B1268" t="s">
        <v>22</v>
      </c>
      <c r="C1268">
        <v>2998</v>
      </c>
      <c r="D1268">
        <v>734.1</v>
      </c>
      <c r="E1268">
        <v>366.8</v>
      </c>
      <c r="F1268">
        <v>1.7</v>
      </c>
      <c r="G1268">
        <v>0.5</v>
      </c>
      <c r="H1268">
        <f t="shared" si="57"/>
        <v>994.72903211691278</v>
      </c>
      <c r="I1268">
        <f t="shared" si="58"/>
        <v>2242.6990321169128</v>
      </c>
      <c r="J1268">
        <f>SUMIFS(Transit_Clean[Quantity], Transit_Clean[Destination], A1268, Transit_Clean[Item_Code], B1268, Transit_Clean[SAP_Status], "In Transit")</f>
        <v>1613</v>
      </c>
      <c r="K1268">
        <f t="shared" si="59"/>
        <v>4.0839122735322162</v>
      </c>
      <c r="L1268" t="str" cm="1">
        <f t="array" ref="L1268">_xlfn.IFS(C1268&lt;0,"DATO INVALIDO", C1268+J1268&lt;I1268,"PEDIR YA", C1268&lt;I1268,"EN CAMINO OK", TRUE,"SANO")</f>
        <v>SANO</v>
      </c>
    </row>
    <row r="1269" spans="1:12" x14ac:dyDescent="0.45">
      <c r="A1269" t="s">
        <v>1123</v>
      </c>
      <c r="B1269" t="s">
        <v>41</v>
      </c>
      <c r="C1269">
        <v>1109</v>
      </c>
      <c r="D1269">
        <v>335.4</v>
      </c>
      <c r="E1269">
        <v>86.5</v>
      </c>
      <c r="F1269">
        <v>1.2</v>
      </c>
      <c r="G1269">
        <v>0.3</v>
      </c>
      <c r="H1269">
        <f t="shared" si="57"/>
        <v>228.05294841110913</v>
      </c>
      <c r="I1269">
        <f t="shared" si="58"/>
        <v>630.53294841110915</v>
      </c>
      <c r="J1269">
        <f>SUMIFS(Transit_Clean[Quantity], Transit_Clean[Destination], A1269, Transit_Clean[Item_Code], B1269, Transit_Clean[SAP_Status], "In Transit")</f>
        <v>3039</v>
      </c>
      <c r="K1269">
        <f t="shared" si="59"/>
        <v>3.3064997018485394</v>
      </c>
      <c r="L1269" t="str" cm="1">
        <f t="array" ref="L1269">_xlfn.IFS(C1269&lt;0,"DATO INVALIDO", C1269+J1269&lt;I1269,"PEDIR YA", C1269&lt;I1269,"EN CAMINO OK", TRUE,"SANO")</f>
        <v>SANO</v>
      </c>
    </row>
    <row r="1270" spans="1:12" x14ac:dyDescent="0.45">
      <c r="A1270" t="s">
        <v>1126</v>
      </c>
      <c r="B1270" t="s">
        <v>43</v>
      </c>
      <c r="C1270">
        <v>3028</v>
      </c>
      <c r="D1270">
        <v>412.4</v>
      </c>
      <c r="E1270">
        <v>194.4</v>
      </c>
      <c r="F1270">
        <v>1</v>
      </c>
      <c r="G1270">
        <v>0.2</v>
      </c>
      <c r="H1270">
        <f t="shared" si="57"/>
        <v>348.43652228777626</v>
      </c>
      <c r="I1270">
        <f t="shared" si="58"/>
        <v>760.83652228777623</v>
      </c>
      <c r="J1270">
        <f>SUMIFS(Transit_Clean[Quantity], Transit_Clean[Destination], A1270, Transit_Clean[Item_Code], B1270, Transit_Clean[SAP_Status], "In Transit")</f>
        <v>2890</v>
      </c>
      <c r="K1270">
        <f t="shared" si="59"/>
        <v>7.342386032977692</v>
      </c>
      <c r="L1270" t="str" cm="1">
        <f t="array" ref="L1270">_xlfn.IFS(C1270&lt;0,"DATO INVALIDO", C1270+J1270&lt;I1270,"PEDIR YA", C1270&lt;I1270,"EN CAMINO OK", TRUE,"SANO")</f>
        <v>SANO</v>
      </c>
    </row>
    <row r="1271" spans="1:12" x14ac:dyDescent="0.45">
      <c r="A1271" t="s">
        <v>1127</v>
      </c>
      <c r="B1271" t="s">
        <v>61</v>
      </c>
      <c r="C1271">
        <v>8223</v>
      </c>
      <c r="D1271">
        <v>501.8</v>
      </c>
      <c r="E1271">
        <v>70.599999999999994</v>
      </c>
      <c r="F1271">
        <v>3.3</v>
      </c>
      <c r="G1271">
        <v>0.9</v>
      </c>
      <c r="H1271">
        <f t="shared" si="57"/>
        <v>774.63768063463067</v>
      </c>
      <c r="I1271">
        <f t="shared" si="58"/>
        <v>2430.5776806346307</v>
      </c>
      <c r="J1271">
        <f>SUMIFS(Transit_Clean[Quantity], Transit_Clean[Destination], A1271, Transit_Clean[Item_Code], B1271, Transit_Clean[SAP_Status], "In Transit")</f>
        <v>0</v>
      </c>
      <c r="K1271">
        <f t="shared" si="59"/>
        <v>16.387006775607812</v>
      </c>
      <c r="L1271" t="str" cm="1">
        <f t="array" ref="L1271">_xlfn.IFS(C1271&lt;0,"DATO INVALIDO", C1271+J1271&lt;I1271,"PEDIR YA", C1271&lt;I1271,"EN CAMINO OK", TRUE,"SANO")</f>
        <v>SANO</v>
      </c>
    </row>
    <row r="1272" spans="1:12" x14ac:dyDescent="0.45">
      <c r="A1272" t="s">
        <v>1119</v>
      </c>
      <c r="B1272" t="s">
        <v>74</v>
      </c>
      <c r="C1272">
        <v>6473</v>
      </c>
      <c r="D1272">
        <v>548.29999999999995</v>
      </c>
      <c r="E1272">
        <v>280.5</v>
      </c>
      <c r="F1272">
        <v>1.3</v>
      </c>
      <c r="G1272">
        <v>1</v>
      </c>
      <c r="H1272">
        <f t="shared" si="57"/>
        <v>1047.3500455136764</v>
      </c>
      <c r="I1272">
        <f t="shared" si="58"/>
        <v>1760.1400455136763</v>
      </c>
      <c r="J1272">
        <f>SUMIFS(Transit_Clean[Quantity], Transit_Clean[Destination], A1272, Transit_Clean[Item_Code], B1272, Transit_Clean[SAP_Status], "In Transit")</f>
        <v>0</v>
      </c>
      <c r="K1272">
        <f t="shared" si="59"/>
        <v>11.805580886376072</v>
      </c>
      <c r="L1272" t="str" cm="1">
        <f t="array" ref="L1272">_xlfn.IFS(C1272&lt;0,"DATO INVALIDO", C1272+J1272&lt;I1272,"PEDIR YA", C1272&lt;I1272,"EN CAMINO OK", TRUE,"SANO")</f>
        <v>SANO</v>
      </c>
    </row>
    <row r="1273" spans="1:12" x14ac:dyDescent="0.45">
      <c r="A1273" t="s">
        <v>1125</v>
      </c>
      <c r="B1273" t="s">
        <v>71</v>
      </c>
      <c r="C1273">
        <v>5326</v>
      </c>
      <c r="D1273">
        <v>448.6</v>
      </c>
      <c r="E1273">
        <v>38.6</v>
      </c>
      <c r="F1273">
        <v>7.3</v>
      </c>
      <c r="G1273">
        <v>1.2</v>
      </c>
      <c r="H1273">
        <f t="shared" si="57"/>
        <v>904.74350924115504</v>
      </c>
      <c r="I1273">
        <f t="shared" si="58"/>
        <v>4179.5235092411549</v>
      </c>
      <c r="J1273">
        <f>SUMIFS(Transit_Clean[Quantity], Transit_Clean[Destination], A1273, Transit_Clean[Item_Code], B1273, Transit_Clean[SAP_Status], "In Transit")</f>
        <v>0</v>
      </c>
      <c r="K1273">
        <f t="shared" si="59"/>
        <v>11.872492197949175</v>
      </c>
      <c r="L1273" t="str" cm="1">
        <f t="array" ref="L1273">_xlfn.IFS(C1273&lt;0,"DATO INVALIDO", C1273+J1273&lt;I1273,"PEDIR YA", C1273&lt;I1273,"EN CAMINO OK", TRUE,"SANO")</f>
        <v>SANO</v>
      </c>
    </row>
    <row r="1274" spans="1:12" x14ac:dyDescent="0.45">
      <c r="A1274" t="s">
        <v>1126</v>
      </c>
      <c r="B1274" t="s">
        <v>27</v>
      </c>
      <c r="C1274">
        <v>2342</v>
      </c>
      <c r="D1274">
        <v>166.1</v>
      </c>
      <c r="E1274">
        <v>85.2</v>
      </c>
      <c r="F1274">
        <v>1.3</v>
      </c>
      <c r="G1274">
        <v>0.2</v>
      </c>
      <c r="H1274">
        <f t="shared" si="57"/>
        <v>169.39900321135306</v>
      </c>
      <c r="I1274">
        <f t="shared" si="58"/>
        <v>385.3290032113531</v>
      </c>
      <c r="J1274">
        <f>SUMIFS(Transit_Clean[Quantity], Transit_Clean[Destination], A1274, Transit_Clean[Item_Code], B1274, Transit_Clean[SAP_Status], "In Transit")</f>
        <v>0</v>
      </c>
      <c r="K1274">
        <f t="shared" si="59"/>
        <v>14.099939795304035</v>
      </c>
      <c r="L1274" t="str" cm="1">
        <f t="array" ref="L1274">_xlfn.IFS(C1274&lt;0,"DATO INVALIDO", C1274+J1274&lt;I1274,"PEDIR YA", C1274&lt;I1274,"EN CAMINO OK", TRUE,"SANO")</f>
        <v>SANO</v>
      </c>
    </row>
    <row r="1275" spans="1:12" x14ac:dyDescent="0.45">
      <c r="A1275" t="s">
        <v>1119</v>
      </c>
      <c r="B1275" t="s">
        <v>107</v>
      </c>
      <c r="C1275">
        <v>5608</v>
      </c>
      <c r="D1275">
        <v>553.4</v>
      </c>
      <c r="E1275">
        <v>319.39999999999998</v>
      </c>
      <c r="F1275">
        <v>1.5</v>
      </c>
      <c r="G1275">
        <v>1</v>
      </c>
      <c r="H1275">
        <f t="shared" si="57"/>
        <v>1118.2035513492165</v>
      </c>
      <c r="I1275">
        <f t="shared" si="58"/>
        <v>1948.3035513492164</v>
      </c>
      <c r="J1275">
        <f>SUMIFS(Transit_Clean[Quantity], Transit_Clean[Destination], A1275, Transit_Clean[Item_Code], B1275, Transit_Clean[SAP_Status], "In Transit")</f>
        <v>0</v>
      </c>
      <c r="K1275">
        <f t="shared" si="59"/>
        <v>10.13371882905674</v>
      </c>
      <c r="L1275" t="str" cm="1">
        <f t="array" ref="L1275">_xlfn.IFS(C1275&lt;0,"DATO INVALIDO", C1275+J1275&lt;I1275,"PEDIR YA", C1275&lt;I1275,"EN CAMINO OK", TRUE,"SANO")</f>
        <v>SANO</v>
      </c>
    </row>
    <row r="1276" spans="1:12" x14ac:dyDescent="0.45">
      <c r="A1276" t="s">
        <v>1118</v>
      </c>
      <c r="B1276" t="s">
        <v>69</v>
      </c>
      <c r="C1276">
        <v>2917</v>
      </c>
      <c r="D1276">
        <v>167</v>
      </c>
      <c r="E1276">
        <v>103.3</v>
      </c>
      <c r="F1276">
        <v>3.5</v>
      </c>
      <c r="G1276">
        <v>1.5</v>
      </c>
      <c r="H1276">
        <f t="shared" si="57"/>
        <v>522.03237324183249</v>
      </c>
      <c r="I1276">
        <f t="shared" si="58"/>
        <v>1106.5323732418324</v>
      </c>
      <c r="J1276">
        <f>SUMIFS(Transit_Clean[Quantity], Transit_Clean[Destination], A1276, Transit_Clean[Item_Code], B1276, Transit_Clean[SAP_Status], "In Transit")</f>
        <v>0</v>
      </c>
      <c r="K1276">
        <f t="shared" si="59"/>
        <v>17.467065868263472</v>
      </c>
      <c r="L1276" t="str" cm="1">
        <f t="array" ref="L1276">_xlfn.IFS(C1276&lt;0,"DATO INVALIDO", C1276+J1276&lt;I1276,"PEDIR YA", C1276&lt;I1276,"EN CAMINO OK", TRUE,"SANO")</f>
        <v>SANO</v>
      </c>
    </row>
    <row r="1277" spans="1:12" x14ac:dyDescent="0.45">
      <c r="A1277" t="s">
        <v>1126</v>
      </c>
      <c r="B1277" t="s">
        <v>49</v>
      </c>
      <c r="C1277">
        <v>2244</v>
      </c>
      <c r="D1277">
        <v>300.10000000000002</v>
      </c>
      <c r="E1277">
        <v>54.6</v>
      </c>
      <c r="F1277">
        <v>1</v>
      </c>
      <c r="G1277">
        <v>0.2</v>
      </c>
      <c r="H1277">
        <f t="shared" si="57"/>
        <v>133.87958466099303</v>
      </c>
      <c r="I1277">
        <f t="shared" si="58"/>
        <v>433.97958466099305</v>
      </c>
      <c r="J1277">
        <f>SUMIFS(Transit_Clean[Quantity], Transit_Clean[Destination], A1277, Transit_Clean[Item_Code], B1277, Transit_Clean[SAP_Status], "In Transit")</f>
        <v>0</v>
      </c>
      <c r="K1277">
        <f t="shared" si="59"/>
        <v>7.4775074975008327</v>
      </c>
      <c r="L1277" t="str" cm="1">
        <f t="array" ref="L1277">_xlfn.IFS(C1277&lt;0,"DATO INVALIDO", C1277+J1277&lt;I1277,"PEDIR YA", C1277&lt;I1277,"EN CAMINO OK", TRUE,"SANO")</f>
        <v>SANO</v>
      </c>
    </row>
    <row r="1278" spans="1:12" x14ac:dyDescent="0.45">
      <c r="A1278" t="s">
        <v>1118</v>
      </c>
      <c r="B1278" t="s">
        <v>78</v>
      </c>
      <c r="C1278">
        <v>6038</v>
      </c>
      <c r="D1278">
        <v>371.8</v>
      </c>
      <c r="E1278">
        <v>127.9</v>
      </c>
      <c r="F1278">
        <v>6.3</v>
      </c>
      <c r="G1278">
        <v>1.5</v>
      </c>
      <c r="H1278">
        <f t="shared" si="57"/>
        <v>1061.7686192115964</v>
      </c>
      <c r="I1278">
        <f t="shared" si="58"/>
        <v>3404.1086192115963</v>
      </c>
      <c r="J1278">
        <f>SUMIFS(Transit_Clean[Quantity], Transit_Clean[Destination], A1278, Transit_Clean[Item_Code], B1278, Transit_Clean[SAP_Status], "In Transit")</f>
        <v>5583</v>
      </c>
      <c r="K1278">
        <f t="shared" si="59"/>
        <v>16.239913932221626</v>
      </c>
      <c r="L1278" t="str" cm="1">
        <f t="array" ref="L1278">_xlfn.IFS(C1278&lt;0,"DATO INVALIDO", C1278+J1278&lt;I1278,"PEDIR YA", C1278&lt;I1278,"EN CAMINO OK", TRUE,"SANO")</f>
        <v>SANO</v>
      </c>
    </row>
    <row r="1279" spans="1:12" x14ac:dyDescent="0.45">
      <c r="A1279" t="s">
        <v>1125</v>
      </c>
      <c r="B1279" t="s">
        <v>78</v>
      </c>
      <c r="C1279">
        <v>2171</v>
      </c>
      <c r="D1279">
        <v>369.9</v>
      </c>
      <c r="E1279">
        <v>99.6</v>
      </c>
      <c r="F1279">
        <v>3.5</v>
      </c>
      <c r="G1279">
        <v>1.2</v>
      </c>
      <c r="H1279">
        <f t="shared" si="57"/>
        <v>794.31694820392681</v>
      </c>
      <c r="I1279">
        <f t="shared" si="58"/>
        <v>2088.9669482039267</v>
      </c>
      <c r="J1279">
        <f>SUMIFS(Transit_Clean[Quantity], Transit_Clean[Destination], A1279, Transit_Clean[Item_Code], B1279, Transit_Clean[SAP_Status], "In Transit")</f>
        <v>0</v>
      </c>
      <c r="K1279">
        <f t="shared" si="59"/>
        <v>5.8691538253582056</v>
      </c>
      <c r="L1279" t="str" cm="1">
        <f t="array" ref="L1279">_xlfn.IFS(C1279&lt;0,"DATO INVALIDO", C1279+J1279&lt;I1279,"PEDIR YA", C1279&lt;I1279,"EN CAMINO OK", TRUE,"SANO")</f>
        <v>SANO</v>
      </c>
    </row>
    <row r="1280" spans="1:12" x14ac:dyDescent="0.45">
      <c r="A1280" t="s">
        <v>1122</v>
      </c>
      <c r="B1280" t="s">
        <v>43</v>
      </c>
      <c r="C1280">
        <v>2652</v>
      </c>
      <c r="D1280">
        <v>649.9</v>
      </c>
      <c r="E1280">
        <v>427.2</v>
      </c>
      <c r="F1280">
        <v>1</v>
      </c>
      <c r="G1280">
        <v>0.2</v>
      </c>
      <c r="H1280">
        <f t="shared" si="57"/>
        <v>736.78484545286346</v>
      </c>
      <c r="I1280">
        <f t="shared" si="58"/>
        <v>1386.6848454528636</v>
      </c>
      <c r="J1280">
        <f>SUMIFS(Transit_Clean[Quantity], Transit_Clean[Destination], A1280, Transit_Clean[Item_Code], B1280, Transit_Clean[SAP_Status], "In Transit")</f>
        <v>0</v>
      </c>
      <c r="K1280">
        <f t="shared" si="59"/>
        <v>4.0806277888905989</v>
      </c>
      <c r="L1280" t="str" cm="1">
        <f t="array" ref="L1280">_xlfn.IFS(C1280&lt;0,"DATO INVALIDO", C1280+J1280&lt;I1280,"PEDIR YA", C1280&lt;I1280,"EN CAMINO OK", TRUE,"SANO")</f>
        <v>SANO</v>
      </c>
    </row>
    <row r="1281" spans="1:12" x14ac:dyDescent="0.45">
      <c r="A1281" t="s">
        <v>1126</v>
      </c>
      <c r="B1281" t="s">
        <v>63</v>
      </c>
      <c r="C1281">
        <v>981</v>
      </c>
      <c r="D1281">
        <v>433</v>
      </c>
      <c r="E1281">
        <v>71</v>
      </c>
      <c r="F1281">
        <v>0.7</v>
      </c>
      <c r="G1281">
        <v>0.2</v>
      </c>
      <c r="H1281">
        <f t="shared" si="57"/>
        <v>173.27561239251185</v>
      </c>
      <c r="I1281">
        <f t="shared" si="58"/>
        <v>476.37561239251181</v>
      </c>
      <c r="J1281">
        <f>SUMIFS(Transit_Clean[Quantity], Transit_Clean[Destination], A1281, Transit_Clean[Item_Code], B1281, Transit_Clean[SAP_Status], "In Transit")</f>
        <v>0</v>
      </c>
      <c r="K1281">
        <f t="shared" si="59"/>
        <v>2.2655889145496535</v>
      </c>
      <c r="L1281" t="str" cm="1">
        <f t="array" ref="L1281">_xlfn.IFS(C1281&lt;0,"DATO INVALIDO", C1281+J1281&lt;I1281,"PEDIR YA", C1281&lt;I1281,"EN CAMINO OK", TRUE,"SANO")</f>
        <v>SANO</v>
      </c>
    </row>
    <row r="1282" spans="1:12" x14ac:dyDescent="0.45">
      <c r="A1282" t="s">
        <v>1119</v>
      </c>
      <c r="B1282" t="s">
        <v>61</v>
      </c>
      <c r="C1282">
        <v>6535</v>
      </c>
      <c r="D1282">
        <v>526.20000000000005</v>
      </c>
      <c r="E1282">
        <v>64</v>
      </c>
      <c r="F1282">
        <v>1.9</v>
      </c>
      <c r="G1282">
        <v>1</v>
      </c>
      <c r="H1282">
        <f t="shared" si="57"/>
        <v>880.34704344366378</v>
      </c>
      <c r="I1282">
        <f t="shared" si="58"/>
        <v>1880.1270434436638</v>
      </c>
      <c r="J1282">
        <f>SUMIFS(Transit_Clean[Quantity], Transit_Clean[Destination], A1282, Transit_Clean[Item_Code], B1282, Transit_Clean[SAP_Status], "In Transit")</f>
        <v>0</v>
      </c>
      <c r="K1282">
        <f t="shared" si="59"/>
        <v>12.419232231090838</v>
      </c>
      <c r="L1282" t="str" cm="1">
        <f t="array" ref="L1282">_xlfn.IFS(C1282&lt;0,"DATO INVALIDO", C1282+J1282&lt;I1282,"PEDIR YA", C1282&lt;I1282,"EN CAMINO OK", TRUE,"SANO")</f>
        <v>SANO</v>
      </c>
    </row>
    <row r="1283" spans="1:12" x14ac:dyDescent="0.45">
      <c r="A1283" t="s">
        <v>1128</v>
      </c>
      <c r="B1283" t="s">
        <v>27</v>
      </c>
      <c r="C1283">
        <v>6476</v>
      </c>
      <c r="D1283">
        <v>535</v>
      </c>
      <c r="E1283">
        <v>314</v>
      </c>
      <c r="F1283">
        <v>1.7</v>
      </c>
      <c r="G1283">
        <v>0.5</v>
      </c>
      <c r="H1283">
        <f t="shared" ref="H1283:H1346" si="60">IFERROR(1.65*SQRT(F1283*E1283^2 + D1283^2*G1283^2), "")</f>
        <v>806.93173665744473</v>
      </c>
      <c r="I1283">
        <f t="shared" ref="I1283:I1346" si="61">IFERROR(D1283*F1283 + H1283, "")</f>
        <v>1716.4317366574446</v>
      </c>
      <c r="J1283">
        <f>SUMIFS(Transit_Clean[Quantity], Transit_Clean[Destination], A1283, Transit_Clean[Item_Code], B1283, Transit_Clean[SAP_Status], "In Transit")</f>
        <v>1588</v>
      </c>
      <c r="K1283">
        <f t="shared" ref="K1283:K1346" si="62">IFERROR(C1283/D1283, "")</f>
        <v>12.104672897196261</v>
      </c>
      <c r="L1283" t="str" cm="1">
        <f t="array" ref="L1283">_xlfn.IFS(C1283&lt;0,"DATO INVALIDO", C1283+J1283&lt;I1283,"PEDIR YA", C1283&lt;I1283,"EN CAMINO OK", TRUE,"SANO")</f>
        <v>SANO</v>
      </c>
    </row>
    <row r="1284" spans="1:12" x14ac:dyDescent="0.45">
      <c r="A1284" t="s">
        <v>1115</v>
      </c>
      <c r="B1284" t="s">
        <v>1137</v>
      </c>
      <c r="C1284">
        <v>1385</v>
      </c>
      <c r="D1284">
        <v>160.1</v>
      </c>
      <c r="E1284">
        <v>22.7</v>
      </c>
      <c r="F1284">
        <v>2.4</v>
      </c>
      <c r="G1284">
        <v>0.6</v>
      </c>
      <c r="H1284">
        <f t="shared" si="60"/>
        <v>168.78636752119525</v>
      </c>
      <c r="I1284">
        <f t="shared" si="61"/>
        <v>553.0263675211952</v>
      </c>
      <c r="J1284">
        <f>SUMIFS(Transit_Clean[Quantity], Transit_Clean[Destination], A1284, Transit_Clean[Item_Code], B1284, Transit_Clean[SAP_Status], "In Transit")</f>
        <v>0</v>
      </c>
      <c r="K1284">
        <f t="shared" si="62"/>
        <v>8.6508432229856336</v>
      </c>
      <c r="L1284" t="str" cm="1">
        <f t="array" ref="L1284">_xlfn.IFS(C1284&lt;0,"DATO INVALIDO", C1284+J1284&lt;I1284,"PEDIR YA", C1284&lt;I1284,"EN CAMINO OK", TRUE,"SANO")</f>
        <v>SANO</v>
      </c>
    </row>
    <row r="1285" spans="1:12" x14ac:dyDescent="0.45">
      <c r="A1285" t="s">
        <v>1123</v>
      </c>
      <c r="B1285" t="s">
        <v>1134</v>
      </c>
      <c r="C1285">
        <v>7320</v>
      </c>
      <c r="D1285">
        <v>520.20000000000005</v>
      </c>
      <c r="E1285">
        <v>91.1</v>
      </c>
      <c r="F1285">
        <v>1.3</v>
      </c>
      <c r="G1285">
        <v>0.3</v>
      </c>
      <c r="H1285">
        <f t="shared" si="60"/>
        <v>309.3197601083707</v>
      </c>
      <c r="I1285">
        <f t="shared" si="61"/>
        <v>985.57976010837081</v>
      </c>
      <c r="J1285">
        <f>SUMIFS(Transit_Clean[Quantity], Transit_Clean[Destination], A1285, Transit_Clean[Item_Code], B1285, Transit_Clean[SAP_Status], "In Transit")</f>
        <v>0</v>
      </c>
      <c r="K1285">
        <f t="shared" si="62"/>
        <v>14.071510957324104</v>
      </c>
      <c r="L1285" t="str" cm="1">
        <f t="array" ref="L1285">_xlfn.IFS(C1285&lt;0,"DATO INVALIDO", C1285+J1285&lt;I1285,"PEDIR YA", C1285&lt;I1285,"EN CAMINO OK", TRUE,"SANO")</f>
        <v>SANO</v>
      </c>
    </row>
    <row r="1286" spans="1:12" x14ac:dyDescent="0.45">
      <c r="A1286" t="s">
        <v>1128</v>
      </c>
      <c r="B1286" t="s">
        <v>1136</v>
      </c>
      <c r="C1286">
        <v>3964</v>
      </c>
      <c r="D1286">
        <v>307.7</v>
      </c>
      <c r="E1286">
        <v>213.1</v>
      </c>
      <c r="F1286">
        <v>1.4</v>
      </c>
      <c r="G1286">
        <v>0.5</v>
      </c>
      <c r="H1286">
        <f t="shared" si="60"/>
        <v>487.36787262934138</v>
      </c>
      <c r="I1286">
        <f t="shared" si="61"/>
        <v>918.14787262934135</v>
      </c>
      <c r="J1286">
        <f>SUMIFS(Transit_Clean[Quantity], Transit_Clean[Destination], A1286, Transit_Clean[Item_Code], B1286, Transit_Clean[SAP_Status], "In Transit")</f>
        <v>0</v>
      </c>
      <c r="K1286">
        <f t="shared" si="62"/>
        <v>12.882677933051674</v>
      </c>
      <c r="L1286" t="str" cm="1">
        <f t="array" ref="L1286">_xlfn.IFS(C1286&lt;0,"DATO INVALIDO", C1286+J1286&lt;I1286,"PEDIR YA", C1286&lt;I1286,"EN CAMINO OK", TRUE,"SANO")</f>
        <v>SANO</v>
      </c>
    </row>
    <row r="1287" spans="1:12" x14ac:dyDescent="0.45">
      <c r="A1287" t="s">
        <v>1128</v>
      </c>
      <c r="B1287" t="s">
        <v>32</v>
      </c>
      <c r="C1287">
        <v>3560</v>
      </c>
      <c r="D1287">
        <v>222</v>
      </c>
      <c r="E1287">
        <v>81.8</v>
      </c>
      <c r="F1287">
        <v>1.6</v>
      </c>
      <c r="G1287">
        <v>0.5</v>
      </c>
      <c r="H1287">
        <f t="shared" si="60"/>
        <v>250.38163658703087</v>
      </c>
      <c r="I1287">
        <f t="shared" si="61"/>
        <v>605.58163658703097</v>
      </c>
      <c r="J1287">
        <f>SUMIFS(Transit_Clean[Quantity], Transit_Clean[Destination], A1287, Transit_Clean[Item_Code], B1287, Transit_Clean[SAP_Status], "In Transit")</f>
        <v>537</v>
      </c>
      <c r="K1287">
        <f t="shared" si="62"/>
        <v>16.036036036036037</v>
      </c>
      <c r="L1287" t="str" cm="1">
        <f t="array" ref="L1287">_xlfn.IFS(C1287&lt;0,"DATO INVALIDO", C1287+J1287&lt;I1287,"PEDIR YA", C1287&lt;I1287,"EN CAMINO OK", TRUE,"SANO")</f>
        <v>SANO</v>
      </c>
    </row>
    <row r="1288" spans="1:12" x14ac:dyDescent="0.45">
      <c r="A1288" t="s">
        <v>1125</v>
      </c>
      <c r="B1288" t="s">
        <v>5</v>
      </c>
      <c r="C1288">
        <v>776</v>
      </c>
      <c r="D1288">
        <v>284.3</v>
      </c>
      <c r="E1288">
        <v>27.8</v>
      </c>
      <c r="F1288">
        <v>3.5</v>
      </c>
      <c r="G1288">
        <v>1.2</v>
      </c>
      <c r="H1288">
        <f t="shared" si="60"/>
        <v>569.4175713358344</v>
      </c>
      <c r="I1288">
        <f t="shared" si="61"/>
        <v>1564.4675713358345</v>
      </c>
      <c r="J1288">
        <f>SUMIFS(Transit_Clean[Quantity], Transit_Clean[Destination], A1288, Transit_Clean[Item_Code], B1288, Transit_Clean[SAP_Status], "In Transit")</f>
        <v>0</v>
      </c>
      <c r="K1288">
        <f t="shared" si="62"/>
        <v>2.729511079845234</v>
      </c>
      <c r="L1288" t="str" cm="1">
        <f t="array" ref="L1288">_xlfn.IFS(C1288&lt;0,"DATO INVALIDO", C1288+J1288&lt;I1288,"PEDIR YA", C1288&lt;I1288,"EN CAMINO OK", TRUE,"SANO")</f>
        <v>PEDIR YA</v>
      </c>
    </row>
    <row r="1289" spans="1:12" x14ac:dyDescent="0.45">
      <c r="A1289" t="s">
        <v>1122</v>
      </c>
      <c r="B1289" t="s">
        <v>70</v>
      </c>
      <c r="C1289">
        <v>5805</v>
      </c>
      <c r="D1289">
        <v>876.1</v>
      </c>
      <c r="E1289">
        <v>145.9</v>
      </c>
      <c r="F1289">
        <v>0.8</v>
      </c>
      <c r="G1289">
        <v>0.2</v>
      </c>
      <c r="H1289">
        <f t="shared" si="60"/>
        <v>360.48439487583926</v>
      </c>
      <c r="I1289">
        <f t="shared" si="61"/>
        <v>1061.3643948758395</v>
      </c>
      <c r="J1289">
        <f>SUMIFS(Transit_Clean[Quantity], Transit_Clean[Destination], A1289, Transit_Clean[Item_Code], B1289, Transit_Clean[SAP_Status], "In Transit")</f>
        <v>0</v>
      </c>
      <c r="K1289">
        <f t="shared" si="62"/>
        <v>6.6259559411026139</v>
      </c>
      <c r="L1289" t="str" cm="1">
        <f t="array" ref="L1289">_xlfn.IFS(C1289&lt;0,"DATO INVALIDO", C1289+J1289&lt;I1289,"PEDIR YA", C1289&lt;I1289,"EN CAMINO OK", TRUE,"SANO")</f>
        <v>SANO</v>
      </c>
    </row>
    <row r="1290" spans="1:12" x14ac:dyDescent="0.45">
      <c r="A1290" t="s">
        <v>1115</v>
      </c>
      <c r="B1290" t="s">
        <v>50</v>
      </c>
      <c r="C1290">
        <v>2076</v>
      </c>
      <c r="D1290">
        <v>216.2</v>
      </c>
      <c r="E1290">
        <v>95</v>
      </c>
      <c r="F1290">
        <v>2.7</v>
      </c>
      <c r="G1290">
        <v>0.6</v>
      </c>
      <c r="H1290">
        <f t="shared" si="60"/>
        <v>334.8921978697025</v>
      </c>
      <c r="I1290">
        <f t="shared" si="61"/>
        <v>918.63219786970251</v>
      </c>
      <c r="J1290">
        <f>SUMIFS(Transit_Clean[Quantity], Transit_Clean[Destination], A1290, Transit_Clean[Item_Code], B1290, Transit_Clean[SAP_Status], "In Transit")</f>
        <v>2516</v>
      </c>
      <c r="K1290">
        <f t="shared" si="62"/>
        <v>9.6022201665124882</v>
      </c>
      <c r="L1290" t="str" cm="1">
        <f t="array" ref="L1290">_xlfn.IFS(C1290&lt;0,"DATO INVALIDO", C1290+J1290&lt;I1290,"PEDIR YA", C1290&lt;I1290,"EN CAMINO OK", TRUE,"SANO")</f>
        <v>SANO</v>
      </c>
    </row>
    <row r="1291" spans="1:12" x14ac:dyDescent="0.45">
      <c r="A1291" t="s">
        <v>1128</v>
      </c>
      <c r="B1291" t="s">
        <v>66</v>
      </c>
      <c r="D1291">
        <v>477</v>
      </c>
      <c r="E1291">
        <v>60.1</v>
      </c>
      <c r="F1291">
        <v>2.9</v>
      </c>
      <c r="G1291">
        <v>0.5</v>
      </c>
      <c r="H1291">
        <f t="shared" si="60"/>
        <v>428.22849925886521</v>
      </c>
      <c r="I1291">
        <f t="shared" si="61"/>
        <v>1811.5284992588652</v>
      </c>
      <c r="J1291">
        <f>SUMIFS(Transit_Clean[Quantity], Transit_Clean[Destination], A1291, Transit_Clean[Item_Code], B1291, Transit_Clean[SAP_Status], "In Transit")</f>
        <v>804</v>
      </c>
      <c r="K1291">
        <f t="shared" si="62"/>
        <v>0</v>
      </c>
      <c r="L1291" t="str" cm="1">
        <f t="array" ref="L1291">_xlfn.IFS(C1291&lt;0,"DATO INVALIDO", C1291+J1291&lt;I1291,"PEDIR YA", C1291&lt;I1291,"EN CAMINO OK", TRUE,"SANO")</f>
        <v>PEDIR YA</v>
      </c>
    </row>
    <row r="1292" spans="1:12" x14ac:dyDescent="0.45">
      <c r="A1292" t="s">
        <v>1123</v>
      </c>
      <c r="B1292" t="s">
        <v>7</v>
      </c>
      <c r="C1292">
        <v>3976</v>
      </c>
      <c r="D1292">
        <v>264.5</v>
      </c>
      <c r="E1292">
        <v>24.9</v>
      </c>
      <c r="F1292">
        <v>0.9</v>
      </c>
      <c r="G1292">
        <v>0.3</v>
      </c>
      <c r="H1292">
        <f t="shared" si="60"/>
        <v>136.60596531173152</v>
      </c>
      <c r="I1292">
        <f t="shared" si="61"/>
        <v>374.65596531173151</v>
      </c>
      <c r="J1292">
        <f>SUMIFS(Transit_Clean[Quantity], Transit_Clean[Destination], A1292, Transit_Clean[Item_Code], B1292, Transit_Clean[SAP_Status], "In Transit")</f>
        <v>1176</v>
      </c>
      <c r="K1292">
        <f t="shared" si="62"/>
        <v>15.032136105860113</v>
      </c>
      <c r="L1292" t="str" cm="1">
        <f t="array" ref="L1292">_xlfn.IFS(C1292&lt;0,"DATO INVALIDO", C1292+J1292&lt;I1292,"PEDIR YA", C1292&lt;I1292,"EN CAMINO OK", TRUE,"SANO")</f>
        <v>SANO</v>
      </c>
    </row>
    <row r="1293" spans="1:12" x14ac:dyDescent="0.45">
      <c r="A1293" t="s">
        <v>1122</v>
      </c>
      <c r="B1293" t="s">
        <v>35</v>
      </c>
      <c r="C1293">
        <v>6684</v>
      </c>
      <c r="D1293">
        <v>608.1</v>
      </c>
      <c r="E1293">
        <v>105</v>
      </c>
      <c r="F1293">
        <v>0.8</v>
      </c>
      <c r="G1293">
        <v>0.2</v>
      </c>
      <c r="H1293">
        <f t="shared" si="60"/>
        <v>253.53915462705163</v>
      </c>
      <c r="I1293">
        <f t="shared" si="61"/>
        <v>740.01915462705165</v>
      </c>
      <c r="J1293">
        <f>SUMIFS(Transit_Clean[Quantity], Transit_Clean[Destination], A1293, Transit_Clean[Item_Code], B1293, Transit_Clean[SAP_Status], "In Transit")</f>
        <v>645</v>
      </c>
      <c r="K1293">
        <f t="shared" si="62"/>
        <v>10.991613221509621</v>
      </c>
      <c r="L1293" t="str" cm="1">
        <f t="array" ref="L1293">_xlfn.IFS(C1293&lt;0,"DATO INVALIDO", C1293+J1293&lt;I1293,"PEDIR YA", C1293&lt;I1293,"EN CAMINO OK", TRUE,"SANO")</f>
        <v>SANO</v>
      </c>
    </row>
    <row r="1294" spans="1:12" x14ac:dyDescent="0.45">
      <c r="A1294" t="s">
        <v>1122</v>
      </c>
      <c r="B1294" t="s">
        <v>1136</v>
      </c>
      <c r="C1294">
        <v>4169</v>
      </c>
      <c r="D1294">
        <v>310.2</v>
      </c>
      <c r="E1294">
        <v>143.80000000000001</v>
      </c>
      <c r="F1294">
        <v>1.2</v>
      </c>
      <c r="G1294">
        <v>0.2</v>
      </c>
      <c r="H1294">
        <f t="shared" si="60"/>
        <v>279.34792183941516</v>
      </c>
      <c r="I1294">
        <f t="shared" si="61"/>
        <v>651.58792183941512</v>
      </c>
      <c r="J1294">
        <f>SUMIFS(Transit_Clean[Quantity], Transit_Clean[Destination], A1294, Transit_Clean[Item_Code], B1294, Transit_Clean[SAP_Status], "In Transit")</f>
        <v>0</v>
      </c>
      <c r="K1294">
        <f t="shared" si="62"/>
        <v>13.439716312056738</v>
      </c>
      <c r="L1294" t="str" cm="1">
        <f t="array" ref="L1294">_xlfn.IFS(C1294&lt;0,"DATO INVALIDO", C1294+J1294&lt;I1294,"PEDIR YA", C1294&lt;I1294,"EN CAMINO OK", TRUE,"SANO")</f>
        <v>SANO</v>
      </c>
    </row>
    <row r="1295" spans="1:12" x14ac:dyDescent="0.45">
      <c r="A1295" t="s">
        <v>1118</v>
      </c>
      <c r="B1295" t="s">
        <v>80</v>
      </c>
      <c r="C1295">
        <v>6208</v>
      </c>
      <c r="D1295">
        <v>398.8</v>
      </c>
      <c r="E1295">
        <v>49.6</v>
      </c>
      <c r="F1295">
        <v>4</v>
      </c>
      <c r="G1295">
        <v>1.5</v>
      </c>
      <c r="H1295">
        <f t="shared" si="60"/>
        <v>1000.509551828467</v>
      </c>
      <c r="I1295">
        <f t="shared" si="61"/>
        <v>2595.7095518284668</v>
      </c>
      <c r="J1295">
        <f>SUMIFS(Transit_Clean[Quantity], Transit_Clean[Destination], A1295, Transit_Clean[Item_Code], B1295, Transit_Clean[SAP_Status], "In Transit")</f>
        <v>0</v>
      </c>
      <c r="K1295">
        <f t="shared" si="62"/>
        <v>15.566700100300903</v>
      </c>
      <c r="L1295" t="str" cm="1">
        <f t="array" ref="L1295">_xlfn.IFS(C1295&lt;0,"DATO INVALIDO", C1295+J1295&lt;I1295,"PEDIR YA", C1295&lt;I1295,"EN CAMINO OK", TRUE,"SANO")</f>
        <v>SANO</v>
      </c>
    </row>
    <row r="1296" spans="1:12" x14ac:dyDescent="0.45">
      <c r="A1296" t="s">
        <v>1117</v>
      </c>
      <c r="B1296" t="s">
        <v>52</v>
      </c>
      <c r="C1296">
        <v>926</v>
      </c>
      <c r="D1296">
        <v>272.7</v>
      </c>
      <c r="E1296">
        <v>98</v>
      </c>
      <c r="F1296">
        <v>2</v>
      </c>
      <c r="G1296">
        <v>0.5</v>
      </c>
      <c r="H1296">
        <f t="shared" si="60"/>
        <v>320.79378969401819</v>
      </c>
      <c r="I1296">
        <f t="shared" si="61"/>
        <v>866.19378969401816</v>
      </c>
      <c r="J1296">
        <f>SUMIFS(Transit_Clean[Quantity], Transit_Clean[Destination], A1296, Transit_Clean[Item_Code], B1296, Transit_Clean[SAP_Status], "In Transit")</f>
        <v>0</v>
      </c>
      <c r="K1296">
        <f t="shared" si="62"/>
        <v>3.3956729006233957</v>
      </c>
      <c r="L1296" t="str" cm="1">
        <f t="array" ref="L1296">_xlfn.IFS(C1296&lt;0,"DATO INVALIDO", C1296+J1296&lt;I1296,"PEDIR YA", C1296&lt;I1296,"EN CAMINO OK", TRUE,"SANO")</f>
        <v>SANO</v>
      </c>
    </row>
    <row r="1297" spans="1:12" x14ac:dyDescent="0.45">
      <c r="A1297" t="s">
        <v>1125</v>
      </c>
      <c r="B1297" t="s">
        <v>1141</v>
      </c>
      <c r="C1297">
        <v>4917</v>
      </c>
      <c r="D1297">
        <v>475.4</v>
      </c>
      <c r="E1297">
        <v>66.5</v>
      </c>
      <c r="F1297">
        <v>3.2</v>
      </c>
      <c r="G1297">
        <v>1.2</v>
      </c>
      <c r="H1297">
        <f t="shared" si="60"/>
        <v>961.5390118263532</v>
      </c>
      <c r="I1297">
        <f t="shared" si="61"/>
        <v>2482.8190118263533</v>
      </c>
      <c r="J1297">
        <f>SUMIFS(Transit_Clean[Quantity], Transit_Clean[Destination], A1297, Transit_Clean[Item_Code], B1297, Transit_Clean[SAP_Status], "In Transit")</f>
        <v>0</v>
      </c>
      <c r="K1297">
        <f t="shared" si="62"/>
        <v>10.342869162810265</v>
      </c>
      <c r="L1297" t="str" cm="1">
        <f t="array" ref="L1297">_xlfn.IFS(C1297&lt;0,"DATO INVALIDO", C1297+J1297&lt;I1297,"PEDIR YA", C1297&lt;I1297,"EN CAMINO OK", TRUE,"SANO")</f>
        <v>SANO</v>
      </c>
    </row>
    <row r="1298" spans="1:12" x14ac:dyDescent="0.45">
      <c r="A1298" t="s">
        <v>1121</v>
      </c>
      <c r="B1298" t="s">
        <v>85</v>
      </c>
      <c r="C1298">
        <v>5728</v>
      </c>
      <c r="D1298">
        <v>645.5</v>
      </c>
      <c r="E1298">
        <v>430.7</v>
      </c>
      <c r="F1298">
        <v>2.5</v>
      </c>
      <c r="G1298">
        <v>0.4</v>
      </c>
      <c r="H1298">
        <f t="shared" si="60"/>
        <v>1201.69791689197</v>
      </c>
      <c r="I1298">
        <f t="shared" si="61"/>
        <v>2815.4479168919697</v>
      </c>
      <c r="J1298">
        <f>SUMIFS(Transit_Clean[Quantity], Transit_Clean[Destination], A1298, Transit_Clean[Item_Code], B1298, Transit_Clean[SAP_Status], "In Transit")</f>
        <v>3074</v>
      </c>
      <c r="K1298">
        <f t="shared" si="62"/>
        <v>8.8737412858249414</v>
      </c>
      <c r="L1298" t="str" cm="1">
        <f t="array" ref="L1298">_xlfn.IFS(C1298&lt;0,"DATO INVALIDO", C1298+J1298&lt;I1298,"PEDIR YA", C1298&lt;I1298,"EN CAMINO OK", TRUE,"SANO")</f>
        <v>SANO</v>
      </c>
    </row>
    <row r="1299" spans="1:12" x14ac:dyDescent="0.45">
      <c r="A1299" t="s">
        <v>1126</v>
      </c>
      <c r="B1299" t="s">
        <v>39</v>
      </c>
      <c r="C1299">
        <v>2266</v>
      </c>
      <c r="D1299">
        <v>362.6</v>
      </c>
      <c r="E1299">
        <v>69.400000000000006</v>
      </c>
      <c r="F1299">
        <v>0.8</v>
      </c>
      <c r="G1299">
        <v>0.2</v>
      </c>
      <c r="H1299">
        <f t="shared" si="60"/>
        <v>157.50577463699545</v>
      </c>
      <c r="I1299">
        <f t="shared" si="61"/>
        <v>447.5857746369955</v>
      </c>
      <c r="J1299">
        <f>SUMIFS(Transit_Clean[Quantity], Transit_Clean[Destination], A1299, Transit_Clean[Item_Code], B1299, Transit_Clean[SAP_Status], "In Transit")</f>
        <v>2757</v>
      </c>
      <c r="K1299">
        <f t="shared" si="62"/>
        <v>6.2493105350248204</v>
      </c>
      <c r="L1299" t="str" cm="1">
        <f t="array" ref="L1299">_xlfn.IFS(C1299&lt;0,"DATO INVALIDO", C1299+J1299&lt;I1299,"PEDIR YA", C1299&lt;I1299,"EN CAMINO OK", TRUE,"SANO")</f>
        <v>SANO</v>
      </c>
    </row>
    <row r="1300" spans="1:12" x14ac:dyDescent="0.45">
      <c r="A1300" t="s">
        <v>1128</v>
      </c>
      <c r="B1300" t="s">
        <v>103</v>
      </c>
      <c r="C1300">
        <v>3933</v>
      </c>
      <c r="D1300">
        <v>483.8</v>
      </c>
      <c r="E1300">
        <v>56.9</v>
      </c>
      <c r="F1300">
        <v>1.9</v>
      </c>
      <c r="G1300">
        <v>0.5</v>
      </c>
      <c r="H1300">
        <f t="shared" si="60"/>
        <v>419.59038996681039</v>
      </c>
      <c r="I1300">
        <f t="shared" si="61"/>
        <v>1338.8103899668104</v>
      </c>
      <c r="J1300">
        <f>SUMIFS(Transit_Clean[Quantity], Transit_Clean[Destination], A1300, Transit_Clean[Item_Code], B1300, Transit_Clean[SAP_Status], "In Transit")</f>
        <v>1237</v>
      </c>
      <c r="K1300">
        <f t="shared" si="62"/>
        <v>8.1293923108722606</v>
      </c>
      <c r="L1300" t="str" cm="1">
        <f t="array" ref="L1300">_xlfn.IFS(C1300&lt;0,"DATO INVALIDO", C1300+J1300&lt;I1300,"PEDIR YA", C1300&lt;I1300,"EN CAMINO OK", TRUE,"SANO")</f>
        <v>SANO</v>
      </c>
    </row>
    <row r="1301" spans="1:12" x14ac:dyDescent="0.45">
      <c r="A1301" t="s">
        <v>1122</v>
      </c>
      <c r="B1301" t="s">
        <v>61</v>
      </c>
      <c r="C1301">
        <v>1831</v>
      </c>
      <c r="D1301">
        <v>505.8</v>
      </c>
      <c r="E1301">
        <v>60.6</v>
      </c>
      <c r="F1301">
        <v>1.3</v>
      </c>
      <c r="G1301">
        <v>0.2</v>
      </c>
      <c r="H1301">
        <f t="shared" si="60"/>
        <v>202.13283633788944</v>
      </c>
      <c r="I1301">
        <f t="shared" si="61"/>
        <v>859.67283633788952</v>
      </c>
      <c r="J1301">
        <f>SUMIFS(Transit_Clean[Quantity], Transit_Clean[Destination], A1301, Transit_Clean[Item_Code], B1301, Transit_Clean[SAP_Status], "In Transit")</f>
        <v>3334</v>
      </c>
      <c r="K1301">
        <f t="shared" si="62"/>
        <v>3.6200079082641361</v>
      </c>
      <c r="L1301" t="str" cm="1">
        <f t="array" ref="L1301">_xlfn.IFS(C1301&lt;0,"DATO INVALIDO", C1301+J1301&lt;I1301,"PEDIR YA", C1301&lt;I1301,"EN CAMINO OK", TRUE,"SANO")</f>
        <v>SANO</v>
      </c>
    </row>
    <row r="1302" spans="1:12" x14ac:dyDescent="0.45">
      <c r="A1302" t="s">
        <v>1122</v>
      </c>
      <c r="B1302" t="s">
        <v>69</v>
      </c>
      <c r="C1302">
        <v>4235</v>
      </c>
      <c r="D1302">
        <v>251.1</v>
      </c>
      <c r="E1302">
        <v>170.4</v>
      </c>
      <c r="F1302">
        <v>0.9</v>
      </c>
      <c r="G1302">
        <v>0.2</v>
      </c>
      <c r="H1302">
        <f t="shared" si="60"/>
        <v>279.30651229249918</v>
      </c>
      <c r="I1302">
        <f t="shared" si="61"/>
        <v>505.29651229249919</v>
      </c>
      <c r="J1302">
        <f>SUMIFS(Transit_Clean[Quantity], Transit_Clean[Destination], A1302, Transit_Clean[Item_Code], B1302, Transit_Clean[SAP_Status], "In Transit")</f>
        <v>0</v>
      </c>
      <c r="K1302">
        <f t="shared" si="62"/>
        <v>16.865790521704501</v>
      </c>
      <c r="L1302" t="str" cm="1">
        <f t="array" ref="L1302">_xlfn.IFS(C1302&lt;0,"DATO INVALIDO", C1302+J1302&lt;I1302,"PEDIR YA", C1302&lt;I1302,"EN CAMINO OK", TRUE,"SANO")</f>
        <v>SANO</v>
      </c>
    </row>
    <row r="1303" spans="1:12" x14ac:dyDescent="0.45">
      <c r="A1303" t="s">
        <v>1121</v>
      </c>
      <c r="B1303" t="s">
        <v>1137</v>
      </c>
      <c r="C1303">
        <v>6424</v>
      </c>
      <c r="D1303">
        <v>420.2</v>
      </c>
      <c r="E1303">
        <v>59.3</v>
      </c>
      <c r="F1303">
        <v>1.5</v>
      </c>
      <c r="G1303">
        <v>0.4</v>
      </c>
      <c r="H1303">
        <f t="shared" si="60"/>
        <v>302.11505136536977</v>
      </c>
      <c r="I1303">
        <f t="shared" si="61"/>
        <v>932.41505136536966</v>
      </c>
      <c r="J1303">
        <f>SUMIFS(Transit_Clean[Quantity], Transit_Clean[Destination], A1303, Transit_Clean[Item_Code], B1303, Transit_Clean[SAP_Status], "In Transit")</f>
        <v>1929</v>
      </c>
      <c r="K1303">
        <f t="shared" si="62"/>
        <v>15.287958115183246</v>
      </c>
      <c r="L1303" t="str" cm="1">
        <f t="array" ref="L1303">_xlfn.IFS(C1303&lt;0,"DATO INVALIDO", C1303+J1303&lt;I1303,"PEDIR YA", C1303&lt;I1303,"EN CAMINO OK", TRUE,"SANO")</f>
        <v>SANO</v>
      </c>
    </row>
    <row r="1304" spans="1:12" x14ac:dyDescent="0.45">
      <c r="A1304" t="s">
        <v>1118</v>
      </c>
      <c r="B1304" t="s">
        <v>1131</v>
      </c>
      <c r="C1304">
        <v>1632</v>
      </c>
      <c r="D1304">
        <v>332.8</v>
      </c>
      <c r="E1304">
        <v>214.7</v>
      </c>
      <c r="F1304">
        <v>6.7</v>
      </c>
      <c r="G1304">
        <v>1.5</v>
      </c>
      <c r="H1304">
        <f t="shared" si="60"/>
        <v>1232.5891432539474</v>
      </c>
      <c r="I1304">
        <f t="shared" si="61"/>
        <v>3462.3491432539477</v>
      </c>
      <c r="J1304">
        <f>SUMIFS(Transit_Clean[Quantity], Transit_Clean[Destination], A1304, Transit_Clean[Item_Code], B1304, Transit_Clean[SAP_Status], "In Transit")</f>
        <v>0</v>
      </c>
      <c r="K1304">
        <f t="shared" si="62"/>
        <v>4.9038461538461533</v>
      </c>
      <c r="L1304" t="str" cm="1">
        <f t="array" ref="L1304">_xlfn.IFS(C1304&lt;0,"DATO INVALIDO", C1304+J1304&lt;I1304,"PEDIR YA", C1304&lt;I1304,"EN CAMINO OK", TRUE,"SANO")</f>
        <v>PEDIR YA</v>
      </c>
    </row>
    <row r="1305" spans="1:12" x14ac:dyDescent="0.45">
      <c r="A1305" t="s">
        <v>1115</v>
      </c>
      <c r="B1305" t="s">
        <v>1134</v>
      </c>
      <c r="C1305">
        <v>3675</v>
      </c>
      <c r="D1305">
        <v>643</v>
      </c>
      <c r="E1305">
        <v>127</v>
      </c>
      <c r="F1305">
        <v>1.8</v>
      </c>
      <c r="G1305">
        <v>0.6</v>
      </c>
      <c r="H1305">
        <f t="shared" si="60"/>
        <v>695.88902089341798</v>
      </c>
      <c r="I1305">
        <f t="shared" si="61"/>
        <v>1853.2890208934182</v>
      </c>
      <c r="J1305">
        <f>SUMIFS(Transit_Clean[Quantity], Transit_Clean[Destination], A1305, Transit_Clean[Item_Code], B1305, Transit_Clean[SAP_Status], "In Transit")</f>
        <v>1326</v>
      </c>
      <c r="K1305">
        <f t="shared" si="62"/>
        <v>5.7153965785381029</v>
      </c>
      <c r="L1305" t="str" cm="1">
        <f t="array" ref="L1305">_xlfn.IFS(C1305&lt;0,"DATO INVALIDO", C1305+J1305&lt;I1305,"PEDIR YA", C1305&lt;I1305,"EN CAMINO OK", TRUE,"SANO")</f>
        <v>SANO</v>
      </c>
    </row>
    <row r="1306" spans="1:12" x14ac:dyDescent="0.45">
      <c r="A1306" t="s">
        <v>1114</v>
      </c>
      <c r="B1306" t="s">
        <v>1138</v>
      </c>
      <c r="C1306">
        <v>1472</v>
      </c>
      <c r="D1306">
        <v>493.2</v>
      </c>
      <c r="E1306">
        <v>133.9</v>
      </c>
      <c r="F1306">
        <v>1.7</v>
      </c>
      <c r="G1306">
        <v>1.3</v>
      </c>
      <c r="H1306">
        <f t="shared" si="60"/>
        <v>1096.4318937255061</v>
      </c>
      <c r="I1306">
        <f t="shared" si="61"/>
        <v>1934.8718937255062</v>
      </c>
      <c r="J1306">
        <f>SUMIFS(Transit_Clean[Quantity], Transit_Clean[Destination], A1306, Transit_Clean[Item_Code], B1306, Transit_Clean[SAP_Status], "In Transit")</f>
        <v>1504</v>
      </c>
      <c r="K1306">
        <f t="shared" si="62"/>
        <v>2.9845904298459045</v>
      </c>
      <c r="L1306" t="str" cm="1">
        <f t="array" ref="L1306">_xlfn.IFS(C1306&lt;0,"DATO INVALIDO", C1306+J1306&lt;I1306,"PEDIR YA", C1306&lt;I1306,"EN CAMINO OK", TRUE,"SANO")</f>
        <v>EN CAMINO OK</v>
      </c>
    </row>
    <row r="1307" spans="1:12" x14ac:dyDescent="0.45">
      <c r="A1307" t="s">
        <v>1124</v>
      </c>
      <c r="B1307" t="s">
        <v>20</v>
      </c>
      <c r="C1307">
        <v>3361</v>
      </c>
      <c r="D1307">
        <v>333.2</v>
      </c>
      <c r="E1307">
        <v>60.1</v>
      </c>
      <c r="F1307">
        <v>1.1000000000000001</v>
      </c>
      <c r="G1307">
        <v>0.3</v>
      </c>
      <c r="H1307">
        <f t="shared" si="60"/>
        <v>194.98792604543493</v>
      </c>
      <c r="I1307">
        <f t="shared" si="61"/>
        <v>561.50792604543494</v>
      </c>
      <c r="J1307">
        <f>SUMIFS(Transit_Clean[Quantity], Transit_Clean[Destination], A1307, Transit_Clean[Item_Code], B1307, Transit_Clean[SAP_Status], "In Transit")</f>
        <v>0</v>
      </c>
      <c r="K1307">
        <f t="shared" si="62"/>
        <v>10.087034813925571</v>
      </c>
      <c r="L1307" t="str" cm="1">
        <f t="array" ref="L1307">_xlfn.IFS(C1307&lt;0,"DATO INVALIDO", C1307+J1307&lt;I1307,"PEDIR YA", C1307&lt;I1307,"EN CAMINO OK", TRUE,"SANO")</f>
        <v>SANO</v>
      </c>
    </row>
    <row r="1308" spans="1:12" x14ac:dyDescent="0.45">
      <c r="A1308" t="s">
        <v>1115</v>
      </c>
      <c r="B1308" t="s">
        <v>33</v>
      </c>
      <c r="C1308">
        <v>8963</v>
      </c>
      <c r="D1308">
        <v>602.29999999999995</v>
      </c>
      <c r="E1308">
        <v>116.8</v>
      </c>
      <c r="F1308">
        <v>0.5</v>
      </c>
      <c r="G1308">
        <v>0.6</v>
      </c>
      <c r="H1308">
        <f t="shared" si="60"/>
        <v>611.65084805712468</v>
      </c>
      <c r="I1308">
        <f t="shared" si="61"/>
        <v>912.80084805712465</v>
      </c>
      <c r="J1308">
        <f>SUMIFS(Transit_Clean[Quantity], Transit_Clean[Destination], A1308, Transit_Clean[Item_Code], B1308, Transit_Clean[SAP_Status], "In Transit")</f>
        <v>845</v>
      </c>
      <c r="K1308">
        <f t="shared" si="62"/>
        <v>14.881288394487798</v>
      </c>
      <c r="L1308" t="str" cm="1">
        <f t="array" ref="L1308">_xlfn.IFS(C1308&lt;0,"DATO INVALIDO", C1308+J1308&lt;I1308,"PEDIR YA", C1308&lt;I1308,"EN CAMINO OK", TRUE,"SANO")</f>
        <v>SANO</v>
      </c>
    </row>
    <row r="1309" spans="1:12" x14ac:dyDescent="0.45">
      <c r="A1309" t="s">
        <v>1119</v>
      </c>
      <c r="B1309" t="s">
        <v>32</v>
      </c>
      <c r="C1309">
        <v>5006</v>
      </c>
      <c r="D1309">
        <v>329</v>
      </c>
      <c r="E1309">
        <v>88.1</v>
      </c>
      <c r="F1309">
        <v>2.5</v>
      </c>
      <c r="G1309">
        <v>1</v>
      </c>
      <c r="H1309">
        <f t="shared" si="60"/>
        <v>589.50282489781159</v>
      </c>
      <c r="I1309">
        <f t="shared" si="61"/>
        <v>1412.0028248978115</v>
      </c>
      <c r="J1309">
        <f>SUMIFS(Transit_Clean[Quantity], Transit_Clean[Destination], A1309, Transit_Clean[Item_Code], B1309, Transit_Clean[SAP_Status], "In Transit")</f>
        <v>0</v>
      </c>
      <c r="K1309">
        <f t="shared" si="62"/>
        <v>15.21580547112462</v>
      </c>
      <c r="L1309" t="str" cm="1">
        <f t="array" ref="L1309">_xlfn.IFS(C1309&lt;0,"DATO INVALIDO", C1309+J1309&lt;I1309,"PEDIR YA", C1309&lt;I1309,"EN CAMINO OK", TRUE,"SANO")</f>
        <v>SANO</v>
      </c>
    </row>
    <row r="1310" spans="1:12" x14ac:dyDescent="0.45">
      <c r="A1310" t="s">
        <v>1123</v>
      </c>
      <c r="B1310" t="s">
        <v>18</v>
      </c>
      <c r="C1310">
        <v>3959</v>
      </c>
      <c r="D1310">
        <v>224.8</v>
      </c>
      <c r="E1310">
        <v>34.6</v>
      </c>
      <c r="F1310">
        <v>1.4</v>
      </c>
      <c r="G1310">
        <v>0.3</v>
      </c>
      <c r="H1310">
        <f t="shared" si="60"/>
        <v>130.17420449536075</v>
      </c>
      <c r="I1310">
        <f t="shared" si="61"/>
        <v>444.89420449536073</v>
      </c>
      <c r="J1310">
        <f>SUMIFS(Transit_Clean[Quantity], Transit_Clean[Destination], A1310, Transit_Clean[Item_Code], B1310, Transit_Clean[SAP_Status], "In Transit")</f>
        <v>1349</v>
      </c>
      <c r="K1310">
        <f t="shared" si="62"/>
        <v>17.611209964412812</v>
      </c>
      <c r="L1310" t="str" cm="1">
        <f t="array" ref="L1310">_xlfn.IFS(C1310&lt;0,"DATO INVALIDO", C1310+J1310&lt;I1310,"PEDIR YA", C1310&lt;I1310,"EN CAMINO OK", TRUE,"SANO")</f>
        <v>SANO</v>
      </c>
    </row>
    <row r="1311" spans="1:12" x14ac:dyDescent="0.45">
      <c r="A1311" t="s">
        <v>1128</v>
      </c>
      <c r="B1311" t="s">
        <v>31</v>
      </c>
      <c r="C1311">
        <v>6924</v>
      </c>
      <c r="D1311">
        <v>385.7</v>
      </c>
      <c r="E1311">
        <v>38.200000000000003</v>
      </c>
      <c r="F1311">
        <v>1</v>
      </c>
      <c r="G1311">
        <v>0.5</v>
      </c>
      <c r="H1311">
        <f t="shared" si="60"/>
        <v>324.38497484663185</v>
      </c>
      <c r="I1311">
        <f t="shared" si="61"/>
        <v>710.08497484663189</v>
      </c>
      <c r="J1311">
        <f>SUMIFS(Transit_Clean[Quantity], Transit_Clean[Destination], A1311, Transit_Clean[Item_Code], B1311, Transit_Clean[SAP_Status], "In Transit")</f>
        <v>3372</v>
      </c>
      <c r="K1311">
        <f t="shared" si="62"/>
        <v>17.951775991703396</v>
      </c>
      <c r="L1311" t="str" cm="1">
        <f t="array" ref="L1311">_xlfn.IFS(C1311&lt;0,"DATO INVALIDO", C1311+J1311&lt;I1311,"PEDIR YA", C1311&lt;I1311,"EN CAMINO OK", TRUE,"SANO")</f>
        <v>SANO</v>
      </c>
    </row>
    <row r="1312" spans="1:12" x14ac:dyDescent="0.45">
      <c r="A1312" t="s">
        <v>1125</v>
      </c>
      <c r="B1312" t="s">
        <v>65</v>
      </c>
      <c r="C1312">
        <v>1783</v>
      </c>
      <c r="D1312">
        <v>141.1</v>
      </c>
      <c r="E1312">
        <v>53.7</v>
      </c>
      <c r="F1312">
        <v>4.9000000000000004</v>
      </c>
      <c r="G1312">
        <v>1.2</v>
      </c>
      <c r="H1312">
        <f t="shared" si="60"/>
        <v>341.35203589036928</v>
      </c>
      <c r="I1312">
        <f t="shared" si="61"/>
        <v>1032.7420358903692</v>
      </c>
      <c r="J1312">
        <f>SUMIFS(Transit_Clean[Quantity], Transit_Clean[Destination], A1312, Transit_Clean[Item_Code], B1312, Transit_Clean[SAP_Status], "In Transit")</f>
        <v>0</v>
      </c>
      <c r="K1312">
        <f t="shared" si="62"/>
        <v>12.636428065201985</v>
      </c>
      <c r="L1312" t="str" cm="1">
        <f t="array" ref="L1312">_xlfn.IFS(C1312&lt;0,"DATO INVALIDO", C1312+J1312&lt;I1312,"PEDIR YA", C1312&lt;I1312,"EN CAMINO OK", TRUE,"SANO")</f>
        <v>SANO</v>
      </c>
    </row>
    <row r="1313" spans="1:12" x14ac:dyDescent="0.45">
      <c r="A1313" t="s">
        <v>1118</v>
      </c>
      <c r="B1313" t="s">
        <v>95</v>
      </c>
      <c r="C1313">
        <v>4227</v>
      </c>
      <c r="D1313">
        <v>246.6</v>
      </c>
      <c r="E1313">
        <v>35.200000000000003</v>
      </c>
      <c r="F1313">
        <v>9</v>
      </c>
      <c r="G1313">
        <v>1.5</v>
      </c>
      <c r="H1313">
        <f t="shared" si="60"/>
        <v>634.71914247563075</v>
      </c>
      <c r="I1313">
        <f t="shared" si="61"/>
        <v>2854.1191424756307</v>
      </c>
      <c r="J1313">
        <f>SUMIFS(Transit_Clean[Quantity], Transit_Clean[Destination], A1313, Transit_Clean[Item_Code], B1313, Transit_Clean[SAP_Status], "In Transit")</f>
        <v>1279</v>
      </c>
      <c r="K1313">
        <f t="shared" si="62"/>
        <v>17.141119221411191</v>
      </c>
      <c r="L1313" t="str" cm="1">
        <f t="array" ref="L1313">_xlfn.IFS(C1313&lt;0,"DATO INVALIDO", C1313+J1313&lt;I1313,"PEDIR YA", C1313&lt;I1313,"EN CAMINO OK", TRUE,"SANO")</f>
        <v>SANO</v>
      </c>
    </row>
    <row r="1314" spans="1:12" x14ac:dyDescent="0.45">
      <c r="A1314" t="s">
        <v>1127</v>
      </c>
      <c r="B1314" t="s">
        <v>89</v>
      </c>
      <c r="C1314">
        <v>10271</v>
      </c>
      <c r="D1314">
        <v>648.4</v>
      </c>
      <c r="E1314">
        <v>127.7</v>
      </c>
      <c r="F1314">
        <v>2.2999999999999998</v>
      </c>
      <c r="G1314">
        <v>0.9</v>
      </c>
      <c r="H1314">
        <f t="shared" si="60"/>
        <v>1014.5139294428144</v>
      </c>
      <c r="I1314">
        <f t="shared" si="61"/>
        <v>2505.8339294428142</v>
      </c>
      <c r="J1314">
        <f>SUMIFS(Transit_Clean[Quantity], Transit_Clean[Destination], A1314, Transit_Clean[Item_Code], B1314, Transit_Clean[SAP_Status], "In Transit")</f>
        <v>3252</v>
      </c>
      <c r="K1314">
        <f t="shared" si="62"/>
        <v>15.840530536705737</v>
      </c>
      <c r="L1314" t="str" cm="1">
        <f t="array" ref="L1314">_xlfn.IFS(C1314&lt;0,"DATO INVALIDO", C1314+J1314&lt;I1314,"PEDIR YA", C1314&lt;I1314,"EN CAMINO OK", TRUE,"SANO")</f>
        <v>SANO</v>
      </c>
    </row>
    <row r="1315" spans="1:12" x14ac:dyDescent="0.45">
      <c r="A1315" t="s">
        <v>1121</v>
      </c>
      <c r="B1315" t="s">
        <v>109</v>
      </c>
      <c r="C1315">
        <v>3372</v>
      </c>
      <c r="D1315">
        <v>286.7</v>
      </c>
      <c r="E1315">
        <v>163.5</v>
      </c>
      <c r="F1315">
        <v>2.2999999999999998</v>
      </c>
      <c r="G1315">
        <v>0.4</v>
      </c>
      <c r="H1315">
        <f t="shared" si="60"/>
        <v>450.77226148189283</v>
      </c>
      <c r="I1315">
        <f t="shared" si="61"/>
        <v>1110.1822614818927</v>
      </c>
      <c r="J1315">
        <f>SUMIFS(Transit_Clean[Quantity], Transit_Clean[Destination], A1315, Transit_Clean[Item_Code], B1315, Transit_Clean[SAP_Status], "In Transit")</f>
        <v>1902</v>
      </c>
      <c r="K1315">
        <f t="shared" si="62"/>
        <v>11.761423090338333</v>
      </c>
      <c r="L1315" t="str" cm="1">
        <f t="array" ref="L1315">_xlfn.IFS(C1315&lt;0,"DATO INVALIDO", C1315+J1315&lt;I1315,"PEDIR YA", C1315&lt;I1315,"EN CAMINO OK", TRUE,"SANO")</f>
        <v>SANO</v>
      </c>
    </row>
    <row r="1316" spans="1:12" x14ac:dyDescent="0.45">
      <c r="A1316" t="s">
        <v>1115</v>
      </c>
      <c r="B1316" t="s">
        <v>95</v>
      </c>
      <c r="C1316">
        <v>3607</v>
      </c>
      <c r="D1316">
        <v>323.5</v>
      </c>
      <c r="E1316">
        <v>41.6</v>
      </c>
      <c r="F1316">
        <v>1.2</v>
      </c>
      <c r="G1316">
        <v>0.6</v>
      </c>
      <c r="H1316">
        <f t="shared" si="60"/>
        <v>328.97326600348543</v>
      </c>
      <c r="I1316">
        <f t="shared" si="61"/>
        <v>717.17326600348542</v>
      </c>
      <c r="J1316">
        <f>SUMIFS(Transit_Clean[Quantity], Transit_Clean[Destination], A1316, Transit_Clean[Item_Code], B1316, Transit_Clean[SAP_Status], "In Transit")</f>
        <v>1483</v>
      </c>
      <c r="K1316">
        <f t="shared" si="62"/>
        <v>11.149922720247295</v>
      </c>
      <c r="L1316" t="str" cm="1">
        <f t="array" ref="L1316">_xlfn.IFS(C1316&lt;0,"DATO INVALIDO", C1316+J1316&lt;I1316,"PEDIR YA", C1316&lt;I1316,"EN CAMINO OK", TRUE,"SANO")</f>
        <v>SANO</v>
      </c>
    </row>
    <row r="1317" spans="1:12" x14ac:dyDescent="0.45">
      <c r="A1317" t="s">
        <v>1125</v>
      </c>
      <c r="B1317" t="s">
        <v>10</v>
      </c>
      <c r="C1317">
        <v>5220</v>
      </c>
      <c r="D1317">
        <v>447.9</v>
      </c>
      <c r="E1317">
        <v>69.900000000000006</v>
      </c>
      <c r="F1317">
        <v>3.6</v>
      </c>
      <c r="G1317">
        <v>1.2</v>
      </c>
      <c r="H1317">
        <f t="shared" si="60"/>
        <v>913.44212568394278</v>
      </c>
      <c r="I1317">
        <f t="shared" si="61"/>
        <v>2525.8821256839428</v>
      </c>
      <c r="J1317">
        <f>SUMIFS(Transit_Clean[Quantity], Transit_Clean[Destination], A1317, Transit_Clean[Item_Code], B1317, Transit_Clean[SAP_Status], "In Transit")</f>
        <v>1585</v>
      </c>
      <c r="K1317">
        <f t="shared" si="62"/>
        <v>11.654387139986605</v>
      </c>
      <c r="L1317" t="str" cm="1">
        <f t="array" ref="L1317">_xlfn.IFS(C1317&lt;0,"DATO INVALIDO", C1317+J1317&lt;I1317,"PEDIR YA", C1317&lt;I1317,"EN CAMINO OK", TRUE,"SANO")</f>
        <v>SANO</v>
      </c>
    </row>
    <row r="1318" spans="1:12" x14ac:dyDescent="0.45">
      <c r="A1318" t="s">
        <v>1126</v>
      </c>
      <c r="B1318" t="s">
        <v>12</v>
      </c>
      <c r="C1318">
        <v>3923</v>
      </c>
      <c r="D1318">
        <v>254.4</v>
      </c>
      <c r="E1318">
        <v>46.3</v>
      </c>
      <c r="F1318">
        <v>0.9</v>
      </c>
      <c r="G1318">
        <v>0.2</v>
      </c>
      <c r="H1318">
        <f t="shared" si="60"/>
        <v>110.90768560609312</v>
      </c>
      <c r="I1318">
        <f t="shared" si="61"/>
        <v>339.86768560609312</v>
      </c>
      <c r="J1318">
        <f>SUMIFS(Transit_Clean[Quantity], Transit_Clean[Destination], A1318, Transit_Clean[Item_Code], B1318, Transit_Clean[SAP_Status], "In Transit")</f>
        <v>0</v>
      </c>
      <c r="K1318">
        <f t="shared" si="62"/>
        <v>15.42059748427673</v>
      </c>
      <c r="L1318" t="str" cm="1">
        <f t="array" ref="L1318">_xlfn.IFS(C1318&lt;0,"DATO INVALIDO", C1318+J1318&lt;I1318,"PEDIR YA", C1318&lt;I1318,"EN CAMINO OK", TRUE,"SANO")</f>
        <v>SANO</v>
      </c>
    </row>
    <row r="1319" spans="1:12" x14ac:dyDescent="0.45">
      <c r="A1319" t="s">
        <v>1119</v>
      </c>
      <c r="B1319" t="s">
        <v>15</v>
      </c>
      <c r="C1319">
        <v>-50</v>
      </c>
      <c r="D1319">
        <v>682.9</v>
      </c>
      <c r="E1319">
        <v>126.2</v>
      </c>
      <c r="F1319">
        <v>4.5</v>
      </c>
      <c r="G1319">
        <v>1</v>
      </c>
      <c r="H1319">
        <f t="shared" si="60"/>
        <v>1210.2740327194497</v>
      </c>
      <c r="I1319">
        <f t="shared" si="61"/>
        <v>4283.324032719449</v>
      </c>
      <c r="J1319">
        <f>SUMIFS(Transit_Clean[Quantity], Transit_Clean[Destination], A1319, Transit_Clean[Item_Code], B1319, Transit_Clean[SAP_Status], "In Transit")</f>
        <v>0</v>
      </c>
      <c r="K1319">
        <f t="shared" si="62"/>
        <v>-7.3217162102796898E-2</v>
      </c>
      <c r="L1319" t="str" cm="1">
        <f t="array" ref="L1319">_xlfn.IFS(C1319&lt;0,"DATO INVALIDO", C1319+J1319&lt;I1319,"PEDIR YA", C1319&lt;I1319,"EN CAMINO OK", TRUE,"SANO")</f>
        <v>DATO INVALIDO</v>
      </c>
    </row>
    <row r="1320" spans="1:12" x14ac:dyDescent="0.45">
      <c r="A1320" t="s">
        <v>1116</v>
      </c>
      <c r="B1320" t="s">
        <v>74</v>
      </c>
      <c r="C1320">
        <v>1801</v>
      </c>
      <c r="D1320">
        <v>613.4</v>
      </c>
      <c r="E1320">
        <v>367.6</v>
      </c>
      <c r="F1320">
        <v>4.0999999999999996</v>
      </c>
      <c r="G1320">
        <v>1.6</v>
      </c>
      <c r="H1320">
        <f t="shared" si="60"/>
        <v>2032.4199351846555</v>
      </c>
      <c r="I1320">
        <f t="shared" si="61"/>
        <v>4547.3599351846551</v>
      </c>
      <c r="J1320">
        <f>SUMIFS(Transit_Clean[Quantity], Transit_Clean[Destination], A1320, Transit_Clean[Item_Code], B1320, Transit_Clean[SAP_Status], "In Transit")</f>
        <v>0</v>
      </c>
      <c r="K1320">
        <f t="shared" si="62"/>
        <v>2.9360939028366482</v>
      </c>
      <c r="L1320" t="str" cm="1">
        <f t="array" ref="L1320">_xlfn.IFS(C1320&lt;0,"DATO INVALIDO", C1320+J1320&lt;I1320,"PEDIR YA", C1320&lt;I1320,"EN CAMINO OK", TRUE,"SANO")</f>
        <v>PEDIR YA</v>
      </c>
    </row>
    <row r="1321" spans="1:12" x14ac:dyDescent="0.45">
      <c r="A1321" t="s">
        <v>1117</v>
      </c>
      <c r="B1321" t="s">
        <v>101</v>
      </c>
      <c r="C1321">
        <v>7144</v>
      </c>
      <c r="D1321">
        <v>468.2</v>
      </c>
      <c r="E1321">
        <v>106.1</v>
      </c>
      <c r="F1321">
        <v>1.6</v>
      </c>
      <c r="G1321">
        <v>0.5</v>
      </c>
      <c r="H1321">
        <f t="shared" si="60"/>
        <v>445.23820252197584</v>
      </c>
      <c r="I1321">
        <f t="shared" si="61"/>
        <v>1194.3582025219757</v>
      </c>
      <c r="J1321">
        <f>SUMIFS(Transit_Clean[Quantity], Transit_Clean[Destination], A1321, Transit_Clean[Item_Code], B1321, Transit_Clean[SAP_Status], "In Transit")</f>
        <v>0</v>
      </c>
      <c r="K1321">
        <f t="shared" si="62"/>
        <v>15.258436565570269</v>
      </c>
      <c r="L1321" t="str" cm="1">
        <f t="array" ref="L1321">_xlfn.IFS(C1321&lt;0,"DATO INVALIDO", C1321+J1321&lt;I1321,"PEDIR YA", C1321&lt;I1321,"EN CAMINO OK", TRUE,"SANO")</f>
        <v>SANO</v>
      </c>
    </row>
    <row r="1322" spans="1:12" x14ac:dyDescent="0.45">
      <c r="A1322" t="s">
        <v>1117</v>
      </c>
      <c r="B1322" t="s">
        <v>1129</v>
      </c>
      <c r="C1322">
        <v>14274</v>
      </c>
      <c r="D1322">
        <v>853.2</v>
      </c>
      <c r="E1322">
        <v>183.7</v>
      </c>
      <c r="F1322">
        <v>2.8</v>
      </c>
      <c r="G1322">
        <v>0.5</v>
      </c>
      <c r="H1322">
        <f t="shared" si="60"/>
        <v>867.58545802128333</v>
      </c>
      <c r="I1322">
        <f t="shared" si="61"/>
        <v>3256.5454580212836</v>
      </c>
      <c r="J1322">
        <f>SUMIFS(Transit_Clean[Quantity], Transit_Clean[Destination], A1322, Transit_Clean[Item_Code], B1322, Transit_Clean[SAP_Status], "In Transit")</f>
        <v>2534</v>
      </c>
      <c r="K1322">
        <f t="shared" si="62"/>
        <v>16.729957805907173</v>
      </c>
      <c r="L1322" t="str" cm="1">
        <f t="array" ref="L1322">_xlfn.IFS(C1322&lt;0,"DATO INVALIDO", C1322+J1322&lt;I1322,"PEDIR YA", C1322&lt;I1322,"EN CAMINO OK", TRUE,"SANO")</f>
        <v>SANO</v>
      </c>
    </row>
    <row r="1323" spans="1:12" x14ac:dyDescent="0.45">
      <c r="A1323" t="s">
        <v>1119</v>
      </c>
      <c r="B1323" t="s">
        <v>54</v>
      </c>
      <c r="C1323">
        <v>268</v>
      </c>
      <c r="D1323">
        <v>264.60000000000002</v>
      </c>
      <c r="E1323">
        <v>28</v>
      </c>
      <c r="F1323">
        <v>4.2</v>
      </c>
      <c r="G1323">
        <v>1</v>
      </c>
      <c r="H1323">
        <f t="shared" si="60"/>
        <v>446.73871121719463</v>
      </c>
      <c r="I1323">
        <f t="shared" si="61"/>
        <v>1558.0587112171947</v>
      </c>
      <c r="J1323">
        <f>SUMIFS(Transit_Clean[Quantity], Transit_Clean[Destination], A1323, Transit_Clean[Item_Code], B1323, Transit_Clean[SAP_Status], "In Transit")</f>
        <v>0</v>
      </c>
      <c r="K1323">
        <f t="shared" si="62"/>
        <v>1.0128495842781555</v>
      </c>
      <c r="L1323" t="str" cm="1">
        <f t="array" ref="L1323">_xlfn.IFS(C1323&lt;0,"DATO INVALIDO", C1323+J1323&lt;I1323,"PEDIR YA", C1323&lt;I1323,"EN CAMINO OK", TRUE,"SANO")</f>
        <v>PEDIR YA</v>
      </c>
    </row>
    <row r="1324" spans="1:12" x14ac:dyDescent="0.45">
      <c r="A1324" t="s">
        <v>1128</v>
      </c>
      <c r="B1324" t="s">
        <v>65</v>
      </c>
      <c r="C1324">
        <v>1664</v>
      </c>
      <c r="D1324">
        <v>145</v>
      </c>
      <c r="E1324">
        <v>56.1</v>
      </c>
      <c r="F1324">
        <v>0.5</v>
      </c>
      <c r="G1324">
        <v>0.5</v>
      </c>
      <c r="H1324">
        <f t="shared" si="60"/>
        <v>136.36084569076269</v>
      </c>
      <c r="I1324">
        <f t="shared" si="61"/>
        <v>208.86084569076269</v>
      </c>
      <c r="J1324">
        <f>SUMIFS(Transit_Clean[Quantity], Transit_Clean[Destination], A1324, Transit_Clean[Item_Code], B1324, Transit_Clean[SAP_Status], "In Transit")</f>
        <v>0</v>
      </c>
      <c r="K1324">
        <f t="shared" si="62"/>
        <v>11.475862068965517</v>
      </c>
      <c r="L1324" t="str" cm="1">
        <f t="array" ref="L1324">_xlfn.IFS(C1324&lt;0,"DATO INVALIDO", C1324+J1324&lt;I1324,"PEDIR YA", C1324&lt;I1324,"EN CAMINO OK", TRUE,"SANO")</f>
        <v>SANO</v>
      </c>
    </row>
    <row r="1325" spans="1:12" x14ac:dyDescent="0.45">
      <c r="A1325" t="s">
        <v>1121</v>
      </c>
      <c r="B1325" t="s">
        <v>56</v>
      </c>
      <c r="C1325">
        <v>224</v>
      </c>
      <c r="D1325">
        <v>278</v>
      </c>
      <c r="E1325">
        <v>44.1</v>
      </c>
      <c r="F1325">
        <v>2.2999999999999998</v>
      </c>
      <c r="G1325">
        <v>0.4</v>
      </c>
      <c r="H1325">
        <f t="shared" si="60"/>
        <v>214.10937489400135</v>
      </c>
      <c r="I1325">
        <f t="shared" si="61"/>
        <v>853.50937489400133</v>
      </c>
      <c r="J1325">
        <f>SUMIFS(Transit_Clean[Quantity], Transit_Clean[Destination], A1325, Transit_Clean[Item_Code], B1325, Transit_Clean[SAP_Status], "In Transit")</f>
        <v>0</v>
      </c>
      <c r="K1325">
        <f t="shared" si="62"/>
        <v>0.80575539568345322</v>
      </c>
      <c r="L1325" t="str" cm="1">
        <f t="array" ref="L1325">_xlfn.IFS(C1325&lt;0,"DATO INVALIDO", C1325+J1325&lt;I1325,"PEDIR YA", C1325&lt;I1325,"EN CAMINO OK", TRUE,"SANO")</f>
        <v>PEDIR YA</v>
      </c>
    </row>
    <row r="1326" spans="1:12" x14ac:dyDescent="0.45">
      <c r="A1326" t="s">
        <v>1117</v>
      </c>
      <c r="B1326" t="s">
        <v>43</v>
      </c>
      <c r="C1326">
        <v>4641</v>
      </c>
      <c r="D1326">
        <v>623.9</v>
      </c>
      <c r="E1326">
        <v>323.2</v>
      </c>
      <c r="F1326">
        <v>2.6</v>
      </c>
      <c r="G1326">
        <v>0.5</v>
      </c>
      <c r="H1326">
        <f t="shared" si="60"/>
        <v>1002.168527068302</v>
      </c>
      <c r="I1326">
        <f t="shared" si="61"/>
        <v>2624.3085270683023</v>
      </c>
      <c r="J1326">
        <f>SUMIFS(Transit_Clean[Quantity], Transit_Clean[Destination], A1326, Transit_Clean[Item_Code], B1326, Transit_Clean[SAP_Status], "In Transit")</f>
        <v>0</v>
      </c>
      <c r="K1326">
        <f t="shared" si="62"/>
        <v>7.438692098092643</v>
      </c>
      <c r="L1326" t="str" cm="1">
        <f t="array" ref="L1326">_xlfn.IFS(C1326&lt;0,"DATO INVALIDO", C1326+J1326&lt;I1326,"PEDIR YA", C1326&lt;I1326,"EN CAMINO OK", TRUE,"SANO")</f>
        <v>SANO</v>
      </c>
    </row>
    <row r="1327" spans="1:12" x14ac:dyDescent="0.45">
      <c r="A1327" t="s">
        <v>1115</v>
      </c>
      <c r="B1327" t="s">
        <v>37</v>
      </c>
      <c r="C1327">
        <v>4619</v>
      </c>
      <c r="D1327">
        <v>480.3</v>
      </c>
      <c r="E1327">
        <v>246.6</v>
      </c>
      <c r="F1327">
        <v>1.8</v>
      </c>
      <c r="G1327">
        <v>0.6</v>
      </c>
      <c r="H1327">
        <f t="shared" si="60"/>
        <v>723.95058311254911</v>
      </c>
      <c r="I1327">
        <f t="shared" si="61"/>
        <v>1588.4905831125493</v>
      </c>
      <c r="J1327">
        <f>SUMIFS(Transit_Clean[Quantity], Transit_Clean[Destination], A1327, Transit_Clean[Item_Code], B1327, Transit_Clean[SAP_Status], "In Transit")</f>
        <v>2295</v>
      </c>
      <c r="K1327">
        <f t="shared" si="62"/>
        <v>9.6169061003539458</v>
      </c>
      <c r="L1327" t="str" cm="1">
        <f t="array" ref="L1327">_xlfn.IFS(C1327&lt;0,"DATO INVALIDO", C1327+J1327&lt;I1327,"PEDIR YA", C1327&lt;I1327,"EN CAMINO OK", TRUE,"SANO")</f>
        <v>SANO</v>
      </c>
    </row>
    <row r="1328" spans="1:12" x14ac:dyDescent="0.45">
      <c r="A1328" t="s">
        <v>1128</v>
      </c>
      <c r="B1328" t="s">
        <v>61</v>
      </c>
      <c r="C1328">
        <v>1281</v>
      </c>
      <c r="D1328">
        <v>543.29999999999995</v>
      </c>
      <c r="E1328">
        <v>102.9</v>
      </c>
      <c r="F1328">
        <v>1.8</v>
      </c>
      <c r="G1328">
        <v>0.5</v>
      </c>
      <c r="H1328">
        <f t="shared" si="60"/>
        <v>502.78416115789679</v>
      </c>
      <c r="I1328">
        <f t="shared" si="61"/>
        <v>1480.7241611578968</v>
      </c>
      <c r="J1328">
        <f>SUMIFS(Transit_Clean[Quantity], Transit_Clean[Destination], A1328, Transit_Clean[Item_Code], B1328, Transit_Clean[SAP_Status], "In Transit")</f>
        <v>0</v>
      </c>
      <c r="K1328">
        <f t="shared" si="62"/>
        <v>2.3578133627829931</v>
      </c>
      <c r="L1328" t="str" cm="1">
        <f t="array" ref="L1328">_xlfn.IFS(C1328&lt;0,"DATO INVALIDO", C1328+J1328&lt;I1328,"PEDIR YA", C1328&lt;I1328,"EN CAMINO OK", TRUE,"SANO")</f>
        <v>PEDIR YA</v>
      </c>
    </row>
    <row r="1329" spans="1:12" x14ac:dyDescent="0.45">
      <c r="A1329" t="s">
        <v>1127</v>
      </c>
      <c r="B1329" t="s">
        <v>102</v>
      </c>
      <c r="C1329">
        <v>4041</v>
      </c>
      <c r="D1329">
        <v>521.1</v>
      </c>
      <c r="E1329">
        <v>72.5</v>
      </c>
      <c r="F1329">
        <v>2.2000000000000002</v>
      </c>
      <c r="G1329">
        <v>0.9</v>
      </c>
      <c r="H1329">
        <f t="shared" si="60"/>
        <v>793.91472785006954</v>
      </c>
      <c r="I1329">
        <f t="shared" si="61"/>
        <v>1940.3347278500696</v>
      </c>
      <c r="J1329">
        <f>SUMIFS(Transit_Clean[Quantity], Transit_Clean[Destination], A1329, Transit_Clean[Item_Code], B1329, Transit_Clean[SAP_Status], "In Transit")</f>
        <v>0</v>
      </c>
      <c r="K1329">
        <f t="shared" si="62"/>
        <v>7.7547495682210705</v>
      </c>
      <c r="L1329" t="str" cm="1">
        <f t="array" ref="L1329">_xlfn.IFS(C1329&lt;0,"DATO INVALIDO", C1329+J1329&lt;I1329,"PEDIR YA", C1329&lt;I1329,"EN CAMINO OK", TRUE,"SANO")</f>
        <v>SANO</v>
      </c>
    </row>
    <row r="1330" spans="1:12" x14ac:dyDescent="0.45">
      <c r="A1330" t="s">
        <v>1116</v>
      </c>
      <c r="B1330" t="s">
        <v>1132</v>
      </c>
      <c r="C1330">
        <v>3681</v>
      </c>
      <c r="D1330">
        <v>379.7</v>
      </c>
      <c r="E1330">
        <v>41.1</v>
      </c>
      <c r="F1330">
        <v>4.7</v>
      </c>
      <c r="G1330">
        <v>1.6</v>
      </c>
      <c r="H1330">
        <f t="shared" si="60"/>
        <v>1013.1320285735221</v>
      </c>
      <c r="I1330">
        <f t="shared" si="61"/>
        <v>2797.722028573522</v>
      </c>
      <c r="J1330">
        <f>SUMIFS(Transit_Clean[Quantity], Transit_Clean[Destination], A1330, Transit_Clean[Item_Code], B1330, Transit_Clean[SAP_Status], "In Transit")</f>
        <v>1382</v>
      </c>
      <c r="K1330">
        <f t="shared" si="62"/>
        <v>9.6944956544640508</v>
      </c>
      <c r="L1330" t="str" cm="1">
        <f t="array" ref="L1330">_xlfn.IFS(C1330&lt;0,"DATO INVALIDO", C1330+J1330&lt;I1330,"PEDIR YA", C1330&lt;I1330,"EN CAMINO OK", TRUE,"SANO")</f>
        <v>SANO</v>
      </c>
    </row>
    <row r="1331" spans="1:12" x14ac:dyDescent="0.45">
      <c r="A1331" t="s">
        <v>1120</v>
      </c>
      <c r="B1331" t="s">
        <v>61</v>
      </c>
      <c r="C1331">
        <v>2173</v>
      </c>
      <c r="D1331">
        <v>276.3</v>
      </c>
      <c r="E1331">
        <v>49.7</v>
      </c>
      <c r="F1331">
        <v>1.5</v>
      </c>
      <c r="G1331">
        <v>0.5</v>
      </c>
      <c r="H1331">
        <f t="shared" si="60"/>
        <v>249.0929400720743</v>
      </c>
      <c r="I1331">
        <f t="shared" si="61"/>
        <v>663.54294007207432</v>
      </c>
      <c r="J1331">
        <f>SUMIFS(Transit_Clean[Quantity], Transit_Clean[Destination], A1331, Transit_Clean[Item_Code], B1331, Transit_Clean[SAP_Status], "In Transit")</f>
        <v>1620</v>
      </c>
      <c r="K1331">
        <f t="shared" si="62"/>
        <v>7.8646398841838581</v>
      </c>
      <c r="L1331" t="str" cm="1">
        <f t="array" ref="L1331">_xlfn.IFS(C1331&lt;0,"DATO INVALIDO", C1331+J1331&lt;I1331,"PEDIR YA", C1331&lt;I1331,"EN CAMINO OK", TRUE,"SANO")</f>
        <v>SANO</v>
      </c>
    </row>
    <row r="1332" spans="1:12" x14ac:dyDescent="0.45">
      <c r="A1332" t="s">
        <v>1119</v>
      </c>
      <c r="B1332" t="s">
        <v>75</v>
      </c>
      <c r="C1332">
        <v>2346</v>
      </c>
      <c r="D1332">
        <v>183.7</v>
      </c>
      <c r="E1332">
        <v>24</v>
      </c>
      <c r="F1332">
        <v>2.1</v>
      </c>
      <c r="G1332">
        <v>1</v>
      </c>
      <c r="H1332">
        <f t="shared" si="60"/>
        <v>308.48950877623042</v>
      </c>
      <c r="I1332">
        <f t="shared" si="61"/>
        <v>694.2595087762304</v>
      </c>
      <c r="J1332">
        <f>SUMIFS(Transit_Clean[Quantity], Transit_Clean[Destination], A1332, Transit_Clean[Item_Code], B1332, Transit_Clean[SAP_Status], "In Transit")</f>
        <v>0</v>
      </c>
      <c r="K1332">
        <f t="shared" si="62"/>
        <v>12.770821992378879</v>
      </c>
      <c r="L1332" t="str" cm="1">
        <f t="array" ref="L1332">_xlfn.IFS(C1332&lt;0,"DATO INVALIDO", C1332+J1332&lt;I1332,"PEDIR YA", C1332&lt;I1332,"EN CAMINO OK", TRUE,"SANO")</f>
        <v>SANO</v>
      </c>
    </row>
    <row r="1333" spans="1:12" x14ac:dyDescent="0.45">
      <c r="A1333" t="s">
        <v>1119</v>
      </c>
      <c r="B1333" t="s">
        <v>96</v>
      </c>
      <c r="C1333">
        <v>3089</v>
      </c>
      <c r="D1333">
        <v>852.9</v>
      </c>
      <c r="E1333">
        <v>159.1</v>
      </c>
      <c r="F1333">
        <v>2.8</v>
      </c>
      <c r="G1333">
        <v>1</v>
      </c>
      <c r="H1333">
        <f t="shared" si="60"/>
        <v>1474.2491722415853</v>
      </c>
      <c r="I1333">
        <f t="shared" si="61"/>
        <v>3862.3691722415851</v>
      </c>
      <c r="J1333">
        <f>SUMIFS(Transit_Clean[Quantity], Transit_Clean[Destination], A1333, Transit_Clean[Item_Code], B1333, Transit_Clean[SAP_Status], "In Transit")</f>
        <v>0</v>
      </c>
      <c r="K1333">
        <f t="shared" si="62"/>
        <v>3.6217610505334741</v>
      </c>
      <c r="L1333" t="str" cm="1">
        <f t="array" ref="L1333">_xlfn.IFS(C1333&lt;0,"DATO INVALIDO", C1333+J1333&lt;I1333,"PEDIR YA", C1333&lt;I1333,"EN CAMINO OK", TRUE,"SANO")</f>
        <v>PEDIR YA</v>
      </c>
    </row>
    <row r="1334" spans="1:12" x14ac:dyDescent="0.45">
      <c r="A1334" t="s">
        <v>1116</v>
      </c>
      <c r="B1334" t="s">
        <v>92</v>
      </c>
      <c r="C1334">
        <v>2127</v>
      </c>
      <c r="D1334">
        <v>290.10000000000002</v>
      </c>
      <c r="E1334">
        <v>127.6</v>
      </c>
      <c r="F1334">
        <v>5</v>
      </c>
      <c r="G1334">
        <v>1.6</v>
      </c>
      <c r="H1334">
        <f t="shared" si="60"/>
        <v>898.99005806293553</v>
      </c>
      <c r="I1334">
        <f t="shared" si="61"/>
        <v>2349.4900580629355</v>
      </c>
      <c r="J1334">
        <f>SUMIFS(Transit_Clean[Quantity], Transit_Clean[Destination], A1334, Transit_Clean[Item_Code], B1334, Transit_Clean[SAP_Status], "In Transit")</f>
        <v>2083</v>
      </c>
      <c r="K1334">
        <f t="shared" si="62"/>
        <v>7.3319544984488099</v>
      </c>
      <c r="L1334" t="str" cm="1">
        <f t="array" ref="L1334">_xlfn.IFS(C1334&lt;0,"DATO INVALIDO", C1334+J1334&lt;I1334,"PEDIR YA", C1334&lt;I1334,"EN CAMINO OK", TRUE,"SANO")</f>
        <v>EN CAMINO OK</v>
      </c>
    </row>
    <row r="1335" spans="1:12" x14ac:dyDescent="0.45">
      <c r="A1335" t="s">
        <v>1127</v>
      </c>
      <c r="B1335" t="s">
        <v>45</v>
      </c>
      <c r="C1335">
        <v>4792</v>
      </c>
      <c r="D1335">
        <v>493.4</v>
      </c>
      <c r="E1335">
        <v>63.4</v>
      </c>
      <c r="F1335">
        <v>2.2999999999999998</v>
      </c>
      <c r="G1335">
        <v>0.9</v>
      </c>
      <c r="H1335">
        <f t="shared" si="60"/>
        <v>749.67813388880427</v>
      </c>
      <c r="I1335">
        <f t="shared" si="61"/>
        <v>1884.4981338888042</v>
      </c>
      <c r="J1335">
        <f>SUMIFS(Transit_Clean[Quantity], Transit_Clean[Destination], A1335, Transit_Clean[Item_Code], B1335, Transit_Clean[SAP_Status], "In Transit")</f>
        <v>0</v>
      </c>
      <c r="K1335">
        <f t="shared" si="62"/>
        <v>9.7122010539116346</v>
      </c>
      <c r="L1335" t="str" cm="1">
        <f t="array" ref="L1335">_xlfn.IFS(C1335&lt;0,"DATO INVALIDO", C1335+J1335&lt;I1335,"PEDIR YA", C1335&lt;I1335,"EN CAMINO OK", TRUE,"SANO")</f>
        <v>SANO</v>
      </c>
    </row>
    <row r="1336" spans="1:12" x14ac:dyDescent="0.45">
      <c r="A1336" t="s">
        <v>1117</v>
      </c>
      <c r="B1336" t="s">
        <v>1135</v>
      </c>
      <c r="C1336">
        <v>2450</v>
      </c>
      <c r="D1336">
        <v>478</v>
      </c>
      <c r="E1336">
        <v>56.1</v>
      </c>
      <c r="F1336">
        <v>1.6</v>
      </c>
      <c r="G1336">
        <v>0.5</v>
      </c>
      <c r="H1336">
        <f t="shared" si="60"/>
        <v>411.36500733533472</v>
      </c>
      <c r="I1336">
        <f t="shared" si="61"/>
        <v>1176.1650073353348</v>
      </c>
      <c r="J1336">
        <f>SUMIFS(Transit_Clean[Quantity], Transit_Clean[Destination], A1336, Transit_Clean[Item_Code], B1336, Transit_Clean[SAP_Status], "In Transit")</f>
        <v>1689</v>
      </c>
      <c r="K1336">
        <f t="shared" si="62"/>
        <v>5.1255230125523017</v>
      </c>
      <c r="L1336" t="str" cm="1">
        <f t="array" ref="L1336">_xlfn.IFS(C1336&lt;0,"DATO INVALIDO", C1336+J1336&lt;I1336,"PEDIR YA", C1336&lt;I1336,"EN CAMINO OK", TRUE,"SANO")</f>
        <v>SANO</v>
      </c>
    </row>
    <row r="1337" spans="1:12" x14ac:dyDescent="0.45">
      <c r="A1337" t="s">
        <v>1116</v>
      </c>
      <c r="B1337" t="s">
        <v>61</v>
      </c>
      <c r="C1337">
        <v>2177</v>
      </c>
      <c r="D1337">
        <v>212.3</v>
      </c>
      <c r="E1337">
        <v>23.4</v>
      </c>
      <c r="F1337">
        <v>2.6</v>
      </c>
      <c r="G1337">
        <v>1.6</v>
      </c>
      <c r="H1337">
        <f t="shared" si="60"/>
        <v>563.91911321039652</v>
      </c>
      <c r="I1337">
        <f t="shared" si="61"/>
        <v>1115.8991132103965</v>
      </c>
      <c r="J1337">
        <f>SUMIFS(Transit_Clean[Quantity], Transit_Clean[Destination], A1337, Transit_Clean[Item_Code], B1337, Transit_Clean[SAP_Status], "In Transit")</f>
        <v>0</v>
      </c>
      <c r="K1337">
        <f t="shared" si="62"/>
        <v>10.254357041921809</v>
      </c>
      <c r="L1337" t="str" cm="1">
        <f t="array" ref="L1337">_xlfn.IFS(C1337&lt;0,"DATO INVALIDO", C1337+J1337&lt;I1337,"PEDIR YA", C1337&lt;I1337,"EN CAMINO OK", TRUE,"SANO")</f>
        <v>SANO</v>
      </c>
    </row>
    <row r="1338" spans="1:12" x14ac:dyDescent="0.45">
      <c r="A1338" t="s">
        <v>1119</v>
      </c>
      <c r="B1338" t="s">
        <v>110</v>
      </c>
      <c r="C1338">
        <v>2472</v>
      </c>
      <c r="D1338">
        <v>493.6</v>
      </c>
      <c r="E1338">
        <v>288.7</v>
      </c>
      <c r="F1338">
        <v>2.6</v>
      </c>
      <c r="G1338">
        <v>1</v>
      </c>
      <c r="H1338">
        <f t="shared" si="60"/>
        <v>1119.5039692939906</v>
      </c>
      <c r="I1338">
        <f t="shared" si="61"/>
        <v>2402.8639692939905</v>
      </c>
      <c r="J1338">
        <f>SUMIFS(Transit_Clean[Quantity], Transit_Clean[Destination], A1338, Transit_Clean[Item_Code], B1338, Transit_Clean[SAP_Status], "In Transit")</f>
        <v>3068</v>
      </c>
      <c r="K1338">
        <f t="shared" si="62"/>
        <v>5.0081037277147482</v>
      </c>
      <c r="L1338" t="str" cm="1">
        <f t="array" ref="L1338">_xlfn.IFS(C1338&lt;0,"DATO INVALIDO", C1338+J1338&lt;I1338,"PEDIR YA", C1338&lt;I1338,"EN CAMINO OK", TRUE,"SANO")</f>
        <v>SANO</v>
      </c>
    </row>
    <row r="1339" spans="1:12" x14ac:dyDescent="0.45">
      <c r="A1339" t="s">
        <v>1120</v>
      </c>
      <c r="B1339" t="s">
        <v>102</v>
      </c>
      <c r="C1339">
        <v>1790</v>
      </c>
      <c r="D1339">
        <v>284.3</v>
      </c>
      <c r="E1339">
        <v>42</v>
      </c>
      <c r="F1339">
        <v>2.5</v>
      </c>
      <c r="G1339">
        <v>0.5</v>
      </c>
      <c r="H1339">
        <f t="shared" si="60"/>
        <v>258.87980754830994</v>
      </c>
      <c r="I1339">
        <f t="shared" si="61"/>
        <v>969.62980754830994</v>
      </c>
      <c r="J1339">
        <f>SUMIFS(Transit_Clean[Quantity], Transit_Clean[Destination], A1339, Transit_Clean[Item_Code], B1339, Transit_Clean[SAP_Status], "In Transit")</f>
        <v>0</v>
      </c>
      <c r="K1339">
        <f t="shared" si="62"/>
        <v>6.2961660218079487</v>
      </c>
      <c r="L1339" t="str" cm="1">
        <f t="array" ref="L1339">_xlfn.IFS(C1339&lt;0,"DATO INVALIDO", C1339+J1339&lt;I1339,"PEDIR YA", C1339&lt;I1339,"EN CAMINO OK", TRUE,"SANO")</f>
        <v>SANO</v>
      </c>
    </row>
    <row r="1340" spans="1:12" x14ac:dyDescent="0.45">
      <c r="A1340" t="s">
        <v>1118</v>
      </c>
      <c r="B1340" t="s">
        <v>71</v>
      </c>
      <c r="C1340">
        <v>2876</v>
      </c>
      <c r="D1340">
        <v>361.9</v>
      </c>
      <c r="E1340">
        <v>48.2</v>
      </c>
      <c r="F1340">
        <v>2.7</v>
      </c>
      <c r="G1340">
        <v>1.5</v>
      </c>
      <c r="H1340">
        <f t="shared" si="60"/>
        <v>905.18535391170008</v>
      </c>
      <c r="I1340">
        <f t="shared" si="61"/>
        <v>1882.3153539117002</v>
      </c>
      <c r="J1340">
        <f>SUMIFS(Transit_Clean[Quantity], Transit_Clean[Destination], A1340, Transit_Clean[Item_Code], B1340, Transit_Clean[SAP_Status], "In Transit")</f>
        <v>1592</v>
      </c>
      <c r="K1340">
        <f t="shared" si="62"/>
        <v>7.9469466703509264</v>
      </c>
      <c r="L1340" t="str" cm="1">
        <f t="array" ref="L1340">_xlfn.IFS(C1340&lt;0,"DATO INVALIDO", C1340+J1340&lt;I1340,"PEDIR YA", C1340&lt;I1340,"EN CAMINO OK", TRUE,"SANO")</f>
        <v>SANO</v>
      </c>
    </row>
    <row r="1341" spans="1:12" x14ac:dyDescent="0.45">
      <c r="A1341" t="s">
        <v>1120</v>
      </c>
      <c r="B1341" t="s">
        <v>72</v>
      </c>
      <c r="C1341">
        <v>9361</v>
      </c>
      <c r="D1341">
        <v>676</v>
      </c>
      <c r="E1341">
        <v>129.80000000000001</v>
      </c>
      <c r="F1341">
        <v>2</v>
      </c>
      <c r="G1341">
        <v>0.5</v>
      </c>
      <c r="H1341">
        <f t="shared" si="60"/>
        <v>634.63916346219924</v>
      </c>
      <c r="I1341">
        <f t="shared" si="61"/>
        <v>1986.6391634621991</v>
      </c>
      <c r="J1341">
        <f>SUMIFS(Transit_Clean[Quantity], Transit_Clean[Destination], A1341, Transit_Clean[Item_Code], B1341, Transit_Clean[SAP_Status], "In Transit")</f>
        <v>0</v>
      </c>
      <c r="K1341">
        <f t="shared" si="62"/>
        <v>13.847633136094675</v>
      </c>
      <c r="L1341" t="str" cm="1">
        <f t="array" ref="L1341">_xlfn.IFS(C1341&lt;0,"DATO INVALIDO", C1341+J1341&lt;I1341,"PEDIR YA", C1341&lt;I1341,"EN CAMINO OK", TRUE,"SANO")</f>
        <v>SANO</v>
      </c>
    </row>
    <row r="1342" spans="1:12" x14ac:dyDescent="0.45">
      <c r="A1342" t="s">
        <v>1125</v>
      </c>
      <c r="B1342" t="s">
        <v>52</v>
      </c>
      <c r="C1342">
        <v>3112</v>
      </c>
      <c r="D1342">
        <v>283.8</v>
      </c>
      <c r="E1342">
        <v>109</v>
      </c>
      <c r="F1342">
        <v>4.8</v>
      </c>
      <c r="G1342">
        <v>1.2</v>
      </c>
      <c r="H1342">
        <f t="shared" si="60"/>
        <v>686.30859660651197</v>
      </c>
      <c r="I1342">
        <f t="shared" si="61"/>
        <v>2048.5485966065121</v>
      </c>
      <c r="J1342">
        <f>SUMIFS(Transit_Clean[Quantity], Transit_Clean[Destination], A1342, Transit_Clean[Item_Code], B1342, Transit_Clean[SAP_Status], "In Transit")</f>
        <v>5665</v>
      </c>
      <c r="K1342">
        <f t="shared" si="62"/>
        <v>10.965468639887245</v>
      </c>
      <c r="L1342" t="str" cm="1">
        <f t="array" ref="L1342">_xlfn.IFS(C1342&lt;0,"DATO INVALIDO", C1342+J1342&lt;I1342,"PEDIR YA", C1342&lt;I1342,"EN CAMINO OK", TRUE,"SANO")</f>
        <v>SANO</v>
      </c>
    </row>
    <row r="1343" spans="1:12" x14ac:dyDescent="0.45">
      <c r="A1343" t="s">
        <v>1116</v>
      </c>
      <c r="B1343" t="s">
        <v>76</v>
      </c>
      <c r="C1343">
        <v>4176</v>
      </c>
      <c r="E1343">
        <v>71.7</v>
      </c>
      <c r="F1343">
        <v>4.3</v>
      </c>
      <c r="G1343">
        <v>1.6</v>
      </c>
      <c r="H1343">
        <f t="shared" si="60"/>
        <v>245.32246943054358</v>
      </c>
      <c r="I1343">
        <f t="shared" si="61"/>
        <v>245.32246943054358</v>
      </c>
      <c r="J1343">
        <f>SUMIFS(Transit_Clean[Quantity], Transit_Clean[Destination], A1343, Transit_Clean[Item_Code], B1343, Transit_Clean[SAP_Status], "In Transit")</f>
        <v>0</v>
      </c>
      <c r="K1343" t="str">
        <f t="shared" si="62"/>
        <v/>
      </c>
      <c r="L1343" t="str" cm="1">
        <f t="array" ref="L1343">_xlfn.IFS(C1343&lt;0,"DATO INVALIDO", C1343+J1343&lt;I1343,"PEDIR YA", C1343&lt;I1343,"EN CAMINO OK", TRUE,"SANO")</f>
        <v>SANO</v>
      </c>
    </row>
    <row r="1344" spans="1:12" x14ac:dyDescent="0.45">
      <c r="A1344" t="s">
        <v>1124</v>
      </c>
      <c r="B1344" t="s">
        <v>5</v>
      </c>
      <c r="C1344">
        <v>4425</v>
      </c>
      <c r="D1344">
        <v>275.39999999999998</v>
      </c>
      <c r="E1344">
        <v>22.8</v>
      </c>
      <c r="F1344">
        <v>0.6</v>
      </c>
      <c r="G1344">
        <v>0.3</v>
      </c>
      <c r="H1344">
        <f t="shared" si="60"/>
        <v>139.40272224386436</v>
      </c>
      <c r="I1344">
        <f t="shared" si="61"/>
        <v>304.64272224386434</v>
      </c>
      <c r="J1344">
        <f>SUMIFS(Transit_Clean[Quantity], Transit_Clean[Destination], A1344, Transit_Clean[Item_Code], B1344, Transit_Clean[SAP_Status], "In Transit")</f>
        <v>0</v>
      </c>
      <c r="K1344">
        <f t="shared" si="62"/>
        <v>16.067538126361658</v>
      </c>
      <c r="L1344" t="str" cm="1">
        <f t="array" ref="L1344">_xlfn.IFS(C1344&lt;0,"DATO INVALIDO", C1344+J1344&lt;I1344,"PEDIR YA", C1344&lt;I1344,"EN CAMINO OK", TRUE,"SANO")</f>
        <v>SANO</v>
      </c>
    </row>
    <row r="1345" spans="1:12" x14ac:dyDescent="0.45">
      <c r="A1345" t="s">
        <v>1115</v>
      </c>
      <c r="B1345" t="s">
        <v>91</v>
      </c>
      <c r="C1345">
        <v>2682</v>
      </c>
      <c r="D1345">
        <v>667.1</v>
      </c>
      <c r="E1345">
        <v>400.7</v>
      </c>
      <c r="F1345">
        <v>1.2</v>
      </c>
      <c r="G1345">
        <v>0.6</v>
      </c>
      <c r="H1345">
        <f t="shared" si="60"/>
        <v>980.16201970439556</v>
      </c>
      <c r="I1345">
        <f t="shared" si="61"/>
        <v>1780.6820197043955</v>
      </c>
      <c r="J1345">
        <f>SUMIFS(Transit_Clean[Quantity], Transit_Clean[Destination], A1345, Transit_Clean[Item_Code], B1345, Transit_Clean[SAP_Status], "In Transit")</f>
        <v>0</v>
      </c>
      <c r="K1345">
        <f t="shared" si="62"/>
        <v>4.0203867486134008</v>
      </c>
      <c r="L1345" t="str" cm="1">
        <f t="array" ref="L1345">_xlfn.IFS(C1345&lt;0,"DATO INVALIDO", C1345+J1345&lt;I1345,"PEDIR YA", C1345&lt;I1345,"EN CAMINO OK", TRUE,"SANO")</f>
        <v>SANO</v>
      </c>
    </row>
    <row r="1346" spans="1:12" x14ac:dyDescent="0.45">
      <c r="A1346" t="s">
        <v>1119</v>
      </c>
      <c r="B1346" t="s">
        <v>67</v>
      </c>
      <c r="C1346">
        <v>880</v>
      </c>
      <c r="D1346">
        <v>202.8</v>
      </c>
      <c r="E1346">
        <v>66.900000000000006</v>
      </c>
      <c r="F1346">
        <v>2.7</v>
      </c>
      <c r="G1346">
        <v>1</v>
      </c>
      <c r="H1346">
        <f t="shared" si="60"/>
        <v>380.61743865395869</v>
      </c>
      <c r="I1346">
        <f t="shared" si="61"/>
        <v>928.17743865395869</v>
      </c>
      <c r="J1346">
        <f>SUMIFS(Transit_Clean[Quantity], Transit_Clean[Destination], A1346, Transit_Clean[Item_Code], B1346, Transit_Clean[SAP_Status], "In Transit")</f>
        <v>1575</v>
      </c>
      <c r="K1346">
        <f t="shared" si="62"/>
        <v>4.3392504930966469</v>
      </c>
      <c r="L1346" t="str" cm="1">
        <f t="array" ref="L1346">_xlfn.IFS(C1346&lt;0,"DATO INVALIDO", C1346+J1346&lt;I1346,"PEDIR YA", C1346&lt;I1346,"EN CAMINO OK", TRUE,"SANO")</f>
        <v>EN CAMINO OK</v>
      </c>
    </row>
    <row r="1347" spans="1:12" x14ac:dyDescent="0.45">
      <c r="A1347" t="s">
        <v>1117</v>
      </c>
      <c r="B1347" t="s">
        <v>74</v>
      </c>
      <c r="C1347">
        <v>2437</v>
      </c>
      <c r="D1347">
        <v>200.4</v>
      </c>
      <c r="E1347">
        <v>90.1</v>
      </c>
      <c r="F1347">
        <v>2.2000000000000002</v>
      </c>
      <c r="G1347">
        <v>0.5</v>
      </c>
      <c r="H1347">
        <f t="shared" ref="H1347:H1410" si="63">IFERROR(1.65*SQRT(F1347*E1347^2 + D1347^2*G1347^2), "")</f>
        <v>275.60266652374753</v>
      </c>
      <c r="I1347">
        <f t="shared" ref="I1347:I1410" si="64">IFERROR(D1347*F1347 + H1347, "")</f>
        <v>716.48266652374764</v>
      </c>
      <c r="J1347">
        <f>SUMIFS(Transit_Clean[Quantity], Transit_Clean[Destination], A1347, Transit_Clean[Item_Code], B1347, Transit_Clean[SAP_Status], "In Transit")</f>
        <v>0</v>
      </c>
      <c r="K1347">
        <f t="shared" ref="K1347:K1410" si="65">IFERROR(C1347/D1347, "")</f>
        <v>12.16067864271457</v>
      </c>
      <c r="L1347" t="str" cm="1">
        <f t="array" ref="L1347">_xlfn.IFS(C1347&lt;0,"DATO INVALIDO", C1347+J1347&lt;I1347,"PEDIR YA", C1347&lt;I1347,"EN CAMINO OK", TRUE,"SANO")</f>
        <v>SANO</v>
      </c>
    </row>
    <row r="1348" spans="1:12" x14ac:dyDescent="0.45">
      <c r="A1348" t="s">
        <v>1124</v>
      </c>
      <c r="B1348" t="s">
        <v>55</v>
      </c>
      <c r="C1348">
        <v>2685</v>
      </c>
      <c r="D1348">
        <v>567.5</v>
      </c>
      <c r="E1348">
        <v>135.9</v>
      </c>
      <c r="F1348">
        <v>1.4</v>
      </c>
      <c r="G1348">
        <v>0.3</v>
      </c>
      <c r="H1348">
        <f t="shared" si="63"/>
        <v>386.40096010653235</v>
      </c>
      <c r="I1348">
        <f t="shared" si="64"/>
        <v>1180.9009601065322</v>
      </c>
      <c r="J1348">
        <f>SUMIFS(Transit_Clean[Quantity], Transit_Clean[Destination], A1348, Transit_Clean[Item_Code], B1348, Transit_Clean[SAP_Status], "In Transit")</f>
        <v>0</v>
      </c>
      <c r="K1348">
        <f t="shared" si="65"/>
        <v>4.7312775330396475</v>
      </c>
      <c r="L1348" t="str" cm="1">
        <f t="array" ref="L1348">_xlfn.IFS(C1348&lt;0,"DATO INVALIDO", C1348+J1348&lt;I1348,"PEDIR YA", C1348&lt;I1348,"EN CAMINO OK", TRUE,"SANO")</f>
        <v>SANO</v>
      </c>
    </row>
    <row r="1349" spans="1:12" x14ac:dyDescent="0.45">
      <c r="A1349" t="s">
        <v>1126</v>
      </c>
      <c r="B1349" t="s">
        <v>19</v>
      </c>
      <c r="C1349">
        <v>8548</v>
      </c>
      <c r="D1349">
        <v>489.8</v>
      </c>
      <c r="E1349">
        <v>150.4</v>
      </c>
      <c r="F1349">
        <v>0.8</v>
      </c>
      <c r="G1349">
        <v>0.2</v>
      </c>
      <c r="H1349">
        <f t="shared" si="63"/>
        <v>274.57650743645206</v>
      </c>
      <c r="I1349">
        <f t="shared" si="64"/>
        <v>666.41650743645209</v>
      </c>
      <c r="J1349">
        <f>SUMIFS(Transit_Clean[Quantity], Transit_Clean[Destination], A1349, Transit_Clean[Item_Code], B1349, Transit_Clean[SAP_Status], "In Transit")</f>
        <v>0</v>
      </c>
      <c r="K1349">
        <f t="shared" si="65"/>
        <v>17.45202123315639</v>
      </c>
      <c r="L1349" t="str" cm="1">
        <f t="array" ref="L1349">_xlfn.IFS(C1349&lt;0,"DATO INVALIDO", C1349+J1349&lt;I1349,"PEDIR YA", C1349&lt;I1349,"EN CAMINO OK", TRUE,"SANO")</f>
        <v>SANO</v>
      </c>
    </row>
    <row r="1350" spans="1:12" x14ac:dyDescent="0.45">
      <c r="A1350" t="s">
        <v>1114</v>
      </c>
      <c r="B1350" t="s">
        <v>1135</v>
      </c>
      <c r="C1350">
        <v>1226</v>
      </c>
      <c r="D1350">
        <v>261</v>
      </c>
      <c r="E1350">
        <v>21</v>
      </c>
      <c r="F1350">
        <v>3.5</v>
      </c>
      <c r="G1350">
        <v>1.3</v>
      </c>
      <c r="H1350">
        <f t="shared" si="63"/>
        <v>563.58548843542803</v>
      </c>
      <c r="I1350">
        <f t="shared" si="64"/>
        <v>1477.085488435428</v>
      </c>
      <c r="J1350">
        <f>SUMIFS(Transit_Clean[Quantity], Transit_Clean[Destination], A1350, Transit_Clean[Item_Code], B1350, Transit_Clean[SAP_Status], "In Transit")</f>
        <v>1421</v>
      </c>
      <c r="K1350">
        <f t="shared" si="65"/>
        <v>4.6973180076628349</v>
      </c>
      <c r="L1350" t="str" cm="1">
        <f t="array" ref="L1350">_xlfn.IFS(C1350&lt;0,"DATO INVALIDO", C1350+J1350&lt;I1350,"PEDIR YA", C1350&lt;I1350,"EN CAMINO OK", TRUE,"SANO")</f>
        <v>EN CAMINO OK</v>
      </c>
    </row>
    <row r="1351" spans="1:12" x14ac:dyDescent="0.45">
      <c r="A1351" t="s">
        <v>1125</v>
      </c>
      <c r="B1351" t="s">
        <v>99</v>
      </c>
      <c r="C1351">
        <v>7120</v>
      </c>
      <c r="D1351">
        <v>430.3</v>
      </c>
      <c r="E1351">
        <v>128.1</v>
      </c>
      <c r="F1351">
        <v>3.9</v>
      </c>
      <c r="G1351">
        <v>1.2</v>
      </c>
      <c r="H1351">
        <f t="shared" si="63"/>
        <v>948.7501845130256</v>
      </c>
      <c r="I1351">
        <f t="shared" si="64"/>
        <v>2626.9201845130256</v>
      </c>
      <c r="J1351">
        <f>SUMIFS(Transit_Clean[Quantity], Transit_Clean[Destination], A1351, Transit_Clean[Item_Code], B1351, Transit_Clean[SAP_Status], "In Transit")</f>
        <v>0</v>
      </c>
      <c r="K1351">
        <f t="shared" si="65"/>
        <v>16.546595398559145</v>
      </c>
      <c r="L1351" t="str" cm="1">
        <f t="array" ref="L1351">_xlfn.IFS(C1351&lt;0,"DATO INVALIDO", C1351+J1351&lt;I1351,"PEDIR YA", C1351&lt;I1351,"EN CAMINO OK", TRUE,"SANO")</f>
        <v>SANO</v>
      </c>
    </row>
    <row r="1352" spans="1:12" x14ac:dyDescent="0.45">
      <c r="A1352" t="s">
        <v>1126</v>
      </c>
      <c r="B1352" t="s">
        <v>83</v>
      </c>
      <c r="C1352">
        <v>4904</v>
      </c>
      <c r="D1352">
        <v>783.7</v>
      </c>
      <c r="E1352">
        <v>191.5</v>
      </c>
      <c r="F1352">
        <v>0.7</v>
      </c>
      <c r="G1352">
        <v>0.2</v>
      </c>
      <c r="H1352">
        <f t="shared" si="63"/>
        <v>369.82828728816838</v>
      </c>
      <c r="I1352">
        <f t="shared" si="64"/>
        <v>918.41828728816836</v>
      </c>
      <c r="J1352">
        <f>SUMIFS(Transit_Clean[Quantity], Transit_Clean[Destination], A1352, Transit_Clean[Item_Code], B1352, Transit_Clean[SAP_Status], "In Transit")</f>
        <v>1739</v>
      </c>
      <c r="K1352">
        <f t="shared" si="65"/>
        <v>6.2574964910042103</v>
      </c>
      <c r="L1352" t="str" cm="1">
        <f t="array" ref="L1352">_xlfn.IFS(C1352&lt;0,"DATO INVALIDO", C1352+J1352&lt;I1352,"PEDIR YA", C1352&lt;I1352,"EN CAMINO OK", TRUE,"SANO")</f>
        <v>SANO</v>
      </c>
    </row>
    <row r="1353" spans="1:12" x14ac:dyDescent="0.45">
      <c r="A1353" t="s">
        <v>1127</v>
      </c>
      <c r="B1353" t="s">
        <v>80</v>
      </c>
      <c r="C1353">
        <v>2805</v>
      </c>
      <c r="D1353">
        <v>277.89999999999998</v>
      </c>
      <c r="E1353">
        <v>41.2</v>
      </c>
      <c r="F1353">
        <v>2</v>
      </c>
      <c r="G1353">
        <v>0.9</v>
      </c>
      <c r="H1353">
        <f t="shared" si="63"/>
        <v>423.73173263546124</v>
      </c>
      <c r="I1353">
        <f t="shared" si="64"/>
        <v>979.53173263546114</v>
      </c>
      <c r="J1353">
        <f>SUMIFS(Transit_Clean[Quantity], Transit_Clean[Destination], A1353, Transit_Clean[Item_Code], B1353, Transit_Clean[SAP_Status], "In Transit")</f>
        <v>0</v>
      </c>
      <c r="K1353">
        <f t="shared" si="65"/>
        <v>10.093558834112992</v>
      </c>
      <c r="L1353" t="str" cm="1">
        <f t="array" ref="L1353">_xlfn.IFS(C1353&lt;0,"DATO INVALIDO", C1353+J1353&lt;I1353,"PEDIR YA", C1353&lt;I1353,"EN CAMINO OK", TRUE,"SANO")</f>
        <v>SANO</v>
      </c>
    </row>
    <row r="1354" spans="1:12" x14ac:dyDescent="0.45">
      <c r="A1354" t="s">
        <v>1124</v>
      </c>
      <c r="B1354" t="s">
        <v>62</v>
      </c>
      <c r="C1354">
        <v>3273</v>
      </c>
      <c r="D1354">
        <v>255.5</v>
      </c>
      <c r="E1354">
        <v>22.3</v>
      </c>
      <c r="F1354">
        <v>0.7</v>
      </c>
      <c r="G1354">
        <v>0.3</v>
      </c>
      <c r="H1354">
        <f t="shared" si="63"/>
        <v>130.1652936605991</v>
      </c>
      <c r="I1354">
        <f t="shared" si="64"/>
        <v>309.01529366059913</v>
      </c>
      <c r="J1354">
        <f>SUMIFS(Transit_Clean[Quantity], Transit_Clean[Destination], A1354, Transit_Clean[Item_Code], B1354, Transit_Clean[SAP_Status], "In Transit")</f>
        <v>1513</v>
      </c>
      <c r="K1354">
        <f t="shared" si="65"/>
        <v>12.810176125244618</v>
      </c>
      <c r="L1354" t="str" cm="1">
        <f t="array" ref="L1354">_xlfn.IFS(C1354&lt;0,"DATO INVALIDO", C1354+J1354&lt;I1354,"PEDIR YA", C1354&lt;I1354,"EN CAMINO OK", TRUE,"SANO")</f>
        <v>SANO</v>
      </c>
    </row>
    <row r="1355" spans="1:12" x14ac:dyDescent="0.45">
      <c r="A1355" t="s">
        <v>1116</v>
      </c>
      <c r="B1355" t="s">
        <v>5</v>
      </c>
      <c r="C1355">
        <v>2825</v>
      </c>
      <c r="D1355">
        <v>269.7</v>
      </c>
      <c r="E1355">
        <v>35.4</v>
      </c>
      <c r="F1355">
        <v>3.9</v>
      </c>
      <c r="G1355">
        <v>1.6</v>
      </c>
      <c r="H1355">
        <f t="shared" si="63"/>
        <v>721.29129459185901</v>
      </c>
      <c r="I1355">
        <f t="shared" si="64"/>
        <v>1773.1212945918589</v>
      </c>
      <c r="J1355">
        <f>SUMIFS(Transit_Clean[Quantity], Transit_Clean[Destination], A1355, Transit_Clean[Item_Code], B1355, Transit_Clean[SAP_Status], "In Transit")</f>
        <v>0</v>
      </c>
      <c r="K1355">
        <f t="shared" si="65"/>
        <v>10.474601408972934</v>
      </c>
      <c r="L1355" t="str" cm="1">
        <f t="array" ref="L1355">_xlfn.IFS(C1355&lt;0,"DATO INVALIDO", C1355+J1355&lt;I1355,"PEDIR YA", C1355&lt;I1355,"EN CAMINO OK", TRUE,"SANO")</f>
        <v>SANO</v>
      </c>
    </row>
    <row r="1356" spans="1:12" x14ac:dyDescent="0.45">
      <c r="A1356" t="s">
        <v>1126</v>
      </c>
      <c r="B1356" t="s">
        <v>60</v>
      </c>
      <c r="C1356">
        <v>5317</v>
      </c>
      <c r="D1356">
        <v>501.8</v>
      </c>
      <c r="E1356">
        <v>137.1</v>
      </c>
      <c r="F1356">
        <v>1.3</v>
      </c>
      <c r="G1356">
        <v>0.2</v>
      </c>
      <c r="H1356">
        <f t="shared" si="63"/>
        <v>306.50704221681434</v>
      </c>
      <c r="I1356">
        <f t="shared" si="64"/>
        <v>958.84704221681432</v>
      </c>
      <c r="J1356">
        <f>SUMIFS(Transit_Clean[Quantity], Transit_Clean[Destination], A1356, Transit_Clean[Item_Code], B1356, Transit_Clean[SAP_Status], "In Transit")</f>
        <v>5073</v>
      </c>
      <c r="K1356">
        <f t="shared" si="65"/>
        <v>10.595854922279793</v>
      </c>
      <c r="L1356" t="str" cm="1">
        <f t="array" ref="L1356">_xlfn.IFS(C1356&lt;0,"DATO INVALIDO", C1356+J1356&lt;I1356,"PEDIR YA", C1356&lt;I1356,"EN CAMINO OK", TRUE,"SANO")</f>
        <v>SANO</v>
      </c>
    </row>
    <row r="1357" spans="1:12" x14ac:dyDescent="0.45">
      <c r="A1357" t="s">
        <v>1126</v>
      </c>
      <c r="B1357" t="s">
        <v>1141</v>
      </c>
      <c r="C1357">
        <v>2164</v>
      </c>
      <c r="E1357">
        <v>42.9</v>
      </c>
      <c r="F1357">
        <v>0.8</v>
      </c>
      <c r="G1357">
        <v>0.2</v>
      </c>
      <c r="H1357">
        <f t="shared" si="63"/>
        <v>63.312028714929042</v>
      </c>
      <c r="I1357">
        <f t="shared" si="64"/>
        <v>63.312028714929042</v>
      </c>
      <c r="J1357">
        <f>SUMIFS(Transit_Clean[Quantity], Transit_Clean[Destination], A1357, Transit_Clean[Item_Code], B1357, Transit_Clean[SAP_Status], "In Transit")</f>
        <v>0</v>
      </c>
      <c r="K1357" t="str">
        <f t="shared" si="65"/>
        <v/>
      </c>
      <c r="L1357" t="str" cm="1">
        <f t="array" ref="L1357">_xlfn.IFS(C1357&lt;0,"DATO INVALIDO", C1357+J1357&lt;I1357,"PEDIR YA", C1357&lt;I1357,"EN CAMINO OK", TRUE,"SANO")</f>
        <v>SANO</v>
      </c>
    </row>
    <row r="1358" spans="1:12" x14ac:dyDescent="0.45">
      <c r="A1358" t="s">
        <v>1122</v>
      </c>
      <c r="B1358" t="s">
        <v>13</v>
      </c>
      <c r="C1358">
        <v>6256</v>
      </c>
      <c r="D1358">
        <v>390.5</v>
      </c>
      <c r="E1358">
        <v>125.3</v>
      </c>
      <c r="F1358">
        <v>1.1000000000000001</v>
      </c>
      <c r="G1358">
        <v>0.2</v>
      </c>
      <c r="H1358">
        <f t="shared" si="63"/>
        <v>252.23804778918662</v>
      </c>
      <c r="I1358">
        <f t="shared" si="64"/>
        <v>681.78804778918663</v>
      </c>
      <c r="J1358">
        <f>SUMIFS(Transit_Clean[Quantity], Transit_Clean[Destination], A1358, Transit_Clean[Item_Code], B1358, Transit_Clean[SAP_Status], "In Transit")</f>
        <v>0</v>
      </c>
      <c r="K1358">
        <f t="shared" si="65"/>
        <v>16.020486555697822</v>
      </c>
      <c r="L1358" t="str" cm="1">
        <f t="array" ref="L1358">_xlfn.IFS(C1358&lt;0,"DATO INVALIDO", C1358+J1358&lt;I1358,"PEDIR YA", C1358&lt;I1358,"EN CAMINO OK", TRUE,"SANO")</f>
        <v>SANO</v>
      </c>
    </row>
    <row r="1359" spans="1:12" x14ac:dyDescent="0.45">
      <c r="A1359" t="s">
        <v>1128</v>
      </c>
      <c r="B1359" t="s">
        <v>44</v>
      </c>
      <c r="C1359">
        <v>3157</v>
      </c>
      <c r="D1359">
        <v>675.8</v>
      </c>
      <c r="E1359">
        <v>197.1</v>
      </c>
      <c r="F1359">
        <v>3.2</v>
      </c>
      <c r="G1359">
        <v>0.5</v>
      </c>
      <c r="H1359">
        <f t="shared" si="63"/>
        <v>805.78695952776491</v>
      </c>
      <c r="I1359">
        <f t="shared" si="64"/>
        <v>2968.3469595277647</v>
      </c>
      <c r="J1359">
        <f>SUMIFS(Transit_Clean[Quantity], Transit_Clean[Destination], A1359, Transit_Clean[Item_Code], B1359, Transit_Clean[SAP_Status], "In Transit")</f>
        <v>0</v>
      </c>
      <c r="K1359">
        <f t="shared" si="65"/>
        <v>4.671500443918319</v>
      </c>
      <c r="L1359" t="str" cm="1">
        <f t="array" ref="L1359">_xlfn.IFS(C1359&lt;0,"DATO INVALIDO", C1359+J1359&lt;I1359,"PEDIR YA", C1359&lt;I1359,"EN CAMINO OK", TRUE,"SANO")</f>
        <v>SANO</v>
      </c>
    </row>
    <row r="1360" spans="1:12" x14ac:dyDescent="0.45">
      <c r="A1360" t="s">
        <v>1122</v>
      </c>
      <c r="B1360" t="s">
        <v>1132</v>
      </c>
      <c r="C1360">
        <v>1453</v>
      </c>
      <c r="D1360">
        <v>290.39999999999998</v>
      </c>
      <c r="E1360">
        <v>39.799999999999997</v>
      </c>
      <c r="F1360">
        <v>1.1000000000000001</v>
      </c>
      <c r="G1360">
        <v>0.2</v>
      </c>
      <c r="H1360">
        <f t="shared" si="63"/>
        <v>118.01515162893278</v>
      </c>
      <c r="I1360">
        <f t="shared" si="64"/>
        <v>437.45515162893275</v>
      </c>
      <c r="J1360">
        <f>SUMIFS(Transit_Clean[Quantity], Transit_Clean[Destination], A1360, Transit_Clean[Item_Code], B1360, Transit_Clean[SAP_Status], "In Transit")</f>
        <v>0</v>
      </c>
      <c r="K1360">
        <f t="shared" si="65"/>
        <v>5.0034435261707992</v>
      </c>
      <c r="L1360" t="str" cm="1">
        <f t="array" ref="L1360">_xlfn.IFS(C1360&lt;0,"DATO INVALIDO", C1360+J1360&lt;I1360,"PEDIR YA", C1360&lt;I1360,"EN CAMINO OK", TRUE,"SANO")</f>
        <v>SANO</v>
      </c>
    </row>
    <row r="1361" spans="1:12" x14ac:dyDescent="0.45">
      <c r="A1361" t="s">
        <v>1125</v>
      </c>
      <c r="B1361" t="s">
        <v>64</v>
      </c>
      <c r="C1361">
        <v>6432</v>
      </c>
      <c r="D1361">
        <v>506.3</v>
      </c>
      <c r="E1361">
        <v>140.5</v>
      </c>
      <c r="F1361">
        <v>3</v>
      </c>
      <c r="G1361">
        <v>1.2</v>
      </c>
      <c r="H1361">
        <f t="shared" si="63"/>
        <v>1079.8993529727666</v>
      </c>
      <c r="I1361">
        <f t="shared" si="64"/>
        <v>2598.7993529727664</v>
      </c>
      <c r="J1361">
        <f>SUMIFS(Transit_Clean[Quantity], Transit_Clean[Destination], A1361, Transit_Clean[Item_Code], B1361, Transit_Clean[SAP_Status], "In Transit")</f>
        <v>0</v>
      </c>
      <c r="K1361">
        <f t="shared" si="65"/>
        <v>12.70393047600237</v>
      </c>
      <c r="L1361" t="str" cm="1">
        <f t="array" ref="L1361">_xlfn.IFS(C1361&lt;0,"DATO INVALIDO", C1361+J1361&lt;I1361,"PEDIR YA", C1361&lt;I1361,"EN CAMINO OK", TRUE,"SANO")</f>
        <v>SANO</v>
      </c>
    </row>
    <row r="1362" spans="1:12" x14ac:dyDescent="0.45">
      <c r="A1362" t="s">
        <v>1126</v>
      </c>
      <c r="B1362" t="s">
        <v>99</v>
      </c>
      <c r="C1362">
        <v>7598</v>
      </c>
      <c r="D1362">
        <v>502.7</v>
      </c>
      <c r="E1362">
        <v>76.7</v>
      </c>
      <c r="F1362">
        <v>1</v>
      </c>
      <c r="G1362">
        <v>0.2</v>
      </c>
      <c r="H1362">
        <f t="shared" si="63"/>
        <v>208.6528022960631</v>
      </c>
      <c r="I1362">
        <f t="shared" si="64"/>
        <v>711.35280229606315</v>
      </c>
      <c r="J1362">
        <f>SUMIFS(Transit_Clean[Quantity], Transit_Clean[Destination], A1362, Transit_Clean[Item_Code], B1362, Transit_Clean[SAP_Status], "In Transit")</f>
        <v>847</v>
      </c>
      <c r="K1362">
        <f t="shared" si="65"/>
        <v>15.1143823353889</v>
      </c>
      <c r="L1362" t="str" cm="1">
        <f t="array" ref="L1362">_xlfn.IFS(C1362&lt;0,"DATO INVALIDO", C1362+J1362&lt;I1362,"PEDIR YA", C1362&lt;I1362,"EN CAMINO OK", TRUE,"SANO")</f>
        <v>SANO</v>
      </c>
    </row>
    <row r="1363" spans="1:12" x14ac:dyDescent="0.45">
      <c r="A1363" t="s">
        <v>1118</v>
      </c>
      <c r="B1363" t="s">
        <v>39</v>
      </c>
      <c r="C1363">
        <v>2547</v>
      </c>
      <c r="D1363">
        <v>594.4</v>
      </c>
      <c r="E1363">
        <v>103.5</v>
      </c>
      <c r="F1363">
        <v>6.3</v>
      </c>
      <c r="G1363">
        <v>1.5</v>
      </c>
      <c r="H1363">
        <f t="shared" si="63"/>
        <v>1532.314175858691</v>
      </c>
      <c r="I1363">
        <f t="shared" si="64"/>
        <v>5277.034175858691</v>
      </c>
      <c r="J1363">
        <f>SUMIFS(Transit_Clean[Quantity], Transit_Clean[Destination], A1363, Transit_Clean[Item_Code], B1363, Transit_Clean[SAP_Status], "In Transit")</f>
        <v>0</v>
      </c>
      <c r="K1363">
        <f t="shared" si="65"/>
        <v>4.2849932705248994</v>
      </c>
      <c r="L1363" t="str" cm="1">
        <f t="array" ref="L1363">_xlfn.IFS(C1363&lt;0,"DATO INVALIDO", C1363+J1363&lt;I1363,"PEDIR YA", C1363&lt;I1363,"EN CAMINO OK", TRUE,"SANO")</f>
        <v>PEDIR YA</v>
      </c>
    </row>
    <row r="1364" spans="1:12" x14ac:dyDescent="0.45">
      <c r="A1364" t="s">
        <v>1116</v>
      </c>
      <c r="B1364" t="s">
        <v>37</v>
      </c>
      <c r="C1364">
        <v>8949</v>
      </c>
      <c r="D1364">
        <v>609.5</v>
      </c>
      <c r="E1364">
        <v>261.5</v>
      </c>
      <c r="F1364">
        <v>7.9</v>
      </c>
      <c r="G1364">
        <v>1.6</v>
      </c>
      <c r="H1364">
        <f t="shared" si="63"/>
        <v>2014.916073646121</v>
      </c>
      <c r="I1364">
        <f t="shared" si="64"/>
        <v>6829.966073646121</v>
      </c>
      <c r="J1364">
        <f>SUMIFS(Transit_Clean[Quantity], Transit_Clean[Destination], A1364, Transit_Clean[Item_Code], B1364, Transit_Clean[SAP_Status], "In Transit")</f>
        <v>0</v>
      </c>
      <c r="K1364">
        <f t="shared" si="65"/>
        <v>14.682526661197704</v>
      </c>
      <c r="L1364" t="str" cm="1">
        <f t="array" ref="L1364">_xlfn.IFS(C1364&lt;0,"DATO INVALIDO", C1364+J1364&lt;I1364,"PEDIR YA", C1364&lt;I1364,"EN CAMINO OK", TRUE,"SANO")</f>
        <v>SANO</v>
      </c>
    </row>
    <row r="1365" spans="1:12" x14ac:dyDescent="0.45">
      <c r="A1365" t="s">
        <v>1115</v>
      </c>
      <c r="B1365" t="s">
        <v>78</v>
      </c>
      <c r="C1365">
        <v>7448</v>
      </c>
      <c r="E1365">
        <v>172.2</v>
      </c>
      <c r="F1365">
        <v>1.5</v>
      </c>
      <c r="G1365">
        <v>0.6</v>
      </c>
      <c r="H1365">
        <f t="shared" si="63"/>
        <v>347.98676030849214</v>
      </c>
      <c r="I1365">
        <f t="shared" si="64"/>
        <v>347.98676030849214</v>
      </c>
      <c r="J1365">
        <f>SUMIFS(Transit_Clean[Quantity], Transit_Clean[Destination], A1365, Transit_Clean[Item_Code], B1365, Transit_Clean[SAP_Status], "In Transit")</f>
        <v>3632</v>
      </c>
      <c r="K1365" t="str">
        <f t="shared" si="65"/>
        <v/>
      </c>
      <c r="L1365" t="str" cm="1">
        <f t="array" ref="L1365">_xlfn.IFS(C1365&lt;0,"DATO INVALIDO", C1365+J1365&lt;I1365,"PEDIR YA", C1365&lt;I1365,"EN CAMINO OK", TRUE,"SANO")</f>
        <v>SANO</v>
      </c>
    </row>
    <row r="1366" spans="1:12" x14ac:dyDescent="0.45">
      <c r="A1366" t="s">
        <v>1115</v>
      </c>
      <c r="B1366" t="s">
        <v>87</v>
      </c>
      <c r="C1366">
        <v>1614</v>
      </c>
      <c r="D1366">
        <v>506.8</v>
      </c>
      <c r="E1366">
        <v>85.1</v>
      </c>
      <c r="F1366">
        <v>1.4</v>
      </c>
      <c r="G1366">
        <v>0.6</v>
      </c>
      <c r="H1366">
        <f t="shared" si="63"/>
        <v>528.5242860446433</v>
      </c>
      <c r="I1366">
        <f t="shared" si="64"/>
        <v>1238.0442860446433</v>
      </c>
      <c r="J1366">
        <f>SUMIFS(Transit_Clean[Quantity], Transit_Clean[Destination], A1366, Transit_Clean[Item_Code], B1366, Transit_Clean[SAP_Status], "In Transit")</f>
        <v>0</v>
      </c>
      <c r="K1366">
        <f t="shared" si="65"/>
        <v>3.1846882399368588</v>
      </c>
      <c r="L1366" t="str" cm="1">
        <f t="array" ref="L1366">_xlfn.IFS(C1366&lt;0,"DATO INVALIDO", C1366+J1366&lt;I1366,"PEDIR YA", C1366&lt;I1366,"EN CAMINO OK", TRUE,"SANO")</f>
        <v>SANO</v>
      </c>
    </row>
    <row r="1367" spans="1:12" x14ac:dyDescent="0.45">
      <c r="A1367" t="s">
        <v>1116</v>
      </c>
      <c r="B1367" t="s">
        <v>42</v>
      </c>
      <c r="C1367">
        <v>2563</v>
      </c>
      <c r="D1367">
        <v>296.8</v>
      </c>
      <c r="E1367">
        <v>100.1</v>
      </c>
      <c r="F1367">
        <v>4.5</v>
      </c>
      <c r="G1367">
        <v>1.6</v>
      </c>
      <c r="H1367">
        <f t="shared" si="63"/>
        <v>858.31892919619338</v>
      </c>
      <c r="I1367">
        <f t="shared" si="64"/>
        <v>2193.9189291961934</v>
      </c>
      <c r="J1367">
        <f>SUMIFS(Transit_Clean[Quantity], Transit_Clean[Destination], A1367, Transit_Clean[Item_Code], B1367, Transit_Clean[SAP_Status], "In Transit")</f>
        <v>0</v>
      </c>
      <c r="K1367">
        <f t="shared" si="65"/>
        <v>8.6354447439353095</v>
      </c>
      <c r="L1367" t="str" cm="1">
        <f t="array" ref="L1367">_xlfn.IFS(C1367&lt;0,"DATO INVALIDO", C1367+J1367&lt;I1367,"PEDIR YA", C1367&lt;I1367,"EN CAMINO OK", TRUE,"SANO")</f>
        <v>SANO</v>
      </c>
    </row>
    <row r="1368" spans="1:12" x14ac:dyDescent="0.45">
      <c r="A1368" t="s">
        <v>1116</v>
      </c>
      <c r="B1368" t="s">
        <v>1134</v>
      </c>
      <c r="C1368">
        <v>1833</v>
      </c>
      <c r="D1368">
        <v>520.79999999999995</v>
      </c>
      <c r="E1368">
        <v>81.3</v>
      </c>
      <c r="F1368">
        <v>7.7</v>
      </c>
      <c r="G1368">
        <v>1.6</v>
      </c>
      <c r="H1368">
        <f t="shared" si="63"/>
        <v>1424.4099099755308</v>
      </c>
      <c r="I1368">
        <f t="shared" si="64"/>
        <v>5434.5699099755311</v>
      </c>
      <c r="J1368">
        <f>SUMIFS(Transit_Clean[Quantity], Transit_Clean[Destination], A1368, Transit_Clean[Item_Code], B1368, Transit_Clean[SAP_Status], "In Transit")</f>
        <v>976</v>
      </c>
      <c r="K1368">
        <f t="shared" si="65"/>
        <v>3.5195852534562215</v>
      </c>
      <c r="L1368" t="str" cm="1">
        <f t="array" ref="L1368">_xlfn.IFS(C1368&lt;0,"DATO INVALIDO", C1368+J1368&lt;I1368,"PEDIR YA", C1368&lt;I1368,"EN CAMINO OK", TRUE,"SANO")</f>
        <v>PEDIR YA</v>
      </c>
    </row>
    <row r="1369" spans="1:12" x14ac:dyDescent="0.45">
      <c r="A1369" t="s">
        <v>1121</v>
      </c>
      <c r="B1369" t="s">
        <v>1135</v>
      </c>
      <c r="C1369">
        <v>5249</v>
      </c>
      <c r="D1369">
        <v>340.3</v>
      </c>
      <c r="E1369">
        <v>36.299999999999997</v>
      </c>
      <c r="F1369">
        <v>1.9</v>
      </c>
      <c r="G1369">
        <v>0.4</v>
      </c>
      <c r="H1369">
        <f t="shared" si="63"/>
        <v>239.291334050149</v>
      </c>
      <c r="I1369">
        <f t="shared" si="64"/>
        <v>885.86133405014891</v>
      </c>
      <c r="J1369">
        <f>SUMIFS(Transit_Clean[Quantity], Transit_Clean[Destination], A1369, Transit_Clean[Item_Code], B1369, Transit_Clean[SAP_Status], "In Transit")</f>
        <v>1476</v>
      </c>
      <c r="K1369">
        <f t="shared" si="65"/>
        <v>15.424625330590654</v>
      </c>
      <c r="L1369" t="str" cm="1">
        <f t="array" ref="L1369">_xlfn.IFS(C1369&lt;0,"DATO INVALIDO", C1369+J1369&lt;I1369,"PEDIR YA", C1369&lt;I1369,"EN CAMINO OK", TRUE,"SANO")</f>
        <v>SANO</v>
      </c>
    </row>
    <row r="1370" spans="1:12" x14ac:dyDescent="0.45">
      <c r="A1370" t="s">
        <v>1119</v>
      </c>
      <c r="B1370" t="s">
        <v>27</v>
      </c>
      <c r="C1370">
        <v>1138</v>
      </c>
      <c r="D1370">
        <v>191.5</v>
      </c>
      <c r="E1370">
        <v>77.099999999999994</v>
      </c>
      <c r="F1370">
        <v>3.9</v>
      </c>
      <c r="G1370">
        <v>1</v>
      </c>
      <c r="H1370">
        <f t="shared" si="63"/>
        <v>403.67865921113537</v>
      </c>
      <c r="I1370">
        <f t="shared" si="64"/>
        <v>1150.5286592111354</v>
      </c>
      <c r="J1370">
        <f>SUMIFS(Transit_Clean[Quantity], Transit_Clean[Destination], A1370, Transit_Clean[Item_Code], B1370, Transit_Clean[SAP_Status], "In Transit")</f>
        <v>0</v>
      </c>
      <c r="K1370">
        <f t="shared" si="65"/>
        <v>5.9425587467362924</v>
      </c>
      <c r="L1370" t="str" cm="1">
        <f t="array" ref="L1370">_xlfn.IFS(C1370&lt;0,"DATO INVALIDO", C1370+J1370&lt;I1370,"PEDIR YA", C1370&lt;I1370,"EN CAMINO OK", TRUE,"SANO")</f>
        <v>PEDIR YA</v>
      </c>
    </row>
    <row r="1371" spans="1:12" x14ac:dyDescent="0.45">
      <c r="A1371" t="s">
        <v>1121</v>
      </c>
      <c r="B1371" t="s">
        <v>10</v>
      </c>
      <c r="C1371">
        <v>5685</v>
      </c>
      <c r="D1371">
        <v>477.4</v>
      </c>
      <c r="E1371">
        <v>70.099999999999994</v>
      </c>
      <c r="F1371">
        <v>2.4</v>
      </c>
      <c r="G1371">
        <v>0.4</v>
      </c>
      <c r="H1371">
        <f t="shared" si="63"/>
        <v>362.47216223594324</v>
      </c>
      <c r="I1371">
        <f t="shared" si="64"/>
        <v>1508.2321622359432</v>
      </c>
      <c r="J1371">
        <f>SUMIFS(Transit_Clean[Quantity], Transit_Clean[Destination], A1371, Transit_Clean[Item_Code], B1371, Transit_Clean[SAP_Status], "In Transit")</f>
        <v>0</v>
      </c>
      <c r="K1371">
        <f t="shared" si="65"/>
        <v>11.908253037285295</v>
      </c>
      <c r="L1371" t="str" cm="1">
        <f t="array" ref="L1371">_xlfn.IFS(C1371&lt;0,"DATO INVALIDO", C1371+J1371&lt;I1371,"PEDIR YA", C1371&lt;I1371,"EN CAMINO OK", TRUE,"SANO")</f>
        <v>SANO</v>
      </c>
    </row>
    <row r="1372" spans="1:12" x14ac:dyDescent="0.45">
      <c r="A1372" t="s">
        <v>1118</v>
      </c>
      <c r="B1372" t="s">
        <v>45</v>
      </c>
      <c r="C1372">
        <v>6372</v>
      </c>
      <c r="D1372">
        <v>400.3</v>
      </c>
      <c r="E1372">
        <v>49.1</v>
      </c>
      <c r="F1372">
        <v>5.4</v>
      </c>
      <c r="G1372">
        <v>1.5</v>
      </c>
      <c r="H1372">
        <f t="shared" si="63"/>
        <v>1008.4707355799919</v>
      </c>
      <c r="I1372">
        <f t="shared" si="64"/>
        <v>3170.0907355799923</v>
      </c>
      <c r="J1372">
        <f>SUMIFS(Transit_Clean[Quantity], Transit_Clean[Destination], A1372, Transit_Clean[Item_Code], B1372, Transit_Clean[SAP_Status], "In Transit")</f>
        <v>421</v>
      </c>
      <c r="K1372">
        <f t="shared" si="65"/>
        <v>15.918061453909568</v>
      </c>
      <c r="L1372" t="str" cm="1">
        <f t="array" ref="L1372">_xlfn.IFS(C1372&lt;0,"DATO INVALIDO", C1372+J1372&lt;I1372,"PEDIR YA", C1372&lt;I1372,"EN CAMINO OK", TRUE,"SANO")</f>
        <v>SANO</v>
      </c>
    </row>
    <row r="1373" spans="1:12" x14ac:dyDescent="0.45">
      <c r="A1373" t="s">
        <v>1126</v>
      </c>
      <c r="B1373" t="s">
        <v>92</v>
      </c>
      <c r="C1373">
        <v>7531</v>
      </c>
      <c r="D1373">
        <v>422.9</v>
      </c>
      <c r="E1373">
        <v>157.69999999999999</v>
      </c>
      <c r="F1373">
        <v>0.8</v>
      </c>
      <c r="G1373">
        <v>0.2</v>
      </c>
      <c r="H1373">
        <f t="shared" si="63"/>
        <v>271.36961854452312</v>
      </c>
      <c r="I1373">
        <f t="shared" si="64"/>
        <v>609.68961854452311</v>
      </c>
      <c r="J1373">
        <f>SUMIFS(Transit_Clean[Quantity], Transit_Clean[Destination], A1373, Transit_Clean[Item_Code], B1373, Transit_Clean[SAP_Status], "In Transit")</f>
        <v>1981</v>
      </c>
      <c r="K1373">
        <f t="shared" si="65"/>
        <v>17.807992433199338</v>
      </c>
      <c r="L1373" t="str" cm="1">
        <f t="array" ref="L1373">_xlfn.IFS(C1373&lt;0,"DATO INVALIDO", C1373+J1373&lt;I1373,"PEDIR YA", C1373&lt;I1373,"EN CAMINO OK", TRUE,"SANO")</f>
        <v>SANO</v>
      </c>
    </row>
    <row r="1374" spans="1:12" x14ac:dyDescent="0.45">
      <c r="A1374" t="s">
        <v>1124</v>
      </c>
      <c r="B1374" t="s">
        <v>68</v>
      </c>
      <c r="D1374">
        <v>218</v>
      </c>
      <c r="E1374">
        <v>23.3</v>
      </c>
      <c r="F1374">
        <v>0.8</v>
      </c>
      <c r="G1374">
        <v>0.3</v>
      </c>
      <c r="H1374">
        <f t="shared" si="63"/>
        <v>113.25626923044922</v>
      </c>
      <c r="I1374">
        <f t="shared" si="64"/>
        <v>287.6562692304492</v>
      </c>
      <c r="J1374">
        <f>SUMIFS(Transit_Clean[Quantity], Transit_Clean[Destination], A1374, Transit_Clean[Item_Code], B1374, Transit_Clean[SAP_Status], "In Transit")</f>
        <v>0</v>
      </c>
      <c r="K1374">
        <f t="shared" si="65"/>
        <v>0</v>
      </c>
      <c r="L1374" t="str" cm="1">
        <f t="array" ref="L1374">_xlfn.IFS(C1374&lt;0,"DATO INVALIDO", C1374+J1374&lt;I1374,"PEDIR YA", C1374&lt;I1374,"EN CAMINO OK", TRUE,"SANO")</f>
        <v>PEDIR YA</v>
      </c>
    </row>
    <row r="1375" spans="1:12" x14ac:dyDescent="0.45">
      <c r="A1375" t="s">
        <v>1117</v>
      </c>
      <c r="B1375" t="s">
        <v>1136</v>
      </c>
      <c r="C1375">
        <v>4805</v>
      </c>
      <c r="D1375">
        <v>413.9</v>
      </c>
      <c r="E1375">
        <v>203.2</v>
      </c>
      <c r="F1375">
        <v>3.2</v>
      </c>
      <c r="G1375">
        <v>0.5</v>
      </c>
      <c r="H1375">
        <f t="shared" si="63"/>
        <v>690.15985426294526</v>
      </c>
      <c r="I1375">
        <f t="shared" si="64"/>
        <v>2014.6398542629454</v>
      </c>
      <c r="J1375">
        <f>SUMIFS(Transit_Clean[Quantity], Transit_Clean[Destination], A1375, Transit_Clean[Item_Code], B1375, Transit_Clean[SAP_Status], "In Transit")</f>
        <v>1729</v>
      </c>
      <c r="K1375">
        <f t="shared" si="65"/>
        <v>11.609084319884031</v>
      </c>
      <c r="L1375" t="str" cm="1">
        <f t="array" ref="L1375">_xlfn.IFS(C1375&lt;0,"DATO INVALIDO", C1375+J1375&lt;I1375,"PEDIR YA", C1375&lt;I1375,"EN CAMINO OK", TRUE,"SANO")</f>
        <v>SANO</v>
      </c>
    </row>
    <row r="1376" spans="1:12" x14ac:dyDescent="0.45">
      <c r="A1376" t="s">
        <v>1118</v>
      </c>
      <c r="B1376" t="s">
        <v>27</v>
      </c>
      <c r="C1376">
        <v>4289</v>
      </c>
      <c r="D1376">
        <v>422.9</v>
      </c>
      <c r="E1376">
        <v>234.4</v>
      </c>
      <c r="F1376">
        <v>6.2</v>
      </c>
      <c r="G1376">
        <v>1.5</v>
      </c>
      <c r="H1376">
        <f t="shared" si="63"/>
        <v>1422.3045504132542</v>
      </c>
      <c r="I1376">
        <f t="shared" si="64"/>
        <v>4044.2845504132542</v>
      </c>
      <c r="J1376">
        <f>SUMIFS(Transit_Clean[Quantity], Transit_Clean[Destination], A1376, Transit_Clean[Item_Code], B1376, Transit_Clean[SAP_Status], "In Transit")</f>
        <v>0</v>
      </c>
      <c r="K1376">
        <f t="shared" si="65"/>
        <v>10.141877512414283</v>
      </c>
      <c r="L1376" t="str" cm="1">
        <f t="array" ref="L1376">_xlfn.IFS(C1376&lt;0,"DATO INVALIDO", C1376+J1376&lt;I1376,"PEDIR YA", C1376&lt;I1376,"EN CAMINO OK", TRUE,"SANO")</f>
        <v>SANO</v>
      </c>
    </row>
    <row r="1377" spans="1:12" x14ac:dyDescent="0.45">
      <c r="A1377" t="s">
        <v>1128</v>
      </c>
      <c r="B1377" t="s">
        <v>89</v>
      </c>
      <c r="C1377">
        <v>1182</v>
      </c>
      <c r="D1377">
        <v>322.60000000000002</v>
      </c>
      <c r="E1377">
        <v>32.9</v>
      </c>
      <c r="F1377">
        <v>2</v>
      </c>
      <c r="G1377">
        <v>0.5</v>
      </c>
      <c r="H1377">
        <f t="shared" si="63"/>
        <v>276.99617953141524</v>
      </c>
      <c r="I1377">
        <f t="shared" si="64"/>
        <v>922.19617953141528</v>
      </c>
      <c r="J1377">
        <f>SUMIFS(Transit_Clean[Quantity], Transit_Clean[Destination], A1377, Transit_Clean[Item_Code], B1377, Transit_Clean[SAP_Status], "In Transit")</f>
        <v>2405</v>
      </c>
      <c r="K1377">
        <f t="shared" si="65"/>
        <v>3.6639801611903282</v>
      </c>
      <c r="L1377" t="str" cm="1">
        <f t="array" ref="L1377">_xlfn.IFS(C1377&lt;0,"DATO INVALIDO", C1377+J1377&lt;I1377,"PEDIR YA", C1377&lt;I1377,"EN CAMINO OK", TRUE,"SANO")</f>
        <v>SANO</v>
      </c>
    </row>
    <row r="1378" spans="1:12" x14ac:dyDescent="0.45">
      <c r="A1378" t="s">
        <v>1114</v>
      </c>
      <c r="B1378" t="s">
        <v>105</v>
      </c>
      <c r="C1378">
        <v>4121</v>
      </c>
      <c r="D1378">
        <v>380.3</v>
      </c>
      <c r="E1378">
        <v>50.2</v>
      </c>
      <c r="F1378">
        <v>4.4000000000000004</v>
      </c>
      <c r="G1378">
        <v>1.3</v>
      </c>
      <c r="H1378">
        <f t="shared" si="63"/>
        <v>834.04137604332914</v>
      </c>
      <c r="I1378">
        <f t="shared" si="64"/>
        <v>2507.3613760433291</v>
      </c>
      <c r="J1378">
        <f>SUMIFS(Transit_Clean[Quantity], Transit_Clean[Destination], A1378, Transit_Clean[Item_Code], B1378, Transit_Clean[SAP_Status], "In Transit")</f>
        <v>0</v>
      </c>
      <c r="K1378">
        <f t="shared" si="65"/>
        <v>10.836181961609256</v>
      </c>
      <c r="L1378" t="str" cm="1">
        <f t="array" ref="L1378">_xlfn.IFS(C1378&lt;0,"DATO INVALIDO", C1378+J1378&lt;I1378,"PEDIR YA", C1378&lt;I1378,"EN CAMINO OK", TRUE,"SANO")</f>
        <v>SANO</v>
      </c>
    </row>
    <row r="1379" spans="1:12" x14ac:dyDescent="0.45">
      <c r="A1379" t="s">
        <v>1120</v>
      </c>
      <c r="B1379" t="s">
        <v>10</v>
      </c>
      <c r="C1379">
        <v>356</v>
      </c>
      <c r="D1379">
        <v>411.3</v>
      </c>
      <c r="E1379">
        <v>64.2</v>
      </c>
      <c r="F1379">
        <v>2.1</v>
      </c>
      <c r="G1379">
        <v>0.5</v>
      </c>
      <c r="H1379">
        <f t="shared" si="63"/>
        <v>372.43013478537154</v>
      </c>
      <c r="I1379">
        <f t="shared" si="64"/>
        <v>1236.1601347853716</v>
      </c>
      <c r="J1379">
        <f>SUMIFS(Transit_Clean[Quantity], Transit_Clean[Destination], A1379, Transit_Clean[Item_Code], B1379, Transit_Clean[SAP_Status], "In Transit")</f>
        <v>0</v>
      </c>
      <c r="K1379">
        <f t="shared" si="65"/>
        <v>0.86554826160953069</v>
      </c>
      <c r="L1379" t="str" cm="1">
        <f t="array" ref="L1379">_xlfn.IFS(C1379&lt;0,"DATO INVALIDO", C1379+J1379&lt;I1379,"PEDIR YA", C1379&lt;I1379,"EN CAMINO OK", TRUE,"SANO")</f>
        <v>PEDIR YA</v>
      </c>
    </row>
    <row r="1380" spans="1:12" x14ac:dyDescent="0.45">
      <c r="A1380" t="s">
        <v>1128</v>
      </c>
      <c r="B1380" t="s">
        <v>83</v>
      </c>
      <c r="C1380">
        <v>9068</v>
      </c>
      <c r="D1380">
        <v>632.6</v>
      </c>
      <c r="E1380">
        <v>126.6</v>
      </c>
      <c r="F1380">
        <v>1.2</v>
      </c>
      <c r="G1380">
        <v>0.5</v>
      </c>
      <c r="H1380">
        <f t="shared" si="63"/>
        <v>569.85649908112839</v>
      </c>
      <c r="I1380">
        <f t="shared" si="64"/>
        <v>1328.9764990811284</v>
      </c>
      <c r="J1380">
        <f>SUMIFS(Transit_Clean[Quantity], Transit_Clean[Destination], A1380, Transit_Clean[Item_Code], B1380, Transit_Clean[SAP_Status], "In Transit")</f>
        <v>0</v>
      </c>
      <c r="K1380">
        <f t="shared" si="65"/>
        <v>14.33449257034461</v>
      </c>
      <c r="L1380" t="str" cm="1">
        <f t="array" ref="L1380">_xlfn.IFS(C1380&lt;0,"DATO INVALIDO", C1380+J1380&lt;I1380,"PEDIR YA", C1380&lt;I1380,"EN CAMINO OK", TRUE,"SANO")</f>
        <v>SANO</v>
      </c>
    </row>
    <row r="1381" spans="1:12" x14ac:dyDescent="0.45">
      <c r="A1381" t="s">
        <v>1118</v>
      </c>
      <c r="B1381" t="s">
        <v>62</v>
      </c>
      <c r="C1381">
        <v>9520</v>
      </c>
      <c r="D1381">
        <v>539.79999999999995</v>
      </c>
      <c r="E1381">
        <v>78.8</v>
      </c>
      <c r="F1381">
        <v>5</v>
      </c>
      <c r="G1381">
        <v>1.5</v>
      </c>
      <c r="H1381">
        <f t="shared" si="63"/>
        <v>1367.2729654406978</v>
      </c>
      <c r="I1381">
        <f t="shared" si="64"/>
        <v>4066.2729654406976</v>
      </c>
      <c r="J1381">
        <f>SUMIFS(Transit_Clean[Quantity], Transit_Clean[Destination], A1381, Transit_Clean[Item_Code], B1381, Transit_Clean[SAP_Status], "In Transit")</f>
        <v>3156</v>
      </c>
      <c r="K1381">
        <f t="shared" si="65"/>
        <v>17.636161541311598</v>
      </c>
      <c r="L1381" t="str" cm="1">
        <f t="array" ref="L1381">_xlfn.IFS(C1381&lt;0,"DATO INVALIDO", C1381+J1381&lt;I1381,"PEDIR YA", C1381&lt;I1381,"EN CAMINO OK", TRUE,"SANO")</f>
        <v>SANO</v>
      </c>
    </row>
    <row r="1382" spans="1:12" x14ac:dyDescent="0.45">
      <c r="A1382" t="s">
        <v>1118</v>
      </c>
      <c r="B1382" t="s">
        <v>103</v>
      </c>
      <c r="C1382">
        <v>6881</v>
      </c>
      <c r="D1382">
        <v>582.29999999999995</v>
      </c>
      <c r="E1382">
        <v>96.6</v>
      </c>
      <c r="F1382">
        <v>5.9</v>
      </c>
      <c r="G1382">
        <v>1.5</v>
      </c>
      <c r="H1382">
        <f t="shared" si="63"/>
        <v>1492.2889590981533</v>
      </c>
      <c r="I1382">
        <f t="shared" si="64"/>
        <v>4927.8589590981537</v>
      </c>
      <c r="J1382">
        <f>SUMIFS(Transit_Clean[Quantity], Transit_Clean[Destination], A1382, Transit_Clean[Item_Code], B1382, Transit_Clean[SAP_Status], "In Transit")</f>
        <v>903</v>
      </c>
      <c r="K1382">
        <f t="shared" si="65"/>
        <v>11.816932852481539</v>
      </c>
      <c r="L1382" t="str" cm="1">
        <f t="array" ref="L1382">_xlfn.IFS(C1382&lt;0,"DATO INVALIDO", C1382+J1382&lt;I1382,"PEDIR YA", C1382&lt;I1382,"EN CAMINO OK", TRUE,"SANO")</f>
        <v>SANO</v>
      </c>
    </row>
    <row r="1383" spans="1:12" x14ac:dyDescent="0.45">
      <c r="A1383" t="s">
        <v>1121</v>
      </c>
      <c r="B1383" t="s">
        <v>51</v>
      </c>
      <c r="C1383">
        <v>1373</v>
      </c>
      <c r="D1383">
        <v>745.5</v>
      </c>
      <c r="E1383">
        <v>151.9</v>
      </c>
      <c r="F1383">
        <v>2.9</v>
      </c>
      <c r="G1383">
        <v>0.4</v>
      </c>
      <c r="H1383">
        <f t="shared" si="63"/>
        <v>651.35661526732042</v>
      </c>
      <c r="I1383">
        <f t="shared" si="64"/>
        <v>2813.30661526732</v>
      </c>
      <c r="J1383">
        <f>SUMIFS(Transit_Clean[Quantity], Transit_Clean[Destination], A1383, Transit_Clean[Item_Code], B1383, Transit_Clean[SAP_Status], "In Transit")</f>
        <v>2695</v>
      </c>
      <c r="K1383">
        <f t="shared" si="65"/>
        <v>1.8417169684775319</v>
      </c>
      <c r="L1383" t="str" cm="1">
        <f t="array" ref="L1383">_xlfn.IFS(C1383&lt;0,"DATO INVALIDO", C1383+J1383&lt;I1383,"PEDIR YA", C1383&lt;I1383,"EN CAMINO OK", TRUE,"SANO")</f>
        <v>EN CAMINO OK</v>
      </c>
    </row>
    <row r="1384" spans="1:12" x14ac:dyDescent="0.45">
      <c r="A1384" t="s">
        <v>1115</v>
      </c>
      <c r="B1384" t="s">
        <v>89</v>
      </c>
      <c r="C1384">
        <v>3049</v>
      </c>
      <c r="D1384">
        <v>200.9</v>
      </c>
      <c r="E1384">
        <v>34.299999999999997</v>
      </c>
      <c r="F1384">
        <v>2.2999999999999998</v>
      </c>
      <c r="G1384">
        <v>0.6</v>
      </c>
      <c r="H1384">
        <f t="shared" si="63"/>
        <v>216.62067338668299</v>
      </c>
      <c r="I1384">
        <f t="shared" si="64"/>
        <v>678.69067338668299</v>
      </c>
      <c r="J1384">
        <f>SUMIFS(Transit_Clean[Quantity], Transit_Clean[Destination], A1384, Transit_Clean[Item_Code], B1384, Transit_Clean[SAP_Status], "In Transit")</f>
        <v>1609</v>
      </c>
      <c r="K1384">
        <f t="shared" si="65"/>
        <v>15.176704828272772</v>
      </c>
      <c r="L1384" t="str" cm="1">
        <f t="array" ref="L1384">_xlfn.IFS(C1384&lt;0,"DATO INVALIDO", C1384+J1384&lt;I1384,"PEDIR YA", C1384&lt;I1384,"EN CAMINO OK", TRUE,"SANO")</f>
        <v>SANO</v>
      </c>
    </row>
    <row r="1385" spans="1:12" x14ac:dyDescent="0.45">
      <c r="A1385" t="s">
        <v>1116</v>
      </c>
      <c r="B1385" t="s">
        <v>66</v>
      </c>
      <c r="C1385">
        <v>815</v>
      </c>
      <c r="D1385">
        <v>405.5</v>
      </c>
      <c r="E1385">
        <v>70</v>
      </c>
      <c r="F1385">
        <v>8.5</v>
      </c>
      <c r="G1385">
        <v>1.6</v>
      </c>
      <c r="H1385">
        <f t="shared" si="63"/>
        <v>1122.2322377297846</v>
      </c>
      <c r="I1385">
        <f t="shared" si="64"/>
        <v>4568.9822377297842</v>
      </c>
      <c r="J1385">
        <f>SUMIFS(Transit_Clean[Quantity], Transit_Clean[Destination], A1385, Transit_Clean[Item_Code], B1385, Transit_Clean[SAP_Status], "In Transit")</f>
        <v>0</v>
      </c>
      <c r="K1385">
        <f t="shared" si="65"/>
        <v>2.0098643649815044</v>
      </c>
      <c r="L1385" t="str" cm="1">
        <f t="array" ref="L1385">_xlfn.IFS(C1385&lt;0,"DATO INVALIDO", C1385+J1385&lt;I1385,"PEDIR YA", C1385&lt;I1385,"EN CAMINO OK", TRUE,"SANO")</f>
        <v>PEDIR YA</v>
      </c>
    </row>
    <row r="1386" spans="1:12" x14ac:dyDescent="0.45">
      <c r="A1386" t="s">
        <v>1119</v>
      </c>
      <c r="B1386" t="s">
        <v>13</v>
      </c>
      <c r="C1386">
        <v>2253</v>
      </c>
      <c r="D1386">
        <v>213.1</v>
      </c>
      <c r="E1386">
        <v>77.2</v>
      </c>
      <c r="F1386">
        <v>2</v>
      </c>
      <c r="G1386">
        <v>1</v>
      </c>
      <c r="H1386">
        <f t="shared" si="63"/>
        <v>395.07522957659592</v>
      </c>
      <c r="I1386">
        <f t="shared" si="64"/>
        <v>821.27522957659585</v>
      </c>
      <c r="J1386">
        <f>SUMIFS(Transit_Clean[Quantity], Transit_Clean[Destination], A1386, Transit_Clean[Item_Code], B1386, Transit_Clean[SAP_Status], "In Transit")</f>
        <v>0</v>
      </c>
      <c r="K1386">
        <f t="shared" si="65"/>
        <v>10.572501173158143</v>
      </c>
      <c r="L1386" t="str" cm="1">
        <f t="array" ref="L1386">_xlfn.IFS(C1386&lt;0,"DATO INVALIDO", C1386+J1386&lt;I1386,"PEDIR YA", C1386&lt;I1386,"EN CAMINO OK", TRUE,"SANO")</f>
        <v>SANO</v>
      </c>
    </row>
    <row r="1387" spans="1:12" x14ac:dyDescent="0.45">
      <c r="A1387" t="s">
        <v>1115</v>
      </c>
      <c r="B1387" t="s">
        <v>64</v>
      </c>
      <c r="C1387">
        <v>2278</v>
      </c>
      <c r="D1387">
        <v>665.4</v>
      </c>
      <c r="E1387">
        <v>192.8</v>
      </c>
      <c r="F1387">
        <v>2.2999999999999998</v>
      </c>
      <c r="G1387">
        <v>0.6</v>
      </c>
      <c r="H1387">
        <f t="shared" si="63"/>
        <v>816.52131731878251</v>
      </c>
      <c r="I1387">
        <f t="shared" si="64"/>
        <v>2346.9413173187822</v>
      </c>
      <c r="J1387">
        <f>SUMIFS(Transit_Clean[Quantity], Transit_Clean[Destination], A1387, Transit_Clean[Item_Code], B1387, Transit_Clean[SAP_Status], "In Transit")</f>
        <v>1330</v>
      </c>
      <c r="K1387">
        <f t="shared" si="65"/>
        <v>3.4235046588518188</v>
      </c>
      <c r="L1387" t="str" cm="1">
        <f t="array" ref="L1387">_xlfn.IFS(C1387&lt;0,"DATO INVALIDO", C1387+J1387&lt;I1387,"PEDIR YA", C1387&lt;I1387,"EN CAMINO OK", TRUE,"SANO")</f>
        <v>EN CAMINO OK</v>
      </c>
    </row>
    <row r="1388" spans="1:12" x14ac:dyDescent="0.45">
      <c r="A1388" t="s">
        <v>1119</v>
      </c>
      <c r="B1388" t="s">
        <v>31</v>
      </c>
      <c r="C1388">
        <v>5393</v>
      </c>
      <c r="D1388">
        <v>333.2</v>
      </c>
      <c r="E1388">
        <v>29.7</v>
      </c>
      <c r="F1388">
        <v>3.9</v>
      </c>
      <c r="G1388">
        <v>1</v>
      </c>
      <c r="H1388">
        <f t="shared" si="63"/>
        <v>558.23280044932858</v>
      </c>
      <c r="I1388">
        <f t="shared" si="64"/>
        <v>1857.7128004493286</v>
      </c>
      <c r="J1388">
        <f>SUMIFS(Transit_Clean[Quantity], Transit_Clean[Destination], A1388, Transit_Clean[Item_Code], B1388, Transit_Clean[SAP_Status], "In Transit")</f>
        <v>0</v>
      </c>
      <c r="K1388">
        <f t="shared" si="65"/>
        <v>16.185474189675872</v>
      </c>
      <c r="L1388" t="str" cm="1">
        <f t="array" ref="L1388">_xlfn.IFS(C1388&lt;0,"DATO INVALIDO", C1388+J1388&lt;I1388,"PEDIR YA", C1388&lt;I1388,"EN CAMINO OK", TRUE,"SANO")</f>
        <v>SANO</v>
      </c>
    </row>
    <row r="1389" spans="1:12" x14ac:dyDescent="0.45">
      <c r="A1389" t="s">
        <v>1122</v>
      </c>
      <c r="B1389" t="s">
        <v>63</v>
      </c>
      <c r="C1389">
        <v>15548</v>
      </c>
      <c r="D1389">
        <v>935.5</v>
      </c>
      <c r="E1389">
        <v>183.5</v>
      </c>
      <c r="F1389">
        <v>1.1000000000000001</v>
      </c>
      <c r="G1389">
        <v>0.2</v>
      </c>
      <c r="H1389">
        <f t="shared" si="63"/>
        <v>442.88251479653161</v>
      </c>
      <c r="I1389">
        <f t="shared" si="64"/>
        <v>1471.9325147965319</v>
      </c>
      <c r="J1389">
        <f>SUMIFS(Transit_Clean[Quantity], Transit_Clean[Destination], A1389, Transit_Clean[Item_Code], B1389, Transit_Clean[SAP_Status], "In Transit")</f>
        <v>0</v>
      </c>
      <c r="K1389">
        <f t="shared" si="65"/>
        <v>16.619989310529128</v>
      </c>
      <c r="L1389" t="str" cm="1">
        <f t="array" ref="L1389">_xlfn.IFS(C1389&lt;0,"DATO INVALIDO", C1389+J1389&lt;I1389,"PEDIR YA", C1389&lt;I1389,"EN CAMINO OK", TRUE,"SANO")</f>
        <v>SANO</v>
      </c>
    </row>
    <row r="1390" spans="1:12" x14ac:dyDescent="0.45">
      <c r="A1390" t="s">
        <v>1123</v>
      </c>
      <c r="B1390" t="s">
        <v>50</v>
      </c>
      <c r="C1390">
        <v>5566</v>
      </c>
      <c r="D1390">
        <v>382.9</v>
      </c>
      <c r="E1390">
        <v>135.1</v>
      </c>
      <c r="F1390">
        <v>1.4</v>
      </c>
      <c r="G1390">
        <v>0.3</v>
      </c>
      <c r="H1390">
        <f t="shared" si="63"/>
        <v>324.79415308045492</v>
      </c>
      <c r="I1390">
        <f t="shared" si="64"/>
        <v>860.85415308045481</v>
      </c>
      <c r="J1390">
        <f>SUMIFS(Transit_Clean[Quantity], Transit_Clean[Destination], A1390, Transit_Clean[Item_Code], B1390, Transit_Clean[SAP_Status], "In Transit")</f>
        <v>2087</v>
      </c>
      <c r="K1390">
        <f t="shared" si="65"/>
        <v>14.536432488900497</v>
      </c>
      <c r="L1390" t="str" cm="1">
        <f t="array" ref="L1390">_xlfn.IFS(C1390&lt;0,"DATO INVALIDO", C1390+J1390&lt;I1390,"PEDIR YA", C1390&lt;I1390,"EN CAMINO OK", TRUE,"SANO")</f>
        <v>SANO</v>
      </c>
    </row>
    <row r="1391" spans="1:12" x14ac:dyDescent="0.45">
      <c r="A1391" t="s">
        <v>1128</v>
      </c>
      <c r="B1391" t="s">
        <v>78</v>
      </c>
      <c r="C1391">
        <v>1293</v>
      </c>
      <c r="D1391">
        <v>348.4</v>
      </c>
      <c r="E1391">
        <v>141.4</v>
      </c>
      <c r="F1391">
        <v>2</v>
      </c>
      <c r="G1391">
        <v>0.5</v>
      </c>
      <c r="H1391">
        <f t="shared" si="63"/>
        <v>437.58783929629482</v>
      </c>
      <c r="I1391">
        <f t="shared" si="64"/>
        <v>1134.3878392962947</v>
      </c>
      <c r="J1391">
        <f>SUMIFS(Transit_Clean[Quantity], Transit_Clean[Destination], A1391, Transit_Clean[Item_Code], B1391, Transit_Clean[SAP_Status], "In Transit")</f>
        <v>0</v>
      </c>
      <c r="K1391">
        <f t="shared" si="65"/>
        <v>3.7112514351320325</v>
      </c>
      <c r="L1391" t="str" cm="1">
        <f t="array" ref="L1391">_xlfn.IFS(C1391&lt;0,"DATO INVALIDO", C1391+J1391&lt;I1391,"PEDIR YA", C1391&lt;I1391,"EN CAMINO OK", TRUE,"SANO")</f>
        <v>SANO</v>
      </c>
    </row>
    <row r="1392" spans="1:12" x14ac:dyDescent="0.45">
      <c r="A1392" t="s">
        <v>1119</v>
      </c>
      <c r="B1392" t="s">
        <v>89</v>
      </c>
      <c r="C1392">
        <v>273</v>
      </c>
      <c r="D1392">
        <v>166.8</v>
      </c>
      <c r="E1392">
        <v>24.2</v>
      </c>
      <c r="F1392">
        <v>2.2999999999999998</v>
      </c>
      <c r="G1392">
        <v>1</v>
      </c>
      <c r="H1392">
        <f t="shared" si="63"/>
        <v>281.80344155102154</v>
      </c>
      <c r="I1392">
        <f t="shared" si="64"/>
        <v>665.44344155102158</v>
      </c>
      <c r="J1392">
        <f>SUMIFS(Transit_Clean[Quantity], Transit_Clean[Destination], A1392, Transit_Clean[Item_Code], B1392, Transit_Clean[SAP_Status], "In Transit")</f>
        <v>1945</v>
      </c>
      <c r="K1392">
        <f t="shared" si="65"/>
        <v>1.6366906474820142</v>
      </c>
      <c r="L1392" t="str" cm="1">
        <f t="array" ref="L1392">_xlfn.IFS(C1392&lt;0,"DATO INVALIDO", C1392+J1392&lt;I1392,"PEDIR YA", C1392&lt;I1392,"EN CAMINO OK", TRUE,"SANO")</f>
        <v>EN CAMINO OK</v>
      </c>
    </row>
    <row r="1393" spans="1:12" x14ac:dyDescent="0.45">
      <c r="A1393" t="s">
        <v>1122</v>
      </c>
      <c r="B1393" t="s">
        <v>71</v>
      </c>
      <c r="C1393">
        <v>932</v>
      </c>
      <c r="D1393">
        <v>485.4</v>
      </c>
      <c r="E1393">
        <v>65.900000000000006</v>
      </c>
      <c r="F1393">
        <v>0.9</v>
      </c>
      <c r="G1393">
        <v>0.2</v>
      </c>
      <c r="H1393">
        <f t="shared" si="63"/>
        <v>190.52360306927855</v>
      </c>
      <c r="I1393">
        <f t="shared" si="64"/>
        <v>627.38360306927859</v>
      </c>
      <c r="J1393">
        <f>SUMIFS(Transit_Clean[Quantity], Transit_Clean[Destination], A1393, Transit_Clean[Item_Code], B1393, Transit_Clean[SAP_Status], "In Transit")</f>
        <v>1263</v>
      </c>
      <c r="K1393">
        <f t="shared" si="65"/>
        <v>1.9200659250103009</v>
      </c>
      <c r="L1393" t="str" cm="1">
        <f t="array" ref="L1393">_xlfn.IFS(C1393&lt;0,"DATO INVALIDO", C1393+J1393&lt;I1393,"PEDIR YA", C1393&lt;I1393,"EN CAMINO OK", TRUE,"SANO")</f>
        <v>SANO</v>
      </c>
    </row>
    <row r="1394" spans="1:12" x14ac:dyDescent="0.45">
      <c r="A1394" t="s">
        <v>1122</v>
      </c>
      <c r="B1394" t="s">
        <v>87</v>
      </c>
      <c r="C1394">
        <v>2524</v>
      </c>
      <c r="D1394">
        <v>205.8</v>
      </c>
      <c r="E1394">
        <v>40</v>
      </c>
      <c r="F1394">
        <v>0.9</v>
      </c>
      <c r="G1394">
        <v>0.2</v>
      </c>
      <c r="H1394">
        <f t="shared" si="63"/>
        <v>92.37267667443659</v>
      </c>
      <c r="I1394">
        <f t="shared" si="64"/>
        <v>277.59267667443663</v>
      </c>
      <c r="J1394">
        <f>SUMIFS(Transit_Clean[Quantity], Transit_Clean[Destination], A1394, Transit_Clean[Item_Code], B1394, Transit_Clean[SAP_Status], "In Transit")</f>
        <v>1689</v>
      </c>
      <c r="K1394">
        <f t="shared" si="65"/>
        <v>12.264334305150632</v>
      </c>
      <c r="L1394" t="str" cm="1">
        <f t="array" ref="L1394">_xlfn.IFS(C1394&lt;0,"DATO INVALIDO", C1394+J1394&lt;I1394,"PEDIR YA", C1394&lt;I1394,"EN CAMINO OK", TRUE,"SANO")</f>
        <v>SANO</v>
      </c>
    </row>
    <row r="1395" spans="1:12" x14ac:dyDescent="0.45">
      <c r="A1395" t="s">
        <v>1123</v>
      </c>
      <c r="B1395" t="s">
        <v>31</v>
      </c>
      <c r="C1395">
        <v>769</v>
      </c>
      <c r="D1395">
        <v>168.3</v>
      </c>
      <c r="E1395">
        <v>16.399999999999999</v>
      </c>
      <c r="F1395">
        <v>1</v>
      </c>
      <c r="G1395">
        <v>0.3</v>
      </c>
      <c r="H1395">
        <f t="shared" si="63"/>
        <v>87.593092034988686</v>
      </c>
      <c r="I1395">
        <f t="shared" si="64"/>
        <v>255.89309203498868</v>
      </c>
      <c r="J1395">
        <f>SUMIFS(Transit_Clean[Quantity], Transit_Clean[Destination], A1395, Transit_Clean[Item_Code], B1395, Transit_Clean[SAP_Status], "In Transit")</f>
        <v>0</v>
      </c>
      <c r="K1395">
        <f t="shared" si="65"/>
        <v>4.569221628045157</v>
      </c>
      <c r="L1395" t="str" cm="1">
        <f t="array" ref="L1395">_xlfn.IFS(C1395&lt;0,"DATO INVALIDO", C1395+J1395&lt;I1395,"PEDIR YA", C1395&lt;I1395,"EN CAMINO OK", TRUE,"SANO")</f>
        <v>SANO</v>
      </c>
    </row>
    <row r="1396" spans="1:12" x14ac:dyDescent="0.45">
      <c r="A1396" t="s">
        <v>1116</v>
      </c>
      <c r="B1396" t="s">
        <v>8</v>
      </c>
      <c r="C1396">
        <v>7990</v>
      </c>
      <c r="D1396">
        <v>538.1</v>
      </c>
      <c r="E1396">
        <v>102.4</v>
      </c>
      <c r="F1396">
        <v>4.9000000000000004</v>
      </c>
      <c r="G1396">
        <v>1.6</v>
      </c>
      <c r="H1396">
        <f t="shared" si="63"/>
        <v>1468.9933835439836</v>
      </c>
      <c r="I1396">
        <f t="shared" si="64"/>
        <v>4105.6833835439838</v>
      </c>
      <c r="J1396">
        <f>SUMIFS(Transit_Clean[Quantity], Transit_Clean[Destination], A1396, Transit_Clean[Item_Code], B1396, Transit_Clean[SAP_Status], "In Transit")</f>
        <v>1390</v>
      </c>
      <c r="K1396">
        <f t="shared" si="65"/>
        <v>14.848541163352536</v>
      </c>
      <c r="L1396" t="str" cm="1">
        <f t="array" ref="L1396">_xlfn.IFS(C1396&lt;0,"DATO INVALIDO", C1396+J1396&lt;I1396,"PEDIR YA", C1396&lt;I1396,"EN CAMINO OK", TRUE,"SANO")</f>
        <v>SANO</v>
      </c>
    </row>
    <row r="1397" spans="1:12" x14ac:dyDescent="0.45">
      <c r="A1397" t="s">
        <v>1114</v>
      </c>
      <c r="B1397" t="s">
        <v>78</v>
      </c>
      <c r="C1397">
        <v>2060</v>
      </c>
      <c r="D1397">
        <v>334.9</v>
      </c>
      <c r="E1397">
        <v>126.6</v>
      </c>
      <c r="F1397">
        <v>5.7</v>
      </c>
      <c r="G1397">
        <v>1.3</v>
      </c>
      <c r="H1397">
        <f t="shared" si="63"/>
        <v>874.50642703770325</v>
      </c>
      <c r="I1397">
        <f t="shared" si="64"/>
        <v>2783.4364270377032</v>
      </c>
      <c r="J1397">
        <f>SUMIFS(Transit_Clean[Quantity], Transit_Clean[Destination], A1397, Transit_Clean[Item_Code], B1397, Transit_Clean[SAP_Status], "In Transit")</f>
        <v>2046</v>
      </c>
      <c r="K1397">
        <f t="shared" si="65"/>
        <v>6.1510898775753962</v>
      </c>
      <c r="L1397" t="str" cm="1">
        <f t="array" ref="L1397">_xlfn.IFS(C1397&lt;0,"DATO INVALIDO", C1397+J1397&lt;I1397,"PEDIR YA", C1397&lt;I1397,"EN CAMINO OK", TRUE,"SANO")</f>
        <v>EN CAMINO OK</v>
      </c>
    </row>
    <row r="1398" spans="1:12" x14ac:dyDescent="0.45">
      <c r="A1398" t="s">
        <v>1125</v>
      </c>
      <c r="B1398" t="s">
        <v>63</v>
      </c>
      <c r="C1398">
        <v>6227</v>
      </c>
      <c r="D1398">
        <v>395.9</v>
      </c>
      <c r="E1398">
        <v>70.5</v>
      </c>
      <c r="F1398">
        <v>4.3</v>
      </c>
      <c r="G1398">
        <v>1.2</v>
      </c>
      <c r="H1398">
        <f t="shared" si="63"/>
        <v>820.15636564712452</v>
      </c>
      <c r="I1398">
        <f t="shared" si="64"/>
        <v>2522.5263656471243</v>
      </c>
      <c r="J1398">
        <f>SUMIFS(Transit_Clean[Quantity], Transit_Clean[Destination], A1398, Transit_Clean[Item_Code], B1398, Transit_Clean[SAP_Status], "In Transit")</f>
        <v>367</v>
      </c>
      <c r="K1398">
        <f t="shared" si="65"/>
        <v>15.728719373579187</v>
      </c>
      <c r="L1398" t="str" cm="1">
        <f t="array" ref="L1398">_xlfn.IFS(C1398&lt;0,"DATO INVALIDO", C1398+J1398&lt;I1398,"PEDIR YA", C1398&lt;I1398,"EN CAMINO OK", TRUE,"SANO")</f>
        <v>SANO</v>
      </c>
    </row>
    <row r="1399" spans="1:12" x14ac:dyDescent="0.45">
      <c r="A1399" t="s">
        <v>1114</v>
      </c>
      <c r="B1399" t="s">
        <v>65</v>
      </c>
      <c r="C1399">
        <v>2948</v>
      </c>
      <c r="D1399">
        <v>352.8</v>
      </c>
      <c r="E1399">
        <v>130.5</v>
      </c>
      <c r="F1399">
        <v>3.8</v>
      </c>
      <c r="G1399">
        <v>1.3</v>
      </c>
      <c r="H1399">
        <f t="shared" si="63"/>
        <v>865.37049574791956</v>
      </c>
      <c r="I1399">
        <f t="shared" si="64"/>
        <v>2206.0104957479193</v>
      </c>
      <c r="J1399">
        <f>SUMIFS(Transit_Clean[Quantity], Transit_Clean[Destination], A1399, Transit_Clean[Item_Code], B1399, Transit_Clean[SAP_Status], "In Transit")</f>
        <v>2215</v>
      </c>
      <c r="K1399">
        <f t="shared" si="65"/>
        <v>8.3560090702947836</v>
      </c>
      <c r="L1399" t="str" cm="1">
        <f t="array" ref="L1399">_xlfn.IFS(C1399&lt;0,"DATO INVALIDO", C1399+J1399&lt;I1399,"PEDIR YA", C1399&lt;I1399,"EN CAMINO OK", TRUE,"SANO")</f>
        <v>SANO</v>
      </c>
    </row>
    <row r="1400" spans="1:12" x14ac:dyDescent="0.45">
      <c r="A1400" t="s">
        <v>1125</v>
      </c>
      <c r="B1400" t="s">
        <v>56</v>
      </c>
      <c r="C1400">
        <v>9954</v>
      </c>
      <c r="D1400">
        <v>784.6</v>
      </c>
      <c r="E1400">
        <v>231.5</v>
      </c>
      <c r="F1400">
        <v>4.3</v>
      </c>
      <c r="G1400">
        <v>1.2</v>
      </c>
      <c r="H1400">
        <f t="shared" si="63"/>
        <v>1743.7827211988024</v>
      </c>
      <c r="I1400">
        <f t="shared" si="64"/>
        <v>5117.5627211988021</v>
      </c>
      <c r="J1400">
        <f>SUMIFS(Transit_Clean[Quantity], Transit_Clean[Destination], A1400, Transit_Clean[Item_Code], B1400, Transit_Clean[SAP_Status], "In Transit")</f>
        <v>963</v>
      </c>
      <c r="K1400">
        <f t="shared" si="65"/>
        <v>12.686719347438185</v>
      </c>
      <c r="L1400" t="str" cm="1">
        <f t="array" ref="L1400">_xlfn.IFS(C1400&lt;0,"DATO INVALIDO", C1400+J1400&lt;I1400,"PEDIR YA", C1400&lt;I1400,"EN CAMINO OK", TRUE,"SANO")</f>
        <v>SANO</v>
      </c>
    </row>
    <row r="1401" spans="1:12" x14ac:dyDescent="0.45">
      <c r="A1401" t="s">
        <v>1121</v>
      </c>
      <c r="B1401" t="s">
        <v>68</v>
      </c>
      <c r="C1401">
        <v>1821</v>
      </c>
      <c r="D1401">
        <v>348.6</v>
      </c>
      <c r="E1401">
        <v>46.4</v>
      </c>
      <c r="F1401">
        <v>2.5</v>
      </c>
      <c r="G1401">
        <v>0.4</v>
      </c>
      <c r="H1401">
        <f t="shared" si="63"/>
        <v>259.97797940594893</v>
      </c>
      <c r="I1401">
        <f t="shared" si="64"/>
        <v>1131.4779794059489</v>
      </c>
      <c r="J1401">
        <f>SUMIFS(Transit_Clean[Quantity], Transit_Clean[Destination], A1401, Transit_Clean[Item_Code], B1401, Transit_Clean[SAP_Status], "In Transit")</f>
        <v>0</v>
      </c>
      <c r="K1401">
        <f t="shared" si="65"/>
        <v>5.2237521514629943</v>
      </c>
      <c r="L1401" t="str" cm="1">
        <f t="array" ref="L1401">_xlfn.IFS(C1401&lt;0,"DATO INVALIDO", C1401+J1401&lt;I1401,"PEDIR YA", C1401&lt;I1401,"EN CAMINO OK", TRUE,"SANO")</f>
        <v>SANO</v>
      </c>
    </row>
    <row r="1402" spans="1:12" x14ac:dyDescent="0.45">
      <c r="A1402" t="s">
        <v>1121</v>
      </c>
      <c r="B1402" t="s">
        <v>110</v>
      </c>
      <c r="C1402">
        <v>1295</v>
      </c>
      <c r="D1402">
        <v>380.5</v>
      </c>
      <c r="E1402">
        <v>161.5</v>
      </c>
      <c r="F1402">
        <v>1.3</v>
      </c>
      <c r="G1402">
        <v>0.4</v>
      </c>
      <c r="H1402">
        <f t="shared" si="63"/>
        <v>394.18000990981261</v>
      </c>
      <c r="I1402">
        <f t="shared" si="64"/>
        <v>888.83000990981259</v>
      </c>
      <c r="J1402">
        <f>SUMIFS(Transit_Clean[Quantity], Transit_Clean[Destination], A1402, Transit_Clean[Item_Code], B1402, Transit_Clean[SAP_Status], "In Transit")</f>
        <v>3239</v>
      </c>
      <c r="K1402">
        <f t="shared" si="65"/>
        <v>3.4034165571616293</v>
      </c>
      <c r="L1402" t="str" cm="1">
        <f t="array" ref="L1402">_xlfn.IFS(C1402&lt;0,"DATO INVALIDO", C1402+J1402&lt;I1402,"PEDIR YA", C1402&lt;I1402,"EN CAMINO OK", TRUE,"SANO")</f>
        <v>SANO</v>
      </c>
    </row>
    <row r="1403" spans="1:12" x14ac:dyDescent="0.45">
      <c r="A1403" t="s">
        <v>1121</v>
      </c>
      <c r="B1403" t="s">
        <v>84</v>
      </c>
      <c r="C1403">
        <v>4506</v>
      </c>
      <c r="D1403">
        <v>265.5</v>
      </c>
      <c r="E1403">
        <v>87.9</v>
      </c>
      <c r="F1403">
        <v>3.1</v>
      </c>
      <c r="G1403">
        <v>0.4</v>
      </c>
      <c r="H1403">
        <f t="shared" si="63"/>
        <v>309.70069695998427</v>
      </c>
      <c r="I1403">
        <f t="shared" si="64"/>
        <v>1132.7506969599845</v>
      </c>
      <c r="J1403">
        <f>SUMIFS(Transit_Clean[Quantity], Transit_Clean[Destination], A1403, Transit_Clean[Item_Code], B1403, Transit_Clean[SAP_Status], "In Transit")</f>
        <v>0</v>
      </c>
      <c r="K1403">
        <f t="shared" si="65"/>
        <v>16.971751412429377</v>
      </c>
      <c r="L1403" t="str" cm="1">
        <f t="array" ref="L1403">_xlfn.IFS(C1403&lt;0,"DATO INVALIDO", C1403+J1403&lt;I1403,"PEDIR YA", C1403&lt;I1403,"EN CAMINO OK", TRUE,"SANO")</f>
        <v>SANO</v>
      </c>
    </row>
    <row r="1404" spans="1:12" x14ac:dyDescent="0.45">
      <c r="A1404" t="s">
        <v>1120</v>
      </c>
      <c r="B1404" t="s">
        <v>97</v>
      </c>
      <c r="C1404">
        <v>7899</v>
      </c>
      <c r="D1404">
        <v>684.4</v>
      </c>
      <c r="E1404">
        <v>383.3</v>
      </c>
      <c r="F1404">
        <v>1.8</v>
      </c>
      <c r="G1404">
        <v>0.5</v>
      </c>
      <c r="H1404">
        <f t="shared" si="63"/>
        <v>1019.2070728487906</v>
      </c>
      <c r="I1404">
        <f t="shared" si="64"/>
        <v>2251.1270728487907</v>
      </c>
      <c r="J1404">
        <f>SUMIFS(Transit_Clean[Quantity], Transit_Clean[Destination], A1404, Transit_Clean[Item_Code], B1404, Transit_Clean[SAP_Status], "In Transit")</f>
        <v>0</v>
      </c>
      <c r="K1404">
        <f t="shared" si="65"/>
        <v>11.541496201052016</v>
      </c>
      <c r="L1404" t="str" cm="1">
        <f t="array" ref="L1404">_xlfn.IFS(C1404&lt;0,"DATO INVALIDO", C1404+J1404&lt;I1404,"PEDIR YA", C1404&lt;I1404,"EN CAMINO OK", TRUE,"SANO")</f>
        <v>SANO</v>
      </c>
    </row>
    <row r="1405" spans="1:12" x14ac:dyDescent="0.45">
      <c r="A1405" t="s">
        <v>1123</v>
      </c>
      <c r="B1405" t="s">
        <v>35</v>
      </c>
      <c r="C1405">
        <v>2300</v>
      </c>
      <c r="D1405">
        <v>363.3</v>
      </c>
      <c r="E1405">
        <v>65.2</v>
      </c>
      <c r="F1405">
        <v>1.2</v>
      </c>
      <c r="G1405">
        <v>0.3</v>
      </c>
      <c r="H1405">
        <f t="shared" si="63"/>
        <v>215.00752405962447</v>
      </c>
      <c r="I1405">
        <f t="shared" si="64"/>
        <v>650.96752405962445</v>
      </c>
      <c r="J1405">
        <f>SUMIFS(Transit_Clean[Quantity], Transit_Clean[Destination], A1405, Transit_Clean[Item_Code], B1405, Transit_Clean[SAP_Status], "In Transit")</f>
        <v>0</v>
      </c>
      <c r="K1405">
        <f t="shared" si="65"/>
        <v>6.3308560418387003</v>
      </c>
      <c r="L1405" t="str" cm="1">
        <f t="array" ref="L1405">_xlfn.IFS(C1405&lt;0,"DATO INVALIDO", C1405+J1405&lt;I1405,"PEDIR YA", C1405&lt;I1405,"EN CAMINO OK", TRUE,"SANO")</f>
        <v>SANO</v>
      </c>
    </row>
    <row r="1406" spans="1:12" x14ac:dyDescent="0.45">
      <c r="A1406" t="s">
        <v>1125</v>
      </c>
      <c r="B1406" t="s">
        <v>89</v>
      </c>
      <c r="C1406">
        <v>2680</v>
      </c>
      <c r="D1406">
        <v>201.2</v>
      </c>
      <c r="E1406">
        <v>35.9</v>
      </c>
      <c r="F1406">
        <v>5.6</v>
      </c>
      <c r="G1406">
        <v>1.2</v>
      </c>
      <c r="H1406">
        <f t="shared" si="63"/>
        <v>422.31816754196115</v>
      </c>
      <c r="I1406">
        <f t="shared" si="64"/>
        <v>1549.038167541961</v>
      </c>
      <c r="J1406">
        <f>SUMIFS(Transit_Clean[Quantity], Transit_Clean[Destination], A1406, Transit_Clean[Item_Code], B1406, Transit_Clean[SAP_Status], "In Transit")</f>
        <v>509</v>
      </c>
      <c r="K1406">
        <f t="shared" si="65"/>
        <v>13.320079522862823</v>
      </c>
      <c r="L1406" t="str" cm="1">
        <f t="array" ref="L1406">_xlfn.IFS(C1406&lt;0,"DATO INVALIDO", C1406+J1406&lt;I1406,"PEDIR YA", C1406&lt;I1406,"EN CAMINO OK", TRUE,"SANO")</f>
        <v>SANO</v>
      </c>
    </row>
    <row r="1407" spans="1:12" x14ac:dyDescent="0.45">
      <c r="A1407" t="s">
        <v>1115</v>
      </c>
      <c r="B1407" t="s">
        <v>28</v>
      </c>
      <c r="C1407">
        <v>3641</v>
      </c>
      <c r="D1407">
        <v>256.2</v>
      </c>
      <c r="E1407">
        <v>93.1</v>
      </c>
      <c r="F1407">
        <v>1.7</v>
      </c>
      <c r="G1407">
        <v>0.6</v>
      </c>
      <c r="H1407">
        <f t="shared" si="63"/>
        <v>323.18431432620605</v>
      </c>
      <c r="I1407">
        <f t="shared" si="64"/>
        <v>758.72431432620601</v>
      </c>
      <c r="J1407">
        <f>SUMIFS(Transit_Clean[Quantity], Transit_Clean[Destination], A1407, Transit_Clean[Item_Code], B1407, Transit_Clean[SAP_Status], "In Transit")</f>
        <v>6385</v>
      </c>
      <c r="K1407">
        <f t="shared" si="65"/>
        <v>14.211553473848557</v>
      </c>
      <c r="L1407" t="str" cm="1">
        <f t="array" ref="L1407">_xlfn.IFS(C1407&lt;0,"DATO INVALIDO", C1407+J1407&lt;I1407,"PEDIR YA", C1407&lt;I1407,"EN CAMINO OK", TRUE,"SANO")</f>
        <v>SANO</v>
      </c>
    </row>
    <row r="1408" spans="1:12" x14ac:dyDescent="0.45">
      <c r="A1408" t="s">
        <v>1117</v>
      </c>
      <c r="B1408" t="s">
        <v>1137</v>
      </c>
      <c r="C1408">
        <v>3579</v>
      </c>
      <c r="D1408">
        <v>391.3</v>
      </c>
      <c r="E1408">
        <v>38.200000000000003</v>
      </c>
      <c r="F1408">
        <v>0.7</v>
      </c>
      <c r="G1408">
        <v>0.5</v>
      </c>
      <c r="H1408">
        <f t="shared" si="63"/>
        <v>327.10138051718769</v>
      </c>
      <c r="I1408">
        <f t="shared" si="64"/>
        <v>601.01138051718772</v>
      </c>
      <c r="J1408">
        <f>SUMIFS(Transit_Clean[Quantity], Transit_Clean[Destination], A1408, Transit_Clean[Item_Code], B1408, Transit_Clean[SAP_Status], "In Transit")</f>
        <v>0</v>
      </c>
      <c r="K1408">
        <f t="shared" si="65"/>
        <v>9.1464349603884489</v>
      </c>
      <c r="L1408" t="str" cm="1">
        <f t="array" ref="L1408">_xlfn.IFS(C1408&lt;0,"DATO INVALIDO", C1408+J1408&lt;I1408,"PEDIR YA", C1408&lt;I1408,"EN CAMINO OK", TRUE,"SANO")</f>
        <v>SANO</v>
      </c>
    </row>
    <row r="1409" spans="1:12" x14ac:dyDescent="0.45">
      <c r="A1409" t="s">
        <v>1117</v>
      </c>
      <c r="B1409" t="s">
        <v>83</v>
      </c>
      <c r="D1409">
        <v>670.9</v>
      </c>
      <c r="E1409">
        <v>105.4</v>
      </c>
      <c r="F1409">
        <v>2.2999999999999998</v>
      </c>
      <c r="G1409">
        <v>0.5</v>
      </c>
      <c r="H1409">
        <f t="shared" si="63"/>
        <v>613.12048586411629</v>
      </c>
      <c r="I1409">
        <f t="shared" si="64"/>
        <v>2156.1904858641165</v>
      </c>
      <c r="J1409">
        <f>SUMIFS(Transit_Clean[Quantity], Transit_Clean[Destination], A1409, Transit_Clean[Item_Code], B1409, Transit_Clean[SAP_Status], "In Transit")</f>
        <v>0</v>
      </c>
      <c r="K1409">
        <f t="shared" si="65"/>
        <v>0</v>
      </c>
      <c r="L1409" t="str" cm="1">
        <f t="array" ref="L1409">_xlfn.IFS(C1409&lt;0,"DATO INVALIDO", C1409+J1409&lt;I1409,"PEDIR YA", C1409&lt;I1409,"EN CAMINO OK", TRUE,"SANO")</f>
        <v>PEDIR YA</v>
      </c>
    </row>
    <row r="1410" spans="1:12" x14ac:dyDescent="0.45">
      <c r="A1410" t="s">
        <v>1126</v>
      </c>
      <c r="B1410" t="s">
        <v>80</v>
      </c>
      <c r="C1410">
        <v>3127</v>
      </c>
      <c r="D1410">
        <v>264.8</v>
      </c>
      <c r="E1410">
        <v>33.200000000000003</v>
      </c>
      <c r="F1410">
        <v>1</v>
      </c>
      <c r="G1410">
        <v>0.2</v>
      </c>
      <c r="H1410">
        <f t="shared" si="63"/>
        <v>103.13492064281623</v>
      </c>
      <c r="I1410">
        <f t="shared" si="64"/>
        <v>367.93492064281622</v>
      </c>
      <c r="J1410">
        <f>SUMIFS(Transit_Clean[Quantity], Transit_Clean[Destination], A1410, Transit_Clean[Item_Code], B1410, Transit_Clean[SAP_Status], "In Transit")</f>
        <v>0</v>
      </c>
      <c r="K1410">
        <f t="shared" si="65"/>
        <v>11.808912386706949</v>
      </c>
      <c r="L1410" t="str" cm="1">
        <f t="array" ref="L1410">_xlfn.IFS(C1410&lt;0,"DATO INVALIDO", C1410+J1410&lt;I1410,"PEDIR YA", C1410&lt;I1410,"EN CAMINO OK", TRUE,"SANO")</f>
        <v>SANO</v>
      </c>
    </row>
    <row r="1411" spans="1:12" x14ac:dyDescent="0.45">
      <c r="A1411" t="s">
        <v>1124</v>
      </c>
      <c r="B1411" t="s">
        <v>44</v>
      </c>
      <c r="C1411">
        <v>12223</v>
      </c>
      <c r="D1411">
        <v>698.9</v>
      </c>
      <c r="E1411">
        <v>143.9</v>
      </c>
      <c r="F1411">
        <v>0.7</v>
      </c>
      <c r="G1411">
        <v>0.3</v>
      </c>
      <c r="H1411">
        <f t="shared" ref="H1411:H1474" si="66">IFERROR(1.65*SQRT(F1411*E1411^2 + D1411^2*G1411^2), "")</f>
        <v>398.93354513972622</v>
      </c>
      <c r="I1411">
        <f t="shared" ref="I1411:I1474" si="67">IFERROR(D1411*F1411 + H1411, "")</f>
        <v>888.16354513972624</v>
      </c>
      <c r="J1411">
        <f>SUMIFS(Transit_Clean[Quantity], Transit_Clean[Destination], A1411, Transit_Clean[Item_Code], B1411, Transit_Clean[SAP_Status], "In Transit")</f>
        <v>1438</v>
      </c>
      <c r="K1411">
        <f t="shared" ref="K1411:K1474" si="68">IFERROR(C1411/D1411, "")</f>
        <v>17.488911146086707</v>
      </c>
      <c r="L1411" t="str" cm="1">
        <f t="array" ref="L1411">_xlfn.IFS(C1411&lt;0,"DATO INVALIDO", C1411+J1411&lt;I1411,"PEDIR YA", C1411&lt;I1411,"EN CAMINO OK", TRUE,"SANO")</f>
        <v>SANO</v>
      </c>
    </row>
    <row r="1412" spans="1:12" x14ac:dyDescent="0.45">
      <c r="A1412" t="s">
        <v>1114</v>
      </c>
      <c r="B1412" t="s">
        <v>47</v>
      </c>
      <c r="C1412">
        <v>2181</v>
      </c>
      <c r="D1412">
        <v>237.8</v>
      </c>
      <c r="E1412">
        <v>24.2</v>
      </c>
      <c r="F1412">
        <v>2.1</v>
      </c>
      <c r="G1412">
        <v>1.3</v>
      </c>
      <c r="H1412">
        <f t="shared" si="66"/>
        <v>513.35258531636907</v>
      </c>
      <c r="I1412">
        <f t="shared" si="67"/>
        <v>1012.7325853163691</v>
      </c>
      <c r="J1412">
        <f>SUMIFS(Transit_Clean[Quantity], Transit_Clean[Destination], A1412, Transit_Clean[Item_Code], B1412, Transit_Clean[SAP_Status], "In Transit")</f>
        <v>0</v>
      </c>
      <c r="K1412">
        <f t="shared" si="68"/>
        <v>9.1715727502102595</v>
      </c>
      <c r="L1412" t="str" cm="1">
        <f t="array" ref="L1412">_xlfn.IFS(C1412&lt;0,"DATO INVALIDO", C1412+J1412&lt;I1412,"PEDIR YA", C1412&lt;I1412,"EN CAMINO OK", TRUE,"SANO")</f>
        <v>SANO</v>
      </c>
    </row>
    <row r="1413" spans="1:12" x14ac:dyDescent="0.45">
      <c r="A1413" t="s">
        <v>1121</v>
      </c>
      <c r="B1413" t="s">
        <v>77</v>
      </c>
      <c r="C1413">
        <v>1109</v>
      </c>
      <c r="D1413">
        <v>229.5</v>
      </c>
      <c r="E1413">
        <v>101.9</v>
      </c>
      <c r="F1413">
        <v>2.4</v>
      </c>
      <c r="G1413">
        <v>0.4</v>
      </c>
      <c r="H1413">
        <f t="shared" si="66"/>
        <v>301.31324006754164</v>
      </c>
      <c r="I1413">
        <f t="shared" si="67"/>
        <v>852.1132400675416</v>
      </c>
      <c r="J1413">
        <f>SUMIFS(Transit_Clean[Quantity], Transit_Clean[Destination], A1413, Transit_Clean[Item_Code], B1413, Transit_Clean[SAP_Status], "In Transit")</f>
        <v>4726</v>
      </c>
      <c r="K1413">
        <f t="shared" si="68"/>
        <v>4.8322440087145972</v>
      </c>
      <c r="L1413" t="str" cm="1">
        <f t="array" ref="L1413">_xlfn.IFS(C1413&lt;0,"DATO INVALIDO", C1413+J1413&lt;I1413,"PEDIR YA", C1413&lt;I1413,"EN CAMINO OK", TRUE,"SANO")</f>
        <v>SANO</v>
      </c>
    </row>
    <row r="1414" spans="1:12" x14ac:dyDescent="0.45">
      <c r="A1414" t="s">
        <v>1114</v>
      </c>
      <c r="B1414" t="s">
        <v>39</v>
      </c>
      <c r="C1414">
        <v>6348</v>
      </c>
      <c r="D1414">
        <v>382</v>
      </c>
      <c r="E1414">
        <v>39.799999999999997</v>
      </c>
      <c r="F1414">
        <v>4.4000000000000004</v>
      </c>
      <c r="G1414">
        <v>1.3</v>
      </c>
      <c r="H1414">
        <f t="shared" si="66"/>
        <v>830.8881917923735</v>
      </c>
      <c r="I1414">
        <f t="shared" si="67"/>
        <v>2511.6881917923738</v>
      </c>
      <c r="J1414">
        <f>SUMIFS(Transit_Clean[Quantity], Transit_Clean[Destination], A1414, Transit_Clean[Item_Code], B1414, Transit_Clean[SAP_Status], "In Transit")</f>
        <v>636</v>
      </c>
      <c r="K1414">
        <f t="shared" si="68"/>
        <v>16.61780104712042</v>
      </c>
      <c r="L1414" t="str" cm="1">
        <f t="array" ref="L1414">_xlfn.IFS(C1414&lt;0,"DATO INVALIDO", C1414+J1414&lt;I1414,"PEDIR YA", C1414&lt;I1414,"EN CAMINO OK", TRUE,"SANO")</f>
        <v>SANO</v>
      </c>
    </row>
    <row r="1415" spans="1:12" x14ac:dyDescent="0.45">
      <c r="A1415" t="s">
        <v>1123</v>
      </c>
      <c r="B1415" t="s">
        <v>10</v>
      </c>
      <c r="C1415">
        <v>4409</v>
      </c>
      <c r="D1415">
        <v>312.2</v>
      </c>
      <c r="E1415">
        <v>42.3</v>
      </c>
      <c r="F1415">
        <v>1.5</v>
      </c>
      <c r="G1415">
        <v>0.3</v>
      </c>
      <c r="H1415">
        <f t="shared" si="66"/>
        <v>176.60497036748424</v>
      </c>
      <c r="I1415">
        <f t="shared" si="67"/>
        <v>644.90497036748422</v>
      </c>
      <c r="J1415">
        <f>SUMIFS(Transit_Clean[Quantity], Transit_Clean[Destination], A1415, Transit_Clean[Item_Code], B1415, Transit_Clean[SAP_Status], "In Transit")</f>
        <v>0</v>
      </c>
      <c r="K1415">
        <f t="shared" si="68"/>
        <v>14.122357463164638</v>
      </c>
      <c r="L1415" t="str" cm="1">
        <f t="array" ref="L1415">_xlfn.IFS(C1415&lt;0,"DATO INVALIDO", C1415+J1415&lt;I1415,"PEDIR YA", C1415&lt;I1415,"EN CAMINO OK", TRUE,"SANO")</f>
        <v>SANO</v>
      </c>
    </row>
    <row r="1416" spans="1:12" x14ac:dyDescent="0.45">
      <c r="A1416" t="s">
        <v>1127</v>
      </c>
      <c r="B1416" t="s">
        <v>29</v>
      </c>
      <c r="C1416">
        <v>5219</v>
      </c>
      <c r="D1416">
        <v>538.70000000000005</v>
      </c>
      <c r="E1416">
        <v>150.5</v>
      </c>
      <c r="F1416">
        <v>2.5</v>
      </c>
      <c r="G1416">
        <v>0.9</v>
      </c>
      <c r="H1416">
        <f t="shared" si="66"/>
        <v>891.131003272106</v>
      </c>
      <c r="I1416">
        <f t="shared" si="67"/>
        <v>2237.8810032721058</v>
      </c>
      <c r="J1416">
        <f>SUMIFS(Transit_Clean[Quantity], Transit_Clean[Destination], A1416, Transit_Clean[Item_Code], B1416, Transit_Clean[SAP_Status], "In Transit")</f>
        <v>0</v>
      </c>
      <c r="K1416">
        <f t="shared" si="68"/>
        <v>9.6881381102654522</v>
      </c>
      <c r="L1416" t="str" cm="1">
        <f t="array" ref="L1416">_xlfn.IFS(C1416&lt;0,"DATO INVALIDO", C1416+J1416&lt;I1416,"PEDIR YA", C1416&lt;I1416,"EN CAMINO OK", TRUE,"SANO")</f>
        <v>SANO</v>
      </c>
    </row>
    <row r="1417" spans="1:12" x14ac:dyDescent="0.45">
      <c r="A1417" t="s">
        <v>1114</v>
      </c>
      <c r="B1417" t="s">
        <v>48</v>
      </c>
      <c r="C1417">
        <v>9597</v>
      </c>
      <c r="D1417">
        <v>562.9</v>
      </c>
      <c r="E1417">
        <v>144.1</v>
      </c>
      <c r="F1417">
        <v>0.9</v>
      </c>
      <c r="G1417">
        <v>1.3</v>
      </c>
      <c r="H1417">
        <f t="shared" si="66"/>
        <v>1228.3090977122779</v>
      </c>
      <c r="I1417">
        <f t="shared" si="67"/>
        <v>1734.919097712278</v>
      </c>
      <c r="J1417">
        <f>SUMIFS(Transit_Clean[Quantity], Transit_Clean[Destination], A1417, Transit_Clean[Item_Code], B1417, Transit_Clean[SAP_Status], "In Transit")</f>
        <v>0</v>
      </c>
      <c r="K1417">
        <f t="shared" si="68"/>
        <v>17.049209451057028</v>
      </c>
      <c r="L1417" t="str" cm="1">
        <f t="array" ref="L1417">_xlfn.IFS(C1417&lt;0,"DATO INVALIDO", C1417+J1417&lt;I1417,"PEDIR YA", C1417&lt;I1417,"EN CAMINO OK", TRUE,"SANO")</f>
        <v>SANO</v>
      </c>
    </row>
    <row r="1418" spans="1:12" x14ac:dyDescent="0.45">
      <c r="A1418" t="s">
        <v>1115</v>
      </c>
      <c r="B1418" t="s">
        <v>55</v>
      </c>
      <c r="C1418">
        <v>9040</v>
      </c>
      <c r="E1418">
        <v>216.9</v>
      </c>
      <c r="F1418">
        <v>1.8</v>
      </c>
      <c r="G1418">
        <v>0.6</v>
      </c>
      <c r="H1418">
        <f t="shared" si="66"/>
        <v>480.15311287650735</v>
      </c>
      <c r="I1418">
        <f t="shared" si="67"/>
        <v>480.15311287650735</v>
      </c>
      <c r="J1418">
        <f>SUMIFS(Transit_Clean[Quantity], Transit_Clean[Destination], A1418, Transit_Clean[Item_Code], B1418, Transit_Clean[SAP_Status], "In Transit")</f>
        <v>1894</v>
      </c>
      <c r="K1418" t="str">
        <f t="shared" si="68"/>
        <v/>
      </c>
      <c r="L1418" t="str" cm="1">
        <f t="array" ref="L1418">_xlfn.IFS(C1418&lt;0,"DATO INVALIDO", C1418+J1418&lt;I1418,"PEDIR YA", C1418&lt;I1418,"EN CAMINO OK", TRUE,"SANO")</f>
        <v>SANO</v>
      </c>
    </row>
    <row r="1419" spans="1:12" x14ac:dyDescent="0.45">
      <c r="A1419" t="s">
        <v>1115</v>
      </c>
      <c r="B1419" t="s">
        <v>44</v>
      </c>
      <c r="C1419">
        <v>9140</v>
      </c>
      <c r="D1419">
        <v>518</v>
      </c>
      <c r="E1419">
        <v>143.9</v>
      </c>
      <c r="F1419">
        <v>0.5</v>
      </c>
      <c r="G1419">
        <v>0.6</v>
      </c>
      <c r="H1419">
        <f t="shared" si="66"/>
        <v>539.60359710856267</v>
      </c>
      <c r="I1419">
        <f t="shared" si="67"/>
        <v>798.60359710856267</v>
      </c>
      <c r="J1419">
        <f>SUMIFS(Transit_Clean[Quantity], Transit_Clean[Destination], A1419, Transit_Clean[Item_Code], B1419, Transit_Clean[SAP_Status], "In Transit")</f>
        <v>0</v>
      </c>
      <c r="K1419">
        <f t="shared" si="68"/>
        <v>17.644787644787645</v>
      </c>
      <c r="L1419" t="str" cm="1">
        <f t="array" ref="L1419">_xlfn.IFS(C1419&lt;0,"DATO INVALIDO", C1419+J1419&lt;I1419,"PEDIR YA", C1419&lt;I1419,"EN CAMINO OK", TRUE,"SANO")</f>
        <v>SANO</v>
      </c>
    </row>
    <row r="1420" spans="1:12" x14ac:dyDescent="0.45">
      <c r="A1420" t="s">
        <v>1120</v>
      </c>
      <c r="B1420" t="s">
        <v>71</v>
      </c>
      <c r="C1420">
        <v>620</v>
      </c>
      <c r="D1420">
        <v>290.7</v>
      </c>
      <c r="E1420">
        <v>35.200000000000003</v>
      </c>
      <c r="F1420">
        <v>2</v>
      </c>
      <c r="G1420">
        <v>0.5</v>
      </c>
      <c r="H1420">
        <f t="shared" si="66"/>
        <v>253.50306222262878</v>
      </c>
      <c r="I1420">
        <f t="shared" si="67"/>
        <v>834.90306222262871</v>
      </c>
      <c r="J1420">
        <f>SUMIFS(Transit_Clean[Quantity], Transit_Clean[Destination], A1420, Transit_Clean[Item_Code], B1420, Transit_Clean[SAP_Status], "In Transit")</f>
        <v>0</v>
      </c>
      <c r="K1420">
        <f t="shared" si="68"/>
        <v>2.1327829377364984</v>
      </c>
      <c r="L1420" t="str" cm="1">
        <f t="array" ref="L1420">_xlfn.IFS(C1420&lt;0,"DATO INVALIDO", C1420+J1420&lt;I1420,"PEDIR YA", C1420&lt;I1420,"EN CAMINO OK", TRUE,"SANO")</f>
        <v>PEDIR YA</v>
      </c>
    </row>
    <row r="1421" spans="1:12" x14ac:dyDescent="0.45">
      <c r="A1421" t="s">
        <v>1126</v>
      </c>
      <c r="B1421" t="s">
        <v>74</v>
      </c>
      <c r="C1421">
        <v>2104</v>
      </c>
      <c r="D1421">
        <v>196.6</v>
      </c>
      <c r="E1421">
        <v>96.8</v>
      </c>
      <c r="F1421">
        <v>1</v>
      </c>
      <c r="G1421">
        <v>0.2</v>
      </c>
      <c r="H1421">
        <f t="shared" si="66"/>
        <v>172.39383191982247</v>
      </c>
      <c r="I1421">
        <f t="shared" si="67"/>
        <v>368.99383191982247</v>
      </c>
      <c r="J1421">
        <f>SUMIFS(Transit_Clean[Quantity], Transit_Clean[Destination], A1421, Transit_Clean[Item_Code], B1421, Transit_Clean[SAP_Status], "In Transit")</f>
        <v>0</v>
      </c>
      <c r="K1421">
        <f t="shared" si="68"/>
        <v>10.701932858596134</v>
      </c>
      <c r="L1421" t="str" cm="1">
        <f t="array" ref="L1421">_xlfn.IFS(C1421&lt;0,"DATO INVALIDO", C1421+J1421&lt;I1421,"PEDIR YA", C1421&lt;I1421,"EN CAMINO OK", TRUE,"SANO")</f>
        <v>SANO</v>
      </c>
    </row>
    <row r="1422" spans="1:12" x14ac:dyDescent="0.45">
      <c r="A1422" t="s">
        <v>1124</v>
      </c>
      <c r="B1422" t="s">
        <v>39</v>
      </c>
      <c r="C1422">
        <v>984</v>
      </c>
      <c r="D1422">
        <v>204.8</v>
      </c>
      <c r="E1422">
        <v>40</v>
      </c>
      <c r="F1422">
        <v>0.5</v>
      </c>
      <c r="G1422">
        <v>0.3</v>
      </c>
      <c r="H1422">
        <f t="shared" si="66"/>
        <v>111.60238965183497</v>
      </c>
      <c r="I1422">
        <f t="shared" si="67"/>
        <v>214.00238965183496</v>
      </c>
      <c r="J1422">
        <f>SUMIFS(Transit_Clean[Quantity], Transit_Clean[Destination], A1422, Transit_Clean[Item_Code], B1422, Transit_Clean[SAP_Status], "In Transit")</f>
        <v>0</v>
      </c>
      <c r="K1422">
        <f t="shared" si="68"/>
        <v>4.8046875</v>
      </c>
      <c r="L1422" t="str" cm="1">
        <f t="array" ref="L1422">_xlfn.IFS(C1422&lt;0,"DATO INVALIDO", C1422+J1422&lt;I1422,"PEDIR YA", C1422&lt;I1422,"EN CAMINO OK", TRUE,"SANO")</f>
        <v>SANO</v>
      </c>
    </row>
    <row r="1423" spans="1:12" x14ac:dyDescent="0.45">
      <c r="A1423" t="s">
        <v>1124</v>
      </c>
      <c r="B1423" t="s">
        <v>15</v>
      </c>
      <c r="D1423">
        <v>807.9</v>
      </c>
      <c r="E1423">
        <v>215.1</v>
      </c>
      <c r="F1423">
        <v>0.8</v>
      </c>
      <c r="G1423">
        <v>0.3</v>
      </c>
      <c r="H1423">
        <f t="shared" si="66"/>
        <v>510.58802746465761</v>
      </c>
      <c r="I1423">
        <f t="shared" si="67"/>
        <v>1156.9080274646576</v>
      </c>
      <c r="J1423">
        <f>SUMIFS(Transit_Clean[Quantity], Transit_Clean[Destination], A1423, Transit_Clean[Item_Code], B1423, Transit_Clean[SAP_Status], "In Transit")</f>
        <v>0</v>
      </c>
      <c r="K1423">
        <f t="shared" si="68"/>
        <v>0</v>
      </c>
      <c r="L1423" t="str" cm="1">
        <f t="array" ref="L1423">_xlfn.IFS(C1423&lt;0,"DATO INVALIDO", C1423+J1423&lt;I1423,"PEDIR YA", C1423&lt;I1423,"EN CAMINO OK", TRUE,"SANO")</f>
        <v>PEDIR YA</v>
      </c>
    </row>
    <row r="1424" spans="1:12" x14ac:dyDescent="0.45">
      <c r="A1424" t="s">
        <v>1114</v>
      </c>
      <c r="B1424" t="s">
        <v>10</v>
      </c>
      <c r="C1424">
        <v>2146</v>
      </c>
      <c r="D1424">
        <v>224.2</v>
      </c>
      <c r="E1424">
        <v>30</v>
      </c>
      <c r="F1424">
        <v>4</v>
      </c>
      <c r="G1424">
        <v>1.3</v>
      </c>
      <c r="H1424">
        <f t="shared" si="66"/>
        <v>490.99334647324906</v>
      </c>
      <c r="I1424">
        <f t="shared" si="67"/>
        <v>1387.7933464732491</v>
      </c>
      <c r="J1424">
        <f>SUMIFS(Transit_Clean[Quantity], Transit_Clean[Destination], A1424, Transit_Clean[Item_Code], B1424, Transit_Clean[SAP_Status], "In Transit")</f>
        <v>0</v>
      </c>
      <c r="K1424">
        <f t="shared" si="68"/>
        <v>9.5718108831400546</v>
      </c>
      <c r="L1424" t="str" cm="1">
        <f t="array" ref="L1424">_xlfn.IFS(C1424&lt;0,"DATO INVALIDO", C1424+J1424&lt;I1424,"PEDIR YA", C1424&lt;I1424,"EN CAMINO OK", TRUE,"SANO")</f>
        <v>SANO</v>
      </c>
    </row>
    <row r="1425" spans="1:12" x14ac:dyDescent="0.45">
      <c r="A1425" t="s">
        <v>1121</v>
      </c>
      <c r="B1425" t="s">
        <v>1136</v>
      </c>
      <c r="C1425">
        <v>3044</v>
      </c>
      <c r="D1425">
        <v>463.4</v>
      </c>
      <c r="E1425">
        <v>225.4</v>
      </c>
      <c r="F1425">
        <v>2</v>
      </c>
      <c r="G1425">
        <v>0.4</v>
      </c>
      <c r="H1425">
        <f t="shared" si="66"/>
        <v>608.41979630514982</v>
      </c>
      <c r="I1425">
        <f t="shared" si="67"/>
        <v>1535.2197963051499</v>
      </c>
      <c r="J1425">
        <f>SUMIFS(Transit_Clean[Quantity], Transit_Clean[Destination], A1425, Transit_Clean[Item_Code], B1425, Transit_Clean[SAP_Status], "In Transit")</f>
        <v>0</v>
      </c>
      <c r="K1425">
        <f t="shared" si="68"/>
        <v>6.5688390159689254</v>
      </c>
      <c r="L1425" t="str" cm="1">
        <f t="array" ref="L1425">_xlfn.IFS(C1425&lt;0,"DATO INVALIDO", C1425+J1425&lt;I1425,"PEDIR YA", C1425&lt;I1425,"EN CAMINO OK", TRUE,"SANO")</f>
        <v>SANO</v>
      </c>
    </row>
    <row r="1426" spans="1:12" x14ac:dyDescent="0.45">
      <c r="A1426" t="s">
        <v>1127</v>
      </c>
      <c r="B1426" t="s">
        <v>109</v>
      </c>
      <c r="C1426">
        <v>2892</v>
      </c>
      <c r="D1426">
        <v>354.4</v>
      </c>
      <c r="E1426">
        <v>153.69999999999999</v>
      </c>
      <c r="F1426">
        <v>2.6</v>
      </c>
      <c r="G1426">
        <v>0.9</v>
      </c>
      <c r="H1426">
        <f t="shared" si="66"/>
        <v>666.47966084570044</v>
      </c>
      <c r="I1426">
        <f t="shared" si="67"/>
        <v>1587.9196608457005</v>
      </c>
      <c r="J1426">
        <f>SUMIFS(Transit_Clean[Quantity], Transit_Clean[Destination], A1426, Transit_Clean[Item_Code], B1426, Transit_Clean[SAP_Status], "In Transit")</f>
        <v>837</v>
      </c>
      <c r="K1426">
        <f t="shared" si="68"/>
        <v>8.1602708803611748</v>
      </c>
      <c r="L1426" t="str" cm="1">
        <f t="array" ref="L1426">_xlfn.IFS(C1426&lt;0,"DATO INVALIDO", C1426+J1426&lt;I1426,"PEDIR YA", C1426&lt;I1426,"EN CAMINO OK", TRUE,"SANO")</f>
        <v>SANO</v>
      </c>
    </row>
    <row r="1427" spans="1:12" x14ac:dyDescent="0.45">
      <c r="A1427" t="s">
        <v>1124</v>
      </c>
      <c r="B1427" t="s">
        <v>108</v>
      </c>
      <c r="C1427">
        <v>7467</v>
      </c>
      <c r="D1427">
        <v>472.8</v>
      </c>
      <c r="E1427">
        <v>84</v>
      </c>
      <c r="F1427">
        <v>0.5</v>
      </c>
      <c r="G1427">
        <v>0.3</v>
      </c>
      <c r="H1427">
        <f t="shared" si="66"/>
        <v>253.72786464241565</v>
      </c>
      <c r="I1427">
        <f t="shared" si="67"/>
        <v>490.12786464241566</v>
      </c>
      <c r="J1427">
        <f>SUMIFS(Transit_Clean[Quantity], Transit_Clean[Destination], A1427, Transit_Clean[Item_Code], B1427, Transit_Clean[SAP_Status], "In Transit")</f>
        <v>953</v>
      </c>
      <c r="K1427">
        <f t="shared" si="68"/>
        <v>15.793147208121827</v>
      </c>
      <c r="L1427" t="str" cm="1">
        <f t="array" ref="L1427">_xlfn.IFS(C1427&lt;0,"DATO INVALIDO", C1427+J1427&lt;I1427,"PEDIR YA", C1427&lt;I1427,"EN CAMINO OK", TRUE,"SANO")</f>
        <v>SANO</v>
      </c>
    </row>
    <row r="1428" spans="1:12" x14ac:dyDescent="0.45">
      <c r="A1428" t="s">
        <v>1123</v>
      </c>
      <c r="B1428" t="s">
        <v>45</v>
      </c>
      <c r="C1428">
        <v>4618</v>
      </c>
      <c r="D1428">
        <v>384.4</v>
      </c>
      <c r="E1428">
        <v>62.9</v>
      </c>
      <c r="F1428">
        <v>1</v>
      </c>
      <c r="G1428">
        <v>0.3</v>
      </c>
      <c r="H1428">
        <f t="shared" si="66"/>
        <v>216.7418822216878</v>
      </c>
      <c r="I1428">
        <f t="shared" si="67"/>
        <v>601.14188222168775</v>
      </c>
      <c r="J1428">
        <f>SUMIFS(Transit_Clean[Quantity], Transit_Clean[Destination], A1428, Transit_Clean[Item_Code], B1428, Transit_Clean[SAP_Status], "In Transit")</f>
        <v>0</v>
      </c>
      <c r="K1428">
        <f t="shared" si="68"/>
        <v>12.013527575442248</v>
      </c>
      <c r="L1428" t="str" cm="1">
        <f t="array" ref="L1428">_xlfn.IFS(C1428&lt;0,"DATO INVALIDO", C1428+J1428&lt;I1428,"PEDIR YA", C1428&lt;I1428,"EN CAMINO OK", TRUE,"SANO")</f>
        <v>SANO</v>
      </c>
    </row>
    <row r="1429" spans="1:12" x14ac:dyDescent="0.45">
      <c r="A1429" t="s">
        <v>1123</v>
      </c>
      <c r="B1429" t="s">
        <v>1129</v>
      </c>
      <c r="C1429">
        <v>9117</v>
      </c>
      <c r="D1429">
        <v>757.2</v>
      </c>
      <c r="E1429">
        <v>165.2</v>
      </c>
      <c r="F1429">
        <v>1</v>
      </c>
      <c r="G1429">
        <v>0.3</v>
      </c>
      <c r="H1429">
        <f t="shared" si="66"/>
        <v>463.4494481558911</v>
      </c>
      <c r="I1429">
        <f t="shared" si="67"/>
        <v>1220.6494481558912</v>
      </c>
      <c r="J1429">
        <f>SUMIFS(Transit_Clean[Quantity], Transit_Clean[Destination], A1429, Transit_Clean[Item_Code], B1429, Transit_Clean[SAP_Status], "In Transit")</f>
        <v>2743</v>
      </c>
      <c r="K1429">
        <f t="shared" si="68"/>
        <v>12.040412044374008</v>
      </c>
      <c r="L1429" t="str" cm="1">
        <f t="array" ref="L1429">_xlfn.IFS(C1429&lt;0,"DATO INVALIDO", C1429+J1429&lt;I1429,"PEDIR YA", C1429&lt;I1429,"EN CAMINO OK", TRUE,"SANO")</f>
        <v>SANO</v>
      </c>
    </row>
    <row r="1430" spans="1:12" x14ac:dyDescent="0.45">
      <c r="A1430" t="s">
        <v>1122</v>
      </c>
      <c r="B1430" t="s">
        <v>95</v>
      </c>
      <c r="C1430">
        <v>408</v>
      </c>
      <c r="D1430">
        <v>211.7</v>
      </c>
      <c r="E1430">
        <v>21.7</v>
      </c>
      <c r="F1430">
        <v>1.1000000000000001</v>
      </c>
      <c r="G1430">
        <v>0.2</v>
      </c>
      <c r="H1430">
        <f t="shared" si="66"/>
        <v>79.31429346908412</v>
      </c>
      <c r="I1430">
        <f t="shared" si="67"/>
        <v>312.18429346908414</v>
      </c>
      <c r="J1430">
        <f>SUMIFS(Transit_Clean[Quantity], Transit_Clean[Destination], A1430, Transit_Clean[Item_Code], B1430, Transit_Clean[SAP_Status], "In Transit")</f>
        <v>0</v>
      </c>
      <c r="K1430">
        <f t="shared" si="68"/>
        <v>1.9272555503070383</v>
      </c>
      <c r="L1430" t="str" cm="1">
        <f t="array" ref="L1430">_xlfn.IFS(C1430&lt;0,"DATO INVALIDO", C1430+J1430&lt;I1430,"PEDIR YA", C1430&lt;I1430,"EN CAMINO OK", TRUE,"SANO")</f>
        <v>SANO</v>
      </c>
    </row>
    <row r="1431" spans="1:12" x14ac:dyDescent="0.45">
      <c r="A1431" t="s">
        <v>1128</v>
      </c>
      <c r="B1431" t="s">
        <v>33</v>
      </c>
      <c r="C1431">
        <v>4098</v>
      </c>
      <c r="D1431">
        <v>296.8</v>
      </c>
      <c r="E1431">
        <v>34.6</v>
      </c>
      <c r="F1431">
        <v>2.4</v>
      </c>
      <c r="G1431">
        <v>0.5</v>
      </c>
      <c r="H1431">
        <f t="shared" si="66"/>
        <v>260.34335605119634</v>
      </c>
      <c r="I1431">
        <f t="shared" si="67"/>
        <v>972.66335605119639</v>
      </c>
      <c r="J1431">
        <f>SUMIFS(Transit_Clean[Quantity], Transit_Clean[Destination], A1431, Transit_Clean[Item_Code], B1431, Transit_Clean[SAP_Status], "In Transit")</f>
        <v>0</v>
      </c>
      <c r="K1431">
        <f t="shared" si="68"/>
        <v>13.807277628032345</v>
      </c>
      <c r="L1431" t="str" cm="1">
        <f t="array" ref="L1431">_xlfn.IFS(C1431&lt;0,"DATO INVALIDO", C1431+J1431&lt;I1431,"PEDIR YA", C1431&lt;I1431,"EN CAMINO OK", TRUE,"SANO")</f>
        <v>SANO</v>
      </c>
    </row>
    <row r="1432" spans="1:12" x14ac:dyDescent="0.45">
      <c r="A1432" t="s">
        <v>1114</v>
      </c>
      <c r="B1432" t="s">
        <v>13</v>
      </c>
      <c r="C1432">
        <v>1260</v>
      </c>
      <c r="D1432">
        <v>206.8</v>
      </c>
      <c r="E1432">
        <v>65.7</v>
      </c>
      <c r="F1432">
        <v>4.5999999999999996</v>
      </c>
      <c r="G1432">
        <v>1.3</v>
      </c>
      <c r="H1432">
        <f t="shared" si="66"/>
        <v>500.82542059184664</v>
      </c>
      <c r="I1432">
        <f t="shared" si="67"/>
        <v>1452.1054205918467</v>
      </c>
      <c r="J1432">
        <f>SUMIFS(Transit_Clean[Quantity], Transit_Clean[Destination], A1432, Transit_Clean[Item_Code], B1432, Transit_Clean[SAP_Status], "In Transit")</f>
        <v>2829</v>
      </c>
      <c r="K1432">
        <f t="shared" si="68"/>
        <v>6.0928433268858795</v>
      </c>
      <c r="L1432" t="str" cm="1">
        <f t="array" ref="L1432">_xlfn.IFS(C1432&lt;0,"DATO INVALIDO", C1432+J1432&lt;I1432,"PEDIR YA", C1432&lt;I1432,"EN CAMINO OK", TRUE,"SANO")</f>
        <v>EN CAMINO OK</v>
      </c>
    </row>
    <row r="1433" spans="1:12" x14ac:dyDescent="0.45">
      <c r="A1433" t="s">
        <v>1122</v>
      </c>
      <c r="B1433" t="s">
        <v>75</v>
      </c>
      <c r="C1433">
        <v>2625</v>
      </c>
      <c r="E1433">
        <v>53.2</v>
      </c>
      <c r="F1433">
        <v>0.8</v>
      </c>
      <c r="G1433">
        <v>0.2</v>
      </c>
      <c r="H1433">
        <f t="shared" si="66"/>
        <v>78.512818825972616</v>
      </c>
      <c r="I1433">
        <f t="shared" si="67"/>
        <v>78.512818825972616</v>
      </c>
      <c r="J1433">
        <f>SUMIFS(Transit_Clean[Quantity], Transit_Clean[Destination], A1433, Transit_Clean[Item_Code], B1433, Transit_Clean[SAP_Status], "In Transit")</f>
        <v>1269</v>
      </c>
      <c r="K1433" t="str">
        <f t="shared" si="68"/>
        <v/>
      </c>
      <c r="L1433" t="str" cm="1">
        <f t="array" ref="L1433">_xlfn.IFS(C1433&lt;0,"DATO INVALIDO", C1433+J1433&lt;I1433,"PEDIR YA", C1433&lt;I1433,"EN CAMINO OK", TRUE,"SANO")</f>
        <v>SANO</v>
      </c>
    </row>
    <row r="1434" spans="1:12" x14ac:dyDescent="0.45">
      <c r="A1434" t="s">
        <v>1128</v>
      </c>
      <c r="B1434" t="s">
        <v>1137</v>
      </c>
      <c r="C1434">
        <v>3320</v>
      </c>
      <c r="D1434">
        <v>332.6</v>
      </c>
      <c r="E1434">
        <v>29.9</v>
      </c>
      <c r="F1434">
        <v>1.7</v>
      </c>
      <c r="G1434">
        <v>0.5</v>
      </c>
      <c r="H1434">
        <f t="shared" si="66"/>
        <v>281.83384787406214</v>
      </c>
      <c r="I1434">
        <f t="shared" si="67"/>
        <v>847.25384787406222</v>
      </c>
      <c r="J1434">
        <f>SUMIFS(Transit_Clean[Quantity], Transit_Clean[Destination], A1434, Transit_Clean[Item_Code], B1434, Transit_Clean[SAP_Status], "In Transit")</f>
        <v>1158</v>
      </c>
      <c r="K1434">
        <f t="shared" si="68"/>
        <v>9.981960312687912</v>
      </c>
      <c r="L1434" t="str" cm="1">
        <f t="array" ref="L1434">_xlfn.IFS(C1434&lt;0,"DATO INVALIDO", C1434+J1434&lt;I1434,"PEDIR YA", C1434&lt;I1434,"EN CAMINO OK", TRUE,"SANO")</f>
        <v>SANO</v>
      </c>
    </row>
    <row r="1435" spans="1:12" x14ac:dyDescent="0.45">
      <c r="A1435" t="s">
        <v>1116</v>
      </c>
      <c r="B1435" t="s">
        <v>22</v>
      </c>
      <c r="C1435">
        <v>2020</v>
      </c>
      <c r="D1435">
        <v>114.2</v>
      </c>
      <c r="E1435">
        <v>59.8</v>
      </c>
      <c r="F1435">
        <v>4.3</v>
      </c>
      <c r="G1435">
        <v>1.6</v>
      </c>
      <c r="H1435">
        <f t="shared" si="66"/>
        <v>364.36083820026545</v>
      </c>
      <c r="I1435">
        <f t="shared" si="67"/>
        <v>855.42083820026551</v>
      </c>
      <c r="J1435">
        <f>SUMIFS(Transit_Clean[Quantity], Transit_Clean[Destination], A1435, Transit_Clean[Item_Code], B1435, Transit_Clean[SAP_Status], "In Transit")</f>
        <v>0</v>
      </c>
      <c r="K1435">
        <f t="shared" si="68"/>
        <v>17.688266199649735</v>
      </c>
      <c r="L1435" t="str" cm="1">
        <f t="array" ref="L1435">_xlfn.IFS(C1435&lt;0,"DATO INVALIDO", C1435+J1435&lt;I1435,"PEDIR YA", C1435&lt;I1435,"EN CAMINO OK", TRUE,"SANO")</f>
        <v>SANO</v>
      </c>
    </row>
    <row r="1436" spans="1:12" x14ac:dyDescent="0.45">
      <c r="A1436" t="s">
        <v>1118</v>
      </c>
      <c r="B1436" t="s">
        <v>105</v>
      </c>
      <c r="C1436">
        <v>4356</v>
      </c>
      <c r="D1436">
        <v>296.2</v>
      </c>
      <c r="E1436">
        <v>33.299999999999997</v>
      </c>
      <c r="F1436">
        <v>7.7</v>
      </c>
      <c r="G1436">
        <v>1.5</v>
      </c>
      <c r="H1436">
        <f t="shared" si="66"/>
        <v>748.78182224029706</v>
      </c>
      <c r="I1436">
        <f t="shared" si="67"/>
        <v>3029.5218222402968</v>
      </c>
      <c r="J1436">
        <f>SUMIFS(Transit_Clean[Quantity], Transit_Clean[Destination], A1436, Transit_Clean[Item_Code], B1436, Transit_Clean[SAP_Status], "In Transit")</f>
        <v>0</v>
      </c>
      <c r="K1436">
        <f t="shared" si="68"/>
        <v>14.706279540850778</v>
      </c>
      <c r="L1436" t="str" cm="1">
        <f t="array" ref="L1436">_xlfn.IFS(C1436&lt;0,"DATO INVALIDO", C1436+J1436&lt;I1436,"PEDIR YA", C1436&lt;I1436,"EN CAMINO OK", TRUE,"SANO")</f>
        <v>SANO</v>
      </c>
    </row>
    <row r="1437" spans="1:12" x14ac:dyDescent="0.45">
      <c r="A1437" t="s">
        <v>1126</v>
      </c>
      <c r="B1437" t="s">
        <v>91</v>
      </c>
      <c r="C1437">
        <v>952</v>
      </c>
      <c r="D1437">
        <v>138.4</v>
      </c>
      <c r="E1437">
        <v>94.8</v>
      </c>
      <c r="F1437">
        <v>1.3</v>
      </c>
      <c r="G1437">
        <v>0.2</v>
      </c>
      <c r="H1437">
        <f t="shared" si="66"/>
        <v>184.10136583958305</v>
      </c>
      <c r="I1437">
        <f t="shared" si="67"/>
        <v>364.02136583958304</v>
      </c>
      <c r="J1437">
        <f>SUMIFS(Transit_Clean[Quantity], Transit_Clean[Destination], A1437, Transit_Clean[Item_Code], B1437, Transit_Clean[SAP_Status], "In Transit")</f>
        <v>1490</v>
      </c>
      <c r="K1437">
        <f t="shared" si="68"/>
        <v>6.8786127167630058</v>
      </c>
      <c r="L1437" t="str" cm="1">
        <f t="array" ref="L1437">_xlfn.IFS(C1437&lt;0,"DATO INVALIDO", C1437+J1437&lt;I1437,"PEDIR YA", C1437&lt;I1437,"EN CAMINO OK", TRUE,"SANO")</f>
        <v>SANO</v>
      </c>
    </row>
    <row r="1438" spans="1:12" x14ac:dyDescent="0.45">
      <c r="A1438" t="s">
        <v>1120</v>
      </c>
      <c r="B1438" t="s">
        <v>1138</v>
      </c>
      <c r="C1438">
        <v>5073</v>
      </c>
      <c r="D1438">
        <v>364.6</v>
      </c>
      <c r="E1438">
        <v>84.1</v>
      </c>
      <c r="F1438">
        <v>1.2</v>
      </c>
      <c r="G1438">
        <v>0.5</v>
      </c>
      <c r="H1438">
        <f t="shared" si="66"/>
        <v>337.02299965284266</v>
      </c>
      <c r="I1438">
        <f t="shared" si="67"/>
        <v>774.5429996528427</v>
      </c>
      <c r="J1438">
        <f>SUMIFS(Transit_Clean[Quantity], Transit_Clean[Destination], A1438, Transit_Clean[Item_Code], B1438, Transit_Clean[SAP_Status], "In Transit")</f>
        <v>1366</v>
      </c>
      <c r="K1438">
        <f t="shared" si="68"/>
        <v>13.913878222709819</v>
      </c>
      <c r="L1438" t="str" cm="1">
        <f t="array" ref="L1438">_xlfn.IFS(C1438&lt;0,"DATO INVALIDO", C1438+J1438&lt;I1438,"PEDIR YA", C1438&lt;I1438,"EN CAMINO OK", TRUE,"SANO")</f>
        <v>SANO</v>
      </c>
    </row>
    <row r="1439" spans="1:12" x14ac:dyDescent="0.45">
      <c r="A1439" t="s">
        <v>1128</v>
      </c>
      <c r="B1439" t="s">
        <v>19</v>
      </c>
      <c r="C1439">
        <v>815</v>
      </c>
      <c r="D1439">
        <v>132.5</v>
      </c>
      <c r="E1439">
        <v>49.5</v>
      </c>
      <c r="F1439">
        <v>2</v>
      </c>
      <c r="G1439">
        <v>0.5</v>
      </c>
      <c r="H1439">
        <f t="shared" si="66"/>
        <v>159.03092122681676</v>
      </c>
      <c r="I1439">
        <f t="shared" si="67"/>
        <v>424.03092122681676</v>
      </c>
      <c r="J1439">
        <f>SUMIFS(Transit_Clean[Quantity], Transit_Clean[Destination], A1439, Transit_Clean[Item_Code], B1439, Transit_Clean[SAP_Status], "In Transit")</f>
        <v>3844</v>
      </c>
      <c r="K1439">
        <f t="shared" si="68"/>
        <v>6.1509433962264151</v>
      </c>
      <c r="L1439" t="str" cm="1">
        <f t="array" ref="L1439">_xlfn.IFS(C1439&lt;0,"DATO INVALIDO", C1439+J1439&lt;I1439,"PEDIR YA", C1439&lt;I1439,"EN CAMINO OK", TRUE,"SANO")</f>
        <v>SANO</v>
      </c>
    </row>
    <row r="1440" spans="1:12" x14ac:dyDescent="0.45">
      <c r="A1440" t="s">
        <v>1116</v>
      </c>
      <c r="B1440" t="s">
        <v>1137</v>
      </c>
      <c r="C1440">
        <v>3576</v>
      </c>
      <c r="D1440">
        <v>275.8</v>
      </c>
      <c r="E1440">
        <v>23.1</v>
      </c>
      <c r="F1440">
        <v>3.4</v>
      </c>
      <c r="G1440">
        <v>1.6</v>
      </c>
      <c r="H1440">
        <f t="shared" si="66"/>
        <v>731.49603246292463</v>
      </c>
      <c r="I1440">
        <f t="shared" si="67"/>
        <v>1669.2160324629247</v>
      </c>
      <c r="J1440">
        <f>SUMIFS(Transit_Clean[Quantity], Transit_Clean[Destination], A1440, Transit_Clean[Item_Code], B1440, Transit_Clean[SAP_Status], "In Transit")</f>
        <v>0</v>
      </c>
      <c r="K1440">
        <f t="shared" si="68"/>
        <v>12.965917331399565</v>
      </c>
      <c r="L1440" t="str" cm="1">
        <f t="array" ref="L1440">_xlfn.IFS(C1440&lt;0,"DATO INVALIDO", C1440+J1440&lt;I1440,"PEDIR YA", C1440&lt;I1440,"EN CAMINO OK", TRUE,"SANO")</f>
        <v>SANO</v>
      </c>
    </row>
    <row r="1441" spans="1:12" x14ac:dyDescent="0.45">
      <c r="A1441" t="s">
        <v>1121</v>
      </c>
      <c r="B1441" t="s">
        <v>92</v>
      </c>
      <c r="C1441">
        <v>1135</v>
      </c>
      <c r="D1441">
        <v>409.5</v>
      </c>
      <c r="E1441">
        <v>133.80000000000001</v>
      </c>
      <c r="F1441">
        <v>1.9</v>
      </c>
      <c r="G1441">
        <v>0.4</v>
      </c>
      <c r="H1441">
        <f t="shared" si="66"/>
        <v>407.00211229181605</v>
      </c>
      <c r="I1441">
        <f t="shared" si="67"/>
        <v>1185.052112291816</v>
      </c>
      <c r="J1441">
        <f>SUMIFS(Transit_Clean[Quantity], Transit_Clean[Destination], A1441, Transit_Clean[Item_Code], B1441, Transit_Clean[SAP_Status], "In Transit")</f>
        <v>0</v>
      </c>
      <c r="K1441">
        <f t="shared" si="68"/>
        <v>2.7716727716727716</v>
      </c>
      <c r="L1441" t="str" cm="1">
        <f t="array" ref="L1441">_xlfn.IFS(C1441&lt;0,"DATO INVALIDO", C1441+J1441&lt;I1441,"PEDIR YA", C1441&lt;I1441,"EN CAMINO OK", TRUE,"SANO")</f>
        <v>PEDIR YA</v>
      </c>
    </row>
    <row r="1442" spans="1:12" x14ac:dyDescent="0.45">
      <c r="A1442" t="s">
        <v>1116</v>
      </c>
      <c r="B1442" t="s">
        <v>98</v>
      </c>
      <c r="C1442">
        <v>2237</v>
      </c>
      <c r="D1442">
        <v>767.7</v>
      </c>
      <c r="E1442">
        <v>222.5</v>
      </c>
      <c r="F1442">
        <v>5.2</v>
      </c>
      <c r="G1442">
        <v>1.6</v>
      </c>
      <c r="H1442">
        <f t="shared" si="66"/>
        <v>2192.8261142265706</v>
      </c>
      <c r="I1442">
        <f t="shared" si="67"/>
        <v>6184.866114226571</v>
      </c>
      <c r="J1442">
        <f>SUMIFS(Transit_Clean[Quantity], Transit_Clean[Destination], A1442, Transit_Clean[Item_Code], B1442, Transit_Clean[SAP_Status], "In Transit")</f>
        <v>0</v>
      </c>
      <c r="K1442">
        <f t="shared" si="68"/>
        <v>2.9138986583300768</v>
      </c>
      <c r="L1442" t="str" cm="1">
        <f t="array" ref="L1442">_xlfn.IFS(C1442&lt;0,"DATO INVALIDO", C1442+J1442&lt;I1442,"PEDIR YA", C1442&lt;I1442,"EN CAMINO OK", TRUE,"SANO")</f>
        <v>PEDIR YA</v>
      </c>
    </row>
    <row r="1443" spans="1:12" x14ac:dyDescent="0.45">
      <c r="A1443" t="s">
        <v>1127</v>
      </c>
      <c r="B1443" t="s">
        <v>33</v>
      </c>
      <c r="C1443">
        <v>7217</v>
      </c>
      <c r="D1443">
        <v>425.4</v>
      </c>
      <c r="E1443">
        <v>48.2</v>
      </c>
      <c r="F1443">
        <v>2.2000000000000002</v>
      </c>
      <c r="G1443">
        <v>0.9</v>
      </c>
      <c r="H1443">
        <f t="shared" si="66"/>
        <v>642.6382660105138</v>
      </c>
      <c r="I1443">
        <f t="shared" si="67"/>
        <v>1578.5182660105138</v>
      </c>
      <c r="J1443">
        <f>SUMIFS(Transit_Clean[Quantity], Transit_Clean[Destination], A1443, Transit_Clean[Item_Code], B1443, Transit_Clean[SAP_Status], "In Transit")</f>
        <v>0</v>
      </c>
      <c r="K1443">
        <f t="shared" si="68"/>
        <v>16.965209214856607</v>
      </c>
      <c r="L1443" t="str" cm="1">
        <f t="array" ref="L1443">_xlfn.IFS(C1443&lt;0,"DATO INVALIDO", C1443+J1443&lt;I1443,"PEDIR YA", C1443&lt;I1443,"EN CAMINO OK", TRUE,"SANO")</f>
        <v>SANO</v>
      </c>
    </row>
    <row r="1444" spans="1:12" x14ac:dyDescent="0.45">
      <c r="A1444" t="s">
        <v>1127</v>
      </c>
      <c r="B1444" t="s">
        <v>5</v>
      </c>
      <c r="C1444">
        <v>1817</v>
      </c>
      <c r="D1444">
        <v>312.3</v>
      </c>
      <c r="E1444">
        <v>36.9</v>
      </c>
      <c r="F1444">
        <v>2.7</v>
      </c>
      <c r="G1444">
        <v>0.9</v>
      </c>
      <c r="H1444">
        <f t="shared" si="66"/>
        <v>474.43365573887144</v>
      </c>
      <c r="I1444">
        <f t="shared" si="67"/>
        <v>1317.6436557388715</v>
      </c>
      <c r="J1444">
        <f>SUMIFS(Transit_Clean[Quantity], Transit_Clean[Destination], A1444, Transit_Clean[Item_Code], B1444, Transit_Clean[SAP_Status], "In Transit")</f>
        <v>4921</v>
      </c>
      <c r="K1444">
        <f t="shared" si="68"/>
        <v>5.8181235991034264</v>
      </c>
      <c r="L1444" t="str" cm="1">
        <f t="array" ref="L1444">_xlfn.IFS(C1444&lt;0,"DATO INVALIDO", C1444+J1444&lt;I1444,"PEDIR YA", C1444&lt;I1444,"EN CAMINO OK", TRUE,"SANO")</f>
        <v>SANO</v>
      </c>
    </row>
    <row r="1445" spans="1:12" x14ac:dyDescent="0.45">
      <c r="A1445" t="s">
        <v>1114</v>
      </c>
      <c r="B1445" t="s">
        <v>75</v>
      </c>
      <c r="C1445">
        <v>806</v>
      </c>
      <c r="D1445">
        <v>159.9</v>
      </c>
      <c r="E1445">
        <v>27.5</v>
      </c>
      <c r="F1445">
        <v>1.9</v>
      </c>
      <c r="G1445">
        <v>1.3</v>
      </c>
      <c r="H1445">
        <f t="shared" si="66"/>
        <v>348.64157152833911</v>
      </c>
      <c r="I1445">
        <f t="shared" si="67"/>
        <v>652.45157152833917</v>
      </c>
      <c r="J1445">
        <f>SUMIFS(Transit_Clean[Quantity], Transit_Clean[Destination], A1445, Transit_Clean[Item_Code], B1445, Transit_Clean[SAP_Status], "In Transit")</f>
        <v>2551</v>
      </c>
      <c r="K1445">
        <f t="shared" si="68"/>
        <v>5.0406504065040645</v>
      </c>
      <c r="L1445" t="str" cm="1">
        <f t="array" ref="L1445">_xlfn.IFS(C1445&lt;0,"DATO INVALIDO", C1445+J1445&lt;I1445,"PEDIR YA", C1445&lt;I1445,"EN CAMINO OK", TRUE,"SANO")</f>
        <v>SANO</v>
      </c>
    </row>
    <row r="1446" spans="1:12" x14ac:dyDescent="0.45">
      <c r="A1446" t="s">
        <v>1125</v>
      </c>
      <c r="B1446" t="s">
        <v>74</v>
      </c>
      <c r="C1446">
        <v>275</v>
      </c>
      <c r="D1446">
        <v>102</v>
      </c>
      <c r="E1446">
        <v>49.8</v>
      </c>
      <c r="F1446">
        <v>7.2</v>
      </c>
      <c r="G1446">
        <v>1.2</v>
      </c>
      <c r="H1446">
        <f t="shared" si="66"/>
        <v>299.00097939638925</v>
      </c>
      <c r="I1446">
        <f t="shared" si="67"/>
        <v>1033.4009793963892</v>
      </c>
      <c r="J1446">
        <f>SUMIFS(Transit_Clean[Quantity], Transit_Clean[Destination], A1446, Transit_Clean[Item_Code], B1446, Transit_Clean[SAP_Status], "In Transit")</f>
        <v>0</v>
      </c>
      <c r="K1446">
        <f t="shared" si="68"/>
        <v>2.6960784313725492</v>
      </c>
      <c r="L1446" t="str" cm="1">
        <f t="array" ref="L1446">_xlfn.IFS(C1446&lt;0,"DATO INVALIDO", C1446+J1446&lt;I1446,"PEDIR YA", C1446&lt;I1446,"EN CAMINO OK", TRUE,"SANO")</f>
        <v>PEDIR YA</v>
      </c>
    </row>
    <row r="1447" spans="1:12" x14ac:dyDescent="0.45">
      <c r="A1447" t="s">
        <v>1127</v>
      </c>
      <c r="B1447" t="s">
        <v>25</v>
      </c>
      <c r="C1447">
        <v>5700</v>
      </c>
      <c r="D1447">
        <v>318</v>
      </c>
      <c r="E1447">
        <v>126.1</v>
      </c>
      <c r="F1447">
        <v>3</v>
      </c>
      <c r="G1447">
        <v>0.9</v>
      </c>
      <c r="H1447">
        <f t="shared" si="66"/>
        <v>594.03224287491332</v>
      </c>
      <c r="I1447">
        <f t="shared" si="67"/>
        <v>1548.0322428749132</v>
      </c>
      <c r="J1447">
        <f>SUMIFS(Transit_Clean[Quantity], Transit_Clean[Destination], A1447, Transit_Clean[Item_Code], B1447, Transit_Clean[SAP_Status], "In Transit")</f>
        <v>0</v>
      </c>
      <c r="K1447">
        <f t="shared" si="68"/>
        <v>17.924528301886792</v>
      </c>
      <c r="L1447" t="str" cm="1">
        <f t="array" ref="L1447">_xlfn.IFS(C1447&lt;0,"DATO INVALIDO", C1447+J1447&lt;I1447,"PEDIR YA", C1447&lt;I1447,"EN CAMINO OK", TRUE,"SANO")</f>
        <v>SANO</v>
      </c>
    </row>
    <row r="1448" spans="1:12" x14ac:dyDescent="0.45">
      <c r="A1448" t="s">
        <v>1119</v>
      </c>
      <c r="B1448" t="s">
        <v>29</v>
      </c>
      <c r="C1448">
        <v>2672</v>
      </c>
      <c r="D1448">
        <v>757.3</v>
      </c>
      <c r="E1448">
        <v>189.4</v>
      </c>
      <c r="F1448">
        <v>2.2999999999999998</v>
      </c>
      <c r="G1448">
        <v>1</v>
      </c>
      <c r="H1448">
        <f t="shared" si="66"/>
        <v>1336.4080429475869</v>
      </c>
      <c r="I1448">
        <f t="shared" si="67"/>
        <v>3078.1980429475866</v>
      </c>
      <c r="J1448">
        <f>SUMIFS(Transit_Clean[Quantity], Transit_Clean[Destination], A1448, Transit_Clean[Item_Code], B1448, Transit_Clean[SAP_Status], "In Transit")</f>
        <v>1721</v>
      </c>
      <c r="K1448">
        <f t="shared" si="68"/>
        <v>3.5283243100488582</v>
      </c>
      <c r="L1448" t="str" cm="1">
        <f t="array" ref="L1448">_xlfn.IFS(C1448&lt;0,"DATO INVALIDO", C1448+J1448&lt;I1448,"PEDIR YA", C1448&lt;I1448,"EN CAMINO OK", TRUE,"SANO")</f>
        <v>EN CAMINO OK</v>
      </c>
    </row>
    <row r="1449" spans="1:12" x14ac:dyDescent="0.45">
      <c r="A1449" t="s">
        <v>1114</v>
      </c>
      <c r="B1449" t="s">
        <v>50</v>
      </c>
      <c r="C1449">
        <v>2134</v>
      </c>
      <c r="D1449">
        <v>270.39999999999998</v>
      </c>
      <c r="E1449">
        <v>117</v>
      </c>
      <c r="F1449">
        <v>3.4</v>
      </c>
      <c r="G1449">
        <v>1.3</v>
      </c>
      <c r="H1449">
        <f t="shared" si="66"/>
        <v>680.5303142138489</v>
      </c>
      <c r="I1449">
        <f t="shared" si="67"/>
        <v>1599.8903142138488</v>
      </c>
      <c r="J1449">
        <f>SUMIFS(Transit_Clean[Quantity], Transit_Clean[Destination], A1449, Transit_Clean[Item_Code], B1449, Transit_Clean[SAP_Status], "In Transit")</f>
        <v>2190</v>
      </c>
      <c r="K1449">
        <f t="shared" si="68"/>
        <v>7.8920118343195274</v>
      </c>
      <c r="L1449" t="str" cm="1">
        <f t="array" ref="L1449">_xlfn.IFS(C1449&lt;0,"DATO INVALIDO", C1449+J1449&lt;I1449,"PEDIR YA", C1449&lt;I1449,"EN CAMINO OK", TRUE,"SANO")</f>
        <v>SANO</v>
      </c>
    </row>
    <row r="1450" spans="1:12" x14ac:dyDescent="0.45">
      <c r="A1450" t="s">
        <v>1120</v>
      </c>
      <c r="B1450" t="s">
        <v>77</v>
      </c>
      <c r="C1450">
        <v>4725</v>
      </c>
      <c r="D1450">
        <v>436.5</v>
      </c>
      <c r="E1450">
        <v>114.7</v>
      </c>
      <c r="F1450">
        <v>1.8</v>
      </c>
      <c r="G1450">
        <v>0.5</v>
      </c>
      <c r="H1450">
        <f t="shared" si="66"/>
        <v>440.62731610880638</v>
      </c>
      <c r="I1450">
        <f t="shared" si="67"/>
        <v>1226.3273161088064</v>
      </c>
      <c r="J1450">
        <f>SUMIFS(Transit_Clean[Quantity], Transit_Clean[Destination], A1450, Transit_Clean[Item_Code], B1450, Transit_Clean[SAP_Status], "In Transit")</f>
        <v>0</v>
      </c>
      <c r="K1450">
        <f t="shared" si="68"/>
        <v>10.824742268041238</v>
      </c>
      <c r="L1450" t="str" cm="1">
        <f t="array" ref="L1450">_xlfn.IFS(C1450&lt;0,"DATO INVALIDO", C1450+J1450&lt;I1450,"PEDIR YA", C1450&lt;I1450,"EN CAMINO OK", TRUE,"SANO")</f>
        <v>SANO</v>
      </c>
    </row>
    <row r="1451" spans="1:12" x14ac:dyDescent="0.45">
      <c r="A1451" t="s">
        <v>1125</v>
      </c>
      <c r="B1451" t="s">
        <v>1130</v>
      </c>
      <c r="C1451">
        <v>2084</v>
      </c>
      <c r="D1451">
        <v>164.2</v>
      </c>
      <c r="E1451">
        <v>102.7</v>
      </c>
      <c r="F1451">
        <v>4.5999999999999996</v>
      </c>
      <c r="G1451">
        <v>1.2</v>
      </c>
      <c r="H1451">
        <f t="shared" si="66"/>
        <v>487.63654474516153</v>
      </c>
      <c r="I1451">
        <f t="shared" si="67"/>
        <v>1242.9565447451614</v>
      </c>
      <c r="J1451">
        <f>SUMIFS(Transit_Clean[Quantity], Transit_Clean[Destination], A1451, Transit_Clean[Item_Code], B1451, Transit_Clean[SAP_Status], "In Transit")</f>
        <v>0</v>
      </c>
      <c r="K1451">
        <f t="shared" si="68"/>
        <v>12.691839220462851</v>
      </c>
      <c r="L1451" t="str" cm="1">
        <f t="array" ref="L1451">_xlfn.IFS(C1451&lt;0,"DATO INVALIDO", C1451+J1451&lt;I1451,"PEDIR YA", C1451&lt;I1451,"EN CAMINO OK", TRUE,"SANO")</f>
        <v>SANO</v>
      </c>
    </row>
    <row r="1452" spans="1:12" x14ac:dyDescent="0.45">
      <c r="A1452" t="s">
        <v>1117</v>
      </c>
      <c r="B1452" t="s">
        <v>71</v>
      </c>
      <c r="C1452">
        <v>2861</v>
      </c>
      <c r="D1452">
        <v>223.9</v>
      </c>
      <c r="E1452">
        <v>24.2</v>
      </c>
      <c r="F1452">
        <v>2.2999999999999998</v>
      </c>
      <c r="G1452">
        <v>0.5</v>
      </c>
      <c r="H1452">
        <f t="shared" si="66"/>
        <v>194.39055037796976</v>
      </c>
      <c r="I1452">
        <f t="shared" si="67"/>
        <v>709.36055037796973</v>
      </c>
      <c r="J1452">
        <f>SUMIFS(Transit_Clean[Quantity], Transit_Clean[Destination], A1452, Transit_Clean[Item_Code], B1452, Transit_Clean[SAP_Status], "In Transit")</f>
        <v>1603</v>
      </c>
      <c r="K1452">
        <f t="shared" si="68"/>
        <v>12.778025904421616</v>
      </c>
      <c r="L1452" t="str" cm="1">
        <f t="array" ref="L1452">_xlfn.IFS(C1452&lt;0,"DATO INVALIDO", C1452+J1452&lt;I1452,"PEDIR YA", C1452&lt;I1452,"EN CAMINO OK", TRUE,"SANO")</f>
        <v>SANO</v>
      </c>
    </row>
    <row r="1453" spans="1:12" x14ac:dyDescent="0.45">
      <c r="A1453" t="s">
        <v>1118</v>
      </c>
      <c r="B1453" t="s">
        <v>59</v>
      </c>
      <c r="C1453">
        <v>1577</v>
      </c>
      <c r="D1453">
        <v>176.8</v>
      </c>
      <c r="E1453">
        <v>24.1</v>
      </c>
      <c r="F1453">
        <v>8.3000000000000007</v>
      </c>
      <c r="G1453">
        <v>1.5</v>
      </c>
      <c r="H1453">
        <f t="shared" si="66"/>
        <v>452.32806099942547</v>
      </c>
      <c r="I1453">
        <f t="shared" si="67"/>
        <v>1919.7680609994259</v>
      </c>
      <c r="J1453">
        <f>SUMIFS(Transit_Clean[Quantity], Transit_Clean[Destination], A1453, Transit_Clean[Item_Code], B1453, Transit_Clean[SAP_Status], "In Transit")</f>
        <v>0</v>
      </c>
      <c r="K1453">
        <f t="shared" si="68"/>
        <v>8.9196832579185514</v>
      </c>
      <c r="L1453" t="str" cm="1">
        <f t="array" ref="L1453">_xlfn.IFS(C1453&lt;0,"DATO INVALIDO", C1453+J1453&lt;I1453,"PEDIR YA", C1453&lt;I1453,"EN CAMINO OK", TRUE,"SANO")</f>
        <v>PEDIR YA</v>
      </c>
    </row>
    <row r="1454" spans="1:12" x14ac:dyDescent="0.45">
      <c r="A1454" t="s">
        <v>1120</v>
      </c>
      <c r="B1454" t="s">
        <v>78</v>
      </c>
      <c r="C1454">
        <v>3297</v>
      </c>
      <c r="D1454">
        <v>231.2</v>
      </c>
      <c r="E1454">
        <v>101</v>
      </c>
      <c r="F1454">
        <v>1.7</v>
      </c>
      <c r="G1454">
        <v>0.5</v>
      </c>
      <c r="H1454">
        <f t="shared" si="66"/>
        <v>289.12717936921803</v>
      </c>
      <c r="I1454">
        <f t="shared" si="67"/>
        <v>682.16717936921805</v>
      </c>
      <c r="J1454">
        <f>SUMIFS(Transit_Clean[Quantity], Transit_Clean[Destination], A1454, Transit_Clean[Item_Code], B1454, Transit_Clean[SAP_Status], "In Transit")</f>
        <v>1676</v>
      </c>
      <c r="K1454">
        <f t="shared" si="68"/>
        <v>14.260380622837371</v>
      </c>
      <c r="L1454" t="str" cm="1">
        <f t="array" ref="L1454">_xlfn.IFS(C1454&lt;0,"DATO INVALIDO", C1454+J1454&lt;I1454,"PEDIR YA", C1454&lt;I1454,"EN CAMINO OK", TRUE,"SANO")</f>
        <v>SANO</v>
      </c>
    </row>
    <row r="1455" spans="1:12" x14ac:dyDescent="0.45">
      <c r="A1455" t="s">
        <v>1126</v>
      </c>
      <c r="B1455" t="s">
        <v>53</v>
      </c>
      <c r="C1455">
        <v>5434</v>
      </c>
      <c r="D1455">
        <v>451.8</v>
      </c>
      <c r="E1455">
        <v>153.4</v>
      </c>
      <c r="F1455">
        <v>0.7</v>
      </c>
      <c r="G1455">
        <v>0.2</v>
      </c>
      <c r="H1455">
        <f t="shared" si="66"/>
        <v>258.98704852945832</v>
      </c>
      <c r="I1455">
        <f t="shared" si="67"/>
        <v>575.24704852945831</v>
      </c>
      <c r="J1455">
        <f>SUMIFS(Transit_Clean[Quantity], Transit_Clean[Destination], A1455, Transit_Clean[Item_Code], B1455, Transit_Clean[SAP_Status], "In Transit")</f>
        <v>1926</v>
      </c>
      <c r="K1455">
        <f t="shared" si="68"/>
        <v>12.027445772465693</v>
      </c>
      <c r="L1455" t="str" cm="1">
        <f t="array" ref="L1455">_xlfn.IFS(C1455&lt;0,"DATO INVALIDO", C1455+J1455&lt;I1455,"PEDIR YA", C1455&lt;I1455,"EN CAMINO OK", TRUE,"SANO")</f>
        <v>SANO</v>
      </c>
    </row>
    <row r="1456" spans="1:12" x14ac:dyDescent="0.45">
      <c r="A1456" t="s">
        <v>1117</v>
      </c>
      <c r="B1456" t="s">
        <v>84</v>
      </c>
      <c r="C1456">
        <v>2170</v>
      </c>
      <c r="D1456">
        <v>290.10000000000002</v>
      </c>
      <c r="E1456">
        <v>129.5</v>
      </c>
      <c r="F1456">
        <v>2.7</v>
      </c>
      <c r="G1456">
        <v>0.5</v>
      </c>
      <c r="H1456">
        <f t="shared" si="66"/>
        <v>424.91641618528934</v>
      </c>
      <c r="I1456">
        <f t="shared" si="67"/>
        <v>1208.1864161852895</v>
      </c>
      <c r="J1456">
        <f>SUMIFS(Transit_Clean[Quantity], Transit_Clean[Destination], A1456, Transit_Clean[Item_Code], B1456, Transit_Clean[SAP_Status], "In Transit")</f>
        <v>0</v>
      </c>
      <c r="K1456">
        <f t="shared" si="68"/>
        <v>7.4801792485349869</v>
      </c>
      <c r="L1456" t="str" cm="1">
        <f t="array" ref="L1456">_xlfn.IFS(C1456&lt;0,"DATO INVALIDO", C1456+J1456&lt;I1456,"PEDIR YA", C1456&lt;I1456,"EN CAMINO OK", TRUE,"SANO")</f>
        <v>SANO</v>
      </c>
    </row>
    <row r="1457" spans="1:12" x14ac:dyDescent="0.45">
      <c r="A1457" t="s">
        <v>1119</v>
      </c>
      <c r="B1457" t="s">
        <v>100</v>
      </c>
      <c r="C1457">
        <v>2302</v>
      </c>
      <c r="D1457">
        <v>155.30000000000001</v>
      </c>
      <c r="E1457">
        <v>23</v>
      </c>
      <c r="F1457">
        <v>1.9</v>
      </c>
      <c r="G1457">
        <v>1</v>
      </c>
      <c r="H1457">
        <f t="shared" si="66"/>
        <v>261.52989269871233</v>
      </c>
      <c r="I1457">
        <f t="shared" si="67"/>
        <v>556.59989269871232</v>
      </c>
      <c r="J1457">
        <f>SUMIFS(Transit_Clean[Quantity], Transit_Clean[Destination], A1457, Transit_Clean[Item_Code], B1457, Transit_Clean[SAP_Status], "In Transit")</f>
        <v>0</v>
      </c>
      <c r="K1457">
        <f t="shared" si="68"/>
        <v>14.822923374114616</v>
      </c>
      <c r="L1457" t="str" cm="1">
        <f t="array" ref="L1457">_xlfn.IFS(C1457&lt;0,"DATO INVALIDO", C1457+J1457&lt;I1457,"PEDIR YA", C1457&lt;I1457,"EN CAMINO OK", TRUE,"SANO")</f>
        <v>SANO</v>
      </c>
    </row>
    <row r="1458" spans="1:12" x14ac:dyDescent="0.45">
      <c r="A1458" t="s">
        <v>1119</v>
      </c>
      <c r="B1458" t="s">
        <v>98</v>
      </c>
      <c r="C1458">
        <v>7085</v>
      </c>
      <c r="D1458">
        <v>629.6</v>
      </c>
      <c r="E1458">
        <v>159.80000000000001</v>
      </c>
      <c r="F1458">
        <v>3.3</v>
      </c>
      <c r="G1458">
        <v>1</v>
      </c>
      <c r="H1458">
        <f t="shared" si="66"/>
        <v>1143.9452403721079</v>
      </c>
      <c r="I1458">
        <f t="shared" si="67"/>
        <v>3221.6252403721078</v>
      </c>
      <c r="J1458">
        <f>SUMIFS(Transit_Clean[Quantity], Transit_Clean[Destination], A1458, Transit_Clean[Item_Code], B1458, Transit_Clean[SAP_Status], "In Transit")</f>
        <v>0</v>
      </c>
      <c r="K1458">
        <f t="shared" si="68"/>
        <v>11.253176620076239</v>
      </c>
      <c r="L1458" t="str" cm="1">
        <f t="array" ref="L1458">_xlfn.IFS(C1458&lt;0,"DATO INVALIDO", C1458+J1458&lt;I1458,"PEDIR YA", C1458&lt;I1458,"EN CAMINO OK", TRUE,"SANO")</f>
        <v>SANO</v>
      </c>
    </row>
    <row r="1459" spans="1:12" x14ac:dyDescent="0.45">
      <c r="A1459" t="s">
        <v>1121</v>
      </c>
      <c r="B1459" t="s">
        <v>1132</v>
      </c>
      <c r="C1459">
        <v>5923</v>
      </c>
      <c r="D1459">
        <v>408</v>
      </c>
      <c r="E1459">
        <v>46.2</v>
      </c>
      <c r="F1459">
        <v>1.6</v>
      </c>
      <c r="G1459">
        <v>0.4</v>
      </c>
      <c r="H1459">
        <f t="shared" si="66"/>
        <v>286.02331904933908</v>
      </c>
      <c r="I1459">
        <f t="shared" si="67"/>
        <v>938.82331904933915</v>
      </c>
      <c r="J1459">
        <f>SUMIFS(Transit_Clean[Quantity], Transit_Clean[Destination], A1459, Transit_Clean[Item_Code], B1459, Transit_Clean[SAP_Status], "In Transit")</f>
        <v>1581</v>
      </c>
      <c r="K1459">
        <f t="shared" si="68"/>
        <v>14.517156862745098</v>
      </c>
      <c r="L1459" t="str" cm="1">
        <f t="array" ref="L1459">_xlfn.IFS(C1459&lt;0,"DATO INVALIDO", C1459+J1459&lt;I1459,"PEDIR YA", C1459&lt;I1459,"EN CAMINO OK", TRUE,"SANO")</f>
        <v>SANO</v>
      </c>
    </row>
    <row r="1460" spans="1:12" x14ac:dyDescent="0.45">
      <c r="A1460" t="s">
        <v>1127</v>
      </c>
      <c r="B1460" t="s">
        <v>64</v>
      </c>
      <c r="C1460">
        <v>3628</v>
      </c>
      <c r="D1460">
        <v>472.6</v>
      </c>
      <c r="E1460">
        <v>82.8</v>
      </c>
      <c r="F1460">
        <v>3.7</v>
      </c>
      <c r="G1460">
        <v>0.9</v>
      </c>
      <c r="H1460">
        <f t="shared" si="66"/>
        <v>749.39927275184891</v>
      </c>
      <c r="I1460">
        <f t="shared" si="67"/>
        <v>2498.0192727518488</v>
      </c>
      <c r="J1460">
        <f>SUMIFS(Transit_Clean[Quantity], Transit_Clean[Destination], A1460, Transit_Clean[Item_Code], B1460, Transit_Clean[SAP_Status], "In Transit")</f>
        <v>0</v>
      </c>
      <c r="K1460">
        <f t="shared" si="68"/>
        <v>7.6766821836648322</v>
      </c>
      <c r="L1460" t="str" cm="1">
        <f t="array" ref="L1460">_xlfn.IFS(C1460&lt;0,"DATO INVALIDO", C1460+J1460&lt;I1460,"PEDIR YA", C1460&lt;I1460,"EN CAMINO OK", TRUE,"SANO")</f>
        <v>SANO</v>
      </c>
    </row>
    <row r="1461" spans="1:12" x14ac:dyDescent="0.45">
      <c r="A1461" t="s">
        <v>1118</v>
      </c>
      <c r="B1461" t="s">
        <v>102</v>
      </c>
      <c r="C1461">
        <v>771</v>
      </c>
      <c r="D1461">
        <v>312.89999999999998</v>
      </c>
      <c r="E1461">
        <v>34.4</v>
      </c>
      <c r="F1461">
        <v>3.4</v>
      </c>
      <c r="G1461">
        <v>1.5</v>
      </c>
      <c r="H1461">
        <f t="shared" si="66"/>
        <v>781.46767341730128</v>
      </c>
      <c r="I1461">
        <f t="shared" si="67"/>
        <v>1845.3276734173012</v>
      </c>
      <c r="J1461">
        <f>SUMIFS(Transit_Clean[Quantity], Transit_Clean[Destination], A1461, Transit_Clean[Item_Code], B1461, Transit_Clean[SAP_Status], "In Transit")</f>
        <v>2684</v>
      </c>
      <c r="K1461">
        <f t="shared" si="68"/>
        <v>2.4640460210930013</v>
      </c>
      <c r="L1461" t="str" cm="1">
        <f t="array" ref="L1461">_xlfn.IFS(C1461&lt;0,"DATO INVALIDO", C1461+J1461&lt;I1461,"PEDIR YA", C1461&lt;I1461,"EN CAMINO OK", TRUE,"SANO")</f>
        <v>EN CAMINO OK</v>
      </c>
    </row>
    <row r="1462" spans="1:12" x14ac:dyDescent="0.45">
      <c r="A1462" t="s">
        <v>1119</v>
      </c>
      <c r="B1462" t="s">
        <v>23</v>
      </c>
      <c r="C1462">
        <v>1826</v>
      </c>
      <c r="D1462">
        <v>411.4</v>
      </c>
      <c r="E1462">
        <v>179.1</v>
      </c>
      <c r="F1462">
        <v>2.5</v>
      </c>
      <c r="G1462">
        <v>1</v>
      </c>
      <c r="H1462">
        <f t="shared" si="66"/>
        <v>824.07876089758543</v>
      </c>
      <c r="I1462">
        <f t="shared" si="67"/>
        <v>1852.5787608975854</v>
      </c>
      <c r="J1462">
        <f>SUMIFS(Transit_Clean[Quantity], Transit_Clean[Destination], A1462, Transit_Clean[Item_Code], B1462, Transit_Clean[SAP_Status], "In Transit")</f>
        <v>5704</v>
      </c>
      <c r="K1462">
        <f t="shared" si="68"/>
        <v>4.4385026737967914</v>
      </c>
      <c r="L1462" t="str" cm="1">
        <f t="array" ref="L1462">_xlfn.IFS(C1462&lt;0,"DATO INVALIDO", C1462+J1462&lt;I1462,"PEDIR YA", C1462&lt;I1462,"EN CAMINO OK", TRUE,"SANO")</f>
        <v>EN CAMINO OK</v>
      </c>
    </row>
    <row r="1463" spans="1:12" x14ac:dyDescent="0.45">
      <c r="A1463" t="s">
        <v>1116</v>
      </c>
      <c r="B1463" t="s">
        <v>107</v>
      </c>
      <c r="C1463">
        <v>4852</v>
      </c>
      <c r="D1463">
        <v>378</v>
      </c>
      <c r="E1463">
        <v>231.7</v>
      </c>
      <c r="F1463">
        <v>5.7</v>
      </c>
      <c r="G1463">
        <v>1.6</v>
      </c>
      <c r="H1463">
        <f t="shared" si="66"/>
        <v>1352.3830339968406</v>
      </c>
      <c r="I1463">
        <f t="shared" si="67"/>
        <v>3506.9830339968403</v>
      </c>
      <c r="J1463">
        <f>SUMIFS(Transit_Clean[Quantity], Transit_Clean[Destination], A1463, Transit_Clean[Item_Code], B1463, Transit_Clean[SAP_Status], "In Transit")</f>
        <v>0</v>
      </c>
      <c r="K1463">
        <f t="shared" si="68"/>
        <v>12.835978835978835</v>
      </c>
      <c r="L1463" t="str" cm="1">
        <f t="array" ref="L1463">_xlfn.IFS(C1463&lt;0,"DATO INVALIDO", C1463+J1463&lt;I1463,"PEDIR YA", C1463&lt;I1463,"EN CAMINO OK", TRUE,"SANO")</f>
        <v>SANO</v>
      </c>
    </row>
    <row r="1464" spans="1:12" x14ac:dyDescent="0.45">
      <c r="A1464" t="s">
        <v>1114</v>
      </c>
      <c r="B1464" t="s">
        <v>108</v>
      </c>
      <c r="D1464">
        <v>275</v>
      </c>
      <c r="E1464">
        <v>33.200000000000003</v>
      </c>
      <c r="F1464">
        <v>6.5</v>
      </c>
      <c r="G1464">
        <v>1.3</v>
      </c>
      <c r="H1464">
        <f t="shared" si="66"/>
        <v>606.18316557373976</v>
      </c>
      <c r="I1464">
        <f t="shared" si="67"/>
        <v>2393.6831655737396</v>
      </c>
      <c r="J1464">
        <f>SUMIFS(Transit_Clean[Quantity], Transit_Clean[Destination], A1464, Transit_Clean[Item_Code], B1464, Transit_Clean[SAP_Status], "In Transit")</f>
        <v>0</v>
      </c>
      <c r="K1464">
        <f t="shared" si="68"/>
        <v>0</v>
      </c>
      <c r="L1464" t="str" cm="1">
        <f t="array" ref="L1464">_xlfn.IFS(C1464&lt;0,"DATO INVALIDO", C1464+J1464&lt;I1464,"PEDIR YA", C1464&lt;I1464,"EN CAMINO OK", TRUE,"SANO")</f>
        <v>PEDIR YA</v>
      </c>
    </row>
    <row r="1465" spans="1:12" x14ac:dyDescent="0.45">
      <c r="A1465" t="s">
        <v>1120</v>
      </c>
      <c r="B1465" t="s">
        <v>49</v>
      </c>
      <c r="C1465">
        <v>4613</v>
      </c>
      <c r="D1465">
        <v>299.89999999999998</v>
      </c>
      <c r="E1465">
        <v>42.2</v>
      </c>
      <c r="F1465">
        <v>1.7</v>
      </c>
      <c r="G1465">
        <v>0.5</v>
      </c>
      <c r="H1465">
        <f t="shared" si="66"/>
        <v>263.54808296826974</v>
      </c>
      <c r="I1465">
        <f t="shared" si="67"/>
        <v>773.37808296826961</v>
      </c>
      <c r="J1465">
        <f>SUMIFS(Transit_Clean[Quantity], Transit_Clean[Destination], A1465, Transit_Clean[Item_Code], B1465, Transit_Clean[SAP_Status], "In Transit")</f>
        <v>0</v>
      </c>
      <c r="K1465">
        <f t="shared" si="68"/>
        <v>15.381793931310439</v>
      </c>
      <c r="L1465" t="str" cm="1">
        <f t="array" ref="L1465">_xlfn.IFS(C1465&lt;0,"DATO INVALIDO", C1465+J1465&lt;I1465,"PEDIR YA", C1465&lt;I1465,"EN CAMINO OK", TRUE,"SANO")</f>
        <v>SANO</v>
      </c>
    </row>
    <row r="1466" spans="1:12" x14ac:dyDescent="0.45">
      <c r="A1466" t="s">
        <v>1114</v>
      </c>
      <c r="B1466" t="s">
        <v>1129</v>
      </c>
      <c r="C1466">
        <v>1989</v>
      </c>
      <c r="D1466">
        <v>580.4</v>
      </c>
      <c r="E1466">
        <v>138.30000000000001</v>
      </c>
      <c r="F1466">
        <v>4.3</v>
      </c>
      <c r="G1466">
        <v>1.3</v>
      </c>
      <c r="H1466">
        <f t="shared" si="66"/>
        <v>1331.8536485933805</v>
      </c>
      <c r="I1466">
        <f t="shared" si="67"/>
        <v>3827.5736485933803</v>
      </c>
      <c r="J1466">
        <f>SUMIFS(Transit_Clean[Quantity], Transit_Clean[Destination], A1466, Transit_Clean[Item_Code], B1466, Transit_Clean[SAP_Status], "In Transit")</f>
        <v>2796</v>
      </c>
      <c r="K1466">
        <f t="shared" si="68"/>
        <v>3.4269469331495523</v>
      </c>
      <c r="L1466" t="str" cm="1">
        <f t="array" ref="L1466">_xlfn.IFS(C1466&lt;0,"DATO INVALIDO", C1466+J1466&lt;I1466,"PEDIR YA", C1466&lt;I1466,"EN CAMINO OK", TRUE,"SANO")</f>
        <v>EN CAMINO OK</v>
      </c>
    </row>
    <row r="1467" spans="1:12" x14ac:dyDescent="0.45">
      <c r="A1467" t="s">
        <v>1122</v>
      </c>
      <c r="B1467" t="s">
        <v>19</v>
      </c>
      <c r="C1467">
        <v>654</v>
      </c>
      <c r="D1467">
        <v>302.89999999999998</v>
      </c>
      <c r="E1467">
        <v>113.8</v>
      </c>
      <c r="F1467">
        <v>0.8</v>
      </c>
      <c r="G1467">
        <v>0.2</v>
      </c>
      <c r="H1467">
        <f t="shared" si="66"/>
        <v>195.44170529597818</v>
      </c>
      <c r="I1467">
        <f t="shared" si="67"/>
        <v>437.76170529597817</v>
      </c>
      <c r="J1467">
        <f>SUMIFS(Transit_Clean[Quantity], Transit_Clean[Destination], A1467, Transit_Clean[Item_Code], B1467, Transit_Clean[SAP_Status], "In Transit")</f>
        <v>0</v>
      </c>
      <c r="K1467">
        <f t="shared" si="68"/>
        <v>2.1591284252228462</v>
      </c>
      <c r="L1467" t="str" cm="1">
        <f t="array" ref="L1467">_xlfn.IFS(C1467&lt;0,"DATO INVALIDO", C1467+J1467&lt;I1467,"PEDIR YA", C1467&lt;I1467,"EN CAMINO OK", TRUE,"SANO")</f>
        <v>SANO</v>
      </c>
    </row>
    <row r="1468" spans="1:12" x14ac:dyDescent="0.45">
      <c r="A1468" t="s">
        <v>1118</v>
      </c>
      <c r="B1468" t="s">
        <v>1140</v>
      </c>
      <c r="C1468">
        <v>7181</v>
      </c>
      <c r="D1468">
        <v>507.9</v>
      </c>
      <c r="E1468">
        <v>56.2</v>
      </c>
      <c r="F1468">
        <v>5.8</v>
      </c>
      <c r="G1468">
        <v>1.5</v>
      </c>
      <c r="H1468">
        <f t="shared" si="66"/>
        <v>1276.7358123653655</v>
      </c>
      <c r="I1468">
        <f t="shared" si="67"/>
        <v>4222.5558123653655</v>
      </c>
      <c r="J1468">
        <f>SUMIFS(Transit_Clean[Quantity], Transit_Clean[Destination], A1468, Transit_Clean[Item_Code], B1468, Transit_Clean[SAP_Status], "In Transit")</f>
        <v>0</v>
      </c>
      <c r="K1468">
        <f t="shared" si="68"/>
        <v>14.138609962591062</v>
      </c>
      <c r="L1468" t="str" cm="1">
        <f t="array" ref="L1468">_xlfn.IFS(C1468&lt;0,"DATO INVALIDO", C1468+J1468&lt;I1468,"PEDIR YA", C1468&lt;I1468,"EN CAMINO OK", TRUE,"SANO")</f>
        <v>SANO</v>
      </c>
    </row>
    <row r="1469" spans="1:12" x14ac:dyDescent="0.45">
      <c r="A1469" t="s">
        <v>1127</v>
      </c>
      <c r="B1469" t="s">
        <v>53</v>
      </c>
      <c r="C1469">
        <v>865</v>
      </c>
      <c r="D1469">
        <v>141.4</v>
      </c>
      <c r="E1469">
        <v>62.5</v>
      </c>
      <c r="F1469">
        <v>2.7</v>
      </c>
      <c r="G1469">
        <v>0.9</v>
      </c>
      <c r="H1469">
        <f t="shared" si="66"/>
        <v>269.82410498044834</v>
      </c>
      <c r="I1469">
        <f t="shared" si="67"/>
        <v>651.60410498044837</v>
      </c>
      <c r="J1469">
        <f>SUMIFS(Transit_Clean[Quantity], Transit_Clean[Destination], A1469, Transit_Clean[Item_Code], B1469, Transit_Clean[SAP_Status], "In Transit")</f>
        <v>2168</v>
      </c>
      <c r="K1469">
        <f t="shared" si="68"/>
        <v>6.1173974540311171</v>
      </c>
      <c r="L1469" t="str" cm="1">
        <f t="array" ref="L1469">_xlfn.IFS(C1469&lt;0,"DATO INVALIDO", C1469+J1469&lt;I1469,"PEDIR YA", C1469&lt;I1469,"EN CAMINO OK", TRUE,"SANO")</f>
        <v>SANO</v>
      </c>
    </row>
    <row r="1470" spans="1:12" x14ac:dyDescent="0.45">
      <c r="A1470" t="s">
        <v>1123</v>
      </c>
      <c r="B1470" t="s">
        <v>32</v>
      </c>
      <c r="C1470">
        <v>1770</v>
      </c>
      <c r="D1470">
        <v>288.7</v>
      </c>
      <c r="E1470">
        <v>122</v>
      </c>
      <c r="F1470">
        <v>1</v>
      </c>
      <c r="G1470">
        <v>0.3</v>
      </c>
      <c r="H1470">
        <f t="shared" si="66"/>
        <v>246.86830039972727</v>
      </c>
      <c r="I1470">
        <f t="shared" si="67"/>
        <v>535.56830039972726</v>
      </c>
      <c r="J1470">
        <f>SUMIFS(Transit_Clean[Quantity], Transit_Clean[Destination], A1470, Transit_Clean[Item_Code], B1470, Transit_Clean[SAP_Status], "In Transit")</f>
        <v>1686</v>
      </c>
      <c r="K1470">
        <f t="shared" si="68"/>
        <v>6.130931763075858</v>
      </c>
      <c r="L1470" t="str" cm="1">
        <f t="array" ref="L1470">_xlfn.IFS(C1470&lt;0,"DATO INVALIDO", C1470+J1470&lt;I1470,"PEDIR YA", C1470&lt;I1470,"EN CAMINO OK", TRUE,"SANO")</f>
        <v>SANO</v>
      </c>
    </row>
    <row r="1471" spans="1:12" x14ac:dyDescent="0.45">
      <c r="A1471" t="s">
        <v>1119</v>
      </c>
      <c r="B1471" t="s">
        <v>80</v>
      </c>
      <c r="C1471">
        <v>5969</v>
      </c>
      <c r="D1471">
        <v>410</v>
      </c>
      <c r="E1471">
        <v>43.6</v>
      </c>
      <c r="F1471">
        <v>2.1</v>
      </c>
      <c r="G1471">
        <v>1</v>
      </c>
      <c r="H1471">
        <f t="shared" si="66"/>
        <v>684.48558316446656</v>
      </c>
      <c r="I1471">
        <f t="shared" si="67"/>
        <v>1545.4855831644666</v>
      </c>
      <c r="J1471">
        <f>SUMIFS(Transit_Clean[Quantity], Transit_Clean[Destination], A1471, Transit_Clean[Item_Code], B1471, Transit_Clean[SAP_Status], "In Transit")</f>
        <v>2847</v>
      </c>
      <c r="K1471">
        <f t="shared" si="68"/>
        <v>14.558536585365854</v>
      </c>
      <c r="L1471" t="str" cm="1">
        <f t="array" ref="L1471">_xlfn.IFS(C1471&lt;0,"DATO INVALIDO", C1471+J1471&lt;I1471,"PEDIR YA", C1471&lt;I1471,"EN CAMINO OK", TRUE,"SANO")</f>
        <v>SANO</v>
      </c>
    </row>
    <row r="1472" spans="1:12" x14ac:dyDescent="0.45">
      <c r="A1472" t="s">
        <v>1118</v>
      </c>
      <c r="B1472" t="s">
        <v>43</v>
      </c>
      <c r="C1472">
        <v>112</v>
      </c>
      <c r="D1472">
        <v>166.5</v>
      </c>
      <c r="E1472">
        <v>70</v>
      </c>
      <c r="F1472">
        <v>5</v>
      </c>
      <c r="G1472">
        <v>1.5</v>
      </c>
      <c r="H1472">
        <f t="shared" si="66"/>
        <v>486.33050249418864</v>
      </c>
      <c r="I1472">
        <f t="shared" si="67"/>
        <v>1318.8305024941887</v>
      </c>
      <c r="J1472">
        <f>SUMIFS(Transit_Clean[Quantity], Transit_Clean[Destination], A1472, Transit_Clean[Item_Code], B1472, Transit_Clean[SAP_Status], "In Transit")</f>
        <v>2119</v>
      </c>
      <c r="K1472">
        <f t="shared" si="68"/>
        <v>0.67267267267267272</v>
      </c>
      <c r="L1472" t="str" cm="1">
        <f t="array" ref="L1472">_xlfn.IFS(C1472&lt;0,"DATO INVALIDO", C1472+J1472&lt;I1472,"PEDIR YA", C1472&lt;I1472,"EN CAMINO OK", TRUE,"SANO")</f>
        <v>EN CAMINO OK</v>
      </c>
    </row>
    <row r="1473" spans="1:12" x14ac:dyDescent="0.45">
      <c r="A1473" t="s">
        <v>1124</v>
      </c>
      <c r="B1473" t="s">
        <v>1137</v>
      </c>
      <c r="C1473">
        <v>2839</v>
      </c>
      <c r="D1473">
        <v>454</v>
      </c>
      <c r="E1473">
        <v>61.2</v>
      </c>
      <c r="F1473">
        <v>0.6</v>
      </c>
      <c r="G1473">
        <v>0.3</v>
      </c>
      <c r="H1473">
        <f t="shared" si="66"/>
        <v>237.95324990426161</v>
      </c>
      <c r="I1473">
        <f t="shared" si="67"/>
        <v>510.35324990426159</v>
      </c>
      <c r="J1473">
        <f>SUMIFS(Transit_Clean[Quantity], Transit_Clean[Destination], A1473, Transit_Clean[Item_Code], B1473, Transit_Clean[SAP_Status], "In Transit")</f>
        <v>0</v>
      </c>
      <c r="K1473">
        <f t="shared" si="68"/>
        <v>6.2533039647577091</v>
      </c>
      <c r="L1473" t="str" cm="1">
        <f t="array" ref="L1473">_xlfn.IFS(C1473&lt;0,"DATO INVALIDO", C1473+J1473&lt;I1473,"PEDIR YA", C1473&lt;I1473,"EN CAMINO OK", TRUE,"SANO")</f>
        <v>SANO</v>
      </c>
    </row>
    <row r="1474" spans="1:12" x14ac:dyDescent="0.45">
      <c r="A1474" t="s">
        <v>1115</v>
      </c>
      <c r="B1474" t="s">
        <v>45</v>
      </c>
      <c r="C1474">
        <v>3430</v>
      </c>
      <c r="D1474">
        <v>515.20000000000005</v>
      </c>
      <c r="E1474">
        <v>56.1</v>
      </c>
      <c r="F1474">
        <v>1.1000000000000001</v>
      </c>
      <c r="G1474">
        <v>0.6</v>
      </c>
      <c r="H1474">
        <f t="shared" si="66"/>
        <v>519.2052286442231</v>
      </c>
      <c r="I1474">
        <f t="shared" si="67"/>
        <v>1085.9252286442234</v>
      </c>
      <c r="J1474">
        <f>SUMIFS(Transit_Clean[Quantity], Transit_Clean[Destination], A1474, Transit_Clean[Item_Code], B1474, Transit_Clean[SAP_Status], "In Transit")</f>
        <v>1139</v>
      </c>
      <c r="K1474">
        <f t="shared" si="68"/>
        <v>6.6576086956521729</v>
      </c>
      <c r="L1474" t="str" cm="1">
        <f t="array" ref="L1474">_xlfn.IFS(C1474&lt;0,"DATO INVALIDO", C1474+J1474&lt;I1474,"PEDIR YA", C1474&lt;I1474,"EN CAMINO OK", TRUE,"SANO")</f>
        <v>SANO</v>
      </c>
    </row>
    <row r="1475" spans="1:12" x14ac:dyDescent="0.45">
      <c r="A1475" t="s">
        <v>1117</v>
      </c>
      <c r="B1475" t="s">
        <v>91</v>
      </c>
      <c r="C1475">
        <v>7283</v>
      </c>
      <c r="D1475">
        <v>468.1</v>
      </c>
      <c r="E1475">
        <v>296.3</v>
      </c>
      <c r="F1475">
        <v>2</v>
      </c>
      <c r="G1475">
        <v>0.5</v>
      </c>
      <c r="H1475">
        <f t="shared" ref="H1475:H1501" si="69">IFERROR(1.65*SQRT(F1475*E1475^2 + D1475^2*G1475^2), "")</f>
        <v>791.94290536392202</v>
      </c>
      <c r="I1475">
        <f t="shared" ref="I1475:I1501" si="70">IFERROR(D1475*F1475 + H1475, "")</f>
        <v>1728.1429053639222</v>
      </c>
      <c r="J1475">
        <f>SUMIFS(Transit_Clean[Quantity], Transit_Clean[Destination], A1475, Transit_Clean[Item_Code], B1475, Transit_Clean[SAP_Status], "In Transit")</f>
        <v>0</v>
      </c>
      <c r="K1475">
        <f t="shared" ref="K1475:K1501" si="71">IFERROR(C1475/D1475, "")</f>
        <v>15.558641315958129</v>
      </c>
      <c r="L1475" t="str" cm="1">
        <f t="array" ref="L1475">_xlfn.IFS(C1475&lt;0,"DATO INVALIDO", C1475+J1475&lt;I1475,"PEDIR YA", C1475&lt;I1475,"EN CAMINO OK", TRUE,"SANO")</f>
        <v>SANO</v>
      </c>
    </row>
    <row r="1476" spans="1:12" x14ac:dyDescent="0.45">
      <c r="A1476" t="s">
        <v>1124</v>
      </c>
      <c r="B1476" t="s">
        <v>19</v>
      </c>
      <c r="C1476">
        <v>3534</v>
      </c>
      <c r="D1476">
        <v>232.9</v>
      </c>
      <c r="E1476">
        <v>70</v>
      </c>
      <c r="F1476">
        <v>0.5</v>
      </c>
      <c r="G1476">
        <v>0.3</v>
      </c>
      <c r="H1476">
        <f t="shared" si="69"/>
        <v>141.28294840584974</v>
      </c>
      <c r="I1476">
        <f t="shared" si="70"/>
        <v>257.73294840584975</v>
      </c>
      <c r="J1476">
        <f>SUMIFS(Transit_Clean[Quantity], Transit_Clean[Destination], A1476, Transit_Clean[Item_Code], B1476, Transit_Clean[SAP_Status], "In Transit")</f>
        <v>2557</v>
      </c>
      <c r="K1476">
        <f t="shared" si="71"/>
        <v>15.173894375268356</v>
      </c>
      <c r="L1476" t="str" cm="1">
        <f t="array" ref="L1476">_xlfn.IFS(C1476&lt;0,"DATO INVALIDO", C1476+J1476&lt;I1476,"PEDIR YA", C1476&lt;I1476,"EN CAMINO OK", TRUE,"SANO")</f>
        <v>SANO</v>
      </c>
    </row>
    <row r="1477" spans="1:12" x14ac:dyDescent="0.45">
      <c r="A1477" t="s">
        <v>1114</v>
      </c>
      <c r="B1477" t="s">
        <v>1133</v>
      </c>
      <c r="C1477">
        <v>10397</v>
      </c>
      <c r="D1477">
        <v>899.9</v>
      </c>
      <c r="E1477">
        <v>158.69999999999999</v>
      </c>
      <c r="F1477">
        <v>2.4</v>
      </c>
      <c r="G1477">
        <v>1.3</v>
      </c>
      <c r="H1477">
        <f t="shared" si="69"/>
        <v>1972.4516242408201</v>
      </c>
      <c r="I1477">
        <f t="shared" si="70"/>
        <v>4132.2116242408201</v>
      </c>
      <c r="J1477">
        <f>SUMIFS(Transit_Clean[Quantity], Transit_Clean[Destination], A1477, Transit_Clean[Item_Code], B1477, Transit_Clean[SAP_Status], "In Transit")</f>
        <v>0</v>
      </c>
      <c r="K1477">
        <f t="shared" si="71"/>
        <v>11.553505945105012</v>
      </c>
      <c r="L1477" t="str" cm="1">
        <f t="array" ref="L1477">_xlfn.IFS(C1477&lt;0,"DATO INVALIDO", C1477+J1477&lt;I1477,"PEDIR YA", C1477&lt;I1477,"EN CAMINO OK", TRUE,"SANO")</f>
        <v>SANO</v>
      </c>
    </row>
    <row r="1478" spans="1:12" x14ac:dyDescent="0.45">
      <c r="A1478" t="s">
        <v>1122</v>
      </c>
      <c r="B1478" t="s">
        <v>85</v>
      </c>
      <c r="C1478">
        <v>6472</v>
      </c>
      <c r="D1478">
        <v>510.3</v>
      </c>
      <c r="E1478">
        <v>231.6</v>
      </c>
      <c r="F1478">
        <v>0.9</v>
      </c>
      <c r="G1478">
        <v>0.2</v>
      </c>
      <c r="H1478">
        <f t="shared" si="69"/>
        <v>399.73254163377788</v>
      </c>
      <c r="I1478">
        <f t="shared" si="70"/>
        <v>859.00254163377792</v>
      </c>
      <c r="J1478">
        <f>SUMIFS(Transit_Clean[Quantity], Transit_Clean[Destination], A1478, Transit_Clean[Item_Code], B1478, Transit_Clean[SAP_Status], "In Transit")</f>
        <v>2770</v>
      </c>
      <c r="K1478">
        <f t="shared" si="71"/>
        <v>12.682735645698608</v>
      </c>
      <c r="L1478" t="str" cm="1">
        <f t="array" ref="L1478">_xlfn.IFS(C1478&lt;0,"DATO INVALIDO", C1478+J1478&lt;I1478,"PEDIR YA", C1478&lt;I1478,"EN CAMINO OK", TRUE,"SANO")</f>
        <v>SANO</v>
      </c>
    </row>
    <row r="1479" spans="1:12" x14ac:dyDescent="0.45">
      <c r="A1479" t="s">
        <v>1127</v>
      </c>
      <c r="B1479" t="s">
        <v>22</v>
      </c>
      <c r="C1479">
        <v>2810</v>
      </c>
      <c r="D1479">
        <v>291.39999999999998</v>
      </c>
      <c r="E1479">
        <v>122.3</v>
      </c>
      <c r="F1479">
        <v>2.9</v>
      </c>
      <c r="G1479">
        <v>0.9</v>
      </c>
      <c r="H1479">
        <f t="shared" si="69"/>
        <v>552.58115359963188</v>
      </c>
      <c r="I1479">
        <f t="shared" si="70"/>
        <v>1397.6411535996317</v>
      </c>
      <c r="J1479">
        <f>SUMIFS(Transit_Clean[Quantity], Transit_Clean[Destination], A1479, Transit_Clean[Item_Code], B1479, Transit_Clean[SAP_Status], "In Transit")</f>
        <v>0</v>
      </c>
      <c r="K1479">
        <f t="shared" si="71"/>
        <v>9.6431022649279345</v>
      </c>
      <c r="L1479" t="str" cm="1">
        <f t="array" ref="L1479">_xlfn.IFS(C1479&lt;0,"DATO INVALIDO", C1479+J1479&lt;I1479,"PEDIR YA", C1479&lt;I1479,"EN CAMINO OK", TRUE,"SANO")</f>
        <v>SANO</v>
      </c>
    </row>
    <row r="1480" spans="1:12" x14ac:dyDescent="0.45">
      <c r="A1480" t="s">
        <v>1117</v>
      </c>
      <c r="B1480" t="s">
        <v>54</v>
      </c>
      <c r="C1480">
        <v>4080</v>
      </c>
      <c r="D1480">
        <v>379.7</v>
      </c>
      <c r="E1480">
        <v>56</v>
      </c>
      <c r="F1480">
        <v>2.2999999999999998</v>
      </c>
      <c r="G1480">
        <v>0.5</v>
      </c>
      <c r="H1480">
        <f t="shared" si="69"/>
        <v>343.1675636715247</v>
      </c>
      <c r="I1480">
        <f t="shared" si="70"/>
        <v>1216.4775636715246</v>
      </c>
      <c r="J1480">
        <f>SUMIFS(Transit_Clean[Quantity], Transit_Clean[Destination], A1480, Transit_Clean[Item_Code], B1480, Transit_Clean[SAP_Status], "In Transit")</f>
        <v>1545</v>
      </c>
      <c r="K1480">
        <f t="shared" si="71"/>
        <v>10.745325256781671</v>
      </c>
      <c r="L1480" t="str" cm="1">
        <f t="array" ref="L1480">_xlfn.IFS(C1480&lt;0,"DATO INVALIDO", C1480+J1480&lt;I1480,"PEDIR YA", C1480&lt;I1480,"EN CAMINO OK", TRUE,"SANO")</f>
        <v>SANO</v>
      </c>
    </row>
    <row r="1481" spans="1:12" x14ac:dyDescent="0.45">
      <c r="A1481" t="s">
        <v>1115</v>
      </c>
      <c r="B1481" t="s">
        <v>92</v>
      </c>
      <c r="C1481">
        <v>3883</v>
      </c>
      <c r="D1481">
        <v>272.2</v>
      </c>
      <c r="E1481">
        <v>70.2</v>
      </c>
      <c r="F1481">
        <v>2.2999999999999998</v>
      </c>
      <c r="G1481">
        <v>0.6</v>
      </c>
      <c r="H1481">
        <f t="shared" si="69"/>
        <v>321.67770664750765</v>
      </c>
      <c r="I1481">
        <f t="shared" si="70"/>
        <v>947.73770664750759</v>
      </c>
      <c r="J1481">
        <f>SUMIFS(Transit_Clean[Quantity], Transit_Clean[Destination], A1481, Transit_Clean[Item_Code], B1481, Transit_Clean[SAP_Status], "In Transit")</f>
        <v>0</v>
      </c>
      <c r="K1481">
        <f t="shared" si="71"/>
        <v>14.265246142542249</v>
      </c>
      <c r="L1481" t="str" cm="1">
        <f t="array" ref="L1481">_xlfn.IFS(C1481&lt;0,"DATO INVALIDO", C1481+J1481&lt;I1481,"PEDIR YA", C1481&lt;I1481,"EN CAMINO OK", TRUE,"SANO")</f>
        <v>SANO</v>
      </c>
    </row>
    <row r="1482" spans="1:12" x14ac:dyDescent="0.45">
      <c r="A1482" t="s">
        <v>1125</v>
      </c>
      <c r="B1482" t="s">
        <v>49</v>
      </c>
      <c r="C1482">
        <v>1188</v>
      </c>
      <c r="D1482">
        <v>391.3</v>
      </c>
      <c r="E1482">
        <v>62.1</v>
      </c>
      <c r="F1482">
        <v>6.7</v>
      </c>
      <c r="G1482">
        <v>1.2</v>
      </c>
      <c r="H1482">
        <f t="shared" si="69"/>
        <v>818.9130367648936</v>
      </c>
      <c r="I1482">
        <f t="shared" si="70"/>
        <v>3440.6230367648936</v>
      </c>
      <c r="J1482">
        <f>SUMIFS(Transit_Clean[Quantity], Transit_Clean[Destination], A1482, Transit_Clean[Item_Code], B1482, Transit_Clean[SAP_Status], "In Transit")</f>
        <v>0</v>
      </c>
      <c r="K1482">
        <f t="shared" si="71"/>
        <v>3.0360337337081522</v>
      </c>
      <c r="L1482" t="str" cm="1">
        <f t="array" ref="L1482">_xlfn.IFS(C1482&lt;0,"DATO INVALIDO", C1482+J1482&lt;I1482,"PEDIR YA", C1482&lt;I1482,"EN CAMINO OK", TRUE,"SANO")</f>
        <v>PEDIR YA</v>
      </c>
    </row>
    <row r="1483" spans="1:12" x14ac:dyDescent="0.45">
      <c r="A1483" t="s">
        <v>1128</v>
      </c>
      <c r="B1483" t="s">
        <v>101</v>
      </c>
      <c r="C1483">
        <v>2855</v>
      </c>
      <c r="D1483">
        <v>371.3</v>
      </c>
      <c r="E1483">
        <v>69.400000000000006</v>
      </c>
      <c r="F1483">
        <v>1.2</v>
      </c>
      <c r="G1483">
        <v>0.5</v>
      </c>
      <c r="H1483">
        <f t="shared" si="69"/>
        <v>331.01136253344839</v>
      </c>
      <c r="I1483">
        <f t="shared" si="70"/>
        <v>776.57136253344834</v>
      </c>
      <c r="J1483">
        <f>SUMIFS(Transit_Clean[Quantity], Transit_Clean[Destination], A1483, Transit_Clean[Item_Code], B1483, Transit_Clean[SAP_Status], "In Transit")</f>
        <v>0</v>
      </c>
      <c r="K1483">
        <f t="shared" si="71"/>
        <v>7.6892001077295982</v>
      </c>
      <c r="L1483" t="str" cm="1">
        <f t="array" ref="L1483">_xlfn.IFS(C1483&lt;0,"DATO INVALIDO", C1483+J1483&lt;I1483,"PEDIR YA", C1483&lt;I1483,"EN CAMINO OK", TRUE,"SANO")</f>
        <v>SANO</v>
      </c>
    </row>
    <row r="1484" spans="1:12" x14ac:dyDescent="0.45">
      <c r="A1484" t="s">
        <v>1119</v>
      </c>
      <c r="B1484" t="s">
        <v>1129</v>
      </c>
      <c r="C1484">
        <v>3099</v>
      </c>
      <c r="D1484">
        <v>361.4</v>
      </c>
      <c r="E1484">
        <v>87.3</v>
      </c>
      <c r="F1484">
        <v>3.4</v>
      </c>
      <c r="G1484">
        <v>1</v>
      </c>
      <c r="H1484">
        <f t="shared" si="69"/>
        <v>652.78793416009137</v>
      </c>
      <c r="I1484">
        <f t="shared" si="70"/>
        <v>1881.5479341600912</v>
      </c>
      <c r="J1484">
        <f>SUMIFS(Transit_Clean[Quantity], Transit_Clean[Destination], A1484, Transit_Clean[Item_Code], B1484, Transit_Clean[SAP_Status], "In Transit")</f>
        <v>2595</v>
      </c>
      <c r="K1484">
        <f t="shared" si="71"/>
        <v>8.5749861649142236</v>
      </c>
      <c r="L1484" t="str" cm="1">
        <f t="array" ref="L1484">_xlfn.IFS(C1484&lt;0,"DATO INVALIDO", C1484+J1484&lt;I1484,"PEDIR YA", C1484&lt;I1484,"EN CAMINO OK", TRUE,"SANO")</f>
        <v>SANO</v>
      </c>
    </row>
    <row r="1485" spans="1:12" x14ac:dyDescent="0.45">
      <c r="A1485" t="s">
        <v>1115</v>
      </c>
      <c r="B1485" t="s">
        <v>71</v>
      </c>
      <c r="C1485">
        <v>5830</v>
      </c>
      <c r="E1485">
        <v>42.4</v>
      </c>
      <c r="F1485">
        <v>1.2</v>
      </c>
      <c r="G1485">
        <v>0.6</v>
      </c>
      <c r="H1485">
        <f t="shared" si="69"/>
        <v>76.637340246122832</v>
      </c>
      <c r="I1485">
        <f t="shared" si="70"/>
        <v>76.637340246122832</v>
      </c>
      <c r="J1485">
        <f>SUMIFS(Transit_Clean[Quantity], Transit_Clean[Destination], A1485, Transit_Clean[Item_Code], B1485, Transit_Clean[SAP_Status], "In Transit")</f>
        <v>1083</v>
      </c>
      <c r="K1485" t="str">
        <f t="shared" si="71"/>
        <v/>
      </c>
      <c r="L1485" t="str" cm="1">
        <f t="array" ref="L1485">_xlfn.IFS(C1485&lt;0,"DATO INVALIDO", C1485+J1485&lt;I1485,"PEDIR YA", C1485&lt;I1485,"EN CAMINO OK", TRUE,"SANO")</f>
        <v>SANO</v>
      </c>
    </row>
    <row r="1486" spans="1:12" x14ac:dyDescent="0.45">
      <c r="A1486" t="s">
        <v>1117</v>
      </c>
      <c r="B1486" t="s">
        <v>64</v>
      </c>
      <c r="C1486">
        <v>10742</v>
      </c>
      <c r="D1486">
        <v>606.1</v>
      </c>
      <c r="E1486">
        <v>103.5</v>
      </c>
      <c r="F1486">
        <v>2.5</v>
      </c>
      <c r="G1486">
        <v>0.5</v>
      </c>
      <c r="H1486">
        <f t="shared" si="69"/>
        <v>568.28052282191584</v>
      </c>
      <c r="I1486">
        <f t="shared" si="70"/>
        <v>2083.5305228219158</v>
      </c>
      <c r="J1486">
        <f>SUMIFS(Transit_Clean[Quantity], Transit_Clean[Destination], A1486, Transit_Clean[Item_Code], B1486, Transit_Clean[SAP_Status], "In Transit")</f>
        <v>1343</v>
      </c>
      <c r="K1486">
        <f t="shared" si="71"/>
        <v>17.723147995380298</v>
      </c>
      <c r="L1486" t="str" cm="1">
        <f t="array" ref="L1486">_xlfn.IFS(C1486&lt;0,"DATO INVALIDO", C1486+J1486&lt;I1486,"PEDIR YA", C1486&lt;I1486,"EN CAMINO OK", TRUE,"SANO")</f>
        <v>SANO</v>
      </c>
    </row>
    <row r="1487" spans="1:12" x14ac:dyDescent="0.45">
      <c r="A1487" t="s">
        <v>1116</v>
      </c>
      <c r="B1487" t="s">
        <v>53</v>
      </c>
      <c r="C1487">
        <v>1435</v>
      </c>
      <c r="D1487">
        <v>259.2</v>
      </c>
      <c r="E1487">
        <v>108.3</v>
      </c>
      <c r="F1487">
        <v>8.3000000000000007</v>
      </c>
      <c r="G1487">
        <v>1.6</v>
      </c>
      <c r="H1487">
        <f t="shared" si="69"/>
        <v>856.3205369787064</v>
      </c>
      <c r="I1487">
        <f t="shared" si="70"/>
        <v>3007.6805369787066</v>
      </c>
      <c r="J1487">
        <f>SUMIFS(Transit_Clean[Quantity], Transit_Clean[Destination], A1487, Transit_Clean[Item_Code], B1487, Transit_Clean[SAP_Status], "In Transit")</f>
        <v>4227</v>
      </c>
      <c r="K1487">
        <f t="shared" si="71"/>
        <v>5.5362654320987659</v>
      </c>
      <c r="L1487" t="str" cm="1">
        <f t="array" ref="L1487">_xlfn.IFS(C1487&lt;0,"DATO INVALIDO", C1487+J1487&lt;I1487,"PEDIR YA", C1487&lt;I1487,"EN CAMINO OK", TRUE,"SANO")</f>
        <v>EN CAMINO OK</v>
      </c>
    </row>
    <row r="1488" spans="1:12" x14ac:dyDescent="0.45">
      <c r="A1488" t="s">
        <v>1118</v>
      </c>
      <c r="B1488" t="s">
        <v>36</v>
      </c>
      <c r="C1488">
        <v>330</v>
      </c>
      <c r="D1488">
        <v>143.19999999999999</v>
      </c>
      <c r="E1488">
        <v>45.5</v>
      </c>
      <c r="F1488">
        <v>5.2</v>
      </c>
      <c r="G1488">
        <v>1.5</v>
      </c>
      <c r="H1488">
        <f t="shared" si="69"/>
        <v>393.60140453255497</v>
      </c>
      <c r="I1488">
        <f t="shared" si="70"/>
        <v>1138.241404532555</v>
      </c>
      <c r="J1488">
        <f>SUMIFS(Transit_Clean[Quantity], Transit_Clean[Destination], A1488, Transit_Clean[Item_Code], B1488, Transit_Clean[SAP_Status], "In Transit")</f>
        <v>0</v>
      </c>
      <c r="K1488">
        <f t="shared" si="71"/>
        <v>2.3044692737430168</v>
      </c>
      <c r="L1488" t="str" cm="1">
        <f t="array" ref="L1488">_xlfn.IFS(C1488&lt;0,"DATO INVALIDO", C1488+J1488&lt;I1488,"PEDIR YA", C1488&lt;I1488,"EN CAMINO OK", TRUE,"SANO")</f>
        <v>PEDIR YA</v>
      </c>
    </row>
    <row r="1489" spans="1:12" x14ac:dyDescent="0.45">
      <c r="A1489" t="s">
        <v>1117</v>
      </c>
      <c r="B1489" t="s">
        <v>98</v>
      </c>
      <c r="C1489">
        <v>17755</v>
      </c>
      <c r="D1489">
        <v>996.3</v>
      </c>
      <c r="E1489">
        <v>150.9</v>
      </c>
      <c r="F1489">
        <v>1.9</v>
      </c>
      <c r="G1489">
        <v>0.5</v>
      </c>
      <c r="H1489">
        <f t="shared" si="69"/>
        <v>890.72184220650502</v>
      </c>
      <c r="I1489">
        <f t="shared" si="70"/>
        <v>2783.6918422065046</v>
      </c>
      <c r="J1489">
        <f>SUMIFS(Transit_Clean[Quantity], Transit_Clean[Destination], A1489, Transit_Clean[Item_Code], B1489, Transit_Clean[SAP_Status], "In Transit")</f>
        <v>2398</v>
      </c>
      <c r="K1489">
        <f t="shared" si="71"/>
        <v>17.820937468633947</v>
      </c>
      <c r="L1489" t="str" cm="1">
        <f t="array" ref="L1489">_xlfn.IFS(C1489&lt;0,"DATO INVALIDO", C1489+J1489&lt;I1489,"PEDIR YA", C1489&lt;I1489,"EN CAMINO OK", TRUE,"SANO")</f>
        <v>SANO</v>
      </c>
    </row>
    <row r="1490" spans="1:12" x14ac:dyDescent="0.45">
      <c r="A1490" t="s">
        <v>1119</v>
      </c>
      <c r="B1490" t="s">
        <v>12</v>
      </c>
      <c r="C1490">
        <v>8723</v>
      </c>
      <c r="D1490">
        <v>571.6</v>
      </c>
      <c r="E1490">
        <v>70.7</v>
      </c>
      <c r="F1490">
        <v>0.9</v>
      </c>
      <c r="G1490">
        <v>1</v>
      </c>
      <c r="H1490">
        <f t="shared" si="69"/>
        <v>949.61076748449943</v>
      </c>
      <c r="I1490">
        <f t="shared" si="70"/>
        <v>1464.0507674844994</v>
      </c>
      <c r="J1490">
        <f>SUMIFS(Transit_Clean[Quantity], Transit_Clean[Destination], A1490, Transit_Clean[Item_Code], B1490, Transit_Clean[SAP_Status], "In Transit")</f>
        <v>0</v>
      </c>
      <c r="K1490">
        <f t="shared" si="71"/>
        <v>15.260671798460461</v>
      </c>
      <c r="L1490" t="str" cm="1">
        <f t="array" ref="L1490">_xlfn.IFS(C1490&lt;0,"DATO INVALIDO", C1490+J1490&lt;I1490,"PEDIR YA", C1490&lt;I1490,"EN CAMINO OK", TRUE,"SANO")</f>
        <v>SANO</v>
      </c>
    </row>
    <row r="1491" spans="1:12" x14ac:dyDescent="0.45">
      <c r="A1491" t="s">
        <v>1121</v>
      </c>
      <c r="B1491" t="s">
        <v>25</v>
      </c>
      <c r="C1491">
        <v>763</v>
      </c>
      <c r="D1491">
        <v>398</v>
      </c>
      <c r="E1491">
        <v>131</v>
      </c>
      <c r="F1491">
        <v>2.6</v>
      </c>
      <c r="G1491">
        <v>0.4</v>
      </c>
      <c r="H1491">
        <f t="shared" si="69"/>
        <v>436.43432598731277</v>
      </c>
      <c r="I1491">
        <f t="shared" si="70"/>
        <v>1471.2343259873128</v>
      </c>
      <c r="J1491">
        <f>SUMIFS(Transit_Clean[Quantity], Transit_Clean[Destination], A1491, Transit_Clean[Item_Code], B1491, Transit_Clean[SAP_Status], "In Transit")</f>
        <v>1173</v>
      </c>
      <c r="K1491">
        <f t="shared" si="71"/>
        <v>1.9170854271356783</v>
      </c>
      <c r="L1491" t="str" cm="1">
        <f t="array" ref="L1491">_xlfn.IFS(C1491&lt;0,"DATO INVALIDO", C1491+J1491&lt;I1491,"PEDIR YA", C1491&lt;I1491,"EN CAMINO OK", TRUE,"SANO")</f>
        <v>EN CAMINO OK</v>
      </c>
    </row>
    <row r="1492" spans="1:12" x14ac:dyDescent="0.45">
      <c r="A1492" t="s">
        <v>1122</v>
      </c>
      <c r="B1492" t="s">
        <v>66</v>
      </c>
      <c r="C1492">
        <v>3422</v>
      </c>
      <c r="D1492">
        <v>403.9</v>
      </c>
      <c r="E1492">
        <v>70</v>
      </c>
      <c r="F1492">
        <v>0.8</v>
      </c>
      <c r="G1492">
        <v>0.2</v>
      </c>
      <c r="H1492">
        <f t="shared" si="69"/>
        <v>168.63458829374238</v>
      </c>
      <c r="I1492">
        <f t="shared" si="70"/>
        <v>491.75458829374236</v>
      </c>
      <c r="J1492">
        <f>SUMIFS(Transit_Clean[Quantity], Transit_Clean[Destination], A1492, Transit_Clean[Item_Code], B1492, Transit_Clean[SAP_Status], "In Transit")</f>
        <v>0</v>
      </c>
      <c r="K1492">
        <f t="shared" si="71"/>
        <v>8.472394156969548</v>
      </c>
      <c r="L1492" t="str" cm="1">
        <f t="array" ref="L1492">_xlfn.IFS(C1492&lt;0,"DATO INVALIDO", C1492+J1492&lt;I1492,"PEDIR YA", C1492&lt;I1492,"EN CAMINO OK", TRUE,"SANO")</f>
        <v>SANO</v>
      </c>
    </row>
    <row r="1493" spans="1:12" x14ac:dyDescent="0.45">
      <c r="A1493" t="s">
        <v>1124</v>
      </c>
      <c r="B1493" t="s">
        <v>75</v>
      </c>
      <c r="C1493">
        <v>2067</v>
      </c>
      <c r="D1493">
        <v>276.3</v>
      </c>
      <c r="E1493">
        <v>46.3</v>
      </c>
      <c r="F1493">
        <v>0.9</v>
      </c>
      <c r="G1493">
        <v>0.3</v>
      </c>
      <c r="H1493">
        <f t="shared" si="69"/>
        <v>154.78436295294819</v>
      </c>
      <c r="I1493">
        <f t="shared" si="70"/>
        <v>403.4543629529482</v>
      </c>
      <c r="J1493">
        <f>SUMIFS(Transit_Clean[Quantity], Transit_Clean[Destination], A1493, Transit_Clean[Item_Code], B1493, Transit_Clean[SAP_Status], "In Transit")</f>
        <v>0</v>
      </c>
      <c r="K1493">
        <f t="shared" si="71"/>
        <v>7.4809989142236697</v>
      </c>
      <c r="L1493" t="str" cm="1">
        <f t="array" ref="L1493">_xlfn.IFS(C1493&lt;0,"DATO INVALIDO", C1493+J1493&lt;I1493,"PEDIR YA", C1493&lt;I1493,"EN CAMINO OK", TRUE,"SANO")</f>
        <v>SANO</v>
      </c>
    </row>
    <row r="1494" spans="1:12" x14ac:dyDescent="0.45">
      <c r="A1494" t="s">
        <v>1121</v>
      </c>
      <c r="B1494" t="s">
        <v>18</v>
      </c>
      <c r="C1494">
        <v>2219</v>
      </c>
      <c r="D1494">
        <v>390.8</v>
      </c>
      <c r="E1494">
        <v>73.7</v>
      </c>
      <c r="F1494">
        <v>1.9</v>
      </c>
      <c r="G1494">
        <v>0.4</v>
      </c>
      <c r="H1494">
        <f t="shared" si="69"/>
        <v>307.60953761465203</v>
      </c>
      <c r="I1494">
        <f t="shared" si="70"/>
        <v>1050.129537614652</v>
      </c>
      <c r="J1494">
        <f>SUMIFS(Transit_Clean[Quantity], Transit_Clean[Destination], A1494, Transit_Clean[Item_Code], B1494, Transit_Clean[SAP_Status], "In Transit")</f>
        <v>538</v>
      </c>
      <c r="K1494">
        <f t="shared" si="71"/>
        <v>5.6780962128966221</v>
      </c>
      <c r="L1494" t="str" cm="1">
        <f t="array" ref="L1494">_xlfn.IFS(C1494&lt;0,"DATO INVALIDO", C1494+J1494&lt;I1494,"PEDIR YA", C1494&lt;I1494,"EN CAMINO OK", TRUE,"SANO")</f>
        <v>SANO</v>
      </c>
    </row>
    <row r="1495" spans="1:12" x14ac:dyDescent="0.45">
      <c r="A1495" t="s">
        <v>1116</v>
      </c>
      <c r="B1495" t="s">
        <v>70</v>
      </c>
      <c r="C1495">
        <v>1195</v>
      </c>
      <c r="E1495">
        <v>90.5</v>
      </c>
      <c r="F1495">
        <v>4.4000000000000004</v>
      </c>
      <c r="G1495">
        <v>1.6</v>
      </c>
      <c r="H1495">
        <f t="shared" si="69"/>
        <v>313.2267625060158</v>
      </c>
      <c r="I1495">
        <f t="shared" si="70"/>
        <v>313.2267625060158</v>
      </c>
      <c r="J1495">
        <f>SUMIFS(Transit_Clean[Quantity], Transit_Clean[Destination], A1495, Transit_Clean[Item_Code], B1495, Transit_Clean[SAP_Status], "In Transit")</f>
        <v>0</v>
      </c>
      <c r="K1495" t="str">
        <f t="shared" si="71"/>
        <v/>
      </c>
      <c r="L1495" t="str" cm="1">
        <f t="array" ref="L1495">_xlfn.IFS(C1495&lt;0,"DATO INVALIDO", C1495+J1495&lt;I1495,"PEDIR YA", C1495&lt;I1495,"EN CAMINO OK", TRUE,"SANO")</f>
        <v>SANO</v>
      </c>
    </row>
    <row r="1496" spans="1:12" x14ac:dyDescent="0.45">
      <c r="A1496" t="s">
        <v>1120</v>
      </c>
      <c r="B1496" t="s">
        <v>44</v>
      </c>
      <c r="C1496">
        <v>6610</v>
      </c>
      <c r="D1496">
        <v>630.70000000000005</v>
      </c>
      <c r="E1496">
        <v>183.1</v>
      </c>
      <c r="F1496">
        <v>2.1</v>
      </c>
      <c r="G1496">
        <v>0.5</v>
      </c>
      <c r="H1496">
        <f t="shared" si="69"/>
        <v>680.01103007874065</v>
      </c>
      <c r="I1496">
        <f t="shared" si="70"/>
        <v>2004.4810300787408</v>
      </c>
      <c r="J1496">
        <f>SUMIFS(Transit_Clean[Quantity], Transit_Clean[Destination], A1496, Transit_Clean[Item_Code], B1496, Transit_Clean[SAP_Status], "In Transit")</f>
        <v>0</v>
      </c>
      <c r="K1496">
        <f t="shared" si="71"/>
        <v>10.480418582527349</v>
      </c>
      <c r="L1496" t="str" cm="1">
        <f t="array" ref="L1496">_xlfn.IFS(C1496&lt;0,"DATO INVALIDO", C1496+J1496&lt;I1496,"PEDIR YA", C1496&lt;I1496,"EN CAMINO OK", TRUE,"SANO")</f>
        <v>SANO</v>
      </c>
    </row>
    <row r="1497" spans="1:12" x14ac:dyDescent="0.45">
      <c r="A1497" t="s">
        <v>1125</v>
      </c>
      <c r="B1497" t="s">
        <v>54</v>
      </c>
      <c r="C1497">
        <v>2459</v>
      </c>
      <c r="D1497">
        <v>270.39999999999998</v>
      </c>
      <c r="E1497">
        <v>36.299999999999997</v>
      </c>
      <c r="F1497">
        <v>5.0999999999999996</v>
      </c>
      <c r="G1497">
        <v>1.2</v>
      </c>
      <c r="H1497">
        <f t="shared" si="69"/>
        <v>552.21407976571913</v>
      </c>
      <c r="I1497">
        <f t="shared" si="70"/>
        <v>1931.2540797657189</v>
      </c>
      <c r="J1497">
        <f>SUMIFS(Transit_Clean[Quantity], Transit_Clean[Destination], A1497, Transit_Clean[Item_Code], B1497, Transit_Clean[SAP_Status], "In Transit")</f>
        <v>1788</v>
      </c>
      <c r="K1497">
        <f t="shared" si="71"/>
        <v>9.093934911242604</v>
      </c>
      <c r="L1497" t="str" cm="1">
        <f t="array" ref="L1497">_xlfn.IFS(C1497&lt;0,"DATO INVALIDO", C1497+J1497&lt;I1497,"PEDIR YA", C1497&lt;I1497,"EN CAMINO OK", TRUE,"SANO")</f>
        <v>SANO</v>
      </c>
    </row>
    <row r="1498" spans="1:12" x14ac:dyDescent="0.45">
      <c r="A1498" t="s">
        <v>1123</v>
      </c>
      <c r="B1498" t="s">
        <v>23</v>
      </c>
      <c r="C1498">
        <v>2690</v>
      </c>
      <c r="D1498">
        <v>299</v>
      </c>
      <c r="E1498">
        <v>82.9</v>
      </c>
      <c r="F1498">
        <v>0.5</v>
      </c>
      <c r="G1498">
        <v>0.3</v>
      </c>
      <c r="H1498">
        <f t="shared" si="69"/>
        <v>176.8065274176833</v>
      </c>
      <c r="I1498">
        <f t="shared" si="70"/>
        <v>326.3065274176833</v>
      </c>
      <c r="J1498">
        <f>SUMIFS(Transit_Clean[Quantity], Transit_Clean[Destination], A1498, Transit_Clean[Item_Code], B1498, Transit_Clean[SAP_Status], "In Transit")</f>
        <v>0</v>
      </c>
      <c r="K1498">
        <f t="shared" si="71"/>
        <v>8.9966555183946486</v>
      </c>
      <c r="L1498" t="str" cm="1">
        <f t="array" ref="L1498">_xlfn.IFS(C1498&lt;0,"DATO INVALIDO", C1498+J1498&lt;I1498,"PEDIR YA", C1498&lt;I1498,"EN CAMINO OK", TRUE,"SANO")</f>
        <v>SANO</v>
      </c>
    </row>
    <row r="1499" spans="1:12" x14ac:dyDescent="0.45">
      <c r="A1499" t="s">
        <v>1121</v>
      </c>
      <c r="B1499" t="s">
        <v>5</v>
      </c>
      <c r="C1499">
        <v>418</v>
      </c>
      <c r="D1499">
        <v>153.5</v>
      </c>
      <c r="E1499">
        <v>14.3</v>
      </c>
      <c r="F1499">
        <v>2.8</v>
      </c>
      <c r="G1499">
        <v>0.4</v>
      </c>
      <c r="H1499">
        <f t="shared" si="69"/>
        <v>108.73151967116068</v>
      </c>
      <c r="I1499">
        <f t="shared" si="70"/>
        <v>538.53151967116059</v>
      </c>
      <c r="J1499">
        <f>SUMIFS(Transit_Clean[Quantity], Transit_Clean[Destination], A1499, Transit_Clean[Item_Code], B1499, Transit_Clean[SAP_Status], "In Transit")</f>
        <v>708</v>
      </c>
      <c r="K1499">
        <f t="shared" si="71"/>
        <v>2.7231270358306188</v>
      </c>
      <c r="L1499" t="str" cm="1">
        <f t="array" ref="L1499">_xlfn.IFS(C1499&lt;0,"DATO INVALIDO", C1499+J1499&lt;I1499,"PEDIR YA", C1499&lt;I1499,"EN CAMINO OK", TRUE,"SANO")</f>
        <v>EN CAMINO OK</v>
      </c>
    </row>
    <row r="1500" spans="1:12" x14ac:dyDescent="0.45">
      <c r="A1500" t="s">
        <v>1115</v>
      </c>
      <c r="B1500" t="s">
        <v>8</v>
      </c>
      <c r="C1500">
        <v>2366</v>
      </c>
      <c r="D1500">
        <v>506.7</v>
      </c>
      <c r="E1500">
        <v>145.5</v>
      </c>
      <c r="F1500">
        <v>1.4</v>
      </c>
      <c r="G1500">
        <v>0.6</v>
      </c>
      <c r="H1500">
        <f t="shared" si="69"/>
        <v>576.47729752697114</v>
      </c>
      <c r="I1500">
        <f t="shared" si="70"/>
        <v>1285.8572975269713</v>
      </c>
      <c r="J1500">
        <f>SUMIFS(Transit_Clean[Quantity], Transit_Clean[Destination], A1500, Transit_Clean[Item_Code], B1500, Transit_Clean[SAP_Status], "In Transit")</f>
        <v>2642</v>
      </c>
      <c r="K1500">
        <f t="shared" si="71"/>
        <v>4.6694296427866586</v>
      </c>
      <c r="L1500" t="str" cm="1">
        <f t="array" ref="L1500">_xlfn.IFS(C1500&lt;0,"DATO INVALIDO", C1500+J1500&lt;I1500,"PEDIR YA", C1500&lt;I1500,"EN CAMINO OK", TRUE,"SANO")</f>
        <v>SANO</v>
      </c>
    </row>
    <row r="1501" spans="1:12" x14ac:dyDescent="0.45">
      <c r="A1501" t="s">
        <v>1127</v>
      </c>
      <c r="B1501" t="s">
        <v>1135</v>
      </c>
      <c r="C1501">
        <v>852</v>
      </c>
      <c r="E1501">
        <v>35.9</v>
      </c>
      <c r="F1501">
        <v>2</v>
      </c>
      <c r="G1501">
        <v>0.9</v>
      </c>
      <c r="H1501">
        <f t="shared" si="69"/>
        <v>83.770940367170283</v>
      </c>
      <c r="I1501">
        <f t="shared" si="70"/>
        <v>83.770940367170283</v>
      </c>
      <c r="J1501">
        <f>SUMIFS(Transit_Clean[Quantity], Transit_Clean[Destination], A1501, Transit_Clean[Item_Code], B1501, Transit_Clean[SAP_Status], "In Transit")</f>
        <v>0</v>
      </c>
      <c r="K1501" t="str">
        <f t="shared" si="71"/>
        <v/>
      </c>
      <c r="L1501" t="str" cm="1">
        <f t="array" ref="L1501">_xlfn.IFS(C1501&lt;0,"DATO INVALIDO", C1501+J1501&lt;I1501,"PEDIR YA", C1501&lt;I1501,"EN CAMINO OK", TRUE,"SANO")</f>
        <v>SANO</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5987C47-E599-4339-9C9D-25877662543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Transit_Enriched</vt:lpstr>
      <vt:lpstr>Analisis_Transito</vt:lpstr>
      <vt:lpstr>Excepciones</vt:lpstr>
      <vt:lpstr>Fair_Share</vt:lpstr>
      <vt:lpstr>Supply_Clean</vt:lpstr>
      <vt:lpstr>Transit_Clean</vt:lpstr>
      <vt:lpstr>Inventory_Clean</vt:lpstr>
      <vt:lpstr>Master_Clean</vt:lpstr>
      <vt:lpstr>DRP_Engine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Ollin Agency</dc:creator>
  <cp:lastModifiedBy>Patricio Javier Pérez Fajardo</cp:lastModifiedBy>
  <dcterms:created xsi:type="dcterms:W3CDTF">2026-06-03T19:48:52Z</dcterms:created>
  <dcterms:modified xsi:type="dcterms:W3CDTF">2026-06-05T18:48:38Z</dcterms:modified>
</cp:coreProperties>
</file>